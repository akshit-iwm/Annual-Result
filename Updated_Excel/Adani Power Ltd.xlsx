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1B8190E-52FF-470F-86AC-AF17909F51AD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8" i="1" l="1"/>
  <c r="CL20" i="1"/>
  <c r="CL10" i="1"/>
  <c r="CL258" i="1"/>
  <c r="CM6" i="1"/>
  <c r="CQ6" i="1" s="1"/>
  <c r="CO6" i="1"/>
  <c r="CS6" i="1" s="1"/>
  <c r="CN6" i="1"/>
  <c r="CR6" i="1" s="1"/>
  <c r="DD144" i="1" l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H21" i="1"/>
  <c r="CG21" i="1"/>
  <c r="CF21" i="1"/>
  <c r="CE21" i="1"/>
  <c r="CC21" i="1"/>
  <c r="CB21" i="1"/>
  <c r="CA21" i="1"/>
  <c r="CJ20" i="1"/>
  <c r="CI20" i="1"/>
  <c r="CH20" i="1"/>
  <c r="CG20" i="1"/>
  <c r="CF20" i="1"/>
  <c r="CE20" i="1"/>
  <c r="CC20" i="1"/>
  <c r="CB20" i="1"/>
  <c r="CA20" i="1"/>
  <c r="CK20" i="1"/>
  <c r="CP6" i="1" l="1"/>
  <c r="CT6" i="1" s="1"/>
  <c r="CX6" i="1" l="1"/>
  <c r="DB6" i="1" s="1"/>
  <c r="CU6" i="1"/>
  <c r="CY6" i="1" s="1"/>
  <c r="CV6" i="1"/>
  <c r="CZ6" i="1" s="1"/>
  <c r="CW6" i="1"/>
  <c r="DA6" i="1" s="1"/>
  <c r="AE15" i="1" l="1"/>
  <c r="AD15" i="1"/>
  <c r="AC15" i="1"/>
  <c r="AB15" i="1"/>
  <c r="AA15" i="1"/>
  <c r="AE14" i="1"/>
  <c r="AD14" i="1"/>
  <c r="AC14" i="1"/>
  <c r="AB14" i="1"/>
  <c r="AA14" i="1"/>
  <c r="CM5" i="1"/>
  <c r="CN5" i="1" s="1"/>
  <c r="Y15" i="1"/>
  <c r="Y14" i="1"/>
  <c r="Y13" i="1"/>
  <c r="X10" i="1"/>
  <c r="W10" i="1"/>
  <c r="Z15" i="1"/>
  <c r="Z14" i="1"/>
  <c r="Z13" i="1"/>
  <c r="Z8" i="1"/>
  <c r="AE21" i="1" l="1"/>
  <c r="AD21" i="1"/>
  <c r="AC21" i="1"/>
  <c r="AA21" i="1"/>
  <c r="AB21" i="1"/>
  <c r="Z20" i="1"/>
  <c r="Z21" i="1"/>
  <c r="Z10" i="1"/>
  <c r="AA5" i="1"/>
  <c r="CO5" i="1"/>
  <c r="CM8" i="1"/>
  <c r="Y16" i="1"/>
  <c r="AA8" i="1"/>
  <c r="AA6" i="1" s="1"/>
  <c r="Z16" i="1"/>
  <c r="CN8" i="1"/>
  <c r="CO8" i="1" l="1"/>
  <c r="CP5" i="1"/>
  <c r="CQ5" i="1" s="1"/>
  <c r="CR5" i="1" s="1"/>
  <c r="CS5" i="1" s="1"/>
  <c r="CT5" i="1" s="1"/>
  <c r="AB5" i="1" l="1"/>
  <c r="CP8" i="1"/>
  <c r="AB8" i="1" s="1"/>
  <c r="AB6" i="1" s="1"/>
  <c r="CQ8" i="1"/>
  <c r="CR8" i="1"/>
  <c r="AC5" i="1" l="1"/>
  <c r="CS8" i="1"/>
  <c r="CU5" i="1" l="1"/>
  <c r="CV5" i="1" s="1"/>
  <c r="CT8" i="1"/>
  <c r="AC8" i="1" s="1"/>
  <c r="AC6" i="1" s="1"/>
  <c r="CW5" i="1" l="1"/>
  <c r="CX5" i="1" s="1"/>
  <c r="CU8" i="1"/>
  <c r="CV8" i="1" l="1"/>
  <c r="CW8" i="1" l="1"/>
  <c r="AD5" i="1"/>
  <c r="CX8" i="1" l="1"/>
  <c r="AD8" i="1" s="1"/>
  <c r="AD6" i="1" s="1"/>
  <c r="CY5" i="1"/>
  <c r="CZ5" i="1" s="1"/>
  <c r="DA5" i="1" s="1"/>
  <c r="DB5" i="1" s="1"/>
  <c r="CY8" i="1" l="1"/>
  <c r="CZ8" i="1" l="1"/>
  <c r="DA8" i="1" l="1"/>
  <c r="DB8" i="1" l="1"/>
  <c r="AE8" i="1" s="1"/>
  <c r="AE5" i="1"/>
  <c r="AE6" i="1" l="1"/>
  <c r="Z5" i="1"/>
  <c r="Z6" i="1" s="1"/>
  <c r="Y5" i="1"/>
  <c r="X5" i="1"/>
  <c r="CA8" i="1"/>
  <c r="Y8" i="1" s="1"/>
  <c r="Y10" i="1" l="1"/>
  <c r="Y6" i="1"/>
  <c r="BY10" i="1"/>
  <c r="BX10" i="1"/>
  <c r="BW10" i="1"/>
  <c r="BV10" i="1"/>
  <c r="BU10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CK16" i="1"/>
  <c r="CI10" i="1"/>
  <c r="CH10" i="1"/>
  <c r="CG10" i="1"/>
  <c r="CF10" i="1"/>
  <c r="CE10" i="1"/>
  <c r="CD10" i="1"/>
  <c r="CC10" i="1"/>
  <c r="CB10" i="1"/>
  <c r="CA10" i="1"/>
  <c r="BZ10" i="1"/>
  <c r="CK10" i="1"/>
  <c r="CJ10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5" i="1"/>
  <c r="AB28" i="1"/>
  <c r="AC28" i="1"/>
  <c r="AD28" i="1"/>
  <c r="AE28" i="1"/>
  <c r="AB41" i="1"/>
  <c r="AC41" i="1"/>
  <c r="AD41" i="1"/>
  <c r="AE41" i="1"/>
  <c r="AE40" i="1"/>
  <c r="AD40" i="1"/>
  <c r="AC40" i="1"/>
  <c r="AB40" i="1"/>
  <c r="AJ228" i="1"/>
  <c r="AB19" i="2"/>
  <c r="AB54" i="2"/>
  <c r="AA172" i="1" s="1"/>
  <c r="AC48" i="2"/>
  <c r="AB57" i="2"/>
  <c r="AA174" i="1" s="1"/>
  <c r="AD90" i="2"/>
  <c r="AB36" i="2"/>
  <c r="AE68" i="2"/>
  <c r="AD54" i="2"/>
  <c r="AB80" i="2"/>
  <c r="AA166" i="1" s="1"/>
  <c r="AF72" i="2"/>
  <c r="AF27" i="2"/>
  <c r="AE10" i="2"/>
  <c r="AF8" i="2"/>
  <c r="AB67" i="2"/>
  <c r="AA156" i="1" s="1"/>
  <c r="AB99" i="2"/>
  <c r="AE29" i="2"/>
  <c r="AE94" i="2"/>
  <c r="AD79" i="2"/>
  <c r="AE107" i="2"/>
  <c r="AE46" i="2"/>
  <c r="AC90" i="2"/>
  <c r="AD36" i="2"/>
  <c r="AC23" i="2"/>
  <c r="AD25" i="2"/>
  <c r="AF75" i="2"/>
  <c r="AF10" i="2"/>
  <c r="AC57" i="2"/>
  <c r="AB24" i="2"/>
  <c r="AB13" i="2"/>
  <c r="AA43" i="1" s="1"/>
  <c r="AB48" i="2"/>
  <c r="AA144" i="1" s="1"/>
  <c r="AE36" i="2"/>
  <c r="AB45" i="2"/>
  <c r="AA141" i="1" s="1"/>
  <c r="AD84" i="2"/>
  <c r="AB47" i="2"/>
  <c r="AA143" i="1" s="1"/>
  <c r="AC71" i="2"/>
  <c r="AD61" i="2"/>
  <c r="AE35" i="2"/>
  <c r="AB86" i="2"/>
  <c r="AA154" i="1" s="1"/>
  <c r="AF47" i="2"/>
  <c r="AB85" i="2"/>
  <c r="AA189" i="1" s="1"/>
  <c r="AD15" i="2"/>
  <c r="AE60" i="2"/>
  <c r="AF30" i="2"/>
  <c r="AF5" i="2"/>
  <c r="AF40" i="2"/>
  <c r="AC25" i="2"/>
  <c r="AF28" i="2"/>
  <c r="AD30" i="2"/>
  <c r="AE14" i="2"/>
  <c r="AD13" i="2"/>
  <c r="AF69" i="2"/>
  <c r="AF105" i="2"/>
  <c r="AE13" i="2"/>
  <c r="AC85" i="2"/>
  <c r="AB68" i="2"/>
  <c r="AA155" i="1" s="1"/>
  <c r="AE87" i="2"/>
  <c r="AD109" i="2"/>
  <c r="AE91" i="2"/>
  <c r="AB94" i="2"/>
  <c r="AD31" i="2"/>
  <c r="AC24" i="2"/>
  <c r="AC108" i="2"/>
  <c r="AB7" i="2"/>
  <c r="AA28" i="1" s="1"/>
  <c r="AB42" i="2"/>
  <c r="AA137" i="1" s="1"/>
  <c r="AC27" i="2"/>
  <c r="AB30" i="2"/>
  <c r="AA58" i="1" s="1"/>
  <c r="AD78" i="2"/>
  <c r="AC97" i="2"/>
  <c r="AC41" i="2"/>
  <c r="AC107" i="2"/>
  <c r="AF86" i="2"/>
  <c r="AC36" i="2"/>
  <c r="AC70" i="2"/>
  <c r="AB107" i="2"/>
  <c r="AA97" i="1" s="1"/>
  <c r="AE17" i="2"/>
  <c r="AD71" i="2"/>
  <c r="AF76" i="2"/>
  <c r="AE11" i="2"/>
  <c r="AC7" i="2"/>
  <c r="AB89" i="2"/>
  <c r="AC96" i="2"/>
  <c r="AF94" i="2"/>
  <c r="AF88" i="2"/>
  <c r="AF31" i="2"/>
  <c r="AE16" i="2"/>
  <c r="AF16" i="2"/>
  <c r="AB71" i="2"/>
  <c r="AA159" i="1" s="1"/>
  <c r="AF41" i="2"/>
  <c r="AF55" i="2"/>
  <c r="AD8" i="2"/>
  <c r="AD43" i="2"/>
  <c r="AC29" i="2"/>
  <c r="AD33" i="2"/>
  <c r="AF79" i="2"/>
  <c r="AC105" i="2"/>
  <c r="AC45" i="2"/>
  <c r="AB8" i="2"/>
  <c r="AB88" i="2"/>
  <c r="AC55" i="2"/>
  <c r="AC74" i="2"/>
  <c r="AB25" i="2"/>
  <c r="AA55" i="1" s="1"/>
  <c r="AE6" i="2"/>
  <c r="AE57" i="2"/>
  <c r="AD64" i="2"/>
  <c r="AD96" i="2"/>
  <c r="AB60" i="2"/>
  <c r="AC77" i="2"/>
  <c r="AC28" i="2"/>
  <c r="AE71" i="2"/>
  <c r="AE77" i="2"/>
  <c r="AF36" i="2"/>
  <c r="AE90" i="2"/>
  <c r="AB98" i="2"/>
  <c r="AD69" i="2"/>
  <c r="AD34" i="2"/>
  <c r="AE20" i="2"/>
  <c r="AD21" i="2"/>
  <c r="AF73" i="2"/>
  <c r="AF109" i="2"/>
  <c r="AE25" i="2"/>
  <c r="AC91" i="2"/>
  <c r="AB76" i="2"/>
  <c r="AA163" i="1" s="1"/>
  <c r="AE99" i="2"/>
  <c r="AE27" i="2"/>
  <c r="AC82" i="2"/>
  <c r="AC76" i="2"/>
  <c r="AE34" i="2"/>
  <c r="AB83" i="2"/>
  <c r="AA183" i="1" s="1"/>
  <c r="AC69" i="2"/>
  <c r="AE19" i="2"/>
  <c r="AD85" i="2"/>
  <c r="AD55" i="2"/>
  <c r="AF59" i="2"/>
  <c r="AC6" i="2"/>
  <c r="AC64" i="2"/>
  <c r="AE12" i="2"/>
  <c r="AD68" i="2"/>
  <c r="AE33" i="2"/>
  <c r="AF82" i="2"/>
  <c r="AE65" i="2"/>
  <c r="AB105" i="2"/>
  <c r="AE84" i="2"/>
  <c r="AF21" i="2"/>
  <c r="AF56" i="2"/>
  <c r="AD14" i="2"/>
  <c r="AE41" i="2"/>
  <c r="AF85" i="2"/>
  <c r="AC61" i="2"/>
  <c r="AB104" i="2"/>
  <c r="AE93" i="2"/>
  <c r="AB65" i="2"/>
  <c r="AF78" i="2"/>
  <c r="AB23" i="2"/>
  <c r="AA54" i="1" s="1"/>
  <c r="AC54" i="2"/>
  <c r="AD94" i="2"/>
  <c r="AE74" i="2"/>
  <c r="AE61" i="2"/>
  <c r="AB87" i="2"/>
  <c r="AA145" i="1" s="1"/>
  <c r="AE110" i="2"/>
  <c r="AE73" i="2"/>
  <c r="AF20" i="2"/>
  <c r="AF96" i="2"/>
  <c r="AF15" i="2"/>
  <c r="AE43" i="2"/>
  <c r="AC63" i="2"/>
  <c r="AC49" i="2"/>
  <c r="AC5" i="2"/>
  <c r="AF63" i="2"/>
  <c r="AD59" i="2"/>
  <c r="AE15" i="2"/>
  <c r="AD93" i="2"/>
  <c r="AB9" i="2"/>
  <c r="AE30" i="2"/>
  <c r="AD80" i="2"/>
  <c r="AE48" i="2"/>
  <c r="AF90" i="2"/>
  <c r="AF52" i="2"/>
  <c r="AC72" i="2"/>
  <c r="AD18" i="2"/>
  <c r="AE47" i="2"/>
  <c r="AF89" i="2"/>
  <c r="AC67" i="2"/>
  <c r="AE109" i="2"/>
  <c r="AB11" i="2"/>
  <c r="AA32" i="1" s="1"/>
  <c r="AC33" i="2"/>
  <c r="AD82" i="2"/>
  <c r="AC53" i="2"/>
  <c r="AC43" i="2"/>
  <c r="AF19" i="2"/>
  <c r="AE49" i="2"/>
  <c r="AB91" i="2"/>
  <c r="AC81" i="2"/>
  <c r="AE79" i="2"/>
  <c r="AD67" i="2"/>
  <c r="AC11" i="2"/>
  <c r="AF67" i="2"/>
  <c r="AC30" i="2"/>
  <c r="AB5" i="2"/>
  <c r="AB112" i="2" s="1"/>
  <c r="AA92" i="1" s="1"/>
  <c r="AE24" i="2"/>
  <c r="AD76" i="2"/>
  <c r="AC59" i="2"/>
  <c r="AF98" i="2"/>
  <c r="AE89" i="2"/>
  <c r="AC93" i="2"/>
  <c r="AC99" i="2"/>
  <c r="AF29" i="2"/>
  <c r="AF12" i="2"/>
  <c r="AD57" i="2"/>
  <c r="AF61" i="2"/>
  <c r="AF53" i="2"/>
  <c r="AF64" i="2"/>
  <c r="AD89" i="2"/>
  <c r="AE97" i="2"/>
  <c r="AD91" i="2"/>
  <c r="AF108" i="2"/>
  <c r="AC15" i="2"/>
  <c r="AD70" i="2"/>
  <c r="AC14" i="2"/>
  <c r="AE86" i="2"/>
  <c r="AC88" i="2"/>
  <c r="AB95" i="2"/>
  <c r="AA190" i="1" s="1"/>
  <c r="AC12" i="2"/>
  <c r="AC98" i="2"/>
  <c r="AB73" i="2"/>
  <c r="AA162" i="1" s="1"/>
  <c r="AC78" i="2"/>
  <c r="AF23" i="2"/>
  <c r="AE55" i="2"/>
  <c r="AC87" i="2"/>
  <c r="AF14" i="2"/>
  <c r="AC17" i="2"/>
  <c r="AF71" i="2"/>
  <c r="AC18" i="2"/>
  <c r="AB72" i="2"/>
  <c r="AA161" i="1" s="1"/>
  <c r="AC8" i="2"/>
  <c r="AB52" i="2"/>
  <c r="AA170" i="1" s="1"/>
  <c r="AB53" i="2"/>
  <c r="AB28" i="2"/>
  <c r="AD46" i="2"/>
  <c r="AB78" i="2"/>
  <c r="AA179" i="1" s="1"/>
  <c r="AC109" i="2"/>
  <c r="AC32" i="2"/>
  <c r="AE8" i="2"/>
  <c r="AF65" i="2"/>
  <c r="AD63" i="2"/>
  <c r="AC47" i="2"/>
  <c r="AD97" i="2"/>
  <c r="AB27" i="2"/>
  <c r="AA51" i="1" s="1"/>
  <c r="AC9" i="2"/>
  <c r="AB6" i="2"/>
  <c r="AA27" i="1" s="1"/>
  <c r="AD66" i="2"/>
  <c r="AD98" i="2"/>
  <c r="AB64" i="2"/>
  <c r="AA152" i="1" s="1"/>
  <c r="AE80" i="2"/>
  <c r="AE50" i="2"/>
  <c r="AC62" i="2"/>
  <c r="AC66" i="2"/>
  <c r="AF35" i="2"/>
  <c r="AE22" i="2"/>
  <c r="AF24" i="2"/>
  <c r="AB75" i="2"/>
  <c r="AA178" i="1" s="1"/>
  <c r="AA180" i="1" s="1"/>
  <c r="AD7" i="2"/>
  <c r="AE56" i="2"/>
  <c r="AF22" i="2"/>
  <c r="AD95" i="2"/>
  <c r="AF68" i="2"/>
  <c r="AC80" i="2"/>
  <c r="AD12" i="2"/>
  <c r="AD47" i="2"/>
  <c r="AC35" i="2"/>
  <c r="AD44" i="2"/>
  <c r="AF83" i="2"/>
  <c r="AF45" i="2"/>
  <c r="AE70" i="2"/>
  <c r="AF60" i="2"/>
  <c r="AB21" i="2"/>
  <c r="AB56" i="2"/>
  <c r="AA146" i="1" s="1"/>
  <c r="AE51" i="2"/>
  <c r="AD60" i="2"/>
  <c r="AD92" i="2"/>
  <c r="AE9" i="2"/>
  <c r="AC83" i="2"/>
  <c r="AF66" i="2"/>
  <c r="AE83" i="2"/>
  <c r="AB106" i="2"/>
  <c r="AA96" i="1" s="1"/>
  <c r="AB61" i="2"/>
  <c r="AB93" i="2"/>
  <c r="AA191" i="1" s="1"/>
  <c r="AD50" i="2"/>
  <c r="AE72" i="2"/>
  <c r="AB62" i="2"/>
  <c r="AF13" i="2"/>
  <c r="AF48" i="2"/>
  <c r="AC40" i="2"/>
  <c r="AD6" i="2"/>
  <c r="AD41" i="2"/>
  <c r="AE26" i="2"/>
  <c r="AD29" i="2"/>
  <c r="AF77" i="2"/>
  <c r="AE96" i="2"/>
  <c r="AE40" i="2"/>
  <c r="AE106" i="2"/>
  <c r="AB84" i="2"/>
  <c r="AE23" i="2"/>
  <c r="AE69" i="2"/>
  <c r="AE42" i="2"/>
  <c r="AF17" i="2"/>
  <c r="AE66" i="2"/>
  <c r="AC106" i="2"/>
  <c r="AD105" i="2"/>
  <c r="AB15" i="2"/>
  <c r="AA42" i="1" s="1"/>
  <c r="AB50" i="2"/>
  <c r="AA168" i="1" s="1"/>
  <c r="AC42" i="2"/>
  <c r="AB49" i="2"/>
  <c r="AA182" i="1" s="1"/>
  <c r="AD86" i="2"/>
  <c r="AB20" i="2"/>
  <c r="AE62" i="2"/>
  <c r="AD35" i="2"/>
  <c r="AF106" i="2"/>
  <c r="AB74" i="2"/>
  <c r="AC94" i="2"/>
  <c r="AE104" i="2"/>
  <c r="AE44" i="2"/>
  <c r="AD87" i="2"/>
  <c r="AF92" i="2"/>
  <c r="AE105" i="2"/>
  <c r="AC31" i="2"/>
  <c r="AC22" i="2"/>
  <c r="AF80" i="2"/>
  <c r="AC104" i="2"/>
  <c r="AF7" i="2"/>
  <c r="AF42" i="2"/>
  <c r="AE28" i="2"/>
  <c r="AF32" i="2"/>
  <c r="AB79" i="2"/>
  <c r="AA165" i="1" s="1"/>
  <c r="AF25" i="2"/>
  <c r="AF62" i="2"/>
  <c r="AD16" i="2"/>
  <c r="AD51" i="2"/>
  <c r="AC44" i="2"/>
  <c r="AD52" i="2"/>
  <c r="AF87" i="2"/>
  <c r="AF26" i="2"/>
  <c r="AE64" i="2"/>
  <c r="AB43" i="2"/>
  <c r="AA138" i="1" s="1"/>
  <c r="AB108" i="2"/>
  <c r="AA98" i="1" s="1"/>
  <c r="AD77" i="2"/>
  <c r="AC51" i="2"/>
  <c r="AB33" i="2"/>
  <c r="AA65" i="1" s="1"/>
  <c r="AE18" i="2"/>
  <c r="AB18" i="2"/>
  <c r="AA44" i="1" s="1"/>
  <c r="AD72" i="2"/>
  <c r="AD108" i="2"/>
  <c r="AE21" i="2"/>
  <c r="AC89" i="2"/>
  <c r="AF74" i="2"/>
  <c r="AE95" i="2"/>
  <c r="AF33" i="2"/>
  <c r="AB81" i="2"/>
  <c r="AD75" i="2"/>
  <c r="AC110" i="2"/>
  <c r="AD10" i="2"/>
  <c r="AD45" i="2"/>
  <c r="AE32" i="2"/>
  <c r="AD40" i="2"/>
  <c r="AF81" i="2"/>
  <c r="AE52" i="2"/>
  <c r="AB16" i="2"/>
  <c r="AB92" i="2"/>
  <c r="AE63" i="2"/>
  <c r="AE81" i="2"/>
  <c r="AB35" i="2"/>
  <c r="AA70" i="1" s="1"/>
  <c r="AC21" i="2"/>
  <c r="AB22" i="2"/>
  <c r="AD74" i="2"/>
  <c r="AD110" i="2"/>
  <c r="AC26" i="2"/>
  <c r="AE92" i="2"/>
  <c r="AC86" i="2"/>
  <c r="AF11" i="2"/>
  <c r="AF46" i="2"/>
  <c r="AF43" i="2"/>
  <c r="AD42" i="2"/>
  <c r="AF57" i="2"/>
  <c r="AF84" i="2"/>
  <c r="AD20" i="2"/>
  <c r="AC50" i="2"/>
  <c r="AF91" i="2"/>
  <c r="AE82" i="2"/>
  <c r="AB29" i="2"/>
  <c r="AB10" i="2"/>
  <c r="AD104" i="2"/>
  <c r="AE98" i="2"/>
  <c r="AE7" i="2"/>
  <c r="AB69" i="2"/>
  <c r="AC10" i="2"/>
  <c r="AD99" i="2"/>
  <c r="AC52" i="2"/>
  <c r="AD49" i="2"/>
  <c r="AD48" i="2"/>
  <c r="AF18" i="2"/>
  <c r="AB32" i="2"/>
  <c r="AA64" i="1" s="1"/>
  <c r="AD73" i="2"/>
  <c r="AF49" i="2"/>
  <c r="AC20" i="2"/>
  <c r="AB58" i="2"/>
  <c r="AD62" i="2"/>
  <c r="AB55" i="2"/>
  <c r="AD65" i="2"/>
  <c r="AB90" i="2"/>
  <c r="AD23" i="2"/>
  <c r="AD107" i="2"/>
  <c r="AF9" i="2"/>
  <c r="AE78" i="2"/>
  <c r="AB82" i="2"/>
  <c r="AF50" i="2"/>
  <c r="AF51" i="2"/>
  <c r="AC46" i="2"/>
  <c r="AD24" i="2"/>
  <c r="AC56" i="2"/>
  <c r="AF95" i="2"/>
  <c r="AE76" i="2"/>
  <c r="AC68" i="2"/>
  <c r="AB44" i="2"/>
  <c r="AB34" i="2"/>
  <c r="AE108" i="2"/>
  <c r="AD11" i="2"/>
  <c r="AE58" i="2"/>
  <c r="AB97" i="2"/>
  <c r="AE85" i="2"/>
  <c r="AD53" i="2"/>
  <c r="AD56" i="2"/>
  <c r="AF34" i="2"/>
  <c r="AB51" i="2"/>
  <c r="AA169" i="1" s="1"/>
  <c r="AD81" i="2"/>
  <c r="AB46" i="2"/>
  <c r="AB41" i="2"/>
  <c r="AA136" i="1" s="1"/>
  <c r="AF6" i="2"/>
  <c r="AD19" i="2"/>
  <c r="AD83" i="2"/>
  <c r="AF54" i="2"/>
  <c r="AB59" i="2"/>
  <c r="AE5" i="2"/>
  <c r="AE59" i="2"/>
  <c r="AF104" i="2"/>
  <c r="AD28" i="2"/>
  <c r="AD9" i="2"/>
  <c r="AF99" i="2"/>
  <c r="AC95" i="2"/>
  <c r="AB40" i="2"/>
  <c r="AB26" i="2"/>
  <c r="AB12" i="2"/>
  <c r="AA34" i="1" s="1"/>
  <c r="AD27" i="2"/>
  <c r="AB70" i="2"/>
  <c r="AB77" i="2"/>
  <c r="AA164" i="1" s="1"/>
  <c r="AC34" i="2"/>
  <c r="AC84" i="2"/>
  <c r="AC13" i="2"/>
  <c r="AD22" i="2"/>
  <c r="AE53" i="2"/>
  <c r="AF93" i="2"/>
  <c r="AC73" i="2"/>
  <c r="AE54" i="2"/>
  <c r="AC75" i="2"/>
  <c r="AB109" i="2"/>
  <c r="AB66" i="2"/>
  <c r="AB31" i="2"/>
  <c r="AB14" i="2"/>
  <c r="AA39" i="1" s="1"/>
  <c r="AD106" i="2"/>
  <c r="AF70" i="2"/>
  <c r="AB110" i="2"/>
  <c r="AA86" i="1" s="1"/>
  <c r="AD58" i="2"/>
  <c r="AE67" i="2"/>
  <c r="AF44" i="2"/>
  <c r="AE31" i="2"/>
  <c r="AB96" i="2"/>
  <c r="AF58" i="2"/>
  <c r="AB63" i="2"/>
  <c r="AA151" i="1" s="1"/>
  <c r="AC58" i="2"/>
  <c r="AD32" i="2"/>
  <c r="AD17" i="2"/>
  <c r="AF107" i="2"/>
  <c r="AE88" i="2"/>
  <c r="AC92" i="2"/>
  <c r="AB17" i="2"/>
  <c r="AA40" i="1" s="1"/>
  <c r="AE45" i="2"/>
  <c r="AD88" i="2"/>
  <c r="AC65" i="2"/>
  <c r="AF110" i="2"/>
  <c r="AC19" i="2"/>
  <c r="AC60" i="2"/>
  <c r="AD26" i="2"/>
  <c r="AD5" i="2"/>
  <c r="AF97" i="2"/>
  <c r="AC79" i="2"/>
  <c r="AE75" i="2"/>
  <c r="AC16" i="2"/>
  <c r="CM10" i="1" l="1"/>
  <c r="AA150" i="1"/>
  <c r="AA153" i="1" s="1"/>
  <c r="AA157" i="1" s="1"/>
  <c r="CN10" i="1"/>
  <c r="AA41" i="1"/>
  <c r="AA66" i="1"/>
  <c r="AA192" i="1"/>
  <c r="AA271" i="1"/>
  <c r="AA272" i="1"/>
  <c r="AA52" i="1"/>
  <c r="AA213" i="1"/>
  <c r="AA29" i="1"/>
  <c r="AA202" i="1"/>
  <c r="AA250" i="1"/>
  <c r="AA173" i="1"/>
  <c r="AA175" i="1" s="1"/>
  <c r="AA139" i="1"/>
  <c r="AA199" i="1"/>
  <c r="AA45" i="1"/>
  <c r="AA147" i="1"/>
  <c r="AA198" i="1"/>
  <c r="AA167" i="1"/>
  <c r="AF111" i="2"/>
  <c r="AC113" i="2"/>
  <c r="AB111" i="2"/>
  <c r="CO10" i="1"/>
  <c r="AF112" i="2"/>
  <c r="AF113" i="2"/>
  <c r="B1" i="9"/>
  <c r="AD111" i="2"/>
  <c r="AC112" i="2"/>
  <c r="AE111" i="2"/>
  <c r="AD113" i="2"/>
  <c r="AC111" i="2"/>
  <c r="A1" i="9"/>
  <c r="AE113" i="2"/>
  <c r="AE112" i="2"/>
  <c r="L1" i="9"/>
  <c r="AB113" i="2"/>
  <c r="AA93" i="1" s="1"/>
  <c r="AD112" i="2"/>
  <c r="AA46" i="1" l="1"/>
  <c r="AA35" i="1"/>
  <c r="AA263" i="1"/>
  <c r="AA117" i="1"/>
  <c r="AA204" i="1"/>
  <c r="AA203" i="1" s="1"/>
  <c r="AA148" i="1"/>
  <c r="AA187" i="1"/>
  <c r="AA128" i="1" s="1"/>
  <c r="AA201" i="1"/>
  <c r="AA176" i="1"/>
  <c r="AA184" i="1" s="1"/>
  <c r="AA194" i="1"/>
  <c r="AA56" i="1"/>
  <c r="AA267" i="1"/>
  <c r="AA265" i="1"/>
  <c r="CP10" i="1"/>
  <c r="AA13" i="1"/>
  <c r="AA20" i="1" s="1"/>
  <c r="CL16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K258" i="1"/>
  <c r="CK155" i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CH171" i="1"/>
  <c r="CJ258" i="1"/>
  <c r="Z258" i="1"/>
  <c r="CQ10" i="1" l="1"/>
  <c r="AA16" i="1"/>
  <c r="AA185" i="1"/>
  <c r="AA36" i="1"/>
  <c r="AA47" i="1"/>
  <c r="AA205" i="1"/>
  <c r="AA200" i="1"/>
  <c r="CR10" i="1"/>
  <c r="AA10" i="1"/>
  <c r="CM13" i="1"/>
  <c r="CN13" i="1"/>
  <c r="CI258" i="1"/>
  <c r="CG155" i="1"/>
  <c r="CG258" i="1"/>
  <c r="CH258" i="1"/>
  <c r="AB32" i="1"/>
  <c r="AC32" i="1"/>
  <c r="AD32" i="1"/>
  <c r="AE32" i="1"/>
  <c r="AB33" i="1"/>
  <c r="AC33" i="1"/>
  <c r="AD33" i="1"/>
  <c r="AE33" i="1"/>
  <c r="AB43" i="1"/>
  <c r="AC43" i="1"/>
  <c r="AD43" i="1"/>
  <c r="AE43" i="1"/>
  <c r="AB44" i="1"/>
  <c r="AC44" i="1"/>
  <c r="AD44" i="1"/>
  <c r="AE44" i="1"/>
  <c r="AB66" i="1"/>
  <c r="AC66" i="1"/>
  <c r="AD66" i="1"/>
  <c r="AE66" i="1"/>
  <c r="AB178" i="1"/>
  <c r="AC178" i="1"/>
  <c r="AD178" i="1"/>
  <c r="AE178" i="1"/>
  <c r="AB192" i="1"/>
  <c r="AC192" i="1"/>
  <c r="AD192" i="1"/>
  <c r="AE192" i="1"/>
  <c r="CE155" i="1"/>
  <c r="CE258" i="1"/>
  <c r="CF258" i="1"/>
  <c r="AI216" i="1"/>
  <c r="AI221" i="1"/>
  <c r="AI225" i="1"/>
  <c r="AI228" i="1"/>
  <c r="AI258" i="1"/>
  <c r="Y258" i="1"/>
  <c r="AM155" i="1"/>
  <c r="AO155" i="1"/>
  <c r="AQ155" i="1"/>
  <c r="AS155" i="1"/>
  <c r="AU155" i="1"/>
  <c r="AW155" i="1"/>
  <c r="AY155" i="1"/>
  <c r="BA155" i="1"/>
  <c r="BC155" i="1"/>
  <c r="BE155" i="1"/>
  <c r="BG155" i="1"/>
  <c r="BI155" i="1"/>
  <c r="BK155" i="1"/>
  <c r="BM155" i="1"/>
  <c r="BO155" i="1"/>
  <c r="BQ155" i="1"/>
  <c r="BS155" i="1"/>
  <c r="BU155" i="1"/>
  <c r="BW155" i="1"/>
  <c r="BY155" i="1"/>
  <c r="CA155" i="1"/>
  <c r="CC155" i="1"/>
  <c r="CD258" i="1"/>
  <c r="CC258" i="1"/>
  <c r="AJ258" i="1"/>
  <c r="AK258" i="1"/>
  <c r="AL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51" i="1" l="1"/>
  <c r="AA252" i="1" s="1"/>
  <c r="AA131" i="1"/>
  <c r="AA53" i="1"/>
  <c r="AA48" i="1"/>
  <c r="CN16" i="1"/>
  <c r="CN27" i="1" s="1"/>
  <c r="CN20" i="1"/>
  <c r="CM16" i="1"/>
  <c r="CM27" i="1" s="1"/>
  <c r="CM20" i="1"/>
  <c r="CP13" i="1"/>
  <c r="CO13" i="1"/>
  <c r="CQ13" i="1"/>
  <c r="Y1" i="1"/>
  <c r="Z1" i="1" s="1"/>
  <c r="AA74" i="1" l="1"/>
  <c r="AA57" i="1"/>
  <c r="CO16" i="1"/>
  <c r="CO27" i="1" s="1"/>
  <c r="CO20" i="1"/>
  <c r="CQ16" i="1"/>
  <c r="CQ27" i="1" s="1"/>
  <c r="CQ20" i="1"/>
  <c r="CP16" i="1"/>
  <c r="CP27" i="1" s="1"/>
  <c r="CP20" i="1"/>
  <c r="AB13" i="1"/>
  <c r="CR13" i="1"/>
  <c r="AA1" i="1"/>
  <c r="AB1" i="1" s="1"/>
  <c r="AC1" i="1" s="1"/>
  <c r="AD1" i="1" s="1"/>
  <c r="AE1" i="1" s="1"/>
  <c r="AA59" i="1" l="1"/>
  <c r="AA60" i="1"/>
  <c r="AB16" i="1"/>
  <c r="AB20" i="1"/>
  <c r="CR16" i="1"/>
  <c r="CR27" i="1" s="1"/>
  <c r="CR20" i="1"/>
  <c r="AB10" i="1"/>
  <c r="CS10" i="1"/>
  <c r="CS13" i="1" s="1"/>
  <c r="A1" i="3"/>
  <c r="AA61" i="1" l="1"/>
  <c r="AA264" i="1" s="1"/>
  <c r="AA253" i="1"/>
  <c r="AA67" i="1"/>
  <c r="CS16" i="1"/>
  <c r="CS27" i="1" s="1"/>
  <c r="CS20" i="1"/>
  <c r="CT10" i="1"/>
  <c r="CT13" i="1" s="1"/>
  <c r="A1" i="6"/>
  <c r="A1" i="4"/>
  <c r="AA71" i="1" l="1"/>
  <c r="AA212" i="1"/>
  <c r="AA214" i="1" s="1"/>
  <c r="AA73" i="1"/>
  <c r="CT16" i="1"/>
  <c r="CT27" i="1" s="1"/>
  <c r="CT20" i="1"/>
  <c r="CU10" i="1"/>
  <c r="CU13" i="1" s="1"/>
  <c r="AC13" i="1"/>
  <c r="AC16" i="1" l="1"/>
  <c r="AC20" i="1"/>
  <c r="CU16" i="1"/>
  <c r="CU27" i="1" s="1"/>
  <c r="CU20" i="1"/>
  <c r="CV10" i="1"/>
  <c r="CV13" i="1" s="1"/>
  <c r="AC10" i="1"/>
  <c r="BQ5" i="3"/>
  <c r="BQ29" i="3"/>
  <c r="BR12" i="3"/>
  <c r="BH12" i="3"/>
  <c r="BJ10" i="3"/>
  <c r="BV35" i="3"/>
  <c r="BS19" i="3"/>
  <c r="BT10" i="3"/>
  <c r="BE14" i="3"/>
  <c r="BP15" i="3"/>
  <c r="BI19" i="3"/>
  <c r="BF41" i="3"/>
  <c r="BF22" i="3"/>
  <c r="BT37" i="3"/>
  <c r="BN33" i="3"/>
  <c r="BH23" i="3"/>
  <c r="AA80" i="2"/>
  <c r="BA17" i="3"/>
  <c r="Y17" i="2"/>
  <c r="AA76" i="2"/>
  <c r="BA5" i="3"/>
  <c r="Y31" i="2"/>
  <c r="BD46" i="3"/>
  <c r="BA23" i="3"/>
  <c r="Y18" i="2"/>
  <c r="EY11" i="4" a="1"/>
  <c r="EY12" i="4" a="1"/>
  <c r="BJ29" i="3"/>
  <c r="BH35" i="3"/>
  <c r="BL18" i="3"/>
  <c r="BJ8" i="3"/>
  <c r="Y12" i="2"/>
  <c r="BU11" i="3"/>
  <c r="BU35" i="3"/>
  <c r="BO46" i="3"/>
  <c r="BJ33" i="3"/>
  <c r="BR18" i="3"/>
  <c r="BR42" i="3"/>
  <c r="BO26" i="3"/>
  <c r="BI31" i="3"/>
  <c r="BE36" i="3"/>
  <c r="BI5" i="3"/>
  <c r="BK24" i="3"/>
  <c r="BG23" i="3"/>
  <c r="BC16" i="3"/>
  <c r="BQ24" i="3"/>
  <c r="BR7" i="3"/>
  <c r="BI35" i="3"/>
  <c r="BE38" i="3"/>
  <c r="BV30" i="3"/>
  <c r="BS14" i="3"/>
  <c r="BO42" i="3"/>
  <c r="BL38" i="3"/>
  <c r="BT36" i="3"/>
  <c r="BI15" i="3"/>
  <c r="BL24" i="3"/>
  <c r="BF6" i="3"/>
  <c r="BL41" i="3"/>
  <c r="BJ19" i="3"/>
  <c r="BH13" i="3"/>
  <c r="Y75" i="2"/>
  <c r="BB24" i="3"/>
  <c r="BD13" i="3"/>
  <c r="Y91" i="2"/>
  <c r="BB5" i="3"/>
  <c r="Y92" i="2"/>
  <c r="BB13" i="3"/>
  <c r="BB31" i="3"/>
  <c r="BC26" i="3"/>
  <c r="BC46" i="3"/>
  <c r="BU12" i="3"/>
  <c r="BU36" i="3"/>
  <c r="BT7" i="3"/>
  <c r="BF37" i="3"/>
  <c r="BR19" i="3"/>
  <c r="BR45" i="3"/>
  <c r="BO27" i="3"/>
  <c r="BG34" i="3"/>
  <c r="BG39" i="3"/>
  <c r="BG6" i="3"/>
  <c r="BI25" i="3"/>
  <c r="BM26" i="3"/>
  <c r="BJ46" i="3"/>
  <c r="BE29" i="3"/>
  <c r="BI14" i="3"/>
  <c r="AA54" i="2"/>
  <c r="Z54" i="2"/>
  <c r="BC8" i="3"/>
  <c r="AA10" i="2"/>
  <c r="Y25" i="2"/>
  <c r="BQ19" i="3"/>
  <c r="BU25" i="3"/>
  <c r="BV8" i="3"/>
  <c r="BM41" i="3"/>
  <c r="BM42" i="3"/>
  <c r="BR32" i="3"/>
  <c r="BO16" i="3"/>
  <c r="BP5" i="3"/>
  <c r="BN45" i="3"/>
  <c r="BP9" i="3"/>
  <c r="BK16" i="3"/>
  <c r="BN29" i="3"/>
  <c r="BN10" i="3"/>
  <c r="BG45" i="3"/>
  <c r="BQ11" i="3"/>
  <c r="BQ35" i="3"/>
  <c r="BO45" i="3"/>
  <c r="BN31" i="3"/>
  <c r="BV17" i="3"/>
  <c r="BV41" i="3"/>
  <c r="BS25" i="3"/>
  <c r="BI29" i="3"/>
  <c r="BM34" i="3"/>
  <c r="BE5" i="3"/>
  <c r="BG24" i="3"/>
  <c r="BK21" i="3"/>
  <c r="BH41" i="3"/>
  <c r="BP40" i="3"/>
  <c r="BM10" i="3"/>
  <c r="AA109" i="2"/>
  <c r="AA7" i="2"/>
  <c r="BC41" i="3"/>
  <c r="Y108" i="2"/>
  <c r="Z21" i="2"/>
  <c r="AA28" i="2"/>
  <c r="AA65" i="2"/>
  <c r="BA24" i="3"/>
  <c r="BD17" i="3"/>
  <c r="Z82" i="2"/>
  <c r="FF15" i="4" a="1"/>
  <c r="EX6" i="4" a="1"/>
  <c r="BL23" i="3"/>
  <c r="BT45" i="3"/>
  <c r="BF35" i="3"/>
  <c r="CL65" i="1" s="1"/>
  <c r="BF28" i="3"/>
  <c r="CL51" i="1" s="1"/>
  <c r="BC38" i="3"/>
  <c r="BU17" i="3"/>
  <c r="BU41" i="3"/>
  <c r="BT34" i="3"/>
  <c r="BG15" i="3"/>
  <c r="BR24" i="3"/>
  <c r="BO8" i="3"/>
  <c r="BO32" i="3"/>
  <c r="BL12" i="3"/>
  <c r="BF12" i="3"/>
  <c r="CL33" i="1" s="1"/>
  <c r="BG10" i="3"/>
  <c r="BK46" i="3"/>
  <c r="BN6" i="3"/>
  <c r="BQ6" i="3"/>
  <c r="BQ30" i="3"/>
  <c r="BR13" i="3"/>
  <c r="BH16" i="3"/>
  <c r="BN24" i="3"/>
  <c r="BV36" i="3"/>
  <c r="BS20" i="3"/>
  <c r="BT38" i="3"/>
  <c r="BK17" i="3"/>
  <c r="BP39" i="3"/>
  <c r="BG20" i="3"/>
  <c r="BH46" i="3"/>
  <c r="BH25" i="3"/>
  <c r="BT8" i="3"/>
  <c r="BH36" i="3"/>
  <c r="BJ34" i="3"/>
  <c r="Z104" i="2"/>
  <c r="BD26" i="3"/>
  <c r="Y9" i="2"/>
  <c r="Z80" i="2"/>
  <c r="BB21" i="3"/>
  <c r="Y55" i="2"/>
  <c r="BB27" i="3"/>
  <c r="BD12" i="3"/>
  <c r="Z78" i="2"/>
  <c r="EY14" i="4" a="1"/>
  <c r="BU18" i="3"/>
  <c r="BU42" i="3"/>
  <c r="BP18" i="3"/>
  <c r="BG19" i="3"/>
  <c r="BR25" i="3"/>
  <c r="BO9" i="3"/>
  <c r="BO33" i="3"/>
  <c r="BN15" i="3"/>
  <c r="BJ26" i="3"/>
  <c r="BE11" i="3"/>
  <c r="BL6" i="3"/>
  <c r="BH21" i="3"/>
  <c r="BL33" i="3"/>
  <c r="BM45" i="3"/>
  <c r="BI30" i="3"/>
  <c r="AA18" i="2"/>
  <c r="Z62" i="2"/>
  <c r="BC10" i="3"/>
  <c r="Y65" i="2"/>
  <c r="BA39" i="3"/>
  <c r="BU7" i="3"/>
  <c r="BU31" i="3"/>
  <c r="BS36" i="3"/>
  <c r="BF21" i="3"/>
  <c r="CL41" i="1" s="1"/>
  <c r="BR14" i="3"/>
  <c r="BR38" i="3"/>
  <c r="BO22" i="3"/>
  <c r="BP22" i="3"/>
  <c r="BM22" i="3"/>
  <c r="BP27" i="3"/>
  <c r="BI21" i="3"/>
  <c r="BE10" i="3"/>
  <c r="BF30" i="3"/>
  <c r="BT42" i="3"/>
  <c r="BL40" i="3"/>
  <c r="Y14" i="2"/>
  <c r="AA44" i="2"/>
  <c r="BC25" i="3"/>
  <c r="Z14" i="2"/>
  <c r="Z15" i="2"/>
  <c r="Y16" i="2"/>
  <c r="AA22" i="2"/>
  <c r="Y93" i="2"/>
  <c r="AA69" i="2"/>
  <c r="BQ17" i="3"/>
  <c r="BQ41" i="3"/>
  <c r="BT26" i="3"/>
  <c r="BK13" i="3"/>
  <c r="BV23" i="3"/>
  <c r="BS7" i="3"/>
  <c r="BS31" i="3"/>
  <c r="BF11" i="3"/>
  <c r="CL34" i="1" s="1"/>
  <c r="BL5" i="3"/>
  <c r="BM9" i="3"/>
  <c r="BI45" i="3"/>
  <c r="BE42" i="3"/>
  <c r="BJ14" i="3"/>
  <c r="BG40" i="3"/>
  <c r="BI26" i="3"/>
  <c r="Y22" i="2"/>
  <c r="Z50" i="2"/>
  <c r="BA29" i="3"/>
  <c r="Y33" i="2"/>
  <c r="BC17" i="3"/>
  <c r="Z59" i="2"/>
  <c r="AA92" i="2"/>
  <c r="Z88" i="2"/>
  <c r="AA49" i="2"/>
  <c r="Z42" i="2"/>
  <c r="EY13" i="4" a="1"/>
  <c r="FE11" i="4" a="1"/>
  <c r="BN42" i="3"/>
  <c r="BM25" i="3"/>
  <c r="BG11" i="3"/>
  <c r="Z67" i="2"/>
  <c r="BD37" i="3"/>
  <c r="BU23" i="3"/>
  <c r="BV6" i="3"/>
  <c r="BM33" i="3"/>
  <c r="BI36" i="3"/>
  <c r="BR30" i="3"/>
  <c r="BO14" i="3"/>
  <c r="BO41" i="3"/>
  <c r="BL36" i="3"/>
  <c r="BT32" i="3"/>
  <c r="BE15" i="3"/>
  <c r="BJ23" i="3"/>
  <c r="Y85" i="2"/>
  <c r="BQ12" i="3"/>
  <c r="BQ36" i="3"/>
  <c r="BT5" i="3"/>
  <c r="BJ35" i="3"/>
  <c r="BV18" i="3"/>
  <c r="BV42" i="3"/>
  <c r="BS26" i="3"/>
  <c r="BE33" i="3"/>
  <c r="BK37" i="3"/>
  <c r="BM5" i="3"/>
  <c r="BE25" i="3"/>
  <c r="BM24" i="3"/>
  <c r="BL45" i="3"/>
  <c r="BI27" i="3"/>
  <c r="BM12" i="3"/>
  <c r="Y73" i="2"/>
  <c r="Z30" i="2"/>
  <c r="BC32" i="3"/>
  <c r="AA48" i="2"/>
  <c r="Z86" i="2"/>
  <c r="AA56" i="2"/>
  <c r="Z45" i="2"/>
  <c r="Y48" i="2"/>
  <c r="BA18" i="3"/>
  <c r="Z63" i="2"/>
  <c r="FC7" i="4" a="1"/>
  <c r="BU24" i="3"/>
  <c r="BV7" i="3"/>
  <c r="BI37" i="3"/>
  <c r="BK39" i="3"/>
  <c r="BR31" i="3"/>
  <c r="BO15" i="3"/>
  <c r="BS45" i="3"/>
  <c r="BH40" i="3"/>
  <c r="BT40" i="3"/>
  <c r="BM15" i="3"/>
  <c r="BN25" i="3"/>
  <c r="BL7" i="3"/>
  <c r="BH11" i="3"/>
  <c r="BL20" i="3"/>
  <c r="BJ16" i="3"/>
  <c r="V6" i="2"/>
  <c r="BC20" i="3"/>
  <c r="BD36" i="3"/>
  <c r="Z81" i="2"/>
  <c r="BQ7" i="3"/>
  <c r="BU13" i="3"/>
  <c r="BU37" i="3"/>
  <c r="BT23" i="3"/>
  <c r="BN39" i="3"/>
  <c r="BR20" i="3"/>
  <c r="BR46" i="3"/>
  <c r="BO28" i="3"/>
  <c r="BM37" i="3"/>
  <c r="BH5" i="3"/>
  <c r="BE7" i="3"/>
  <c r="BK28" i="3"/>
  <c r="BE30" i="3"/>
  <c r="BN12" i="3"/>
  <c r="BE31" i="3"/>
  <c r="BM16" i="3"/>
  <c r="Z55" i="2"/>
  <c r="Y24" i="2"/>
  <c r="BC11" i="3"/>
  <c r="AA91" i="2"/>
  <c r="BC19" i="3"/>
  <c r="BQ23" i="3"/>
  <c r="BR6" i="3"/>
  <c r="BK32" i="3"/>
  <c r="BE34" i="3"/>
  <c r="BV29" i="3"/>
  <c r="BS13" i="3"/>
  <c r="BO40" i="3"/>
  <c r="BL34" i="3"/>
  <c r="BT28" i="3"/>
  <c r="BK14" i="3"/>
  <c r="BN21" i="3"/>
  <c r="BJ42" i="3"/>
  <c r="BN28" i="3"/>
  <c r="BF17" i="3"/>
  <c r="CL40" i="1" s="1"/>
  <c r="BI42" i="3"/>
  <c r="Y51" i="2"/>
  <c r="Z72" i="2"/>
  <c r="BB38" i="3"/>
  <c r="AA35" i="2"/>
  <c r="BB19" i="3"/>
  <c r="AA85" i="2"/>
  <c r="AA33" i="2"/>
  <c r="BD25" i="3"/>
  <c r="BB23" i="3"/>
  <c r="AA45" i="2"/>
  <c r="FB13" i="4" a="1"/>
  <c r="FD5" i="4" a="1"/>
  <c r="BN20" i="3"/>
  <c r="BI41" i="3"/>
  <c r="BE28" i="3"/>
  <c r="Z36" i="2"/>
  <c r="BU5" i="3"/>
  <c r="BU29" i="3"/>
  <c r="BV12" i="3"/>
  <c r="BL14" i="3"/>
  <c r="BF20" i="3"/>
  <c r="BR36" i="3"/>
  <c r="BO20" i="3"/>
  <c r="BT22" i="3"/>
  <c r="BE16" i="3"/>
  <c r="BP31" i="3"/>
  <c r="BM19" i="3"/>
  <c r="BL42" i="3"/>
  <c r="Z22" i="2"/>
  <c r="BQ18" i="3"/>
  <c r="BQ42" i="3"/>
  <c r="BP12" i="3"/>
  <c r="BG17" i="3"/>
  <c r="BV24" i="3"/>
  <c r="BS8" i="3"/>
  <c r="BS32" i="3"/>
  <c r="BH14" i="3"/>
  <c r="BJ18" i="3"/>
  <c r="BK10" i="3"/>
  <c r="BF5" i="3"/>
  <c r="BN14" i="3"/>
  <c r="BH27" i="3"/>
  <c r="BG42" i="3"/>
  <c r="BM28" i="3"/>
  <c r="Y76" i="2"/>
  <c r="AA94" i="2"/>
  <c r="BB41" i="3"/>
  <c r="Z11" i="2"/>
  <c r="BD10" i="3"/>
  <c r="Z31" i="2"/>
  <c r="Y30" i="2"/>
  <c r="Z16" i="2"/>
  <c r="Y95" i="2"/>
  <c r="AA59" i="2"/>
  <c r="BU6" i="3"/>
  <c r="BU30" i="3"/>
  <c r="BV13" i="3"/>
  <c r="BN17" i="3"/>
  <c r="BN32" i="3"/>
  <c r="BR37" i="3"/>
  <c r="BO21" i="3"/>
  <c r="BP10" i="3"/>
  <c r="BM18" i="3"/>
  <c r="BP11" i="3"/>
  <c r="BK20" i="3"/>
  <c r="BE6" i="3"/>
  <c r="BN26" i="3"/>
  <c r="BT18" i="3"/>
  <c r="BJ37" i="3"/>
  <c r="BN40" i="3"/>
  <c r="Y21" i="2"/>
  <c r="BA26" i="3"/>
  <c r="AA106" i="2"/>
  <c r="Y106" i="2"/>
  <c r="BQ13" i="3"/>
  <c r="BU19" i="3"/>
  <c r="BU45" i="3"/>
  <c r="BP30" i="3"/>
  <c r="BI22" i="3"/>
  <c r="BR26" i="3"/>
  <c r="BO10" i="3"/>
  <c r="BO34" i="3"/>
  <c r="BN19" i="3"/>
  <c r="BL37" i="3"/>
  <c r="BM11" i="3"/>
  <c r="BH10" i="3"/>
  <c r="BF34" i="3"/>
  <c r="CL64" i="1" s="1"/>
  <c r="BM46" i="3"/>
  <c r="BF7" i="3"/>
  <c r="BG33" i="3"/>
  <c r="AA53" i="2"/>
  <c r="BD42" i="3"/>
  <c r="AA62" i="2"/>
  <c r="AA11" i="2"/>
  <c r="BB14" i="3"/>
  <c r="C5" i="2"/>
  <c r="BD28" i="3"/>
  <c r="BB6" i="3"/>
  <c r="BD14" i="3"/>
  <c r="BC24" i="3"/>
  <c r="FB14" i="4" a="1"/>
  <c r="FE13" i="4" a="1"/>
  <c r="BI24" i="3"/>
  <c r="BV26" i="3"/>
  <c r="BS10" i="3"/>
  <c r="BS34" i="3"/>
  <c r="BQ20" i="3"/>
  <c r="BQ46" i="3"/>
  <c r="BP38" i="3"/>
  <c r="BU26" i="3"/>
  <c r="BV9" i="3"/>
  <c r="BH29" i="3"/>
  <c r="Z91" i="2"/>
  <c r="AA60" i="2"/>
  <c r="Z97" i="2"/>
  <c r="EZ12" i="4" a="1"/>
  <c r="EY8" i="4" a="1"/>
  <c r="BN41" i="3"/>
  <c r="BV32" i="3"/>
  <c r="BS22" i="3"/>
  <c r="BQ14" i="3"/>
  <c r="BR9" i="3"/>
  <c r="BU14" i="3"/>
  <c r="BU46" i="3"/>
  <c r="BG46" i="3"/>
  <c r="BL19" i="3"/>
  <c r="BR33" i="3"/>
  <c r="BO17" i="3"/>
  <c r="BT17" i="3"/>
  <c r="BG5" i="3"/>
  <c r="BP25" i="3"/>
  <c r="BI17" i="3"/>
  <c r="BL32" i="3"/>
  <c r="BF14" i="3"/>
  <c r="CL42" i="1" s="1"/>
  <c r="BT9" i="3"/>
  <c r="BH26" i="3"/>
  <c r="BJ40" i="3"/>
  <c r="Y10" i="2"/>
  <c r="BB17" i="3"/>
  <c r="BQ9" i="3"/>
  <c r="BQ33" i="3"/>
  <c r="BO39" i="3"/>
  <c r="BJ25" i="3"/>
  <c r="BV15" i="3"/>
  <c r="BV39" i="3"/>
  <c r="BS23" i="3"/>
  <c r="BP42" i="3"/>
  <c r="BK27" i="3"/>
  <c r="BP13" i="3"/>
  <c r="BK22" i="3"/>
  <c r="BM14" i="3"/>
  <c r="BN34" i="3"/>
  <c r="BP20" i="3"/>
  <c r="BK5" i="3"/>
  <c r="Y83" i="2"/>
  <c r="AA29" i="2"/>
  <c r="BB30" i="3"/>
  <c r="AA30" i="2"/>
  <c r="BA15" i="3"/>
  <c r="Z23" i="2"/>
  <c r="Y81" i="2"/>
  <c r="AA97" i="2"/>
  <c r="Z26" i="2"/>
  <c r="Y41" i="2"/>
  <c r="FC8" i="4" a="1"/>
  <c r="FA13" i="4" a="1"/>
  <c r="BJ7" i="3"/>
  <c r="BU15" i="3"/>
  <c r="BU39" i="3"/>
  <c r="BU22" i="3"/>
  <c r="BV5" i="3"/>
  <c r="BM31" i="3"/>
  <c r="BM32" i="3"/>
  <c r="BR29" i="3"/>
  <c r="BO13" i="3"/>
  <c r="BS39" i="3"/>
  <c r="BF33" i="3"/>
  <c r="BT24" i="3"/>
  <c r="BG14" i="3"/>
  <c r="BH20" i="3"/>
  <c r="BF36" i="3"/>
  <c r="BJ22" i="3"/>
  <c r="BJ15" i="3"/>
  <c r="BM40" i="3"/>
  <c r="Y104" i="2"/>
  <c r="Y35" i="2"/>
  <c r="BD29" i="3"/>
  <c r="AA81" i="2"/>
  <c r="BD8" i="3"/>
  <c r="Z92" i="2"/>
  <c r="X6" i="2"/>
  <c r="BC34" i="3"/>
  <c r="BA25" i="3"/>
  <c r="Y97" i="2"/>
  <c r="FE8" i="4" a="1"/>
  <c r="FF7" i="4" a="1"/>
  <c r="BQ10" i="3"/>
  <c r="BS9" i="3"/>
  <c r="BP41" i="3"/>
  <c r="BH17" i="3"/>
  <c r="BH7" i="3"/>
  <c r="Y6" i="2"/>
  <c r="BA37" i="3"/>
  <c r="Y82" i="2"/>
  <c r="BD24" i="3"/>
  <c r="FC12" i="4" a="1"/>
  <c r="EY16" i="4" a="1"/>
  <c r="EY15" i="4" a="1"/>
  <c r="BD22" i="3"/>
  <c r="AA52" i="2"/>
  <c r="BD15" i="3"/>
  <c r="BR28" i="3"/>
  <c r="BM30" i="3"/>
  <c r="BI18" i="3"/>
  <c r="BK7" i="3"/>
  <c r="BA31" i="3"/>
  <c r="Y78" i="2"/>
  <c r="AA96" i="2"/>
  <c r="BB35" i="3"/>
  <c r="BD20" i="3"/>
  <c r="FA6" i="4" a="1"/>
  <c r="BP7" i="3"/>
  <c r="FC5" i="4" a="1"/>
  <c r="BS41" i="3"/>
  <c r="BS38" i="3"/>
  <c r="BG16" i="3"/>
  <c r="BJ5" i="3"/>
  <c r="Z107" i="2"/>
  <c r="Y105" i="2"/>
  <c r="BK18" i="3"/>
  <c r="BD35" i="3"/>
  <c r="BT15" i="3"/>
  <c r="BS46" i="3"/>
  <c r="BE17" i="3"/>
  <c r="BP6" i="3"/>
  <c r="Z48" i="2"/>
  <c r="Z5" i="2"/>
  <c r="AA68" i="2"/>
  <c r="BA27" i="3"/>
  <c r="BD7" i="3"/>
  <c r="Y40" i="2"/>
  <c r="FA5" i="4" a="1"/>
  <c r="EZ5" i="4" a="1"/>
  <c r="BF10" i="3"/>
  <c r="CL32" i="1" s="1"/>
  <c r="BV38" i="3"/>
  <c r="BS28" i="3"/>
  <c r="BQ26" i="3"/>
  <c r="BS37" i="3"/>
  <c r="BU20" i="3"/>
  <c r="BO38" i="3"/>
  <c r="BH24" i="3"/>
  <c r="BR15" i="3"/>
  <c r="BR39" i="3"/>
  <c r="BO23" i="3"/>
  <c r="BP36" i="3"/>
  <c r="BK25" i="3"/>
  <c r="BP45" i="3"/>
  <c r="BG22" i="3"/>
  <c r="BG13" i="3"/>
  <c r="BH33" i="3"/>
  <c r="BP14" i="3"/>
  <c r="BF45" i="3"/>
  <c r="CL82" i="1" s="1"/>
  <c r="Y13" i="2"/>
  <c r="Y72" i="2"/>
  <c r="BB25" i="3"/>
  <c r="BQ15" i="3"/>
  <c r="BQ39" i="3"/>
  <c r="BT41" i="3"/>
  <c r="BG7" i="3"/>
  <c r="BV21" i="3"/>
  <c r="BS5" i="3"/>
  <c r="BS29" i="3"/>
  <c r="BE45" i="3"/>
  <c r="BF26" i="3"/>
  <c r="CL66" i="1" s="1"/>
  <c r="BG8" i="3"/>
  <c r="BK36" i="3"/>
  <c r="BG35" i="3"/>
  <c r="BF32" i="3"/>
  <c r="BK34" i="3"/>
  <c r="BG21" i="3"/>
  <c r="Y88" i="2"/>
  <c r="Z13" i="2"/>
  <c r="BC12" i="3"/>
  <c r="Y62" i="2"/>
  <c r="BA32" i="3"/>
  <c r="Z35" i="2"/>
  <c r="AA21" i="2"/>
  <c r="Y66" i="2"/>
  <c r="Z56" i="2"/>
  <c r="AA57" i="2"/>
  <c r="FA11" i="4" a="1"/>
  <c r="EZ9" i="4" a="1"/>
  <c r="BL26" i="3"/>
  <c r="BU21" i="3"/>
  <c r="BK29" i="3"/>
  <c r="BU28" i="3"/>
  <c r="BV11" i="3"/>
  <c r="BL10" i="3"/>
  <c r="BF46" i="3"/>
  <c r="CL83" i="1" s="1"/>
  <c r="BR35" i="3"/>
  <c r="BO19" i="3"/>
  <c r="BT39" i="3"/>
  <c r="BI12" i="3"/>
  <c r="BP37" i="3"/>
  <c r="BE19" i="3"/>
  <c r="BJ39" i="3"/>
  <c r="BJ20" i="3"/>
  <c r="BT31" i="3"/>
  <c r="BH32" i="3"/>
  <c r="BN16" i="3"/>
  <c r="Y64" i="2"/>
  <c r="BB45" i="3"/>
  <c r="Y43" i="2"/>
  <c r="AA26" i="2"/>
  <c r="BA28" i="3"/>
  <c r="Y5" i="2"/>
  <c r="Y112" i="2" s="1"/>
  <c r="BD9" i="3"/>
  <c r="BC6" i="3"/>
  <c r="BB28" i="3"/>
  <c r="FA8" i="4" a="1"/>
  <c r="FB12" i="4" a="1"/>
  <c r="Y36" i="2"/>
  <c r="BR11" i="3"/>
  <c r="BS33" i="3"/>
  <c r="BI13" i="3"/>
  <c r="BL9" i="3"/>
  <c r="AA110" i="2"/>
  <c r="AA36" i="2"/>
  <c r="Z73" i="2"/>
  <c r="AV10" i="3"/>
  <c r="Y79" i="2"/>
  <c r="FB8" i="4" a="1"/>
  <c r="EY6" i="4" a="1"/>
  <c r="EX8" i="4" a="1"/>
  <c r="BC28" i="3"/>
  <c r="Z83" i="2"/>
  <c r="BQ16" i="3"/>
  <c r="BO12" i="3"/>
  <c r="BP21" i="3"/>
  <c r="BN18" i="3"/>
  <c r="BL13" i="3"/>
  <c r="Z47" i="2"/>
  <c r="BA40" i="3"/>
  <c r="Z99" i="2"/>
  <c r="BB10" i="3"/>
  <c r="FD7" i="4" a="1"/>
  <c r="EX5" i="4" a="1"/>
  <c r="BT25" i="3"/>
  <c r="BA38" i="3"/>
  <c r="BG31" i="3"/>
  <c r="BJ17" i="3"/>
  <c r="BH8" i="3"/>
  <c r="BK15" i="3"/>
  <c r="AY29" i="3"/>
  <c r="Z75" i="2"/>
  <c r="Z84" i="2"/>
  <c r="AA95" i="2"/>
  <c r="FA12" i="4" a="1"/>
  <c r="BK42" i="3"/>
  <c r="BV14" i="3"/>
  <c r="BV46" i="3"/>
  <c r="BT11" i="3"/>
  <c r="BQ32" i="3"/>
  <c r="BT29" i="3"/>
  <c r="BU32" i="3"/>
  <c r="BT35" i="3"/>
  <c r="BJ45" i="3"/>
  <c r="BR21" i="3"/>
  <c r="BO5" i="3"/>
  <c r="BO29" i="3"/>
  <c r="BE41" i="3"/>
  <c r="BF18" i="3"/>
  <c r="CL44" i="1" s="1"/>
  <c r="BM7" i="3"/>
  <c r="BE35" i="3"/>
  <c r="BK33" i="3"/>
  <c r="BL25" i="3"/>
  <c r="BI33" i="3"/>
  <c r="BK19" i="3"/>
  <c r="AA19" i="2"/>
  <c r="Y32" i="2"/>
  <c r="BD23" i="3"/>
  <c r="BQ21" i="3"/>
  <c r="BK26" i="3"/>
  <c r="BG27" i="3"/>
  <c r="BV27" i="3"/>
  <c r="BS11" i="3"/>
  <c r="BO36" i="3"/>
  <c r="BF27" i="3"/>
  <c r="BT12" i="3"/>
  <c r="BE13" i="3"/>
  <c r="BF15" i="3"/>
  <c r="CL43" i="1" s="1"/>
  <c r="BH15" i="3"/>
  <c r="BN36" i="3"/>
  <c r="BJ11" i="3"/>
  <c r="BG37" i="3"/>
  <c r="Y28" i="2"/>
  <c r="BA45" i="3"/>
  <c r="AA87" i="2"/>
  <c r="Z61" i="2"/>
  <c r="BA41" i="3"/>
  <c r="Z90" i="2"/>
  <c r="BB33" i="3"/>
  <c r="BC22" i="3"/>
  <c r="BD27" i="3"/>
  <c r="FE5" i="4" a="1"/>
  <c r="FE9" i="4" a="1"/>
  <c r="FE16" i="4" a="1"/>
  <c r="BM8" i="3"/>
  <c r="BU27" i="3"/>
  <c r="BV10" i="3"/>
  <c r="BU10" i="3"/>
  <c r="BU34" i="3"/>
  <c r="BS42" i="3"/>
  <c r="BH30" i="3"/>
  <c r="BR17" i="3"/>
  <c r="BR41" i="3"/>
  <c r="BO25" i="3"/>
  <c r="BM27" i="3"/>
  <c r="BI32" i="3"/>
  <c r="BP23" i="3"/>
  <c r="BM23" i="3"/>
  <c r="BE20" i="3"/>
  <c r="BL39" i="3"/>
  <c r="BP34" i="3"/>
  <c r="BG9" i="3"/>
  <c r="Z66" i="2"/>
  <c r="AA51" i="2"/>
  <c r="BD21" i="3"/>
  <c r="W6" i="2"/>
  <c r="Z12" i="2"/>
  <c r="Z6" i="2"/>
  <c r="AA99" i="2"/>
  <c r="BB7" i="3"/>
  <c r="BD31" i="3"/>
  <c r="Z43" i="2"/>
  <c r="EZ11" i="4" a="1"/>
  <c r="FB6" i="4" a="1"/>
  <c r="BA20" i="3"/>
  <c r="BI10" i="3"/>
  <c r="BH6" i="3"/>
  <c r="BG38" i="3"/>
  <c r="BM35" i="3"/>
  <c r="AA90" i="2"/>
  <c r="Y98" i="2"/>
  <c r="Y8" i="2"/>
  <c r="Y7" i="2"/>
  <c r="BA30" i="3"/>
  <c r="FA16" i="4" a="1"/>
  <c r="EX13" i="4" a="1"/>
  <c r="BJ30" i="3"/>
  <c r="AA16" i="2"/>
  <c r="BA21" i="3"/>
  <c r="BS35" i="3"/>
  <c r="BO37" i="3"/>
  <c r="BM13" i="3"/>
  <c r="BF16" i="3"/>
  <c r="CL39" i="1" s="1"/>
  <c r="AA24" i="2"/>
  <c r="AA8" i="2"/>
  <c r="AA73" i="2"/>
  <c r="BA7" i="3"/>
  <c r="Z8" i="2"/>
  <c r="Z85" i="2"/>
  <c r="FB9" i="4" a="1"/>
  <c r="Z110" i="2"/>
  <c r="FD12" i="4" a="1"/>
  <c r="BV28" i="3"/>
  <c r="BK41" i="3"/>
  <c r="BI28" i="3"/>
  <c r="BK45" i="3"/>
  <c r="AA63" i="2"/>
  <c r="FC11" i="4" a="1"/>
  <c r="AA72" i="2"/>
  <c r="Z51" i="2"/>
  <c r="BV31" i="3"/>
  <c r="BL11" i="3"/>
  <c r="BE32" i="3"/>
  <c r="BE18" i="3"/>
  <c r="BB32" i="3"/>
  <c r="BC13" i="3"/>
  <c r="BN23" i="3"/>
  <c r="Z40" i="2"/>
  <c r="AA64" i="2"/>
  <c r="Y70" i="2"/>
  <c r="BD34" i="3"/>
  <c r="EZ7" i="4" a="1"/>
  <c r="BL22" i="3"/>
  <c r="BV20" i="3"/>
  <c r="BS16" i="3"/>
  <c r="BQ8" i="3"/>
  <c r="BQ38" i="3"/>
  <c r="BU8" i="3"/>
  <c r="BU38" i="3"/>
  <c r="BP46" i="3"/>
  <c r="BE26" i="3"/>
  <c r="BR27" i="3"/>
  <c r="BO11" i="3"/>
  <c r="BO35" i="3"/>
  <c r="BF23" i="3"/>
  <c r="CL54" i="1" s="1"/>
  <c r="BK12" i="3"/>
  <c r="BJ13" i="3"/>
  <c r="BN8" i="3"/>
  <c r="BF24" i="3"/>
  <c r="BN9" i="3"/>
  <c r="BK35" i="3"/>
  <c r="AA77" i="2"/>
  <c r="BD33" i="3"/>
  <c r="Z25" i="2"/>
  <c r="BQ27" i="3"/>
  <c r="BR10" i="3"/>
  <c r="BN5" i="3"/>
  <c r="BJ24" i="3"/>
  <c r="BV33" i="3"/>
  <c r="BS17" i="3"/>
  <c r="BT21" i="3"/>
  <c r="BM6" i="3"/>
  <c r="BP33" i="3"/>
  <c r="BM17" i="3"/>
  <c r="BH34" i="3"/>
  <c r="BL15" i="3"/>
  <c r="BT13" i="3"/>
  <c r="BJ27" i="3"/>
  <c r="BH45" i="3"/>
  <c r="C4" i="2"/>
  <c r="BD18" i="3"/>
  <c r="AA66" i="2"/>
  <c r="AA58" i="2"/>
  <c r="BC45" i="3"/>
  <c r="Y45" i="2"/>
  <c r="BB8" i="3"/>
  <c r="Z71" i="2"/>
  <c r="BC35" i="3"/>
  <c r="EY7" i="4" a="1"/>
  <c r="FA9" i="4" a="1"/>
  <c r="BG28" i="3"/>
  <c r="BU9" i="3"/>
  <c r="BU33" i="3"/>
  <c r="BS40" i="3"/>
  <c r="BU16" i="3"/>
  <c r="BU40" i="3"/>
  <c r="BT14" i="3"/>
  <c r="BE12" i="3"/>
  <c r="BR23" i="3"/>
  <c r="BO7" i="3"/>
  <c r="BO31" i="3"/>
  <c r="BJ9" i="3"/>
  <c r="BN46" i="3"/>
  <c r="BI9" i="3"/>
  <c r="BK40" i="3"/>
  <c r="BI40" i="3"/>
  <c r="BF8" i="3"/>
  <c r="BK38" i="3"/>
  <c r="BG25" i="3"/>
  <c r="Z76" i="2"/>
  <c r="Y99" i="2"/>
  <c r="BA16" i="3"/>
  <c r="Y80" i="2"/>
  <c r="BB16" i="3"/>
  <c r="AA42" i="2"/>
  <c r="AA89" i="2"/>
  <c r="Y67" i="2"/>
  <c r="Z52" i="2"/>
  <c r="Y29" i="2"/>
  <c r="FA15" i="4" a="1"/>
  <c r="FC13" i="4" a="1"/>
  <c r="BC15" i="3"/>
  <c r="BI6" i="3"/>
  <c r="BA13" i="3"/>
  <c r="AA17" i="2"/>
  <c r="BN7" i="3"/>
  <c r="Z79" i="2"/>
  <c r="BB26" i="3"/>
  <c r="BS12" i="3"/>
  <c r="AA79" i="2"/>
  <c r="BM38" i="3"/>
  <c r="BG41" i="3"/>
  <c r="BN11" i="3"/>
  <c r="AA78" i="2"/>
  <c r="AA108" i="2"/>
  <c r="BC21" i="3"/>
  <c r="BB39" i="3"/>
  <c r="FF14" i="4" a="1"/>
  <c r="BA10" i="3"/>
  <c r="FF11" i="4" a="1"/>
  <c r="BV34" i="3"/>
  <c r="BN13" i="3"/>
  <c r="BC9" i="3"/>
  <c r="Z87" i="2"/>
  <c r="BJ32" i="3"/>
  <c r="BF29" i="3"/>
  <c r="CL58" i="1" s="1"/>
  <c r="BL16" i="3"/>
  <c r="BF13" i="3"/>
  <c r="BB22" i="3"/>
  <c r="BA6" i="3"/>
  <c r="Y57" i="2"/>
  <c r="BA46" i="3"/>
  <c r="BQ31" i="3"/>
  <c r="BM29" i="3"/>
  <c r="BP16" i="3"/>
  <c r="BE21" i="3"/>
  <c r="BT30" i="3"/>
  <c r="Y46" i="2"/>
  <c r="Z96" i="2"/>
  <c r="AA20" i="2"/>
  <c r="BA33" i="3"/>
  <c r="BR40" i="3"/>
  <c r="BI46" i="3"/>
  <c r="BF42" i="3"/>
  <c r="CL70" i="1" s="1"/>
  <c r="BI34" i="3"/>
  <c r="BD39" i="3"/>
  <c r="BD6" i="3"/>
  <c r="Y77" i="2"/>
  <c r="Y59" i="2"/>
  <c r="BB11" i="3"/>
  <c r="EY9" i="4" a="1"/>
  <c r="BF9" i="3"/>
  <c r="BE23" i="3"/>
  <c r="BP26" i="3"/>
  <c r="Y26" i="2"/>
  <c r="AA86" i="2"/>
  <c r="AA74" i="2"/>
  <c r="BC23" i="3"/>
  <c r="BD5" i="3"/>
  <c r="FB7" i="4" a="1"/>
  <c r="FC16" i="4" a="1"/>
  <c r="EX15" i="4" a="1"/>
  <c r="BQ45" i="3"/>
  <c r="BS27" i="3"/>
  <c r="BE9" i="3"/>
  <c r="BE46" i="3"/>
  <c r="AA55" i="2"/>
  <c r="Y19" i="2"/>
  <c r="BA35" i="3"/>
  <c r="BC31" i="3"/>
  <c r="AA83" i="2"/>
  <c r="FE12" i="4" a="1"/>
  <c r="BA9" i="3"/>
  <c r="BI20" i="3"/>
  <c r="BF39" i="3"/>
  <c r="Z29" i="2"/>
  <c r="Z17" i="2"/>
  <c r="AA104" i="2"/>
  <c r="Y87" i="2"/>
  <c r="BE24" i="3"/>
  <c r="BH42" i="3"/>
  <c r="BD30" i="3"/>
  <c r="BK23" i="3"/>
  <c r="BB46" i="3"/>
  <c r="EZ14" i="4" a="1"/>
  <c r="BC30" i="3"/>
  <c r="BL17" i="3"/>
  <c r="Y49" i="2"/>
  <c r="BV25" i="3"/>
  <c r="BB9" i="3"/>
  <c r="Y110" i="2"/>
  <c r="AA46" i="2"/>
  <c r="BM39" i="3"/>
  <c r="Y47" i="2"/>
  <c r="FF8" i="4" a="1"/>
  <c r="BP19" i="3"/>
  <c r="BA42" i="3"/>
  <c r="Y50" i="2"/>
  <c r="BS15" i="3"/>
  <c r="BL31" i="3"/>
  <c r="Z20" i="2"/>
  <c r="Z106" i="2"/>
  <c r="Z58" i="2"/>
  <c r="Z93" i="2"/>
  <c r="EZ16" i="4" a="1"/>
  <c r="Y69" i="2"/>
  <c r="FE6" i="4" a="1"/>
  <c r="BS18" i="3"/>
  <c r="AA93" i="2"/>
  <c r="BA34" i="3"/>
  <c r="FE14" i="4" a="1"/>
  <c r="BR34" i="3"/>
  <c r="BN30" i="3"/>
  <c r="BM36" i="3"/>
  <c r="BE22" i="3"/>
  <c r="Y20" i="2"/>
  <c r="BC42" i="3"/>
  <c r="Z105" i="2"/>
  <c r="Y53" i="2"/>
  <c r="BP24" i="3"/>
  <c r="BH39" i="3"/>
  <c r="BJ41" i="3"/>
  <c r="BN27" i="3"/>
  <c r="BH22" i="3"/>
  <c r="Z64" i="2"/>
  <c r="Y15" i="2"/>
  <c r="Z46" i="2"/>
  <c r="BQ37" i="3"/>
  <c r="BO24" i="3"/>
  <c r="BI7" i="3"/>
  <c r="BH19" i="3"/>
  <c r="AA40" i="2"/>
  <c r="Y44" i="2"/>
  <c r="BD19" i="3"/>
  <c r="BD41" i="3"/>
  <c r="Z33" i="2"/>
  <c r="EZ8" i="4" a="1"/>
  <c r="FE15" i="4" a="1"/>
  <c r="BV16" i="3"/>
  <c r="BI8" i="3"/>
  <c r="BN35" i="3"/>
  <c r="BL28" i="3"/>
  <c r="BB20" i="3"/>
  <c r="Y71" i="2"/>
  <c r="Z94" i="2"/>
  <c r="BD16" i="3"/>
  <c r="Z41" i="2"/>
  <c r="FF6" i="4" a="1"/>
  <c r="FD11" i="4" a="1"/>
  <c r="FC6" i="4" a="1"/>
  <c r="BF19" i="3"/>
  <c r="BG26" i="3"/>
  <c r="BI23" i="3"/>
  <c r="BP28" i="3"/>
  <c r="Y68" i="2"/>
  <c r="AA50" i="2"/>
  <c r="AA5" i="2"/>
  <c r="Y56" i="2"/>
  <c r="AA75" i="2"/>
  <c r="FC15" i="4" a="1"/>
  <c r="BD11" i="3"/>
  <c r="FB15" i="4" a="1"/>
  <c r="BO6" i="3"/>
  <c r="BT46" i="3"/>
  <c r="BH9" i="3"/>
  <c r="BN22" i="3"/>
  <c r="BB15" i="3"/>
  <c r="BC39" i="3"/>
  <c r="AA32" i="2"/>
  <c r="Z27" i="2"/>
  <c r="FD14" i="4" a="1"/>
  <c r="EX14" i="4" a="1"/>
  <c r="AA71" i="2"/>
  <c r="FB16" i="4" a="1"/>
  <c r="FA7" i="4" a="1"/>
  <c r="BS6" i="3"/>
  <c r="BP17" i="3"/>
  <c r="BJ12" i="3"/>
  <c r="BL35" i="3"/>
  <c r="BB37" i="3"/>
  <c r="AA88" i="2"/>
  <c r="Z60" i="2"/>
  <c r="Y52" i="2"/>
  <c r="BR5" i="3"/>
  <c r="AA61" i="2"/>
  <c r="BA14" i="3"/>
  <c r="FD9" i="4" a="1"/>
  <c r="BS30" i="3"/>
  <c r="Y94" i="2"/>
  <c r="BG29" i="3"/>
  <c r="Z68" i="2"/>
  <c r="EX7" i="4" a="1"/>
  <c r="AA67" i="2"/>
  <c r="BE37" i="3"/>
  <c r="Z65" i="2"/>
  <c r="Y96" i="2"/>
  <c r="BJ28" i="3"/>
  <c r="BB29" i="3"/>
  <c r="BB36" i="3"/>
  <c r="BJ21" i="3"/>
  <c r="BL8" i="3"/>
  <c r="Z70" i="2"/>
  <c r="AA13" i="2"/>
  <c r="BD38" i="3"/>
  <c r="BB40" i="3"/>
  <c r="FD16" i="4" a="1"/>
  <c r="Y54" i="2"/>
  <c r="FB11" i="4" a="1"/>
  <c r="BT33" i="3"/>
  <c r="Z53" i="2"/>
  <c r="EX11" i="4" a="1"/>
  <c r="BQ28" i="3"/>
  <c r="BO18" i="3"/>
  <c r="BP29" i="3"/>
  <c r="BJ36" i="3"/>
  <c r="Z89" i="2"/>
  <c r="Z49" i="2"/>
  <c r="Z57" i="2"/>
  <c r="BB12" i="3"/>
  <c r="AA23" i="2"/>
  <c r="BN38" i="3"/>
  <c r="BV37" i="3"/>
  <c r="BH31" i="3"/>
  <c r="BL27" i="3"/>
  <c r="BK31" i="3"/>
  <c r="BC27" i="3"/>
  <c r="BC14" i="3"/>
  <c r="Z98" i="2"/>
  <c r="BE39" i="3"/>
  <c r="BP32" i="3"/>
  <c r="BM21" i="3"/>
  <c r="BP8" i="3"/>
  <c r="AA14" i="2"/>
  <c r="Z44" i="2"/>
  <c r="Y109" i="2"/>
  <c r="BC36" i="3"/>
  <c r="BC40" i="3"/>
  <c r="FD8" i="4" a="1"/>
  <c r="Y27" i="2"/>
  <c r="BV40" i="3"/>
  <c r="BT16" i="3"/>
  <c r="BL21" i="3"/>
  <c r="BI38" i="3"/>
  <c r="BA19" i="3"/>
  <c r="BC7" i="3"/>
  <c r="Y84" i="2"/>
  <c r="Z24" i="2"/>
  <c r="BB34" i="3"/>
  <c r="FE7" i="4" a="1"/>
  <c r="EZ6" i="4" a="1"/>
  <c r="BF38" i="3"/>
  <c r="BV19" i="3"/>
  <c r="BK9" i="3"/>
  <c r="BN37" i="3"/>
  <c r="BL30" i="3"/>
  <c r="BD32" i="3"/>
  <c r="Y61" i="2"/>
  <c r="AA12" i="2"/>
  <c r="BC33" i="3"/>
  <c r="Y63" i="2"/>
  <c r="FF9" i="4" a="1"/>
  <c r="Y11" i="2"/>
  <c r="BO30" i="3"/>
  <c r="BI11" i="3"/>
  <c r="BF40" i="3"/>
  <c r="Y58" i="2"/>
  <c r="AA25" i="2"/>
  <c r="BR8" i="3"/>
  <c r="Z69" i="2"/>
  <c r="BI16" i="3"/>
  <c r="AA84" i="2"/>
  <c r="EY5" i="4" a="1"/>
  <c r="BM20" i="3"/>
  <c r="Z109" i="2"/>
  <c r="BD40" i="3"/>
  <c r="BQ22" i="3"/>
  <c r="AA105" i="2"/>
  <c r="BH37" i="3"/>
  <c r="BQ25" i="3"/>
  <c r="BP35" i="3"/>
  <c r="BC29" i="3"/>
  <c r="AA34" i="2"/>
  <c r="Z28" i="2"/>
  <c r="FC9" i="4" a="1"/>
  <c r="EZ13" i="4" a="1"/>
  <c r="FF16" i="4" a="1"/>
  <c r="EX12" i="4" a="1"/>
  <c r="BF31" i="3"/>
  <c r="AA82" i="2"/>
  <c r="EX9" i="4" a="1"/>
  <c r="BT6" i="3"/>
  <c r="BT27" i="3"/>
  <c r="BG18" i="3"/>
  <c r="BT19" i="3"/>
  <c r="Z9" i="2"/>
  <c r="Z95" i="2"/>
  <c r="Z10" i="2"/>
  <c r="Z32" i="2"/>
  <c r="FB5" i="4" a="1"/>
  <c r="BQ34" i="3"/>
  <c r="BS21" i="3"/>
  <c r="BK6" i="3"/>
  <c r="BJ6" i="3"/>
  <c r="AB39" i="3"/>
  <c r="Y42" i="2"/>
  <c r="BB18" i="3"/>
  <c r="Y74" i="2"/>
  <c r="BR16" i="3"/>
  <c r="BL46" i="3"/>
  <c r="BJ31" i="3"/>
  <c r="BF25" i="3"/>
  <c r="CL55" i="1" s="1"/>
  <c r="AA47" i="2"/>
  <c r="Z19" i="2"/>
  <c r="AA98" i="2"/>
  <c r="Y86" i="2"/>
  <c r="Z7" i="2"/>
  <c r="FF12" i="4" a="1"/>
  <c r="BQ40" i="3"/>
  <c r="BS24" i="3"/>
  <c r="BK8" i="3"/>
  <c r="BJ38" i="3"/>
  <c r="Y60" i="2"/>
  <c r="AA9" i="2"/>
  <c r="BD45" i="3"/>
  <c r="BA12" i="3"/>
  <c r="Z34" i="2"/>
  <c r="EX16" i="4" a="1"/>
  <c r="FA14" i="4" a="1"/>
  <c r="FD15" i="4" a="1"/>
  <c r="AA70" i="2"/>
  <c r="BV45" i="3"/>
  <c r="BT20" i="3"/>
  <c r="BL29" i="3"/>
  <c r="BE40" i="3"/>
  <c r="BA22" i="3"/>
  <c r="BA36" i="3"/>
  <c r="Y90" i="2"/>
  <c r="AA43" i="2"/>
  <c r="FF13" i="4" a="1"/>
  <c r="BH18" i="3"/>
  <c r="AA15" i="2"/>
  <c r="BH28" i="3"/>
  <c r="BG36" i="3"/>
  <c r="BE27" i="3"/>
  <c r="BG30" i="3"/>
  <c r="Y23" i="2"/>
  <c r="Z77" i="2"/>
  <c r="Z18" i="2"/>
  <c r="AA27" i="2"/>
  <c r="Y89" i="2"/>
  <c r="FD6" i="4" a="1"/>
  <c r="AA41" i="2"/>
  <c r="BB42" i="3"/>
  <c r="AA107" i="2"/>
  <c r="BH38" i="3"/>
  <c r="BI39" i="3"/>
  <c r="BK30" i="3"/>
  <c r="BG32" i="3"/>
  <c r="Z108" i="2"/>
  <c r="AA6" i="2"/>
  <c r="BA8" i="3"/>
  <c r="FC14" i="4" a="1"/>
  <c r="FF5" i="4" a="1"/>
  <c r="BR22" i="3"/>
  <c r="BE8" i="3"/>
  <c r="BC18" i="3"/>
  <c r="Z74" i="2"/>
  <c r="BA11" i="3"/>
  <c r="EZ15" i="4" a="1"/>
  <c r="BC5" i="3"/>
  <c r="BV22" i="3"/>
  <c r="BK11" i="3"/>
  <c r="BC37" i="3"/>
  <c r="Y107" i="2"/>
  <c r="AA31" i="2"/>
  <c r="BG12" i="3"/>
  <c r="Y34" i="2"/>
  <c r="FD13" i="4" a="1"/>
  <c r="BM61" i="3"/>
  <c r="BO63" i="3"/>
  <c r="BS97" i="3"/>
  <c r="BV76" i="3"/>
  <c r="BS94" i="3"/>
  <c r="BV85" i="3"/>
  <c r="BO90" i="3"/>
  <c r="BO56" i="3"/>
  <c r="BK59" i="3"/>
  <c r="FN6" i="4" a="1"/>
  <c r="FV5" i="4" a="1"/>
  <c r="FU5" i="4" a="1"/>
  <c r="GO9" i="4" a="1"/>
  <c r="GZ7" i="4" a="1"/>
  <c r="GD9" i="4" a="1"/>
  <c r="BM50" i="3"/>
  <c r="BM78" i="3"/>
  <c r="BB73" i="3"/>
  <c r="BL67" i="3"/>
  <c r="BS90" i="3"/>
  <c r="BU93" i="3"/>
  <c r="BV95" i="3"/>
  <c r="BS67" i="3"/>
  <c r="GQ7" i="4" a="1"/>
  <c r="FS8" i="4" a="1"/>
  <c r="FX7" i="4" a="1"/>
  <c r="GD6" i="4" a="1"/>
  <c r="FV6" i="4" a="1"/>
  <c r="GA6" i="4" a="1"/>
  <c r="GV11" i="4" a="1"/>
  <c r="FU12" i="4" a="1"/>
  <c r="FK12" i="4" a="1"/>
  <c r="GL16" i="4" a="1"/>
  <c r="GA15" i="4" a="1"/>
  <c r="BB62" i="3"/>
  <c r="BL78" i="3"/>
  <c r="BS48" i="3"/>
  <c r="BU73" i="3"/>
  <c r="BR79" i="3"/>
  <c r="FU7" i="4" a="1"/>
  <c r="GC6" i="4" a="1"/>
  <c r="GL5" i="4" a="1"/>
  <c r="GI5" i="4" a="1"/>
  <c r="GE5" i="4" a="1"/>
  <c r="FJ5" i="4" a="1"/>
  <c r="FG11" i="4" a="1"/>
  <c r="GI11" i="4" a="1"/>
  <c r="BM60" i="3"/>
  <c r="BM95" i="3"/>
  <c r="BB66" i="3"/>
  <c r="BU55" i="3"/>
  <c r="BO50" i="3"/>
  <c r="BS56" i="3"/>
  <c r="BR60" i="3"/>
  <c r="BV55" i="3"/>
  <c r="BM64" i="3"/>
  <c r="BM70" i="3"/>
  <c r="BB63" i="3"/>
  <c r="BL94" i="3"/>
  <c r="BS68" i="3"/>
  <c r="BU92" i="3"/>
  <c r="BV57" i="3"/>
  <c r="BS66" i="3"/>
  <c r="HH6" i="4" a="1"/>
  <c r="HA7" i="4" a="1"/>
  <c r="HB6" i="4" a="1"/>
  <c r="HE5" i="4" a="1"/>
  <c r="GZ5" i="4" a="1"/>
  <c r="HH5" i="4" a="1"/>
  <c r="BM86" i="3"/>
  <c r="BB72" i="3"/>
  <c r="BD78" i="3"/>
  <c r="BB86" i="3"/>
  <c r="BR70" i="3"/>
  <c r="BO68" i="3"/>
  <c r="BS93" i="3"/>
  <c r="BV61" i="3"/>
  <c r="BM54" i="3"/>
  <c r="FR11" i="4" a="1"/>
  <c r="FT8" i="4" a="1"/>
  <c r="GM6" i="4" a="1"/>
  <c r="FW9" i="4" a="1"/>
  <c r="FO9" i="4" a="1"/>
  <c r="GM9" i="4" a="1"/>
  <c r="GP12" i="4" a="1"/>
  <c r="FO13" i="4" a="1"/>
  <c r="GU14" i="4" a="1"/>
  <c r="HE7" i="4" a="1"/>
  <c r="GU9" i="4" a="1"/>
  <c r="BM82" i="3"/>
  <c r="BM80" i="3"/>
  <c r="BB68" i="3"/>
  <c r="BB76" i="3"/>
  <c r="BL48" i="3"/>
  <c r="BS59" i="3"/>
  <c r="BU95" i="3"/>
  <c r="BS74" i="3"/>
  <c r="GE9" i="4" a="1"/>
  <c r="GQ8" i="4" a="1"/>
  <c r="FQ8" i="4" a="1"/>
  <c r="GK7" i="4" a="1"/>
  <c r="FM7" i="4" a="1"/>
  <c r="GN7" i="4" a="1"/>
  <c r="HD11" i="4" a="1"/>
  <c r="GC12" i="4" a="1"/>
  <c r="BC47" i="3"/>
  <c r="BB92" i="3"/>
  <c r="BL66" i="3"/>
  <c r="BV83" i="3"/>
  <c r="BO87" i="3"/>
  <c r="BU67" i="3"/>
  <c r="BR90" i="3"/>
  <c r="BO85" i="3"/>
  <c r="BL84" i="3"/>
  <c r="BM71" i="3"/>
  <c r="BB67" i="3"/>
  <c r="BB54" i="3"/>
  <c r="BL61" i="3"/>
  <c r="BR62" i="3"/>
  <c r="BO66" i="3"/>
  <c r="BS96" i="3"/>
  <c r="BR88" i="3"/>
  <c r="BV58" i="3"/>
  <c r="BS58" i="3"/>
  <c r="BM47" i="3"/>
  <c r="HH9" i="4" a="1"/>
  <c r="GR7" i="4" a="1"/>
  <c r="GB9" i="4" a="1"/>
  <c r="HG7" i="4" a="1"/>
  <c r="GL7" i="4" a="1"/>
  <c r="FT9" i="4" a="1"/>
  <c r="BL63" i="3"/>
  <c r="BU68" i="3"/>
  <c r="BV71" i="3"/>
  <c r="BO58" i="3"/>
  <c r="BR47" i="3"/>
  <c r="BV69" i="3"/>
  <c r="FL5" i="4" a="1"/>
  <c r="FH14" i="4" a="1"/>
  <c r="GO12" i="4" a="1"/>
  <c r="GH11" i="4" a="1"/>
  <c r="GU6" i="4" a="1"/>
  <c r="GN9" i="4" a="1"/>
  <c r="FS9" i="4" a="1"/>
  <c r="GJ13" i="4" a="1"/>
  <c r="FI14" i="4" a="1"/>
  <c r="GR15" i="4" a="1"/>
  <c r="FV9" i="4" a="1"/>
  <c r="BM79" i="3"/>
  <c r="BB64" i="3"/>
  <c r="BD76" i="3"/>
  <c r="BR65" i="3"/>
  <c r="BO75" i="3"/>
  <c r="BS91" i="3"/>
  <c r="BM87" i="3"/>
  <c r="FW6" i="4" a="1"/>
  <c r="FM9" i="4" a="1"/>
  <c r="FP8" i="4" a="1"/>
  <c r="HC6" i="4" a="1"/>
  <c r="GG7" i="4" a="1"/>
  <c r="BM91" i="3"/>
  <c r="BM93" i="3"/>
  <c r="BB85" i="3"/>
  <c r="BL92" i="3"/>
  <c r="BU91" i="3"/>
  <c r="BV54" i="3"/>
  <c r="BS62" i="3"/>
  <c r="BU61" i="3"/>
  <c r="BV64" i="3"/>
  <c r="GC5" i="4" a="1"/>
  <c r="GQ13" i="4" a="1"/>
  <c r="FQ12" i="4" a="1"/>
  <c r="FH8" i="4" a="1"/>
  <c r="HD5" i="4" a="1"/>
  <c r="GY7" i="4" a="1"/>
  <c r="FS7" i="4" a="1"/>
  <c r="BB49" i="3"/>
  <c r="BD86" i="3"/>
  <c r="BL57" i="3"/>
  <c r="BU82" i="3"/>
  <c r="BR97" i="3"/>
  <c r="GL6" i="4" a="1"/>
  <c r="GH5" i="4" a="1"/>
  <c r="GG5" i="4" a="1"/>
  <c r="FI5" i="4" a="1"/>
  <c r="FI9" i="4" a="1"/>
  <c r="FK5" i="4" a="1"/>
  <c r="GW9" i="4" a="1"/>
  <c r="GA9" i="4" a="1"/>
  <c r="HE14" i="4" a="1"/>
  <c r="FN16" i="4" a="1"/>
  <c r="HH13" i="4" a="1"/>
  <c r="BL88" i="3"/>
  <c r="Z113" i="2"/>
  <c r="BL83" i="3"/>
  <c r="BV75" i="3"/>
  <c r="BR85" i="3"/>
  <c r="BV73" i="3"/>
  <c r="BL54" i="3"/>
  <c r="GB5" i="4" a="1"/>
  <c r="HA14" i="4" a="1"/>
  <c r="GI13" i="4" a="1"/>
  <c r="GB12" i="4" a="1"/>
  <c r="GM11" i="4" a="1"/>
  <c r="FY12" i="4" a="1"/>
  <c r="FL12" i="4" a="1"/>
  <c r="GR13" i="4" a="1"/>
  <c r="GX12" i="4" a="1"/>
  <c r="BB83" i="3"/>
  <c r="BD89" i="3"/>
  <c r="BS86" i="3"/>
  <c r="BM58" i="3"/>
  <c r="BB70" i="3"/>
  <c r="BM97" i="3"/>
  <c r="BL62" i="3"/>
  <c r="BU83" i="3"/>
  <c r="BU50" i="3"/>
  <c r="BB59" i="3"/>
  <c r="BM96" i="3"/>
  <c r="BL70" i="3"/>
  <c r="BU96" i="3"/>
  <c r="FY8" i="4" a="1"/>
  <c r="GX7" i="4" a="1"/>
  <c r="HA6" i="4" a="1"/>
  <c r="GT5" i="4" a="1"/>
  <c r="GJ5" i="4" a="1"/>
  <c r="BM77" i="3"/>
  <c r="BM49" i="3"/>
  <c r="BB90" i="3"/>
  <c r="BB80" i="3"/>
  <c r="BL56" i="3"/>
  <c r="BU74" i="3"/>
  <c r="BS78" i="3"/>
  <c r="BU88" i="3"/>
  <c r="BR56" i="3"/>
  <c r="BB69" i="3"/>
  <c r="BL80" i="3"/>
  <c r="BU89" i="3"/>
  <c r="GM5" i="4" a="1"/>
  <c r="GQ6" i="4" a="1"/>
  <c r="GO5" i="4" a="1"/>
  <c r="BU70" i="3"/>
  <c r="AA112" i="2"/>
  <c r="GX11" i="4" a="1"/>
  <c r="GM8" i="4" a="1"/>
  <c r="FX14" i="4" a="1"/>
  <c r="GO8" i="4" a="1"/>
  <c r="FI13" i="4" a="1"/>
  <c r="FL14" i="4" a="1"/>
  <c r="HB15" i="4" a="1"/>
  <c r="FM13" i="4" a="1"/>
  <c r="GI15" i="4" a="1"/>
  <c r="BC87" i="3"/>
  <c r="BB60" i="3"/>
  <c r="BS92" i="3"/>
  <c r="FG6" i="4" a="1"/>
  <c r="GS9" i="4" a="1"/>
  <c r="GF8" i="4" a="1"/>
  <c r="FR5" i="4" a="1"/>
  <c r="FJ12" i="4" a="1"/>
  <c r="FR13" i="4" a="1"/>
  <c r="GC15" i="4" a="1"/>
  <c r="GJ7" i="4" a="1"/>
  <c r="FR14" i="4" a="1"/>
  <c r="HC16" i="4" a="1"/>
  <c r="FY11" i="4" a="1"/>
  <c r="BD63" i="3"/>
  <c r="BM57" i="3"/>
  <c r="FP5" i="4" a="1"/>
  <c r="GP9" i="4" a="1"/>
  <c r="FI8" i="4" a="1"/>
  <c r="GZ6" i="4" a="1"/>
  <c r="FK11" i="4" a="1"/>
  <c r="FP12" i="4" a="1"/>
  <c r="GF13" i="4" a="1"/>
  <c r="HD16" i="4" a="1"/>
  <c r="GC9" i="4" a="1"/>
  <c r="BV63" i="3"/>
  <c r="FS6" i="4" a="1"/>
  <c r="FU14" i="4" a="1"/>
  <c r="GW8" i="4" a="1"/>
  <c r="GP11" i="4" a="1"/>
  <c r="FK9" i="4" a="1"/>
  <c r="GT8" i="4" a="1"/>
  <c r="GF16" i="4" a="1"/>
  <c r="FM11" i="4" a="1"/>
  <c r="FK16" i="4" a="1"/>
  <c r="FY13" i="4" a="1"/>
  <c r="BV59" i="3"/>
  <c r="BV97" i="3"/>
  <c r="HG6" i="4" a="1"/>
  <c r="GS14" i="4" a="1"/>
  <c r="GU5" i="4" a="1"/>
  <c r="GR12" i="4" a="1"/>
  <c r="GF12" i="4" a="1"/>
  <c r="GJ15" i="4" a="1"/>
  <c r="GQ9" i="4" a="1"/>
  <c r="GM14" i="4" a="1"/>
  <c r="GL8" i="4" a="1"/>
  <c r="GY11" i="4" a="1"/>
  <c r="FW16" i="4" a="1"/>
  <c r="FR15" i="4" a="1"/>
  <c r="GB7" i="4" a="1"/>
  <c r="FZ5" i="4" a="1"/>
  <c r="HB7" i="4" a="1"/>
  <c r="GB13" i="4" a="1"/>
  <c r="GG14" i="4" a="1"/>
  <c r="FJ16" i="4" a="1"/>
  <c r="GA14" i="4" a="1"/>
  <c r="GS15" i="4" a="1"/>
  <c r="GY9" i="4" a="1"/>
  <c r="HA15" i="4" a="1"/>
  <c r="BB65" i="3"/>
  <c r="BL93" i="3"/>
  <c r="BO82" i="3"/>
  <c r="BM89" i="3"/>
  <c r="HF7" i="4" a="1"/>
  <c r="FX9" i="4" a="1"/>
  <c r="GS8" i="4" a="1"/>
  <c r="GT13" i="4" a="1"/>
  <c r="GA11" i="4" a="1"/>
  <c r="GN12" i="4" a="1"/>
  <c r="FZ14" i="4" a="1"/>
  <c r="FS12" i="4" a="1"/>
  <c r="HC14" i="4" a="1"/>
  <c r="FP7" i="4" a="1"/>
  <c r="BB97" i="3"/>
  <c r="BL76" i="3"/>
  <c r="BT49" i="3"/>
  <c r="BM62" i="3"/>
  <c r="BG95" i="3"/>
  <c r="BL58" i="3"/>
  <c r="BE87" i="3"/>
  <c r="BV56" i="3"/>
  <c r="BU49" i="3"/>
  <c r="BL95" i="3"/>
  <c r="BM56" i="3"/>
  <c r="BM74" i="3"/>
  <c r="BB48" i="3"/>
  <c r="BB91" i="3"/>
  <c r="BL75" i="3"/>
  <c r="BI76" i="3"/>
  <c r="BS95" i="3"/>
  <c r="BU65" i="3"/>
  <c r="BV68" i="3"/>
  <c r="BM65" i="3"/>
  <c r="BM68" i="3"/>
  <c r="BB88" i="3"/>
  <c r="BB61" i="3"/>
  <c r="BL65" i="3"/>
  <c r="BI67" i="3"/>
  <c r="BU78" i="3"/>
  <c r="BU84" i="3"/>
  <c r="BV91" i="3"/>
  <c r="BT86" i="3"/>
  <c r="BS81" i="3"/>
  <c r="BI87" i="3"/>
  <c r="HH7" i="4" a="1"/>
  <c r="FY6" i="4" a="1"/>
  <c r="GY8" i="4" a="1"/>
  <c r="GG8" i="4" a="1"/>
  <c r="FW8" i="4" a="1"/>
  <c r="BG70" i="3"/>
  <c r="BM76" i="3"/>
  <c r="BG72" i="3"/>
  <c r="BU47" i="3"/>
  <c r="BE78" i="3"/>
  <c r="BV94" i="3"/>
  <c r="BG47" i="3"/>
  <c r="BM55" i="3"/>
  <c r="FK15" i="4" a="1"/>
  <c r="BG86" i="3"/>
  <c r="BM48" i="3"/>
  <c r="BB87" i="3"/>
  <c r="BD70" i="3"/>
  <c r="BB82" i="3"/>
  <c r="BL87" i="3"/>
  <c r="BU75" i="3"/>
  <c r="BS47" i="3"/>
  <c r="BU64" i="3"/>
  <c r="BV84" i="3"/>
  <c r="BT60" i="3"/>
  <c r="BS49" i="3"/>
  <c r="BI50" i="3"/>
  <c r="FR9" i="4" a="1"/>
  <c r="FL9" i="4" a="1"/>
  <c r="GB6" i="4" a="1"/>
  <c r="BB57" i="3"/>
  <c r="BU76" i="3"/>
  <c r="BV80" i="3"/>
  <c r="HD6" i="4" a="1"/>
  <c r="HF11" i="4" a="1"/>
  <c r="GF7" i="4" a="1"/>
  <c r="FT11" i="4" a="1"/>
  <c r="GI7" i="4" a="1"/>
  <c r="FO6" i="4" a="1"/>
  <c r="FZ16" i="4" a="1"/>
  <c r="FT15" i="4" a="1"/>
  <c r="HG15" i="4" a="1"/>
  <c r="BD95" i="3"/>
  <c r="GT16" i="4" a="1"/>
  <c r="BD83" i="3"/>
  <c r="FT12" i="4" a="1"/>
  <c r="GX5" i="4" a="1"/>
  <c r="GV14" i="4" a="1"/>
  <c r="HA8" i="4" a="1"/>
  <c r="FL13" i="4" a="1"/>
  <c r="FQ14" i="4" a="1"/>
  <c r="HD15" i="4" a="1"/>
  <c r="FX13" i="4" a="1"/>
  <c r="GK15" i="4" a="1"/>
  <c r="FW14" i="4" a="1"/>
  <c r="BG64" i="3"/>
  <c r="BE84" i="3"/>
  <c r="BS69" i="3"/>
  <c r="FG9" i="4" a="1"/>
  <c r="FG5" i="4" a="1"/>
  <c r="FZ9" i="4" a="1"/>
  <c r="GD5" i="4" a="1"/>
  <c r="FO12" i="4" a="1"/>
  <c r="FW13" i="4" a="1"/>
  <c r="GF15" i="4" a="1"/>
  <c r="FV8" i="4" a="1"/>
  <c r="FU15" i="4" a="1"/>
  <c r="BO94" i="3"/>
  <c r="BT62" i="3"/>
  <c r="BM69" i="3"/>
  <c r="GQ5" i="4" a="1"/>
  <c r="HB9" i="4" a="1"/>
  <c r="FH7" i="4" a="1"/>
  <c r="HC11" i="4" a="1"/>
  <c r="FO11" i="4" a="1"/>
  <c r="FX12" i="4" a="1"/>
  <c r="HA13" i="4" a="1"/>
  <c r="HF16" i="4" a="1"/>
  <c r="GW11" i="4" a="1"/>
  <c r="GI16" i="4" a="1"/>
  <c r="GE13" i="4" a="1"/>
  <c r="BL77" i="3"/>
  <c r="BO62" i="3"/>
  <c r="BT97" i="3"/>
  <c r="BM85" i="3"/>
  <c r="HG5" i="4" a="1"/>
  <c r="GB11" i="4" a="1"/>
  <c r="HD7" i="4" a="1"/>
  <c r="GZ12" i="4" a="1"/>
  <c r="FS11" i="4" a="1"/>
  <c r="GB14" i="4" a="1"/>
  <c r="FH16" i="4" a="1"/>
  <c r="FV14" i="4" a="1"/>
  <c r="GQ15" i="4" a="1"/>
  <c r="BC70" i="3"/>
  <c r="BL82" i="3"/>
  <c r="FZ11" i="4" a="1"/>
  <c r="GR11" i="4" a="1"/>
  <c r="BG96" i="3"/>
  <c r="BL85" i="3"/>
  <c r="GC7" i="4" a="1"/>
  <c r="FI7" i="4" a="1"/>
  <c r="FT6" i="4" a="1"/>
  <c r="FN13" i="4" a="1"/>
  <c r="GF9" i="4" a="1"/>
  <c r="GL9" i="4" a="1"/>
  <c r="GJ16" i="4" a="1"/>
  <c r="GC13" i="4" a="1"/>
  <c r="FO16" i="4" a="1"/>
  <c r="GL12" i="4" a="1"/>
  <c r="BB74" i="3"/>
  <c r="BE88" i="3"/>
  <c r="BU71" i="3"/>
  <c r="GZ8" i="4" a="1"/>
  <c r="FW7" i="4" a="1"/>
  <c r="FX11" i="4" a="1"/>
  <c r="FR7" i="4" a="1"/>
  <c r="GE12" i="4" a="1"/>
  <c r="GM13" i="4" a="1"/>
  <c r="GN15" i="4" a="1"/>
  <c r="FU11" i="4" a="1"/>
  <c r="GO16" i="4" a="1"/>
  <c r="BD97" i="3"/>
  <c r="BE56" i="3"/>
  <c r="GN11" i="4" a="1"/>
  <c r="BE90" i="3"/>
  <c r="BI82" i="3"/>
  <c r="BU80" i="3"/>
  <c r="GH9" i="4" a="1"/>
  <c r="GU7" i="4" a="1"/>
  <c r="Z111" i="2"/>
  <c r="BM81" i="3"/>
  <c r="BI72" i="3"/>
  <c r="BL60" i="3"/>
  <c r="BI62" i="3"/>
  <c r="BT50" i="3"/>
  <c r="BU86" i="3"/>
  <c r="BT96" i="3"/>
  <c r="BE59" i="3"/>
  <c r="BM90" i="3"/>
  <c r="BG74" i="3"/>
  <c r="BE86" i="3"/>
  <c r="BS82" i="3"/>
  <c r="BV86" i="3"/>
  <c r="BM94" i="3"/>
  <c r="BG58" i="3"/>
  <c r="BE95" i="3"/>
  <c r="BO81" i="3"/>
  <c r="BR55" i="3"/>
  <c r="BG48" i="3"/>
  <c r="BM63" i="3"/>
  <c r="GI9" i="4" a="1"/>
  <c r="FL11" i="4" a="1"/>
  <c r="GK9" i="4" a="1"/>
  <c r="HD8" i="4" a="1"/>
  <c r="FU9" i="4" a="1"/>
  <c r="BG89" i="3"/>
  <c r="BB79" i="3"/>
  <c r="BI49" i="3"/>
  <c r="BL71" i="3"/>
  <c r="BE48" i="3"/>
  <c r="BV65" i="3"/>
  <c r="BO77" i="3"/>
  <c r="BU60" i="3"/>
  <c r="BR77" i="3"/>
  <c r="BT63" i="3"/>
  <c r="BO48" i="3"/>
  <c r="BE49" i="3"/>
  <c r="FJ7" i="4" a="1"/>
  <c r="BG55" i="3"/>
  <c r="BG94" i="3"/>
  <c r="BU48" i="3"/>
  <c r="BE72" i="3"/>
  <c r="BO89" i="3"/>
  <c r="BS61" i="3"/>
  <c r="BG84" i="3"/>
  <c r="GE15" i="4" a="1"/>
  <c r="GJ12" i="4" a="1"/>
  <c r="GD7" i="4" a="1"/>
  <c r="FV11" i="4" a="1"/>
  <c r="BM59" i="3"/>
  <c r="BO59" i="3"/>
  <c r="BT82" i="3"/>
  <c r="BI75" i="3"/>
  <c r="FM5" i="4" a="1"/>
  <c r="GX6" i="4" a="1"/>
  <c r="FO7" i="4" a="1"/>
  <c r="FN11" i="4" a="1"/>
  <c r="FN9" i="4" a="1"/>
  <c r="FH12" i="4" a="1"/>
  <c r="HB12" i="4" a="1"/>
  <c r="GZ16" i="4" a="1"/>
  <c r="HH8" i="4" a="1"/>
  <c r="GC16" i="4" a="1"/>
  <c r="BC69" i="3"/>
  <c r="FI16" i="4" a="1"/>
  <c r="BC89" i="3"/>
  <c r="BV74" i="3"/>
  <c r="BG68" i="3"/>
  <c r="GE7" i="4" a="1"/>
  <c r="GW12" i="4" a="1"/>
  <c r="FG8" i="4" a="1"/>
  <c r="GD11" i="4" a="1"/>
  <c r="GT7" i="4" a="1"/>
  <c r="FY7" i="4" a="1"/>
  <c r="GB16" i="4" a="1"/>
  <c r="FX15" i="4" a="1"/>
  <c r="FG16" i="4" a="1"/>
  <c r="BD90" i="3"/>
  <c r="GM15" i="4" a="1"/>
  <c r="BR64" i="3"/>
  <c r="BO47" i="3"/>
  <c r="HE12" i="4" a="1"/>
  <c r="FQ6" i="4" a="1"/>
  <c r="FZ15" i="4" a="1"/>
  <c r="HF5" i="4" a="1"/>
  <c r="FQ13" i="4" a="1"/>
  <c r="FT14" i="4" a="1"/>
  <c r="HF15" i="4" a="1"/>
  <c r="GS13" i="4" a="1"/>
  <c r="BG77" i="3"/>
  <c r="BE80" i="3"/>
  <c r="BS57" i="3"/>
  <c r="GH6" i="4" a="1"/>
  <c r="FX5" i="4" a="1"/>
  <c r="GT9" i="4" a="1"/>
  <c r="GY5" i="4" a="1"/>
  <c r="FR12" i="4" a="1"/>
  <c r="FZ13" i="4" a="1"/>
  <c r="GH15" i="4" a="1"/>
  <c r="HB8" i="4" a="1"/>
  <c r="GH14" i="4" a="1"/>
  <c r="HG16" i="4" a="1"/>
  <c r="BD74" i="3"/>
  <c r="BG60" i="3"/>
  <c r="BE76" i="3"/>
  <c r="FQ7" i="4" a="1"/>
  <c r="FH6" i="4" a="1"/>
  <c r="HF9" i="4" a="1"/>
  <c r="FU6" i="4" a="1"/>
  <c r="FW12" i="4" a="1"/>
  <c r="FQ9" i="4" a="1"/>
  <c r="GH16" i="4" a="1"/>
  <c r="GD12" i="4" a="1"/>
  <c r="FM16" i="4" a="1"/>
  <c r="BD87" i="3"/>
  <c r="BT64" i="3"/>
  <c r="FJ15" i="4" a="1"/>
  <c r="GD14" i="4" a="1"/>
  <c r="BU58" i="3"/>
  <c r="BB50" i="3"/>
  <c r="BL47" i="3"/>
  <c r="BO74" i="3"/>
  <c r="BM83" i="3"/>
  <c r="GN6" i="4" a="1"/>
  <c r="GJ6" i="4" a="1"/>
  <c r="FU8" i="4" a="1"/>
  <c r="FV13" i="4" a="1"/>
  <c r="FW11" i="4" a="1"/>
  <c r="GK12" i="4" a="1"/>
  <c r="FO14" i="4" a="1"/>
  <c r="GO11" i="4" a="1"/>
  <c r="GA12" i="4" a="1"/>
  <c r="GM16" i="4" a="1"/>
  <c r="GU15" i="4" a="1"/>
  <c r="GX13" i="4" a="1"/>
  <c r="BI73" i="3"/>
  <c r="BR96" i="3"/>
  <c r="BO78" i="3"/>
  <c r="FT7" i="4" a="1"/>
  <c r="GN8" i="4" a="1"/>
  <c r="FM6" i="4" a="1"/>
  <c r="FL7" i="4" a="1"/>
  <c r="GG13" i="4" a="1"/>
  <c r="GJ14" i="4" a="1"/>
  <c r="FL16" i="4" a="1"/>
  <c r="GL14" i="4" a="1"/>
  <c r="BC48" i="3"/>
  <c r="GI6" i="4" a="1"/>
  <c r="HA12" i="4" a="1"/>
  <c r="BI95" i="3"/>
  <c r="BO96" i="3"/>
  <c r="FY9" i="4" a="1"/>
  <c r="FJ9" i="4" a="1"/>
  <c r="GK6" i="4" a="1"/>
  <c r="GJ8" i="4" a="1"/>
  <c r="GO13" i="4" a="1"/>
  <c r="GO14" i="4" a="1"/>
  <c r="FP16" i="4" a="1"/>
  <c r="GQ14" i="4" a="1"/>
  <c r="GW15" i="4" a="1"/>
  <c r="BT84" i="3"/>
  <c r="GW14" i="4" a="1"/>
  <c r="FK8" i="4" a="1"/>
  <c r="BL86" i="3"/>
  <c r="BB58" i="3"/>
  <c r="BP97" i="3"/>
  <c r="BB81" i="3"/>
  <c r="BH83" i="3"/>
  <c r="BL91" i="3"/>
  <c r="BI85" i="3"/>
  <c r="BQ96" i="3"/>
  <c r="BS65" i="3"/>
  <c r="BU97" i="3"/>
  <c r="BV93" i="3"/>
  <c r="BT83" i="3"/>
  <c r="BS76" i="3"/>
  <c r="BI77" i="3"/>
  <c r="BA90" i="3"/>
  <c r="BL90" i="3"/>
  <c r="BG71" i="3"/>
  <c r="BB84" i="3"/>
  <c r="BG57" i="3"/>
  <c r="BP49" i="3"/>
  <c r="BA57" i="3"/>
  <c r="BL55" i="3"/>
  <c r="BE57" i="3"/>
  <c r="BQ86" i="3"/>
  <c r="BV77" i="3"/>
  <c r="BO70" i="3"/>
  <c r="BU56" i="3"/>
  <c r="BR84" i="3"/>
  <c r="BV48" i="3"/>
  <c r="BA59" i="3"/>
  <c r="BL97" i="3"/>
  <c r="BG67" i="3"/>
  <c r="BB96" i="3"/>
  <c r="BH77" i="3"/>
  <c r="BP68" i="3"/>
  <c r="BA88" i="3"/>
  <c r="BL49" i="3"/>
  <c r="BE71" i="3"/>
  <c r="BQ84" i="3"/>
  <c r="BV49" i="3"/>
  <c r="BO72" i="3"/>
  <c r="BU57" i="3"/>
  <c r="BT71" i="3"/>
  <c r="BL73" i="3"/>
  <c r="FX6" i="4" a="1"/>
  <c r="GH8" i="4" a="1"/>
  <c r="HD14" i="4" a="1"/>
  <c r="GY13" i="4" a="1"/>
  <c r="HH12" i="4" a="1"/>
  <c r="BH61" i="3"/>
  <c r="BA84" i="3"/>
  <c r="BE74" i="3"/>
  <c r="BB56" i="3"/>
  <c r="BM92" i="3"/>
  <c r="BI86" i="3"/>
  <c r="BQ54" i="3"/>
  <c r="BL74" i="3"/>
  <c r="BI94" i="3"/>
  <c r="BQ80" i="3"/>
  <c r="BT75" i="3"/>
  <c r="BS84" i="3"/>
  <c r="BU85" i="3"/>
  <c r="BV62" i="3"/>
  <c r="BT47" i="3"/>
  <c r="BO91" i="3"/>
  <c r="BE77" i="3"/>
  <c r="GU8" i="4" a="1"/>
  <c r="BA70" i="3"/>
  <c r="BG83" i="3"/>
  <c r="BB55" i="3"/>
  <c r="BH64" i="3"/>
  <c r="BI69" i="3"/>
  <c r="BL64" i="3"/>
  <c r="BE70" i="3"/>
  <c r="BQ72" i="3"/>
  <c r="BV81" i="3"/>
  <c r="BO79" i="3"/>
  <c r="BU62" i="3"/>
  <c r="BT58" i="3"/>
  <c r="BO69" i="3"/>
  <c r="BE47" i="3"/>
  <c r="GH7" i="4" a="1"/>
  <c r="FO5" i="4" a="1"/>
  <c r="GX8" i="4" a="1"/>
  <c r="FO15" i="4" a="1"/>
  <c r="BB78" i="3"/>
  <c r="BL79" i="3"/>
  <c r="BS77" i="3"/>
  <c r="FI6" i="4" a="1"/>
  <c r="GO7" i="4" a="1"/>
  <c r="GW7" i="4" a="1"/>
  <c r="FW5" i="4" a="1"/>
  <c r="FG12" i="4" a="1"/>
  <c r="FJ13" i="4" a="1"/>
  <c r="FS15" i="4" a="1"/>
  <c r="GP6" i="4" a="1"/>
  <c r="FG14" i="4" a="1"/>
  <c r="HA16" i="4" a="1"/>
  <c r="BD84" i="3"/>
  <c r="HE16" i="4" a="1"/>
  <c r="BD80" i="3"/>
  <c r="BA65" i="3"/>
  <c r="BM67" i="3"/>
  <c r="BH85" i="3"/>
  <c r="BO71" i="3"/>
  <c r="BT85" i="3"/>
  <c r="BI60" i="3"/>
  <c r="FS5" i="4" a="1"/>
  <c r="GR8" i="4" a="1"/>
  <c r="GP7" i="4" a="1"/>
  <c r="GF11" i="4" a="1"/>
  <c r="HE9" i="4" a="1"/>
  <c r="FM12" i="4" a="1"/>
  <c r="FU13" i="4" a="1"/>
  <c r="HB16" i="4" a="1"/>
  <c r="FI11" i="4" a="1"/>
  <c r="GE16" i="4" a="1"/>
  <c r="GD15" i="4" a="1"/>
  <c r="BC78" i="3"/>
  <c r="BP89" i="3"/>
  <c r="BA66" i="3"/>
  <c r="BV92" i="3"/>
  <c r="BG62" i="3"/>
  <c r="GW5" i="4" a="1"/>
  <c r="FS13" i="4" a="1"/>
  <c r="GI8" i="4" a="1"/>
  <c r="GO6" i="4" a="1"/>
  <c r="FM8" i="4" a="1"/>
  <c r="FN8" i="4" a="1"/>
  <c r="GD16" i="4" a="1"/>
  <c r="BA55" i="3"/>
  <c r="BH70" i="3"/>
  <c r="BU54" i="3"/>
  <c r="BR59" i="3"/>
  <c r="BO54" i="3"/>
  <c r="GA13" i="4" a="1"/>
  <c r="FV7" i="4" a="1"/>
  <c r="FQ5" i="4" a="1"/>
  <c r="GN5" i="4" a="1"/>
  <c r="FT13" i="4" a="1"/>
  <c r="FY14" i="4" a="1"/>
  <c r="HH15" i="4" a="1"/>
  <c r="FK14" i="4" a="1"/>
  <c r="GO15" i="4" a="1"/>
  <c r="BD96" i="3"/>
  <c r="BL72" i="3"/>
  <c r="BU79" i="3"/>
  <c r="BQ68" i="3"/>
  <c r="BR95" i="3"/>
  <c r="BO60" i="3"/>
  <c r="GF14" i="4" a="1"/>
  <c r="HF8" i="4" a="1"/>
  <c r="FN5" i="4" a="1"/>
  <c r="GW6" i="4" a="1"/>
  <c r="FP9" i="4" a="1"/>
  <c r="FJ14" i="4" a="1"/>
  <c r="HH16" i="4" a="1"/>
  <c r="HH11" i="4" a="1"/>
  <c r="GK16" i="4" a="1"/>
  <c r="BS79" i="3"/>
  <c r="FG15" i="4" a="1"/>
  <c r="FN12" i="4" a="1"/>
  <c r="BA96" i="3"/>
  <c r="BH55" i="3"/>
  <c r="BE61" i="3"/>
  <c r="BU59" i="3"/>
  <c r="GB8" i="4" a="1"/>
  <c r="GF6" i="4" a="1"/>
  <c r="FP11" i="4" a="1"/>
  <c r="GS6" i="4" a="1"/>
  <c r="FZ12" i="4" a="1"/>
  <c r="GH13" i="4" a="1"/>
  <c r="GL15" i="4" a="1"/>
  <c r="HG9" i="4" a="1"/>
  <c r="GX14" i="4" a="1"/>
  <c r="GG9" i="4" a="1"/>
  <c r="BD59" i="3"/>
  <c r="FQ16" i="4" a="1"/>
  <c r="GZ11" i="4" a="1"/>
  <c r="HG14" i="4" a="1"/>
  <c r="BG65" i="3"/>
  <c r="BV60" i="3"/>
  <c r="BT68" i="3"/>
  <c r="BL50" i="3"/>
  <c r="GE8" i="4" a="1"/>
  <c r="GP8" i="4" a="1"/>
  <c r="GR6" i="4" a="1"/>
  <c r="GL13" i="4" a="1"/>
  <c r="GL11" i="4" a="1"/>
  <c r="HC9" i="4" a="1"/>
  <c r="GN16" i="4" a="1"/>
  <c r="HE13" i="4" a="1"/>
  <c r="BD77" i="3"/>
  <c r="FZ7" i="4" a="1"/>
  <c r="HF14" i="4" a="1"/>
  <c r="BG81" i="3"/>
  <c r="BT69" i="3"/>
  <c r="BT59" i="3"/>
  <c r="BE79" i="3"/>
  <c r="HC8" i="4" a="1"/>
  <c r="FY5" i="4" a="1"/>
  <c r="FJ6" i="4" a="1"/>
  <c r="FM14" i="4" a="1"/>
  <c r="GQ11" i="4" a="1"/>
  <c r="FQ11" i="4" a="1"/>
  <c r="GP16" i="4" a="1"/>
  <c r="GI14" i="4" a="1"/>
  <c r="FS16" i="4" a="1"/>
  <c r="BC59" i="3"/>
  <c r="BU90" i="3"/>
  <c r="GG6" i="4" a="1"/>
  <c r="FT16" i="4" a="1"/>
  <c r="BE85" i="3"/>
  <c r="BB71" i="3"/>
  <c r="BL96" i="3"/>
  <c r="BS83" i="3"/>
  <c r="GY6" i="4" a="1"/>
  <c r="BO95" i="3"/>
  <c r="GU11" i="4" a="1"/>
  <c r="GM7" i="4" a="1"/>
  <c r="GP13" i="4" a="1"/>
  <c r="GJ11" i="4" a="1"/>
  <c r="GC11" i="4" a="1"/>
  <c r="BE67" i="3"/>
  <c r="GU16" i="4" a="1"/>
  <c r="BE82" i="3"/>
  <c r="BI90" i="3"/>
  <c r="BR67" i="3"/>
  <c r="BE91" i="3"/>
  <c r="GX9" i="4" a="1"/>
  <c r="FK6" i="4" a="1"/>
  <c r="FI12" i="4" a="1"/>
  <c r="FL8" i="4" a="1"/>
  <c r="GM12" i="4" a="1"/>
  <c r="GU13" i="4" a="1"/>
  <c r="GT15" i="4" a="1"/>
  <c r="HE11" i="4" a="1"/>
  <c r="FQ15" i="4" a="1"/>
  <c r="BQ77" i="3"/>
  <c r="BP93" i="3"/>
  <c r="BI59" i="3"/>
  <c r="BU94" i="3"/>
  <c r="FZ6" i="4" a="1"/>
  <c r="GV7" i="4" a="1"/>
  <c r="GD13" i="4" a="1"/>
  <c r="FJ8" i="4" a="1"/>
  <c r="HC12" i="4" a="1"/>
  <c r="HC13" i="4" a="1"/>
  <c r="GX15" i="4" a="1"/>
  <c r="GI12" i="4" a="1"/>
  <c r="GB15" i="4" a="1"/>
  <c r="GN13" i="4" a="1"/>
  <c r="BD91" i="3"/>
  <c r="BQ82" i="3"/>
  <c r="GS7" i="4" a="1"/>
  <c r="GZ13" i="4" a="1"/>
  <c r="BM84" i="3"/>
  <c r="BH60" i="3"/>
  <c r="BO97" i="3"/>
  <c r="BT55" i="3"/>
  <c r="BI63" i="3"/>
  <c r="GT14" i="4" a="1"/>
  <c r="GJ9" i="4" a="1"/>
  <c r="GV6" i="4" a="1"/>
  <c r="HD9" i="4" a="1"/>
  <c r="FR8" i="4" a="1"/>
  <c r="HG11" i="4" a="1"/>
  <c r="GQ12" i="4" a="1"/>
  <c r="GX16" i="4" a="1"/>
  <c r="GD8" i="4" a="1"/>
  <c r="GA16" i="4" a="1"/>
  <c r="BC79" i="3"/>
  <c r="GG16" i="4" a="1"/>
  <c r="BC66" i="3"/>
  <c r="BP85" i="3"/>
  <c r="FR6" i="4" a="1"/>
  <c r="BS87" i="3"/>
  <c r="BD68" i="3"/>
  <c r="GV15" i="4" a="1"/>
  <c r="BB94" i="3"/>
  <c r="HA5" i="4" a="1"/>
  <c r="FP15" i="4" a="1"/>
  <c r="FV15" i="4" a="1"/>
  <c r="BC96" i="3"/>
  <c r="FY15" i="4" a="1"/>
  <c r="BU81" i="3"/>
  <c r="HE8" i="4" a="1"/>
  <c r="HF12" i="4" a="1"/>
  <c r="GT12" i="4" a="1"/>
  <c r="BD57" i="3"/>
  <c r="HG13" i="4" a="1"/>
  <c r="GP5" i="4" a="1"/>
  <c r="GE11" i="4" a="1"/>
  <c r="GE14" i="4" a="1"/>
  <c r="HG12" i="4" a="1"/>
  <c r="BC97" i="3"/>
  <c r="GG12" i="4" a="1"/>
  <c r="BD69" i="3"/>
  <c r="BM88" i="3"/>
  <c r="BQ71" i="3"/>
  <c r="BT77" i="3"/>
  <c r="HA9" i="4" a="1"/>
  <c r="GZ9" i="4" a="1"/>
  <c r="FG7" i="4" a="1"/>
  <c r="HG8" i="4" a="1"/>
  <c r="GW13" i="4" a="1"/>
  <c r="GR14" i="4" a="1"/>
  <c r="FR16" i="4" a="1"/>
  <c r="HB14" i="4" a="1"/>
  <c r="GY15" i="4" a="1"/>
  <c r="BM66" i="3"/>
  <c r="BI78" i="3"/>
  <c r="BQ78" i="3"/>
  <c r="BV72" i="3"/>
  <c r="FH5" i="4" a="1"/>
  <c r="HC7" i="4" a="1"/>
  <c r="FV16" i="4" a="1"/>
  <c r="HC15" i="4" a="1"/>
  <c r="BS73" i="3"/>
  <c r="BG66" i="3"/>
  <c r="BS55" i="3"/>
  <c r="FW15" i="4" a="1"/>
  <c r="FG13" i="4" a="1"/>
  <c r="GY16" i="4" a="1"/>
  <c r="GF5" i="4" a="1"/>
  <c r="GC8" i="4" a="1"/>
  <c r="FS14" i="4" a="1"/>
  <c r="FH9" i="4" a="1"/>
  <c r="GH12" i="4" a="1"/>
  <c r="GP15" i="4" a="1"/>
  <c r="FN15" i="4" a="1"/>
  <c r="BQ57" i="3"/>
  <c r="GU12" i="4" a="1"/>
  <c r="BA71" i="3"/>
  <c r="BI92" i="3"/>
  <c r="BT92" i="3"/>
  <c r="BP74" i="3"/>
  <c r="HC5" i="4" a="1"/>
  <c r="FT5" i="4" a="1"/>
  <c r="FX8" i="4" a="1"/>
  <c r="GK14" i="4" a="1"/>
  <c r="GT11" i="4" a="1"/>
  <c r="GG11" i="4" a="1"/>
  <c r="GR16" i="4" a="1"/>
  <c r="FH15" i="4" a="1"/>
  <c r="FU16" i="4" a="1"/>
  <c r="BM72" i="3"/>
  <c r="BH65" i="3"/>
  <c r="BT57" i="3"/>
  <c r="BE73" i="3"/>
  <c r="GA7" i="4" a="1"/>
  <c r="FP6" i="4" a="1"/>
  <c r="GR9" i="4" a="1"/>
  <c r="GV5" i="4" a="1"/>
  <c r="HB11" i="4" a="1"/>
  <c r="FV12" i="4" a="1"/>
  <c r="GV16" i="4" a="1"/>
  <c r="HF6" i="4" a="1"/>
  <c r="FY16" i="4" a="1"/>
  <c r="BC86" i="3"/>
  <c r="Z112" i="2"/>
  <c r="BV79" i="3"/>
  <c r="BD82" i="3"/>
  <c r="HB13" i="4" a="1"/>
  <c r="HF13" i="4" a="1"/>
  <c r="GR5" i="4" a="1"/>
  <c r="FP14" i="4" a="1"/>
  <c r="GS12" i="4" a="1"/>
  <c r="FH13" i="4" a="1"/>
  <c r="GQ16" i="4" a="1"/>
  <c r="GK13" i="4" a="1"/>
  <c r="BU63" i="3"/>
  <c r="BQ50" i="3"/>
  <c r="BU77" i="3"/>
  <c r="BS70" i="3"/>
  <c r="FK13" i="4" a="1"/>
  <c r="FL6" i="4" a="1"/>
  <c r="GN14" i="4" a="1"/>
  <c r="GK11" i="4" a="1"/>
  <c r="GV12" i="4" a="1"/>
  <c r="GP14" i="4" a="1"/>
  <c r="FN14" i="4" a="1"/>
  <c r="FP13" i="4" a="1"/>
  <c r="GS16" i="4" a="1"/>
  <c r="BB47" i="3"/>
  <c r="BL89" i="3"/>
  <c r="BS75" i="3"/>
  <c r="FO8" i="4" a="1"/>
  <c r="GC14" i="4" a="1"/>
  <c r="FK7" i="4" a="1"/>
  <c r="GE6" i="4" a="1"/>
  <c r="GS11" i="4" a="1"/>
  <c r="HD12" i="4" a="1"/>
  <c r="FL15" i="4" a="1"/>
  <c r="GY14" i="4" a="1"/>
  <c r="GV13" i="4" a="1"/>
  <c r="GW16" i="4" a="1"/>
  <c r="BD47" i="3"/>
  <c r="BI97" i="3"/>
  <c r="GV8" i="4" a="1"/>
  <c r="GY12" i="4" a="1"/>
  <c r="BM73" i="3"/>
  <c r="BB77" i="3"/>
  <c r="BU72" i="3"/>
  <c r="BV90" i="3"/>
  <c r="BS54" i="3"/>
  <c r="HB5" i="4" a="1"/>
  <c r="GK5" i="4" a="1"/>
  <c r="GT6" i="4" a="1"/>
  <c r="FH11" i="4" a="1"/>
  <c r="FN7" i="4" a="1"/>
  <c r="HH14" i="4" a="1"/>
  <c r="FX16" i="4" a="1"/>
  <c r="FM15" i="4" a="1"/>
  <c r="HE15" i="4" a="1"/>
  <c r="BC64" i="3"/>
  <c r="BC81" i="3"/>
  <c r="BI57" i="3"/>
  <c r="FJ11" i="4" a="1"/>
  <c r="GS5" i="4" a="1"/>
  <c r="GV9" i="4" a="1"/>
  <c r="HE6" i="4" a="1"/>
  <c r="GZ14" i="4" a="1"/>
  <c r="FI15" i="4" a="1"/>
  <c r="GA5" i="4" a="1"/>
  <c r="BL59" i="3"/>
  <c r="GK8" i="4" a="1"/>
  <c r="FZ8" i="4" a="1"/>
  <c r="HA11" i="4" a="1"/>
  <c r="HD13" i="4" a="1"/>
  <c r="BD48" i="3"/>
  <c r="BB93" i="3"/>
  <c r="BQ61" i="3"/>
  <c r="GA8" i="4" a="1"/>
  <c r="GZ15" i="4" a="1"/>
  <c r="GG15" i="4" a="1"/>
  <c r="BR61" i="3"/>
  <c r="BU66" i="3" l="1"/>
  <c r="BQ62" i="3"/>
  <c r="BQ56" i="3"/>
  <c r="BH59" i="3"/>
  <c r="BM75" i="3"/>
  <c r="BB95" i="3"/>
  <c r="BI89" i="3"/>
  <c r="BL68" i="3"/>
  <c r="BQ97" i="3"/>
  <c r="BT72" i="3"/>
  <c r="BE89" i="3"/>
  <c r="BP57" i="3"/>
  <c r="BL81" i="3"/>
  <c r="BP88" i="3"/>
  <c r="BP70" i="3"/>
  <c r="BB89" i="3"/>
  <c r="BB75" i="3"/>
  <c r="BH69" i="3"/>
  <c r="BL69" i="3"/>
  <c r="BF92" i="3"/>
  <c r="CL174" i="1" s="1"/>
  <c r="BU87" i="3"/>
  <c r="BT89" i="3"/>
  <c r="BP95" i="3"/>
  <c r="BA58" i="3"/>
  <c r="BE55" i="3"/>
  <c r="BE97" i="3"/>
  <c r="BU69" i="3"/>
  <c r="BA75" i="3"/>
  <c r="BP91" i="3"/>
  <c r="BI48" i="3"/>
  <c r="BQ88" i="3"/>
  <c r="BI55" i="3"/>
  <c r="BQ75" i="3"/>
  <c r="BT73" i="3"/>
  <c r="BT81" i="3"/>
  <c r="BI56" i="3"/>
  <c r="BA87" i="3"/>
  <c r="BA95" i="3"/>
  <c r="BE96" i="3"/>
  <c r="BI64" i="3"/>
  <c r="BI68" i="3"/>
  <c r="BQ90" i="3"/>
  <c r="BT61" i="3"/>
  <c r="BT88" i="3"/>
  <c r="BE65" i="3"/>
  <c r="BP77" i="3"/>
  <c r="BQ59" i="3"/>
  <c r="BA49" i="3"/>
  <c r="BH86" i="3"/>
  <c r="BF63" i="3"/>
  <c r="CL144" i="1" s="1"/>
  <c r="BA79" i="3"/>
  <c r="BH84" i="3"/>
  <c r="BE93" i="3"/>
  <c r="BF85" i="3"/>
  <c r="CL166" i="1" s="1"/>
  <c r="BF55" i="3"/>
  <c r="BH97" i="3"/>
  <c r="BF58" i="3"/>
  <c r="CL138" i="1" s="1"/>
  <c r="BA60" i="3"/>
  <c r="BP86" i="3"/>
  <c r="BI96" i="3"/>
  <c r="BQ73" i="3"/>
  <c r="BI81" i="3"/>
  <c r="BQ69" i="3"/>
  <c r="BT90" i="3"/>
  <c r="BT79" i="3"/>
  <c r="BI71" i="3"/>
  <c r="BF87" i="3"/>
  <c r="CL171" i="1" s="1"/>
  <c r="BP81" i="3"/>
  <c r="BP66" i="3"/>
  <c r="BH49" i="3"/>
  <c r="BE66" i="3"/>
  <c r="BF76" i="3"/>
  <c r="BT95" i="3"/>
  <c r="BP75" i="3"/>
  <c r="BP55" i="3"/>
  <c r="BP61" i="3"/>
  <c r="BQ65" i="3"/>
  <c r="BP96" i="3"/>
  <c r="BH95" i="3"/>
  <c r="BI66" i="3"/>
  <c r="BQ87" i="3"/>
  <c r="BT65" i="3"/>
  <c r="BI79" i="3"/>
  <c r="BH47" i="3"/>
  <c r="BP76" i="3"/>
  <c r="BP92" i="3"/>
  <c r="BA82" i="3"/>
  <c r="BH76" i="3"/>
  <c r="BI83" i="3"/>
  <c r="BE92" i="3"/>
  <c r="BQ74" i="3"/>
  <c r="BT67" i="3"/>
  <c r="BE54" i="3"/>
  <c r="BP64" i="3"/>
  <c r="BP71" i="3"/>
  <c r="BH67" i="3"/>
  <c r="BF94" i="3"/>
  <c r="BT48" i="3"/>
  <c r="BP90" i="3"/>
  <c r="BA73" i="3"/>
  <c r="BA83" i="3"/>
  <c r="BH56" i="3"/>
  <c r="BE50" i="3"/>
  <c r="BQ91" i="3"/>
  <c r="BF95" i="3"/>
  <c r="CL183" i="1" s="1"/>
  <c r="BF75" i="3"/>
  <c r="BH91" i="3"/>
  <c r="BF62" i="3"/>
  <c r="CL143" i="1" s="1"/>
  <c r="BP67" i="3"/>
  <c r="BH75" i="3"/>
  <c r="BP72" i="3"/>
  <c r="BA54" i="3"/>
  <c r="BH50" i="3"/>
  <c r="BE63" i="3"/>
  <c r="BF59" i="3"/>
  <c r="BT66" i="3"/>
  <c r="BP79" i="3"/>
  <c r="BP65" i="3"/>
  <c r="BA92" i="3"/>
  <c r="BF90" i="3"/>
  <c r="CL145" i="1" s="1"/>
  <c r="BI84" i="3"/>
  <c r="BQ60" i="3"/>
  <c r="BI54" i="3"/>
  <c r="BQ83" i="3"/>
  <c r="BT91" i="3"/>
  <c r="BT78" i="3"/>
  <c r="BI65" i="3"/>
  <c r="BA68" i="3"/>
  <c r="BH66" i="3"/>
  <c r="BF60" i="3"/>
  <c r="CL141" i="1" s="1"/>
  <c r="BA47" i="3"/>
  <c r="BH48" i="3"/>
  <c r="BE60" i="3"/>
  <c r="BQ93" i="3"/>
  <c r="BF48" i="3"/>
  <c r="BH93" i="3"/>
  <c r="BF64" i="3"/>
  <c r="CL168" i="1" s="1"/>
  <c r="BA62" i="3"/>
  <c r="BE75" i="3"/>
  <c r="BI93" i="3"/>
  <c r="BE64" i="3"/>
  <c r="BQ94" i="3"/>
  <c r="BT74" i="3"/>
  <c r="BT76" i="3"/>
  <c r="BE58" i="3"/>
  <c r="BF79" i="3"/>
  <c r="CL162" i="1" s="1"/>
  <c r="BA56" i="3"/>
  <c r="BP62" i="3"/>
  <c r="BA86" i="3"/>
  <c r="BE68" i="3"/>
  <c r="BQ89" i="3"/>
  <c r="BF97" i="3"/>
  <c r="BF96" i="3"/>
  <c r="CL182" i="1" s="1"/>
  <c r="BP60" i="3"/>
  <c r="BA91" i="3"/>
  <c r="BA76" i="3"/>
  <c r="BH94" i="3"/>
  <c r="BE83" i="3"/>
  <c r="BF78" i="3"/>
  <c r="CL161" i="1" s="1"/>
  <c r="BP82" i="3"/>
  <c r="BP50" i="3"/>
  <c r="BA89" i="3"/>
  <c r="BI80" i="3"/>
  <c r="BQ47" i="3"/>
  <c r="BI70" i="3"/>
  <c r="BQ64" i="3"/>
  <c r="BT94" i="3"/>
  <c r="BA85" i="3"/>
  <c r="BI88" i="3"/>
  <c r="BQ48" i="3"/>
  <c r="BI58" i="3"/>
  <c r="BQ66" i="3"/>
  <c r="BT93" i="3"/>
  <c r="BT70" i="3"/>
  <c r="BE69" i="3"/>
  <c r="BP83" i="3"/>
  <c r="BQ58" i="3"/>
  <c r="BH79" i="3"/>
  <c r="BF71" i="3"/>
  <c r="BT54" i="3"/>
  <c r="BI61" i="3"/>
  <c r="BH62" i="3"/>
  <c r="BA63" i="3"/>
  <c r="BE62" i="3"/>
  <c r="BF86" i="3"/>
  <c r="BI74" i="3"/>
  <c r="BQ55" i="3"/>
  <c r="BI47" i="3"/>
  <c r="BQ81" i="3"/>
  <c r="BT80" i="3"/>
  <c r="BT56" i="3"/>
  <c r="BE81" i="3"/>
  <c r="BP73" i="3"/>
  <c r="BF47" i="3"/>
  <c r="BF88" i="3"/>
  <c r="CL146" i="1" s="1"/>
  <c r="BP80" i="3"/>
  <c r="BE94" i="3"/>
  <c r="BH92" i="3"/>
  <c r="BT87" i="3"/>
  <c r="BI91" i="3"/>
  <c r="BA74" i="3"/>
  <c r="BA97" i="3"/>
  <c r="BH89" i="3"/>
  <c r="BP59" i="3"/>
  <c r="BQ79" i="3"/>
  <c r="BP58" i="3"/>
  <c r="BA61" i="3"/>
  <c r="BQ70" i="3"/>
  <c r="BF72" i="3"/>
  <c r="CL154" i="1" s="1"/>
  <c r="BP87" i="3"/>
  <c r="BQ49" i="3"/>
  <c r="BP47" i="3"/>
  <c r="BH73" i="3"/>
  <c r="BQ95" i="3"/>
  <c r="BP48" i="3"/>
  <c r="BQ85" i="3"/>
  <c r="BH57" i="3"/>
  <c r="BA81" i="3"/>
  <c r="BH72" i="3"/>
  <c r="BA77" i="3"/>
  <c r="BH90" i="3"/>
  <c r="BF80" i="3"/>
  <c r="CL178" i="1" s="1"/>
  <c r="BF77" i="3"/>
  <c r="CL159" i="1" s="1"/>
  <c r="BP56" i="3"/>
  <c r="BH71" i="3"/>
  <c r="BF65" i="3"/>
  <c r="CL169" i="1" s="1"/>
  <c r="BP54" i="3"/>
  <c r="BP63" i="3"/>
  <c r="BH87" i="3"/>
  <c r="BF61" i="3"/>
  <c r="BF83" i="3"/>
  <c r="CL179" i="1" s="1"/>
  <c r="BH82" i="3"/>
  <c r="BA50" i="3"/>
  <c r="BH68" i="3"/>
  <c r="BA93" i="3"/>
  <c r="BP69" i="3"/>
  <c r="BA72" i="3"/>
  <c r="BQ67" i="3"/>
  <c r="BH78" i="3"/>
  <c r="BP78" i="3"/>
  <c r="BA80" i="3"/>
  <c r="BH88" i="3"/>
  <c r="BF49" i="3"/>
  <c r="CL92" i="1" s="1"/>
  <c r="BH81" i="3"/>
  <c r="BP84" i="3"/>
  <c r="BA94" i="3"/>
  <c r="BH74" i="3"/>
  <c r="BF54" i="3"/>
  <c r="BF81" i="3"/>
  <c r="CL163" i="1" s="1"/>
  <c r="BA69" i="3"/>
  <c r="BH54" i="3"/>
  <c r="BQ76" i="3"/>
  <c r="BA67" i="3"/>
  <c r="BH96" i="3"/>
  <c r="BF84" i="3"/>
  <c r="CL165" i="1" s="1"/>
  <c r="BA78" i="3"/>
  <c r="BH80" i="3"/>
  <c r="BF82" i="3"/>
  <c r="CL164" i="1" s="1"/>
  <c r="BF73" i="3"/>
  <c r="BF68" i="3"/>
  <c r="CL153" i="1" s="1"/>
  <c r="BH58" i="3"/>
  <c r="BP94" i="3"/>
  <c r="BA64" i="3"/>
  <c r="BH63" i="3"/>
  <c r="BF66" i="3"/>
  <c r="CL170" i="1" s="1"/>
  <c r="BA48" i="3"/>
  <c r="BF91" i="3"/>
  <c r="CL173" i="1" s="1"/>
  <c r="BQ63" i="3"/>
  <c r="BQ92" i="3"/>
  <c r="BF56" i="3"/>
  <c r="CL136" i="1" s="1"/>
  <c r="BF93" i="3"/>
  <c r="BF57" i="3"/>
  <c r="CL137" i="1" s="1"/>
  <c r="BF67" i="3"/>
  <c r="BF89" i="3"/>
  <c r="CL172" i="1" s="1"/>
  <c r="BF74" i="3"/>
  <c r="CL156" i="1" s="1"/>
  <c r="BF50" i="3"/>
  <c r="CL93" i="1" s="1"/>
  <c r="BF70" i="3"/>
  <c r="CL152" i="1" s="1"/>
  <c r="BF69" i="3"/>
  <c r="CW10" i="1"/>
  <c r="CX10" i="1" s="1"/>
  <c r="CX13" i="1" s="1"/>
  <c r="BR86" i="3"/>
  <c r="BV67" i="3"/>
  <c r="BD94" i="3"/>
  <c r="BV78" i="3"/>
  <c r="BS88" i="3"/>
  <c r="BR75" i="3"/>
  <c r="BC94" i="3"/>
  <c r="BO73" i="3"/>
  <c r="BV82" i="3"/>
  <c r="BS63" i="3"/>
  <c r="BO83" i="3"/>
  <c r="BV88" i="3"/>
  <c r="BS89" i="3"/>
  <c r="BV50" i="3"/>
  <c r="BO84" i="3"/>
  <c r="BD50" i="3"/>
  <c r="BD49" i="3"/>
  <c r="BR81" i="3"/>
  <c r="BC72" i="3"/>
  <c r="BR94" i="3"/>
  <c r="BJ47" i="3"/>
  <c r="BO61" i="3"/>
  <c r="BD62" i="3"/>
  <c r="BJ94" i="3"/>
  <c r="BJ93" i="3"/>
  <c r="BJ66" i="3"/>
  <c r="BK48" i="3"/>
  <c r="BK78" i="3"/>
  <c r="BJ89" i="3"/>
  <c r="BK90" i="3"/>
  <c r="BJ57" i="3"/>
  <c r="BK63" i="3"/>
  <c r="BJ87" i="3"/>
  <c r="BK94" i="3"/>
  <c r="BJ56" i="3"/>
  <c r="BJ84" i="3"/>
  <c r="BJ50" i="3"/>
  <c r="BK96" i="3"/>
  <c r="BK74" i="3"/>
  <c r="BJ83" i="3"/>
  <c r="BJ90" i="3"/>
  <c r="BJ63" i="3"/>
  <c r="BK79" i="3"/>
  <c r="BK64" i="3"/>
  <c r="BJ95" i="3"/>
  <c r="BJ81" i="3"/>
  <c r="BJ58" i="3"/>
  <c r="BK73" i="3"/>
  <c r="BN57" i="3"/>
  <c r="BN47" i="3"/>
  <c r="BJ72" i="3"/>
  <c r="BK66" i="3"/>
  <c r="BN97" i="3"/>
  <c r="BJ62" i="3"/>
  <c r="BK49" i="3"/>
  <c r="BK62" i="3"/>
  <c r="BJ70" i="3"/>
  <c r="BK56" i="3"/>
  <c r="BK89" i="3"/>
  <c r="BK95" i="3"/>
  <c r="BJ65" i="3"/>
  <c r="BJ48" i="3"/>
  <c r="BJ73" i="3"/>
  <c r="BK76" i="3"/>
  <c r="BJ79" i="3"/>
  <c r="BJ76" i="3"/>
  <c r="BK54" i="3"/>
  <c r="BJ59" i="3"/>
  <c r="BJ86" i="3"/>
  <c r="BN82" i="3"/>
  <c r="BJ69" i="3"/>
  <c r="BK61" i="3"/>
  <c r="BJ49" i="3"/>
  <c r="BJ75" i="3"/>
  <c r="Y113" i="2"/>
  <c r="BK86" i="3"/>
  <c r="BJ85" i="3"/>
  <c r="BJ88" i="3"/>
  <c r="BJ96" i="3"/>
  <c r="BJ97" i="3"/>
  <c r="BK83" i="3"/>
  <c r="BK75" i="3"/>
  <c r="BK70" i="3"/>
  <c r="BJ91" i="3"/>
  <c r="Y111" i="2"/>
  <c r="BK82" i="3"/>
  <c r="BJ78" i="3"/>
  <c r="BK87" i="3"/>
  <c r="BJ74" i="3"/>
  <c r="BK88" i="3"/>
  <c r="BJ60" i="3"/>
  <c r="BK92" i="3"/>
  <c r="BK81" i="3"/>
  <c r="BK69" i="3"/>
  <c r="BJ54" i="3"/>
  <c r="BK97" i="3"/>
  <c r="BK47" i="3"/>
  <c r="BJ67" i="3"/>
  <c r="BK85" i="3"/>
  <c r="BJ61" i="3"/>
  <c r="BK80" i="3"/>
  <c r="BK58" i="3"/>
  <c r="BK93" i="3"/>
  <c r="BJ71" i="3"/>
  <c r="BK71" i="3"/>
  <c r="BK60" i="3"/>
  <c r="BJ82" i="3"/>
  <c r="BO76" i="3"/>
  <c r="BS80" i="3"/>
  <c r="BN96" i="3"/>
  <c r="BC75" i="3"/>
  <c r="BK68" i="3"/>
  <c r="BD79" i="3"/>
  <c r="BV87" i="3"/>
  <c r="BN65" i="3"/>
  <c r="BC54" i="3"/>
  <c r="BG63" i="3"/>
  <c r="BN56" i="3"/>
  <c r="BV47" i="3"/>
  <c r="BJ55" i="3"/>
  <c r="BC50" i="3"/>
  <c r="BD85" i="3"/>
  <c r="BN94" i="3"/>
  <c r="BN68" i="3"/>
  <c r="BD58" i="3"/>
  <c r="BR54" i="3"/>
  <c r="BN93" i="3"/>
  <c r="BD75" i="3"/>
  <c r="BN79" i="3"/>
  <c r="BC84" i="3"/>
  <c r="BR48" i="3"/>
  <c r="BD67" i="3"/>
  <c r="BC93" i="3"/>
  <c r="BC77" i="3"/>
  <c r="BN71" i="3"/>
  <c r="BR93" i="3"/>
  <c r="BR63" i="3"/>
  <c r="BN89" i="3"/>
  <c r="BR89" i="3"/>
  <c r="BD93" i="3"/>
  <c r="BN86" i="3"/>
  <c r="BC68" i="3"/>
  <c r="BD56" i="3"/>
  <c r="BC92" i="3"/>
  <c r="BN60" i="3"/>
  <c r="BN69" i="3"/>
  <c r="BN55" i="3"/>
  <c r="BN95" i="3"/>
  <c r="BN63" i="3"/>
  <c r="BN78" i="3"/>
  <c r="BN81" i="3"/>
  <c r="BN58" i="3"/>
  <c r="BN80" i="3"/>
  <c r="BN72" i="3"/>
  <c r="BN59" i="3"/>
  <c r="BN54" i="3"/>
  <c r="BN70" i="3"/>
  <c r="BN73" i="3"/>
  <c r="BN92" i="3"/>
  <c r="BN83" i="3"/>
  <c r="BN64" i="3"/>
  <c r="BN66" i="3"/>
  <c r="BN90" i="3"/>
  <c r="BN74" i="3"/>
  <c r="BN85" i="3"/>
  <c r="BN50" i="3"/>
  <c r="BN48" i="3"/>
  <c r="BN67" i="3"/>
  <c r="BN88" i="3"/>
  <c r="BN75" i="3"/>
  <c r="BN61" i="3"/>
  <c r="BK57" i="3"/>
  <c r="BR57" i="3"/>
  <c r="CL27" i="1"/>
  <c r="CL28" i="1"/>
  <c r="BK77" i="3"/>
  <c r="BK50" i="3"/>
  <c r="BK67" i="3"/>
  <c r="BK72" i="3"/>
  <c r="BK91" i="3"/>
  <c r="BK55" i="3"/>
  <c r="BK65" i="3"/>
  <c r="BV70" i="3"/>
  <c r="BV96" i="3"/>
  <c r="BV66" i="3"/>
  <c r="BV89" i="3"/>
  <c r="BJ80" i="3"/>
  <c r="BJ77" i="3"/>
  <c r="BJ92" i="3"/>
  <c r="BJ68" i="3"/>
  <c r="BJ64" i="3"/>
  <c r="BS85" i="3"/>
  <c r="BS50" i="3"/>
  <c r="BS71" i="3"/>
  <c r="BS72" i="3"/>
  <c r="BS60" i="3"/>
  <c r="BS64" i="3"/>
  <c r="BO92" i="3"/>
  <c r="BO80" i="3"/>
  <c r="BO65" i="3"/>
  <c r="BO86" i="3"/>
  <c r="BO49" i="3"/>
  <c r="BO88" i="3"/>
  <c r="BO93" i="3"/>
  <c r="BO64" i="3"/>
  <c r="BO55" i="3"/>
  <c r="BO57" i="3"/>
  <c r="BO67" i="3"/>
  <c r="BN62" i="3"/>
  <c r="BN76" i="3"/>
  <c r="BN49" i="3"/>
  <c r="BN87" i="3"/>
  <c r="BN91" i="3"/>
  <c r="BN77" i="3"/>
  <c r="BN84" i="3"/>
  <c r="BD61" i="3"/>
  <c r="BD64" i="3"/>
  <c r="CJ168" i="1" s="1"/>
  <c r="BD60" i="3"/>
  <c r="CJ141" i="1" s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BD81" i="3"/>
  <c r="CJ163" i="1" s="1"/>
  <c r="BD72" i="3"/>
  <c r="CJ154" i="1" s="1"/>
  <c r="CK154" i="1" s="1"/>
  <c r="CM154" i="1" s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BD65" i="3"/>
  <c r="CJ169" i="1" s="1"/>
  <c r="BD66" i="3"/>
  <c r="CJ170" i="1" s="1"/>
  <c r="BD88" i="3"/>
  <c r="CJ146" i="1" s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BD73" i="3"/>
  <c r="BD54" i="3"/>
  <c r="BD92" i="3"/>
  <c r="CJ174" i="1" s="1"/>
  <c r="BD55" i="3"/>
  <c r="BD71" i="3"/>
  <c r="AA111" i="2"/>
  <c r="AA113" i="2"/>
  <c r="Z93" i="1" s="1"/>
  <c r="BR58" i="3"/>
  <c r="BR92" i="3"/>
  <c r="BR78" i="3"/>
  <c r="BR72" i="3"/>
  <c r="BR87" i="3"/>
  <c r="BR73" i="3"/>
  <c r="BR82" i="3"/>
  <c r="BR71" i="3"/>
  <c r="BR49" i="3"/>
  <c r="BR69" i="3"/>
  <c r="BR68" i="3"/>
  <c r="BR50" i="3"/>
  <c r="BR80" i="3"/>
  <c r="BR76" i="3"/>
  <c r="BR91" i="3"/>
  <c r="BR74" i="3"/>
  <c r="BR66" i="3"/>
  <c r="BR83" i="3"/>
  <c r="BC82" i="3"/>
  <c r="BC73" i="3"/>
  <c r="BC88" i="3"/>
  <c r="BC65" i="3"/>
  <c r="BC80" i="3"/>
  <c r="BC62" i="3"/>
  <c r="BC55" i="3"/>
  <c r="BC67" i="3"/>
  <c r="BC76" i="3"/>
  <c r="BC91" i="3"/>
  <c r="BC57" i="3"/>
  <c r="BC58" i="3"/>
  <c r="BC74" i="3"/>
  <c r="BC83" i="3"/>
  <c r="BC90" i="3"/>
  <c r="BC85" i="3"/>
  <c r="BC60" i="3"/>
  <c r="BC61" i="3"/>
  <c r="BC71" i="3"/>
  <c r="BC56" i="3"/>
  <c r="BC95" i="3"/>
  <c r="BC49" i="3"/>
  <c r="CI92" i="1" s="1"/>
  <c r="BC63" i="3"/>
  <c r="CL45" i="1"/>
  <c r="CL213" i="1"/>
  <c r="CL272" i="1"/>
  <c r="BG59" i="3"/>
  <c r="BG91" i="3"/>
  <c r="BG75" i="3"/>
  <c r="BG88" i="3"/>
  <c r="BG93" i="3"/>
  <c r="BG85" i="3"/>
  <c r="BG87" i="3"/>
  <c r="BG56" i="3"/>
  <c r="BG50" i="3"/>
  <c r="BG97" i="3"/>
  <c r="BG49" i="3"/>
  <c r="BG69" i="3"/>
  <c r="BG73" i="3"/>
  <c r="BG80" i="3"/>
  <c r="BG76" i="3"/>
  <c r="BG82" i="3"/>
  <c r="BG92" i="3"/>
  <c r="BG79" i="3"/>
  <c r="BG54" i="3"/>
  <c r="BG78" i="3"/>
  <c r="BG90" i="3"/>
  <c r="BG61" i="3"/>
  <c r="CL271" i="1"/>
  <c r="CL84" i="1"/>
  <c r="CX16" i="1"/>
  <c r="CX27" i="1" s="1"/>
  <c r="CX20" i="1"/>
  <c r="CV16" i="1"/>
  <c r="CV27" i="1" s="1"/>
  <c r="CV20" i="1"/>
  <c r="CY10" i="1"/>
  <c r="CZ10" i="1" s="1"/>
  <c r="CZ13" i="1" s="1"/>
  <c r="CW13" i="1"/>
  <c r="KD9" i="4" s="1"/>
  <c r="JV16" i="4" s="1"/>
  <c r="KC16" i="4" s="1"/>
  <c r="CJ164" i="1"/>
  <c r="Y92" i="1"/>
  <c r="KD16" i="4" s="1"/>
  <c r="JU16" i="4" s="1"/>
  <c r="KE16" i="4" s="1"/>
  <c r="JT16" i="4" s="1"/>
  <c r="CJ137" i="1"/>
  <c r="CK137" i="1" s="1"/>
  <c r="CJ153" i="1"/>
  <c r="JY16" i="4" s="1"/>
  <c r="JW16" i="4" s="1"/>
  <c r="JZ9" i="4" s="1"/>
  <c r="CJ173" i="1"/>
  <c r="KB16" i="4" s="1"/>
  <c r="CJ159" i="1"/>
  <c r="CK159" i="1" s="1"/>
  <c r="JY9" i="4" s="1"/>
  <c r="KH16" i="4" s="1"/>
  <c r="CJ182" i="1"/>
  <c r="CK182" i="1" s="1"/>
  <c r="CJ178" i="1"/>
  <c r="KG16" i="4" s="1"/>
  <c r="CJ165" i="1"/>
  <c r="JR16" i="4" s="1"/>
  <c r="CH93" i="1"/>
  <c r="CJ171" i="1"/>
  <c r="CJ145" i="1"/>
  <c r="CK145" i="1" s="1"/>
  <c r="CK92" i="1"/>
  <c r="JU9" i="4" s="1"/>
  <c r="X92" i="1"/>
  <c r="CJ179" i="1"/>
  <c r="CJ183" i="1"/>
  <c r="CK183" i="1" s="1"/>
  <c r="CJ152" i="1"/>
  <c r="CK152" i="1" s="1"/>
  <c r="CJ144" i="1"/>
  <c r="CK144" i="1" s="1"/>
  <c r="KC9" i="4" s="1"/>
  <c r="Z92" i="1"/>
  <c r="CJ172" i="1"/>
  <c r="Y93" i="1"/>
  <c r="JW9" i="4" s="1"/>
  <c r="JQ9" i="4" s="1"/>
  <c r="CH92" i="1"/>
  <c r="CJ161" i="1"/>
  <c r="X97" i="1"/>
  <c r="CG34" i="1"/>
  <c r="CI44" i="1"/>
  <c r="Z27" i="1"/>
  <c r="Y98" i="1"/>
  <c r="Z97" i="1"/>
  <c r="CH70" i="1"/>
  <c r="Z136" i="1"/>
  <c r="Z51" i="1"/>
  <c r="Y44" i="1"/>
  <c r="Y164" i="1"/>
  <c r="X54" i="1"/>
  <c r="Z42" i="1"/>
  <c r="Z138" i="1"/>
  <c r="CH138" i="1" s="1"/>
  <c r="CG33" i="1"/>
  <c r="CJ82" i="1"/>
  <c r="Y28" i="1"/>
  <c r="X154" i="1"/>
  <c r="X150" i="1" s="1"/>
  <c r="Y41" i="1"/>
  <c r="Z143" i="1"/>
  <c r="CH44" i="1"/>
  <c r="X137" i="1"/>
  <c r="Y64" i="1"/>
  <c r="Y190" i="1"/>
  <c r="JP16" i="4" s="1"/>
  <c r="JO9" i="4" s="1"/>
  <c r="CI58" i="1"/>
  <c r="Z55" i="1"/>
  <c r="X32" i="1"/>
  <c r="JP9" i="4" s="1"/>
  <c r="X151" i="1"/>
  <c r="Z34" i="1"/>
  <c r="CH64" i="1"/>
  <c r="X51" i="1"/>
  <c r="Z39" i="1"/>
  <c r="CI42" i="1"/>
  <c r="Z54" i="1"/>
  <c r="CH33" i="1"/>
  <c r="Y174" i="1"/>
  <c r="Y182" i="1"/>
  <c r="X172" i="1"/>
  <c r="Z43" i="1"/>
  <c r="CH58" i="1"/>
  <c r="Z156" i="1"/>
  <c r="CH156" i="1" s="1"/>
  <c r="CI156" i="1" s="1"/>
  <c r="Y155" i="1"/>
  <c r="CG42" i="1"/>
  <c r="X170" i="1"/>
  <c r="Z159" i="1"/>
  <c r="AA221" i="1" s="1"/>
  <c r="Y51" i="1"/>
  <c r="Z64" i="1"/>
  <c r="CH43" i="1"/>
  <c r="CJ34" i="1"/>
  <c r="Z178" i="1"/>
  <c r="X146" i="1"/>
  <c r="Z168" i="1"/>
  <c r="CH168" i="1" s="1"/>
  <c r="X155" i="1"/>
  <c r="Y136" i="1"/>
  <c r="CJ39" i="1"/>
  <c r="X159" i="1"/>
  <c r="CH28" i="1"/>
  <c r="Y65" i="1"/>
  <c r="X42" i="1"/>
  <c r="Y152" i="1"/>
  <c r="CI70" i="1"/>
  <c r="CG64" i="1"/>
  <c r="Z191" i="1"/>
  <c r="JN16" i="4" s="1"/>
  <c r="Y191" i="1"/>
  <c r="Y96" i="1"/>
  <c r="X168" i="1"/>
  <c r="CG70" i="1"/>
  <c r="X143" i="1"/>
  <c r="X86" i="1"/>
  <c r="X182" i="1"/>
  <c r="X145" i="1"/>
  <c r="X173" i="1" s="1"/>
  <c r="Y40" i="1"/>
  <c r="Y66" i="1"/>
  <c r="Z183" i="1"/>
  <c r="CH183" i="1" s="1"/>
  <c r="CI183" i="1" s="1"/>
  <c r="CG65" i="1"/>
  <c r="X41" i="1"/>
  <c r="CK83" i="1"/>
  <c r="JO16" i="4" s="1"/>
  <c r="CI54" i="1"/>
  <c r="Z154" i="1"/>
  <c r="CH154" i="1" s="1"/>
  <c r="CI154" i="1" s="1"/>
  <c r="CK54" i="1"/>
  <c r="CH34" i="1"/>
  <c r="X164" i="1"/>
  <c r="CJ27" i="1"/>
  <c r="CK41" i="1"/>
  <c r="X174" i="1"/>
  <c r="CG27" i="1"/>
  <c r="Y145" i="1"/>
  <c r="Y173" i="1" s="1"/>
  <c r="CG32" i="1"/>
  <c r="CI41" i="1"/>
  <c r="Z98" i="1"/>
  <c r="Z179" i="1"/>
  <c r="CH179" i="1" s="1"/>
  <c r="Z165" i="1"/>
  <c r="CH165" i="1" s="1"/>
  <c r="CH66" i="1"/>
  <c r="Y165" i="1"/>
  <c r="Z40" i="1"/>
  <c r="CI43" i="1"/>
  <c r="X66" i="1"/>
  <c r="Y170" i="1"/>
  <c r="X156" i="1"/>
  <c r="Z137" i="1"/>
  <c r="CH137" i="1" s="1"/>
  <c r="CI137" i="1" s="1"/>
  <c r="CH39" i="1"/>
  <c r="X166" i="1"/>
  <c r="CG39" i="1"/>
  <c r="Y163" i="1"/>
  <c r="CK33" i="1"/>
  <c r="CI65" i="1"/>
  <c r="Y159" i="1"/>
  <c r="X141" i="1"/>
  <c r="CJ44" i="1"/>
  <c r="Y55" i="1"/>
  <c r="Z164" i="1"/>
  <c r="CK66" i="1"/>
  <c r="CJ64" i="1"/>
  <c r="Z152" i="1"/>
  <c r="CH152" i="1" s="1"/>
  <c r="CI152" i="1" s="1"/>
  <c r="CK44" i="1"/>
  <c r="Y169" i="1"/>
  <c r="Z161" i="1"/>
  <c r="Z151" i="1"/>
  <c r="CH151" i="1" s="1"/>
  <c r="Y86" i="1"/>
  <c r="Y189" i="1"/>
  <c r="Z162" i="1"/>
  <c r="CH162" i="1" s="1"/>
  <c r="CG41" i="1"/>
  <c r="X28" i="1"/>
  <c r="CG28" i="1"/>
  <c r="Y138" i="1"/>
  <c r="Y27" i="1"/>
  <c r="Y34" i="1"/>
  <c r="CJ41" i="1"/>
  <c r="Z169" i="1"/>
  <c r="CH169" i="1" s="1"/>
  <c r="CK28" i="1"/>
  <c r="Z145" i="1"/>
  <c r="CH145" i="1" s="1"/>
  <c r="CI145" i="1" s="1"/>
  <c r="CJ54" i="1"/>
  <c r="X64" i="1"/>
  <c r="Z41" i="1"/>
  <c r="CK65" i="1"/>
  <c r="Z190" i="1"/>
  <c r="Y178" i="1"/>
  <c r="CE58" i="1"/>
  <c r="CH32" i="1"/>
  <c r="Y143" i="1"/>
  <c r="Y183" i="1"/>
  <c r="CI51" i="1"/>
  <c r="X165" i="1"/>
  <c r="CB32" i="1"/>
  <c r="Y162" i="1"/>
  <c r="Z86" i="1"/>
  <c r="CH51" i="1"/>
  <c r="CI27" i="1"/>
  <c r="CG51" i="1"/>
  <c r="X138" i="1"/>
  <c r="X152" i="1"/>
  <c r="JN9" i="4" s="1"/>
  <c r="Z174" i="1"/>
  <c r="CH174" i="1" s="1"/>
  <c r="Y146" i="1"/>
  <c r="Y70" i="1"/>
  <c r="CI33" i="1"/>
  <c r="Y43" i="1"/>
  <c r="CK82" i="1"/>
  <c r="CH55" i="1"/>
  <c r="X161" i="1"/>
  <c r="X43" i="1"/>
  <c r="Z155" i="1"/>
  <c r="CH155" i="1" s="1"/>
  <c r="CI155" i="1" s="1"/>
  <c r="Y144" i="1"/>
  <c r="CK40" i="1"/>
  <c r="CJ65" i="1"/>
  <c r="Y97" i="1"/>
  <c r="CJ28" i="1"/>
  <c r="CH65" i="1"/>
  <c r="X179" i="1"/>
  <c r="CJ43" i="1"/>
  <c r="Z170" i="1"/>
  <c r="CH170" i="1" s="1"/>
  <c r="X27" i="1"/>
  <c r="CG55" i="1"/>
  <c r="CI64" i="1"/>
  <c r="CJ58" i="1"/>
  <c r="X70" i="1"/>
  <c r="X136" i="1"/>
  <c r="Y54" i="1"/>
  <c r="CG43" i="1"/>
  <c r="Z58" i="1"/>
  <c r="Z66" i="1"/>
  <c r="X183" i="1"/>
  <c r="CH40" i="1"/>
  <c r="CJ42" i="1"/>
  <c r="CH27" i="1"/>
  <c r="CJ51" i="1"/>
  <c r="CH42" i="1"/>
  <c r="Z32" i="1"/>
  <c r="CJ70" i="1"/>
  <c r="X96" i="1"/>
  <c r="Z96" i="1"/>
  <c r="CG66" i="1"/>
  <c r="CK27" i="1"/>
  <c r="X190" i="1"/>
  <c r="X58" i="1"/>
  <c r="CJ32" i="1"/>
  <c r="Y32" i="1"/>
  <c r="X163" i="1"/>
  <c r="CK39" i="1"/>
  <c r="CK51" i="1"/>
  <c r="Z141" i="1"/>
  <c r="CH141" i="1" s="1"/>
  <c r="CI141" i="1" s="1"/>
  <c r="CH54" i="1"/>
  <c r="CJ55" i="1"/>
  <c r="Z65" i="1"/>
  <c r="Z189" i="1"/>
  <c r="Z70" i="1"/>
  <c r="Y161" i="1"/>
  <c r="X169" i="1"/>
  <c r="CK64" i="1"/>
  <c r="CI34" i="1"/>
  <c r="CI28" i="1"/>
  <c r="Y151" i="1"/>
  <c r="CG44" i="1"/>
  <c r="X144" i="1"/>
  <c r="Y141" i="1"/>
  <c r="Z146" i="1"/>
  <c r="CH146" i="1" s="1"/>
  <c r="CI146" i="1" s="1"/>
  <c r="Y154" i="1"/>
  <c r="Y150" i="1" s="1"/>
  <c r="Z144" i="1"/>
  <c r="CH144" i="1" s="1"/>
  <c r="CI144" i="1" s="1"/>
  <c r="Y58" i="1"/>
  <c r="X162" i="1"/>
  <c r="CK55" i="1"/>
  <c r="X189" i="1"/>
  <c r="CK43" i="1"/>
  <c r="Y156" i="1"/>
  <c r="Y137" i="1"/>
  <c r="Z182" i="1"/>
  <c r="CH182" i="1" s="1"/>
  <c r="CI182" i="1" s="1"/>
  <c r="CI40" i="1"/>
  <c r="X65" i="1"/>
  <c r="CG58" i="1"/>
  <c r="Y168" i="1"/>
  <c r="CK70" i="1"/>
  <c r="X191" i="1"/>
  <c r="Y42" i="1"/>
  <c r="Y39" i="1"/>
  <c r="CI55" i="1"/>
  <c r="X39" i="1"/>
  <c r="CK32" i="1"/>
  <c r="CI32" i="1"/>
  <c r="Z44" i="1"/>
  <c r="CK34" i="1"/>
  <c r="Y179" i="1"/>
  <c r="CJ33" i="1"/>
  <c r="CH41" i="1"/>
  <c r="Y166" i="1"/>
  <c r="CJ66" i="1"/>
  <c r="CJ40" i="1"/>
  <c r="X98" i="1"/>
  <c r="Z28" i="1"/>
  <c r="X55" i="1"/>
  <c r="Y172" i="1"/>
  <c r="Z172" i="1"/>
  <c r="CK58" i="1"/>
  <c r="CI66" i="1"/>
  <c r="X178" i="1"/>
  <c r="CI39" i="1"/>
  <c r="X34" i="1"/>
  <c r="X44" i="1"/>
  <c r="CG54" i="1"/>
  <c r="CJ83" i="1"/>
  <c r="CI83" i="1" s="1"/>
  <c r="CH83" i="1" s="1"/>
  <c r="CG83" i="1" s="1"/>
  <c r="CF83" i="1" s="1"/>
  <c r="CE83" i="1" s="1"/>
  <c r="CD83" i="1" s="1"/>
  <c r="CC83" i="1" s="1"/>
  <c r="CB83" i="1" s="1"/>
  <c r="CA83" i="1" s="1"/>
  <c r="BZ83" i="1" s="1"/>
  <c r="BY83" i="1" s="1"/>
  <c r="BX83" i="1" s="1"/>
  <c r="BW83" i="1" s="1"/>
  <c r="BV83" i="1" s="1"/>
  <c r="BU83" i="1" s="1"/>
  <c r="BT83" i="1" s="1"/>
  <c r="BS83" i="1" s="1"/>
  <c r="BR83" i="1" s="1"/>
  <c r="BQ83" i="1" s="1"/>
  <c r="BP83" i="1" s="1"/>
  <c r="BO83" i="1" s="1"/>
  <c r="BN83" i="1" s="1"/>
  <c r="BM83" i="1" s="1"/>
  <c r="BL83" i="1" s="1"/>
  <c r="BK83" i="1" s="1"/>
  <c r="BJ83" i="1" s="1"/>
  <c r="BI83" i="1" s="1"/>
  <c r="BH83" i="1" s="1"/>
  <c r="BG83" i="1" s="1"/>
  <c r="BF83" i="1" s="1"/>
  <c r="BE83" i="1" s="1"/>
  <c r="BD83" i="1" s="1"/>
  <c r="BC83" i="1" s="1"/>
  <c r="BB83" i="1" s="1"/>
  <c r="BA83" i="1" s="1"/>
  <c r="AZ83" i="1" s="1"/>
  <c r="AY83" i="1" s="1"/>
  <c r="AX83" i="1" s="1"/>
  <c r="AW83" i="1" s="1"/>
  <c r="AV83" i="1" s="1"/>
  <c r="AU83" i="1" s="1"/>
  <c r="AT83" i="1" s="1"/>
  <c r="AS83" i="1" s="1"/>
  <c r="AR83" i="1" s="1"/>
  <c r="AQ83" i="1" s="1"/>
  <c r="AP83" i="1" s="1"/>
  <c r="AO83" i="1" s="1"/>
  <c r="AN83" i="1" s="1"/>
  <c r="AM83" i="1" s="1"/>
  <c r="AL83" i="1" s="1"/>
  <c r="AK83" i="1" s="1"/>
  <c r="AJ83" i="1" s="1"/>
  <c r="AI83" i="1" s="1"/>
  <c r="Z163" i="1"/>
  <c r="X40" i="1"/>
  <c r="CG40" i="1"/>
  <c r="Z166" i="1"/>
  <c r="CH166" i="1" s="1"/>
  <c r="CK42" i="1"/>
  <c r="KD8" i="4"/>
  <c r="JR8" i="4"/>
  <c r="BK84" i="3"/>
  <c r="CL167" i="1" l="1"/>
  <c r="CL157" i="1"/>
  <c r="CL198" i="1"/>
  <c r="CL139" i="1"/>
  <c r="CM152" i="1"/>
  <c r="CN152" i="1" s="1"/>
  <c r="CO152" i="1" s="1"/>
  <c r="CP152" i="1" s="1"/>
  <c r="CQ152" i="1" s="1"/>
  <c r="CR152" i="1" s="1"/>
  <c r="CS152" i="1" s="1"/>
  <c r="CT152" i="1" s="1"/>
  <c r="JV9" i="4" s="1"/>
  <c r="CK93" i="1"/>
  <c r="KH9" i="4" s="1"/>
  <c r="KA9" i="4" s="1"/>
  <c r="JS9" i="4" s="1"/>
  <c r="CL180" i="1"/>
  <c r="CL202" i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M182" i="1"/>
  <c r="CN182" i="1" s="1"/>
  <c r="CO182" i="1" s="1"/>
  <c r="CP182" i="1" s="1"/>
  <c r="CQ182" i="1" s="1"/>
  <c r="CR182" i="1" s="1"/>
  <c r="CS182" i="1" s="1"/>
  <c r="CT182" i="1" s="1"/>
  <c r="CU182" i="1" s="1"/>
  <c r="CV182" i="1" s="1"/>
  <c r="CW182" i="1" s="1"/>
  <c r="CX182" i="1" s="1"/>
  <c r="JX16" i="4" s="1"/>
  <c r="KF16" i="4" s="1"/>
  <c r="KG9" i="4" s="1"/>
  <c r="CM145" i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M183" i="1"/>
  <c r="CN183" i="1" s="1"/>
  <c r="CO183" i="1" s="1"/>
  <c r="CP183" i="1" s="1"/>
  <c r="CQ183" i="1" s="1"/>
  <c r="CR183" i="1" s="1"/>
  <c r="CS183" i="1" s="1"/>
  <c r="CT183" i="1" s="1"/>
  <c r="CU183" i="1" s="1"/>
  <c r="CV183" i="1" s="1"/>
  <c r="CW183" i="1" s="1"/>
  <c r="CX183" i="1" s="1"/>
  <c r="CY183" i="1" s="1"/>
  <c r="CZ183" i="1" s="1"/>
  <c r="DA183" i="1" s="1"/>
  <c r="DB183" i="1" s="1"/>
  <c r="JR9" i="4" s="1"/>
  <c r="JR21" i="4" s="1"/>
  <c r="CL96" i="1" s="1"/>
  <c r="JT9" i="4" s="1"/>
  <c r="CL175" i="1"/>
  <c r="CL204" i="1" s="1"/>
  <c r="CL147" i="1"/>
  <c r="CL199" i="1"/>
  <c r="CM199" i="1" s="1"/>
  <c r="CN199" i="1" s="1"/>
  <c r="CO199" i="1" s="1"/>
  <c r="CP199" i="1" s="1"/>
  <c r="CQ199" i="1" s="1"/>
  <c r="CR199" i="1" s="1"/>
  <c r="CS199" i="1" s="1"/>
  <c r="CT199" i="1" s="1"/>
  <c r="CG93" i="1"/>
  <c r="JS16" i="4" s="1"/>
  <c r="JZ16" i="4" s="1"/>
  <c r="KF9" i="4" s="1"/>
  <c r="CG92" i="1"/>
  <c r="CL201" i="1"/>
  <c r="CJ92" i="1"/>
  <c r="CJ93" i="1"/>
  <c r="KG21" i="4"/>
  <c r="CJ143" i="1"/>
  <c r="CK143" i="1" s="1"/>
  <c r="CM143" i="1" s="1"/>
  <c r="CN143" i="1" s="1"/>
  <c r="X93" i="1"/>
  <c r="JQ16" i="4" s="1"/>
  <c r="JO21" i="4"/>
  <c r="CI96" i="1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KA16" i="4" s="1"/>
  <c r="CJ156" i="1"/>
  <c r="CK156" i="1" s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J162" i="1"/>
  <c r="JX7" i="4" s="1"/>
  <c r="KB9" i="4" s="1"/>
  <c r="CJ138" i="1"/>
  <c r="CJ166" i="1"/>
  <c r="CI93" i="1"/>
  <c r="JW15" i="4" s="1"/>
  <c r="JX9" i="4" s="1"/>
  <c r="CL250" i="1"/>
  <c r="CL29" i="1"/>
  <c r="JV21" i="4"/>
  <c r="KE9" i="4" s="1"/>
  <c r="CH159" i="1"/>
  <c r="KE8" i="4"/>
  <c r="CL117" i="1"/>
  <c r="CL118" i="1" s="1"/>
  <c r="CL46" i="1"/>
  <c r="CL35" i="1"/>
  <c r="CL200" i="1"/>
  <c r="CM200" i="1" s="1"/>
  <c r="CN200" i="1" s="1"/>
  <c r="CO200" i="1" s="1"/>
  <c r="CP200" i="1" s="1"/>
  <c r="CQ200" i="1" s="1"/>
  <c r="CR200" i="1" s="1"/>
  <c r="CS200" i="1" s="1"/>
  <c r="CT200" i="1" s="1"/>
  <c r="CL205" i="1"/>
  <c r="CL267" i="1"/>
  <c r="CL265" i="1"/>
  <c r="CL148" i="1"/>
  <c r="CL187" i="1"/>
  <c r="CL128" i="1" s="1"/>
  <c r="CL111" i="1"/>
  <c r="CL203" i="1"/>
  <c r="CM202" i="1"/>
  <c r="CN202" i="1" s="1"/>
  <c r="CO202" i="1" s="1"/>
  <c r="CP202" i="1" s="1"/>
  <c r="KH14" i="4"/>
  <c r="JQ15" i="4"/>
  <c r="KE14" i="4"/>
  <c r="KE15" i="4"/>
  <c r="KE20" i="4" s="1"/>
  <c r="KB14" i="4"/>
  <c r="KE21" i="4"/>
  <c r="JV15" i="4"/>
  <c r="JR7" i="4"/>
  <c r="JU21" i="4"/>
  <c r="JZ21" i="4"/>
  <c r="JR15" i="4"/>
  <c r="JR20" i="4" s="1"/>
  <c r="CL98" i="1" s="1"/>
  <c r="KC21" i="4"/>
  <c r="JW8" i="4"/>
  <c r="JW20" i="4" s="1"/>
  <c r="JQ8" i="4"/>
  <c r="JY7" i="4"/>
  <c r="JQ14" i="4"/>
  <c r="KH7" i="4"/>
  <c r="KA21" i="4"/>
  <c r="CK221" i="1"/>
  <c r="CL221" i="1"/>
  <c r="CL121" i="1"/>
  <c r="CL113" i="1"/>
  <c r="CY13" i="1"/>
  <c r="CY16" i="1" s="1"/>
  <c r="CY27" i="1" s="1"/>
  <c r="DA10" i="1"/>
  <c r="X198" i="1"/>
  <c r="CW16" i="1"/>
  <c r="CW27" i="1" s="1"/>
  <c r="CW20" i="1"/>
  <c r="CZ16" i="1"/>
  <c r="CZ27" i="1" s="1"/>
  <c r="CZ20" i="1"/>
  <c r="CJ271" i="1"/>
  <c r="AD13" i="1"/>
  <c r="Y202" i="1"/>
  <c r="Z150" i="1"/>
  <c r="Z153" i="1" s="1"/>
  <c r="X180" i="1"/>
  <c r="Y228" i="1" s="1"/>
  <c r="CJ180" i="1"/>
  <c r="CK228" i="1" s="1"/>
  <c r="CJ199" i="1"/>
  <c r="CK199" i="1" s="1"/>
  <c r="CK29" i="1"/>
  <c r="Y45" i="1"/>
  <c r="Z192" i="1"/>
  <c r="Z221" i="1"/>
  <c r="AB152" i="1"/>
  <c r="CK147" i="1"/>
  <c r="CJ175" i="1"/>
  <c r="CJ204" i="1" s="1"/>
  <c r="Z271" i="1"/>
  <c r="KH21" i="4"/>
  <c r="JT8" i="4"/>
  <c r="JU7" i="4"/>
  <c r="JZ7" i="4"/>
  <c r="KF8" i="4"/>
  <c r="JZ15" i="4"/>
  <c r="KB8" i="4"/>
  <c r="CJ147" i="1"/>
  <c r="X139" i="1"/>
  <c r="X194" i="1" s="1"/>
  <c r="Y192" i="1"/>
  <c r="KA15" i="4"/>
  <c r="KH8" i="4"/>
  <c r="CH271" i="1"/>
  <c r="JN7" i="4"/>
  <c r="X271" i="1"/>
  <c r="X45" i="1"/>
  <c r="X192" i="1"/>
  <c r="Y167" i="1"/>
  <c r="CJ213" i="1"/>
  <c r="CJ272" i="1"/>
  <c r="CG271" i="1"/>
  <c r="CK84" i="1"/>
  <c r="CH213" i="1"/>
  <c r="CH272" i="1"/>
  <c r="Y147" i="1"/>
  <c r="Y250" i="1"/>
  <c r="Y29" i="1"/>
  <c r="CH161" i="1"/>
  <c r="Z167" i="1"/>
  <c r="AA215" i="1" s="1"/>
  <c r="Y271" i="1"/>
  <c r="Y198" i="1"/>
  <c r="JO15" i="4"/>
  <c r="Z173" i="1"/>
  <c r="Y213" i="1"/>
  <c r="Y272" i="1"/>
  <c r="JP8" i="4"/>
  <c r="X153" i="1"/>
  <c r="Y199" i="1"/>
  <c r="CH136" i="1"/>
  <c r="CI136" i="1" s="1"/>
  <c r="Z139" i="1"/>
  <c r="AA226" i="1" s="1"/>
  <c r="Z250" i="1"/>
  <c r="Z29" i="1"/>
  <c r="KC7" i="4"/>
  <c r="JS7" i="4"/>
  <c r="KG14" i="4"/>
  <c r="KC14" i="4"/>
  <c r="KC19" i="4" s="1"/>
  <c r="JT7" i="4"/>
  <c r="JX14" i="4"/>
  <c r="JX19" i="4" s="1"/>
  <c r="JZ14" i="4"/>
  <c r="JX15" i="4"/>
  <c r="KB15" i="4"/>
  <c r="JY21" i="4"/>
  <c r="JT21" i="4"/>
  <c r="KG15" i="4"/>
  <c r="CI271" i="1"/>
  <c r="Y153" i="1"/>
  <c r="CH29" i="1"/>
  <c r="CL30" i="1" s="1"/>
  <c r="CH250" i="1"/>
  <c r="CK117" i="1"/>
  <c r="JO8" i="4"/>
  <c r="JN8" i="4"/>
  <c r="Y180" i="1"/>
  <c r="CG45" i="1"/>
  <c r="CJ250" i="1"/>
  <c r="CJ29" i="1"/>
  <c r="JN21" i="4"/>
  <c r="CH96" i="1" s="1"/>
  <c r="Y221" i="1"/>
  <c r="JP14" i="4"/>
  <c r="JO7" i="4"/>
  <c r="X272" i="1"/>
  <c r="X213" i="1"/>
  <c r="JU8" i="4"/>
  <c r="JS21" i="4"/>
  <c r="CJ202" i="1"/>
  <c r="CK202" i="1" s="1"/>
  <c r="KG7" i="4"/>
  <c r="KD7" i="4"/>
  <c r="JU14" i="4"/>
  <c r="JU19" i="4" s="1"/>
  <c r="KF21" i="4"/>
  <c r="JS8" i="4"/>
  <c r="JW14" i="4"/>
  <c r="JX8" i="4"/>
  <c r="KG8" i="4"/>
  <c r="KD15" i="4"/>
  <c r="KD20" i="4" s="1"/>
  <c r="JT15" i="4"/>
  <c r="KA14" i="4"/>
  <c r="KD21" i="4"/>
  <c r="JS14" i="4"/>
  <c r="CJ198" i="1"/>
  <c r="CM39" i="1"/>
  <c r="CQ39" i="1" s="1"/>
  <c r="CU39" i="1" s="1"/>
  <c r="CY39" i="1" s="1"/>
  <c r="CI45" i="1"/>
  <c r="CH172" i="1"/>
  <c r="CH202" i="1" s="1"/>
  <c r="CI202" i="1" s="1"/>
  <c r="Z202" i="1"/>
  <c r="Y175" i="1"/>
  <c r="Y204" i="1" s="1"/>
  <c r="CO39" i="1"/>
  <c r="CS39" i="1" s="1"/>
  <c r="CW39" i="1" s="1"/>
  <c r="DA39" i="1" s="1"/>
  <c r="CK45" i="1"/>
  <c r="X167" i="1"/>
  <c r="CG213" i="1"/>
  <c r="CG272" i="1"/>
  <c r="CI213" i="1"/>
  <c r="CI272" i="1"/>
  <c r="JP7" i="4"/>
  <c r="CI151" i="1"/>
  <c r="CJ151" i="1" s="1"/>
  <c r="CJ150" i="1" s="1"/>
  <c r="CK150" i="1" s="1"/>
  <c r="CG250" i="1"/>
  <c r="CJ117" i="1"/>
  <c r="CG29" i="1"/>
  <c r="X199" i="1"/>
  <c r="JN15" i="4"/>
  <c r="X175" i="1"/>
  <c r="CN39" i="1"/>
  <c r="CR39" i="1" s="1"/>
  <c r="CV39" i="1" s="1"/>
  <c r="CZ39" i="1" s="1"/>
  <c r="CJ45" i="1"/>
  <c r="CH178" i="1"/>
  <c r="CH180" i="1" s="1"/>
  <c r="Z180" i="1"/>
  <c r="AA228" i="1" s="1"/>
  <c r="JN14" i="4"/>
  <c r="JP21" i="4"/>
  <c r="CJ96" i="1" s="1"/>
  <c r="CH143" i="1"/>
  <c r="Z147" i="1"/>
  <c r="JO14" i="4"/>
  <c r="Z213" i="1"/>
  <c r="Z272" i="1"/>
  <c r="KF7" i="4"/>
  <c r="KA8" i="4"/>
  <c r="JV8" i="4"/>
  <c r="JV14" i="4"/>
  <c r="KB7" i="4"/>
  <c r="KH15" i="4"/>
  <c r="JY8" i="4"/>
  <c r="KA7" i="4"/>
  <c r="KD14" i="4"/>
  <c r="CK52" i="1"/>
  <c r="JT14" i="4"/>
  <c r="KF14" i="4"/>
  <c r="KF15" i="4"/>
  <c r="CH163" i="1"/>
  <c r="CH198" i="1" s="1"/>
  <c r="CI198" i="1" s="1"/>
  <c r="Z198" i="1"/>
  <c r="X250" i="1"/>
  <c r="X29" i="1"/>
  <c r="CI29" i="1"/>
  <c r="CI250" i="1"/>
  <c r="CH164" i="1"/>
  <c r="CH199" i="1" s="1"/>
  <c r="CI199" i="1" s="1"/>
  <c r="Z199" i="1"/>
  <c r="CP39" i="1"/>
  <c r="CT39" i="1" s="1"/>
  <c r="CX39" i="1" s="1"/>
  <c r="DB39" i="1" s="1"/>
  <c r="CH45" i="1"/>
  <c r="X147" i="1"/>
  <c r="Y139" i="1"/>
  <c r="Y194" i="1" s="1"/>
  <c r="X202" i="1"/>
  <c r="Z45" i="1"/>
  <c r="CI82" i="1"/>
  <c r="CJ84" i="1"/>
  <c r="JP15" i="4"/>
  <c r="JU15" i="4"/>
  <c r="KC15" i="4"/>
  <c r="JQ7" i="4"/>
  <c r="JV7" i="4"/>
  <c r="KE7" i="4"/>
  <c r="KC8" i="4"/>
  <c r="JZ8" i="4"/>
  <c r="JR14" i="4"/>
  <c r="JW21" i="4"/>
  <c r="JY14" i="4"/>
  <c r="JW7" i="4"/>
  <c r="JS15" i="4"/>
  <c r="JY15" i="4"/>
  <c r="CM144" i="1"/>
  <c r="AC152" i="1"/>
  <c r="CU152" i="1"/>
  <c r="CV152" i="1" s="1"/>
  <c r="CW152" i="1" s="1"/>
  <c r="CX152" i="1" s="1"/>
  <c r="CY182" i="1"/>
  <c r="CL176" i="1" l="1"/>
  <c r="CL184" i="1" s="1"/>
  <c r="CL185" i="1" s="1"/>
  <c r="JQ21" i="4"/>
  <c r="CK96" i="1" s="1"/>
  <c r="CJ139" i="1"/>
  <c r="CJ157" i="1"/>
  <c r="CJ167" i="1"/>
  <c r="CJ201" i="1" s="1"/>
  <c r="KH19" i="4"/>
  <c r="KB20" i="4"/>
  <c r="CO143" i="1"/>
  <c r="KB21" i="4"/>
  <c r="AA30" i="1"/>
  <c r="AA207" i="1"/>
  <c r="AA268" i="1"/>
  <c r="AA225" i="1"/>
  <c r="AA224" i="1" s="1"/>
  <c r="JT20" i="4"/>
  <c r="JN19" i="4"/>
  <c r="CH97" i="1" s="1"/>
  <c r="JO19" i="4"/>
  <c r="CI97" i="1" s="1"/>
  <c r="CY136" i="1"/>
  <c r="JZ19" i="4"/>
  <c r="Y203" i="1"/>
  <c r="KF19" i="4"/>
  <c r="CI159" i="1"/>
  <c r="CJ221" i="1" s="1"/>
  <c r="JX21" i="4"/>
  <c r="Z201" i="1"/>
  <c r="Z194" i="1"/>
  <c r="CY20" i="1"/>
  <c r="JX20" i="4"/>
  <c r="KA20" i="4"/>
  <c r="JV20" i="4"/>
  <c r="KB19" i="4"/>
  <c r="JT19" i="4"/>
  <c r="KF20" i="4"/>
  <c r="CL47" i="1"/>
  <c r="CL36" i="1"/>
  <c r="CL115" i="1"/>
  <c r="CL127" i="1"/>
  <c r="CL130" i="1" s="1"/>
  <c r="CL123" i="1"/>
  <c r="JQ20" i="4"/>
  <c r="CK98" i="1" s="1"/>
  <c r="CK127" i="1" s="1"/>
  <c r="CJ111" i="1"/>
  <c r="JP20" i="4"/>
  <c r="CJ98" i="1" s="1"/>
  <c r="JU20" i="4"/>
  <c r="JQ19" i="4"/>
  <c r="CK97" i="1" s="1"/>
  <c r="CK126" i="1" s="1"/>
  <c r="KE19" i="4"/>
  <c r="JZ20" i="4"/>
  <c r="JR19" i="4"/>
  <c r="CL97" i="1" s="1"/>
  <c r="JY19" i="4"/>
  <c r="DA13" i="1"/>
  <c r="DB10" i="1"/>
  <c r="DB13" i="1" s="1"/>
  <c r="Z52" i="1"/>
  <c r="Z157" i="1"/>
  <c r="AA222" i="1" s="1"/>
  <c r="AA220" i="1" s="1"/>
  <c r="CK35" i="1"/>
  <c r="CL38" i="1" s="1"/>
  <c r="CL207" i="1"/>
  <c r="CL31" i="1"/>
  <c r="CL225" i="1"/>
  <c r="CL268" i="1"/>
  <c r="CM198" i="1"/>
  <c r="CN198" i="1" s="1"/>
  <c r="CK198" i="1"/>
  <c r="CL263" i="1"/>
  <c r="CL244" i="1"/>
  <c r="AD10" i="1"/>
  <c r="AD20" i="1"/>
  <c r="AD16" i="1"/>
  <c r="CH150" i="1"/>
  <c r="CI150" i="1" s="1"/>
  <c r="CI153" i="1" s="1"/>
  <c r="CK17" i="1"/>
  <c r="CK46" i="1"/>
  <c r="Z267" i="1"/>
  <c r="CK225" i="1"/>
  <c r="CJ46" i="1"/>
  <c r="X267" i="1"/>
  <c r="CK118" i="1"/>
  <c r="JS20" i="4"/>
  <c r="CK268" i="1"/>
  <c r="KH20" i="4"/>
  <c r="CG46" i="1"/>
  <c r="X46" i="1"/>
  <c r="CJ118" i="1"/>
  <c r="JP19" i="4"/>
  <c r="CJ97" i="1" s="1"/>
  <c r="CJ126" i="1" s="1"/>
  <c r="CH82" i="1"/>
  <c r="CI84" i="1"/>
  <c r="CI35" i="1"/>
  <c r="CI17" i="1"/>
  <c r="CJ31" i="1"/>
  <c r="JW19" i="4"/>
  <c r="CH17" i="1"/>
  <c r="CH35" i="1"/>
  <c r="CL37" i="1" s="1"/>
  <c r="CI31" i="1"/>
  <c r="X157" i="1"/>
  <c r="X52" i="1"/>
  <c r="CH173" i="1"/>
  <c r="CH175" i="1" s="1"/>
  <c r="CH204" i="1" s="1"/>
  <c r="CH203" i="1" s="1"/>
  <c r="CI203" i="1" s="1"/>
  <c r="CI171" i="1" s="1"/>
  <c r="Z175" i="1"/>
  <c r="AA216" i="1" s="1"/>
  <c r="AA217" i="1" s="1"/>
  <c r="AA218" i="1" s="1"/>
  <c r="Y225" i="1"/>
  <c r="Y56" i="1"/>
  <c r="Y148" i="1"/>
  <c r="Y187" i="1"/>
  <c r="Y128" i="1" s="1"/>
  <c r="Y268" i="1"/>
  <c r="Z46" i="1"/>
  <c r="X35" i="1"/>
  <c r="X117" i="1"/>
  <c r="KD19" i="4"/>
  <c r="CG17" i="1"/>
  <c r="CJ244" i="1"/>
  <c r="CH31" i="1"/>
  <c r="CK30" i="1"/>
  <c r="CG35" i="1"/>
  <c r="CI46" i="1"/>
  <c r="JS19" i="4"/>
  <c r="Y52" i="1"/>
  <c r="Y157" i="1"/>
  <c r="Y265" i="1" s="1"/>
  <c r="CJ203" i="1"/>
  <c r="CK203" i="1" s="1"/>
  <c r="JO20" i="4"/>
  <c r="CI98" i="1" s="1"/>
  <c r="CH167" i="1"/>
  <c r="Y176" i="1"/>
  <c r="Y201" i="1"/>
  <c r="Z215" i="1"/>
  <c r="Z17" i="1"/>
  <c r="Z35" i="1"/>
  <c r="AA37" i="1" s="1"/>
  <c r="Z30" i="1"/>
  <c r="Z117" i="1"/>
  <c r="Z207" i="1"/>
  <c r="Y17" i="1"/>
  <c r="Y46" i="1"/>
  <c r="Y35" i="1"/>
  <c r="Y30" i="1"/>
  <c r="Y117" i="1"/>
  <c r="Y207" i="1"/>
  <c r="JY20" i="4"/>
  <c r="X148" i="1"/>
  <c r="X56" i="1"/>
  <c r="X187" i="1"/>
  <c r="X128" i="1" s="1"/>
  <c r="Z268" i="1"/>
  <c r="Z187" i="1"/>
  <c r="Z128" i="1" s="1"/>
  <c r="Z225" i="1"/>
  <c r="Z148" i="1"/>
  <c r="Z56" i="1"/>
  <c r="X204" i="1"/>
  <c r="X203" i="1" s="1"/>
  <c r="Y216" i="1"/>
  <c r="KG20" i="4"/>
  <c r="CJ200" i="1"/>
  <c r="CK200" i="1" s="1"/>
  <c r="KC20" i="4"/>
  <c r="CH46" i="1"/>
  <c r="JV19" i="4"/>
  <c r="CI143" i="1"/>
  <c r="CI147" i="1" s="1"/>
  <c r="CH147" i="1"/>
  <c r="CI228" i="1"/>
  <c r="JN20" i="4"/>
  <c r="CH98" i="1" s="1"/>
  <c r="X176" i="1"/>
  <c r="X201" i="1"/>
  <c r="Y215" i="1"/>
  <c r="KA19" i="4"/>
  <c r="CK31" i="1"/>
  <c r="CJ17" i="1"/>
  <c r="CJ35" i="1"/>
  <c r="Z228" i="1"/>
  <c r="Y267" i="1"/>
  <c r="KG19" i="4"/>
  <c r="CH139" i="1"/>
  <c r="CM159" i="1"/>
  <c r="CN159" i="1" s="1"/>
  <c r="CY152" i="1"/>
  <c r="CZ152" i="1" s="1"/>
  <c r="DA152" i="1" s="1"/>
  <c r="DB152" i="1" s="1"/>
  <c r="AE152" i="1" s="1"/>
  <c r="AD152" i="1"/>
  <c r="CN144" i="1"/>
  <c r="CM147" i="1"/>
  <c r="CZ182" i="1"/>
  <c r="CM64" i="1"/>
  <c r="CN64" i="1" s="1"/>
  <c r="CO64" i="1" s="1"/>
  <c r="CP64" i="1" s="1"/>
  <c r="CQ64" i="1" s="1"/>
  <c r="CR64" i="1" s="1"/>
  <c r="CS64" i="1" s="1"/>
  <c r="CT64" i="1" s="1"/>
  <c r="CU64" i="1" s="1"/>
  <c r="CM65" i="1"/>
  <c r="DA16" i="1" l="1"/>
  <c r="DA27" i="1" s="1"/>
  <c r="CJ205" i="1"/>
  <c r="CJ267" i="1"/>
  <c r="CJ176" i="1"/>
  <c r="CJ184" i="1" s="1"/>
  <c r="CJ148" i="1"/>
  <c r="CJ265" i="1"/>
  <c r="Z200" i="1"/>
  <c r="CI126" i="1"/>
  <c r="AA232" i="1"/>
  <c r="CJ263" i="1"/>
  <c r="DA20" i="1"/>
  <c r="CP143" i="1"/>
  <c r="AA229" i="1"/>
  <c r="AA230" i="1" s="1"/>
  <c r="CZ136" i="1"/>
  <c r="CM46" i="1"/>
  <c r="CI221" i="1"/>
  <c r="CH153" i="1"/>
  <c r="CI52" i="1" s="1"/>
  <c r="CK122" i="1"/>
  <c r="CJ127" i="1"/>
  <c r="CJ113" i="1"/>
  <c r="CK47" i="1"/>
  <c r="CL50" i="1" s="1"/>
  <c r="CK36" i="1"/>
  <c r="Z263" i="1"/>
  <c r="CO198" i="1"/>
  <c r="CJ115" i="1"/>
  <c r="Z265" i="1"/>
  <c r="CL251" i="1"/>
  <c r="CL252" i="1" s="1"/>
  <c r="CL53" i="1"/>
  <c r="CL57" i="1" s="1"/>
  <c r="CL48" i="1"/>
  <c r="CL114" i="1"/>
  <c r="CL122" i="1"/>
  <c r="CL126" i="1"/>
  <c r="CL129" i="1" s="1"/>
  <c r="CJ123" i="1"/>
  <c r="DB16" i="1"/>
  <c r="DB27" i="1" s="1"/>
  <c r="DB20" i="1"/>
  <c r="AE13" i="1"/>
  <c r="CI157" i="1"/>
  <c r="CJ222" i="1" s="1"/>
  <c r="CJ220" i="1" s="1"/>
  <c r="CJ52" i="1"/>
  <c r="CJ121" i="1"/>
  <c r="CK201" i="1"/>
  <c r="Y184" i="1"/>
  <c r="Y185" i="1" s="1"/>
  <c r="CK121" i="1"/>
  <c r="CK123" i="1"/>
  <c r="X184" i="1"/>
  <c r="X185" i="1" s="1"/>
  <c r="Y217" i="1"/>
  <c r="CJ114" i="1"/>
  <c r="CJ122" i="1"/>
  <c r="Z216" i="1"/>
  <c r="Z217" i="1" s="1"/>
  <c r="Z176" i="1"/>
  <c r="Z184" i="1" s="1"/>
  <c r="Z185" i="1" s="1"/>
  <c r="Z204" i="1"/>
  <c r="X200" i="1"/>
  <c r="X205" i="1"/>
  <c r="CI127" i="1"/>
  <c r="CH36" i="1"/>
  <c r="CH47" i="1"/>
  <c r="CL49" i="1" s="1"/>
  <c r="CI38" i="1"/>
  <c r="CI204" i="1"/>
  <c r="CI225" i="1"/>
  <c r="CI268" i="1"/>
  <c r="CJ268" i="1"/>
  <c r="CJ225" i="1"/>
  <c r="CK37" i="1"/>
  <c r="CG47" i="1"/>
  <c r="CG36" i="1"/>
  <c r="CH38" i="1"/>
  <c r="CK38" i="1"/>
  <c r="CJ47" i="1"/>
  <c r="CJ36" i="1"/>
  <c r="CH267" i="1"/>
  <c r="Y47" i="1"/>
  <c r="Y36" i="1"/>
  <c r="Z37" i="1"/>
  <c r="CH201" i="1"/>
  <c r="CH176" i="1"/>
  <c r="CG82" i="1"/>
  <c r="CH84" i="1"/>
  <c r="CH126" i="1" s="1"/>
  <c r="Z222" i="1"/>
  <c r="Z220" i="1" s="1"/>
  <c r="CH187" i="1"/>
  <c r="CH148" i="1"/>
  <c r="Z47" i="1"/>
  <c r="Z36" i="1"/>
  <c r="Y200" i="1"/>
  <c r="Y205" i="1"/>
  <c r="CK204" i="1"/>
  <c r="X47" i="1"/>
  <c r="X36" i="1"/>
  <c r="Y37" i="1"/>
  <c r="Y222" i="1"/>
  <c r="Y220" i="1" s="1"/>
  <c r="X265" i="1"/>
  <c r="X263" i="1"/>
  <c r="CI47" i="1"/>
  <c r="CI36" i="1"/>
  <c r="CJ38" i="1"/>
  <c r="Y263" i="1"/>
  <c r="CM268" i="1"/>
  <c r="CM221" i="1"/>
  <c r="CN52" i="1"/>
  <c r="CO52" i="1" s="1"/>
  <c r="CP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CN221" i="1"/>
  <c r="CO159" i="1"/>
  <c r="CO144" i="1"/>
  <c r="CN147" i="1"/>
  <c r="CN268" i="1" s="1"/>
  <c r="CM225" i="1"/>
  <c r="CQ202" i="1"/>
  <c r="CR202" i="1" s="1"/>
  <c r="CS202" i="1" s="1"/>
  <c r="CT202" i="1" s="1"/>
  <c r="CQ143" i="1"/>
  <c r="DA182" i="1"/>
  <c r="AB64" i="1"/>
  <c r="AC64" i="1"/>
  <c r="CV64" i="1"/>
  <c r="CW64" i="1" s="1"/>
  <c r="CX64" i="1" s="1"/>
  <c r="CY64" i="1" s="1"/>
  <c r="AB54" i="1"/>
  <c r="CN65" i="1"/>
  <c r="CO65" i="1" s="1"/>
  <c r="CP65" i="1" s="1"/>
  <c r="CQ65" i="1" s="1"/>
  <c r="CJ185" i="1" l="1"/>
  <c r="CH157" i="1"/>
  <c r="CH265" i="1" s="1"/>
  <c r="AA49" i="1"/>
  <c r="AA269" i="1"/>
  <c r="AA270" i="1" s="1"/>
  <c r="DA136" i="1"/>
  <c r="CN46" i="1"/>
  <c r="CL269" i="1"/>
  <c r="CL270" i="1" s="1"/>
  <c r="CK53" i="1"/>
  <c r="CK57" i="1" s="1"/>
  <c r="CK48" i="1"/>
  <c r="CK205" i="1"/>
  <c r="CP198" i="1"/>
  <c r="CL59" i="1"/>
  <c r="CL60" i="1"/>
  <c r="AE20" i="1"/>
  <c r="AE10" i="1"/>
  <c r="AE16" i="1"/>
  <c r="CL245" i="1"/>
  <c r="CL131" i="1"/>
  <c r="CI222" i="1"/>
  <c r="CI220" i="1" s="1"/>
  <c r="Y208" i="1"/>
  <c r="Y209" i="1" s="1"/>
  <c r="CH184" i="1"/>
  <c r="CH185" i="1" s="1"/>
  <c r="CM36" i="1"/>
  <c r="CN36" i="1" s="1"/>
  <c r="CO36" i="1" s="1"/>
  <c r="CP36" i="1" s="1"/>
  <c r="CH127" i="1"/>
  <c r="CH48" i="1"/>
  <c r="CH251" i="1"/>
  <c r="CH252" i="1" s="1"/>
  <c r="CK131" i="1"/>
  <c r="CH269" i="1"/>
  <c r="CI50" i="1"/>
  <c r="CH53" i="1"/>
  <c r="CH57" i="1" s="1"/>
  <c r="X251" i="1"/>
  <c r="X252" i="1" s="1"/>
  <c r="X48" i="1"/>
  <c r="X53" i="1"/>
  <c r="X131" i="1"/>
  <c r="Y49" i="1"/>
  <c r="CI56" i="1"/>
  <c r="CH128" i="1"/>
  <c r="CH129" i="1" s="1"/>
  <c r="CF82" i="1"/>
  <c r="CE82" i="1" s="1"/>
  <c r="CG84" i="1"/>
  <c r="CK50" i="1"/>
  <c r="CJ269" i="1"/>
  <c r="CJ270" i="1" s="1"/>
  <c r="CJ48" i="1"/>
  <c r="CJ251" i="1"/>
  <c r="CJ252" i="1" s="1"/>
  <c r="CJ53" i="1"/>
  <c r="CJ57" i="1" s="1"/>
  <c r="CM203" i="1"/>
  <c r="Y48" i="1"/>
  <c r="Y269" i="1"/>
  <c r="Y270" i="1" s="1"/>
  <c r="Y131" i="1"/>
  <c r="Y251" i="1"/>
  <c r="Y252" i="1" s="1"/>
  <c r="Y53" i="1"/>
  <c r="Z49" i="1"/>
  <c r="CG53" i="1"/>
  <c r="CG57" i="1" s="1"/>
  <c r="CH50" i="1"/>
  <c r="CJ245" i="1"/>
  <c r="CK49" i="1"/>
  <c r="CG48" i="1"/>
  <c r="CG251" i="1"/>
  <c r="CG252" i="1" s="1"/>
  <c r="CJ131" i="1"/>
  <c r="Z205" i="1"/>
  <c r="AA208" i="1" s="1"/>
  <c r="AA209" i="1" s="1"/>
  <c r="Z203" i="1"/>
  <c r="CK60" i="1"/>
  <c r="CL63" i="1" s="1"/>
  <c r="CK59" i="1"/>
  <c r="CI48" i="1"/>
  <c r="CI251" i="1"/>
  <c r="CI252" i="1" s="1"/>
  <c r="CI53" i="1"/>
  <c r="CI269" i="1"/>
  <c r="CI270" i="1" s="1"/>
  <c r="CJ50" i="1"/>
  <c r="Z131" i="1"/>
  <c r="Z251" i="1"/>
  <c r="Z252" i="1" s="1"/>
  <c r="Z48" i="1"/>
  <c r="Z269" i="1"/>
  <c r="Z270" i="1" s="1"/>
  <c r="Z53" i="1"/>
  <c r="CH205" i="1"/>
  <c r="CL208" i="1" s="1"/>
  <c r="CH200" i="1"/>
  <c r="CI200" i="1" s="1"/>
  <c r="CH111" i="1"/>
  <c r="CK151" i="1"/>
  <c r="CK213" i="1"/>
  <c r="CP159" i="1"/>
  <c r="CO221" i="1"/>
  <c r="CM201" i="1"/>
  <c r="CP144" i="1"/>
  <c r="CO147" i="1"/>
  <c r="CO268" i="1" s="1"/>
  <c r="CN225" i="1"/>
  <c r="CR143" i="1"/>
  <c r="CQ198" i="1"/>
  <c r="DB136" i="1"/>
  <c r="DB182" i="1"/>
  <c r="AD64" i="1"/>
  <c r="AB65" i="1"/>
  <c r="CZ64" i="1"/>
  <c r="DA64" i="1" s="1"/>
  <c r="DB64" i="1" s="1"/>
  <c r="AE64" i="1" s="1"/>
  <c r="AC54" i="1"/>
  <c r="CR65" i="1"/>
  <c r="CS65" i="1" s="1"/>
  <c r="CT65" i="1" s="1"/>
  <c r="CU65" i="1" s="1"/>
  <c r="AT13" i="3"/>
  <c r="AT37" i="3"/>
  <c r="AX17" i="3"/>
  <c r="AV14" i="3"/>
  <c r="AW7" i="3"/>
  <c r="AT45" i="3"/>
  <c r="AV36" i="3"/>
  <c r="AX8" i="3"/>
  <c r="AF13" i="3"/>
  <c r="EM15" i="4" a="1"/>
  <c r="EL11" i="4" a="1"/>
  <c r="ET5" i="4" a="1"/>
  <c r="AY38" i="3"/>
  <c r="EW15" i="4" a="1"/>
  <c r="AX14" i="3"/>
  <c r="AS21" i="3"/>
  <c r="EN6" i="4" a="1"/>
  <c r="AU20" i="3"/>
  <c r="EP11" i="4" a="1"/>
  <c r="Q6" i="6" a="1"/>
  <c r="AZ28" i="3"/>
  <c r="AY20" i="3"/>
  <c r="AW41" i="3"/>
  <c r="AV24" i="3"/>
  <c r="AU11" i="3"/>
  <c r="AX15" i="3"/>
  <c r="AS14" i="3"/>
  <c r="AQ5" i="6" a="1"/>
  <c r="EQ11" i="4" a="1"/>
  <c r="EL16" i="4" a="1"/>
  <c r="EN15" i="4" a="1"/>
  <c r="AU21" i="3"/>
  <c r="AZ45" i="3"/>
  <c r="AV17" i="3"/>
  <c r="AB5" i="6" a="1"/>
  <c r="AS31" i="3"/>
  <c r="ER7" i="4" a="1"/>
  <c r="AU18" i="3"/>
  <c r="AZ36" i="3"/>
  <c r="AT21" i="3"/>
  <c r="AU39" i="3"/>
  <c r="AF6" i="3"/>
  <c r="AV6" i="6" a="1"/>
  <c r="EM12" i="4" a="1"/>
  <c r="ER9" i="4" a="1"/>
  <c r="AS33" i="3"/>
  <c r="M5" i="6" a="1"/>
  <c r="EU11" i="4" a="1"/>
  <c r="EU13" i="4" a="1"/>
  <c r="EW11" i="4" a="1"/>
  <c r="AS6" i="3"/>
  <c r="AD6" i="6" a="1"/>
  <c r="AF5" i="6" a="1"/>
  <c r="ER14" i="4" a="1"/>
  <c r="AS11" i="3"/>
  <c r="EL6" i="4" a="1"/>
  <c r="AV5" i="6" a="1"/>
  <c r="AX36" i="3"/>
  <c r="AT40" i="3"/>
  <c r="AY5" i="3"/>
  <c r="AF18" i="3"/>
  <c r="F6" i="6" a="1"/>
  <c r="AW37" i="3"/>
  <c r="AZ16" i="3"/>
  <c r="AU22" i="3"/>
  <c r="AY17" i="3"/>
  <c r="AS13" i="3"/>
  <c r="EW6" i="4" a="1"/>
  <c r="AY24" i="3"/>
  <c r="AV42" i="3"/>
  <c r="AW21" i="3"/>
  <c r="C5" i="6" a="1"/>
  <c r="AW20" i="3"/>
  <c r="AV46" i="3"/>
  <c r="G5" i="6" a="1"/>
  <c r="AV35" i="3"/>
  <c r="AT8" i="3"/>
  <c r="AF19" i="3"/>
  <c r="AX41" i="3"/>
  <c r="AX31" i="3"/>
  <c r="AT10" i="3"/>
  <c r="T5" i="6" a="1"/>
  <c r="AU10" i="3"/>
  <c r="AJ5" i="6" a="1"/>
  <c r="AU16" i="3"/>
  <c r="AY25" i="3"/>
  <c r="AZ11" i="3"/>
  <c r="J6" i="6" a="1"/>
  <c r="AY15" i="3"/>
  <c r="AY37" i="3"/>
  <c r="EN7" i="4" a="1"/>
  <c r="EO6" i="4" a="1"/>
  <c r="ET8" i="4" a="1"/>
  <c r="X6" i="6" a="1"/>
  <c r="AF25" i="3"/>
  <c r="AV38" i="3"/>
  <c r="AX38" i="3"/>
  <c r="F45" i="3"/>
  <c r="AU6" i="6" a="1"/>
  <c r="AY35" i="3"/>
  <c r="AV45" i="3"/>
  <c r="AY8" i="3"/>
  <c r="AF31" i="3"/>
  <c r="AU37" i="3"/>
  <c r="ET11" i="4" a="1"/>
  <c r="EW5" i="4" a="1"/>
  <c r="AA6" i="6" a="1"/>
  <c r="AW6" i="6" a="1"/>
  <c r="AX7" i="3"/>
  <c r="AY33" i="3"/>
  <c r="AS36" i="3"/>
  <c r="AV41" i="3"/>
  <c r="AW36" i="3"/>
  <c r="AV16" i="3"/>
  <c r="AH6" i="6" a="1"/>
  <c r="AW9" i="3"/>
  <c r="ET16" i="4" a="1"/>
  <c r="ES6" i="4" a="1"/>
  <c r="EP7" i="4" a="1"/>
  <c r="AS10" i="3"/>
  <c r="AD5" i="6" a="1"/>
  <c r="AV19" i="3"/>
  <c r="AZ13" i="3"/>
  <c r="EO8" i="4" a="1"/>
  <c r="AU45" i="3"/>
  <c r="AS39" i="3"/>
  <c r="AY6" i="6" a="1"/>
  <c r="AY32" i="3"/>
  <c r="AG5" i="6" a="1"/>
  <c r="AB5" i="3"/>
  <c r="AU24" i="3"/>
  <c r="AF8" i="3"/>
  <c r="AV37" i="3"/>
  <c r="AU32" i="3"/>
  <c r="AU31" i="3"/>
  <c r="EP8" i="4" a="1"/>
  <c r="EN8" i="4" a="1"/>
  <c r="ET7" i="4" a="1"/>
  <c r="AN6" i="6" a="1"/>
  <c r="AJ6" i="6" a="1"/>
  <c r="AV31" i="3"/>
  <c r="AP7" i="3"/>
  <c r="ET6" i="4" a="1"/>
  <c r="AT42" i="3"/>
  <c r="AF35" i="3"/>
  <c r="AY26" i="3"/>
  <c r="V5" i="6" a="1"/>
  <c r="AY31" i="3"/>
  <c r="AS30" i="3"/>
  <c r="ER8" i="4" a="1"/>
  <c r="EN11" i="4" a="1"/>
  <c r="AE5" i="6" a="1"/>
  <c r="AU14" i="3"/>
  <c r="AR5" i="6" a="1"/>
  <c r="EL8" i="4" a="1"/>
  <c r="ER15" i="4" a="1"/>
  <c r="AT5" i="6" a="1"/>
  <c r="AW10" i="3"/>
  <c r="AV13" i="3"/>
  <c r="EU14" i="4" a="1"/>
  <c r="EQ6" i="4" a="1"/>
  <c r="AS28" i="3"/>
  <c r="EU7" i="4" a="1"/>
  <c r="AS35" i="3"/>
  <c r="AX22" i="3"/>
  <c r="AV39" i="3"/>
  <c r="AV30" i="3"/>
  <c r="AS40" i="3"/>
  <c r="AU34" i="3"/>
  <c r="AW39" i="3"/>
  <c r="AF30" i="3"/>
  <c r="AX5" i="3"/>
  <c r="AT29" i="3"/>
  <c r="EU6" i="4" a="1"/>
  <c r="ES9" i="4" a="1"/>
  <c r="AY40" i="3"/>
  <c r="I5" i="6" a="1"/>
  <c r="Z6" i="6" a="1"/>
  <c r="AR6" i="6" a="1"/>
  <c r="AZ8" i="3"/>
  <c r="AV7" i="3"/>
  <c r="J5" i="6" a="1"/>
  <c r="AS23" i="3"/>
  <c r="AZ17" i="3"/>
  <c r="AX20" i="3"/>
  <c r="AZ22" i="3"/>
  <c r="M6" i="6" a="1"/>
  <c r="AF10" i="3"/>
  <c r="AU42" i="3"/>
  <c r="AX6" i="3"/>
  <c r="AV40" i="3"/>
  <c r="AU19" i="3"/>
  <c r="AU5" i="3"/>
  <c r="AZ24" i="3"/>
  <c r="AU12" i="3"/>
  <c r="AX46" i="3"/>
  <c r="ET12" i="4" a="1"/>
  <c r="EV13" i="4" a="1"/>
  <c r="EQ8" i="4" a="1"/>
  <c r="EV16" i="4" a="1"/>
  <c r="ER13" i="4" a="1"/>
  <c r="AT31" i="3"/>
  <c r="AV25" i="3"/>
  <c r="AZ31" i="3"/>
  <c r="AW46" i="3"/>
  <c r="AI5" i="6" a="1"/>
  <c r="AZ23" i="3"/>
  <c r="AX45" i="3"/>
  <c r="AZ33" i="3"/>
  <c r="AX27" i="3"/>
  <c r="EV15" i="4" a="1"/>
  <c r="ER12" i="4" a="1"/>
  <c r="ET14" i="4" a="1"/>
  <c r="AR5" i="3"/>
  <c r="AF17" i="3"/>
  <c r="AF33" i="3"/>
  <c r="EW12" i="4" a="1"/>
  <c r="EL7" i="4" a="1"/>
  <c r="EU5" i="4" a="1"/>
  <c r="EO12" i="4" a="1"/>
  <c r="O5" i="6" a="1"/>
  <c r="AZ39" i="3"/>
  <c r="AS18" i="3"/>
  <c r="AY6" i="3"/>
  <c r="AY12" i="3"/>
  <c r="AT30" i="3"/>
  <c r="AO6" i="6" a="1"/>
  <c r="AF23" i="3"/>
  <c r="EP12" i="4" a="1"/>
  <c r="EM13" i="4" a="1"/>
  <c r="EO7" i="4" a="1"/>
  <c r="EO15" i="4" a="1"/>
  <c r="F46" i="3"/>
  <c r="AU5" i="6" a="1"/>
  <c r="AS7" i="3"/>
  <c r="Q5" i="6" a="1"/>
  <c r="AZ10" i="3"/>
  <c r="AU29" i="3"/>
  <c r="AY19" i="3"/>
  <c r="W5" i="6" a="1"/>
  <c r="AX11" i="3"/>
  <c r="AF37" i="3"/>
  <c r="P5" i="6" a="1"/>
  <c r="AV6" i="3"/>
  <c r="AY14" i="3"/>
  <c r="AY22" i="3"/>
  <c r="AY10" i="3"/>
  <c r="AW14" i="3"/>
  <c r="AU35" i="3"/>
  <c r="AT18" i="3"/>
  <c r="AZ38" i="3"/>
  <c r="AS5" i="3"/>
  <c r="EO14" i="4" a="1"/>
  <c r="ES7" i="4" a="1"/>
  <c r="ET13" i="4" a="1"/>
  <c r="AT6" i="6" a="1"/>
  <c r="EV11" i="4" a="1"/>
  <c r="AF20" i="3"/>
  <c r="AW33" i="3"/>
  <c r="AV22" i="3"/>
  <c r="AF14" i="3"/>
  <c r="AV32" i="3"/>
  <c r="EQ16" i="4" a="1"/>
  <c r="EO11" i="4" a="1"/>
  <c r="AZ37" i="3"/>
  <c r="R5" i="6" a="1"/>
  <c r="P6" i="6" a="1"/>
  <c r="AF21" i="3"/>
  <c r="AY36" i="3"/>
  <c r="AW8" i="3"/>
  <c r="AZ29" i="3"/>
  <c r="AS27" i="3"/>
  <c r="ES14" i="4" a="1"/>
  <c r="EP14" i="4" a="1"/>
  <c r="EQ15" i="4" a="1"/>
  <c r="T6" i="6" a="1"/>
  <c r="AX37" i="3"/>
  <c r="EN5" i="4" a="1"/>
  <c r="AX13" i="3"/>
  <c r="N5" i="6" a="1"/>
  <c r="AW27" i="3"/>
  <c r="AF22" i="3"/>
  <c r="AW22" i="3"/>
  <c r="AT15" i="3"/>
  <c r="U5" i="6" a="1"/>
  <c r="EW13" i="4" a="1"/>
  <c r="AS20" i="3"/>
  <c r="AT36" i="3"/>
  <c r="EN9" i="4" a="1"/>
  <c r="AU9" i="3"/>
  <c r="AW32" i="3"/>
  <c r="EV12" i="4" a="1"/>
  <c r="AW24" i="3"/>
  <c r="C6" i="4" a="1"/>
  <c r="EP6" i="4" a="1"/>
  <c r="EV14" i="4" a="1"/>
  <c r="AU40" i="3"/>
  <c r="AZ15" i="3"/>
  <c r="EM6" i="4" a="1"/>
  <c r="AS17" i="3"/>
  <c r="AX25" i="3"/>
  <c r="N6" i="6" a="1"/>
  <c r="AW42" i="3"/>
  <c r="AY7" i="3"/>
  <c r="AF40" i="3"/>
  <c r="AS41" i="3"/>
  <c r="AU25" i="3"/>
  <c r="AS45" i="3"/>
  <c r="AZ42" i="3"/>
  <c r="AW31" i="3"/>
  <c r="AV34" i="3"/>
  <c r="AX18" i="3"/>
  <c r="Y5" i="6" a="1"/>
  <c r="AX26" i="3"/>
  <c r="AW5" i="6" a="1"/>
  <c r="AU15" i="3"/>
  <c r="AW28" i="3"/>
  <c r="AW23" i="3"/>
  <c r="AX9" i="3"/>
  <c r="AZ46" i="3"/>
  <c r="AY42" i="3"/>
  <c r="EM5" i="4" a="1"/>
  <c r="EL13" i="4" a="1"/>
  <c r="ES13" i="4" a="1"/>
  <c r="AT16" i="3"/>
  <c r="AF26" i="3"/>
  <c r="E5" i="6" a="1"/>
  <c r="AU23" i="3"/>
  <c r="AV21" i="3"/>
  <c r="AS15" i="3"/>
  <c r="AT25" i="3"/>
  <c r="AW35" i="3"/>
  <c r="U6" i="6" a="1"/>
  <c r="AF9" i="3"/>
  <c r="AS32" i="3"/>
  <c r="AT11" i="3"/>
  <c r="AU8" i="3"/>
  <c r="AW25" i="3"/>
  <c r="EU9" i="4" a="1"/>
  <c r="EV6" i="4" a="1"/>
  <c r="EM16" i="4" a="1"/>
  <c r="EP13" i="4" a="1"/>
  <c r="AT12" i="3"/>
  <c r="AL6" i="6" a="1"/>
  <c r="AT19" i="3"/>
  <c r="AX34" i="3"/>
  <c r="AZ25" i="3"/>
  <c r="K6" i="6" a="1"/>
  <c r="AX33" i="3"/>
  <c r="AX28" i="3"/>
  <c r="AT5" i="3"/>
  <c r="AX10" i="3"/>
  <c r="AT46" i="3"/>
  <c r="AT41" i="3"/>
  <c r="V6" i="6" a="1"/>
  <c r="AS6" i="6" a="1"/>
  <c r="AW26" i="3"/>
  <c r="EQ13" i="4" a="1"/>
  <c r="EO5" i="4" a="1"/>
  <c r="EL15" i="4" a="1"/>
  <c r="AW34" i="3"/>
  <c r="AS26" i="3"/>
  <c r="AC5" i="6" a="1"/>
  <c r="EO9" i="4" a="1"/>
  <c r="AZ21" i="3"/>
  <c r="AX12" i="3"/>
  <c r="AZ18" i="3"/>
  <c r="AG6" i="6" a="1"/>
  <c r="AR6" i="3"/>
  <c r="AS37" i="3"/>
  <c r="AW19" i="3"/>
  <c r="ER5" i="4" a="1"/>
  <c r="EV8" i="4" a="1"/>
  <c r="AY9" i="3"/>
  <c r="AW18" i="3"/>
  <c r="EW16" i="4" a="1"/>
  <c r="EN13" i="4" a="1"/>
  <c r="EW7" i="4" a="1"/>
  <c r="K5" i="6" a="1"/>
  <c r="AF34" i="3"/>
  <c r="AV12" i="3"/>
  <c r="EN16" i="4" a="1"/>
  <c r="AX32" i="3"/>
  <c r="AX5" i="6" a="1"/>
  <c r="ES12" i="4" a="1"/>
  <c r="AX29" i="3"/>
  <c r="AZ14" i="3"/>
  <c r="AT14" i="3"/>
  <c r="C6" i="6" a="1"/>
  <c r="AS38" i="3"/>
  <c r="AY30" i="3"/>
  <c r="AF11" i="3"/>
  <c r="AW30" i="3"/>
  <c r="AX21" i="3"/>
  <c r="AZ7" i="3"/>
  <c r="AY39" i="3"/>
  <c r="AT17" i="3"/>
  <c r="O6" i="6" a="1"/>
  <c r="AT7" i="3"/>
  <c r="AU17" i="3"/>
  <c r="AL5" i="6" a="1"/>
  <c r="AS9" i="3"/>
  <c r="AZ5" i="3"/>
  <c r="AN5" i="6" a="1"/>
  <c r="AS16" i="3"/>
  <c r="AB6" i="6" a="1"/>
  <c r="AU28" i="3"/>
  <c r="AF45" i="3"/>
  <c r="AW12" i="3"/>
  <c r="L6" i="6" a="1"/>
  <c r="AZ41" i="3"/>
  <c r="AT24" i="3"/>
  <c r="AV26" i="3"/>
  <c r="AS8" i="3"/>
  <c r="C5" i="3"/>
  <c r="AT35" i="3"/>
  <c r="AX42" i="3"/>
  <c r="AU7" i="3"/>
  <c r="ER11" i="4" a="1"/>
  <c r="ET15" i="4" a="1"/>
  <c r="EW9" i="4" a="1"/>
  <c r="AT6" i="3"/>
  <c r="F5" i="6" a="1"/>
  <c r="AE6" i="6" a="1"/>
  <c r="AW45" i="3"/>
  <c r="AX30" i="3"/>
  <c r="AW13" i="3"/>
  <c r="AT27" i="3"/>
  <c r="AV20" i="3"/>
  <c r="AS25" i="3"/>
  <c r="D6" i="6" a="1"/>
  <c r="AF39" i="3"/>
  <c r="EO16" i="4" a="1"/>
  <c r="EM7" i="4" a="1"/>
  <c r="ET9" i="4" a="1"/>
  <c r="AZ27" i="3"/>
  <c r="ER16" i="4" a="1"/>
  <c r="AV15" i="3"/>
  <c r="EU16" i="4" a="1"/>
  <c r="ES11" i="4" a="1"/>
  <c r="AF15" i="3"/>
  <c r="ER6" i="4" a="1"/>
  <c r="AU41" i="3"/>
  <c r="AS24" i="3"/>
  <c r="AF6" i="6" a="1"/>
  <c r="AW17" i="3"/>
  <c r="AY21" i="3"/>
  <c r="AX39" i="3"/>
  <c r="AT32" i="3"/>
  <c r="AM5" i="6" a="1"/>
  <c r="EM11" i="4" a="1"/>
  <c r="EL14" i="4" a="1"/>
  <c r="EM8" i="4" a="1"/>
  <c r="AF24" i="3"/>
  <c r="ES5" i="4" a="1"/>
  <c r="AA5" i="6" a="1"/>
  <c r="AF32" i="3"/>
  <c r="AP6" i="6" a="1"/>
  <c r="AV33" i="3"/>
  <c r="AT23" i="3"/>
  <c r="AY11" i="3"/>
  <c r="AW38" i="3"/>
  <c r="S6" i="6" a="1"/>
  <c r="AW29" i="3"/>
  <c r="AY46" i="3"/>
  <c r="H6" i="6" a="1"/>
  <c r="H5" i="6" a="1"/>
  <c r="AP5" i="3"/>
  <c r="C5" i="4" a="1"/>
  <c r="AV27" i="3"/>
  <c r="AZ35" i="3"/>
  <c r="AS19" i="3"/>
  <c r="AU6" i="3"/>
  <c r="EP9" i="4" a="1"/>
  <c r="AM6" i="6" a="1"/>
  <c r="AT20" i="3"/>
  <c r="AR7" i="3"/>
  <c r="AU33" i="3"/>
  <c r="AZ40" i="3"/>
  <c r="EU8" i="4" a="1"/>
  <c r="AV5" i="3"/>
  <c r="AF7" i="3"/>
  <c r="AW15" i="3"/>
  <c r="AZ6" i="3"/>
  <c r="AX16" i="3"/>
  <c r="AX40" i="3"/>
  <c r="AK6" i="6" a="1"/>
  <c r="EL9" i="4" a="1"/>
  <c r="AV9" i="3"/>
  <c r="AY23" i="3"/>
  <c r="AZ34" i="3"/>
  <c r="AC6" i="6" a="1"/>
  <c r="AT33" i="3"/>
  <c r="AK5" i="6" a="1"/>
  <c r="AT39" i="3"/>
  <c r="AX35" i="3"/>
  <c r="EW8" i="4" a="1"/>
  <c r="AI6" i="6" a="1"/>
  <c r="AX23" i="3"/>
  <c r="AF38" i="3"/>
  <c r="AV11" i="3"/>
  <c r="R6" i="6" a="1"/>
  <c r="AU27" i="3"/>
  <c r="AQ6" i="6" a="1"/>
  <c r="AW6" i="3"/>
  <c r="AV29" i="3"/>
  <c r="AY13" i="3"/>
  <c r="AS34" i="3"/>
  <c r="EM9" i="4" a="1"/>
  <c r="AU30" i="3"/>
  <c r="EN14" i="4" a="1"/>
  <c r="EV7" i="4" a="1"/>
  <c r="AV8" i="3"/>
  <c r="AF29" i="3"/>
  <c r="AF5" i="3"/>
  <c r="AZ9" i="3"/>
  <c r="EQ12" i="4" a="1"/>
  <c r="EV5" i="4" a="1"/>
  <c r="AT26" i="3"/>
  <c r="AW16" i="3"/>
  <c r="AY27" i="3"/>
  <c r="AY18" i="3"/>
  <c r="AH5" i="6" a="1"/>
  <c r="AW11" i="3"/>
  <c r="AU38" i="3"/>
  <c r="AZ30" i="3"/>
  <c r="AT9" i="3"/>
  <c r="G6" i="6" a="1"/>
  <c r="EU12" i="4" a="1"/>
  <c r="EL5" i="4" a="1"/>
  <c r="AW40" i="3"/>
  <c r="AP5" i="6" a="1"/>
  <c r="EW14" i="4" a="1"/>
  <c r="EP15" i="4" a="1"/>
  <c r="Z5" i="6" a="1"/>
  <c r="AW5" i="3"/>
  <c r="W6" i="6" a="1"/>
  <c r="AV23" i="3"/>
  <c r="ES8" i="4" a="1"/>
  <c r="EV9" i="4" a="1"/>
  <c r="EU15" i="4" a="1"/>
  <c r="AY5" i="6" a="1"/>
  <c r="AT28" i="3"/>
  <c r="AU46" i="3"/>
  <c r="AZ12" i="3"/>
  <c r="L5" i="6" a="1"/>
  <c r="ES16" i="4" a="1"/>
  <c r="EN12" i="4" a="1"/>
  <c r="EL12" i="4" a="1"/>
  <c r="AF41" i="3"/>
  <c r="AZ20" i="3"/>
  <c r="AY28" i="3"/>
  <c r="AT34" i="3"/>
  <c r="AY45" i="3"/>
  <c r="AO5" i="6" a="1"/>
  <c r="AV28" i="3"/>
  <c r="AY41" i="3"/>
  <c r="AS22" i="3"/>
  <c r="EP5" i="4" a="1"/>
  <c r="I6" i="6" a="1"/>
  <c r="AS42" i="3"/>
  <c r="AS12" i="3"/>
  <c r="AX6" i="6" a="1"/>
  <c r="AF28" i="3"/>
  <c r="AY34" i="3"/>
  <c r="EQ14" i="4" a="1"/>
  <c r="AF16" i="3"/>
  <c r="EP16" i="4" a="1"/>
  <c r="AY16" i="3"/>
  <c r="EO13" i="4" a="1"/>
  <c r="AS5" i="6" a="1"/>
  <c r="AT38" i="3"/>
  <c r="AX24" i="3"/>
  <c r="AF27" i="3"/>
  <c r="AZ32" i="3"/>
  <c r="EM14" i="4" a="1"/>
  <c r="D5" i="6" a="1"/>
  <c r="AS46" i="3"/>
  <c r="AU36" i="3"/>
  <c r="AU13" i="3"/>
  <c r="AF36" i="3"/>
  <c r="EQ5" i="4" a="1"/>
  <c r="AT22" i="3"/>
  <c r="S5" i="6" a="1"/>
  <c r="AF12" i="3"/>
  <c r="AP6" i="3"/>
  <c r="Y6" i="6" a="1"/>
  <c r="ES15" i="4" a="1"/>
  <c r="AU26" i="3"/>
  <c r="AZ19" i="3"/>
  <c r="AZ26" i="3"/>
  <c r="AS29" i="3"/>
  <c r="AF46" i="3"/>
  <c r="X5" i="6" a="1"/>
  <c r="AV18" i="3"/>
  <c r="E6" i="6" a="1"/>
  <c r="AF42" i="3"/>
  <c r="AX19" i="3"/>
  <c r="EQ9" i="4" a="1"/>
  <c r="EQ7" i="4" a="1"/>
  <c r="CO46" i="1" l="1"/>
  <c r="Z208" i="1"/>
  <c r="Z209" i="1" s="1"/>
  <c r="CL253" i="1"/>
  <c r="CL67" i="1"/>
  <c r="CL61" i="1"/>
  <c r="CL264" i="1" s="1"/>
  <c r="CL132" i="1"/>
  <c r="CL133" i="1"/>
  <c r="CI57" i="1"/>
  <c r="CL74" i="1"/>
  <c r="CK153" i="1"/>
  <c r="CL52" i="1" s="1"/>
  <c r="CL151" i="1"/>
  <c r="CL150" i="1" s="1"/>
  <c r="CF84" i="1"/>
  <c r="CH60" i="1"/>
  <c r="CL62" i="1" s="1"/>
  <c r="CH59" i="1"/>
  <c r="CH113" i="1"/>
  <c r="CH114" i="1"/>
  <c r="CH115" i="1"/>
  <c r="CJ60" i="1"/>
  <c r="CJ59" i="1"/>
  <c r="Z57" i="1"/>
  <c r="Z74" i="1"/>
  <c r="CG59" i="1"/>
  <c r="CG60" i="1"/>
  <c r="CN203" i="1"/>
  <c r="CM204" i="1"/>
  <c r="CM205" i="1" s="1"/>
  <c r="X74" i="1"/>
  <c r="X57" i="1"/>
  <c r="CI165" i="1"/>
  <c r="CI201" i="1"/>
  <c r="Y74" i="1"/>
  <c r="Y57" i="1"/>
  <c r="CH130" i="1"/>
  <c r="CI59" i="1"/>
  <c r="CM59" i="1" s="1"/>
  <c r="CI60" i="1"/>
  <c r="CL246" i="1" s="1"/>
  <c r="CK67" i="1"/>
  <c r="CK61" i="1"/>
  <c r="CD82" i="1"/>
  <c r="CE84" i="1"/>
  <c r="CK157" i="1"/>
  <c r="CP221" i="1"/>
  <c r="CQ159" i="1"/>
  <c r="CQ221" i="1" s="1"/>
  <c r="CN201" i="1"/>
  <c r="CQ144" i="1"/>
  <c r="CP147" i="1"/>
  <c r="CP268" i="1" s="1"/>
  <c r="CO225" i="1"/>
  <c r="BY41" i="1"/>
  <c r="CA28" i="1"/>
  <c r="CE41" i="1"/>
  <c r="CA41" i="1"/>
  <c r="CF41" i="1"/>
  <c r="CD41" i="1"/>
  <c r="BZ41" i="1"/>
  <c r="BL41" i="1"/>
  <c r="CC41" i="1"/>
  <c r="CB41" i="1"/>
  <c r="CF28" i="1"/>
  <c r="CD28" i="1"/>
  <c r="BY28" i="1"/>
  <c r="CE28" i="1"/>
  <c r="BZ28" i="1"/>
  <c r="CC28" i="1"/>
  <c r="CB28" i="1"/>
  <c r="BL28" i="1"/>
  <c r="CD44" i="1"/>
  <c r="CC64" i="1"/>
  <c r="CA27" i="1"/>
  <c r="CA250" i="1" s="1"/>
  <c r="CD58" i="1"/>
  <c r="AH7" i="6" s="1"/>
  <c r="CD54" i="1"/>
  <c r="CF55" i="1"/>
  <c r="BY64" i="1"/>
  <c r="BL64" i="1"/>
  <c r="CD65" i="1"/>
  <c r="AV7" i="6" s="1"/>
  <c r="CB39" i="1"/>
  <c r="R7" i="6" s="1"/>
  <c r="X7" i="6" s="1"/>
  <c r="CD64" i="1"/>
  <c r="CD34" i="1"/>
  <c r="V7" i="6" s="1"/>
  <c r="BY34" i="1"/>
  <c r="CB27" i="1"/>
  <c r="CB250" i="1" s="1"/>
  <c r="BY70" i="1"/>
  <c r="BL27" i="1"/>
  <c r="AW7" i="6" s="1"/>
  <c r="BY40" i="1"/>
  <c r="CA32" i="1"/>
  <c r="CB42" i="1"/>
  <c r="BZ55" i="1"/>
  <c r="O7" i="6" s="1"/>
  <c r="BL66" i="1"/>
  <c r="AQ7" i="6" s="1"/>
  <c r="CF27" i="1"/>
  <c r="JJ9" i="4" s="1"/>
  <c r="BY65" i="1"/>
  <c r="AM7" i="6" s="1"/>
  <c r="JM16" i="4" s="1"/>
  <c r="CF66" i="1"/>
  <c r="CA43" i="1"/>
  <c r="BL42" i="1"/>
  <c r="BL65" i="1"/>
  <c r="CF54" i="1"/>
  <c r="BL55" i="1"/>
  <c r="BZ64" i="1"/>
  <c r="CC44" i="1"/>
  <c r="CC40" i="1"/>
  <c r="JM9" i="4" s="1"/>
  <c r="CA40" i="1"/>
  <c r="JL16" i="4" s="1"/>
  <c r="BZ43" i="1"/>
  <c r="CB40" i="1"/>
  <c r="CC32" i="1"/>
  <c r="JK16" i="4" s="1"/>
  <c r="CA70" i="1"/>
  <c r="BZ33" i="1"/>
  <c r="CE34" i="1"/>
  <c r="CC33" i="1"/>
  <c r="C7" i="6" s="1"/>
  <c r="T7" i="6" s="1"/>
  <c r="BY43" i="1"/>
  <c r="CC65" i="1"/>
  <c r="CC27" i="1"/>
  <c r="CC250" i="1" s="1"/>
  <c r="CB54" i="1"/>
  <c r="JL9" i="4" s="1"/>
  <c r="CF58" i="1"/>
  <c r="AL7" i="6" s="1"/>
  <c r="BZ51" i="1"/>
  <c r="BZ213" i="1" s="1"/>
  <c r="BZ54" i="1"/>
  <c r="J7" i="6" s="1"/>
  <c r="BY66" i="1"/>
  <c r="Z7" i="6" s="1"/>
  <c r="BL39" i="1"/>
  <c r="CF32" i="1"/>
  <c r="CF42" i="1"/>
  <c r="BZ32" i="1"/>
  <c r="CA34" i="1"/>
  <c r="CD33" i="1"/>
  <c r="BL40" i="1"/>
  <c r="BY33" i="1"/>
  <c r="CE51" i="1"/>
  <c r="CE213" i="1" s="1"/>
  <c r="AD7" i="6" s="1"/>
  <c r="CF44" i="1"/>
  <c r="CE39" i="1"/>
  <c r="CA66" i="1"/>
  <c r="CD55" i="1"/>
  <c r="CB43" i="1"/>
  <c r="CD66" i="1"/>
  <c r="AP7" i="6" s="1"/>
  <c r="Y7" i="6" s="1"/>
  <c r="CA44" i="1"/>
  <c r="AA7" i="6" s="1"/>
  <c r="AJ7" i="6" s="1"/>
  <c r="BY27" i="1"/>
  <c r="BY42" i="1"/>
  <c r="CB58" i="1"/>
  <c r="CE44" i="1"/>
  <c r="I7" i="6" s="1"/>
  <c r="AK7" i="6" s="1"/>
  <c r="CE33" i="1"/>
  <c r="K7" i="6" s="1"/>
  <c r="F7" i="6" s="1"/>
  <c r="CB64" i="1"/>
  <c r="CF43" i="1"/>
  <c r="AC7" i="6" s="1"/>
  <c r="AE7" i="6" s="1"/>
  <c r="M7" i="6" s="1"/>
  <c r="Q7" i="6" s="1"/>
  <c r="CA65" i="1"/>
  <c r="BZ65" i="1"/>
  <c r="CA55" i="1"/>
  <c r="CF65" i="1"/>
  <c r="AU7" i="6" s="1"/>
  <c r="BL34" i="1"/>
  <c r="CE43" i="1"/>
  <c r="CB51" i="1"/>
  <c r="CB213" i="1" s="1"/>
  <c r="CC66" i="1"/>
  <c r="CC70" i="1"/>
  <c r="AX7" i="6" s="1"/>
  <c r="BZ42" i="1"/>
  <c r="AT7" i="6" s="1"/>
  <c r="S7" i="6" s="1"/>
  <c r="BY32" i="1"/>
  <c r="CE54" i="1"/>
  <c r="CA64" i="1"/>
  <c r="CB66" i="1"/>
  <c r="CA54" i="1"/>
  <c r="CF70" i="1"/>
  <c r="CF40" i="1"/>
  <c r="CA39" i="1"/>
  <c r="AN7" i="6" s="1"/>
  <c r="CE65" i="1"/>
  <c r="CC34" i="1"/>
  <c r="CE70" i="1"/>
  <c r="CF34" i="1"/>
  <c r="G7" i="6" s="1"/>
  <c r="BL51" i="1"/>
  <c r="AF7" i="6" s="1"/>
  <c r="CC39" i="1"/>
  <c r="CD39" i="1"/>
  <c r="JJ16" i="4" s="1"/>
  <c r="BY44" i="1"/>
  <c r="CB65" i="1"/>
  <c r="CE27" i="1"/>
  <c r="AB7" i="6" s="1"/>
  <c r="BL33" i="1"/>
  <c r="CD70" i="1"/>
  <c r="BY39" i="1"/>
  <c r="BZ34" i="1"/>
  <c r="CD40" i="1"/>
  <c r="L7" i="6" s="1"/>
  <c r="BL58" i="1"/>
  <c r="BZ27" i="1"/>
  <c r="BZ250" i="1" s="1"/>
  <c r="CA51" i="1"/>
  <c r="BZ58" i="1"/>
  <c r="BY51" i="1"/>
  <c r="BY213" i="1" s="1"/>
  <c r="AI7" i="6" s="1"/>
  <c r="CC58" i="1"/>
  <c r="D7" i="6" s="1"/>
  <c r="BZ40" i="1"/>
  <c r="AG7" i="6" s="1"/>
  <c r="BZ39" i="1"/>
  <c r="BL70" i="1"/>
  <c r="W7" i="6" s="1"/>
  <c r="CB70" i="1"/>
  <c r="CE66" i="1"/>
  <c r="CF39" i="1"/>
  <c r="CC42" i="1"/>
  <c r="CD42" i="1"/>
  <c r="CE32" i="1"/>
  <c r="BY54" i="1"/>
  <c r="CC54" i="1"/>
  <c r="BZ70" i="1"/>
  <c r="AS7" i="6" s="1"/>
  <c r="BZ66" i="1"/>
  <c r="CE55" i="1"/>
  <c r="CD32" i="1"/>
  <c r="BL54" i="1"/>
  <c r="CB33" i="1"/>
  <c r="CC51" i="1"/>
  <c r="CC213" i="1" s="1"/>
  <c r="BY58" i="1"/>
  <c r="H7" i="6" s="1"/>
  <c r="CA42" i="1"/>
  <c r="BZ44" i="1"/>
  <c r="CD27" i="1"/>
  <c r="CD250" i="1" s="1"/>
  <c r="AR7" i="6" s="1"/>
  <c r="CF33" i="1"/>
  <c r="BL32" i="1"/>
  <c r="BL43" i="1"/>
  <c r="JK9" i="4" s="1"/>
  <c r="AO7" i="6" s="1"/>
  <c r="CA58" i="1"/>
  <c r="BL44" i="1"/>
  <c r="CA33" i="1"/>
  <c r="CE64" i="1"/>
  <c r="CD43" i="1"/>
  <c r="P7" i="6" s="1"/>
  <c r="E7" i="6" s="1"/>
  <c r="U7" i="6" s="1"/>
  <c r="CC43" i="1"/>
  <c r="AY7" i="6" s="1"/>
  <c r="CD51" i="1"/>
  <c r="CB34" i="1"/>
  <c r="CC55" i="1"/>
  <c r="CB55" i="1"/>
  <c r="CE42" i="1"/>
  <c r="CE40" i="1"/>
  <c r="CF51" i="1"/>
  <c r="CF213" i="1" s="1"/>
  <c r="CB44" i="1"/>
  <c r="BY55" i="1"/>
  <c r="CF64" i="1"/>
  <c r="N7" i="6" s="1"/>
  <c r="CQ36" i="1"/>
  <c r="CS143" i="1"/>
  <c r="CR198" i="1"/>
  <c r="CJ74" i="1"/>
  <c r="AC65" i="1"/>
  <c r="CV65" i="1"/>
  <c r="CW65" i="1" s="1"/>
  <c r="CX65" i="1" s="1"/>
  <c r="CY65" i="1" s="1"/>
  <c r="AD54" i="1"/>
  <c r="AS82" i="3"/>
  <c r="AU86" i="3"/>
  <c r="AV54" i="3"/>
  <c r="AX77" i="3"/>
  <c r="AX91" i="3"/>
  <c r="AV73" i="3"/>
  <c r="AV78" i="3"/>
  <c r="AY97" i="3"/>
  <c r="AT97" i="3"/>
  <c r="AV80" i="3"/>
  <c r="AX76" i="3"/>
  <c r="AZ65" i="3"/>
  <c r="AX93" i="3"/>
  <c r="AS84" i="3"/>
  <c r="AY88" i="3"/>
  <c r="AT76" i="3"/>
  <c r="AF91" i="3"/>
  <c r="AW60" i="3"/>
  <c r="AY78" i="3"/>
  <c r="AU56" i="3"/>
  <c r="AU80" i="3"/>
  <c r="AX49" i="3"/>
  <c r="AY94" i="3"/>
  <c r="AW96" i="3"/>
  <c r="AS73" i="3"/>
  <c r="AW89" i="3"/>
  <c r="C63" i="3"/>
  <c r="AX83" i="3"/>
  <c r="AY74" i="3"/>
  <c r="AX81" i="3"/>
  <c r="AV77" i="3"/>
  <c r="AU95" i="3"/>
  <c r="AX89" i="3"/>
  <c r="AW94" i="3"/>
  <c r="AU82" i="3"/>
  <c r="AS85" i="3"/>
  <c r="AX48" i="3"/>
  <c r="AZ94" i="3"/>
  <c r="AW86" i="3"/>
  <c r="AW59" i="3"/>
  <c r="AV64" i="3"/>
  <c r="AV81" i="3"/>
  <c r="AT65" i="3"/>
  <c r="AX79" i="3"/>
  <c r="C61" i="3"/>
  <c r="AZ55" i="3"/>
  <c r="AS63" i="3"/>
  <c r="C71" i="3"/>
  <c r="AF65" i="3"/>
  <c r="AY59" i="3"/>
  <c r="C76" i="3"/>
  <c r="AV62" i="3"/>
  <c r="AU83" i="3"/>
  <c r="AF47" i="3"/>
  <c r="AV50" i="3"/>
  <c r="AZ61" i="3"/>
  <c r="AV55" i="3"/>
  <c r="C94" i="3"/>
  <c r="AF85" i="3"/>
  <c r="AY48" i="3"/>
  <c r="AY56" i="3"/>
  <c r="AU91" i="3"/>
  <c r="AW74" i="3"/>
  <c r="AU77" i="3"/>
  <c r="AV91" i="3"/>
  <c r="AX70" i="3"/>
  <c r="AT61" i="3"/>
  <c r="AU90" i="3"/>
  <c r="AT93" i="3"/>
  <c r="AW84" i="3"/>
  <c r="AY77" i="3"/>
  <c r="AW61" i="3"/>
  <c r="AU89" i="3"/>
  <c r="C68" i="3"/>
  <c r="AW64" i="3"/>
  <c r="AS78" i="3"/>
  <c r="C72" i="3"/>
  <c r="C55" i="3"/>
  <c r="AS93" i="3"/>
  <c r="AT86" i="3"/>
  <c r="AT63" i="3"/>
  <c r="AT47" i="3"/>
  <c r="AT79" i="3"/>
  <c r="AU75" i="3"/>
  <c r="AZ76" i="3"/>
  <c r="AV63" i="3"/>
  <c r="AU65" i="3"/>
  <c r="AF88" i="3"/>
  <c r="AU70" i="3"/>
  <c r="AZ62" i="3"/>
  <c r="AX82" i="3"/>
  <c r="AY96" i="3"/>
  <c r="AF75" i="3"/>
  <c r="AF82" i="3"/>
  <c r="AZ56" i="3"/>
  <c r="AY60" i="3"/>
  <c r="AW80" i="3"/>
  <c r="AZ72" i="3"/>
  <c r="AZ58" i="3"/>
  <c r="C79" i="3"/>
  <c r="C50" i="3"/>
  <c r="C83" i="3"/>
  <c r="AT90" i="3"/>
  <c r="AX78" i="3"/>
  <c r="AS80" i="3"/>
  <c r="AS55" i="3"/>
  <c r="AV92" i="3"/>
  <c r="AT57" i="3"/>
  <c r="AT91" i="3"/>
  <c r="AW81" i="3"/>
  <c r="C64" i="3"/>
  <c r="AY57" i="3"/>
  <c r="AS57" i="3"/>
  <c r="AW56" i="3"/>
  <c r="AY64" i="3"/>
  <c r="AF87" i="3"/>
  <c r="C82" i="3"/>
  <c r="AU97" i="3"/>
  <c r="AW91" i="3"/>
  <c r="AX80" i="3"/>
  <c r="AW85" i="3"/>
  <c r="AS87" i="3"/>
  <c r="AT55" i="3"/>
  <c r="AV70" i="3"/>
  <c r="AU66" i="3"/>
  <c r="AW72" i="3"/>
  <c r="AX92" i="3"/>
  <c r="AV47" i="3"/>
  <c r="C66" i="3"/>
  <c r="AV74" i="3"/>
  <c r="C85" i="3"/>
  <c r="AT89" i="3"/>
  <c r="AW70" i="3"/>
  <c r="AT87" i="3"/>
  <c r="AS86" i="3"/>
  <c r="AX74" i="3"/>
  <c r="AX66" i="3"/>
  <c r="AZ84" i="3"/>
  <c r="AF49" i="3"/>
  <c r="AX59" i="3"/>
  <c r="AS59" i="3"/>
  <c r="C78" i="3"/>
  <c r="AY62" i="3"/>
  <c r="AX84" i="3"/>
  <c r="AT59" i="3"/>
  <c r="AY61" i="3"/>
  <c r="AX55" i="3"/>
  <c r="AT77" i="3"/>
  <c r="AY66" i="3"/>
  <c r="AV57" i="3"/>
  <c r="AU54" i="3"/>
  <c r="AZ69" i="3"/>
  <c r="AX68" i="3"/>
  <c r="AZ73" i="3"/>
  <c r="AZ88" i="3"/>
  <c r="AY85" i="3"/>
  <c r="AU84" i="3"/>
  <c r="AW55" i="3"/>
  <c r="C73" i="3"/>
  <c r="AV67" i="3"/>
  <c r="AX97" i="3"/>
  <c r="AV94" i="3"/>
  <c r="AS62" i="3"/>
  <c r="AV56" i="3"/>
  <c r="AX86" i="3"/>
  <c r="AT60" i="3"/>
  <c r="AV86" i="3"/>
  <c r="C65" i="3"/>
  <c r="AX69" i="3"/>
  <c r="AU47" i="3"/>
  <c r="AF58" i="3"/>
  <c r="AW54" i="3"/>
  <c r="C90" i="3"/>
  <c r="AT92" i="3"/>
  <c r="C77" i="3"/>
  <c r="C67" i="3"/>
  <c r="AX75" i="3"/>
  <c r="AZ90" i="3"/>
  <c r="AV90" i="3"/>
  <c r="AW95" i="3"/>
  <c r="AF71" i="3"/>
  <c r="AU76" i="3"/>
  <c r="AS95" i="3"/>
  <c r="AF57" i="3"/>
  <c r="AF77" i="3"/>
  <c r="AF68" i="3"/>
  <c r="AZ85" i="3"/>
  <c r="AX85" i="3"/>
  <c r="AZ89" i="3"/>
  <c r="AV82" i="3"/>
  <c r="AZ97" i="3"/>
  <c r="AW87" i="3"/>
  <c r="AV87" i="3"/>
  <c r="AT73" i="3"/>
  <c r="AX88" i="3"/>
  <c r="AU78" i="3"/>
  <c r="AY54" i="3"/>
  <c r="AU71" i="3"/>
  <c r="AX64" i="3"/>
  <c r="AF78" i="3"/>
  <c r="AX56" i="3"/>
  <c r="AF81" i="3"/>
  <c r="AS75" i="3"/>
  <c r="AZ50" i="3"/>
  <c r="AS96" i="3"/>
  <c r="AY92" i="3"/>
  <c r="AV95" i="3"/>
  <c r="AS81" i="3"/>
  <c r="AS61" i="3"/>
  <c r="AU79" i="3"/>
  <c r="AF73" i="3"/>
  <c r="AU68" i="3"/>
  <c r="AW90" i="3"/>
  <c r="AZ96" i="3"/>
  <c r="AV68" i="3"/>
  <c r="AV49" i="3"/>
  <c r="AZ95" i="3"/>
  <c r="C96" i="3"/>
  <c r="AY84" i="3"/>
  <c r="AZ68" i="3"/>
  <c r="AS48" i="3"/>
  <c r="C88" i="3"/>
  <c r="AS50" i="3"/>
  <c r="AT62" i="3"/>
  <c r="AF95" i="3"/>
  <c r="C57" i="3"/>
  <c r="AT94" i="3"/>
  <c r="C81" i="3"/>
  <c r="AS97" i="3"/>
  <c r="AY58" i="3"/>
  <c r="AT88" i="3"/>
  <c r="AU55" i="3"/>
  <c r="C58" i="3"/>
  <c r="C84" i="3"/>
  <c r="AZ66" i="3"/>
  <c r="AZ74" i="3"/>
  <c r="AS65" i="3"/>
  <c r="AT75" i="3"/>
  <c r="AV60" i="3"/>
  <c r="AX90" i="3"/>
  <c r="AT48" i="3"/>
  <c r="AY70" i="3"/>
  <c r="AY83" i="3"/>
  <c r="AY79" i="3"/>
  <c r="AT58" i="3"/>
  <c r="AS79" i="3"/>
  <c r="AU59" i="3"/>
  <c r="AS68" i="3"/>
  <c r="AF56" i="3"/>
  <c r="AY47" i="3"/>
  <c r="AY93" i="3"/>
  <c r="AF94" i="3"/>
  <c r="AS74" i="3"/>
  <c r="AU92" i="3"/>
  <c r="AZ64" i="3"/>
  <c r="AX71" i="3"/>
  <c r="AZ70" i="3"/>
  <c r="AV88" i="3"/>
  <c r="AW58" i="3"/>
  <c r="C93" i="3"/>
  <c r="AS67" i="3"/>
  <c r="AT96" i="3"/>
  <c r="AW63" i="3"/>
  <c r="AU72" i="3"/>
  <c r="AS71" i="3"/>
  <c r="AU50" i="3"/>
  <c r="AX61" i="3"/>
  <c r="AU87" i="3"/>
  <c r="AZ54" i="3"/>
  <c r="AW75" i="3"/>
  <c r="AS83" i="3"/>
  <c r="AW49" i="3"/>
  <c r="AV75" i="3"/>
  <c r="C60" i="3"/>
  <c r="AF72" i="3"/>
  <c r="AW97" i="3"/>
  <c r="AY72" i="3"/>
  <c r="AT80" i="3"/>
  <c r="AW48" i="3"/>
  <c r="AU73" i="3"/>
  <c r="AS76" i="3"/>
  <c r="AV84" i="3"/>
  <c r="AT78" i="3"/>
  <c r="AW65" i="3"/>
  <c r="AV96" i="3"/>
  <c r="AS56" i="3"/>
  <c r="AW50" i="3"/>
  <c r="AZ91" i="3"/>
  <c r="AW83" i="3"/>
  <c r="AU74" i="3"/>
  <c r="C87" i="3"/>
  <c r="AF90" i="3"/>
  <c r="C92" i="3"/>
  <c r="AY87" i="3"/>
  <c r="AW69" i="3"/>
  <c r="AF69" i="3"/>
  <c r="AV85" i="3"/>
  <c r="AX58" i="3"/>
  <c r="AZ71" i="3"/>
  <c r="AW77" i="3"/>
  <c r="AZ93" i="3"/>
  <c r="AV97" i="3"/>
  <c r="AY73" i="3"/>
  <c r="AU57" i="3"/>
  <c r="AF63" i="3"/>
  <c r="AX60" i="3"/>
  <c r="C59" i="3"/>
  <c r="AS88" i="3"/>
  <c r="AU64" i="3"/>
  <c r="C89" i="3"/>
  <c r="AS77" i="3"/>
  <c r="AT66" i="3"/>
  <c r="AT72" i="3"/>
  <c r="AW47" i="3"/>
  <c r="AU88" i="3"/>
  <c r="AU85" i="3"/>
  <c r="AV71" i="3"/>
  <c r="AU63" i="3"/>
  <c r="AX62" i="3"/>
  <c r="AY49" i="3"/>
  <c r="AS89" i="3"/>
  <c r="AZ77" i="3"/>
  <c r="AF62" i="3"/>
  <c r="AF74" i="3"/>
  <c r="AF70" i="3"/>
  <c r="C54" i="3"/>
  <c r="AS90" i="3"/>
  <c r="AZ79" i="3"/>
  <c r="AU48" i="3"/>
  <c r="C69" i="3"/>
  <c r="AU94" i="3"/>
  <c r="AX94" i="3"/>
  <c r="AT81" i="3"/>
  <c r="AZ48" i="3"/>
  <c r="AY86" i="3"/>
  <c r="AV93" i="3"/>
  <c r="C75" i="3"/>
  <c r="AF97" i="3"/>
  <c r="AV69" i="3"/>
  <c r="AV48" i="3"/>
  <c r="AY95" i="3"/>
  <c r="AV61" i="3"/>
  <c r="AU81" i="3"/>
  <c r="AX57" i="3"/>
  <c r="AW67" i="3"/>
  <c r="AX72" i="3"/>
  <c r="AU62" i="3"/>
  <c r="AW71" i="3"/>
  <c r="AX65" i="3"/>
  <c r="AZ83" i="3"/>
  <c r="AZ80" i="3"/>
  <c r="AS91" i="3"/>
  <c r="AZ86" i="3"/>
  <c r="AT74" i="3"/>
  <c r="AS72" i="3"/>
  <c r="AW57" i="3"/>
  <c r="AY65" i="3"/>
  <c r="AU96" i="3"/>
  <c r="AV65" i="3"/>
  <c r="C62" i="3"/>
  <c r="AT82" i="3"/>
  <c r="C86" i="3"/>
  <c r="AS66" i="3"/>
  <c r="AY89" i="3"/>
  <c r="AT67" i="3"/>
  <c r="AV59" i="3"/>
  <c r="AU60" i="3"/>
  <c r="AW78" i="3"/>
  <c r="AS58" i="3"/>
  <c r="AX63" i="3"/>
  <c r="AW76" i="3"/>
  <c r="AF86" i="3"/>
  <c r="AY55" i="3"/>
  <c r="AY71" i="3"/>
  <c r="AY90" i="3"/>
  <c r="AV76" i="3"/>
  <c r="AY67" i="3"/>
  <c r="AF80" i="3"/>
  <c r="AY68" i="3"/>
  <c r="AY76" i="3"/>
  <c r="AT71" i="3"/>
  <c r="AX73" i="3"/>
  <c r="AZ92" i="3"/>
  <c r="AX54" i="3"/>
  <c r="AV83" i="3"/>
  <c r="C91" i="3"/>
  <c r="AT70" i="3"/>
  <c r="AY82" i="3"/>
  <c r="AX50" i="3"/>
  <c r="AT69" i="3"/>
  <c r="AF93" i="3"/>
  <c r="C97" i="3"/>
  <c r="AV58" i="3"/>
  <c r="AF76" i="3"/>
  <c r="AF89" i="3"/>
  <c r="AS94" i="3"/>
  <c r="C95" i="3"/>
  <c r="AT50" i="3"/>
  <c r="AF79" i="3"/>
  <c r="AW79" i="3"/>
  <c r="AY91" i="3"/>
  <c r="AZ59" i="3"/>
  <c r="AS64" i="3"/>
  <c r="C70" i="3"/>
  <c r="C56" i="3"/>
  <c r="AT84" i="3"/>
  <c r="AT49" i="3"/>
  <c r="AV89" i="3"/>
  <c r="AU58" i="3"/>
  <c r="AZ82" i="3"/>
  <c r="AX67" i="3"/>
  <c r="AZ49" i="3"/>
  <c r="AW93" i="3"/>
  <c r="AT83" i="3"/>
  <c r="AZ60" i="3"/>
  <c r="AF84" i="3"/>
  <c r="AU61" i="3"/>
  <c r="AY80" i="3"/>
  <c r="AX87" i="3"/>
  <c r="AZ78" i="3"/>
  <c r="AW82" i="3"/>
  <c r="AF54" i="3"/>
  <c r="AY81" i="3"/>
  <c r="AX96" i="3"/>
  <c r="AT68" i="3"/>
  <c r="AY50" i="3"/>
  <c r="AW62" i="3"/>
  <c r="AF60" i="3"/>
  <c r="AY75" i="3"/>
  <c r="AS92" i="3"/>
  <c r="AF55" i="3"/>
  <c r="C80" i="3"/>
  <c r="AT54" i="3"/>
  <c r="AU93" i="3"/>
  <c r="AT95" i="3"/>
  <c r="AZ47" i="3"/>
  <c r="AZ63" i="3"/>
  <c r="AW92" i="3"/>
  <c r="C74" i="3"/>
  <c r="AW73" i="3"/>
  <c r="AZ57" i="3"/>
  <c r="AZ81" i="3"/>
  <c r="AU67" i="3"/>
  <c r="AT85" i="3"/>
  <c r="AU49" i="3"/>
  <c r="AS54" i="3"/>
  <c r="AV72" i="3"/>
  <c r="AT64" i="3"/>
  <c r="AY69" i="3"/>
  <c r="AW68" i="3"/>
  <c r="AF67" i="3"/>
  <c r="AV79" i="3"/>
  <c r="AY63" i="3"/>
  <c r="AF66" i="3"/>
  <c r="AV66" i="3"/>
  <c r="AF92" i="3"/>
  <c r="AZ75" i="3"/>
  <c r="AW88" i="3"/>
  <c r="AU69" i="3"/>
  <c r="AS70" i="3"/>
  <c r="AZ67" i="3"/>
  <c r="AX95" i="3"/>
  <c r="AF96" i="3"/>
  <c r="AT56" i="3"/>
  <c r="AS69" i="3"/>
  <c r="AZ87" i="3"/>
  <c r="AF59" i="3"/>
  <c r="AF83" i="3"/>
  <c r="AF64" i="3"/>
  <c r="AF61" i="3"/>
  <c r="AS60" i="3"/>
  <c r="AW66" i="3"/>
  <c r="AX47" i="3"/>
  <c r="CP46" i="1" l="1"/>
  <c r="CN59" i="1"/>
  <c r="CO59" i="1" s="1"/>
  <c r="CP59" i="1" s="1"/>
  <c r="CL71" i="1"/>
  <c r="CL212" i="1"/>
  <c r="CL214" i="1" s="1"/>
  <c r="CL85" i="1"/>
  <c r="CM150" i="1"/>
  <c r="CN150" i="1" s="1"/>
  <c r="CO150" i="1" s="1"/>
  <c r="CP150" i="1" s="1"/>
  <c r="CK222" i="1"/>
  <c r="CK220" i="1" s="1"/>
  <c r="CL222" i="1"/>
  <c r="CL220" i="1" s="1"/>
  <c r="CK71" i="1"/>
  <c r="CK85" i="1"/>
  <c r="Y59" i="1"/>
  <c r="Y60" i="1"/>
  <c r="CN204" i="1"/>
  <c r="CN205" i="1" s="1"/>
  <c r="CO203" i="1"/>
  <c r="Z59" i="1"/>
  <c r="Z60" i="1"/>
  <c r="AA62" i="1" s="1"/>
  <c r="CI67" i="1"/>
  <c r="CI61" i="1"/>
  <c r="CI264" i="1" s="1"/>
  <c r="CI253" i="1"/>
  <c r="CJ63" i="1"/>
  <c r="X60" i="1"/>
  <c r="X59" i="1"/>
  <c r="CG253" i="1"/>
  <c r="CG67" i="1"/>
  <c r="CG61" i="1"/>
  <c r="CG264" i="1" s="1"/>
  <c r="CK62" i="1"/>
  <c r="CH63" i="1"/>
  <c r="CJ246" i="1"/>
  <c r="CC82" i="1"/>
  <c r="CD84" i="1"/>
  <c r="CJ253" i="1"/>
  <c r="CJ67" i="1"/>
  <c r="CK63" i="1"/>
  <c r="CJ61" i="1"/>
  <c r="CJ264" i="1" s="1"/>
  <c r="CI63" i="1"/>
  <c r="CH253" i="1"/>
  <c r="CH67" i="1"/>
  <c r="CH61" i="1"/>
  <c r="CH264" i="1" s="1"/>
  <c r="CR159" i="1"/>
  <c r="CR221" i="1" s="1"/>
  <c r="CO201" i="1"/>
  <c r="CR144" i="1"/>
  <c r="CQ147" i="1"/>
  <c r="CQ268" i="1" s="1"/>
  <c r="CP225" i="1"/>
  <c r="BZ144" i="1"/>
  <c r="CA144" i="1" s="1"/>
  <c r="BL92" i="1"/>
  <c r="CF93" i="1"/>
  <c r="CB165" i="1"/>
  <c r="CC165" i="1" s="1"/>
  <c r="CD172" i="1"/>
  <c r="CD202" i="1" s="1"/>
  <c r="CE202" i="1" s="1"/>
  <c r="CB183" i="1"/>
  <c r="CC183" i="1" s="1"/>
  <c r="BL143" i="1"/>
  <c r="BM143" i="1" s="1"/>
  <c r="CD152" i="1"/>
  <c r="CD143" i="1"/>
  <c r="CE143" i="1" s="1"/>
  <c r="CF146" i="1"/>
  <c r="CG146" i="1" s="1"/>
  <c r="CB146" i="1"/>
  <c r="CC146" i="1" s="1"/>
  <c r="CB171" i="1"/>
  <c r="CC171" i="1" s="1"/>
  <c r="CB163" i="1"/>
  <c r="CB198" i="1" s="1"/>
  <c r="CC198" i="1" s="1"/>
  <c r="BZ172" i="1"/>
  <c r="BZ202" i="1" s="1"/>
  <c r="CA202" i="1" s="1"/>
  <c r="BZ183" i="1"/>
  <c r="CA183" i="1" s="1"/>
  <c r="BZ173" i="1"/>
  <c r="CA173" i="1" s="1"/>
  <c r="BZ179" i="1"/>
  <c r="BZ169" i="1"/>
  <c r="CA169" i="1" s="1"/>
  <c r="BZ151" i="1"/>
  <c r="BL164" i="1"/>
  <c r="BL199" i="1" s="1"/>
  <c r="BM199" i="1" s="1"/>
  <c r="BL172" i="1"/>
  <c r="BL202" i="1" s="1"/>
  <c r="BM202" i="1" s="1"/>
  <c r="BL141" i="1"/>
  <c r="BM141" i="1" s="1"/>
  <c r="CA92" i="1"/>
  <c r="CF92" i="1"/>
  <c r="CF165" i="1"/>
  <c r="CG165" i="1" s="1"/>
  <c r="CF152" i="1"/>
  <c r="CB93" i="1"/>
  <c r="CF163" i="1"/>
  <c r="CF198" i="1" s="1"/>
  <c r="CG198" i="1" s="1"/>
  <c r="CG163" i="1" s="1"/>
  <c r="CF141" i="1"/>
  <c r="CG141" i="1" s="1"/>
  <c r="CB168" i="1"/>
  <c r="CC168" i="1" s="1"/>
  <c r="CF183" i="1"/>
  <c r="CG183" i="1" s="1"/>
  <c r="CB144" i="1"/>
  <c r="CC144" i="1" s="1"/>
  <c r="CB182" i="1"/>
  <c r="CC182" i="1" s="1"/>
  <c r="CD93" i="1"/>
  <c r="CB178" i="1"/>
  <c r="CD164" i="1"/>
  <c r="CD199" i="1" s="1"/>
  <c r="CE199" i="1" s="1"/>
  <c r="CD141" i="1"/>
  <c r="CE141" i="1" s="1"/>
  <c r="BL144" i="1"/>
  <c r="CD150" i="1"/>
  <c r="CD170" i="1"/>
  <c r="CE170" i="1" s="1"/>
  <c r="CD178" i="1"/>
  <c r="CD161" i="1"/>
  <c r="CE161" i="1" s="1"/>
  <c r="CF159" i="1"/>
  <c r="CF145" i="1"/>
  <c r="CG145" i="1" s="1"/>
  <c r="CB161" i="1"/>
  <c r="CC161" i="1" s="1"/>
  <c r="BL173" i="1"/>
  <c r="BM173" i="1" s="1"/>
  <c r="BL182" i="1"/>
  <c r="BM182" i="1" s="1"/>
  <c r="BL183" i="1"/>
  <c r="CB145" i="1"/>
  <c r="CC145" i="1" s="1"/>
  <c r="CE93" i="1"/>
  <c r="BZ178" i="1"/>
  <c r="BZ182" i="1"/>
  <c r="CA182" i="1" s="1"/>
  <c r="BZ138" i="1"/>
  <c r="BZ146" i="1"/>
  <c r="CA146" i="1" s="1"/>
  <c r="CF164" i="1"/>
  <c r="CF199" i="1" s="1"/>
  <c r="CG199" i="1" s="1"/>
  <c r="CG164" i="1" s="1"/>
  <c r="CF151" i="1"/>
  <c r="CF168" i="1"/>
  <c r="CB138" i="1"/>
  <c r="CB164" i="1"/>
  <c r="CB199" i="1" s="1"/>
  <c r="CC199" i="1" s="1"/>
  <c r="CD179" i="1"/>
  <c r="CD171" i="1"/>
  <c r="CE171" i="1" s="1"/>
  <c r="CB92" i="1"/>
  <c r="BZ174" i="1"/>
  <c r="CA174" i="1" s="1"/>
  <c r="BZ152" i="1"/>
  <c r="BZ136" i="1"/>
  <c r="BZ166" i="1"/>
  <c r="CA166" i="1" s="1"/>
  <c r="BZ93" i="1"/>
  <c r="BZ143" i="1"/>
  <c r="CA143" i="1" s="1"/>
  <c r="BZ145" i="1"/>
  <c r="CA145" i="1" s="1"/>
  <c r="BZ161" i="1"/>
  <c r="CA161" i="1" s="1"/>
  <c r="BZ150" i="1"/>
  <c r="BL152" i="1"/>
  <c r="BL168" i="1"/>
  <c r="BM168" i="1" s="1"/>
  <c r="CF143" i="1"/>
  <c r="CF172" i="1"/>
  <c r="CF202" i="1" s="1"/>
  <c r="CG202" i="1" s="1"/>
  <c r="CG172" i="1" s="1"/>
  <c r="CD173" i="1"/>
  <c r="CE173" i="1" s="1"/>
  <c r="CF173" i="1"/>
  <c r="CG173" i="1" s="1"/>
  <c r="CB150" i="1"/>
  <c r="CB173" i="1"/>
  <c r="CC173" i="1" s="1"/>
  <c r="BY93" i="1"/>
  <c r="CD182" i="1"/>
  <c r="CE182" i="1" s="1"/>
  <c r="CD154" i="1"/>
  <c r="CE154" i="1" s="1"/>
  <c r="BL179" i="1"/>
  <c r="CB172" i="1"/>
  <c r="CB202" i="1" s="1"/>
  <c r="CC202" i="1" s="1"/>
  <c r="CB137" i="1"/>
  <c r="CC137" i="1" s="1"/>
  <c r="BL169" i="1"/>
  <c r="BM169" i="1" s="1"/>
  <c r="CD146" i="1"/>
  <c r="CE146" i="1" s="1"/>
  <c r="CD166" i="1"/>
  <c r="CE166" i="1" s="1"/>
  <c r="CD138" i="1"/>
  <c r="CD165" i="1"/>
  <c r="CE165" i="1" s="1"/>
  <c r="CD174" i="1"/>
  <c r="CE174" i="1" s="1"/>
  <c r="CD159" i="1"/>
  <c r="CE159" i="1" s="1"/>
  <c r="CF136" i="1"/>
  <c r="CF137" i="1"/>
  <c r="CG137" i="1" s="1"/>
  <c r="CF170" i="1"/>
  <c r="CG170" i="1" s="1"/>
  <c r="CF182" i="1"/>
  <c r="CG182" i="1" s="1"/>
  <c r="CB179" i="1"/>
  <c r="CB159" i="1"/>
  <c r="AI93" i="1"/>
  <c r="BL166" i="1"/>
  <c r="BM166" i="1" s="1"/>
  <c r="BL154" i="1"/>
  <c r="BM154" i="1" s="1"/>
  <c r="BL145" i="1"/>
  <c r="BM145" i="1" s="1"/>
  <c r="CB143" i="1"/>
  <c r="CC143" i="1" s="1"/>
  <c r="BL165" i="1"/>
  <c r="BM165" i="1" s="1"/>
  <c r="BZ154" i="1"/>
  <c r="CA154" i="1" s="1"/>
  <c r="BZ92" i="1"/>
  <c r="BL171" i="1"/>
  <c r="BM171" i="1" s="1"/>
  <c r="CB151" i="1"/>
  <c r="CF166" i="1"/>
  <c r="CG166" i="1" s="1"/>
  <c r="CB166" i="1"/>
  <c r="CC166" i="1" s="1"/>
  <c r="CD92" i="1"/>
  <c r="CC93" i="1"/>
  <c r="CD137" i="1"/>
  <c r="CE137" i="1" s="1"/>
  <c r="BL138" i="1"/>
  <c r="CD144" i="1"/>
  <c r="CE144" i="1" s="1"/>
  <c r="CF178" i="1"/>
  <c r="CF171" i="1"/>
  <c r="CG171" i="1" s="1"/>
  <c r="CE92" i="1"/>
  <c r="BZ164" i="1"/>
  <c r="BZ199" i="1" s="1"/>
  <c r="CA199" i="1" s="1"/>
  <c r="BZ141" i="1"/>
  <c r="CA141" i="1" s="1"/>
  <c r="BZ163" i="1"/>
  <c r="BZ198" i="1" s="1"/>
  <c r="CA198" i="1" s="1"/>
  <c r="BZ137" i="1"/>
  <c r="CA137" i="1" s="1"/>
  <c r="BZ168" i="1"/>
  <c r="BZ170" i="1"/>
  <c r="CA170" i="1" s="1"/>
  <c r="BZ165" i="1"/>
  <c r="CA165" i="1" s="1"/>
  <c r="BZ159" i="1"/>
  <c r="CA159" i="1" s="1"/>
  <c r="BZ171" i="1"/>
  <c r="CA171" i="1" s="1"/>
  <c r="BL174" i="1"/>
  <c r="BM174" i="1" s="1"/>
  <c r="BL163" i="1"/>
  <c r="BL198" i="1" s="1"/>
  <c r="BM198" i="1" s="1"/>
  <c r="BL150" i="1"/>
  <c r="BL151" i="1"/>
  <c r="CA93" i="1"/>
  <c r="CF174" i="1"/>
  <c r="CG174" i="1" s="1"/>
  <c r="CF169" i="1"/>
  <c r="CG169" i="1" s="1"/>
  <c r="CF179" i="1"/>
  <c r="CB136" i="1"/>
  <c r="CC136" i="1" s="1"/>
  <c r="CF150" i="1"/>
  <c r="CF138" i="1"/>
  <c r="CF144" i="1"/>
  <c r="CG144" i="1" s="1"/>
  <c r="CD145" i="1"/>
  <c r="CE145" i="1" s="1"/>
  <c r="CB174" i="1"/>
  <c r="CC174" i="1" s="1"/>
  <c r="CB154" i="1"/>
  <c r="CC154" i="1" s="1"/>
  <c r="CB170" i="1"/>
  <c r="CC170" i="1" s="1"/>
  <c r="CD136" i="1"/>
  <c r="BL159" i="1"/>
  <c r="CB152" i="1"/>
  <c r="BL146" i="1"/>
  <c r="BM146" i="1" s="1"/>
  <c r="CD151" i="1"/>
  <c r="CD163" i="1"/>
  <c r="CD198" i="1" s="1"/>
  <c r="CE198" i="1" s="1"/>
  <c r="CD169" i="1"/>
  <c r="CE169" i="1" s="1"/>
  <c r="CD168" i="1"/>
  <c r="CE168" i="1" s="1"/>
  <c r="CD183" i="1"/>
  <c r="CE183" i="1" s="1"/>
  <c r="CF154" i="1"/>
  <c r="CG154" i="1" s="1"/>
  <c r="CF161" i="1"/>
  <c r="CG161" i="1" s="1"/>
  <c r="CC92" i="1"/>
  <c r="CB169" i="1"/>
  <c r="CC169" i="1" s="1"/>
  <c r="CB141" i="1"/>
  <c r="CC141" i="1" s="1"/>
  <c r="BL178" i="1"/>
  <c r="BL136" i="1"/>
  <c r="BM136" i="1" s="1"/>
  <c r="BL170" i="1"/>
  <c r="BM170" i="1" s="1"/>
  <c r="BL161" i="1"/>
  <c r="BM161" i="1" s="1"/>
  <c r="BL137" i="1"/>
  <c r="BM137" i="1" s="1"/>
  <c r="BL272" i="1"/>
  <c r="CH117" i="1"/>
  <c r="CH118" i="1" s="1"/>
  <c r="CB156" i="1"/>
  <c r="CC156" i="1" s="1"/>
  <c r="CF156" i="1"/>
  <c r="CG156" i="1" s="1"/>
  <c r="CD156" i="1"/>
  <c r="CE156" i="1" s="1"/>
  <c r="BL156" i="1"/>
  <c r="BM156" i="1" s="1"/>
  <c r="BZ156" i="1"/>
  <c r="CA156" i="1" s="1"/>
  <c r="BL162" i="1"/>
  <c r="CD162" i="1"/>
  <c r="CB162" i="1"/>
  <c r="CF162" i="1"/>
  <c r="BZ162" i="1"/>
  <c r="CA271" i="1"/>
  <c r="JJ21" i="4"/>
  <c r="CD96" i="1" s="1"/>
  <c r="CA29" i="1"/>
  <c r="JK14" i="4"/>
  <c r="BL29" i="1"/>
  <c r="BL35" i="1" s="1"/>
  <c r="BY29" i="1"/>
  <c r="BL213" i="1"/>
  <c r="CF29" i="1"/>
  <c r="AA77" i="1" s="1"/>
  <c r="CF271" i="1"/>
  <c r="JL21" i="4"/>
  <c r="CF96" i="1" s="1"/>
  <c r="CF117" i="1"/>
  <c r="CF118" i="1" s="1"/>
  <c r="CB45" i="1"/>
  <c r="CE250" i="1"/>
  <c r="CC272" i="1"/>
  <c r="CA45" i="1"/>
  <c r="CE271" i="1"/>
  <c r="CC271" i="1"/>
  <c r="JM7" i="4"/>
  <c r="CA272" i="1"/>
  <c r="JJ8" i="4"/>
  <c r="CF45" i="1"/>
  <c r="BZ271" i="1"/>
  <c r="BZ29" i="1"/>
  <c r="BZ17" i="1" s="1"/>
  <c r="CA213" i="1"/>
  <c r="CD272" i="1"/>
  <c r="CB117" i="1"/>
  <c r="JK21" i="4"/>
  <c r="CE96" i="1" s="1"/>
  <c r="JK15" i="4"/>
  <c r="CD271" i="1"/>
  <c r="JL14" i="4"/>
  <c r="CC45" i="1"/>
  <c r="BY45" i="1"/>
  <c r="CI117" i="1"/>
  <c r="CI118" i="1" s="1"/>
  <c r="CI121" i="1" s="1"/>
  <c r="CF250" i="1"/>
  <c r="BY272" i="1"/>
  <c r="JL8" i="4"/>
  <c r="CE45" i="1"/>
  <c r="BL271" i="1"/>
  <c r="CE117" i="1"/>
  <c r="CE118" i="1" s="1"/>
  <c r="CD29" i="1"/>
  <c r="CC29" i="1"/>
  <c r="CC17" i="1" s="1"/>
  <c r="CD213" i="1"/>
  <c r="CE29" i="1"/>
  <c r="CE17" i="1" s="1"/>
  <c r="CG117" i="1"/>
  <c r="CG118" i="1" s="1"/>
  <c r="CD117" i="1"/>
  <c r="CB29" i="1"/>
  <c r="CB271" i="1"/>
  <c r="CC117" i="1"/>
  <c r="JJ15" i="4"/>
  <c r="CB272" i="1"/>
  <c r="BY271" i="1"/>
  <c r="CD45" i="1"/>
  <c r="JM8" i="4"/>
  <c r="JL7" i="4"/>
  <c r="CF272" i="1"/>
  <c r="JJ7" i="4"/>
  <c r="JK8" i="4"/>
  <c r="JM21" i="4"/>
  <c r="CG96" i="1" s="1"/>
  <c r="BZ272" i="1"/>
  <c r="CE272" i="1"/>
  <c r="JK7" i="4"/>
  <c r="BL45" i="1"/>
  <c r="JL15" i="4"/>
  <c r="BZ45" i="1"/>
  <c r="JM14" i="4"/>
  <c r="JM15" i="4"/>
  <c r="JJ14" i="4"/>
  <c r="CR36" i="1"/>
  <c r="CS36" i="1" s="1"/>
  <c r="CS198" i="1"/>
  <c r="CT143" i="1"/>
  <c r="AD65" i="1"/>
  <c r="CZ65" i="1"/>
  <c r="DA65" i="1" s="1"/>
  <c r="DB65" i="1" s="1"/>
  <c r="AE54" i="1"/>
  <c r="U27" i="1"/>
  <c r="V27" i="1"/>
  <c r="W27" i="1"/>
  <c r="CQ46" i="1" l="1"/>
  <c r="CR46" i="1" s="1"/>
  <c r="CS46" i="1"/>
  <c r="CT46" i="1"/>
  <c r="CF17" i="1"/>
  <c r="CQ59" i="1"/>
  <c r="CR59" i="1" s="1"/>
  <c r="CL73" i="1"/>
  <c r="AB150" i="1"/>
  <c r="CQ150" i="1"/>
  <c r="CR150" i="1" s="1"/>
  <c r="CS150" i="1" s="1"/>
  <c r="CT150" i="1" s="1"/>
  <c r="CD118" i="1"/>
  <c r="CD121" i="1" s="1"/>
  <c r="CG138" i="1"/>
  <c r="Z67" i="1"/>
  <c r="Z253" i="1"/>
  <c r="Z61" i="1"/>
  <c r="Z264" i="1" s="1"/>
  <c r="Y62" i="1"/>
  <c r="Y67" i="1"/>
  <c r="Y253" i="1"/>
  <c r="Y61" i="1"/>
  <c r="Y264" i="1" s="1"/>
  <c r="Z62" i="1"/>
  <c r="CH212" i="1"/>
  <c r="CH214" i="1" s="1"/>
  <c r="CH71" i="1"/>
  <c r="CH85" i="1"/>
  <c r="CB82" i="1"/>
  <c r="CC84" i="1"/>
  <c r="CC118" i="1" s="1"/>
  <c r="X67" i="1"/>
  <c r="X61" i="1"/>
  <c r="X264" i="1" s="1"/>
  <c r="X253" i="1"/>
  <c r="CI138" i="1"/>
  <c r="CI139" i="1" s="1"/>
  <c r="CI212" i="1"/>
  <c r="CI214" i="1" s="1"/>
  <c r="CI85" i="1"/>
  <c r="CI71" i="1"/>
  <c r="CP203" i="1"/>
  <c r="CQ203" i="1" s="1"/>
  <c r="CR203" i="1" s="1"/>
  <c r="CS203" i="1" s="1"/>
  <c r="CT203" i="1" s="1"/>
  <c r="CO204" i="1"/>
  <c r="CO205" i="1" s="1"/>
  <c r="CJ85" i="1"/>
  <c r="CJ212" i="1"/>
  <c r="CJ214" i="1" s="1"/>
  <c r="CJ71" i="1"/>
  <c r="CG71" i="1"/>
  <c r="CG85" i="1"/>
  <c r="CG212" i="1"/>
  <c r="CG214" i="1" s="1"/>
  <c r="CJ73" i="1"/>
  <c r="BY35" i="1"/>
  <c r="BY36" i="1" s="1"/>
  <c r="BY17" i="1"/>
  <c r="CA35" i="1"/>
  <c r="CA36" i="1" s="1"/>
  <c r="CA17" i="1"/>
  <c r="CD35" i="1"/>
  <c r="CH37" i="1" s="1"/>
  <c r="CD17" i="1"/>
  <c r="CB35" i="1"/>
  <c r="CB36" i="1" s="1"/>
  <c r="CB17" i="1"/>
  <c r="CS159" i="1"/>
  <c r="CS221" i="1" s="1"/>
  <c r="CP201" i="1"/>
  <c r="CS144" i="1"/>
  <c r="CR147" i="1"/>
  <c r="CR268" i="1" s="1"/>
  <c r="CQ225" i="1"/>
  <c r="BZ180" i="1"/>
  <c r="BL180" i="1"/>
  <c r="CB221" i="1"/>
  <c r="CA136" i="1"/>
  <c r="BZ139" i="1"/>
  <c r="BL139" i="1"/>
  <c r="CB180" i="1"/>
  <c r="CC228" i="1" s="1"/>
  <c r="CG143" i="1"/>
  <c r="CG147" i="1" s="1"/>
  <c r="CF147" i="1"/>
  <c r="CD153" i="1"/>
  <c r="CE52" i="1" s="1"/>
  <c r="CC159" i="1"/>
  <c r="CD221" i="1" s="1"/>
  <c r="CE136" i="1"/>
  <c r="CD139" i="1"/>
  <c r="CD111" i="1" s="1"/>
  <c r="CD113" i="1" s="1"/>
  <c r="BM159" i="1"/>
  <c r="BM221" i="1" s="1"/>
  <c r="CD180" i="1"/>
  <c r="CF221" i="1"/>
  <c r="CE147" i="1"/>
  <c r="BM144" i="1"/>
  <c r="BM147" i="1" s="1"/>
  <c r="BL147" i="1"/>
  <c r="CG159" i="1"/>
  <c r="CG168" i="1"/>
  <c r="CG175" i="1" s="1"/>
  <c r="CF175" i="1"/>
  <c r="CF204" i="1" s="1"/>
  <c r="CF203" i="1" s="1"/>
  <c r="CG136" i="1"/>
  <c r="CF139" i="1"/>
  <c r="CF111" i="1" s="1"/>
  <c r="CF113" i="1" s="1"/>
  <c r="CA168" i="1"/>
  <c r="BZ175" i="1"/>
  <c r="BZ204" i="1" s="1"/>
  <c r="BZ203" i="1" s="1"/>
  <c r="BZ153" i="1"/>
  <c r="BZ157" i="1" s="1"/>
  <c r="CA147" i="1"/>
  <c r="CB153" i="1"/>
  <c r="CF180" i="1"/>
  <c r="BL153" i="1"/>
  <c r="CF153" i="1"/>
  <c r="CF157" i="1" s="1"/>
  <c r="CC147" i="1"/>
  <c r="CB147" i="1"/>
  <c r="CE221" i="1"/>
  <c r="BZ147" i="1"/>
  <c r="CB175" i="1"/>
  <c r="CB204" i="1" s="1"/>
  <c r="CB203" i="1" s="1"/>
  <c r="BL175" i="1"/>
  <c r="BL204" i="1" s="1"/>
  <c r="BL203" i="1" s="1"/>
  <c r="CD175" i="1"/>
  <c r="CD204" i="1" s="1"/>
  <c r="CD203" i="1" s="1"/>
  <c r="CB139" i="1"/>
  <c r="CD147" i="1"/>
  <c r="CH121" i="1"/>
  <c r="CH122" i="1"/>
  <c r="CH123" i="1"/>
  <c r="BM162" i="1"/>
  <c r="BL167" i="1"/>
  <c r="CE162" i="1"/>
  <c r="CD167" i="1"/>
  <c r="CC162" i="1"/>
  <c r="CB167" i="1"/>
  <c r="CG162" i="1"/>
  <c r="CG167" i="1" s="1"/>
  <c r="CG201" i="1" s="1"/>
  <c r="CG200" i="1" s="1"/>
  <c r="CF167" i="1"/>
  <c r="CA162" i="1"/>
  <c r="BZ167" i="1"/>
  <c r="CA46" i="1"/>
  <c r="CA31" i="1"/>
  <c r="JK19" i="4"/>
  <c r="CE97" i="1" s="1"/>
  <c r="BL46" i="1"/>
  <c r="CC30" i="1"/>
  <c r="CC46" i="1"/>
  <c r="CI244" i="1"/>
  <c r="CF35" i="1"/>
  <c r="AA78" i="1" s="1"/>
  <c r="CG31" i="1"/>
  <c r="CJ30" i="1"/>
  <c r="BY46" i="1"/>
  <c r="JL20" i="4"/>
  <c r="CF98" i="1" s="1"/>
  <c r="CF123" i="1" s="1"/>
  <c r="BZ35" i="1"/>
  <c r="CF46" i="1"/>
  <c r="Y77" i="1"/>
  <c r="JJ19" i="4"/>
  <c r="CD97" i="1" s="1"/>
  <c r="CD126" i="1" s="1"/>
  <c r="JM20" i="4"/>
  <c r="CG98" i="1" s="1"/>
  <c r="CD46" i="1"/>
  <c r="JM19" i="4"/>
  <c r="CG97" i="1" s="1"/>
  <c r="CE172" i="1"/>
  <c r="CE175" i="1" s="1"/>
  <c r="CE204" i="1" s="1"/>
  <c r="CE203" i="1" s="1"/>
  <c r="CF121" i="1"/>
  <c r="JJ20" i="4"/>
  <c r="CD98" i="1" s="1"/>
  <c r="CD127" i="1" s="1"/>
  <c r="JL19" i="4"/>
  <c r="CF97" i="1" s="1"/>
  <c r="JK20" i="4"/>
  <c r="CE98" i="1" s="1"/>
  <c r="CE127" i="1" s="1"/>
  <c r="CD207" i="1"/>
  <c r="CD30" i="1"/>
  <c r="BZ31" i="1"/>
  <c r="CD244" i="1"/>
  <c r="BZ46" i="1"/>
  <c r="CE163" i="1"/>
  <c r="CE207" i="1"/>
  <c r="CG207" i="1"/>
  <c r="CF30" i="1"/>
  <c r="CH244" i="1"/>
  <c r="CJ207" i="1"/>
  <c r="CE46" i="1"/>
  <c r="CC35" i="1"/>
  <c r="CF244" i="1"/>
  <c r="CB31" i="1"/>
  <c r="CH263" i="1"/>
  <c r="Z77" i="1"/>
  <c r="CE30" i="1"/>
  <c r="CG121" i="1"/>
  <c r="CE121" i="1"/>
  <c r="CG244" i="1"/>
  <c r="CF31" i="1"/>
  <c r="CF207" i="1"/>
  <c r="CE244" i="1"/>
  <c r="CC31" i="1"/>
  <c r="CC244" i="1"/>
  <c r="CE164" i="1"/>
  <c r="CB46" i="1"/>
  <c r="CD31" i="1"/>
  <c r="CH30" i="1"/>
  <c r="CI207" i="1"/>
  <c r="CI122" i="1"/>
  <c r="CE35" i="1"/>
  <c r="CI30" i="1"/>
  <c r="CI123" i="1"/>
  <c r="CG30" i="1"/>
  <c r="CE31" i="1"/>
  <c r="CH207" i="1"/>
  <c r="CA221" i="1"/>
  <c r="BL36" i="1"/>
  <c r="BL47" i="1"/>
  <c r="CT36" i="1"/>
  <c r="CU36" i="1" s="1"/>
  <c r="CT198" i="1"/>
  <c r="CU143" i="1"/>
  <c r="AE65" i="1"/>
  <c r="V250" i="1"/>
  <c r="W250" i="1"/>
  <c r="U250" i="1"/>
  <c r="CF47" i="1" l="1"/>
  <c r="AA79" i="1" s="1"/>
  <c r="CE38" i="1"/>
  <c r="CL88" i="1"/>
  <c r="CS59" i="1"/>
  <c r="AC150" i="1"/>
  <c r="CU150" i="1"/>
  <c r="CV150" i="1" s="1"/>
  <c r="CW150" i="1" s="1"/>
  <c r="CX150" i="1" s="1"/>
  <c r="CL104" i="1"/>
  <c r="CL106" i="1"/>
  <c r="CL105" i="1"/>
  <c r="CJ88" i="1"/>
  <c r="CJ104" i="1" s="1"/>
  <c r="CG139" i="1"/>
  <c r="CK88" i="1"/>
  <c r="CP204" i="1"/>
  <c r="CP205" i="1" s="1"/>
  <c r="CI148" i="1"/>
  <c r="CI111" i="1"/>
  <c r="CI226" i="1"/>
  <c r="CI224" i="1" s="1"/>
  <c r="CJ106" i="1"/>
  <c r="CJ105" i="1"/>
  <c r="CA82" i="1"/>
  <c r="CB84" i="1"/>
  <c r="CB118" i="1" s="1"/>
  <c r="Y71" i="1"/>
  <c r="Y212" i="1"/>
  <c r="Y214" i="1" s="1"/>
  <c r="Y218" i="1" s="1"/>
  <c r="Y232" i="1" s="1"/>
  <c r="Y226" i="1"/>
  <c r="Y224" i="1" s="1"/>
  <c r="Y73" i="1"/>
  <c r="Z212" i="1"/>
  <c r="Z214" i="1" s="1"/>
  <c r="Z218" i="1" s="1"/>
  <c r="Z232" i="1" s="1"/>
  <c r="Z226" i="1"/>
  <c r="Z224" i="1" s="1"/>
  <c r="Z73" i="1"/>
  <c r="Z71" i="1"/>
  <c r="CJ226" i="1"/>
  <c r="CJ224" i="1" s="1"/>
  <c r="X212" i="1"/>
  <c r="X214" i="1" s="1"/>
  <c r="X71" i="1"/>
  <c r="X73" i="1"/>
  <c r="BY47" i="1"/>
  <c r="BY48" i="1" s="1"/>
  <c r="CD47" i="1"/>
  <c r="CH49" i="1" s="1"/>
  <c r="CD37" i="1"/>
  <c r="CD36" i="1"/>
  <c r="CB38" i="1"/>
  <c r="CB47" i="1"/>
  <c r="CB251" i="1" s="1"/>
  <c r="CB252" i="1" s="1"/>
  <c r="CC38" i="1"/>
  <c r="CA47" i="1"/>
  <c r="CT159" i="1"/>
  <c r="CT221" i="1" s="1"/>
  <c r="CC221" i="1"/>
  <c r="CG268" i="1"/>
  <c r="CQ201" i="1"/>
  <c r="CH221" i="1"/>
  <c r="CG221" i="1"/>
  <c r="CA228" i="1"/>
  <c r="BZ267" i="1"/>
  <c r="CT144" i="1"/>
  <c r="CS147" i="1"/>
  <c r="CS268" i="1" s="1"/>
  <c r="CD225" i="1"/>
  <c r="CF268" i="1"/>
  <c r="BM228" i="1"/>
  <c r="BL267" i="1"/>
  <c r="CF225" i="1"/>
  <c r="CF148" i="1"/>
  <c r="CR225" i="1"/>
  <c r="BL148" i="1"/>
  <c r="BL187" i="1"/>
  <c r="BL128" i="1" s="1"/>
  <c r="CA52" i="1"/>
  <c r="CA153" i="1"/>
  <c r="CB157" i="1"/>
  <c r="CC52" i="1"/>
  <c r="CC153" i="1"/>
  <c r="BZ187" i="1"/>
  <c r="BZ148" i="1"/>
  <c r="CF114" i="1"/>
  <c r="CD157" i="1"/>
  <c r="CE153" i="1"/>
  <c r="CE228" i="1"/>
  <c r="CD267" i="1"/>
  <c r="CA268" i="1"/>
  <c r="CA225" i="1"/>
  <c r="BM225" i="1"/>
  <c r="BM268" i="1"/>
  <c r="CG228" i="1"/>
  <c r="CF187" i="1"/>
  <c r="CF267" i="1"/>
  <c r="BM153" i="1"/>
  <c r="BM157" i="1" s="1"/>
  <c r="BL157" i="1"/>
  <c r="BL265" i="1" s="1"/>
  <c r="CG52" i="1"/>
  <c r="CG153" i="1"/>
  <c r="CH268" i="1"/>
  <c r="CH270" i="1" s="1"/>
  <c r="CH225" i="1"/>
  <c r="CG225" i="1"/>
  <c r="CB268" i="1"/>
  <c r="CB148" i="1"/>
  <c r="CB187" i="1"/>
  <c r="CB225" i="1"/>
  <c r="CB267" i="1"/>
  <c r="CC268" i="1"/>
  <c r="CC225" i="1"/>
  <c r="CE225" i="1"/>
  <c r="CD268" i="1"/>
  <c r="CD148" i="1"/>
  <c r="CD187" i="1"/>
  <c r="CE268" i="1"/>
  <c r="BL201" i="1"/>
  <c r="BL176" i="1"/>
  <c r="CD201" i="1"/>
  <c r="CD176" i="1"/>
  <c r="CB201" i="1"/>
  <c r="CB176" i="1"/>
  <c r="CF201" i="1"/>
  <c r="CF176" i="1"/>
  <c r="CF184" i="1" s="1"/>
  <c r="BZ201" i="1"/>
  <c r="BZ176" i="1"/>
  <c r="BZ184" i="1" s="1"/>
  <c r="CE122" i="1"/>
  <c r="CE126" i="1"/>
  <c r="BZ38" i="1"/>
  <c r="BZ47" i="1"/>
  <c r="BZ36" i="1"/>
  <c r="CA38" i="1"/>
  <c r="CG204" i="1"/>
  <c r="CH216" i="1"/>
  <c r="CG216" i="1"/>
  <c r="CJ37" i="1"/>
  <c r="CF36" i="1"/>
  <c r="CG38" i="1"/>
  <c r="CF37" i="1"/>
  <c r="BZ265" i="1"/>
  <c r="CF265" i="1"/>
  <c r="CF263" i="1"/>
  <c r="CF127" i="1"/>
  <c r="CF115" i="1"/>
  <c r="CG127" i="1"/>
  <c r="CG123" i="1"/>
  <c r="CG126" i="1"/>
  <c r="CG122" i="1"/>
  <c r="CF126" i="1"/>
  <c r="CF122" i="1"/>
  <c r="CG50" i="1"/>
  <c r="CI131" i="1"/>
  <c r="CG37" i="1"/>
  <c r="CC36" i="1"/>
  <c r="Y78" i="1"/>
  <c r="CC47" i="1"/>
  <c r="CC53" i="1" s="1"/>
  <c r="CC57" i="1" s="1"/>
  <c r="CD38" i="1"/>
  <c r="CC37" i="1"/>
  <c r="CD115" i="1"/>
  <c r="CD122" i="1"/>
  <c r="CE167" i="1"/>
  <c r="CD114" i="1"/>
  <c r="CE216" i="1"/>
  <c r="CG215" i="1"/>
  <c r="CD123" i="1"/>
  <c r="CF216" i="1"/>
  <c r="CI245" i="1"/>
  <c r="CG269" i="1"/>
  <c r="CE123" i="1"/>
  <c r="CF48" i="1"/>
  <c r="CF251" i="1"/>
  <c r="CF252" i="1" s="1"/>
  <c r="CJ49" i="1"/>
  <c r="CF53" i="1"/>
  <c r="CG176" i="1"/>
  <c r="CH215" i="1"/>
  <c r="CF38" i="1"/>
  <c r="CE37" i="1"/>
  <c r="CI37" i="1"/>
  <c r="Z78" i="1"/>
  <c r="CE47" i="1"/>
  <c r="CE36" i="1"/>
  <c r="BL53" i="1"/>
  <c r="BL57" i="1" s="1"/>
  <c r="BL48" i="1"/>
  <c r="CV36" i="1"/>
  <c r="CU198" i="1"/>
  <c r="CV143" i="1"/>
  <c r="CU199" i="1"/>
  <c r="CU202" i="1"/>
  <c r="AB169" i="1"/>
  <c r="A1" i="1"/>
  <c r="CT59" i="1" l="1"/>
  <c r="CU59" i="1" s="1"/>
  <c r="CH226" i="1"/>
  <c r="CG111" i="1"/>
  <c r="CG114" i="1" s="1"/>
  <c r="CK104" i="1"/>
  <c r="CK105" i="1"/>
  <c r="CA251" i="1"/>
  <c r="CA252" i="1" s="1"/>
  <c r="CA53" i="1"/>
  <c r="CA57" i="1" s="1"/>
  <c r="AD150" i="1"/>
  <c r="CY150" i="1"/>
  <c r="CZ150" i="1" s="1"/>
  <c r="DA150" i="1" s="1"/>
  <c r="DB150" i="1" s="1"/>
  <c r="AE150" i="1" s="1"/>
  <c r="CG148" i="1"/>
  <c r="CG226" i="1"/>
  <c r="CG224" i="1" s="1"/>
  <c r="CK106" i="1"/>
  <c r="CD53" i="1"/>
  <c r="CD57" i="1" s="1"/>
  <c r="CD60" i="1" s="1"/>
  <c r="CD253" i="1" s="1"/>
  <c r="CB111" i="1"/>
  <c r="CD251" i="1"/>
  <c r="CD252" i="1" s="1"/>
  <c r="CB48" i="1"/>
  <c r="BY53" i="1"/>
  <c r="BY57" i="1" s="1"/>
  <c r="CG245" i="1"/>
  <c r="CD48" i="1"/>
  <c r="Z229" i="1"/>
  <c r="Z230" i="1" s="1"/>
  <c r="CQ204" i="1"/>
  <c r="CQ205" i="1" s="1"/>
  <c r="Y229" i="1"/>
  <c r="Y230" i="1" s="1"/>
  <c r="BZ82" i="1"/>
  <c r="CA84" i="1"/>
  <c r="CI115" i="1"/>
  <c r="CI114" i="1"/>
  <c r="CI113" i="1"/>
  <c r="CB269" i="1"/>
  <c r="CB270" i="1" s="1"/>
  <c r="CB50" i="1"/>
  <c r="CB53" i="1"/>
  <c r="CB57" i="1" s="1"/>
  <c r="CB59" i="1" s="1"/>
  <c r="CF49" i="1"/>
  <c r="CA48" i="1"/>
  <c r="CU159" i="1"/>
  <c r="CU221" i="1" s="1"/>
  <c r="CG270" i="1"/>
  <c r="CF185" i="1"/>
  <c r="CR201" i="1"/>
  <c r="CA157" i="1"/>
  <c r="CB52" i="1"/>
  <c r="CB184" i="1"/>
  <c r="CB185" i="1" s="1"/>
  <c r="CD184" i="1"/>
  <c r="CD185" i="1" s="1"/>
  <c r="CU144" i="1"/>
  <c r="CT147" i="1"/>
  <c r="CT268" i="1" s="1"/>
  <c r="CB265" i="1"/>
  <c r="CB263" i="1"/>
  <c r="CE157" i="1"/>
  <c r="CF52" i="1"/>
  <c r="CS225" i="1"/>
  <c r="BZ185" i="1"/>
  <c r="CD52" i="1"/>
  <c r="CC157" i="1"/>
  <c r="BZ128" i="1"/>
  <c r="CA56" i="1"/>
  <c r="CD263" i="1"/>
  <c r="CD265" i="1"/>
  <c r="CH224" i="1"/>
  <c r="CG113" i="1"/>
  <c r="CG115" i="1"/>
  <c r="CF128" i="1"/>
  <c r="CG56" i="1"/>
  <c r="CH52" i="1"/>
  <c r="CG157" i="1"/>
  <c r="CB128" i="1"/>
  <c r="CC56" i="1"/>
  <c r="CD128" i="1"/>
  <c r="CE56" i="1"/>
  <c r="CF200" i="1"/>
  <c r="CF205" i="1"/>
  <c r="CJ208" i="1" s="1"/>
  <c r="BL205" i="1"/>
  <c r="BL200" i="1"/>
  <c r="CD205" i="1"/>
  <c r="CD200" i="1"/>
  <c r="CB205" i="1"/>
  <c r="CB200" i="1"/>
  <c r="BZ200" i="1"/>
  <c r="BZ205" i="1"/>
  <c r="CG217" i="1"/>
  <c r="CG218" i="1" s="1"/>
  <c r="BZ48" i="1"/>
  <c r="BZ53" i="1"/>
  <c r="CA269" i="1"/>
  <c r="CA270" i="1" s="1"/>
  <c r="CA50" i="1"/>
  <c r="BZ251" i="1"/>
  <c r="BZ252" i="1" s="1"/>
  <c r="CD49" i="1"/>
  <c r="BZ50" i="1"/>
  <c r="BZ269" i="1"/>
  <c r="CB131" i="1"/>
  <c r="CH217" i="1"/>
  <c r="CH218" i="1" s="1"/>
  <c r="CD131" i="1"/>
  <c r="CC269" i="1"/>
  <c r="CC270" i="1" s="1"/>
  <c r="CE215" i="1"/>
  <c r="CE217" i="1" s="1"/>
  <c r="CE176" i="1"/>
  <c r="CG203" i="1"/>
  <c r="CG205" i="1"/>
  <c r="CC251" i="1"/>
  <c r="CC252" i="1" s="1"/>
  <c r="CG49" i="1"/>
  <c r="Y79" i="1"/>
  <c r="CC48" i="1"/>
  <c r="CC245" i="1"/>
  <c r="CD269" i="1"/>
  <c r="CD270" i="1" s="1"/>
  <c r="CC131" i="1"/>
  <c r="CD245" i="1"/>
  <c r="CC50" i="1"/>
  <c r="CD50" i="1"/>
  <c r="CC49" i="1"/>
  <c r="CC60" i="1"/>
  <c r="CC59" i="1"/>
  <c r="CF57" i="1"/>
  <c r="CI74" i="1"/>
  <c r="CE201" i="1"/>
  <c r="CF215" i="1"/>
  <c r="CF217" i="1" s="1"/>
  <c r="CF131" i="1"/>
  <c r="CE50" i="1"/>
  <c r="CE131" i="1"/>
  <c r="CE245" i="1"/>
  <c r="CE269" i="1"/>
  <c r="CE270" i="1" s="1"/>
  <c r="CF269" i="1"/>
  <c r="CF270" i="1" s="1"/>
  <c r="CE251" i="1"/>
  <c r="CE252" i="1" s="1"/>
  <c r="Z79" i="1"/>
  <c r="CE49" i="1"/>
  <c r="CH131" i="1"/>
  <c r="CE48" i="1"/>
  <c r="CG131" i="1"/>
  <c r="CE53" i="1"/>
  <c r="CH245" i="1"/>
  <c r="CF50" i="1"/>
  <c r="CI49" i="1"/>
  <c r="CF245" i="1"/>
  <c r="BL60" i="1"/>
  <c r="BL59" i="1"/>
  <c r="CW36" i="1"/>
  <c r="CX36" i="1" s="1"/>
  <c r="CW143" i="1"/>
  <c r="CV198" i="1"/>
  <c r="CV202" i="1"/>
  <c r="CV199" i="1"/>
  <c r="AC169" i="1"/>
  <c r="CV59" i="1" l="1"/>
  <c r="CW59" i="1" s="1"/>
  <c r="CX59" i="1" s="1"/>
  <c r="CA60" i="1"/>
  <c r="CA59" i="1"/>
  <c r="BY59" i="1"/>
  <c r="BY60" i="1"/>
  <c r="CC62" i="1" s="1"/>
  <c r="CD67" i="1"/>
  <c r="CB60" i="1"/>
  <c r="CD59" i="1"/>
  <c r="CH62" i="1"/>
  <c r="CD61" i="1"/>
  <c r="CD264" i="1" s="1"/>
  <c r="BY82" i="1"/>
  <c r="BZ84" i="1"/>
  <c r="BZ111" i="1" s="1"/>
  <c r="CR204" i="1"/>
  <c r="CR205" i="1" s="1"/>
  <c r="CD74" i="1"/>
  <c r="CV159" i="1"/>
  <c r="CW159" i="1" s="1"/>
  <c r="CD130" i="1"/>
  <c r="CD133" i="1" s="1"/>
  <c r="CD129" i="1"/>
  <c r="CD132" i="1" s="1"/>
  <c r="CS201" i="1"/>
  <c r="CA222" i="1"/>
  <c r="CA220" i="1" s="1"/>
  <c r="CB222" i="1"/>
  <c r="CB220" i="1" s="1"/>
  <c r="CE222" i="1"/>
  <c r="CE220" i="1" s="1"/>
  <c r="CF222" i="1"/>
  <c r="CF220" i="1" s="1"/>
  <c r="CH222" i="1"/>
  <c r="CH220" i="1" s="1"/>
  <c r="CH232" i="1" s="1"/>
  <c r="CG222" i="1"/>
  <c r="CG220" i="1" s="1"/>
  <c r="CV144" i="1"/>
  <c r="CU147" i="1"/>
  <c r="CU268" i="1" s="1"/>
  <c r="CT225" i="1"/>
  <c r="CD222" i="1"/>
  <c r="CD220" i="1" s="1"/>
  <c r="CC222" i="1"/>
  <c r="CC220" i="1" s="1"/>
  <c r="CF208" i="1"/>
  <c r="CF129" i="1"/>
  <c r="CF132" i="1" s="1"/>
  <c r="CF130" i="1"/>
  <c r="CF133" i="1" s="1"/>
  <c r="CD208" i="1"/>
  <c r="CH208" i="1"/>
  <c r="BZ57" i="1"/>
  <c r="CB74" i="1"/>
  <c r="CF60" i="1"/>
  <c r="AA80" i="1" s="1"/>
  <c r="CF59" i="1"/>
  <c r="CG62" i="1"/>
  <c r="CC253" i="1"/>
  <c r="CC67" i="1"/>
  <c r="CC61" i="1"/>
  <c r="CC264" i="1" s="1"/>
  <c r="CD63" i="1"/>
  <c r="CE200" i="1"/>
  <c r="CE205" i="1"/>
  <c r="CH132" i="1"/>
  <c r="CH133" i="1"/>
  <c r="CF74" i="1"/>
  <c r="CH74" i="1"/>
  <c r="CG74" i="1"/>
  <c r="CE57" i="1"/>
  <c r="BL67" i="1"/>
  <c r="BL61" i="1"/>
  <c r="BL264" i="1" s="1"/>
  <c r="CM83" i="1"/>
  <c r="CN83" i="1" s="1"/>
  <c r="CO83" i="1" s="1"/>
  <c r="CP83" i="1" s="1"/>
  <c r="CY36" i="1"/>
  <c r="CZ36" i="1" s="1"/>
  <c r="CX143" i="1"/>
  <c r="CW199" i="1"/>
  <c r="CW198" i="1"/>
  <c r="CW202" i="1"/>
  <c r="AE169" i="1"/>
  <c r="AD169" i="1"/>
  <c r="CD246" i="1" l="1"/>
  <c r="CF253" i="1"/>
  <c r="CU46" i="1"/>
  <c r="CV46" i="1" s="1"/>
  <c r="CY59" i="1"/>
  <c r="CZ59" i="1" s="1"/>
  <c r="DA59" i="1" s="1"/>
  <c r="CA61" i="1"/>
  <c r="CA264" i="1" s="1"/>
  <c r="CA253" i="1"/>
  <c r="CA67" i="1"/>
  <c r="CD71" i="1"/>
  <c r="CD212" i="1"/>
  <c r="CD214" i="1" s="1"/>
  <c r="CD85" i="1"/>
  <c r="CC63" i="1"/>
  <c r="Y80" i="1"/>
  <c r="BY61" i="1"/>
  <c r="BY264" i="1" s="1"/>
  <c r="BY67" i="1"/>
  <c r="CB61" i="1"/>
  <c r="CB264" i="1" s="1"/>
  <c r="CB67" i="1"/>
  <c r="CB63" i="1"/>
  <c r="CB253" i="1"/>
  <c r="CQ83" i="1"/>
  <c r="CR83" i="1" s="1"/>
  <c r="CS83" i="1" s="1"/>
  <c r="CT83" i="1" s="1"/>
  <c r="AB83" i="1"/>
  <c r="AA83" i="1" s="1"/>
  <c r="Z83" i="1" s="1"/>
  <c r="Y83" i="1" s="1"/>
  <c r="X83" i="1" s="1"/>
  <c r="W83" i="1" s="1"/>
  <c r="V83" i="1" s="1"/>
  <c r="U83" i="1" s="1"/>
  <c r="T83" i="1" s="1"/>
  <c r="S83" i="1" s="1"/>
  <c r="R83" i="1" s="1"/>
  <c r="Q83" i="1" s="1"/>
  <c r="P83" i="1" s="1"/>
  <c r="O83" i="1" s="1"/>
  <c r="N83" i="1" s="1"/>
  <c r="M83" i="1" s="1"/>
  <c r="L83" i="1" s="1"/>
  <c r="K83" i="1" s="1"/>
  <c r="J83" i="1" s="1"/>
  <c r="I83" i="1" s="1"/>
  <c r="H83" i="1" s="1"/>
  <c r="G83" i="1" s="1"/>
  <c r="F83" i="1" s="1"/>
  <c r="E83" i="1" s="1"/>
  <c r="CV221" i="1"/>
  <c r="CS204" i="1"/>
  <c r="CS205" i="1" s="1"/>
  <c r="BX82" i="1"/>
  <c r="BW82" i="1" s="1"/>
  <c r="BV82" i="1" s="1"/>
  <c r="BU82" i="1" s="1"/>
  <c r="BT82" i="1" s="1"/>
  <c r="BS82" i="1" s="1"/>
  <c r="BR82" i="1" s="1"/>
  <c r="BQ82" i="1" s="1"/>
  <c r="BP82" i="1" s="1"/>
  <c r="BO82" i="1" s="1"/>
  <c r="BN82" i="1" s="1"/>
  <c r="BM82" i="1" s="1"/>
  <c r="BL82" i="1" s="1"/>
  <c r="BY84" i="1"/>
  <c r="CG232" i="1"/>
  <c r="CG229" i="1"/>
  <c r="CG179" i="1" s="1"/>
  <c r="CG180" i="1" s="1"/>
  <c r="CG230" i="1" s="1"/>
  <c r="CT201" i="1"/>
  <c r="CU200" i="1"/>
  <c r="CW144" i="1"/>
  <c r="CV147" i="1"/>
  <c r="CV268" i="1" s="1"/>
  <c r="CU225" i="1"/>
  <c r="CF62" i="1"/>
  <c r="CF61" i="1"/>
  <c r="CF264" i="1" s="1"/>
  <c r="BZ60" i="1"/>
  <c r="BZ59" i="1"/>
  <c r="CJ62" i="1"/>
  <c r="CG63" i="1"/>
  <c r="CI246" i="1"/>
  <c r="CF67" i="1"/>
  <c r="CC71" i="1"/>
  <c r="CC138" i="1"/>
  <c r="CC139" i="1" s="1"/>
  <c r="CC85" i="1"/>
  <c r="CC212" i="1"/>
  <c r="CC214" i="1" s="1"/>
  <c r="CE60" i="1"/>
  <c r="CE59" i="1"/>
  <c r="BL212" i="1"/>
  <c r="BL214" i="1" s="1"/>
  <c r="BL71" i="1"/>
  <c r="DA36" i="1"/>
  <c r="DB36" i="1" s="1"/>
  <c r="CX202" i="1"/>
  <c r="CX199" i="1"/>
  <c r="CX198" i="1"/>
  <c r="CX159" i="1"/>
  <c r="CY143" i="1"/>
  <c r="CW221" i="1"/>
  <c r="AB145" i="1"/>
  <c r="AB155" i="1"/>
  <c r="AB154" i="1"/>
  <c r="AB146" i="1"/>
  <c r="AB141" i="1"/>
  <c r="AB170" i="1"/>
  <c r="AB162" i="1"/>
  <c r="AB137" i="1"/>
  <c r="CB71" i="1" l="1"/>
  <c r="CD73" i="1"/>
  <c r="CB85" i="1"/>
  <c r="CB212" i="1"/>
  <c r="CB214" i="1" s="1"/>
  <c r="CW46" i="1"/>
  <c r="CX46" i="1" s="1"/>
  <c r="CY46" i="1" s="1"/>
  <c r="CA85" i="1"/>
  <c r="CA71" i="1"/>
  <c r="CA138" i="1"/>
  <c r="CA139" i="1" s="1"/>
  <c r="CA212" i="1"/>
  <c r="CA214" i="1" s="1"/>
  <c r="BY85" i="1"/>
  <c r="DB59" i="1"/>
  <c r="BY212" i="1"/>
  <c r="BY214" i="1" s="1"/>
  <c r="BY71" i="1"/>
  <c r="AC83" i="1"/>
  <c r="CU83" i="1"/>
  <c r="CV83" i="1" s="1"/>
  <c r="CW83" i="1" s="1"/>
  <c r="CX83" i="1" s="1"/>
  <c r="BK82" i="1"/>
  <c r="BJ82" i="1" s="1"/>
  <c r="BI82" i="1" s="1"/>
  <c r="BH82" i="1" s="1"/>
  <c r="BG82" i="1" s="1"/>
  <c r="BF82" i="1" s="1"/>
  <c r="BE82" i="1" s="1"/>
  <c r="BD82" i="1" s="1"/>
  <c r="BC82" i="1" s="1"/>
  <c r="BB82" i="1" s="1"/>
  <c r="BA82" i="1" s="1"/>
  <c r="AZ82" i="1" s="1"/>
  <c r="AY82" i="1" s="1"/>
  <c r="AX82" i="1" s="1"/>
  <c r="AW82" i="1" s="1"/>
  <c r="AV82" i="1" s="1"/>
  <c r="AU82" i="1" s="1"/>
  <c r="AT82" i="1" s="1"/>
  <c r="AS82" i="1" s="1"/>
  <c r="AR82" i="1" s="1"/>
  <c r="AQ82" i="1" s="1"/>
  <c r="AP82" i="1" s="1"/>
  <c r="AO82" i="1" s="1"/>
  <c r="AN82" i="1" s="1"/>
  <c r="AM82" i="1" s="1"/>
  <c r="AL82" i="1" s="1"/>
  <c r="BL84" i="1"/>
  <c r="CU203" i="1"/>
  <c r="CT204" i="1"/>
  <c r="CT205" i="1" s="1"/>
  <c r="CU201" i="1"/>
  <c r="CV200" i="1"/>
  <c r="CX144" i="1"/>
  <c r="CW147" i="1"/>
  <c r="CW268" i="1" s="1"/>
  <c r="CV225" i="1"/>
  <c r="BZ61" i="1"/>
  <c r="BZ264" i="1" s="1"/>
  <c r="BZ63" i="1"/>
  <c r="CC246" i="1"/>
  <c r="BZ67" i="1"/>
  <c r="CC73" i="1" s="1"/>
  <c r="BZ253" i="1"/>
  <c r="CD62" i="1"/>
  <c r="CA63" i="1"/>
  <c r="CG267" i="1"/>
  <c r="CH228" i="1"/>
  <c r="CH229" i="1" s="1"/>
  <c r="CH230" i="1" s="1"/>
  <c r="CG263" i="1"/>
  <c r="CG265" i="1"/>
  <c r="CG184" i="1"/>
  <c r="CG185" i="1" s="1"/>
  <c r="CG187" i="1"/>
  <c r="CF212" i="1"/>
  <c r="CF214" i="1" s="1"/>
  <c r="CF218" i="1" s="1"/>
  <c r="CF232" i="1" s="1"/>
  <c r="CF71" i="1"/>
  <c r="CF85" i="1"/>
  <c r="CI88" i="1" s="1"/>
  <c r="CI73" i="1"/>
  <c r="CC111" i="1"/>
  <c r="CC148" i="1"/>
  <c r="CC74" i="1" s="1"/>
  <c r="CC226" i="1"/>
  <c r="CC224" i="1" s="1"/>
  <c r="CD226" i="1"/>
  <c r="CD224" i="1" s="1"/>
  <c r="CG246" i="1"/>
  <c r="CI62" i="1"/>
  <c r="CH246" i="1"/>
  <c r="CE63" i="1"/>
  <c r="CE61" i="1"/>
  <c r="CE264" i="1" s="1"/>
  <c r="CE62" i="1"/>
  <c r="CF63" i="1"/>
  <c r="CE67" i="1"/>
  <c r="CF246" i="1"/>
  <c r="CE246" i="1"/>
  <c r="Z80" i="1"/>
  <c r="CE253" i="1"/>
  <c r="CY199" i="1"/>
  <c r="CZ143" i="1"/>
  <c r="CY198" i="1"/>
  <c r="CY159" i="1"/>
  <c r="CY221" i="1" s="1"/>
  <c r="CX221" i="1"/>
  <c r="CY202" i="1"/>
  <c r="AC155" i="1"/>
  <c r="AC145" i="1"/>
  <c r="AB183" i="1"/>
  <c r="AC141" i="1"/>
  <c r="AC170" i="1"/>
  <c r="AB166" i="1"/>
  <c r="AB173" i="1"/>
  <c r="AC162" i="1"/>
  <c r="AC146" i="1"/>
  <c r="AB174" i="1"/>
  <c r="AC137" i="1"/>
  <c r="AC154" i="1"/>
  <c r="CD88" i="1" l="1"/>
  <c r="CD105" i="1" s="1"/>
  <c r="CZ46" i="1"/>
  <c r="DA46" i="1" s="1"/>
  <c r="DB46" i="1" s="1"/>
  <c r="CB226" i="1"/>
  <c r="CB224" i="1" s="1"/>
  <c r="CA111" i="1"/>
  <c r="CA148" i="1"/>
  <c r="CA226" i="1"/>
  <c r="CA224" i="1" s="1"/>
  <c r="AD83" i="1"/>
  <c r="CY83" i="1"/>
  <c r="CZ83" i="1" s="1"/>
  <c r="DA83" i="1" s="1"/>
  <c r="DB83" i="1" s="1"/>
  <c r="AE83" i="1" s="1"/>
  <c r="CV203" i="1"/>
  <c r="CU204" i="1"/>
  <c r="CU205" i="1" s="1"/>
  <c r="BL111" i="1"/>
  <c r="BL85" i="1"/>
  <c r="AK82" i="1"/>
  <c r="AJ82" i="1" s="1"/>
  <c r="AI82" i="1" s="1"/>
  <c r="AL84" i="1"/>
  <c r="CV201" i="1"/>
  <c r="CW200" i="1"/>
  <c r="CY144" i="1"/>
  <c r="CX147" i="1"/>
  <c r="CX268" i="1" s="1"/>
  <c r="CW225" i="1"/>
  <c r="CB73" i="1"/>
  <c r="BZ85" i="1"/>
  <c r="BZ71" i="1"/>
  <c r="BZ212" i="1"/>
  <c r="BZ214" i="1" s="1"/>
  <c r="CH56" i="1"/>
  <c r="CG128" i="1"/>
  <c r="CI106" i="1"/>
  <c r="CI104" i="1"/>
  <c r="CI105" i="1"/>
  <c r="CL109" i="1" s="1"/>
  <c r="CE71" i="1"/>
  <c r="CE138" i="1"/>
  <c r="CE139" i="1" s="1"/>
  <c r="CE73" i="1" s="1"/>
  <c r="CE212" i="1"/>
  <c r="CE214" i="1" s="1"/>
  <c r="CE218" i="1" s="1"/>
  <c r="CE232" i="1" s="1"/>
  <c r="CE85" i="1"/>
  <c r="CF73" i="1"/>
  <c r="CG73" i="1"/>
  <c r="CH73" i="1"/>
  <c r="DA143" i="1"/>
  <c r="CZ159" i="1"/>
  <c r="CZ221" i="1" s="1"/>
  <c r="CZ202" i="1"/>
  <c r="CZ199" i="1"/>
  <c r="CZ198" i="1"/>
  <c r="AE155" i="1"/>
  <c r="AD155" i="1"/>
  <c r="AE145" i="1"/>
  <c r="AD145" i="1"/>
  <c r="AC183" i="1"/>
  <c r="AE170" i="1"/>
  <c r="AD170" i="1"/>
  <c r="AE162" i="1"/>
  <c r="AD162" i="1"/>
  <c r="AD137" i="1"/>
  <c r="AE137" i="1"/>
  <c r="AC173" i="1"/>
  <c r="AE146" i="1"/>
  <c r="AD146" i="1"/>
  <c r="AE154" i="1"/>
  <c r="AD154" i="1"/>
  <c r="AC174" i="1"/>
  <c r="AC166" i="1"/>
  <c r="AE141" i="1"/>
  <c r="AD141" i="1"/>
  <c r="CD104" i="1" l="1"/>
  <c r="CD106" i="1"/>
  <c r="CV204" i="1"/>
  <c r="CV205" i="1" s="1"/>
  <c r="CW203" i="1"/>
  <c r="CW201" i="1"/>
  <c r="CX200" i="1"/>
  <c r="CZ144" i="1"/>
  <c r="CY147" i="1"/>
  <c r="CY268" i="1" s="1"/>
  <c r="CX225" i="1"/>
  <c r="CC88" i="1"/>
  <c r="CB88" i="1"/>
  <c r="CG130" i="1"/>
  <c r="CG133" i="1" s="1"/>
  <c r="CG129" i="1"/>
  <c r="CG132" i="1" s="1"/>
  <c r="CF88" i="1"/>
  <c r="CH88" i="1"/>
  <c r="CL89" i="1" s="1"/>
  <c r="CG88" i="1"/>
  <c r="CK89" i="1" s="1"/>
  <c r="CE88" i="1"/>
  <c r="CE111" i="1"/>
  <c r="CF226" i="1"/>
  <c r="CF224" i="1" s="1"/>
  <c r="CE148" i="1"/>
  <c r="CE74" i="1" s="1"/>
  <c r="CE226" i="1"/>
  <c r="CE224" i="1" s="1"/>
  <c r="CE229" i="1" s="1"/>
  <c r="CE179" i="1" s="1"/>
  <c r="CE180" i="1" s="1"/>
  <c r="CE184" i="1" s="1"/>
  <c r="DA198" i="1"/>
  <c r="DA199" i="1"/>
  <c r="DA159" i="1"/>
  <c r="DB159" i="1" s="1"/>
  <c r="DB221" i="1" s="1"/>
  <c r="DA202" i="1"/>
  <c r="DB143" i="1"/>
  <c r="AE183" i="1"/>
  <c r="AD183" i="1"/>
  <c r="AE173" i="1"/>
  <c r="AD173" i="1"/>
  <c r="AE174" i="1"/>
  <c r="AD174" i="1"/>
  <c r="AE166" i="1"/>
  <c r="AD166" i="1"/>
  <c r="BY250" i="1"/>
  <c r="CW204" i="1" l="1"/>
  <c r="CW205" i="1" s="1"/>
  <c r="CX203" i="1"/>
  <c r="DA144" i="1"/>
  <c r="CZ147" i="1"/>
  <c r="CX201" i="1"/>
  <c r="CY200" i="1"/>
  <c r="CY225" i="1"/>
  <c r="CE113" i="1"/>
  <c r="CE114" i="1"/>
  <c r="CE115" i="1"/>
  <c r="CE263" i="1"/>
  <c r="CE104" i="1"/>
  <c r="CE105" i="1"/>
  <c r="CI89" i="1"/>
  <c r="CE106" i="1"/>
  <c r="CE267" i="1"/>
  <c r="CG89" i="1"/>
  <c r="CG104" i="1"/>
  <c r="CG106" i="1"/>
  <c r="CG105" i="1"/>
  <c r="CE187" i="1"/>
  <c r="CE128" i="1" s="1"/>
  <c r="CE130" i="1" s="1"/>
  <c r="CE133" i="1" s="1"/>
  <c r="CF228" i="1"/>
  <c r="CF229" i="1" s="1"/>
  <c r="CF230" i="1" s="1"/>
  <c r="CE265" i="1"/>
  <c r="CH89" i="1"/>
  <c r="CH105" i="1"/>
  <c r="CK109" i="1" s="1"/>
  <c r="CH104" i="1"/>
  <c r="CH106" i="1"/>
  <c r="CE230" i="1"/>
  <c r="CF89" i="1"/>
  <c r="CJ89" i="1"/>
  <c r="CF106" i="1"/>
  <c r="CF104" i="1"/>
  <c r="CF105" i="1"/>
  <c r="DA221" i="1"/>
  <c r="DB199" i="1"/>
  <c r="DB198" i="1"/>
  <c r="DB202" i="1"/>
  <c r="CE185" i="1"/>
  <c r="AB39" i="1"/>
  <c r="CX204" i="1" l="1"/>
  <c r="CX205" i="1" s="1"/>
  <c r="CY203" i="1"/>
  <c r="DB144" i="1"/>
  <c r="DB147" i="1" s="1"/>
  <c r="DA147" i="1"/>
  <c r="DA268" i="1" s="1"/>
  <c r="CZ225" i="1"/>
  <c r="CZ268" i="1"/>
  <c r="CY201" i="1"/>
  <c r="CZ200" i="1"/>
  <c r="CJ109" i="1"/>
  <c r="CH109" i="1"/>
  <c r="CF56" i="1"/>
  <c r="CI109" i="1"/>
  <c r="CG109" i="1"/>
  <c r="CE129" i="1"/>
  <c r="CE132" i="1" s="1"/>
  <c r="AC39" i="1"/>
  <c r="BY251" i="1"/>
  <c r="BY252" i="1" s="1"/>
  <c r="CY204" i="1" l="1"/>
  <c r="CY205" i="1" s="1"/>
  <c r="CZ203" i="1"/>
  <c r="DA225" i="1"/>
  <c r="DB225" i="1"/>
  <c r="DB268" i="1"/>
  <c r="CZ201" i="1"/>
  <c r="DA200" i="1"/>
  <c r="AD39" i="1"/>
  <c r="BY253" i="1"/>
  <c r="CZ204" i="1" l="1"/>
  <c r="CZ205" i="1" s="1"/>
  <c r="DA203" i="1"/>
  <c r="DA201" i="1"/>
  <c r="DB200" i="1"/>
  <c r="DB201" i="1" s="1"/>
  <c r="AE39" i="1"/>
  <c r="DB203" i="1" l="1"/>
  <c r="DB204" i="1" s="1"/>
  <c r="DB205" i="1" s="1"/>
  <c r="DA204" i="1"/>
  <c r="DA205" i="1" s="1"/>
  <c r="BI84" i="1"/>
  <c r="AT84" i="1"/>
  <c r="BT84" i="1"/>
  <c r="AV84" i="1"/>
  <c r="AX84" i="1"/>
  <c r="AR84" i="1"/>
  <c r="AO84" i="1" l="1"/>
  <c r="BK84" i="1"/>
  <c r="AN84" i="1"/>
  <c r="AW84" i="1"/>
  <c r="BB84" i="1"/>
  <c r="BM84" i="1"/>
  <c r="BQ84" i="1"/>
  <c r="AJ84" i="1"/>
  <c r="BS84" i="1"/>
  <c r="BR84" i="1"/>
  <c r="BO84" i="1"/>
  <c r="AM84" i="1"/>
  <c r="AI84" i="1"/>
  <c r="AP84" i="1"/>
  <c r="AZ84" i="1"/>
  <c r="AS84" i="1"/>
  <c r="BN84" i="1"/>
  <c r="BU84" i="1"/>
  <c r="BA84" i="1"/>
  <c r="BC84" i="1"/>
  <c r="AU84" i="1"/>
  <c r="BW84" i="1"/>
  <c r="BP84" i="1"/>
  <c r="BJ84" i="1"/>
  <c r="BH84" i="1"/>
  <c r="BX84" i="1"/>
  <c r="BG84" i="1"/>
  <c r="AQ84" i="1"/>
  <c r="AY84" i="1"/>
  <c r="AK84" i="1"/>
  <c r="BE84" i="1"/>
  <c r="BD84" i="1"/>
  <c r="BV84" i="1"/>
  <c r="BF84" i="1"/>
  <c r="BL250" i="1" l="1"/>
  <c r="AB159" i="1" l="1"/>
  <c r="CN96" i="1" l="1"/>
  <c r="AB221" i="1"/>
  <c r="CO96" i="1" l="1"/>
  <c r="CM82" i="1"/>
  <c r="CP96" i="1" l="1"/>
  <c r="CN82" i="1"/>
  <c r="CM84" i="1"/>
  <c r="C21" i="2"/>
  <c r="G36" i="2"/>
  <c r="H24" i="2"/>
  <c r="N29" i="2"/>
  <c r="I12" i="2"/>
  <c r="S23" i="2"/>
  <c r="O20" i="2"/>
  <c r="I5" i="2"/>
  <c r="P16" i="2"/>
  <c r="Q26" i="2"/>
  <c r="P29" i="2"/>
  <c r="C29" i="2"/>
  <c r="J29" i="2"/>
  <c r="S14" i="2"/>
  <c r="E13" i="2"/>
  <c r="AR59" i="3"/>
  <c r="E11" i="3"/>
  <c r="E10" i="3"/>
  <c r="AD45" i="3"/>
  <c r="AN46" i="3"/>
  <c r="G29" i="3"/>
  <c r="O13" i="2"/>
  <c r="O9" i="2"/>
  <c r="Q35" i="2"/>
  <c r="X66" i="2"/>
  <c r="K21" i="2"/>
  <c r="C27" i="2"/>
  <c r="F5" i="2"/>
  <c r="D23" i="2"/>
  <c r="M35" i="2"/>
  <c r="S31" i="2"/>
  <c r="D27" i="2"/>
  <c r="S21" i="2"/>
  <c r="AR70" i="3"/>
  <c r="W74" i="2"/>
  <c r="AR58" i="3"/>
  <c r="Q22" i="2"/>
  <c r="G15" i="2"/>
  <c r="R25" i="2"/>
  <c r="M19" i="2"/>
  <c r="W23" i="2"/>
  <c r="E30" i="2"/>
  <c r="W8" i="2"/>
  <c r="H31" i="2"/>
  <c r="N26" i="2"/>
  <c r="X18" i="2"/>
  <c r="Q23" i="2"/>
  <c r="C36" i="2"/>
  <c r="M23" i="2"/>
  <c r="G21" i="2"/>
  <c r="AR85" i="3"/>
  <c r="W36" i="2"/>
  <c r="S27" i="2"/>
  <c r="P27" i="2"/>
  <c r="K12" i="2"/>
  <c r="W24" i="2"/>
  <c r="S62" i="2"/>
  <c r="F11" i="2"/>
  <c r="X15" i="2"/>
  <c r="H34" i="2"/>
  <c r="Q10" i="2"/>
  <c r="F33" i="2"/>
  <c r="F16" i="2"/>
  <c r="AR56" i="3"/>
  <c r="T32" i="2"/>
  <c r="C16" i="2"/>
  <c r="F15" i="2"/>
  <c r="E9" i="3"/>
  <c r="AR9" i="3"/>
  <c r="T45" i="3"/>
  <c r="AP46" i="3"/>
  <c r="AO45" i="3"/>
  <c r="D14" i="3"/>
  <c r="S35" i="2"/>
  <c r="D9" i="2"/>
  <c r="V12" i="2"/>
  <c r="R54" i="2"/>
  <c r="L34" i="2"/>
  <c r="U36" i="2"/>
  <c r="N18" i="2"/>
  <c r="Q21" i="2"/>
  <c r="F17" i="2"/>
  <c r="H13" i="2"/>
  <c r="U7" i="2"/>
  <c r="E31" i="2"/>
  <c r="T13" i="2"/>
  <c r="P30" i="2"/>
  <c r="M15" i="2"/>
  <c r="Q32" i="2"/>
  <c r="AR93" i="3"/>
  <c r="J16" i="2"/>
  <c r="P12" i="2"/>
  <c r="E21" i="2"/>
  <c r="D37" i="3"/>
  <c r="E18" i="3"/>
  <c r="D11" i="3"/>
  <c r="F24" i="3"/>
  <c r="F30" i="3"/>
  <c r="F38" i="3"/>
  <c r="Y16" i="4" a="1"/>
  <c r="BU12" i="4" a="1"/>
  <c r="BP7" i="4" a="1"/>
  <c r="AC16" i="4" a="1"/>
  <c r="BU8" i="4" a="1"/>
  <c r="BH6" i="4" a="1"/>
  <c r="BZ9" i="4" a="1"/>
  <c r="EB8" i="4" a="1"/>
  <c r="DS6" i="4" a="1"/>
  <c r="X7" i="2"/>
  <c r="M16" i="2"/>
  <c r="G19" i="2"/>
  <c r="D34" i="2"/>
  <c r="P15" i="2"/>
  <c r="H49" i="2"/>
  <c r="W32" i="2"/>
  <c r="N17" i="2"/>
  <c r="G30" i="2"/>
  <c r="I30" i="2"/>
  <c r="V13" i="2"/>
  <c r="W7" i="2"/>
  <c r="E34" i="2"/>
  <c r="O21" i="2"/>
  <c r="D5" i="2"/>
  <c r="F14" i="2"/>
  <c r="G18" i="2"/>
  <c r="AR41" i="3"/>
  <c r="D12" i="3"/>
  <c r="AG46" i="3"/>
  <c r="F37" i="3"/>
  <c r="Y46" i="3"/>
  <c r="BO14" i="4" a="1"/>
  <c r="EJ5" i="4" a="1"/>
  <c r="DU7" i="4" a="1"/>
  <c r="CX14" i="4" a="1"/>
  <c r="EG5" i="4" a="1"/>
  <c r="AG15" i="4" a="1"/>
  <c r="AV16" i="4" a="1"/>
  <c r="CP14" i="4" a="1"/>
  <c r="T8" i="4" a="1"/>
  <c r="H9" i="2"/>
  <c r="U29" i="2"/>
  <c r="X11" i="2"/>
  <c r="U30" i="2"/>
  <c r="P22" i="2"/>
  <c r="W35" i="2"/>
  <c r="L19" i="2"/>
  <c r="S19" i="2"/>
  <c r="I17" i="2"/>
  <c r="L31" i="2"/>
  <c r="O34" i="2"/>
  <c r="E12" i="2"/>
  <c r="V11" i="2"/>
  <c r="U33" i="2"/>
  <c r="AR75" i="3"/>
  <c r="D14" i="2"/>
  <c r="AG45" i="3"/>
  <c r="E41" i="3"/>
  <c r="R46" i="3"/>
  <c r="Z45" i="3"/>
  <c r="AJ45" i="3"/>
  <c r="U46" i="3"/>
  <c r="AF7" i="4" a="1"/>
  <c r="AO12" i="4" a="1"/>
  <c r="AK8" i="4" a="1"/>
  <c r="CF9" i="4" a="1"/>
  <c r="EG16" i="4" a="1"/>
  <c r="V12" i="4" a="1"/>
  <c r="BI6" i="4" a="1"/>
  <c r="BH14" i="4" a="1"/>
  <c r="Q69" i="2"/>
  <c r="Q6" i="2"/>
  <c r="P7" i="2"/>
  <c r="O15" i="2"/>
  <c r="V24" i="2"/>
  <c r="D24" i="2"/>
  <c r="R23" i="2"/>
  <c r="N19" i="2"/>
  <c r="V18" i="2"/>
  <c r="T19" i="2"/>
  <c r="X21" i="2"/>
  <c r="I25" i="2"/>
  <c r="Q59" i="2"/>
  <c r="W70" i="2"/>
  <c r="AR54" i="3"/>
  <c r="H35" i="2"/>
  <c r="G7" i="3"/>
  <c r="F19" i="3"/>
  <c r="V45" i="3"/>
  <c r="AQ45" i="3"/>
  <c r="D38" i="3"/>
  <c r="D31" i="3"/>
  <c r="CX7" i="4" a="1"/>
  <c r="BX9" i="4" a="1"/>
  <c r="BH5" i="4" a="1"/>
  <c r="CQ14" i="4" a="1"/>
  <c r="AB11" i="4" a="1"/>
  <c r="AQ13" i="4" a="1"/>
  <c r="BY5" i="4" a="1"/>
  <c r="CF14" i="4" a="1"/>
  <c r="F13" i="2"/>
  <c r="O7" i="2"/>
  <c r="R10" i="2"/>
  <c r="K87" i="2"/>
  <c r="N27" i="2"/>
  <c r="S16" i="2"/>
  <c r="C34" i="2"/>
  <c r="M28" i="2"/>
  <c r="R9" i="2"/>
  <c r="F9" i="2"/>
  <c r="H26" i="2"/>
  <c r="G9" i="2"/>
  <c r="T21" i="2"/>
  <c r="K18" i="2"/>
  <c r="S24" i="2"/>
  <c r="H33" i="2"/>
  <c r="N15" i="2"/>
  <c r="AD10" i="3"/>
  <c r="F12" i="3"/>
  <c r="E37" i="3"/>
  <c r="G23" i="3"/>
  <c r="AR10" i="3"/>
  <c r="DV16" i="4" a="1"/>
  <c r="CM12" i="4" a="1"/>
  <c r="BV5" i="4" a="1"/>
  <c r="T35" i="2"/>
  <c r="G17" i="2"/>
  <c r="Q16" i="2"/>
  <c r="F6" i="2"/>
  <c r="U11" i="2"/>
  <c r="I19" i="2"/>
  <c r="N14" i="2"/>
  <c r="S15" i="2"/>
  <c r="U13" i="2"/>
  <c r="H27" i="2"/>
  <c r="H11" i="2"/>
  <c r="L6" i="2"/>
  <c r="R36" i="2"/>
  <c r="V20" i="2"/>
  <c r="E20" i="2"/>
  <c r="X29" i="2"/>
  <c r="I26" i="2"/>
  <c r="AR36" i="3"/>
  <c r="W46" i="3"/>
  <c r="AR38" i="3"/>
  <c r="D6" i="3"/>
  <c r="F7" i="3"/>
  <c r="D17" i="2"/>
  <c r="X92" i="2"/>
  <c r="V25" i="2"/>
  <c r="AR25" i="3"/>
  <c r="D28" i="3"/>
  <c r="BR12" i="4" a="1"/>
  <c r="AM7" i="4" a="1"/>
  <c r="DH8" i="4" a="1"/>
  <c r="DQ8" i="4" a="1"/>
  <c r="DB16" i="4" a="1"/>
  <c r="F8" i="4" a="1"/>
  <c r="DQ5" i="4" a="1"/>
  <c r="DY14" i="4" a="1"/>
  <c r="AJ9" i="4" a="1"/>
  <c r="BX12" i="4" a="1"/>
  <c r="CM15" i="4" a="1"/>
  <c r="CV14" i="4" a="1"/>
  <c r="CR16" i="4" a="1"/>
  <c r="U8" i="4" a="1"/>
  <c r="BB5" i="4" a="1"/>
  <c r="H5" i="4" a="1"/>
  <c r="CG5" i="4" a="1"/>
  <c r="W7" i="4" a="1"/>
  <c r="C8" i="2"/>
  <c r="P6" i="2"/>
  <c r="C23" i="2"/>
  <c r="G5" i="3"/>
  <c r="AR14" i="3"/>
  <c r="CK15" i="4" a="1"/>
  <c r="BO8" i="4" a="1"/>
  <c r="AP9" i="4" a="1"/>
  <c r="DL6" i="4" a="1"/>
  <c r="DX13" i="4" a="1"/>
  <c r="AI8" i="4" a="1"/>
  <c r="DE16" i="4" a="1"/>
  <c r="CK11" i="4" a="1"/>
  <c r="BG7" i="4" a="1"/>
  <c r="BV9" i="4" a="1"/>
  <c r="AK15" i="4" a="1"/>
  <c r="AP7" i="4" a="1"/>
  <c r="G7" i="4" a="1"/>
  <c r="BM5" i="4" a="1"/>
  <c r="AP13" i="4" a="1"/>
  <c r="S12" i="4" a="1"/>
  <c r="DI5" i="4" a="1"/>
  <c r="BG6" i="4" a="1"/>
  <c r="C17" i="2"/>
  <c r="W33" i="2"/>
  <c r="N32" i="2"/>
  <c r="F42" i="3"/>
  <c r="Q46" i="3"/>
  <c r="AI9" i="4" a="1"/>
  <c r="DP14" i="4" a="1"/>
  <c r="EA5" i="4" a="1"/>
  <c r="Q28" i="2"/>
  <c r="W25" i="2"/>
  <c r="J27" i="2"/>
  <c r="O26" i="2"/>
  <c r="N25" i="2"/>
  <c r="V14" i="2"/>
  <c r="E35" i="2"/>
  <c r="K8" i="2"/>
  <c r="D21" i="2"/>
  <c r="L24" i="2"/>
  <c r="T28" i="2"/>
  <c r="I33" i="2"/>
  <c r="N23" i="2"/>
  <c r="N12" i="2"/>
  <c r="S29" i="2"/>
  <c r="R30" i="2"/>
  <c r="F18" i="2"/>
  <c r="S45" i="3"/>
  <c r="F14" i="3"/>
  <c r="AK46" i="3"/>
  <c r="G28" i="3"/>
  <c r="Y45" i="3"/>
  <c r="K34" i="2"/>
  <c r="G34" i="2"/>
  <c r="H20" i="2"/>
  <c r="I18" i="2"/>
  <c r="Q17" i="2"/>
  <c r="O18" i="2"/>
  <c r="K35" i="2"/>
  <c r="D36" i="2"/>
  <c r="P11" i="2"/>
  <c r="T16" i="2"/>
  <c r="I36" i="2"/>
  <c r="Q25" i="2"/>
  <c r="AF50" i="3"/>
  <c r="N13" i="2"/>
  <c r="AR79" i="3"/>
  <c r="S32" i="2"/>
  <c r="R35" i="2"/>
  <c r="R12" i="2"/>
  <c r="C24" i="2"/>
  <c r="H19" i="2"/>
  <c r="G22" i="2"/>
  <c r="R28" i="2"/>
  <c r="M27" i="2"/>
  <c r="F7" i="2"/>
  <c r="F12" i="2"/>
  <c r="X31" i="2"/>
  <c r="E6" i="2"/>
  <c r="AR64" i="3"/>
  <c r="N34" i="2"/>
  <c r="D30" i="2"/>
  <c r="N5" i="2"/>
  <c r="X14" i="2"/>
  <c r="P9" i="2"/>
  <c r="L10" i="2"/>
  <c r="V33" i="2"/>
  <c r="C9" i="2"/>
  <c r="J6" i="2"/>
  <c r="M5" i="2"/>
  <c r="T27" i="2"/>
  <c r="M29" i="2"/>
  <c r="H21" i="2"/>
  <c r="M10" i="2"/>
  <c r="AR88" i="3"/>
  <c r="J14" i="2"/>
  <c r="AR65" i="3"/>
  <c r="J30" i="2"/>
  <c r="F17" i="3"/>
  <c r="D34" i="3"/>
  <c r="AR17" i="3"/>
  <c r="D45" i="3"/>
  <c r="AR26" i="3"/>
  <c r="AK45" i="3"/>
  <c r="K5" i="2"/>
  <c r="O16" i="2"/>
  <c r="V26" i="2"/>
  <c r="V29" i="2"/>
  <c r="Q19" i="2"/>
  <c r="U14" i="2"/>
  <c r="G29" i="2"/>
  <c r="J21" i="2"/>
  <c r="S13" i="2"/>
  <c r="Q55" i="2"/>
  <c r="Q9" i="2"/>
  <c r="N10" i="2"/>
  <c r="U20" i="2"/>
  <c r="L36" i="2"/>
  <c r="E15" i="2"/>
  <c r="T10" i="2"/>
  <c r="P18" i="2"/>
  <c r="K19" i="2"/>
  <c r="C11" i="2"/>
  <c r="AR81" i="3"/>
  <c r="AI46" i="3"/>
  <c r="D40" i="3"/>
  <c r="AD14" i="3"/>
  <c r="F27" i="3"/>
  <c r="D25" i="3"/>
  <c r="F11" i="4" a="1"/>
  <c r="F12" i="4" a="1"/>
  <c r="BX8" i="4" a="1"/>
  <c r="BV13" i="4" a="1"/>
  <c r="CT8" i="4" a="1"/>
  <c r="BT13" i="4" a="1"/>
  <c r="DE15" i="4" a="1"/>
  <c r="DD13" i="4" a="1"/>
  <c r="BS12" i="4" a="1"/>
  <c r="CF6" i="4" a="1"/>
  <c r="E33" i="2"/>
  <c r="U21" i="2"/>
  <c r="N24" i="2"/>
  <c r="W13" i="2"/>
  <c r="U35" i="2"/>
  <c r="F31" i="2"/>
  <c r="W20" i="2"/>
  <c r="S22" i="2"/>
  <c r="M26" i="2"/>
  <c r="L26" i="2"/>
  <c r="F36" i="2"/>
  <c r="I7" i="2"/>
  <c r="L5" i="2"/>
  <c r="E18" i="2"/>
  <c r="AR87" i="3"/>
  <c r="N22" i="2"/>
  <c r="AM46" i="3"/>
  <c r="D16" i="3"/>
  <c r="AR11" i="3"/>
  <c r="D9" i="3"/>
  <c r="AO6" i="3"/>
  <c r="G8" i="3"/>
  <c r="EJ14" i="4" a="1"/>
  <c r="BJ12" i="4" a="1"/>
  <c r="DG8" i="4" a="1"/>
  <c r="BW15" i="4" a="1"/>
  <c r="DN9" i="4" a="1"/>
  <c r="DZ16" i="4" a="1"/>
  <c r="M14" i="4" a="1"/>
  <c r="BL8" i="4" a="1"/>
  <c r="U9" i="4" a="1"/>
  <c r="F10" i="2"/>
  <c r="O32" i="2"/>
  <c r="C6" i="2"/>
  <c r="E19" i="2"/>
  <c r="D29" i="2"/>
  <c r="V23" i="2"/>
  <c r="K7" i="2"/>
  <c r="G10" i="2"/>
  <c r="G35" i="2"/>
  <c r="M13" i="2"/>
  <c r="F29" i="2"/>
  <c r="P5" i="2"/>
  <c r="AR60" i="3"/>
  <c r="R19" i="2"/>
  <c r="F22" i="2"/>
  <c r="K15" i="2"/>
  <c r="F39" i="3"/>
  <c r="AD15" i="3"/>
  <c r="G45" i="3"/>
  <c r="G15" i="3"/>
  <c r="F5" i="3"/>
  <c r="I45" i="3"/>
  <c r="BF9" i="4" a="1"/>
  <c r="CB7" i="4" a="1"/>
  <c r="CG16" i="4" a="1"/>
  <c r="BK13" i="4" a="1"/>
  <c r="ED14" i="4" a="1"/>
  <c r="R11" i="4" a="1"/>
  <c r="BI5" i="4" a="1"/>
  <c r="CM13" i="4" a="1"/>
  <c r="T26" i="2"/>
  <c r="I14" i="2"/>
  <c r="O17" i="2"/>
  <c r="R29" i="2"/>
  <c r="K10" i="2"/>
  <c r="D7" i="2"/>
  <c r="G32" i="2"/>
  <c r="N31" i="2"/>
  <c r="G27" i="2"/>
  <c r="M32" i="2"/>
  <c r="S8" i="2"/>
  <c r="U5" i="2"/>
  <c r="AR69" i="3"/>
  <c r="E5" i="2"/>
  <c r="V19" i="2"/>
  <c r="E22" i="2"/>
  <c r="J46" i="3"/>
  <c r="AA45" i="3"/>
  <c r="E23" i="3"/>
  <c r="D8" i="3"/>
  <c r="AR18" i="3"/>
  <c r="J45" i="3"/>
  <c r="CI7" i="4" a="1"/>
  <c r="AN7" i="4" a="1"/>
  <c r="BQ7" i="4" a="1"/>
  <c r="AZ7" i="4" a="1"/>
  <c r="AK13" i="4" a="1"/>
  <c r="BP11" i="4" a="1"/>
  <c r="C8" i="4" a="1"/>
  <c r="EK8" i="4" a="1"/>
  <c r="U19" i="2"/>
  <c r="W46" i="2"/>
  <c r="V35" i="2"/>
  <c r="O19" i="2"/>
  <c r="T15" i="2"/>
  <c r="R13" i="2"/>
  <c r="T29" i="2"/>
  <c r="R20" i="2"/>
  <c r="J31" i="2"/>
  <c r="E8" i="2"/>
  <c r="M36" i="2"/>
  <c r="M7" i="2"/>
  <c r="E17" i="2"/>
  <c r="X36" i="2"/>
  <c r="AR80" i="3"/>
  <c r="Q54" i="2"/>
  <c r="AR34" i="3"/>
  <c r="F25" i="3"/>
  <c r="N45" i="3"/>
  <c r="G21" i="3"/>
  <c r="Z46" i="3"/>
  <c r="D7" i="3"/>
  <c r="AB12" i="4" a="1"/>
  <c r="EI16" i="4" a="1"/>
  <c r="BD15" i="4" a="1"/>
  <c r="X19" i="2"/>
  <c r="N11" i="2"/>
  <c r="Q56" i="2"/>
  <c r="I31" i="2"/>
  <c r="U34" i="2"/>
  <c r="W12" i="2"/>
  <c r="C22" i="2"/>
  <c r="V10" i="2"/>
  <c r="I24" i="2"/>
  <c r="L21" i="2"/>
  <c r="P32" i="2"/>
  <c r="E23" i="2"/>
  <c r="T11" i="2"/>
  <c r="R26" i="2"/>
  <c r="AR95" i="3"/>
  <c r="I21" i="2"/>
  <c r="AJ46" i="3"/>
  <c r="E26" i="3"/>
  <c r="D15" i="3"/>
  <c r="AD46" i="3"/>
  <c r="AO46" i="3"/>
  <c r="D35" i="3"/>
  <c r="N16" i="2"/>
  <c r="O24" i="2"/>
  <c r="F32" i="3"/>
  <c r="AL45" i="3"/>
  <c r="DT7" i="4" a="1"/>
  <c r="AH13" i="4" a="1"/>
  <c r="BB13" i="4" a="1"/>
  <c r="DQ13" i="4" a="1"/>
  <c r="J7" i="4" a="1"/>
  <c r="EI6" i="4" a="1"/>
  <c r="W16" i="2"/>
  <c r="D6" i="2"/>
  <c r="L13" i="2"/>
  <c r="H99" i="2"/>
  <c r="Q11" i="2"/>
  <c r="R31" i="2"/>
  <c r="K25" i="2"/>
  <c r="K31" i="2"/>
  <c r="I10" i="2"/>
  <c r="L28" i="2"/>
  <c r="Q15" i="2"/>
  <c r="S5" i="2"/>
  <c r="T23" i="2"/>
  <c r="E16" i="2"/>
  <c r="AR63" i="3"/>
  <c r="F30" i="2"/>
  <c r="E40" i="3"/>
  <c r="AQ46" i="3"/>
  <c r="E17" i="3"/>
  <c r="D42" i="3"/>
  <c r="G16" i="3"/>
  <c r="E19" i="3"/>
  <c r="L29" i="2"/>
  <c r="F21" i="2"/>
  <c r="L7" i="2"/>
  <c r="X9" i="2"/>
  <c r="M33" i="2"/>
  <c r="X16" i="2"/>
  <c r="G26" i="2"/>
  <c r="O5" i="2"/>
  <c r="K20" i="2"/>
  <c r="N30" i="2"/>
  <c r="J35" i="2"/>
  <c r="S18" i="2"/>
  <c r="AR97" i="3"/>
  <c r="I6" i="2"/>
  <c r="X35" i="2"/>
  <c r="G7" i="2"/>
  <c r="K28" i="2"/>
  <c r="L35" i="2"/>
  <c r="L16" i="2"/>
  <c r="S36" i="2"/>
  <c r="N28" i="2"/>
  <c r="W18" i="2"/>
  <c r="S30" i="2"/>
  <c r="X25" i="2"/>
  <c r="P24" i="2"/>
  <c r="E11" i="2"/>
  <c r="L14" i="2"/>
  <c r="AR76" i="3"/>
  <c r="T25" i="2"/>
  <c r="V21" i="2"/>
  <c r="I27" i="2"/>
  <c r="H29" i="2"/>
  <c r="C31" i="2"/>
  <c r="R18" i="2"/>
  <c r="V16" i="2"/>
  <c r="I32" i="2"/>
  <c r="R24" i="2"/>
  <c r="W10" i="2"/>
  <c r="P26" i="2"/>
  <c r="U10" i="2"/>
  <c r="C32" i="2"/>
  <c r="L30" i="2"/>
  <c r="AR72" i="3"/>
  <c r="O31" i="2"/>
  <c r="W34" i="2"/>
  <c r="AR77" i="3"/>
  <c r="D19" i="3"/>
  <c r="AP45" i="3"/>
  <c r="F13" i="3"/>
  <c r="G13" i="3"/>
  <c r="AH45" i="3"/>
  <c r="N9" i="4" a="1"/>
  <c r="J24" i="2"/>
  <c r="U6" i="2"/>
  <c r="D47" i="2"/>
  <c r="F24" i="2"/>
  <c r="Q5" i="2"/>
  <c r="U23" i="2"/>
  <c r="J33" i="2"/>
  <c r="U18" i="2"/>
  <c r="Q12" i="2"/>
  <c r="D12" i="2"/>
  <c r="Q24" i="2"/>
  <c r="W29" i="2"/>
  <c r="H7" i="2"/>
  <c r="S7" i="2"/>
  <c r="D13" i="2"/>
  <c r="C7" i="2"/>
  <c r="V17" i="2"/>
  <c r="AR48" i="3"/>
  <c r="M21" i="2"/>
  <c r="AR37" i="3"/>
  <c r="AD17" i="3"/>
  <c r="G46" i="3"/>
  <c r="D32" i="3"/>
  <c r="F9" i="3"/>
  <c r="E27" i="3"/>
  <c r="BV7" i="4" a="1"/>
  <c r="CF16" i="4" a="1"/>
  <c r="BE11" i="4" a="1"/>
  <c r="CO6" i="4" a="1"/>
  <c r="R13" i="4" a="1"/>
  <c r="BH12" i="4" a="1"/>
  <c r="P9" i="4" a="1"/>
  <c r="AY9" i="4" a="1"/>
  <c r="DG16" i="4" a="1"/>
  <c r="BB6" i="4" a="1"/>
  <c r="M22" i="2"/>
  <c r="U15" i="2"/>
  <c r="O35" i="2"/>
  <c r="T22" i="2"/>
  <c r="H22" i="2"/>
  <c r="P20" i="2"/>
  <c r="D15" i="2"/>
  <c r="D35" i="2"/>
  <c r="T18" i="2"/>
  <c r="U8" i="2"/>
  <c r="U16" i="2"/>
  <c r="M17" i="2"/>
  <c r="AR71" i="3"/>
  <c r="R16" i="2"/>
  <c r="E27" i="2"/>
  <c r="M6" i="2"/>
  <c r="D33" i="3"/>
  <c r="E39" i="3"/>
  <c r="D39" i="3"/>
  <c r="M46" i="3"/>
  <c r="F16" i="3"/>
  <c r="D46" i="3"/>
  <c r="CY15" i="4" a="1"/>
  <c r="DK7" i="4" a="1"/>
  <c r="DR16" i="4" a="1"/>
  <c r="CT14" i="4" a="1"/>
  <c r="CY16" i="4" a="1"/>
  <c r="K14" i="4" a="1"/>
  <c r="X15" i="4" a="1"/>
  <c r="AF8" i="4" a="1"/>
  <c r="DU5" i="4" a="1"/>
  <c r="U27" i="2"/>
  <c r="Q78" i="2"/>
  <c r="S12" i="2"/>
  <c r="K13" i="2"/>
  <c r="Q14" i="2"/>
  <c r="P36" i="2"/>
  <c r="H36" i="2"/>
  <c r="Q27" i="2"/>
  <c r="F20" i="2"/>
  <c r="Q31" i="2"/>
  <c r="X30" i="2"/>
  <c r="O23" i="2"/>
  <c r="C10" i="2"/>
  <c r="F32" i="2"/>
  <c r="K14" i="2"/>
  <c r="U31" i="2"/>
  <c r="S46" i="3"/>
  <c r="E32" i="3"/>
  <c r="AR27" i="3"/>
  <c r="P46" i="3"/>
  <c r="D20" i="3"/>
  <c r="AR16" i="3"/>
  <c r="Z8" i="4" a="1"/>
  <c r="BI13" i="4" a="1"/>
  <c r="AI11" i="4" a="1"/>
  <c r="BG8" i="4" a="1"/>
  <c r="DF7" i="4" a="1"/>
  <c r="BT9" i="4" a="1"/>
  <c r="CI13" i="4" a="1"/>
  <c r="BI7" i="4" a="1"/>
  <c r="K26" i="2"/>
  <c r="F75" i="2"/>
  <c r="K32" i="2"/>
  <c r="V28" i="2"/>
  <c r="O12" i="2"/>
  <c r="W31" i="2"/>
  <c r="J19" i="2"/>
  <c r="K16" i="2"/>
  <c r="E10" i="2"/>
  <c r="K59" i="2"/>
  <c r="H15" i="2"/>
  <c r="J32" i="2"/>
  <c r="T8" i="2"/>
  <c r="R11" i="2"/>
  <c r="I11" i="2"/>
  <c r="L27" i="2"/>
  <c r="F22" i="3"/>
  <c r="AR33" i="3"/>
  <c r="K46" i="3"/>
  <c r="E13" i="3"/>
  <c r="E34" i="3"/>
  <c r="AD11" i="3"/>
  <c r="BK8" i="4" a="1"/>
  <c r="DL15" i="4" a="1"/>
  <c r="BL9" i="4" a="1"/>
  <c r="DI14" i="4" a="1"/>
  <c r="CX6" i="4" a="1"/>
  <c r="CJ9" i="4" a="1"/>
  <c r="AD5" i="4" a="1"/>
  <c r="BO5" i="4" a="1"/>
  <c r="Q18" i="2"/>
  <c r="O6" i="2"/>
  <c r="N36" i="2"/>
  <c r="W5" i="2"/>
  <c r="O25" i="2"/>
  <c r="N33" i="2"/>
  <c r="H23" i="2"/>
  <c r="V5" i="2"/>
  <c r="P13" i="2"/>
  <c r="G28" i="2"/>
  <c r="D31" i="2"/>
  <c r="T20" i="2"/>
  <c r="AS49" i="3"/>
  <c r="Q57" i="2"/>
  <c r="V8" i="2"/>
  <c r="D25" i="2"/>
  <c r="X46" i="3"/>
  <c r="AC46" i="3"/>
  <c r="G14" i="3"/>
  <c r="D27" i="3"/>
  <c r="E30" i="3"/>
  <c r="E8" i="3"/>
  <c r="CY6" i="4" a="1"/>
  <c r="AI16" i="4" a="1"/>
  <c r="BD6" i="4" a="1"/>
  <c r="T5" i="2"/>
  <c r="N9" i="2"/>
  <c r="K33" i="2"/>
  <c r="T12" i="2"/>
  <c r="P23" i="2"/>
  <c r="D28" i="2"/>
  <c r="O22" i="2"/>
  <c r="D10" i="2"/>
  <c r="G24" i="2"/>
  <c r="D33" i="2"/>
  <c r="Q20" i="2"/>
  <c r="C14" i="2"/>
  <c r="AR55" i="3"/>
  <c r="C26" i="2"/>
  <c r="X26" i="2"/>
  <c r="C30" i="2"/>
  <c r="H45" i="3"/>
  <c r="E20" i="3"/>
  <c r="AR32" i="3"/>
  <c r="P45" i="3"/>
  <c r="E29" i="3"/>
  <c r="X28" i="2"/>
  <c r="L15" i="2"/>
  <c r="X32" i="2"/>
  <c r="AR24" i="3"/>
  <c r="M45" i="3"/>
  <c r="DZ14" i="4" a="1"/>
  <c r="AD8" i="4" a="1"/>
  <c r="BN11" i="4" a="1"/>
  <c r="V14" i="4" a="1"/>
  <c r="T34" i="2"/>
  <c r="H12" i="2"/>
  <c r="G20" i="2"/>
  <c r="O27" i="2"/>
  <c r="T33" i="2"/>
  <c r="S34" i="2"/>
  <c r="P17" i="2"/>
  <c r="X5" i="2"/>
  <c r="K30" i="2"/>
  <c r="O29" i="2"/>
  <c r="W28" i="2"/>
  <c r="X17" i="2"/>
  <c r="AR62" i="3"/>
  <c r="V30" i="2"/>
  <c r="AR67" i="3"/>
  <c r="P10" i="2"/>
  <c r="F10" i="3"/>
  <c r="G26" i="3"/>
  <c r="AR30" i="3"/>
  <c r="H46" i="3"/>
  <c r="G19" i="3"/>
  <c r="H17" i="2"/>
  <c r="E32" i="2"/>
  <c r="J13" i="2"/>
  <c r="H30" i="2"/>
  <c r="O33" i="2"/>
  <c r="C19" i="2"/>
  <c r="X34" i="2"/>
  <c r="H16" i="2"/>
  <c r="P19" i="2"/>
  <c r="E25" i="2"/>
  <c r="Q13" i="2"/>
  <c r="P31" i="2"/>
  <c r="E36" i="2"/>
  <c r="J8" i="2"/>
  <c r="AR74" i="3"/>
  <c r="V32" i="2"/>
  <c r="U17" i="2"/>
  <c r="S33" i="2"/>
  <c r="X13" i="2"/>
  <c r="D26" i="2"/>
  <c r="R32" i="2"/>
  <c r="M25" i="2"/>
  <c r="G5" i="2"/>
  <c r="I29" i="2"/>
  <c r="W26" i="2"/>
  <c r="W27" i="2"/>
  <c r="K43" i="2"/>
  <c r="L25" i="2"/>
  <c r="AR92" i="3"/>
  <c r="W22" i="2"/>
  <c r="X33" i="2"/>
  <c r="J18" i="2"/>
  <c r="V7" i="2"/>
  <c r="F27" i="2"/>
  <c r="R6" i="2"/>
  <c r="U22" i="2"/>
  <c r="J9" i="2"/>
  <c r="D22" i="2"/>
  <c r="F25" i="2"/>
  <c r="R15" i="2"/>
  <c r="P69" i="2"/>
  <c r="K6" i="2"/>
  <c r="H32" i="2"/>
  <c r="M34" i="2"/>
  <c r="AR94" i="3"/>
  <c r="C13" i="2"/>
  <c r="AR78" i="3"/>
  <c r="E28" i="3"/>
  <c r="AR42" i="3"/>
  <c r="AL46" i="3"/>
  <c r="AR39" i="3"/>
  <c r="D18" i="3"/>
  <c r="W9" i="2"/>
  <c r="X41" i="2"/>
  <c r="T36" i="2"/>
  <c r="X23" i="2"/>
  <c r="I23" i="2"/>
  <c r="L8" i="2"/>
  <c r="I28" i="2"/>
  <c r="P34" i="2"/>
  <c r="Q33" i="2"/>
  <c r="I15" i="2"/>
  <c r="H54" i="2"/>
  <c r="W11" i="2"/>
  <c r="P33" i="2"/>
  <c r="H18" i="2"/>
  <c r="G8" i="2"/>
  <c r="W14" i="2"/>
  <c r="AR57" i="3"/>
  <c r="H14" i="2"/>
  <c r="AR83" i="3"/>
  <c r="H25" i="2"/>
  <c r="AR19" i="3"/>
  <c r="G31" i="3"/>
  <c r="D30" i="3"/>
  <c r="AR46" i="3"/>
  <c r="AR31" i="3"/>
  <c r="D41" i="3"/>
  <c r="BF11" i="4" a="1"/>
  <c r="Z15" i="4" a="1"/>
  <c r="DB14" i="4" a="1"/>
  <c r="DH15" i="4" a="1"/>
  <c r="BM15" i="4" a="1"/>
  <c r="D13" i="4" a="1"/>
  <c r="CX15" i="4" a="1"/>
  <c r="CN7" i="4" a="1"/>
  <c r="CL9" i="4" a="1"/>
  <c r="AD12" i="4" a="1"/>
  <c r="G6" i="2"/>
  <c r="F89" i="2"/>
  <c r="C20" i="2"/>
  <c r="R5" i="2"/>
  <c r="F28" i="2"/>
  <c r="P14" i="2"/>
  <c r="X22" i="2"/>
  <c r="E26" i="2"/>
  <c r="S6" i="2"/>
  <c r="Q29" i="2"/>
  <c r="D18" i="2"/>
  <c r="Q7" i="2"/>
  <c r="X24" i="2"/>
  <c r="F8" i="2"/>
  <c r="S10" i="2"/>
  <c r="C12" i="2"/>
  <c r="G27" i="3"/>
  <c r="I46" i="3"/>
  <c r="V46" i="3"/>
  <c r="F34" i="3"/>
  <c r="E46" i="3"/>
  <c r="R45" i="3"/>
  <c r="Y5" i="4" a="1"/>
  <c r="E14" i="4" a="1"/>
  <c r="AJ14" i="4" a="1"/>
  <c r="AK14" i="4" a="1"/>
  <c r="X7" i="4" a="1"/>
  <c r="AO5" i="4" a="1"/>
  <c r="AX6" i="4" a="1"/>
  <c r="AH5" i="4" a="1"/>
  <c r="F23" i="2"/>
  <c r="H8" i="2"/>
  <c r="L23" i="2"/>
  <c r="L20" i="2"/>
  <c r="L33" i="2"/>
  <c r="S17" i="2"/>
  <c r="C28" i="2"/>
  <c r="R34" i="2"/>
  <c r="I35" i="2"/>
  <c r="R14" i="2"/>
  <c r="E24" i="2"/>
  <c r="V31" i="2"/>
  <c r="R27" i="2"/>
  <c r="J11" i="2"/>
  <c r="M31" i="2"/>
  <c r="K27" i="2"/>
  <c r="V15" i="2"/>
  <c r="F20" i="3"/>
  <c r="AD13" i="3"/>
  <c r="O45" i="3"/>
  <c r="E31" i="3"/>
  <c r="AD16" i="3"/>
  <c r="CI14" i="4" a="1"/>
  <c r="AG7" i="4" a="1"/>
  <c r="AC11" i="4" a="1"/>
  <c r="CD5" i="4" a="1"/>
  <c r="AH8" i="4" a="1"/>
  <c r="M5" i="4" a="1"/>
  <c r="DE12" i="4" a="1"/>
  <c r="BQ9" i="4" a="1"/>
  <c r="M14" i="2"/>
  <c r="G23" i="2"/>
  <c r="L17" i="2"/>
  <c r="D8" i="2"/>
  <c r="D20" i="2"/>
  <c r="I20" i="2"/>
  <c r="R21" i="2"/>
  <c r="C59" i="2"/>
  <c r="V36" i="2"/>
  <c r="L18" i="2"/>
  <c r="P35" i="2"/>
  <c r="J20" i="2"/>
  <c r="R17" i="2"/>
  <c r="F26" i="2"/>
  <c r="M30" i="2"/>
  <c r="I34" i="2"/>
  <c r="O14" i="2"/>
  <c r="AR12" i="3"/>
  <c r="D29" i="3"/>
  <c r="E35" i="3"/>
  <c r="AD12" i="3"/>
  <c r="AR29" i="3"/>
  <c r="ED16" i="4" a="1"/>
  <c r="AK9" i="4" a="1"/>
  <c r="CR8" i="4" a="1"/>
  <c r="AF16" i="4" a="1"/>
  <c r="BN16" i="4" a="1"/>
  <c r="CV9" i="4" a="1"/>
  <c r="DG11" i="4" a="1"/>
  <c r="BR13" i="4" a="1"/>
  <c r="DF11" i="4" a="1"/>
  <c r="K11" i="2"/>
  <c r="Q46" i="2"/>
  <c r="W17" i="2"/>
  <c r="J26" i="2"/>
  <c r="J22" i="2"/>
  <c r="W30" i="2"/>
  <c r="G14" i="2"/>
  <c r="R8" i="2"/>
  <c r="T9" i="2"/>
  <c r="E28" i="2"/>
  <c r="V9" i="2"/>
  <c r="M11" i="2"/>
  <c r="E7" i="2"/>
  <c r="R22" i="2"/>
  <c r="W19" i="2"/>
  <c r="X12" i="2"/>
  <c r="D13" i="3"/>
  <c r="F33" i="3"/>
  <c r="AR15" i="3"/>
  <c r="AC45" i="3"/>
  <c r="G30" i="3"/>
  <c r="AR35" i="3"/>
  <c r="BM8" i="4" a="1"/>
  <c r="DE11" i="4" a="1"/>
  <c r="CN11" i="4" a="1"/>
  <c r="D19" i="2"/>
  <c r="D32" i="2"/>
  <c r="R33" i="2"/>
  <c r="U25" i="2"/>
  <c r="K17" i="2"/>
  <c r="N35" i="2"/>
  <c r="J7" i="2"/>
  <c r="X63" i="2"/>
  <c r="G25" i="2"/>
  <c r="F19" i="2"/>
  <c r="G11" i="2"/>
  <c r="P25" i="2"/>
  <c r="M24" i="2"/>
  <c r="C65" i="2"/>
  <c r="M9" i="2"/>
  <c r="AR86" i="3"/>
  <c r="E25" i="3"/>
  <c r="L46" i="3"/>
  <c r="E42" i="3"/>
  <c r="D22" i="3"/>
  <c r="AR28" i="3"/>
  <c r="I16" i="2"/>
  <c r="M20" i="2"/>
  <c r="C15" i="2"/>
  <c r="AE45" i="3"/>
  <c r="E15" i="3"/>
  <c r="BL13" i="4" a="1"/>
  <c r="I14" i="4" a="1"/>
  <c r="CQ13" i="4" a="1"/>
  <c r="P16" i="4" a="1"/>
  <c r="DL11" i="4" a="1"/>
  <c r="CM7" i="4" a="1"/>
  <c r="BX5" i="4" a="1"/>
  <c r="DG14" i="4" a="1"/>
  <c r="AB5" i="4" a="1"/>
  <c r="AA13" i="4" a="1"/>
  <c r="BU14" i="4" a="1"/>
  <c r="EA9" i="4" a="1"/>
  <c r="CQ15" i="4" a="1"/>
  <c r="CN12" i="4" a="1"/>
  <c r="DB13" i="4" a="1"/>
  <c r="BZ7" i="4" a="1"/>
  <c r="H12" i="4" a="1"/>
  <c r="AY14" i="4" a="1"/>
  <c r="AH6" i="4" a="1"/>
  <c r="S9" i="2"/>
  <c r="Q36" i="2"/>
  <c r="W45" i="3"/>
  <c r="F11" i="3"/>
  <c r="E16" i="4" a="1"/>
  <c r="DV5" i="4" a="1"/>
  <c r="DH12" i="4" a="1"/>
  <c r="AE16" i="4" a="1"/>
  <c r="BO12" i="4" a="1"/>
  <c r="V5" i="4" a="1"/>
  <c r="CC16" i="4" a="1"/>
  <c r="BC8" i="4" a="1"/>
  <c r="AA11" i="4" a="1"/>
  <c r="CG7" i="4" a="1"/>
  <c r="BS13" i="4" a="1"/>
  <c r="AQ5" i="4" a="1"/>
  <c r="AR16" i="4" a="1"/>
  <c r="EH8" i="4" a="1"/>
  <c r="BJ14" i="4" a="1"/>
  <c r="DS8" i="4" a="1"/>
  <c r="AD7" i="4" a="1"/>
  <c r="DC15" i="4" a="1"/>
  <c r="DJ16" i="4" a="1"/>
  <c r="EB5" i="4" a="1"/>
  <c r="CP15" i="4" a="1"/>
  <c r="BK9" i="4" a="1"/>
  <c r="DR8" i="4" a="1"/>
  <c r="Q30" i="2"/>
  <c r="N20" i="2"/>
  <c r="G20" i="3"/>
  <c r="DS12" i="4" a="1"/>
  <c r="CD8" i="4" a="1"/>
  <c r="AR12" i="4" a="1"/>
  <c r="BM13" i="4" a="1"/>
  <c r="CK5" i="4" a="1"/>
  <c r="DX5" i="4" a="1"/>
  <c r="CF8" i="4" a="1"/>
  <c r="AY16" i="4" a="1"/>
  <c r="AT13" i="4" a="1"/>
  <c r="V34" i="2"/>
  <c r="O10" i="2"/>
  <c r="AR22" i="3"/>
  <c r="E16" i="3"/>
  <c r="DG12" i="4" a="1"/>
  <c r="CB13" i="4" a="1"/>
  <c r="I11" i="4" a="1"/>
  <c r="BI16" i="4" a="1"/>
  <c r="DP12" i="4" a="1"/>
  <c r="H6" i="2"/>
  <c r="AR49" i="3"/>
  <c r="E5" i="3"/>
  <c r="E38" i="3"/>
  <c r="X13" i="4" a="1"/>
  <c r="D8" i="4" a="1"/>
  <c r="T7" i="4" a="1"/>
  <c r="DO12" i="4" a="1"/>
  <c r="DX6" i="4" a="1"/>
  <c r="DG5" i="4" a="1"/>
  <c r="BG11" i="4" a="1"/>
  <c r="AN11" i="4" a="1"/>
  <c r="DF12" i="4" a="1"/>
  <c r="CD6" i="4" a="1"/>
  <c r="D11" i="4" a="1"/>
  <c r="BJ15" i="4" a="1"/>
  <c r="CI12" i="4" a="1"/>
  <c r="BC14" i="4" a="1"/>
  <c r="DX9" i="4" a="1"/>
  <c r="BR14" i="4" a="1"/>
  <c r="O30" i="2"/>
  <c r="AR89" i="3"/>
  <c r="AR96" i="3"/>
  <c r="F31" i="3"/>
  <c r="F35" i="3"/>
  <c r="CM16" i="4" a="1"/>
  <c r="DP9" i="4" a="1"/>
  <c r="AE6" i="4" a="1"/>
  <c r="AG9" i="4" a="1"/>
  <c r="CP13" i="4" a="1"/>
  <c r="DA8" i="4" a="1"/>
  <c r="EJ12" i="4" a="1"/>
  <c r="DP7" i="4" a="1"/>
  <c r="BJ6" i="4" a="1"/>
  <c r="BP16" i="4" a="1"/>
  <c r="F9" i="4" a="1"/>
  <c r="BG15" i="4" a="1"/>
  <c r="EI5" i="4" a="1"/>
  <c r="DH13" i="4" a="1"/>
  <c r="DC16" i="4" a="1"/>
  <c r="J13" i="4" a="1"/>
  <c r="CO16" i="4" a="1"/>
  <c r="CX16" i="4" a="1"/>
  <c r="BF5" i="4" a="1"/>
  <c r="DN7" i="4" a="1"/>
  <c r="EI8" i="4" a="1"/>
  <c r="Q15" i="4" a="1"/>
  <c r="AF5" i="4" a="1"/>
  <c r="DD14" i="4" a="1"/>
  <c r="CG13" i="4" a="1"/>
  <c r="EK13" i="4" a="1"/>
  <c r="CK12" i="4" a="1"/>
  <c r="K29" i="2"/>
  <c r="C35" i="2"/>
  <c r="I13" i="2"/>
  <c r="E21" i="3"/>
  <c r="G16" i="2"/>
  <c r="O11" i="2"/>
  <c r="N8" i="2"/>
  <c r="X45" i="3"/>
  <c r="F23" i="3"/>
  <c r="BF13" i="4" a="1"/>
  <c r="C15" i="4" a="1"/>
  <c r="BA5" i="4" a="1"/>
  <c r="CV6" i="4" a="1"/>
  <c r="C7" i="4" a="1"/>
  <c r="AZ8" i="4" a="1"/>
  <c r="DP15" i="4" a="1"/>
  <c r="V16" i="4" a="1"/>
  <c r="EH13" i="4" a="1"/>
  <c r="AZ12" i="4" a="1"/>
  <c r="AO9" i="4" a="1"/>
  <c r="BD12" i="4" a="1"/>
  <c r="U6" i="4" a="1"/>
  <c r="CF13" i="4" a="1"/>
  <c r="ED11" i="4" a="1"/>
  <c r="X14" i="4" a="1"/>
  <c r="DA13" i="4" a="1"/>
  <c r="G33" i="2"/>
  <c r="N6" i="2"/>
  <c r="U9" i="2"/>
  <c r="AH46" i="3"/>
  <c r="G22" i="3"/>
  <c r="J9" i="4" a="1"/>
  <c r="EC7" i="4" a="1"/>
  <c r="J5" i="4" a="1"/>
  <c r="AI13" i="4" a="1"/>
  <c r="EA13" i="4" a="1"/>
  <c r="CA9" i="4" a="1"/>
  <c r="AP11" i="4" a="1"/>
  <c r="AL15" i="4" a="1"/>
  <c r="Z16" i="4" a="1"/>
  <c r="BV8" i="4" a="1"/>
  <c r="AR5" i="4" a="1"/>
  <c r="DD12" i="4" a="1"/>
  <c r="BT15" i="4" a="1"/>
  <c r="BS11" i="4" a="1"/>
  <c r="ED5" i="4" a="1"/>
  <c r="DW7" i="4" a="1"/>
  <c r="BT6" i="4" a="1"/>
  <c r="L12" i="2"/>
  <c r="K9" i="2"/>
  <c r="G12" i="2"/>
  <c r="D17" i="3"/>
  <c r="E45" i="3"/>
  <c r="J8" i="4" a="1"/>
  <c r="AI7" i="4" a="1"/>
  <c r="CA15" i="4" a="1"/>
  <c r="CZ15" i="4" a="1"/>
  <c r="X8" i="4" a="1"/>
  <c r="Y6" i="4" a="1"/>
  <c r="N13" i="4" a="1"/>
  <c r="DB8" i="4" a="1"/>
  <c r="DK16" i="4" a="1"/>
  <c r="EF14" i="4" a="1"/>
  <c r="BF14" i="4" a="1"/>
  <c r="EC8" i="4" a="1"/>
  <c r="CB15" i="4" a="1"/>
  <c r="DL16" i="4" a="1"/>
  <c r="BN6" i="4" a="1"/>
  <c r="AQ9" i="4" a="1"/>
  <c r="F6" i="4" a="1"/>
  <c r="M18" i="2"/>
  <c r="F21" i="3"/>
  <c r="CW14" i="4" a="1"/>
  <c r="EA15" i="4" a="1"/>
  <c r="L6" i="4" a="1"/>
  <c r="AH12" i="4" a="1"/>
  <c r="CD16" i="4" a="1"/>
  <c r="AF11" i="4" a="1"/>
  <c r="P5" i="4" a="1"/>
  <c r="BL14" i="4" a="1"/>
  <c r="F14" i="4" a="1"/>
  <c r="DR15" i="4" a="1"/>
  <c r="CX9" i="4" a="1"/>
  <c r="CZ7" i="4" a="1"/>
  <c r="BQ12" i="4" a="1"/>
  <c r="CK16" i="4" a="1"/>
  <c r="AV7" i="4" a="1"/>
  <c r="DY15" i="4" a="1"/>
  <c r="BQ5" i="4" a="1"/>
  <c r="AL16" i="4" a="1"/>
  <c r="DY13" i="4" a="1"/>
  <c r="DO9" i="4" a="1"/>
  <c r="Y12" i="4" a="1"/>
  <c r="I15" i="4" a="1"/>
  <c r="DL7" i="4" a="1"/>
  <c r="DJ11" i="4" a="1"/>
  <c r="BD8" i="4" a="1"/>
  <c r="DJ12" i="4" a="1"/>
  <c r="ED12" i="4" a="1"/>
  <c r="V13" i="4" a="1"/>
  <c r="BM11" i="4" a="1"/>
  <c r="BP6" i="4" a="1"/>
  <c r="DH7" i="4" a="1"/>
  <c r="DM7" i="4" a="1"/>
  <c r="BD14" i="4" a="1"/>
  <c r="EK11" i="4" a="1"/>
  <c r="H5" i="2"/>
  <c r="DT12" i="4" a="1"/>
  <c r="AF9" i="4" a="1"/>
  <c r="BZ11" i="4" a="1"/>
  <c r="AA6" i="4" a="1"/>
  <c r="CA11" i="4" a="1"/>
  <c r="T15" i="4" a="1"/>
  <c r="BR15" i="4" a="1"/>
  <c r="M12" i="4" a="1"/>
  <c r="DH5" i="4" a="1"/>
  <c r="EK9" i="4" a="1"/>
  <c r="AG8" i="4" a="1"/>
  <c r="DE6" i="4" a="1"/>
  <c r="BA8" i="4" a="1"/>
  <c r="DA15" i="4" a="1"/>
  <c r="DW8" i="4" a="1"/>
  <c r="DN16" i="4" a="1"/>
  <c r="CB8" i="4" a="1"/>
  <c r="X12" i="4" a="1"/>
  <c r="BF15" i="4" a="1"/>
  <c r="DP13" i="4" a="1"/>
  <c r="AP6" i="4" a="1"/>
  <c r="Y15" i="4" a="1"/>
  <c r="T17" i="2"/>
  <c r="DK5" i="4" a="1"/>
  <c r="DQ9" i="4" a="1"/>
  <c r="BQ8" i="4" a="1"/>
  <c r="DO7" i="4" a="1"/>
  <c r="BE13" i="4" a="1"/>
  <c r="O15" i="4" a="1"/>
  <c r="U32" i="2"/>
  <c r="AG12" i="4" a="1"/>
  <c r="W13" i="4" a="1"/>
  <c r="CP8" i="4" a="1"/>
  <c r="DW5" i="4" a="1"/>
  <c r="DG7" i="4" a="1"/>
  <c r="DD6" i="4" a="1"/>
  <c r="H15" i="4" a="1"/>
  <c r="DT14" i="4" a="1"/>
  <c r="CH12" i="4" a="1"/>
  <c r="E45" i="2"/>
  <c r="BF7" i="4" a="1"/>
  <c r="AL5" i="4" a="1"/>
  <c r="BA7" i="4" a="1"/>
  <c r="CG14" i="4" a="1"/>
  <c r="DM11" i="4" a="1"/>
  <c r="CE11" i="4" a="1"/>
  <c r="CQ7" i="4" a="1"/>
  <c r="DX15" i="4" a="1"/>
  <c r="BZ12" i="4" a="1"/>
  <c r="M8" i="2"/>
  <c r="G25" i="3"/>
  <c r="W5" i="4" a="1"/>
  <c r="BS16" i="4" a="1"/>
  <c r="U12" i="4" a="1"/>
  <c r="BI15" i="4" a="1"/>
  <c r="CL11" i="4" a="1"/>
  <c r="DC8" i="4" a="1"/>
  <c r="DA9" i="4" a="1"/>
  <c r="CH5" i="4" a="1"/>
  <c r="EF8" i="4" a="1"/>
  <c r="AM8" i="4" a="1"/>
  <c r="EE9" i="4" a="1"/>
  <c r="CV16" i="4" a="1"/>
  <c r="AM16" i="4" a="1"/>
  <c r="BW14" i="4" a="1"/>
  <c r="BS9" i="4" a="1"/>
  <c r="AV13" i="4" a="1"/>
  <c r="AH14" i="4" a="1"/>
  <c r="G10" i="3"/>
  <c r="BF12" i="4" a="1"/>
  <c r="CJ13" i="4" a="1"/>
  <c r="AS5" i="4" a="1"/>
  <c r="CV15" i="4" a="1"/>
  <c r="V7" i="4" a="1"/>
  <c r="AR14" i="4" a="1"/>
  <c r="EB7" i="4" a="1"/>
  <c r="BO6" i="4" a="1"/>
  <c r="AT14" i="4" a="1"/>
  <c r="CC8" i="4" a="1"/>
  <c r="BJ9" i="4" a="1"/>
  <c r="DH6" i="4" a="1"/>
  <c r="BZ13" i="4" a="1"/>
  <c r="BL11" i="4" a="1"/>
  <c r="CJ16" i="4" a="1"/>
  <c r="G17" i="3"/>
  <c r="DF15" i="4" a="1"/>
  <c r="CU9" i="4" a="1"/>
  <c r="CJ11" i="4" a="1"/>
  <c r="AN13" i="4" a="1"/>
  <c r="DV6" i="4" a="1"/>
  <c r="AT5" i="4" a="1"/>
  <c r="DJ8" i="4" a="1"/>
  <c r="BA14" i="4" a="1"/>
  <c r="R7" i="4" a="1"/>
  <c r="AX12" i="4" a="1"/>
  <c r="EI11" i="4" a="1"/>
  <c r="DJ13" i="4" a="1"/>
  <c r="P15" i="4" a="1"/>
  <c r="EE5" i="4" a="1"/>
  <c r="EJ9" i="4" a="1"/>
  <c r="AC7" i="4" a="1"/>
  <c r="DS11" i="4" a="1"/>
  <c r="L9" i="4" a="1"/>
  <c r="DE8" i="4" a="1"/>
  <c r="BR7" i="4" a="1"/>
  <c r="EK14" i="4" a="1"/>
  <c r="DM14" i="4" a="1"/>
  <c r="AZ11" i="4" a="1"/>
  <c r="CL8" i="4" a="1"/>
  <c r="CJ15" i="4" a="1"/>
  <c r="BN14" i="4" a="1"/>
  <c r="J12" i="2"/>
  <c r="K22" i="2"/>
  <c r="AX11" i="4" a="1"/>
  <c r="Y8" i="4" a="1"/>
  <c r="DO6" i="4" a="1"/>
  <c r="DI7" i="4" a="1"/>
  <c r="CQ11" i="4" a="1"/>
  <c r="AC5" i="4" a="1"/>
  <c r="DN8" i="4" a="1"/>
  <c r="EJ6" i="4" a="1"/>
  <c r="CV11" i="4" a="1"/>
  <c r="BC7" i="4" a="1"/>
  <c r="DQ12" i="4" a="1"/>
  <c r="EH15" i="4" a="1"/>
  <c r="EA12" i="4" a="1"/>
  <c r="CX13" i="4" a="1"/>
  <c r="BX11" i="4" a="1"/>
  <c r="DN13" i="4" a="1"/>
  <c r="C12" i="4" a="1"/>
  <c r="AO7" i="4" a="1"/>
  <c r="Y7" i="4" a="1"/>
  <c r="AJ8" i="4" a="1"/>
  <c r="M9" i="4" a="1"/>
  <c r="DU9" i="4" a="1"/>
  <c r="CZ11" i="4" a="1"/>
  <c r="M15" i="4" a="1"/>
  <c r="DD7" i="4" a="1"/>
  <c r="DZ5" i="4" a="1"/>
  <c r="DV13" i="4" a="1"/>
  <c r="K11" i="4" a="1"/>
  <c r="E12" i="3"/>
  <c r="BZ5" i="4" a="1"/>
  <c r="DQ14" i="4" a="1"/>
  <c r="AC6" i="4" a="1"/>
  <c r="CB14" i="4" a="1"/>
  <c r="BR16" i="4" a="1"/>
  <c r="CC9" i="4" a="1"/>
  <c r="EJ8" i="4" a="1"/>
  <c r="DV14" i="4" a="1"/>
  <c r="AR73" i="3"/>
  <c r="BE15" i="4" a="1"/>
  <c r="X5" i="4" a="1"/>
  <c r="T12" i="4" a="1"/>
  <c r="BC15" i="4" a="1"/>
  <c r="E6" i="4" a="1"/>
  <c r="AV5" i="4" a="1"/>
  <c r="BT14" i="4" a="1"/>
  <c r="AY13" i="4" a="1"/>
  <c r="CD13" i="4" a="1"/>
  <c r="AT9" i="4" a="1"/>
  <c r="DU13" i="4" a="1"/>
  <c r="EF16" i="4" a="1"/>
  <c r="DU15" i="4" a="1"/>
  <c r="AO6" i="4" a="1"/>
  <c r="CE12" i="4" a="1"/>
  <c r="AG6" i="4" a="1"/>
  <c r="EH12" i="4" a="1"/>
  <c r="DR14" i="4" a="1"/>
  <c r="AK16" i="4" a="1"/>
  <c r="BN15" i="4" a="1"/>
  <c r="AU8" i="4" a="1"/>
  <c r="DY9" i="4" a="1"/>
  <c r="DW9" i="4" a="1"/>
  <c r="CP11" i="4" a="1"/>
  <c r="W14" i="4" a="1"/>
  <c r="BA11" i="4" a="1"/>
  <c r="AO8" i="4" a="1"/>
  <c r="EK6" i="4" a="1"/>
  <c r="DL8" i="4" a="1"/>
  <c r="AI6" i="4" a="1"/>
  <c r="EB14" i="4" a="1"/>
  <c r="AW6" i="4" a="1"/>
  <c r="E71" i="3"/>
  <c r="E67" i="3"/>
  <c r="E57" i="3"/>
  <c r="E75" i="3"/>
  <c r="E90" i="3"/>
  <c r="E54" i="3"/>
  <c r="E89" i="3"/>
  <c r="Q5" i="4" a="1"/>
  <c r="BH7" i="4" a="1"/>
  <c r="AA16" i="4" a="1"/>
  <c r="AR9" i="4" a="1"/>
  <c r="DG9" i="4" a="1"/>
  <c r="BZ6" i="4" a="1"/>
  <c r="CU14" i="4" a="1"/>
  <c r="K23" i="2"/>
  <c r="J34" i="2"/>
  <c r="D5" i="3"/>
  <c r="D57" i="3" s="1"/>
  <c r="BG5" i="4" a="1"/>
  <c r="O7" i="4" a="1"/>
  <c r="EF5" i="4" a="1"/>
  <c r="BL16" i="4" a="1"/>
  <c r="BO16" i="4" a="1"/>
  <c r="AS8" i="4" a="1"/>
  <c r="AW12" i="4" a="1"/>
  <c r="CM9" i="4" a="1"/>
  <c r="EF6" i="4" a="1"/>
  <c r="F34" i="2"/>
  <c r="AR90" i="3"/>
  <c r="C45" i="3"/>
  <c r="F41" i="3"/>
  <c r="DM6" i="4" a="1"/>
  <c r="DE14" i="4" a="1"/>
  <c r="CH7" i="4" a="1"/>
  <c r="BE7" i="4" a="1"/>
  <c r="O8" i="2"/>
  <c r="T24" i="2"/>
  <c r="R7" i="2"/>
  <c r="AR21" i="3"/>
  <c r="AR20" i="3"/>
  <c r="CI15" i="4" a="1"/>
  <c r="AN8" i="4" a="1"/>
  <c r="EK15" i="4" a="1"/>
  <c r="DI8" i="4" a="1"/>
  <c r="F16" i="4" a="1"/>
  <c r="CF12" i="4" a="1"/>
  <c r="CT7" i="4" a="1"/>
  <c r="U5" i="4" a="1"/>
  <c r="AD16" i="4" a="1"/>
  <c r="T6" i="4" a="1"/>
  <c r="AU5" i="4" a="1"/>
  <c r="CI8" i="4" a="1"/>
  <c r="BO15" i="4" a="1"/>
  <c r="CQ5" i="4" a="1"/>
  <c r="EC14" i="4" a="1"/>
  <c r="CO5" i="4" a="1"/>
  <c r="T7" i="2"/>
  <c r="AR50" i="3"/>
  <c r="F8" i="3"/>
  <c r="AD7" i="3"/>
  <c r="DO14" i="4" a="1"/>
  <c r="S11" i="4" a="1"/>
  <c r="T16" i="4" a="1"/>
  <c r="DU8" i="4" a="1"/>
  <c r="AK7" i="4" a="1"/>
  <c r="EE11" i="4" a="1"/>
  <c r="CE6" i="4" a="1"/>
  <c r="CC13" i="4" a="1"/>
  <c r="AV8" i="4" a="1"/>
  <c r="BQ11" i="4" a="1"/>
  <c r="CI16" i="4" a="1"/>
  <c r="CE13" i="4" a="1"/>
  <c r="CF11" i="4" a="1"/>
  <c r="DO8" i="4" a="1"/>
  <c r="E12" i="4" a="1"/>
  <c r="BE9" i="4" a="1"/>
  <c r="AA8" i="4" a="1"/>
  <c r="DU6" i="4" a="1"/>
  <c r="DQ6" i="4" a="1"/>
  <c r="AW9" i="4" a="1"/>
  <c r="Z6" i="4" a="1"/>
  <c r="CW6" i="4" a="1"/>
  <c r="AA15" i="4" a="1"/>
  <c r="DI11" i="4" a="1"/>
  <c r="BS8" i="4" a="1"/>
  <c r="I6" i="4" a="1"/>
  <c r="CU11" i="4" a="1"/>
  <c r="Q58" i="2"/>
  <c r="K36" i="2"/>
  <c r="T31" i="2"/>
  <c r="G13" i="2"/>
  <c r="E33" i="3"/>
  <c r="I9" i="2"/>
  <c r="I22" i="2"/>
  <c r="V27" i="2"/>
  <c r="E22" i="3"/>
  <c r="AM45" i="3"/>
  <c r="AV9" i="4" a="1"/>
  <c r="AB13" i="4" a="1"/>
  <c r="BE12" i="4" a="1"/>
  <c r="CV12" i="4" a="1"/>
  <c r="DP11" i="4" a="1"/>
  <c r="AY6" i="4" a="1"/>
  <c r="DF16" i="4" a="1"/>
  <c r="EI9" i="4" a="1"/>
  <c r="DX8" i="4" a="1"/>
  <c r="EA7" i="4" a="1"/>
  <c r="L16" i="4" a="1"/>
  <c r="P6" i="4" a="1"/>
  <c r="R8" i="4" a="1"/>
  <c r="K12" i="4" a="1"/>
  <c r="AF13" i="4" a="1"/>
  <c r="DO15" i="4" a="1"/>
  <c r="O9" i="4" a="1"/>
  <c r="J25" i="2"/>
  <c r="J17" i="2"/>
  <c r="AA46" i="3"/>
  <c r="G18" i="3"/>
  <c r="DO5" i="4" a="1"/>
  <c r="D14" i="4" a="1"/>
  <c r="EG14" i="4" a="1"/>
  <c r="BX16" i="4" a="1"/>
  <c r="DI16" i="4" a="1"/>
  <c r="X6" i="4" a="1"/>
  <c r="CN15" i="4" a="1"/>
  <c r="DU11" i="4" a="1"/>
  <c r="BB14" i="4" a="1"/>
  <c r="AW7" i="4" a="1"/>
  <c r="G14" i="4" a="1"/>
  <c r="BI14" i="4" a="1"/>
  <c r="CH13" i="4" a="1"/>
  <c r="DR6" i="4" a="1"/>
  <c r="CF15" i="4" a="1"/>
  <c r="AU12" i="4" a="1"/>
  <c r="CT6" i="4" a="1"/>
  <c r="Z9" i="4" a="1"/>
  <c r="G31" i="2"/>
  <c r="W15" i="2"/>
  <c r="S11" i="2"/>
  <c r="D23" i="3"/>
  <c r="L45" i="3"/>
  <c r="CT11" i="4" a="1"/>
  <c r="DF5" i="4" a="1"/>
  <c r="R14" i="4" a="1"/>
  <c r="CA8" i="4" a="1"/>
  <c r="BK12" i="4" a="1"/>
  <c r="D15" i="4" a="1"/>
  <c r="K16" i="4" a="1"/>
  <c r="CL16" i="4" a="1"/>
  <c r="CT5" i="4" a="1"/>
  <c r="DT6" i="4" a="1"/>
  <c r="BQ15" i="4" a="1"/>
  <c r="DC14" i="4" a="1"/>
  <c r="O8" i="4" a="1"/>
  <c r="EK12" i="4" a="1"/>
  <c r="AP14" i="4" a="1"/>
  <c r="AS11" i="4" a="1"/>
  <c r="CY13" i="4" a="1"/>
  <c r="M12" i="2"/>
  <c r="DL9" i="4" a="1"/>
  <c r="AO11" i="4" a="1"/>
  <c r="EG6" i="4" a="1"/>
  <c r="AR8" i="4" a="1"/>
  <c r="AX15" i="4" a="1"/>
  <c r="J12" i="4" a="1"/>
  <c r="CP7" i="4" a="1"/>
  <c r="X11" i="4" a="1"/>
  <c r="EC5" i="4" a="1"/>
  <c r="CP6" i="4" a="1"/>
  <c r="BR8" i="4" a="1"/>
  <c r="CC12" i="4" a="1"/>
  <c r="CY11" i="4" a="1"/>
  <c r="DB11" i="4" a="1"/>
  <c r="L12" i="4" a="1"/>
  <c r="BF6" i="4" a="1"/>
  <c r="BC11" i="4" a="1"/>
  <c r="O13" i="4" a="1"/>
  <c r="N16" i="4" a="1"/>
  <c r="CO12" i="4" a="1"/>
  <c r="EI12" i="4" a="1"/>
  <c r="CD9" i="4" a="1"/>
  <c r="AX9" i="4" a="1"/>
  <c r="Y9" i="4" a="1"/>
  <c r="AE14" i="4" a="1"/>
  <c r="BY6" i="4" a="1"/>
  <c r="AE8" i="4" a="1"/>
  <c r="CI6" i="4" a="1"/>
  <c r="DJ5" i="4" a="1"/>
  <c r="DB9" i="4" a="1"/>
  <c r="R15" i="4" a="1"/>
  <c r="CR11" i="4" a="1"/>
  <c r="DT8" i="4" a="1"/>
  <c r="AD15" i="4" a="1"/>
  <c r="DG6" i="4" a="1"/>
  <c r="AR40" i="3"/>
  <c r="CS14" i="4" a="1"/>
  <c r="DQ11" i="4" a="1"/>
  <c r="DL5" i="4" a="1"/>
  <c r="U11" i="4" a="1"/>
  <c r="BN9" i="4" a="1"/>
  <c r="CM14" i="4" a="1"/>
  <c r="AS14" i="4" a="1"/>
  <c r="EC13" i="4" a="1"/>
  <c r="R9" i="4" a="1"/>
  <c r="DH9" i="4" a="1"/>
  <c r="BB7" i="4" a="1"/>
  <c r="CZ13" i="4" a="1"/>
  <c r="BL5" i="4" a="1"/>
  <c r="CW8" i="4" a="1"/>
  <c r="CM5" i="4" a="1"/>
  <c r="BK14" i="4" a="1"/>
  <c r="BN12" i="4" a="1"/>
  <c r="DW11" i="4" a="1"/>
  <c r="AM15" i="4" a="1"/>
  <c r="CQ9" i="4" a="1"/>
  <c r="EI13" i="4" a="1"/>
  <c r="W16" i="4" a="1"/>
  <c r="AB45" i="3"/>
  <c r="EI14" i="4" a="1"/>
  <c r="DN12" i="4" a="1"/>
  <c r="DJ6" i="4" a="1"/>
  <c r="C16" i="4" a="1"/>
  <c r="BV6" i="4" a="1"/>
  <c r="AN14" i="4" a="1"/>
  <c r="D10" i="3"/>
  <c r="DC9" i="4" a="1"/>
  <c r="AP16" i="4" a="1"/>
  <c r="I5" i="4" a="1"/>
  <c r="BD11" i="4" a="1"/>
  <c r="CR6" i="4" a="1"/>
  <c r="W15" i="4" a="1"/>
  <c r="EH9" i="4" a="1"/>
  <c r="BY9" i="4" a="1"/>
  <c r="CA16" i="4" a="1"/>
  <c r="F6" i="3"/>
  <c r="CM8" i="4" a="1"/>
  <c r="BE6" i="4" a="1"/>
  <c r="AK12" i="4" a="1"/>
  <c r="E9" i="4" a="1"/>
  <c r="CK13" i="4" a="1"/>
  <c r="BM6" i="4" a="1"/>
  <c r="EB15" i="4" a="1"/>
  <c r="CC5" i="4" a="1"/>
  <c r="CX8" i="4" a="1"/>
  <c r="H28" i="2"/>
  <c r="CZ16" i="4" a="1"/>
  <c r="DY8" i="4" a="1"/>
  <c r="BG12" i="4" a="1"/>
  <c r="DM13" i="4" a="1"/>
  <c r="D12" i="4" a="1"/>
  <c r="AB16" i="4" a="1"/>
  <c r="CO7" i="4" a="1"/>
  <c r="C11" i="4" a="1"/>
  <c r="C14" i="4" a="1"/>
  <c r="AW11" i="4" a="1"/>
  <c r="CS16" i="4" a="1"/>
  <c r="CR15" i="4" a="1"/>
  <c r="E5" i="4" a="1"/>
  <c r="EJ15" i="4" a="1"/>
  <c r="AT12" i="4" a="1"/>
  <c r="BO11" i="4" a="1"/>
  <c r="AJ6" i="4" a="1"/>
  <c r="DS14" i="4" a="1"/>
  <c r="CF7" i="4" a="1"/>
  <c r="BB16" i="4" a="1"/>
  <c r="BH16" i="4" a="1"/>
  <c r="BA15" i="4" a="1"/>
  <c r="BH9" i="4" a="1"/>
  <c r="BN13" i="4" a="1"/>
  <c r="O16" i="4" a="1"/>
  <c r="T14" i="4" a="1"/>
  <c r="U24" i="2"/>
  <c r="BZ8" i="4" a="1"/>
  <c r="DW6" i="4" a="1"/>
  <c r="AW14" i="4" a="1"/>
  <c r="AB15" i="4" a="1"/>
  <c r="CL6" i="4" a="1"/>
  <c r="DX14" i="4" a="1"/>
  <c r="Z14" i="4" a="1"/>
  <c r="G6" i="3"/>
  <c r="EH16" i="4" a="1"/>
  <c r="AP15" i="4" a="1"/>
  <c r="BP5" i="4" a="1"/>
  <c r="AS9" i="4" a="1"/>
  <c r="BJ7" i="4" a="1"/>
  <c r="AV12" i="4" a="1"/>
  <c r="E13" i="4" a="1"/>
  <c r="S9" i="4" a="1"/>
  <c r="H16" i="4" a="1"/>
  <c r="G13" i="4" a="1"/>
  <c r="O14" i="4" a="1"/>
  <c r="BQ13" i="4" a="1"/>
  <c r="BA12" i="4" a="1"/>
  <c r="BI12" i="4" a="1"/>
  <c r="H13" i="4" a="1"/>
  <c r="BK16" i="4" a="1"/>
  <c r="DW16" i="4" a="1"/>
  <c r="CU6" i="4" a="1"/>
  <c r="F13" i="4" a="1"/>
  <c r="CT9" i="4" a="1"/>
  <c r="CY12" i="4" a="1"/>
  <c r="CK9" i="4" a="1"/>
  <c r="CB6" i="4" a="1"/>
  <c r="DE7" i="4" a="1"/>
  <c r="EB9" i="4" a="1"/>
  <c r="DW12" i="4" a="1"/>
  <c r="AE46" i="3"/>
  <c r="D36" i="3"/>
  <c r="DY11" i="4" a="1"/>
  <c r="DZ12" i="4" a="1"/>
  <c r="AY11" i="4" a="1"/>
  <c r="AJ5" i="4" a="1"/>
  <c r="AG16" i="4" a="1"/>
  <c r="AL7" i="4" a="1"/>
  <c r="DM8" i="4" a="1"/>
  <c r="X16" i="4" a="1"/>
  <c r="BZ16" i="4" a="1"/>
  <c r="M8" i="4" a="1"/>
  <c r="AC13" i="4" a="1"/>
  <c r="AY15" i="4" a="1"/>
  <c r="H7" i="4" a="1"/>
  <c r="DB15" i="4" a="1"/>
  <c r="EC6" i="4" a="1"/>
  <c r="AP12" i="4" a="1"/>
  <c r="Q16" i="4" a="1"/>
  <c r="EH7" i="4" a="1"/>
  <c r="H14" i="4" a="1"/>
  <c r="BL7" i="4" a="1"/>
  <c r="CD7" i="4" a="1"/>
  <c r="DR9" i="4" a="1"/>
  <c r="AF12" i="4" a="1"/>
  <c r="CP5" i="4" a="1"/>
  <c r="CU7" i="4" a="1"/>
  <c r="BT11" i="4" a="1"/>
  <c r="DI9" i="4" a="1"/>
  <c r="X20" i="2"/>
  <c r="AX8" i="4" a="1"/>
  <c r="CJ5" i="4" a="1"/>
  <c r="AY12" i="4" a="1"/>
  <c r="BE5" i="4" a="1"/>
  <c r="AX13" i="4" a="1"/>
  <c r="AO16" i="4" a="1"/>
  <c r="CY7" i="4" a="1"/>
  <c r="Q11" i="4" a="1"/>
  <c r="AL9" i="4" a="1"/>
  <c r="E14" i="3"/>
  <c r="C9" i="4" a="1"/>
  <c r="AB9" i="4" a="1"/>
  <c r="EJ13" i="4" a="1"/>
  <c r="BW12" i="4" a="1"/>
  <c r="BR6" i="4" a="1"/>
  <c r="EC12" i="4" a="1"/>
  <c r="AV14" i="4" a="1"/>
  <c r="S7" i="4" a="1"/>
  <c r="EF9" i="4" a="1"/>
  <c r="AS16" i="4" a="1"/>
  <c r="S14" i="4" a="1"/>
  <c r="DM9" i="4" a="1"/>
  <c r="BA13" i="4" a="1"/>
  <c r="DE13" i="4" a="1"/>
  <c r="EJ11" i="4" a="1"/>
  <c r="EH14" i="4" a="1"/>
  <c r="BH11" i="4" a="1"/>
  <c r="DN14" i="4" a="1"/>
  <c r="CI5" i="4" a="1"/>
  <c r="CE14" i="4" a="1"/>
  <c r="ED15" i="4" a="1"/>
  <c r="CF5" i="4" a="1"/>
  <c r="AH11" i="4" a="1"/>
  <c r="EE7" i="4" a="1"/>
  <c r="E15" i="4" a="1"/>
  <c r="CW12" i="4" a="1"/>
  <c r="EF12" i="4" a="1"/>
  <c r="BC6" i="4" a="1"/>
  <c r="AS12" i="4" a="1"/>
  <c r="DY6" i="4" a="1"/>
  <c r="DH11" i="4" a="1"/>
  <c r="DE9" i="4" a="1"/>
  <c r="E86" i="3"/>
  <c r="E96" i="3"/>
  <c r="E76" i="3"/>
  <c r="E91" i="3"/>
  <c r="D84" i="3"/>
  <c r="D64" i="3"/>
  <c r="E66" i="3"/>
  <c r="D63" i="3"/>
  <c r="D75" i="3"/>
  <c r="D83" i="3"/>
  <c r="D77" i="3"/>
  <c r="D58" i="3"/>
  <c r="E83" i="3"/>
  <c r="E79" i="3"/>
  <c r="E70" i="3"/>
  <c r="E81" i="3"/>
  <c r="E68" i="3"/>
  <c r="D67" i="3"/>
  <c r="D70" i="3"/>
  <c r="D96" i="3"/>
  <c r="D72" i="3"/>
  <c r="E82" i="3"/>
  <c r="D91" i="3"/>
  <c r="CU15" i="4" a="1"/>
  <c r="CK7" i="4" a="1"/>
  <c r="BY13" i="4" a="1"/>
  <c r="AZ6" i="4" a="1"/>
  <c r="DW14" i="4" a="1"/>
  <c r="DX12" i="4" a="1"/>
  <c r="BZ14" i="4" a="1"/>
  <c r="CX5" i="4" a="1"/>
  <c r="BJ13" i="4" a="1"/>
  <c r="CY5" i="4" a="1"/>
  <c r="CI9" i="4" a="1"/>
  <c r="BY12" i="4" a="1"/>
  <c r="BQ16" i="4" a="1"/>
  <c r="AX7" i="4" a="1"/>
  <c r="CW15" i="4" a="1"/>
  <c r="DV12" i="4" a="1"/>
  <c r="CP16" i="4" a="1"/>
  <c r="BV12" i="4" a="1"/>
  <c r="E95" i="3"/>
  <c r="D59" i="3"/>
  <c r="E65" i="3"/>
  <c r="D60" i="3"/>
  <c r="D90" i="3"/>
  <c r="D74" i="3"/>
  <c r="E60" i="3"/>
  <c r="D54" i="3"/>
  <c r="E56" i="3"/>
  <c r="D79" i="3"/>
  <c r="CR9" i="4" a="1"/>
  <c r="V6" i="4" a="1"/>
  <c r="AL13" i="4" a="1"/>
  <c r="BW6" i="4" a="1"/>
  <c r="AQ7" i="4" a="1"/>
  <c r="D16" i="4" a="1"/>
  <c r="M11" i="4" a="1"/>
  <c r="N7" i="2"/>
  <c r="AN45" i="3"/>
  <c r="BC9" i="4" a="1"/>
  <c r="AR11" i="4" a="1"/>
  <c r="O6" i="4" a="1"/>
  <c r="AE12" i="4" a="1"/>
  <c r="M6" i="4" a="1"/>
  <c r="J14" i="4" a="1"/>
  <c r="Y11" i="4" a="1"/>
  <c r="N11" i="4" a="1"/>
  <c r="DW13" i="4" a="1"/>
  <c r="P12" i="4" a="1"/>
  <c r="L9" i="2"/>
  <c r="Q34" i="2"/>
  <c r="AD8" i="3"/>
  <c r="AZ14" i="4" a="1"/>
  <c r="BU7" i="4" a="1"/>
  <c r="DG13" i="4" a="1"/>
  <c r="BE8" i="4" a="1"/>
  <c r="AU11" i="4" a="1"/>
  <c r="I8" i="2"/>
  <c r="V22" i="2"/>
  <c r="C33" i="2"/>
  <c r="E6" i="3"/>
  <c r="AD6" i="3"/>
  <c r="AM11" i="4" a="1"/>
  <c r="DV7" i="4" a="1"/>
  <c r="DM15" i="4" a="1"/>
  <c r="AQ15" i="4" a="1"/>
  <c r="BD5" i="4" a="1"/>
  <c r="CG8" i="4" a="1"/>
  <c r="AX16" i="4" a="1"/>
  <c r="H6" i="4" a="1"/>
  <c r="K9" i="4" a="1"/>
  <c r="CH15" i="4" a="1"/>
  <c r="DO16" i="4" a="1"/>
  <c r="CY8" i="4" a="1"/>
  <c r="DM16" i="4" a="1"/>
  <c r="DC11" i="4" a="1"/>
  <c r="BP14" i="4" a="1"/>
  <c r="D16" i="2"/>
  <c r="S28" i="2"/>
  <c r="AR84" i="3"/>
  <c r="F29" i="3"/>
  <c r="AR8" i="3"/>
  <c r="EC15" i="4" a="1"/>
  <c r="BS6" i="4" a="1"/>
  <c r="DG15" i="4" a="1"/>
  <c r="DC7" i="4" a="1"/>
  <c r="AK6" i="4" a="1"/>
  <c r="CE5" i="4" a="1"/>
  <c r="CT12" i="4" a="1"/>
  <c r="CS7" i="4" a="1"/>
  <c r="CL12" i="4" a="1"/>
  <c r="O11" i="4" a="1"/>
  <c r="DB7" i="4" a="1"/>
  <c r="CP9" i="4" a="1"/>
  <c r="BP15" i="4" a="1"/>
  <c r="CV13" i="4" a="1"/>
  <c r="CO15" i="4" a="1"/>
  <c r="DT13" i="4" a="1"/>
  <c r="AB14" i="4" a="1"/>
  <c r="AD6" i="4" a="1"/>
  <c r="CS13" i="4" a="1"/>
  <c r="CH16" i="4" a="1"/>
  <c r="EG8" i="4" a="1"/>
  <c r="ED8" i="4" a="1"/>
  <c r="CU12" i="4" a="1"/>
  <c r="H9" i="4" a="1"/>
  <c r="CL14" i="4" a="1"/>
  <c r="K5" i="4" a="1"/>
  <c r="AP8" i="4" a="1"/>
  <c r="X8" i="2"/>
  <c r="E29" i="2"/>
  <c r="AR68" i="3"/>
  <c r="F36" i="3"/>
  <c r="E36" i="3"/>
  <c r="T30" i="2"/>
  <c r="T6" i="2"/>
  <c r="AR61" i="3"/>
  <c r="G9" i="3"/>
  <c r="AD9" i="4" a="1"/>
  <c r="CR13" i="4" a="1"/>
  <c r="CN16" i="4" a="1"/>
  <c r="CN8" i="4" a="1"/>
  <c r="AY7" i="4" a="1"/>
  <c r="DR11" i="4" a="1"/>
  <c r="DP5" i="4" a="1"/>
  <c r="BA6" i="4" a="1"/>
  <c r="Z5" i="4" a="1"/>
  <c r="BT16" i="4" a="1"/>
  <c r="EG7" i="4" a="1"/>
  <c r="BM9" i="4" a="1"/>
  <c r="AV11" i="4" a="1"/>
  <c r="DC13" i="4" a="1"/>
  <c r="DP6" i="4" a="1"/>
  <c r="EE15" i="4" a="1"/>
  <c r="DJ7" i="4" a="1"/>
  <c r="DB6" i="4" a="1"/>
  <c r="P28" i="2"/>
  <c r="D11" i="2"/>
  <c r="D24" i="3"/>
  <c r="N46" i="3"/>
  <c r="BY7" i="4" a="1"/>
  <c r="BT7" i="4" a="1"/>
  <c r="DR5" i="4" a="1"/>
  <c r="DC12" i="4" a="1"/>
  <c r="DL13" i="4" a="1"/>
  <c r="AH15" i="4" a="1"/>
  <c r="AM6" i="4" a="1"/>
  <c r="BV16" i="4" a="1"/>
  <c r="Z7" i="4" a="1"/>
  <c r="DX7" i="4" a="1"/>
  <c r="AL8" i="4" a="1"/>
  <c r="N14" i="4" a="1"/>
  <c r="AS13" i="4" a="1"/>
  <c r="CN9" i="4" a="1"/>
  <c r="CD12" i="4" a="1"/>
  <c r="V11" i="4" a="1"/>
  <c r="DZ7" i="4" a="1"/>
  <c r="DK6" i="4" a="1"/>
  <c r="L32" i="2"/>
  <c r="N21" i="2"/>
  <c r="AQ6" i="3"/>
  <c r="O46" i="3"/>
  <c r="BB8" i="4" a="1"/>
  <c r="AS6" i="4" a="1"/>
  <c r="DQ16" i="4" a="1"/>
  <c r="AC14" i="4" a="1"/>
  <c r="AC12" i="4" a="1"/>
  <c r="AK5" i="4" a="1"/>
  <c r="BV15" i="4" a="1"/>
  <c r="BJ5" i="4" a="1"/>
  <c r="CB5" i="4" a="1"/>
  <c r="AA9" i="4" a="1"/>
  <c r="EA16" i="4" a="1"/>
  <c r="AG11" i="4" a="1"/>
  <c r="CE7" i="4" a="1"/>
  <c r="AJ7" i="4" a="1"/>
  <c r="AQ16" i="4" a="1"/>
  <c r="BY11" i="4" a="1"/>
  <c r="AN12" i="4" a="1"/>
  <c r="BT8" i="4" a="1"/>
  <c r="P21" i="2"/>
  <c r="EG12" i="4" a="1"/>
  <c r="CB9" i="4" a="1"/>
  <c r="BO13" i="4" a="1"/>
  <c r="BS14" i="4" a="1"/>
  <c r="F7" i="4" a="1"/>
  <c r="AE11" i="4" a="1"/>
  <c r="CY9" i="4" a="1"/>
  <c r="AW13" i="4" a="1"/>
  <c r="DX16" i="4" a="1"/>
  <c r="EG9" i="4" a="1"/>
  <c r="DK15" i="4" a="1"/>
  <c r="BU11" i="4" a="1"/>
  <c r="ED13" i="4" a="1"/>
  <c r="AB8" i="4" a="1"/>
  <c r="Y13" i="4" a="1"/>
  <c r="BW5" i="4" a="1"/>
  <c r="DD15" i="4" a="1"/>
  <c r="G15" i="4" a="1"/>
  <c r="G5" i="4" a="1"/>
  <c r="AQ6" i="4" a="1"/>
  <c r="DT16" i="4" a="1"/>
  <c r="V8" i="4" a="1"/>
  <c r="AH9" i="4" a="1"/>
  <c r="AR7" i="4" a="1"/>
  <c r="BL15" i="4" a="1"/>
  <c r="AF15" i="4" a="1"/>
  <c r="N5" i="4" a="1"/>
  <c r="CO11" i="4" a="1"/>
  <c r="AZ16" i="4" a="1"/>
  <c r="EG11" i="4" a="1"/>
  <c r="AT7" i="4" a="1"/>
  <c r="O5" i="4" a="1"/>
  <c r="CT13" i="4" a="1"/>
  <c r="AB7" i="4" a="1"/>
  <c r="W21" i="2"/>
  <c r="AR23" i="3"/>
  <c r="Q14" i="4" a="1"/>
  <c r="ED6" i="4" a="1"/>
  <c r="BJ16" i="4" a="1"/>
  <c r="CS5" i="4" a="1"/>
  <c r="AZ9" i="4" a="1"/>
  <c r="BX13" i="4" a="1"/>
  <c r="DK9" i="4" a="1"/>
  <c r="DD8" i="4" a="1"/>
  <c r="CL5" i="4" a="1"/>
  <c r="EB12" i="4" a="1"/>
  <c r="CL7" i="4" a="1"/>
  <c r="CB16" i="4" a="1"/>
  <c r="BX15" i="4" a="1"/>
  <c r="AS7" i="4" a="1"/>
  <c r="DU14" i="4" a="1"/>
  <c r="DA6" i="4" a="1"/>
  <c r="BG13" i="4" a="1"/>
  <c r="EI7" i="4" a="1"/>
  <c r="Z11" i="4" a="1"/>
  <c r="AO13" i="4" a="1"/>
  <c r="AQ11" i="4" a="1"/>
  <c r="E14" i="2"/>
  <c r="F40" i="3"/>
  <c r="BA9" i="4" a="1"/>
  <c r="AU13" i="4" a="1"/>
  <c r="AD14" i="4" a="1"/>
  <c r="DF9" i="4" a="1"/>
  <c r="AR15" i="4" a="1"/>
  <c r="S26" i="2"/>
  <c r="K45" i="3"/>
  <c r="M7" i="4" a="1"/>
  <c r="DJ14" i="4" a="1"/>
  <c r="EF15" i="4" a="1"/>
  <c r="W6" i="4" a="1"/>
  <c r="CC14" i="4" a="1"/>
  <c r="CG6" i="4" a="1"/>
  <c r="Q8" i="4" a="1"/>
  <c r="CX12" i="4" a="1"/>
  <c r="J15" i="2"/>
  <c r="F26" i="3"/>
  <c r="U16" i="4" a="1"/>
  <c r="DI13" i="4" a="1"/>
  <c r="D9" i="4" a="1"/>
  <c r="EC9" i="4" a="1"/>
  <c r="AZ5" i="4" a="1"/>
  <c r="BX6" i="4" a="1"/>
  <c r="CW11" i="4" a="1"/>
  <c r="G8" i="4" a="1"/>
  <c r="EC16" i="4" a="1"/>
  <c r="AF48" i="3"/>
  <c r="BZ15" i="4" a="1"/>
  <c r="DD9" i="4" a="1"/>
  <c r="AU7" i="4" a="1"/>
  <c r="N12" i="4" a="1"/>
  <c r="DF14" i="4" a="1"/>
  <c r="AC9" i="4" a="1"/>
  <c r="AH7" i="4" a="1"/>
  <c r="P11" i="4" a="1"/>
  <c r="AG13" i="4" a="1"/>
  <c r="CJ7" i="4" a="1"/>
  <c r="BX7" i="4" a="1"/>
  <c r="DN5" i="4" a="1"/>
  <c r="AH16" i="4" a="1"/>
  <c r="DB5" i="4" a="1"/>
  <c r="CZ14" i="4" a="1"/>
  <c r="DN11" i="4" a="1"/>
  <c r="CH9" i="4" a="1"/>
  <c r="S20" i="2"/>
  <c r="DM12" i="4" a="1"/>
  <c r="L5" i="4" a="1"/>
  <c r="AG14" i="4" a="1"/>
  <c r="AX14" i="4" a="1"/>
  <c r="CE8" i="4" a="1"/>
  <c r="BH15" i="4" a="1"/>
  <c r="EH11" i="4" a="1"/>
  <c r="BI11" i="4" a="1"/>
  <c r="E24" i="3"/>
  <c r="CG12" i="4" a="1"/>
  <c r="CS15" i="4" a="1"/>
  <c r="CH6" i="4" a="1"/>
  <c r="G11" i="4" a="1"/>
  <c r="M16" i="4" a="1"/>
  <c r="AW15" i="4" a="1"/>
  <c r="X10" i="2"/>
  <c r="EH5" i="4" a="1"/>
  <c r="BK6" i="4" a="1"/>
  <c r="CH8" i="4" a="1"/>
  <c r="CT15" i="4" a="1"/>
  <c r="AL6" i="4" a="1"/>
  <c r="N7" i="4" a="1"/>
  <c r="CM11" i="4" a="1"/>
  <c r="CZ5" i="4" a="1"/>
  <c r="J15" i="4" a="1"/>
  <c r="L14" i="4" a="1"/>
  <c r="CA7" i="4" a="1"/>
  <c r="AM13" i="4" a="1"/>
  <c r="Q7" i="4" a="1"/>
  <c r="CO8" i="4" a="1"/>
  <c r="Q6" i="4" a="1"/>
  <c r="BD7" i="4" a="1"/>
  <c r="CG15" i="4" a="1"/>
  <c r="J5" i="2"/>
  <c r="BY15" i="4" a="1"/>
  <c r="G6" i="4" a="1"/>
  <c r="BB9" i="4" a="1"/>
  <c r="DI15" i="4" a="1"/>
  <c r="CL13" i="4" a="1"/>
  <c r="L8" i="4" a="1"/>
  <c r="AC8" i="4" a="1"/>
  <c r="DA5" i="4" a="1"/>
  <c r="AX5" i="4" a="1"/>
  <c r="EB13" i="4" a="1"/>
  <c r="AD9" i="3"/>
  <c r="K15" i="4" a="1"/>
  <c r="CR5" i="4" a="1"/>
  <c r="AU16" i="4" a="1"/>
  <c r="EB6" i="4" a="1"/>
  <c r="BR11" i="4" a="1"/>
  <c r="E8" i="4" a="1"/>
  <c r="EE13" i="4" a="1"/>
  <c r="BD9" i="4" a="1"/>
  <c r="T13" i="4" a="1"/>
  <c r="AY8" i="4" a="1"/>
  <c r="BF16" i="4" a="1"/>
  <c r="DV11" i="4" a="1"/>
  <c r="CC15" i="4" a="1"/>
  <c r="AN16" i="4" a="1"/>
  <c r="K13" i="4" a="1"/>
  <c r="EG15" i="4" a="1"/>
  <c r="EI15" i="4" a="1"/>
  <c r="AB6" i="4" a="1"/>
  <c r="BW13" i="4" a="1"/>
  <c r="BN8" i="4" a="1"/>
  <c r="CA5" i="4" a="1"/>
  <c r="BX14" i="4" a="1"/>
  <c r="CH11" i="4" a="1"/>
  <c r="S8" i="4" a="1"/>
  <c r="DV9" i="4" a="1"/>
  <c r="DU12" i="4" a="1"/>
  <c r="AU14" i="4" a="1"/>
  <c r="AR91" i="3"/>
  <c r="BW11" i="4" a="1"/>
  <c r="AM5" i="4" a="1"/>
  <c r="D7" i="4" a="1"/>
  <c r="DP8" i="4" a="1"/>
  <c r="CN6" i="4" a="1"/>
  <c r="AF6" i="4" a="1"/>
  <c r="BL6" i="4" a="1"/>
  <c r="E7" i="3"/>
  <c r="EA8" i="4" a="1"/>
  <c r="DY5" i="4" a="1"/>
  <c r="AQ8" i="4" a="1"/>
  <c r="AM12" i="4" a="1"/>
  <c r="BE16" i="4" a="1"/>
  <c r="AA5" i="4" a="1"/>
  <c r="BF8" i="4" a="1"/>
  <c r="DD5" i="4" a="1"/>
  <c r="CK8" i="4" a="1"/>
  <c r="L15" i="4" a="1"/>
  <c r="DR13" i="4" a="1"/>
  <c r="DH16" i="4" a="1"/>
  <c r="BQ14" i="4" a="1"/>
  <c r="CZ6" i="4" a="1"/>
  <c r="CS6" i="4" a="1"/>
  <c r="AL11" i="4" a="1"/>
  <c r="E85" i="3"/>
  <c r="D97" i="3"/>
  <c r="E55" i="3"/>
  <c r="D92" i="3"/>
  <c r="E64" i="3"/>
  <c r="D86" i="3"/>
  <c r="E77" i="3"/>
  <c r="D68" i="3"/>
  <c r="EJ16" i="4" a="1"/>
  <c r="AT6" i="4" a="1"/>
  <c r="CB12" i="4" a="1"/>
  <c r="L11" i="4" a="1"/>
  <c r="AZ13" i="4" a="1"/>
  <c r="CJ14" i="4" a="1"/>
  <c r="CR12" i="4" a="1"/>
  <c r="C18" i="2"/>
  <c r="C46" i="3"/>
  <c r="J16" i="4" a="1"/>
  <c r="R6" i="4" a="1"/>
  <c r="BC5" i="4" a="1"/>
  <c r="CH14" i="4" a="1"/>
  <c r="U14" i="4" a="1"/>
  <c r="DT11" i="4" a="1"/>
  <c r="CV5" i="4" a="1"/>
  <c r="AE13" i="4" a="1"/>
  <c r="AA7" i="4" a="1"/>
  <c r="EB11" i="4" a="1"/>
  <c r="O36" i="2"/>
  <c r="AR82" i="3"/>
  <c r="AR45" i="3"/>
  <c r="BN7" i="4" a="1"/>
  <c r="CQ6" i="4" a="1"/>
  <c r="BS7" i="4" a="1"/>
  <c r="CW7" i="4" a="1"/>
  <c r="DK13" i="4" a="1"/>
  <c r="F35" i="2"/>
  <c r="H10" i="2"/>
  <c r="AR66" i="3"/>
  <c r="U45" i="3"/>
  <c r="F28" i="3"/>
  <c r="AI14" i="4" a="1"/>
  <c r="BC12" i="4" a="1"/>
  <c r="AD11" i="4" a="1"/>
  <c r="CK14" i="4" a="1"/>
  <c r="DF13" i="4" a="1"/>
  <c r="BP8" i="4" a="1"/>
  <c r="CP12" i="4" a="1"/>
  <c r="BI9" i="4" a="1"/>
  <c r="AR13" i="4" a="1"/>
  <c r="CZ8" i="4" a="1"/>
  <c r="CD15" i="4" a="1"/>
  <c r="BB11" i="4" a="1"/>
  <c r="EF7" i="4" a="1"/>
  <c r="BP9" i="4" a="1"/>
  <c r="CD11" i="4" a="1"/>
  <c r="J10" i="2"/>
  <c r="L22" i="2"/>
  <c r="E9" i="2"/>
  <c r="D21" i="3"/>
  <c r="AB46" i="3"/>
  <c r="BV14" i="4" a="1"/>
  <c r="D6" i="4" a="1"/>
  <c r="AQ12" i="4" a="1"/>
  <c r="CN14" i="4" a="1"/>
  <c r="EC11" i="4" a="1"/>
  <c r="BU13" i="4" a="1"/>
  <c r="AI5" i="4" a="1"/>
  <c r="EE16" i="4" a="1"/>
  <c r="CW9" i="4" a="1"/>
  <c r="I7" i="4" a="1"/>
  <c r="AN15" i="4" a="1"/>
  <c r="DB12" i="4" a="1"/>
  <c r="T9" i="4" a="1"/>
  <c r="C13" i="4" a="1"/>
  <c r="V9" i="4" a="1"/>
  <c r="DO11" i="4" a="1"/>
  <c r="I9" i="4" a="1"/>
  <c r="U15" i="4" a="1"/>
  <c r="U7" i="4" a="1"/>
  <c r="AW8" i="4" a="1"/>
  <c r="CR7" i="4" a="1"/>
  <c r="R12" i="4" a="1"/>
  <c r="BN5" i="4" a="1"/>
  <c r="AT11" i="4" a="1"/>
  <c r="DI12" i="4" a="1"/>
  <c r="BG9" i="4" a="1"/>
  <c r="S13" i="4" a="1"/>
  <c r="U12" i="2"/>
  <c r="K24" i="2"/>
  <c r="AS47" i="3"/>
  <c r="T46" i="3"/>
  <c r="G12" i="3"/>
  <c r="Q8" i="2"/>
  <c r="U28" i="2"/>
  <c r="F18" i="3"/>
  <c r="AD5" i="3"/>
  <c r="DA11" i="4" a="1"/>
  <c r="DL14" i="4" a="1"/>
  <c r="S15" i="4" a="1"/>
  <c r="CS8" i="4" a="1"/>
  <c r="CU8" i="4" a="1"/>
  <c r="G12" i="4" a="1"/>
  <c r="CA12" i="4" a="1"/>
  <c r="BM14" i="4" a="1"/>
  <c r="AT8" i="4" a="1"/>
  <c r="F15" i="4" a="1"/>
  <c r="AS15" i="4" a="1"/>
  <c r="BC16" i="4" a="1"/>
  <c r="BC13" i="4" a="1"/>
  <c r="DX11" i="4" a="1"/>
  <c r="DZ13" i="4" a="1"/>
  <c r="DJ9" i="4" a="1"/>
  <c r="CC6" i="4" a="1"/>
  <c r="S25" i="2"/>
  <c r="X27" i="2"/>
  <c r="AR47" i="3"/>
  <c r="AD18" i="3"/>
  <c r="F15" i="3"/>
  <c r="CC11" i="4" a="1"/>
  <c r="W11" i="4" a="1"/>
  <c r="EE14" i="4" a="1"/>
  <c r="AC15" i="4" a="1"/>
  <c r="EF13" i="4" a="1"/>
  <c r="CQ8" i="4" a="1"/>
  <c r="W8" i="4" a="1"/>
  <c r="DT9" i="4" a="1"/>
  <c r="I16" i="4" a="1"/>
  <c r="AO14" i="4" a="1"/>
  <c r="AJ16" i="4" a="1"/>
  <c r="DF6" i="4" a="1"/>
  <c r="CA6" i="4" a="1"/>
  <c r="BO9" i="4" a="1"/>
  <c r="L13" i="4" a="1"/>
  <c r="CO14" i="4" a="1"/>
  <c r="CD14" i="4" a="1"/>
  <c r="DS16" i="4" a="1"/>
  <c r="P8" i="2"/>
  <c r="J23" i="2"/>
  <c r="AR13" i="3"/>
  <c r="G24" i="3"/>
  <c r="DM5" i="4" a="1"/>
  <c r="CZ12" i="4" a="1"/>
  <c r="EK5" i="4" a="1"/>
  <c r="CO9" i="4" a="1"/>
  <c r="DP16" i="4" a="1"/>
  <c r="EE12" i="4" a="1"/>
  <c r="BS15" i="4" a="1"/>
  <c r="DQ15" i="4" a="1"/>
  <c r="AV15" i="4" a="1"/>
  <c r="Q13" i="4" a="1"/>
  <c r="CZ9" i="4" a="1"/>
  <c r="CJ12" i="4" a="1"/>
  <c r="DQ7" i="4" a="1"/>
  <c r="AY5" i="4" a="1"/>
  <c r="I12" i="4" a="1"/>
  <c r="CY14" i="4" a="1"/>
  <c r="BK5" i="4" a="1"/>
  <c r="CL15" i="4" a="1"/>
  <c r="AI45" i="3"/>
  <c r="Q12" i="4" a="1"/>
  <c r="CM6" i="4" a="1"/>
  <c r="DA14" i="4" a="1"/>
  <c r="DK14" i="4" a="1"/>
  <c r="EE6" i="4" a="1"/>
  <c r="DZ9" i="4" a="1"/>
  <c r="EA14" i="4" a="1"/>
  <c r="W9" i="4" a="1"/>
  <c r="AT16" i="4" a="1"/>
  <c r="EK7" i="4" a="1"/>
  <c r="CS11" i="4" a="1"/>
  <c r="BW8" i="4" a="1"/>
  <c r="DS7" i="4" a="1"/>
  <c r="CX11" i="4" a="1"/>
  <c r="BE14" i="4" a="1"/>
  <c r="AW16" i="4" a="1"/>
  <c r="CR14" i="4" a="1"/>
  <c r="DJ15" i="4" a="1"/>
  <c r="BM7" i="4" a="1"/>
  <c r="T11" i="4" a="1"/>
  <c r="AW5" i="4" a="1"/>
  <c r="L7" i="4" a="1"/>
  <c r="DL12" i="4" a="1"/>
  <c r="BG16" i="4" a="1"/>
  <c r="AE5" i="4" a="1"/>
  <c r="J6" i="4" a="1"/>
  <c r="DI6" i="4" a="1"/>
  <c r="CS9" i="4" a="1"/>
  <c r="CW16" i="4" a="1"/>
  <c r="DS15" i="4" a="1"/>
  <c r="BT12" i="4" a="1"/>
  <c r="S6" i="4" a="1"/>
  <c r="CQ12" i="4" a="1"/>
  <c r="E7" i="4" a="1"/>
  <c r="T14" i="2"/>
  <c r="BU6" i="4" a="1"/>
  <c r="P14" i="4" a="1"/>
  <c r="BK11" i="4" a="1"/>
  <c r="BW16" i="4" a="1"/>
  <c r="BP12" i="4" a="1"/>
  <c r="R5" i="4" a="1"/>
  <c r="CN13" i="4" a="1"/>
  <c r="BB12" i="4" a="1"/>
  <c r="M13" i="4" a="1"/>
  <c r="N15" i="4" a="1"/>
  <c r="AD13" i="4" a="1"/>
  <c r="AN5" i="4" a="1"/>
  <c r="AU6" i="4" a="1"/>
  <c r="CU13" i="4" a="1"/>
  <c r="DE5" i="4" a="1"/>
  <c r="BQ6" i="4" a="1"/>
  <c r="BA16" i="4" a="1"/>
  <c r="Z13" i="4" a="1"/>
  <c r="CV8" i="4" a="1"/>
  <c r="DF8" i="4" a="1"/>
  <c r="P13" i="4" a="1"/>
  <c r="EG13" i="4" a="1"/>
  <c r="J28" i="2"/>
  <c r="AK11" i="4" a="1"/>
  <c r="AE7" i="4" a="1"/>
  <c r="CS12" i="4" a="1"/>
  <c r="DD16" i="4" a="1"/>
  <c r="BD16" i="4" a="1"/>
  <c r="T5" i="4" a="1"/>
  <c r="C25" i="2"/>
  <c r="AJ12" i="4" a="1"/>
  <c r="DA7" i="4" a="1"/>
  <c r="P8" i="4" a="1"/>
  <c r="BY14" i="4" a="1"/>
  <c r="BB15" i="4" a="1"/>
  <c r="DS13" i="4" a="1"/>
  <c r="DU16" i="4" a="1"/>
  <c r="N6" i="4" a="1"/>
  <c r="S5" i="4" a="1"/>
  <c r="U26" i="2"/>
  <c r="BJ11" i="4" a="1"/>
  <c r="CO13" i="4" a="1"/>
  <c r="W12" i="4" a="1"/>
  <c r="BM16" i="4" a="1"/>
  <c r="EB16" i="4" a="1"/>
  <c r="EK16" i="4" a="1"/>
  <c r="AE9" i="4" a="1"/>
  <c r="AP5" i="4" a="1"/>
  <c r="BY16" i="4" a="1"/>
  <c r="CE9" i="4" a="1"/>
  <c r="Q45" i="3"/>
  <c r="V15" i="4" a="1"/>
  <c r="EJ7" i="4" a="1"/>
  <c r="X9" i="4" a="1"/>
  <c r="AJ13" i="4" a="1"/>
  <c r="AE15" i="4" a="1"/>
  <c r="DA12" i="4" a="1"/>
  <c r="CV7" i="4" a="1"/>
  <c r="DD11" i="4" a="1"/>
  <c r="CG9" i="4" a="1"/>
  <c r="DO13" i="4" a="1"/>
  <c r="BR9" i="4" a="1"/>
  <c r="H8" i="4" a="1"/>
  <c r="BD13" i="4" a="1"/>
  <c r="CE16" i="4" a="1"/>
  <c r="AO15" i="4" a="1"/>
  <c r="AI12" i="4" a="1"/>
  <c r="D5" i="4" a="1"/>
  <c r="G11" i="3"/>
  <c r="BL12" i="4" a="1"/>
  <c r="I13" i="4" a="1"/>
  <c r="DN15" i="4" a="1"/>
  <c r="CW13" i="4" a="1"/>
  <c r="EA11" i="4" a="1"/>
  <c r="DS9" i="4" a="1"/>
  <c r="BU16" i="4" a="1"/>
  <c r="AL14" i="4" a="1"/>
  <c r="AZ15" i="4" a="1"/>
  <c r="P7" i="4" a="1"/>
  <c r="DR12" i="4" a="1"/>
  <c r="DZ11" i="4" a="1"/>
  <c r="AN9" i="4" a="1"/>
  <c r="CI11" i="4" a="1"/>
  <c r="CT16" i="4" a="1"/>
  <c r="L11" i="2"/>
  <c r="DH14" i="4" a="1"/>
  <c r="BR5" i="4" a="1"/>
  <c r="DZ6" i="4" a="1"/>
  <c r="AT15" i="4" a="1"/>
  <c r="BJ8" i="4" a="1"/>
  <c r="AU15" i="4" a="1"/>
  <c r="DR7" i="4" a="1"/>
  <c r="DT5" i="4" a="1"/>
  <c r="BH8" i="4" a="1"/>
  <c r="CU16" i="4" a="1"/>
  <c r="DY7" i="4" a="1"/>
  <c r="AR6" i="4" a="1"/>
  <c r="DZ15" i="4" a="1"/>
  <c r="DC6" i="4" a="1"/>
  <c r="BW9" i="4" a="1"/>
  <c r="AJ15" i="4" a="1"/>
  <c r="U13" i="4" a="1"/>
  <c r="R16" i="4" a="1"/>
  <c r="CK6" i="4" a="1"/>
  <c r="I8" i="4" a="1"/>
  <c r="K8" i="4" a="1"/>
  <c r="Y14" i="4" a="1"/>
  <c r="AU9" i="4" a="1"/>
  <c r="AG5" i="4" a="1"/>
  <c r="CE15" i="4" a="1"/>
  <c r="BU5" i="4" a="1"/>
  <c r="DK8" i="4" a="1"/>
  <c r="O28" i="2"/>
  <c r="AL12" i="4" a="1"/>
  <c r="AA12" i="4" a="1"/>
  <c r="BK15" i="4" a="1"/>
  <c r="DS5" i="4" a="1"/>
  <c r="BW7" i="4" a="1"/>
  <c r="BT5" i="4" a="1"/>
  <c r="CU5" i="4" a="1"/>
  <c r="EF11" i="4" a="1"/>
  <c r="CJ6" i="4" a="1"/>
  <c r="CC7" i="4" a="1"/>
  <c r="AV6" i="4" a="1"/>
  <c r="BO7" i="4" a="1"/>
  <c r="AM14" i="4" a="1"/>
  <c r="AN6" i="4" a="1"/>
  <c r="AM9" i="4" a="1"/>
  <c r="BI8" i="4" a="1"/>
  <c r="BP13" i="4" a="1"/>
  <c r="CN5" i="4" a="1"/>
  <c r="AI15" i="4" a="1"/>
  <c r="G9" i="4" a="1"/>
  <c r="EE8" i="4" a="1"/>
  <c r="AA14" i="4" a="1"/>
  <c r="DZ8" i="4" a="1"/>
  <c r="CG11" i="4" a="1"/>
  <c r="BS5" i="4" a="1"/>
  <c r="G16" i="4" a="1"/>
  <c r="Q9" i="4" a="1"/>
  <c r="BG14" i="4" a="1"/>
  <c r="D26" i="3"/>
  <c r="K7" i="4" a="1"/>
  <c r="ED9" i="4" a="1"/>
  <c r="DW15" i="4" a="1"/>
  <c r="BV11" i="4" a="1"/>
  <c r="AF14" i="4" a="1"/>
  <c r="CA14" i="4" a="1"/>
  <c r="BU15" i="4" a="1"/>
  <c r="DT15" i="4" a="1"/>
  <c r="J36" i="2"/>
  <c r="BY8" i="4" a="1"/>
  <c r="DY16" i="4" a="1"/>
  <c r="DV15" i="4" a="1"/>
  <c r="CJ8" i="4" a="1"/>
  <c r="DN6" i="4" a="1"/>
  <c r="EA6" i="4" a="1"/>
  <c r="K6" i="4" a="1"/>
  <c r="CW5" i="4" a="1"/>
  <c r="DC5" i="4" a="1"/>
  <c r="EH6" i="4" a="1"/>
  <c r="BU9" i="4" a="1"/>
  <c r="BH13" i="4" a="1"/>
  <c r="DY12" i="4" a="1"/>
  <c r="Z12" i="4" a="1"/>
  <c r="AJ11" i="4" a="1"/>
  <c r="DA16" i="4" a="1"/>
  <c r="CA13" i="4" a="1"/>
  <c r="DK11" i="4" a="1"/>
  <c r="ED7" i="4" a="1"/>
  <c r="DV8" i="4" a="1"/>
  <c r="BM12" i="4" a="1"/>
  <c r="AQ14" i="4" a="1"/>
  <c r="CB11" i="4" a="1"/>
  <c r="DK12" i="4" a="1"/>
  <c r="E11" i="4" a="1"/>
  <c r="F5" i="4" a="1"/>
  <c r="H11" i="4" a="1"/>
  <c r="S16" i="4" a="1"/>
  <c r="CQ16" i="4" a="1"/>
  <c r="O12" i="4" a="1"/>
  <c r="J11" i="4" a="1"/>
  <c r="BK7" i="4" a="1"/>
  <c r="N8" i="4" a="1"/>
  <c r="AD60" i="3"/>
  <c r="AD81" i="3"/>
  <c r="AD90" i="3"/>
  <c r="AD95" i="3"/>
  <c r="AD73" i="3"/>
  <c r="AD94" i="3"/>
  <c r="AD93" i="3"/>
  <c r="AD74" i="3"/>
  <c r="AD78" i="3"/>
  <c r="AD62" i="3"/>
  <c r="AD79" i="3"/>
  <c r="AD92" i="3"/>
  <c r="AD87" i="3"/>
  <c r="AD67" i="3"/>
  <c r="AD68" i="3"/>
  <c r="E58" i="3" l="1"/>
  <c r="D94" i="3"/>
  <c r="D56" i="3"/>
  <c r="D93" i="3"/>
  <c r="D87" i="3"/>
  <c r="E97" i="3"/>
  <c r="E88" i="3"/>
  <c r="D89" i="3"/>
  <c r="E59" i="3"/>
  <c r="E80" i="3"/>
  <c r="E78" i="3"/>
  <c r="D71" i="3"/>
  <c r="E63" i="3"/>
  <c r="E87" i="3"/>
  <c r="E69" i="3"/>
  <c r="E72" i="3"/>
  <c r="D76" i="3"/>
  <c r="E94" i="3"/>
  <c r="D80" i="3"/>
  <c r="E93" i="3"/>
  <c r="E74" i="3"/>
  <c r="D95" i="3"/>
  <c r="D88" i="3"/>
  <c r="D55" i="3"/>
  <c r="D62" i="3"/>
  <c r="D85" i="3"/>
  <c r="E73" i="3"/>
  <c r="E84" i="3"/>
  <c r="E61" i="3"/>
  <c r="E92" i="3"/>
  <c r="D65" i="3"/>
  <c r="D69" i="3"/>
  <c r="D82" i="3"/>
  <c r="E62" i="3"/>
  <c r="D66" i="3"/>
  <c r="D78" i="3"/>
  <c r="D61" i="3"/>
  <c r="D73" i="3"/>
  <c r="D81" i="3"/>
  <c r="AD80" i="3"/>
  <c r="AD84" i="3"/>
  <c r="AD86" i="3"/>
  <c r="AD71" i="3"/>
  <c r="AD56" i="3"/>
  <c r="AD83" i="3"/>
  <c r="AD65" i="3"/>
  <c r="AD77" i="3"/>
  <c r="AD82" i="3"/>
  <c r="G79" i="3"/>
  <c r="G78" i="3"/>
  <c r="G65" i="3"/>
  <c r="G96" i="3"/>
  <c r="G73" i="3"/>
  <c r="G54" i="3"/>
  <c r="G59" i="3"/>
  <c r="G88" i="3"/>
  <c r="G89" i="3"/>
  <c r="G94" i="3"/>
  <c r="G63" i="3"/>
  <c r="G84" i="3"/>
  <c r="G77" i="3"/>
  <c r="G74" i="3"/>
  <c r="G97" i="3"/>
  <c r="G57" i="3"/>
  <c r="G67" i="3"/>
  <c r="G66" i="3"/>
  <c r="G72" i="3"/>
  <c r="G91" i="3"/>
  <c r="G81" i="3"/>
  <c r="G70" i="3"/>
  <c r="G60" i="3"/>
  <c r="G85" i="3"/>
  <c r="G92" i="3"/>
  <c r="G56" i="3"/>
  <c r="G64" i="3"/>
  <c r="G86" i="3"/>
  <c r="G83" i="3"/>
  <c r="G61" i="3"/>
  <c r="G80" i="3"/>
  <c r="G62" i="3"/>
  <c r="G58" i="3"/>
  <c r="G90" i="3"/>
  <c r="G76" i="3"/>
  <c r="G87" i="3"/>
  <c r="G93" i="3"/>
  <c r="G95" i="3"/>
  <c r="G69" i="3"/>
  <c r="G82" i="3"/>
  <c r="G55" i="3"/>
  <c r="G71" i="3"/>
  <c r="G75" i="3"/>
  <c r="G68" i="3"/>
  <c r="F73" i="3"/>
  <c r="F80" i="3"/>
  <c r="AL178" i="1" s="1"/>
  <c r="F66" i="3"/>
  <c r="AL170" i="1" s="1"/>
  <c r="AM170" i="1" s="1"/>
  <c r="F60" i="3"/>
  <c r="AL141" i="1" s="1"/>
  <c r="AM141" i="1" s="1"/>
  <c r="F93" i="3"/>
  <c r="F50" i="3"/>
  <c r="AL93" i="1" s="1"/>
  <c r="F79" i="3"/>
  <c r="F75" i="3"/>
  <c r="F76" i="3"/>
  <c r="F82" i="3"/>
  <c r="AL164" i="1" s="1"/>
  <c r="F96" i="3"/>
  <c r="AL182" i="1" s="1"/>
  <c r="AM182" i="1" s="1"/>
  <c r="F72" i="3"/>
  <c r="AL154" i="1" s="1"/>
  <c r="AM154" i="1" s="1"/>
  <c r="F97" i="3"/>
  <c r="F65" i="3"/>
  <c r="AL169" i="1" s="1"/>
  <c r="AM169" i="1" s="1"/>
  <c r="F94" i="3"/>
  <c r="F61" i="3"/>
  <c r="F90" i="3"/>
  <c r="AL145" i="1" s="1"/>
  <c r="AM145" i="1" s="1"/>
  <c r="F74" i="3"/>
  <c r="AL156" i="1" s="1"/>
  <c r="AM156" i="1" s="1"/>
  <c r="F48" i="3"/>
  <c r="F59" i="3"/>
  <c r="F83" i="3"/>
  <c r="AL179" i="1" s="1"/>
  <c r="F91" i="3"/>
  <c r="AL173" i="1" s="1"/>
  <c r="AM173" i="1" s="1"/>
  <c r="F89" i="3"/>
  <c r="AL172" i="1" s="1"/>
  <c r="F64" i="3"/>
  <c r="AL168" i="1" s="1"/>
  <c r="AM168" i="1" s="1"/>
  <c r="F77" i="3"/>
  <c r="AL159" i="1" s="1"/>
  <c r="AM159" i="1" s="1"/>
  <c r="AM221" i="1" s="1"/>
  <c r="F54" i="3"/>
  <c r="F62" i="3"/>
  <c r="AL143" i="1" s="1"/>
  <c r="AM143" i="1" s="1"/>
  <c r="F56" i="3"/>
  <c r="AL136" i="1" s="1"/>
  <c r="AM136" i="1" s="1"/>
  <c r="F63" i="3"/>
  <c r="AL144" i="1" s="1"/>
  <c r="AM144" i="1" s="1"/>
  <c r="F49" i="3"/>
  <c r="AL92" i="1" s="1"/>
  <c r="F81" i="3"/>
  <c r="AL163" i="1" s="1"/>
  <c r="F70" i="3"/>
  <c r="AL152" i="1" s="1"/>
  <c r="F78" i="3"/>
  <c r="AL161" i="1" s="1"/>
  <c r="AM161" i="1" s="1"/>
  <c r="F67" i="3"/>
  <c r="F87" i="3"/>
  <c r="AL171" i="1" s="1"/>
  <c r="AM171" i="1" s="1"/>
  <c r="F47" i="3"/>
  <c r="F68" i="3"/>
  <c r="AL150" i="1" s="1"/>
  <c r="F88" i="3"/>
  <c r="AL146" i="1" s="1"/>
  <c r="AM146" i="1" s="1"/>
  <c r="F69" i="3"/>
  <c r="AL151" i="1" s="1"/>
  <c r="F86" i="3"/>
  <c r="F85" i="3"/>
  <c r="AL166" i="1" s="1"/>
  <c r="AM166" i="1" s="1"/>
  <c r="F92" i="3"/>
  <c r="AL174" i="1" s="1"/>
  <c r="AM174" i="1" s="1"/>
  <c r="F84" i="3"/>
  <c r="AL165" i="1" s="1"/>
  <c r="AM165" i="1" s="1"/>
  <c r="F71" i="3"/>
  <c r="F58" i="3"/>
  <c r="AL138" i="1" s="1"/>
  <c r="F95" i="3"/>
  <c r="AL183" i="1" s="1"/>
  <c r="AM183" i="1" s="1"/>
  <c r="F55" i="3"/>
  <c r="F57" i="3"/>
  <c r="AL137" i="1" s="1"/>
  <c r="AM137" i="1" s="1"/>
  <c r="AD96" i="3"/>
  <c r="BJ182" i="1" s="1"/>
  <c r="BK182" i="1" s="1"/>
  <c r="AD91" i="3"/>
  <c r="BJ173" i="1" s="1"/>
  <c r="BK173" i="1" s="1"/>
  <c r="AD66" i="3"/>
  <c r="BJ170" i="1" s="1"/>
  <c r="BK170" i="1" s="1"/>
  <c r="AD88" i="3"/>
  <c r="BJ146" i="1" s="1"/>
  <c r="BK146" i="1" s="1"/>
  <c r="AD97" i="3"/>
  <c r="AD55" i="3"/>
  <c r="AD70" i="3"/>
  <c r="BJ152" i="1" s="1"/>
  <c r="AD54" i="3"/>
  <c r="AD76" i="3"/>
  <c r="BJ162" i="1" s="1"/>
  <c r="BK162" i="1" s="1"/>
  <c r="AD69" i="3"/>
  <c r="BJ151" i="1" s="1"/>
  <c r="AD57" i="3"/>
  <c r="BJ137" i="1" s="1"/>
  <c r="BK137" i="1" s="1"/>
  <c r="AD58" i="3"/>
  <c r="BJ138" i="1" s="1"/>
  <c r="AD61" i="3"/>
  <c r="AD72" i="3"/>
  <c r="BJ154" i="1" s="1"/>
  <c r="BK154" i="1" s="1"/>
  <c r="AD85" i="3"/>
  <c r="BJ166" i="1" s="1"/>
  <c r="BK166" i="1" s="1"/>
  <c r="AD59" i="3"/>
  <c r="AD75" i="3"/>
  <c r="BJ156" i="1" s="1"/>
  <c r="BK156" i="1" s="1"/>
  <c r="AD89" i="3"/>
  <c r="BJ172" i="1" s="1"/>
  <c r="AD63" i="3"/>
  <c r="BJ144" i="1" s="1"/>
  <c r="BK144" i="1" s="1"/>
  <c r="AD64" i="3"/>
  <c r="BJ168" i="1" s="1"/>
  <c r="BJ150" i="1"/>
  <c r="BJ171" i="1"/>
  <c r="BK171" i="1" s="1"/>
  <c r="BJ174" i="1"/>
  <c r="BK174" i="1" s="1"/>
  <c r="BJ143" i="1"/>
  <c r="BK143" i="1" s="1"/>
  <c r="BJ161" i="1"/>
  <c r="BK161" i="1" s="1"/>
  <c r="BJ183" i="1"/>
  <c r="BJ145" i="1"/>
  <c r="BK145" i="1" s="1"/>
  <c r="BJ163" i="1"/>
  <c r="BJ141" i="1"/>
  <c r="BK141" i="1" s="1"/>
  <c r="AJ66" i="1"/>
  <c r="IA9" i="4" s="1"/>
  <c r="HT16" i="4" s="1"/>
  <c r="IM9" i="4" s="1"/>
  <c r="IU16" i="4" s="1"/>
  <c r="K32" i="1"/>
  <c r="JC9" i="4" s="1"/>
  <c r="AM34" i="1"/>
  <c r="HV9" i="4" s="1"/>
  <c r="JI16" i="4" s="1"/>
  <c r="JF16" i="4" s="1"/>
  <c r="B55" i="1"/>
  <c r="IX16" i="4" s="1"/>
  <c r="IM16" i="4" s="1"/>
  <c r="S39" i="1"/>
  <c r="JB16" i="4" s="1"/>
  <c r="IS9" i="4" s="1"/>
  <c r="I54" i="1"/>
  <c r="JC16" i="4" s="1"/>
  <c r="JC21" i="4" s="1"/>
  <c r="BW96" i="1" s="1"/>
  <c r="HZ16" i="4" s="1"/>
  <c r="HQ16" i="4" s="1"/>
  <c r="AL43" i="1"/>
  <c r="BJ44" i="1"/>
  <c r="W51" i="1"/>
  <c r="W272" i="1" s="1"/>
  <c r="R55" i="1"/>
  <c r="IZ9" i="4" s="1"/>
  <c r="AL44" i="1"/>
  <c r="AM33" i="1"/>
  <c r="T34" i="1"/>
  <c r="HQ9" i="4" s="1"/>
  <c r="JG16" i="4" s="1"/>
  <c r="AJ41" i="1"/>
  <c r="AL51" i="1"/>
  <c r="AL213" i="1" s="1"/>
  <c r="BX170" i="1"/>
  <c r="BY170" i="1" s="1"/>
  <c r="E70" i="1"/>
  <c r="BX164" i="1"/>
  <c r="B44" i="1"/>
  <c r="AJ150" i="1"/>
  <c r="AJ174" i="1"/>
  <c r="AK174" i="1" s="1"/>
  <c r="IG16" i="4" s="1"/>
  <c r="BX173" i="1"/>
  <c r="BY173" i="1" s="1"/>
  <c r="JD9" i="4" s="1"/>
  <c r="IF9" i="4" s="1"/>
  <c r="IO7" i="4" s="1"/>
  <c r="IP8" i="4" s="1"/>
  <c r="IX9" i="4" s="1"/>
  <c r="HU16" i="4" s="1"/>
  <c r="AL66" i="1"/>
  <c r="I42" i="1"/>
  <c r="HT8" i="4" s="1"/>
  <c r="IO14" i="4" s="1"/>
  <c r="IO19" i="4" s="1"/>
  <c r="BI97" i="1" s="1"/>
  <c r="BI126" i="1" s="1"/>
  <c r="HS7" i="4" s="1"/>
  <c r="D39" i="1"/>
  <c r="IN15" i="4" s="1"/>
  <c r="BX54" i="1"/>
  <c r="HW9" i="4" s="1"/>
  <c r="IM15" i="4" s="1"/>
  <c r="K64" i="1"/>
  <c r="IA8" i="4" s="1"/>
  <c r="C32" i="1"/>
  <c r="IL16" i="4" s="1"/>
  <c r="HX9" i="4" s="1"/>
  <c r="S27" i="1"/>
  <c r="S250" i="1" s="1"/>
  <c r="S58" i="1"/>
  <c r="BX150" i="1"/>
  <c r="D66" i="1"/>
  <c r="JG15" i="4" s="1"/>
  <c r="BX27" i="1"/>
  <c r="CA117" i="1" s="1"/>
  <c r="CA118" i="1" s="1"/>
  <c r="AL58" i="1"/>
  <c r="BX165" i="1"/>
  <c r="BY165" i="1" s="1"/>
  <c r="IK14" i="4" s="1"/>
  <c r="JA16" i="4" s="1"/>
  <c r="BJ27" i="1"/>
  <c r="BJ250" i="1" s="1"/>
  <c r="AK27" i="1"/>
  <c r="AK250" i="1" s="1"/>
  <c r="B65" i="1"/>
  <c r="M28" i="1"/>
  <c r="IT9" i="4" s="1"/>
  <c r="AJ156" i="1"/>
  <c r="AK156" i="1" s="1"/>
  <c r="AJ145" i="1"/>
  <c r="AK145" i="1" s="1"/>
  <c r="AJ141" i="1"/>
  <c r="AK141" i="1" s="1"/>
  <c r="IK16" i="4" s="1"/>
  <c r="IQ9" i="4" s="1"/>
  <c r="AJ173" i="1"/>
  <c r="AK173" i="1" s="1"/>
  <c r="AJ154" i="1"/>
  <c r="AK154" i="1" s="1"/>
  <c r="AJ182" i="1"/>
  <c r="AK182" i="1" s="1"/>
  <c r="AJ152" i="1"/>
  <c r="AJ138" i="1"/>
  <c r="AJ159" i="1"/>
  <c r="AK159" i="1" s="1"/>
  <c r="AJ179" i="1"/>
  <c r="AJ144" i="1"/>
  <c r="AK144" i="1" s="1"/>
  <c r="AJ168" i="1"/>
  <c r="AK168" i="1" s="1"/>
  <c r="AJ165" i="1"/>
  <c r="AK165" i="1" s="1"/>
  <c r="AJ137" i="1"/>
  <c r="AK137" i="1" s="1"/>
  <c r="JA9" i="4" s="1"/>
  <c r="IC16" i="4" s="1"/>
  <c r="AK42" i="1"/>
  <c r="HQ7" i="4" s="1"/>
  <c r="IN16" i="4" s="1"/>
  <c r="HV16" i="4" s="1"/>
  <c r="AM27" i="1"/>
  <c r="IN8" i="4" s="1"/>
  <c r="HU14" i="4" s="1"/>
  <c r="HS16" i="4" s="1"/>
  <c r="IH9" i="4" s="1"/>
  <c r="IH16" i="4" s="1"/>
  <c r="IH21" i="4" s="1"/>
  <c r="BB96" i="1" s="1"/>
  <c r="IF16" i="4" s="1"/>
  <c r="AL27" i="1"/>
  <c r="JH9" i="4" s="1"/>
  <c r="IB16" i="4" s="1"/>
  <c r="AJ32" i="1"/>
  <c r="HT9" i="4" s="1"/>
  <c r="L34" i="1"/>
  <c r="IR16" i="4" s="1"/>
  <c r="HP15" i="4" s="1"/>
  <c r="AJ54" i="1"/>
  <c r="R32" i="1"/>
  <c r="V42" i="1"/>
  <c r="II14" i="4" s="1"/>
  <c r="IE7" i="4" s="1"/>
  <c r="AM44" i="1"/>
  <c r="I40" i="1"/>
  <c r="I55" i="1"/>
  <c r="HS9" i="4" s="1"/>
  <c r="HR16" i="4" s="1"/>
  <c r="U51" i="1"/>
  <c r="F43" i="1"/>
  <c r="IG9" i="4" s="1"/>
  <c r="IQ16" i="4" s="1"/>
  <c r="BX93" i="1"/>
  <c r="S28" i="1"/>
  <c r="HX16" i="4" s="1"/>
  <c r="HP16" i="4" s="1"/>
  <c r="BX28" i="1"/>
  <c r="BX41" i="1"/>
  <c r="Q28" i="1"/>
  <c r="BX145" i="1"/>
  <c r="BY145" i="1" s="1"/>
  <c r="J54" i="1"/>
  <c r="IY9" i="4" s="1"/>
  <c r="HW16" i="4" s="1"/>
  <c r="JE9" i="4" s="1"/>
  <c r="IO9" i="4" s="1"/>
  <c r="AK33" i="1"/>
  <c r="I34" i="1"/>
  <c r="IR15" i="4" s="1"/>
  <c r="JA14" i="4" s="1"/>
  <c r="HR9" i="4" s="1"/>
  <c r="HT15" i="4" s="1"/>
  <c r="IU9" i="4" s="1"/>
  <c r="IY15" i="4" s="1"/>
  <c r="AM40" i="1"/>
  <c r="IC14" i="4" s="1"/>
  <c r="AM32" i="1"/>
  <c r="IA16" i="4" s="1"/>
  <c r="IA21" i="4" s="1"/>
  <c r="AU96" i="1" s="1"/>
  <c r="JG9" i="4" s="1"/>
  <c r="IW9" i="4" s="1"/>
  <c r="AM55" i="1"/>
  <c r="JE15" i="4" s="1"/>
  <c r="D141" i="1"/>
  <c r="T64" i="1"/>
  <c r="S40" i="1"/>
  <c r="HW15" i="4" s="1"/>
  <c r="JI9" i="4" s="1"/>
  <c r="IV9" i="4" s="1"/>
  <c r="JC15" i="4" s="1"/>
  <c r="AL41" i="1"/>
  <c r="L44" i="1"/>
  <c r="IX8" i="4" s="1"/>
  <c r="AJ40" i="1"/>
  <c r="F34" i="1"/>
  <c r="K34" i="1"/>
  <c r="M27" i="1"/>
  <c r="M250" i="1" s="1"/>
  <c r="F65" i="1"/>
  <c r="AL54" i="1"/>
  <c r="N32" i="1"/>
  <c r="AK41" i="1"/>
  <c r="H43" i="1"/>
  <c r="B70" i="1"/>
  <c r="J66" i="1"/>
  <c r="JI8" i="4" s="1"/>
  <c r="IV16" i="4" s="1"/>
  <c r="IV21" i="4" s="1"/>
  <c r="BP96" i="1" s="1"/>
  <c r="IS16" i="4" s="1"/>
  <c r="IS21" i="4" s="1"/>
  <c r="BM96" i="1" s="1"/>
  <c r="HP9" i="4" s="1"/>
  <c r="HY9" i="4" s="1"/>
  <c r="AL65" i="1"/>
  <c r="BX182" i="1"/>
  <c r="BY182" i="1" s="1"/>
  <c r="BX172" i="1"/>
  <c r="N58" i="1"/>
  <c r="BX92" i="1"/>
  <c r="G27" i="1"/>
  <c r="G250" i="1" s="1"/>
  <c r="AK39" i="1"/>
  <c r="IE16" i="4" s="1"/>
  <c r="AM28" i="1"/>
  <c r="P58" i="1"/>
  <c r="II9" i="4" s="1"/>
  <c r="IZ16" i="4" s="1"/>
  <c r="IO16" i="4" s="1"/>
  <c r="AL34" i="1"/>
  <c r="AK43" i="1"/>
  <c r="B42" i="1"/>
  <c r="BX51" i="1"/>
  <c r="BX213" i="1" s="1"/>
  <c r="AK70" i="1"/>
  <c r="AK55" i="1"/>
  <c r="O55" i="1"/>
  <c r="F32" i="1"/>
  <c r="E41" i="1"/>
  <c r="F55" i="1"/>
  <c r="W151" i="1"/>
  <c r="I28" i="1"/>
  <c r="M70" i="1"/>
  <c r="J40" i="1"/>
  <c r="T55" i="1"/>
  <c r="Q65" i="1"/>
  <c r="C64" i="1"/>
  <c r="C41" i="1"/>
  <c r="BX65" i="1"/>
  <c r="BX43" i="1"/>
  <c r="W34" i="1"/>
  <c r="V41" i="1"/>
  <c r="D28" i="1"/>
  <c r="L32" i="1"/>
  <c r="F39" i="1"/>
  <c r="V58" i="1"/>
  <c r="V40" i="1"/>
  <c r="J32" i="1"/>
  <c r="IJ16" i="4" s="1"/>
  <c r="BX58" i="1"/>
  <c r="BJ33" i="1"/>
  <c r="AK65" i="1"/>
  <c r="AJ58" i="1"/>
  <c r="BX33" i="1"/>
  <c r="N39" i="1"/>
  <c r="L58" i="1"/>
  <c r="Q40" i="1"/>
  <c r="O70" i="1"/>
  <c r="K44" i="1"/>
  <c r="K40" i="1"/>
  <c r="F54" i="1"/>
  <c r="L39" i="1"/>
  <c r="IK9" i="4" s="1"/>
  <c r="BJ39" i="1"/>
  <c r="AL28" i="1"/>
  <c r="U42" i="1"/>
  <c r="J51" i="1"/>
  <c r="J213" i="1" s="1"/>
  <c r="I32" i="1"/>
  <c r="Q51" i="1"/>
  <c r="Q213" i="1" s="1"/>
  <c r="Q39" i="1"/>
  <c r="H70" i="1"/>
  <c r="R40" i="1"/>
  <c r="K65" i="1"/>
  <c r="K54" i="1"/>
  <c r="E54" i="1"/>
  <c r="AL64" i="1"/>
  <c r="B34" i="1"/>
  <c r="P28" i="1"/>
  <c r="C44" i="1"/>
  <c r="P66" i="1"/>
  <c r="R27" i="1"/>
  <c r="R250" i="1" s="1"/>
  <c r="O39" i="1"/>
  <c r="F27" i="1"/>
  <c r="F250" i="1" s="1"/>
  <c r="IR9" i="4" s="1"/>
  <c r="IJ15" i="4" s="1"/>
  <c r="IZ15" i="4" s="1"/>
  <c r="G55" i="1"/>
  <c r="BX179" i="1"/>
  <c r="G39" i="1"/>
  <c r="BX137" i="1"/>
  <c r="BY137" i="1" s="1"/>
  <c r="V39" i="1"/>
  <c r="G44" i="1"/>
  <c r="O65" i="1"/>
  <c r="V32" i="1"/>
  <c r="G172" i="1"/>
  <c r="H42" i="1"/>
  <c r="P65" i="1"/>
  <c r="H54" i="1"/>
  <c r="W54" i="1"/>
  <c r="W136" i="1"/>
  <c r="AJ44" i="1"/>
  <c r="BX70" i="1"/>
  <c r="AK51" i="1"/>
  <c r="AK213" i="1" s="1"/>
  <c r="BX161" i="1"/>
  <c r="BY161" i="1" s="1"/>
  <c r="B43" i="1"/>
  <c r="G64" i="1"/>
  <c r="J27" i="1"/>
  <c r="J250" i="1" s="1"/>
  <c r="Q42" i="1"/>
  <c r="E55" i="1"/>
  <c r="Q27" i="1"/>
  <c r="Q250" i="1" s="1"/>
  <c r="E51" i="1"/>
  <c r="E213" i="1" s="1"/>
  <c r="U28" i="1"/>
  <c r="U29" i="1" s="1"/>
  <c r="U117" i="1" s="1"/>
  <c r="I44" i="1"/>
  <c r="W65" i="1"/>
  <c r="BX174" i="1"/>
  <c r="BY174" i="1" s="1"/>
  <c r="K55" i="1"/>
  <c r="J138" i="1"/>
  <c r="V51" i="1"/>
  <c r="V272" i="1" s="1"/>
  <c r="H66" i="1"/>
  <c r="L55" i="1"/>
  <c r="Q64" i="1"/>
  <c r="W43" i="1"/>
  <c r="R65" i="1"/>
  <c r="T40" i="1"/>
  <c r="U64" i="1"/>
  <c r="BX156" i="1"/>
  <c r="BY156" i="1" s="1"/>
  <c r="P43" i="1"/>
  <c r="D55" i="1"/>
  <c r="O41" i="1"/>
  <c r="B41" i="1"/>
  <c r="N65" i="1"/>
  <c r="G58" i="1"/>
  <c r="I43" i="1"/>
  <c r="D64" i="1"/>
  <c r="G40" i="1"/>
  <c r="AL32" i="1"/>
  <c r="U58" i="1"/>
  <c r="BX143" i="1"/>
  <c r="BY143" i="1" s="1"/>
  <c r="W40" i="1"/>
  <c r="N66" i="1"/>
  <c r="J58" i="1"/>
  <c r="O40" i="1"/>
  <c r="S65" i="1"/>
  <c r="N51" i="1"/>
  <c r="N213" i="1" s="1"/>
  <c r="G34" i="1"/>
  <c r="W64" i="1"/>
  <c r="K42" i="1"/>
  <c r="AK58" i="1"/>
  <c r="AK28" i="1"/>
  <c r="B58" i="1"/>
  <c r="B39" i="1"/>
  <c r="C65" i="1"/>
  <c r="O54" i="1"/>
  <c r="S34" i="1"/>
  <c r="J65" i="1"/>
  <c r="AM42" i="1"/>
  <c r="C55" i="1"/>
  <c r="P174" i="1"/>
  <c r="BY92" i="1"/>
  <c r="O43" i="1"/>
  <c r="G54" i="1"/>
  <c r="M65" i="1"/>
  <c r="N55" i="1"/>
  <c r="N27" i="1"/>
  <c r="N250" i="1" s="1"/>
  <c r="P44" i="1"/>
  <c r="IZ14" i="4" s="1"/>
  <c r="BJ34" i="1"/>
  <c r="AK64" i="1"/>
  <c r="K51" i="1"/>
  <c r="K213" i="1" s="1"/>
  <c r="H32" i="1"/>
  <c r="Q32" i="1"/>
  <c r="I64" i="1"/>
  <c r="G42" i="1"/>
  <c r="I41" i="1"/>
  <c r="N34" i="1"/>
  <c r="J64" i="1"/>
  <c r="E178" i="1"/>
  <c r="IL9" i="4" s="1"/>
  <c r="HW8" i="4" s="1"/>
  <c r="BX39" i="1"/>
  <c r="AJ28" i="1"/>
  <c r="J39" i="1"/>
  <c r="E64" i="1"/>
  <c r="N54" i="1"/>
  <c r="W58" i="1"/>
  <c r="P51" i="1"/>
  <c r="P213" i="1" s="1"/>
  <c r="P39" i="1"/>
  <c r="J43" i="1"/>
  <c r="R34" i="1"/>
  <c r="P179" i="1"/>
  <c r="T51" i="1"/>
  <c r="T213" i="1" s="1"/>
  <c r="JA7" i="4" s="1"/>
  <c r="AL39" i="1"/>
  <c r="L27" i="1"/>
  <c r="L250" i="1" s="1"/>
  <c r="D51" i="1"/>
  <c r="D213" i="1" s="1"/>
  <c r="L40" i="1"/>
  <c r="S44" i="1"/>
  <c r="C70" i="1"/>
  <c r="C42" i="1"/>
  <c r="N70" i="1"/>
  <c r="T42" i="1"/>
  <c r="IY16" i="4" s="1"/>
  <c r="BJ40" i="1"/>
  <c r="U40" i="1"/>
  <c r="B28" i="1"/>
  <c r="C43" i="1"/>
  <c r="R28" i="1"/>
  <c r="G28" i="1"/>
  <c r="V66" i="1"/>
  <c r="C34" i="1"/>
  <c r="P34" i="1"/>
  <c r="T44" i="1"/>
  <c r="I65" i="1"/>
  <c r="T54" i="1"/>
  <c r="C143" i="1"/>
  <c r="T27" i="1"/>
  <c r="T250" i="1" s="1"/>
  <c r="BX159" i="1"/>
  <c r="BY159" i="1" s="1"/>
  <c r="BZ221" i="1" s="1"/>
  <c r="BX154" i="1"/>
  <c r="BY154" i="1" s="1"/>
  <c r="K58" i="1"/>
  <c r="B64" i="1"/>
  <c r="H64" i="1"/>
  <c r="Q44" i="1"/>
  <c r="G66" i="1"/>
  <c r="H51" i="1"/>
  <c r="H213" i="1" s="1"/>
  <c r="S55" i="1"/>
  <c r="K39" i="1"/>
  <c r="D32" i="1"/>
  <c r="W55" i="1"/>
  <c r="W271" i="1" s="1"/>
  <c r="R58" i="1"/>
  <c r="V44" i="1"/>
  <c r="K70" i="1"/>
  <c r="F28" i="1"/>
  <c r="W70" i="1"/>
  <c r="H27" i="1"/>
  <c r="R44" i="1"/>
  <c r="I70" i="1"/>
  <c r="M58" i="1"/>
  <c r="L65" i="1"/>
  <c r="K28" i="1"/>
  <c r="K66" i="1"/>
  <c r="AM39" i="1"/>
  <c r="AJ70" i="1"/>
  <c r="AK40" i="1"/>
  <c r="E58" i="1"/>
  <c r="BX144" i="1"/>
  <c r="BY144" i="1" s="1"/>
  <c r="S54" i="1"/>
  <c r="P42" i="1"/>
  <c r="J55" i="1"/>
  <c r="P32" i="1"/>
  <c r="K43" i="1"/>
  <c r="C27" i="1"/>
  <c r="C250" i="1" s="1"/>
  <c r="HR7" i="4" s="1"/>
  <c r="AJ65" i="1"/>
  <c r="AJ43" i="1"/>
  <c r="AK66" i="1"/>
  <c r="BX183" i="1"/>
  <c r="BY183" i="1" s="1"/>
  <c r="S32" i="1"/>
  <c r="D54" i="1"/>
  <c r="O64" i="1"/>
  <c r="V34" i="1"/>
  <c r="P146" i="1"/>
  <c r="M32" i="1"/>
  <c r="W41" i="1"/>
  <c r="AM41" i="1"/>
  <c r="AL55" i="1"/>
  <c r="BX64" i="1"/>
  <c r="P172" i="1"/>
  <c r="BX178" i="1"/>
  <c r="D40" i="1"/>
  <c r="L28" i="1"/>
  <c r="S66" i="1"/>
  <c r="Q43" i="1"/>
  <c r="S42" i="1"/>
  <c r="N41" i="1"/>
  <c r="U70" i="1"/>
  <c r="T41" i="1"/>
  <c r="BX44" i="1"/>
  <c r="AK54" i="1"/>
  <c r="U41" i="1"/>
  <c r="BX151" i="1"/>
  <c r="L64" i="1"/>
  <c r="F51" i="1"/>
  <c r="F213" i="1" s="1"/>
  <c r="F64" i="1"/>
  <c r="C28" i="1"/>
  <c r="Q66" i="1"/>
  <c r="N40" i="1"/>
  <c r="H39" i="1"/>
  <c r="AM43" i="1"/>
  <c r="BJ43" i="1"/>
  <c r="J42" i="1"/>
  <c r="Q41" i="1"/>
  <c r="BX141" i="1"/>
  <c r="BY141" i="1" s="1"/>
  <c r="E66" i="1"/>
  <c r="L43" i="1"/>
  <c r="F70" i="1"/>
  <c r="J28" i="1"/>
  <c r="U54" i="1"/>
  <c r="C66" i="1"/>
  <c r="D41" i="1"/>
  <c r="B27" i="1"/>
  <c r="N64" i="1"/>
  <c r="HU9" i="4" s="1"/>
  <c r="BX34" i="1"/>
  <c r="AJ39" i="1"/>
  <c r="BX171" i="1"/>
  <c r="BY171" i="1" s="1"/>
  <c r="D44" i="1"/>
  <c r="H28" i="1"/>
  <c r="T70" i="1"/>
  <c r="V43" i="1"/>
  <c r="D65" i="1"/>
  <c r="AJ55" i="1"/>
  <c r="BJ42" i="1"/>
  <c r="BX163" i="1"/>
  <c r="B32" i="1"/>
  <c r="J41" i="1"/>
  <c r="O44" i="1"/>
  <c r="D42" i="1"/>
  <c r="R43" i="1"/>
  <c r="F66" i="1"/>
  <c r="T39" i="1"/>
  <c r="P41" i="1"/>
  <c r="U66" i="1"/>
  <c r="BX66" i="1"/>
  <c r="BX40" i="1"/>
  <c r="AJ64" i="1"/>
  <c r="AL40" i="1"/>
  <c r="I58" i="1"/>
  <c r="BX169" i="1"/>
  <c r="BY169" i="1" s="1"/>
  <c r="I39" i="1"/>
  <c r="BX146" i="1"/>
  <c r="BY146" i="1" s="1"/>
  <c r="L66" i="1"/>
  <c r="S51" i="1"/>
  <c r="S213" i="1" s="1"/>
  <c r="I27" i="1"/>
  <c r="I250" i="1" s="1"/>
  <c r="U65" i="1"/>
  <c r="W39" i="1"/>
  <c r="C58" i="1"/>
  <c r="BX168" i="1"/>
  <c r="BY168" i="1" s="1"/>
  <c r="D27" i="1"/>
  <c r="D250" i="1" s="1"/>
  <c r="E34" i="1"/>
  <c r="E28" i="1"/>
  <c r="L51" i="1"/>
  <c r="L213" i="1" s="1"/>
  <c r="G41" i="1"/>
  <c r="Q34" i="1"/>
  <c r="Q70" i="1"/>
  <c r="R64" i="1"/>
  <c r="BX162" i="1"/>
  <c r="BY162" i="1" s="1"/>
  <c r="M43" i="1"/>
  <c r="BL93" i="1"/>
  <c r="P55" i="1"/>
  <c r="O32" i="1"/>
  <c r="J70" i="1"/>
  <c r="N44" i="1"/>
  <c r="P40" i="1"/>
  <c r="H44" i="1"/>
  <c r="AM51" i="1"/>
  <c r="AM213" i="1" s="1"/>
  <c r="AL42" i="1"/>
  <c r="E44" i="1"/>
  <c r="Q58" i="1"/>
  <c r="R66" i="1"/>
  <c r="M34" i="1"/>
  <c r="M54" i="1"/>
  <c r="H65" i="1"/>
  <c r="D70" i="1"/>
  <c r="U39" i="1"/>
  <c r="M55" i="1"/>
  <c r="I51" i="1"/>
  <c r="I213" i="1" s="1"/>
  <c r="V55" i="1"/>
  <c r="V271" i="1" s="1"/>
  <c r="AL70" i="1"/>
  <c r="M64" i="1"/>
  <c r="V65" i="1"/>
  <c r="B40" i="1"/>
  <c r="IB9" i="4" s="1"/>
  <c r="BX42" i="1"/>
  <c r="B54" i="1"/>
  <c r="O27" i="1"/>
  <c r="O250" i="1" s="1"/>
  <c r="IT16" i="4" s="1"/>
  <c r="AJ51" i="1"/>
  <c r="AJ213" i="1" s="1"/>
  <c r="BX55" i="1"/>
  <c r="U55" i="1"/>
  <c r="U271" i="1" s="1"/>
  <c r="C40" i="1"/>
  <c r="AJ27" i="1"/>
  <c r="AJ250" i="1" s="1"/>
  <c r="W66" i="1"/>
  <c r="K27" i="1"/>
  <c r="K250" i="1" s="1"/>
  <c r="G32" i="1"/>
  <c r="G51" i="1"/>
  <c r="G213" i="1" s="1"/>
  <c r="T43" i="1"/>
  <c r="R42" i="1"/>
  <c r="M39" i="1"/>
  <c r="H41" i="1"/>
  <c r="T32" i="1"/>
  <c r="E27" i="1"/>
  <c r="E250" i="1" s="1"/>
  <c r="F40" i="1"/>
  <c r="S70" i="1"/>
  <c r="JD16" i="4" s="1"/>
  <c r="BX32" i="1"/>
  <c r="AM54" i="1"/>
  <c r="AL33" i="1"/>
  <c r="BJ32" i="1"/>
  <c r="M42" i="1"/>
  <c r="G65" i="1"/>
  <c r="J44" i="1"/>
  <c r="M51" i="1"/>
  <c r="M213" i="1" s="1"/>
  <c r="N28" i="1"/>
  <c r="E43" i="1"/>
  <c r="G70" i="1"/>
  <c r="H55" i="1"/>
  <c r="S41" i="1"/>
  <c r="U44" i="1"/>
  <c r="M41" i="1"/>
  <c r="Q54" i="1"/>
  <c r="N42" i="1"/>
  <c r="O28" i="1"/>
  <c r="P27" i="1"/>
  <c r="C39" i="1"/>
  <c r="T65" i="1"/>
  <c r="U32" i="1"/>
  <c r="D34" i="1"/>
  <c r="H40" i="1"/>
  <c r="R41" i="1"/>
  <c r="K41" i="1"/>
  <c r="V70" i="1"/>
  <c r="T58" i="1"/>
  <c r="W32" i="1"/>
  <c r="T66" i="1"/>
  <c r="ID16" i="4" s="1"/>
  <c r="AJ33" i="1"/>
  <c r="F44" i="1"/>
  <c r="E39" i="1"/>
  <c r="V28" i="1"/>
  <c r="V29" i="1" s="1"/>
  <c r="V117" i="1" s="1"/>
  <c r="U43" i="1"/>
  <c r="H58" i="1"/>
  <c r="F58" i="1"/>
  <c r="M40" i="1"/>
  <c r="V64" i="1"/>
  <c r="G182" i="1"/>
  <c r="O42" i="1"/>
  <c r="F41" i="1"/>
  <c r="W28" i="1"/>
  <c r="W29" i="1" s="1"/>
  <c r="X207" i="1" s="1"/>
  <c r="IN9" i="4" s="1"/>
  <c r="AJ34" i="1"/>
  <c r="AK44" i="1"/>
  <c r="O34" i="1"/>
  <c r="P64" i="1"/>
  <c r="L42" i="1"/>
  <c r="O58" i="1"/>
  <c r="S43" i="1"/>
  <c r="T28" i="1"/>
  <c r="G43" i="1"/>
  <c r="E40" i="1"/>
  <c r="M44" i="1"/>
  <c r="Q172" i="1"/>
  <c r="U34" i="1"/>
  <c r="R70" i="1"/>
  <c r="AJ42" i="1"/>
  <c r="E42" i="1"/>
  <c r="S64" i="1"/>
  <c r="BX136" i="1"/>
  <c r="BY136" i="1" s="1"/>
  <c r="E65" i="1"/>
  <c r="W42" i="1"/>
  <c r="E32" i="1"/>
  <c r="J34" i="1"/>
  <c r="O51" i="1"/>
  <c r="O213" i="1" s="1"/>
  <c r="R51" i="1"/>
  <c r="R213" i="1" s="1"/>
  <c r="BX166" i="1"/>
  <c r="BY166" i="1" s="1"/>
  <c r="L54" i="1"/>
  <c r="P54" i="1"/>
  <c r="W44" i="1"/>
  <c r="D58" i="1"/>
  <c r="V54" i="1"/>
  <c r="L41" i="1"/>
  <c r="Q55" i="1"/>
  <c r="F42" i="1"/>
  <c r="BX138" i="1"/>
  <c r="BY138" i="1" s="1"/>
  <c r="BX152" i="1"/>
  <c r="C51" i="1"/>
  <c r="C213" i="1" s="1"/>
  <c r="L70" i="1"/>
  <c r="C54" i="1"/>
  <c r="B51" i="1"/>
  <c r="P70" i="1"/>
  <c r="N43" i="1"/>
  <c r="AM58" i="1"/>
  <c r="AK32" i="1"/>
  <c r="AK34" i="1"/>
  <c r="D43" i="1"/>
  <c r="R39" i="1"/>
  <c r="I66" i="1"/>
  <c r="B66" i="1"/>
  <c r="O66" i="1"/>
  <c r="R54" i="1"/>
  <c r="H34" i="1"/>
  <c r="M66" i="1"/>
  <c r="JG14" i="4"/>
  <c r="CM51" i="1"/>
  <c r="AB96" i="1"/>
  <c r="CQ96" i="1"/>
  <c r="AC159" i="1"/>
  <c r="CN84" i="1"/>
  <c r="CO82" i="1"/>
  <c r="AL199" i="1" l="1"/>
  <c r="AM199" i="1" s="1"/>
  <c r="AL202" i="1"/>
  <c r="AM202" i="1" s="1"/>
  <c r="AL198" i="1"/>
  <c r="AM198" i="1" s="1"/>
  <c r="BJ153" i="1"/>
  <c r="AJ163" i="1"/>
  <c r="AJ161" i="1"/>
  <c r="AK161" i="1" s="1"/>
  <c r="AJ170" i="1"/>
  <c r="AK170" i="1" s="1"/>
  <c r="AJ164" i="1"/>
  <c r="AJ151" i="1"/>
  <c r="AJ169" i="1"/>
  <c r="AK169" i="1" s="1"/>
  <c r="AJ166" i="1"/>
  <c r="AK166" i="1" s="1"/>
  <c r="AJ143" i="1"/>
  <c r="AK143" i="1" s="1"/>
  <c r="AJ146" i="1"/>
  <c r="AK146" i="1" s="1"/>
  <c r="AJ183" i="1"/>
  <c r="AJ178" i="1"/>
  <c r="AJ172" i="1"/>
  <c r="AJ171" i="1"/>
  <c r="AK171" i="1" s="1"/>
  <c r="AJ136" i="1"/>
  <c r="AK136" i="1" s="1"/>
  <c r="IW16" i="4" s="1"/>
  <c r="JE16" i="4" s="1"/>
  <c r="IN20" i="4"/>
  <c r="BH98" i="1" s="1"/>
  <c r="BH127" i="1" s="1"/>
  <c r="AJ162" i="1"/>
  <c r="AK162" i="1" s="1"/>
  <c r="JA21" i="4"/>
  <c r="BU96" i="1" s="1"/>
  <c r="JA19" i="4"/>
  <c r="BU97" i="1" s="1"/>
  <c r="BU126" i="1" s="1"/>
  <c r="IY21" i="4"/>
  <c r="BS96" i="1" s="1"/>
  <c r="IE9" i="4" s="1"/>
  <c r="IP16" i="4" s="1"/>
  <c r="BJ136" i="1"/>
  <c r="BK136" i="1" s="1"/>
  <c r="BJ164" i="1"/>
  <c r="BJ159" i="1"/>
  <c r="BJ169" i="1"/>
  <c r="BK169" i="1" s="1"/>
  <c r="BJ165" i="1"/>
  <c r="BK165" i="1" s="1"/>
  <c r="BJ178" i="1"/>
  <c r="BJ179" i="1"/>
  <c r="BJ180" i="1" s="1"/>
  <c r="BK228" i="1" s="1"/>
  <c r="HV21" i="4"/>
  <c r="AP96" i="1" s="1"/>
  <c r="HY16" i="4" s="1"/>
  <c r="IF21" i="4"/>
  <c r="AZ96" i="1" s="1"/>
  <c r="HR21" i="4"/>
  <c r="AL96" i="1" s="1"/>
  <c r="ID9" i="4" s="1"/>
  <c r="ID21" i="4" s="1"/>
  <c r="AX96" i="1" s="1"/>
  <c r="HP21" i="4"/>
  <c r="AJ96" i="1" s="1"/>
  <c r="IT21" i="4"/>
  <c r="BN96" i="1" s="1"/>
  <c r="HZ9" i="4" s="1"/>
  <c r="JD21" i="4"/>
  <c r="BX96" i="1" s="1"/>
  <c r="IM21" i="4"/>
  <c r="BG96" i="1" s="1"/>
  <c r="AL162" i="1"/>
  <c r="AM162" i="1" s="1"/>
  <c r="HT21" i="4"/>
  <c r="AN96" i="1" s="1"/>
  <c r="IJ9" i="4" s="1"/>
  <c r="HY14" i="4" s="1"/>
  <c r="IC8" i="4" s="1"/>
  <c r="G29" i="1"/>
  <c r="P202" i="1"/>
  <c r="IP9" i="4" s="1"/>
  <c r="BK159" i="1"/>
  <c r="BL221" i="1" s="1"/>
  <c r="BK221" i="1"/>
  <c r="AK183" i="1"/>
  <c r="AI215" i="1"/>
  <c r="AI217" i="1" s="1"/>
  <c r="IU15" i="4"/>
  <c r="IC15" i="4"/>
  <c r="JE7" i="4"/>
  <c r="JC8" i="4"/>
  <c r="IM8" i="4"/>
  <c r="IM20" i="4" s="1"/>
  <c r="BG98" i="1" s="1"/>
  <c r="BG127" i="1" s="1"/>
  <c r="Q271" i="1"/>
  <c r="AL250" i="1"/>
  <c r="AL272" i="1"/>
  <c r="IY8" i="4"/>
  <c r="JC20" i="4"/>
  <c r="BW98" i="1" s="1"/>
  <c r="BW127" i="1" s="1"/>
  <c r="BX202" i="1"/>
  <c r="BY202" i="1" s="1"/>
  <c r="II7" i="4"/>
  <c r="II19" i="4" s="1"/>
  <c r="BC97" i="1" s="1"/>
  <c r="BC126" i="1" s="1"/>
  <c r="IW21" i="4"/>
  <c r="BQ96" i="1" s="1"/>
  <c r="HZ15" i="4"/>
  <c r="ID15" i="4"/>
  <c r="IA14" i="4"/>
  <c r="HT14" i="4"/>
  <c r="IB14" i="4"/>
  <c r="IR7" i="4"/>
  <c r="C271" i="1"/>
  <c r="HU15" i="4"/>
  <c r="IJ7" i="4"/>
  <c r="HR14" i="4"/>
  <c r="HR19" i="4" s="1"/>
  <c r="AL97" i="1" s="1"/>
  <c r="IV15" i="4"/>
  <c r="AL221" i="1"/>
  <c r="JG7" i="4"/>
  <c r="HU7" i="4"/>
  <c r="IU7" i="4"/>
  <c r="IP7" i="4"/>
  <c r="HS21" i="4"/>
  <c r="AM96" i="1" s="1"/>
  <c r="IU14" i="4"/>
  <c r="HX21" i="4"/>
  <c r="AR96" i="1" s="1"/>
  <c r="HW21" i="4"/>
  <c r="AQ96" i="1" s="1"/>
  <c r="JF14" i="4"/>
  <c r="IZ7" i="4"/>
  <c r="IZ19" i="4" s="1"/>
  <c r="BT97" i="1" s="1"/>
  <c r="BT126" i="1" s="1"/>
  <c r="ID14" i="4"/>
  <c r="IL15" i="4"/>
  <c r="IG14" i="4"/>
  <c r="JG8" i="4"/>
  <c r="JG20" i="4" s="1"/>
  <c r="CA98" i="1" s="1"/>
  <c r="CA115" i="1" s="1"/>
  <c r="IW15" i="4"/>
  <c r="IA15" i="4"/>
  <c r="IA20" i="4" s="1"/>
  <c r="AU98" i="1" s="1"/>
  <c r="AU127" i="1" s="1"/>
  <c r="JB15" i="4"/>
  <c r="IX14" i="4"/>
  <c r="HW20" i="4"/>
  <c r="AQ98" i="1" s="1"/>
  <c r="AQ127" i="1" s="1"/>
  <c r="IQ7" i="4"/>
  <c r="IO21" i="4"/>
  <c r="BI96" i="1" s="1"/>
  <c r="IJ21" i="4"/>
  <c r="BD96" i="1" s="1"/>
  <c r="AL29" i="1"/>
  <c r="IS7" i="4"/>
  <c r="IF7" i="4"/>
  <c r="B271" i="1"/>
  <c r="HU21" i="4"/>
  <c r="AO96" i="1" s="1"/>
  <c r="IU8" i="4"/>
  <c r="IU20" i="4" s="1"/>
  <c r="BO98" i="1" s="1"/>
  <c r="BO127" i="1" s="1"/>
  <c r="IH7" i="4"/>
  <c r="HZ8" i="4"/>
  <c r="HV7" i="4"/>
  <c r="IS15" i="4"/>
  <c r="JE14" i="4"/>
  <c r="JE19" i="4" s="1"/>
  <c r="BY97" i="1" s="1"/>
  <c r="IZ8" i="4"/>
  <c r="IZ20" i="4" s="1"/>
  <c r="BT98" i="1" s="1"/>
  <c r="BT127" i="1" s="1"/>
  <c r="HT20" i="4"/>
  <c r="AN98" i="1" s="1"/>
  <c r="AN127" i="1" s="1"/>
  <c r="H250" i="1"/>
  <c r="H29" i="1"/>
  <c r="AL153" i="1"/>
  <c r="BX199" i="1"/>
  <c r="BY199" i="1" s="1"/>
  <c r="B250" i="1"/>
  <c r="Q272" i="1"/>
  <c r="AJ221" i="1"/>
  <c r="D29" i="1"/>
  <c r="I271" i="1"/>
  <c r="R272" i="1"/>
  <c r="C29" i="1"/>
  <c r="O271" i="1"/>
  <c r="AK221" i="1"/>
  <c r="P250" i="1"/>
  <c r="AJ29" i="1"/>
  <c r="AJ35" i="1" s="1"/>
  <c r="AJ36" i="1" s="1"/>
  <c r="B29" i="1"/>
  <c r="B35" i="1" s="1"/>
  <c r="B36" i="1" s="1"/>
  <c r="N45" i="1"/>
  <c r="BX271" i="1"/>
  <c r="AJ56" i="1"/>
  <c r="AL271" i="1"/>
  <c r="AM45" i="1"/>
  <c r="S271" i="1"/>
  <c r="P45" i="1"/>
  <c r="G202" i="1"/>
  <c r="G271" i="1"/>
  <c r="P29" i="1"/>
  <c r="Q45" i="1"/>
  <c r="I29" i="1"/>
  <c r="Q29" i="1"/>
  <c r="Q117" i="1" s="1"/>
  <c r="AK45" i="1"/>
  <c r="BK147" i="1"/>
  <c r="BL225" i="1" s="1"/>
  <c r="T271" i="1"/>
  <c r="BX250" i="1"/>
  <c r="T29" i="1"/>
  <c r="U207" i="1" s="1"/>
  <c r="AL45" i="1"/>
  <c r="F29" i="1"/>
  <c r="AM271" i="1"/>
  <c r="K271" i="1"/>
  <c r="F271" i="1"/>
  <c r="C272" i="1"/>
  <c r="P272" i="1"/>
  <c r="BK168" i="1"/>
  <c r="W30" i="1"/>
  <c r="AK29" i="1"/>
  <c r="BX198" i="1"/>
  <c r="BY198" i="1" s="1"/>
  <c r="S272" i="1"/>
  <c r="V207" i="1"/>
  <c r="F272" i="1"/>
  <c r="BJ202" i="1"/>
  <c r="BK202" i="1" s="1"/>
  <c r="L45" i="1"/>
  <c r="E45" i="1"/>
  <c r="K45" i="1"/>
  <c r="M45" i="1"/>
  <c r="J45" i="1"/>
  <c r="BX45" i="1"/>
  <c r="BY147" i="1"/>
  <c r="BZ225" i="1" s="1"/>
  <c r="B45" i="1"/>
  <c r="V45" i="1"/>
  <c r="V46" i="1" s="1"/>
  <c r="U45" i="1"/>
  <c r="AJ45" i="1"/>
  <c r="I45" i="1"/>
  <c r="AJ139" i="1"/>
  <c r="AL180" i="1"/>
  <c r="AM228" i="1" s="1"/>
  <c r="BJ139" i="1"/>
  <c r="BJ111" i="1" s="1"/>
  <c r="X30" i="1"/>
  <c r="W207" i="1"/>
  <c r="BX29" i="1"/>
  <c r="Q202" i="1"/>
  <c r="R45" i="1"/>
  <c r="T45" i="1"/>
  <c r="BX180" i="1"/>
  <c r="BY228" i="1" s="1"/>
  <c r="W117" i="1"/>
  <c r="K29" i="1"/>
  <c r="K117" i="1" s="1"/>
  <c r="G45" i="1"/>
  <c r="V35" i="1"/>
  <c r="V36" i="1" s="1"/>
  <c r="L272" i="1"/>
  <c r="L29" i="1"/>
  <c r="L117" i="1" s="1"/>
  <c r="AJ52" i="1"/>
  <c r="I272" i="1"/>
  <c r="AK147" i="1"/>
  <c r="AJ180" i="1"/>
  <c r="AK228" i="1" s="1"/>
  <c r="BJ167" i="1"/>
  <c r="BJ201" i="1" s="1"/>
  <c r="BY139" i="1"/>
  <c r="U35" i="1"/>
  <c r="U36" i="1" s="1"/>
  <c r="W45" i="1"/>
  <c r="W46" i="1" s="1"/>
  <c r="D45" i="1"/>
  <c r="F45" i="1"/>
  <c r="JB7" i="4"/>
  <c r="S45" i="1"/>
  <c r="HQ14" i="4"/>
  <c r="HQ19" i="4" s="1"/>
  <c r="AK97" i="1" s="1"/>
  <c r="IE14" i="4"/>
  <c r="IE19" i="4" s="1"/>
  <c r="AY97" i="1" s="1"/>
  <c r="AY126" i="1" s="1"/>
  <c r="JG19" i="4"/>
  <c r="CA97" i="1" s="1"/>
  <c r="CA122" i="1" s="1"/>
  <c r="JA15" i="4"/>
  <c r="AJ153" i="1"/>
  <c r="AK52" i="1" s="1"/>
  <c r="AL175" i="1"/>
  <c r="AL204" i="1" s="1"/>
  <c r="AL203" i="1" s="1"/>
  <c r="R271" i="1"/>
  <c r="AM272" i="1"/>
  <c r="S29" i="1"/>
  <c r="S35" i="1" s="1"/>
  <c r="S36" i="1" s="1"/>
  <c r="BX139" i="1"/>
  <c r="BX111" i="1" s="1"/>
  <c r="B272" i="1"/>
  <c r="G272" i="1"/>
  <c r="D271" i="1"/>
  <c r="V213" i="1"/>
  <c r="E29" i="1"/>
  <c r="BX153" i="1"/>
  <c r="BY153" i="1" s="1"/>
  <c r="BY157" i="1" s="1"/>
  <c r="BZ222" i="1" s="1"/>
  <c r="BZ220" i="1" s="1"/>
  <c r="H45" i="1"/>
  <c r="C45" i="1"/>
  <c r="H271" i="1"/>
  <c r="P271" i="1"/>
  <c r="IG7" i="4"/>
  <c r="ID8" i="4"/>
  <c r="O45" i="1"/>
  <c r="AJ199" i="1"/>
  <c r="AK199" i="1" s="1"/>
  <c r="AM117" i="1"/>
  <c r="AM118" i="1" s="1"/>
  <c r="L271" i="1"/>
  <c r="H272" i="1"/>
  <c r="W213" i="1"/>
  <c r="AJ198" i="1"/>
  <c r="IA7" i="4"/>
  <c r="R29" i="1"/>
  <c r="IO15" i="4"/>
  <c r="IJ14" i="4"/>
  <c r="IJ19" i="4" s="1"/>
  <c r="BD97" i="1" s="1"/>
  <c r="BD126" i="1" s="1"/>
  <c r="JD14" i="4"/>
  <c r="JC14" i="4"/>
  <c r="IK15" i="4"/>
  <c r="HX14" i="4"/>
  <c r="W35" i="1"/>
  <c r="X37" i="1" s="1"/>
  <c r="AM147" i="1"/>
  <c r="IK19" i="4"/>
  <c r="BE97" i="1" s="1"/>
  <c r="BE126" i="1" s="1"/>
  <c r="JH8" i="4"/>
  <c r="IB8" i="4"/>
  <c r="IG8" i="4"/>
  <c r="JH7" i="4"/>
  <c r="IX21" i="4"/>
  <c r="BR96" i="1" s="1"/>
  <c r="IM7" i="4"/>
  <c r="IR8" i="4"/>
  <c r="AL147" i="1"/>
  <c r="AJ147" i="1"/>
  <c r="AJ225" i="1" s="1"/>
  <c r="BX175" i="1"/>
  <c r="BX204" i="1" s="1"/>
  <c r="N271" i="1"/>
  <c r="M29" i="1"/>
  <c r="M35" i="1" s="1"/>
  <c r="M36" i="1" s="1"/>
  <c r="O272" i="1"/>
  <c r="BX147" i="1"/>
  <c r="IR20" i="4"/>
  <c r="BL98" i="1" s="1"/>
  <c r="BL115" i="1" s="1"/>
  <c r="BJ198" i="1"/>
  <c r="BK198" i="1" s="1"/>
  <c r="M271" i="1"/>
  <c r="BX272" i="1"/>
  <c r="H35" i="1"/>
  <c r="H36" i="1" s="1"/>
  <c r="J271" i="1"/>
  <c r="HS14" i="4"/>
  <c r="HS19" i="4" s="1"/>
  <c r="AM97" i="1" s="1"/>
  <c r="AM126" i="1" s="1"/>
  <c r="IM14" i="4"/>
  <c r="IM19" i="4" s="1"/>
  <c r="BG97" i="1" s="1"/>
  <c r="BG126" i="1" s="1"/>
  <c r="HR8" i="4"/>
  <c r="IG15" i="4"/>
  <c r="U272" i="1"/>
  <c r="U213" i="1"/>
  <c r="JD8" i="4"/>
  <c r="HX15" i="4"/>
  <c r="AM250" i="1"/>
  <c r="AM29" i="1"/>
  <c r="AM35" i="1" s="1"/>
  <c r="AM36" i="1" s="1"/>
  <c r="IY7" i="4"/>
  <c r="HS8" i="4"/>
  <c r="IX15" i="4"/>
  <c r="IX20" i="4" s="1"/>
  <c r="BR98" i="1" s="1"/>
  <c r="BR127" i="1" s="1"/>
  <c r="IW7" i="4"/>
  <c r="IF14" i="4"/>
  <c r="IF19" i="4" s="1"/>
  <c r="AZ97" i="1" s="1"/>
  <c r="AZ126" i="1" s="1"/>
  <c r="IX7" i="4"/>
  <c r="IX19" i="4" s="1"/>
  <c r="BR97" i="1" s="1"/>
  <c r="BR126" i="1" s="1"/>
  <c r="IS8" i="4"/>
  <c r="IS20" i="4" s="1"/>
  <c r="BM98" i="1" s="1"/>
  <c r="BM127" i="1" s="1"/>
  <c r="JF7" i="4"/>
  <c r="IC7" i="4"/>
  <c r="IC19" i="4" s="1"/>
  <c r="AW97" i="1" s="1"/>
  <c r="AW126" i="1" s="1"/>
  <c r="HQ8" i="4"/>
  <c r="HZ7" i="4"/>
  <c r="IN7" i="4"/>
  <c r="IE15" i="4"/>
  <c r="HR15" i="4"/>
  <c r="JI15" i="4"/>
  <c r="JI20" i="4" s="1"/>
  <c r="CC98" i="1" s="1"/>
  <c r="CC127" i="1" s="1"/>
  <c r="HW7" i="4"/>
  <c r="IW8" i="4"/>
  <c r="IZ21" i="4"/>
  <c r="BT96" i="1" s="1"/>
  <c r="IW14" i="4"/>
  <c r="IV8" i="4"/>
  <c r="IV7" i="4"/>
  <c r="IF15" i="4"/>
  <c r="JF15" i="4"/>
  <c r="IP15" i="4"/>
  <c r="IP20" i="4" s="1"/>
  <c r="BJ98" i="1" s="1"/>
  <c r="BJ127" i="1" s="1"/>
  <c r="IH15" i="4"/>
  <c r="IL14" i="4"/>
  <c r="IG21" i="4"/>
  <c r="BA96" i="1" s="1"/>
  <c r="HZ14" i="4"/>
  <c r="BY221" i="1"/>
  <c r="AL139" i="1"/>
  <c r="AL111" i="1" s="1"/>
  <c r="BJ147" i="1"/>
  <c r="BX167" i="1"/>
  <c r="BX201" i="1" s="1"/>
  <c r="N272" i="1"/>
  <c r="D272" i="1"/>
  <c r="O29" i="1"/>
  <c r="O35" i="1" s="1"/>
  <c r="O36" i="1" s="1"/>
  <c r="IV14" i="4"/>
  <c r="IT14" i="4"/>
  <c r="IB7" i="4"/>
  <c r="IB19" i="4" s="1"/>
  <c r="AV97" i="1" s="1"/>
  <c r="AV126" i="1" s="1"/>
  <c r="HP8" i="4"/>
  <c r="HP20" i="4" s="1"/>
  <c r="AJ98" i="1" s="1"/>
  <c r="JH14" i="4"/>
  <c r="ID7" i="4"/>
  <c r="ID19" i="4" s="1"/>
  <c r="AX97" i="1" s="1"/>
  <c r="AX126" i="1" s="1"/>
  <c r="IF8" i="4"/>
  <c r="IO8" i="4"/>
  <c r="HS15" i="4"/>
  <c r="IT8" i="4"/>
  <c r="JD15" i="4"/>
  <c r="HV14" i="4"/>
  <c r="JE8" i="4"/>
  <c r="JE20" i="4" s="1"/>
  <c r="BY98" i="1" s="1"/>
  <c r="BY127" i="1" s="1"/>
  <c r="IR21" i="4"/>
  <c r="BL96" i="1" s="1"/>
  <c r="BL113" i="1" s="1"/>
  <c r="JI14" i="4"/>
  <c r="IB21" i="4"/>
  <c r="AV96" i="1" s="1"/>
  <c r="JA8" i="4"/>
  <c r="JB14" i="4"/>
  <c r="IK21" i="4"/>
  <c r="BE96" i="1" s="1"/>
  <c r="JD7" i="4"/>
  <c r="IQ8" i="4"/>
  <c r="JI7" i="4"/>
  <c r="JH15" i="4"/>
  <c r="HT7" i="4"/>
  <c r="HT19" i="4" s="1"/>
  <c r="AN97" i="1" s="1"/>
  <c r="AN126" i="1" s="1"/>
  <c r="IQ15" i="4"/>
  <c r="IQ20" i="4" s="1"/>
  <c r="BK98" i="1" s="1"/>
  <c r="BK127" i="1" s="1"/>
  <c r="IN14" i="4"/>
  <c r="IN19" i="4" s="1"/>
  <c r="BH97" i="1" s="1"/>
  <c r="BH126" i="1" s="1"/>
  <c r="IH8" i="4"/>
  <c r="IL7" i="4"/>
  <c r="IB15" i="4"/>
  <c r="JI21" i="4"/>
  <c r="CC96" i="1" s="1"/>
  <c r="IU21" i="4"/>
  <c r="BO96" i="1" s="1"/>
  <c r="HW14" i="4"/>
  <c r="HW19" i="4" s="1"/>
  <c r="AQ97" i="1" s="1"/>
  <c r="AQ126" i="1" s="1"/>
  <c r="JF8" i="4"/>
  <c r="K272" i="1"/>
  <c r="N29" i="1"/>
  <c r="N117" i="1" s="1"/>
  <c r="T272" i="1"/>
  <c r="M272" i="1"/>
  <c r="J272" i="1"/>
  <c r="J29" i="1"/>
  <c r="IN21" i="4"/>
  <c r="BH96" i="1" s="1"/>
  <c r="HY7" i="4"/>
  <c r="IP14" i="4"/>
  <c r="HU8" i="4"/>
  <c r="V30" i="1"/>
  <c r="IQ14" i="4"/>
  <c r="IJ8" i="4"/>
  <c r="IJ20" i="4" s="1"/>
  <c r="BD98" i="1" s="1"/>
  <c r="BD127" i="1" s="1"/>
  <c r="IT15" i="4"/>
  <c r="IE21" i="4"/>
  <c r="AY96" i="1" s="1"/>
  <c r="IH14" i="4"/>
  <c r="IK8" i="4"/>
  <c r="II15" i="4"/>
  <c r="JB8" i="4"/>
  <c r="IQ21" i="4"/>
  <c r="BK96" i="1" s="1"/>
  <c r="HP14" i="4"/>
  <c r="IT7" i="4"/>
  <c r="IL8" i="4"/>
  <c r="HY8" i="4"/>
  <c r="IL21" i="4"/>
  <c r="BF96" i="1" s="1"/>
  <c r="HX8" i="4"/>
  <c r="HQ15" i="4"/>
  <c r="HV8" i="4"/>
  <c r="HX7" i="4"/>
  <c r="IY14" i="4"/>
  <c r="HP7" i="4"/>
  <c r="IR14" i="4"/>
  <c r="IS14" i="4"/>
  <c r="JG21" i="4"/>
  <c r="CA96" i="1" s="1"/>
  <c r="IE8" i="4"/>
  <c r="HQ21" i="4"/>
  <c r="AK96" i="1" s="1"/>
  <c r="HV15" i="4"/>
  <c r="HV20" i="4" s="1"/>
  <c r="AP98" i="1" s="1"/>
  <c r="AP127" i="1" s="1"/>
  <c r="HY15" i="4"/>
  <c r="HY20" i="4" s="1"/>
  <c r="AS98" i="1" s="1"/>
  <c r="AS127" i="1" s="1"/>
  <c r="JC7" i="4"/>
  <c r="IK7" i="4"/>
  <c r="II8" i="4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M123" i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BK153" i="1"/>
  <c r="BJ157" i="1"/>
  <c r="CM213" i="1"/>
  <c r="CM151" i="1"/>
  <c r="CM153" i="1" s="1"/>
  <c r="CM157" i="1" s="1"/>
  <c r="CM222" i="1" s="1"/>
  <c r="CM220" i="1" s="1"/>
  <c r="CR96" i="1"/>
  <c r="AC221" i="1"/>
  <c r="AB168" i="1"/>
  <c r="AB136" i="1"/>
  <c r="CO84" i="1"/>
  <c r="CP82" i="1"/>
  <c r="AB82" i="1" s="1"/>
  <c r="AA82" i="1" s="1"/>
  <c r="AA84" i="1" s="1"/>
  <c r="IP21" i="4" l="1"/>
  <c r="BJ96" i="1" s="1"/>
  <c r="BX113" i="1"/>
  <c r="AM121" i="1"/>
  <c r="JF19" i="4"/>
  <c r="BZ97" i="1" s="1"/>
  <c r="BZ114" i="1" s="1"/>
  <c r="BJ175" i="1"/>
  <c r="AJ175" i="1"/>
  <c r="AJ204" i="1" s="1"/>
  <c r="AJ167" i="1"/>
  <c r="AJ202" i="1"/>
  <c r="AA85" i="1"/>
  <c r="AA111" i="1"/>
  <c r="AA118" i="1"/>
  <c r="AA126" i="1"/>
  <c r="AA129" i="1" s="1"/>
  <c r="AA132" i="1" s="1"/>
  <c r="AA127" i="1"/>
  <c r="AA130" i="1" s="1"/>
  <c r="AA133" i="1" s="1"/>
  <c r="IC20" i="4"/>
  <c r="AW98" i="1" s="1"/>
  <c r="AW127" i="1" s="1"/>
  <c r="IY20" i="4"/>
  <c r="BS98" i="1" s="1"/>
  <c r="BS127" i="1" s="1"/>
  <c r="I207" i="1"/>
  <c r="C46" i="1"/>
  <c r="JH19" i="4"/>
  <c r="CB97" i="1" s="1"/>
  <c r="CB122" i="1" s="1"/>
  <c r="JD20" i="4"/>
  <c r="BX98" i="1" s="1"/>
  <c r="BX127" i="1" s="1"/>
  <c r="JE21" i="4"/>
  <c r="BY96" i="1" s="1"/>
  <c r="HU19" i="4"/>
  <c r="AO97" i="1" s="1"/>
  <c r="AO126" i="1" s="1"/>
  <c r="D46" i="1"/>
  <c r="R207" i="1"/>
  <c r="IU19" i="4"/>
  <c r="BO97" i="1" s="1"/>
  <c r="BO126" i="1" s="1"/>
  <c r="IW20" i="4"/>
  <c r="BQ98" i="1" s="1"/>
  <c r="BQ127" i="1" s="1"/>
  <c r="HZ21" i="4"/>
  <c r="AT96" i="1" s="1"/>
  <c r="AL167" i="1"/>
  <c r="AL201" i="1" s="1"/>
  <c r="AJ215" i="1"/>
  <c r="BJ199" i="1"/>
  <c r="BK199" i="1" s="1"/>
  <c r="HY21" i="4"/>
  <c r="AS96" i="1" s="1"/>
  <c r="JB9" i="4" s="1"/>
  <c r="JB21" i="4" s="1"/>
  <c r="BV96" i="1" s="1"/>
  <c r="JF9" i="4"/>
  <c r="BJ204" i="1"/>
  <c r="C35" i="1"/>
  <c r="C36" i="1" s="1"/>
  <c r="HZ19" i="4"/>
  <c r="AT97" i="1" s="1"/>
  <c r="AT126" i="1" s="1"/>
  <c r="IV19" i="4"/>
  <c r="BP97" i="1" s="1"/>
  <c r="BP126" i="1" s="1"/>
  <c r="HY19" i="4"/>
  <c r="AS97" i="1" s="1"/>
  <c r="AS126" i="1" s="1"/>
  <c r="IP19" i="4"/>
  <c r="BJ97" i="1" s="1"/>
  <c r="BJ126" i="1" s="1"/>
  <c r="HU20" i="4"/>
  <c r="AO98" i="1" s="1"/>
  <c r="AO127" i="1" s="1"/>
  <c r="IQ19" i="4"/>
  <c r="BK97" i="1" s="1"/>
  <c r="BK126" i="1" s="1"/>
  <c r="IH19" i="4"/>
  <c r="BB97" i="1" s="1"/>
  <c r="BB126" i="1" s="1"/>
  <c r="IV20" i="4"/>
  <c r="BP98" i="1" s="1"/>
  <c r="BP127" i="1" s="1"/>
  <c r="AL46" i="1"/>
  <c r="AL35" i="1"/>
  <c r="AL36" i="1" s="1"/>
  <c r="G35" i="1"/>
  <c r="G36" i="1" s="1"/>
  <c r="G117" i="1"/>
  <c r="CA127" i="1"/>
  <c r="CA123" i="1"/>
  <c r="AL126" i="1"/>
  <c r="AB84" i="1"/>
  <c r="IO20" i="4"/>
  <c r="BI98" i="1" s="1"/>
  <c r="BI127" i="1" s="1"/>
  <c r="IK20" i="4"/>
  <c r="BE98" i="1" s="1"/>
  <c r="BE127" i="1" s="1"/>
  <c r="JB20" i="4"/>
  <c r="BV98" i="1" s="1"/>
  <c r="BV127" i="1" s="1"/>
  <c r="IL20" i="4"/>
  <c r="BF98" i="1" s="1"/>
  <c r="BF127" i="1" s="1"/>
  <c r="AK46" i="1"/>
  <c r="HV19" i="4"/>
  <c r="AP97" i="1" s="1"/>
  <c r="AP126" i="1" s="1"/>
  <c r="HZ20" i="4"/>
  <c r="AT98" i="1" s="1"/>
  <c r="AT127" i="1" s="1"/>
  <c r="ID20" i="4"/>
  <c r="AX98" i="1" s="1"/>
  <c r="AX127" i="1" s="1"/>
  <c r="IA19" i="4"/>
  <c r="AU97" i="1" s="1"/>
  <c r="AU126" i="1" s="1"/>
  <c r="IG19" i="4"/>
  <c r="BA97" i="1" s="1"/>
  <c r="BA126" i="1" s="1"/>
  <c r="D207" i="1"/>
  <c r="HR20" i="4"/>
  <c r="AL98" i="1" s="1"/>
  <c r="IW19" i="4"/>
  <c r="BQ97" i="1" s="1"/>
  <c r="BQ126" i="1" s="1"/>
  <c r="IF20" i="4"/>
  <c r="AZ98" i="1" s="1"/>
  <c r="AZ127" i="1" s="1"/>
  <c r="IT19" i="4"/>
  <c r="BN97" i="1" s="1"/>
  <c r="BN126" i="1" s="1"/>
  <c r="JB19" i="4"/>
  <c r="BV97" i="1" s="1"/>
  <c r="BV126" i="1" s="1"/>
  <c r="JD19" i="4"/>
  <c r="BX97" i="1" s="1"/>
  <c r="JH20" i="4"/>
  <c r="CB98" i="1" s="1"/>
  <c r="IB20" i="4"/>
  <c r="AV98" i="1" s="1"/>
  <c r="AV127" i="1" s="1"/>
  <c r="HQ20" i="4"/>
  <c r="AK98" i="1" s="1"/>
  <c r="HX19" i="4"/>
  <c r="AR97" i="1" s="1"/>
  <c r="AR126" i="1" s="1"/>
  <c r="IY19" i="4"/>
  <c r="BS97" i="1" s="1"/>
  <c r="BS126" i="1" s="1"/>
  <c r="IR19" i="4"/>
  <c r="BL97" i="1" s="1"/>
  <c r="IS19" i="4"/>
  <c r="BM97" i="1" s="1"/>
  <c r="BM126" i="1" s="1"/>
  <c r="BY126" i="1"/>
  <c r="BY108" i="1"/>
  <c r="H117" i="1"/>
  <c r="H207" i="1"/>
  <c r="H30" i="1"/>
  <c r="AM153" i="1"/>
  <c r="AM157" i="1" s="1"/>
  <c r="AM52" i="1"/>
  <c r="AL157" i="1"/>
  <c r="D35" i="1"/>
  <c r="D36" i="1" s="1"/>
  <c r="D30" i="1"/>
  <c r="G30" i="1"/>
  <c r="G207" i="1"/>
  <c r="AK35" i="1"/>
  <c r="AL31" i="1"/>
  <c r="BX17" i="1"/>
  <c r="BX35" i="1"/>
  <c r="BX36" i="1" s="1"/>
  <c r="CA244" i="1"/>
  <c r="E117" i="1"/>
  <c r="E30" i="1"/>
  <c r="C30" i="1"/>
  <c r="AM244" i="1"/>
  <c r="T35" i="1"/>
  <c r="T36" i="1" s="1"/>
  <c r="L207" i="1"/>
  <c r="AM268" i="1"/>
  <c r="L35" i="1"/>
  <c r="L36" i="1" s="1"/>
  <c r="AM47" i="1"/>
  <c r="AM251" i="1" s="1"/>
  <c r="BL268" i="1"/>
  <c r="Q35" i="1"/>
  <c r="Q36" i="1" s="1"/>
  <c r="CC207" i="1"/>
  <c r="C207" i="1"/>
  <c r="CC115" i="1"/>
  <c r="AK31" i="1"/>
  <c r="B47" i="1"/>
  <c r="B48" i="1" s="1"/>
  <c r="BX205" i="1"/>
  <c r="CB208" i="1" s="1"/>
  <c r="Q207" i="1"/>
  <c r="CB30" i="1"/>
  <c r="BX46" i="1"/>
  <c r="M117" i="1"/>
  <c r="Q30" i="1"/>
  <c r="K35" i="1"/>
  <c r="K36" i="1" s="1"/>
  <c r="AJ46" i="1"/>
  <c r="T117" i="1"/>
  <c r="I30" i="1"/>
  <c r="F30" i="1"/>
  <c r="P117" i="1"/>
  <c r="CA126" i="1"/>
  <c r="W37" i="1"/>
  <c r="U30" i="1"/>
  <c r="CA114" i="1"/>
  <c r="F35" i="1"/>
  <c r="F36" i="1" s="1"/>
  <c r="P35" i="1"/>
  <c r="P36" i="1" s="1"/>
  <c r="F117" i="1"/>
  <c r="W47" i="1"/>
  <c r="W251" i="1" s="1"/>
  <c r="W252" i="1" s="1"/>
  <c r="I35" i="1"/>
  <c r="I37" i="1" s="1"/>
  <c r="I117" i="1"/>
  <c r="J207" i="1"/>
  <c r="S207" i="1"/>
  <c r="R30" i="1"/>
  <c r="BX200" i="1"/>
  <c r="CC123" i="1"/>
  <c r="AL268" i="1"/>
  <c r="AL225" i="1"/>
  <c r="BJ265" i="1"/>
  <c r="BX203" i="1"/>
  <c r="T30" i="1"/>
  <c r="BX267" i="1"/>
  <c r="BZ268" i="1"/>
  <c r="BZ270" i="1" s="1"/>
  <c r="BX157" i="1"/>
  <c r="BX265" i="1" s="1"/>
  <c r="T207" i="1"/>
  <c r="E35" i="1"/>
  <c r="E36" i="1" s="1"/>
  <c r="AJ148" i="1"/>
  <c r="BZ108" i="1"/>
  <c r="AK153" i="1"/>
  <c r="AK157" i="1" s="1"/>
  <c r="BJ267" i="1"/>
  <c r="E207" i="1"/>
  <c r="W36" i="1"/>
  <c r="V47" i="1"/>
  <c r="V53" i="1" s="1"/>
  <c r="V57" i="1" s="1"/>
  <c r="V59" i="1" s="1"/>
  <c r="L30" i="1"/>
  <c r="O207" i="1"/>
  <c r="BZ52" i="1"/>
  <c r="E46" i="1"/>
  <c r="AL267" i="1"/>
  <c r="AL187" i="1"/>
  <c r="AL128" i="1" s="1"/>
  <c r="O30" i="1"/>
  <c r="CC106" i="1"/>
  <c r="N35" i="1"/>
  <c r="O37" i="1" s="1"/>
  <c r="B46" i="1"/>
  <c r="V37" i="1"/>
  <c r="BJ148" i="1"/>
  <c r="BX187" i="1"/>
  <c r="BY56" i="1" s="1"/>
  <c r="BY226" i="1"/>
  <c r="BX176" i="1"/>
  <c r="AM31" i="1"/>
  <c r="F207" i="1"/>
  <c r="BY31" i="1"/>
  <c r="AJ157" i="1"/>
  <c r="AJ222" i="1" s="1"/>
  <c r="AJ220" i="1" s="1"/>
  <c r="BY148" i="1"/>
  <c r="BY52" i="1"/>
  <c r="BK225" i="1"/>
  <c r="BK268" i="1"/>
  <c r="BY268" i="1"/>
  <c r="BY111" i="1"/>
  <c r="BY114" i="1" s="1"/>
  <c r="AM225" i="1"/>
  <c r="BZ226" i="1"/>
  <c r="BZ224" i="1" s="1"/>
  <c r="BY225" i="1"/>
  <c r="R117" i="1"/>
  <c r="R35" i="1"/>
  <c r="BJ187" i="1"/>
  <c r="BJ128" i="1" s="1"/>
  <c r="AJ187" i="1"/>
  <c r="AK56" i="1" s="1"/>
  <c r="AK225" i="1"/>
  <c r="S30" i="1"/>
  <c r="O117" i="1"/>
  <c r="BX148" i="1"/>
  <c r="P30" i="1"/>
  <c r="AJ47" i="1"/>
  <c r="AJ48" i="1" s="1"/>
  <c r="S117" i="1"/>
  <c r="J117" i="1"/>
  <c r="K207" i="1"/>
  <c r="JC19" i="4"/>
  <c r="BW97" i="1" s="1"/>
  <c r="BW126" i="1" s="1"/>
  <c r="JA20" i="4"/>
  <c r="BU98" i="1" s="1"/>
  <c r="BU127" i="1" s="1"/>
  <c r="AM122" i="1"/>
  <c r="P207" i="1"/>
  <c r="K30" i="1"/>
  <c r="AL148" i="1"/>
  <c r="M207" i="1"/>
  <c r="J35" i="1"/>
  <c r="J36" i="1" s="1"/>
  <c r="J30" i="1"/>
  <c r="CA113" i="1"/>
  <c r="CA121" i="1"/>
  <c r="II20" i="4"/>
  <c r="BC98" i="1" s="1"/>
  <c r="BC127" i="1" s="1"/>
  <c r="IT20" i="4"/>
  <c r="BN98" i="1" s="1"/>
  <c r="BN127" i="1" s="1"/>
  <c r="HS20" i="4"/>
  <c r="AM98" i="1" s="1"/>
  <c r="JF20" i="4"/>
  <c r="BZ98" i="1" s="1"/>
  <c r="IE20" i="4"/>
  <c r="AY98" i="1" s="1"/>
  <c r="AY127" i="1" s="1"/>
  <c r="HX20" i="4"/>
  <c r="AR98" i="1" s="1"/>
  <c r="AR127" i="1" s="1"/>
  <c r="IG20" i="4"/>
  <c r="BA98" i="1" s="1"/>
  <c r="BA127" i="1" s="1"/>
  <c r="N207" i="1"/>
  <c r="HP19" i="4"/>
  <c r="AJ97" i="1" s="1"/>
  <c r="CC104" i="1"/>
  <c r="CC121" i="1"/>
  <c r="CC113" i="1"/>
  <c r="IL19" i="4"/>
  <c r="BF97" i="1" s="1"/>
  <c r="BF126" i="1" s="1"/>
  <c r="M30" i="1"/>
  <c r="N30" i="1"/>
  <c r="BL127" i="1"/>
  <c r="BL130" i="1" s="1"/>
  <c r="JI19" i="4"/>
  <c r="CC97" i="1" s="1"/>
  <c r="IH20" i="4"/>
  <c r="BB98" i="1" s="1"/>
  <c r="BB127" i="1" s="1"/>
  <c r="AM46" i="1"/>
  <c r="BL52" i="1"/>
  <c r="BK157" i="1"/>
  <c r="BL222" i="1" s="1"/>
  <c r="BL220" i="1" s="1"/>
  <c r="BJ113" i="1"/>
  <c r="BJ115" i="1"/>
  <c r="AL113" i="1"/>
  <c r="AL114" i="1"/>
  <c r="CN51" i="1"/>
  <c r="CS96" i="1"/>
  <c r="AB182" i="1"/>
  <c r="CP84" i="1"/>
  <c r="CQ82" i="1"/>
  <c r="AC136" i="1"/>
  <c r="AC168" i="1"/>
  <c r="CB244" i="1"/>
  <c r="BQ1" i="1"/>
  <c r="BR1" i="1" s="1"/>
  <c r="BS1" i="1" s="1"/>
  <c r="BT1" i="1" s="1"/>
  <c r="BZ126" i="1" l="1"/>
  <c r="BZ129" i="1" s="1"/>
  <c r="AJ176" i="1"/>
  <c r="BJ176" i="1"/>
  <c r="AJ216" i="1"/>
  <c r="BX115" i="1"/>
  <c r="CB126" i="1"/>
  <c r="CB129" i="1" s="1"/>
  <c r="CB132" i="1" s="1"/>
  <c r="CB114" i="1"/>
  <c r="CB105" i="1"/>
  <c r="AJ201" i="1"/>
  <c r="AA88" i="1"/>
  <c r="AA87" i="1"/>
  <c r="AA115" i="1"/>
  <c r="AA114" i="1"/>
  <c r="AA113" i="1"/>
  <c r="AA122" i="1"/>
  <c r="AA123" i="1"/>
  <c r="AA121" i="1"/>
  <c r="T37" i="1"/>
  <c r="AJ217" i="1"/>
  <c r="AL176" i="1"/>
  <c r="BJ203" i="1"/>
  <c r="AL47" i="1"/>
  <c r="AL251" i="1" s="1"/>
  <c r="AL252" i="1" s="1"/>
  <c r="BJ200" i="1"/>
  <c r="AL200" i="1"/>
  <c r="AL205" i="1"/>
  <c r="JF21" i="4"/>
  <c r="BZ96" i="1" s="1"/>
  <c r="BZ113" i="1" s="1"/>
  <c r="II16" i="4"/>
  <c r="C37" i="1"/>
  <c r="AK47" i="1"/>
  <c r="AK251" i="1" s="1"/>
  <c r="AK252" i="1" s="1"/>
  <c r="AK36" i="1"/>
  <c r="AM38" i="1"/>
  <c r="AL38" i="1"/>
  <c r="AK38" i="1"/>
  <c r="BY224" i="1"/>
  <c r="I36" i="1"/>
  <c r="BJ129" i="1"/>
  <c r="U37" i="1"/>
  <c r="C47" i="1"/>
  <c r="AM252" i="1"/>
  <c r="D37" i="1"/>
  <c r="H37" i="1"/>
  <c r="BJ114" i="1"/>
  <c r="BJ205" i="1"/>
  <c r="Z82" i="1"/>
  <c r="D47" i="1"/>
  <c r="D48" i="1" s="1"/>
  <c r="AM48" i="1"/>
  <c r="BX47" i="1"/>
  <c r="BY50" i="1" s="1"/>
  <c r="BY38" i="1"/>
  <c r="CB37" i="1"/>
  <c r="G37" i="1"/>
  <c r="X49" i="1"/>
  <c r="AL265" i="1"/>
  <c r="AM222" i="1"/>
  <c r="AM220" i="1" s="1"/>
  <c r="AL127" i="1"/>
  <c r="AL130" i="1" s="1"/>
  <c r="AL115" i="1"/>
  <c r="BX126" i="1"/>
  <c r="BX114" i="1"/>
  <c r="BX108" i="1"/>
  <c r="CB123" i="1"/>
  <c r="CB127" i="1"/>
  <c r="CB130" i="1" s="1"/>
  <c r="CB133" i="1" s="1"/>
  <c r="CB106" i="1"/>
  <c r="CB115" i="1"/>
  <c r="BL114" i="1"/>
  <c r="BL126" i="1"/>
  <c r="BL129" i="1" s="1"/>
  <c r="W48" i="1"/>
  <c r="W53" i="1"/>
  <c r="W57" i="1" s="1"/>
  <c r="AM56" i="1"/>
  <c r="V251" i="1"/>
  <c r="V252" i="1" s="1"/>
  <c r="E47" i="1"/>
  <c r="E48" i="1" s="1"/>
  <c r="W269" i="1"/>
  <c r="B131" i="1"/>
  <c r="L37" i="1"/>
  <c r="M37" i="1"/>
  <c r="X269" i="1"/>
  <c r="W131" i="1"/>
  <c r="AM53" i="1"/>
  <c r="AM57" i="1" s="1"/>
  <c r="AM60" i="1" s="1"/>
  <c r="AM61" i="1" s="1"/>
  <c r="AM264" i="1" s="1"/>
  <c r="BX184" i="1"/>
  <c r="BX185" i="1" s="1"/>
  <c r="N36" i="1"/>
  <c r="BY113" i="1"/>
  <c r="Q37" i="1"/>
  <c r="F37" i="1"/>
  <c r="P37" i="1"/>
  <c r="W49" i="1"/>
  <c r="BY115" i="1"/>
  <c r="AJ251" i="1"/>
  <c r="AJ252" i="1" s="1"/>
  <c r="BJ130" i="1"/>
  <c r="K37" i="1"/>
  <c r="N37" i="1"/>
  <c r="V60" i="1"/>
  <c r="V61" i="1" s="1"/>
  <c r="V264" i="1" s="1"/>
  <c r="AL52" i="1"/>
  <c r="V48" i="1"/>
  <c r="E37" i="1"/>
  <c r="V131" i="1"/>
  <c r="BY222" i="1"/>
  <c r="BY220" i="1" s="1"/>
  <c r="BX128" i="1"/>
  <c r="BX130" i="1" s="1"/>
  <c r="R36" i="1"/>
  <c r="S37" i="1"/>
  <c r="AJ53" i="1"/>
  <c r="AJ57" i="1" s="1"/>
  <c r="AJ60" i="1" s="1"/>
  <c r="R37" i="1"/>
  <c r="CC126" i="1"/>
  <c r="CC122" i="1"/>
  <c r="CC114" i="1"/>
  <c r="CC105" i="1"/>
  <c r="BZ115" i="1"/>
  <c r="BZ127" i="1"/>
  <c r="BZ130" i="1" s="1"/>
  <c r="J37" i="1"/>
  <c r="AM127" i="1"/>
  <c r="AM123" i="1"/>
  <c r="AL129" i="1"/>
  <c r="AK222" i="1"/>
  <c r="AK220" i="1" s="1"/>
  <c r="AL222" i="1"/>
  <c r="AL220" i="1" s="1"/>
  <c r="CN151" i="1"/>
  <c r="CN153" i="1" s="1"/>
  <c r="CO51" i="1" s="1"/>
  <c r="CT96" i="1"/>
  <c r="AB156" i="1"/>
  <c r="AD168" i="1"/>
  <c r="AE168" i="1"/>
  <c r="AD136" i="1"/>
  <c r="AE136" i="1"/>
  <c r="CQ84" i="1"/>
  <c r="CR82" i="1"/>
  <c r="AC182" i="1"/>
  <c r="BU1" i="1"/>
  <c r="Q46" i="1"/>
  <c r="P46" i="1"/>
  <c r="O46" i="1"/>
  <c r="I46" i="1"/>
  <c r="H46" i="1"/>
  <c r="G46" i="1"/>
  <c r="U46" i="1"/>
  <c r="T46" i="1"/>
  <c r="S46" i="1"/>
  <c r="R46" i="1"/>
  <c r="N46" i="1"/>
  <c r="M46" i="1"/>
  <c r="L46" i="1"/>
  <c r="K46" i="1"/>
  <c r="J46" i="1"/>
  <c r="F46" i="1"/>
  <c r="AJ184" i="1" l="1"/>
  <c r="AK48" i="1"/>
  <c r="AL53" i="1"/>
  <c r="AL57" i="1" s="1"/>
  <c r="AL59" i="1" s="1"/>
  <c r="AL184" i="1"/>
  <c r="AM50" i="1"/>
  <c r="AA105" i="1"/>
  <c r="AA104" i="1"/>
  <c r="AA106" i="1"/>
  <c r="C48" i="1"/>
  <c r="AK53" i="1"/>
  <c r="AK57" i="1" s="1"/>
  <c r="C49" i="1"/>
  <c r="AL48" i="1"/>
  <c r="AJ185" i="1"/>
  <c r="C269" i="1"/>
  <c r="AM269" i="1"/>
  <c r="AM270" i="1" s="1"/>
  <c r="II21" i="4"/>
  <c r="BC96" i="1" s="1"/>
  <c r="IC9" i="4"/>
  <c r="AL269" i="1"/>
  <c r="AL270" i="1" s="1"/>
  <c r="AK50" i="1"/>
  <c r="AM131" i="1"/>
  <c r="AL50" i="1"/>
  <c r="AM245" i="1"/>
  <c r="AL185" i="1"/>
  <c r="D49" i="1"/>
  <c r="Z84" i="1"/>
  <c r="Y82" i="1"/>
  <c r="D131" i="1"/>
  <c r="D269" i="1"/>
  <c r="D251" i="1"/>
  <c r="D252" i="1" s="1"/>
  <c r="D53" i="1"/>
  <c r="D57" i="1" s="1"/>
  <c r="D60" i="1" s="1"/>
  <c r="BX251" i="1"/>
  <c r="BX252" i="1" s="1"/>
  <c r="CA131" i="1"/>
  <c r="BX48" i="1"/>
  <c r="CB49" i="1"/>
  <c r="BX53" i="1"/>
  <c r="BX57" i="1" s="1"/>
  <c r="BY269" i="1"/>
  <c r="BY270" i="1" s="1"/>
  <c r="AK60" i="1"/>
  <c r="AK59" i="1"/>
  <c r="W60" i="1"/>
  <c r="W59" i="1"/>
  <c r="AJ253" i="1"/>
  <c r="AJ61" i="1"/>
  <c r="AJ67" i="1"/>
  <c r="E49" i="1"/>
  <c r="AM59" i="1"/>
  <c r="AJ59" i="1"/>
  <c r="V67" i="1"/>
  <c r="AL60" i="1"/>
  <c r="AM63" i="1" s="1"/>
  <c r="BX129" i="1"/>
  <c r="CF109" i="1"/>
  <c r="CE109" i="1"/>
  <c r="CO213" i="1"/>
  <c r="CO151" i="1"/>
  <c r="CN157" i="1"/>
  <c r="CN213" i="1"/>
  <c r="AC96" i="1"/>
  <c r="CU96" i="1"/>
  <c r="AD182" i="1"/>
  <c r="AE182" i="1"/>
  <c r="AD159" i="1"/>
  <c r="CR84" i="1"/>
  <c r="CS82" i="1"/>
  <c r="AC156" i="1"/>
  <c r="BV1" i="1"/>
  <c r="BW1" i="1" s="1"/>
  <c r="BX1" i="1" s="1"/>
  <c r="AM253" i="1"/>
  <c r="B251" i="1"/>
  <c r="B252" i="1" s="1"/>
  <c r="BL251" i="1"/>
  <c r="BL252" i="1" s="1"/>
  <c r="G47" i="1"/>
  <c r="O47" i="1"/>
  <c r="H47" i="1"/>
  <c r="P47" i="1"/>
  <c r="I47" i="1"/>
  <c r="Q47" i="1"/>
  <c r="J47" i="1"/>
  <c r="R47" i="1"/>
  <c r="K47" i="1"/>
  <c r="S47" i="1"/>
  <c r="L47" i="1"/>
  <c r="T47" i="1"/>
  <c r="M47" i="1"/>
  <c r="U47" i="1"/>
  <c r="F47" i="1"/>
  <c r="F269" i="1" s="1"/>
  <c r="N47" i="1"/>
  <c r="W62" i="1" l="1"/>
  <c r="IC21" i="4"/>
  <c r="AW96" i="1" s="1"/>
  <c r="JH16" i="4"/>
  <c r="JH21" i="4" s="1"/>
  <c r="CB96" i="1" s="1"/>
  <c r="CA74" i="1"/>
  <c r="D59" i="1"/>
  <c r="AJ212" i="1"/>
  <c r="AJ214" i="1" s="1"/>
  <c r="AJ218" i="1" s="1"/>
  <c r="AJ232" i="1" s="1"/>
  <c r="AJ226" i="1"/>
  <c r="AJ224" i="1" s="1"/>
  <c r="AJ71" i="1"/>
  <c r="AJ85" i="1"/>
  <c r="AK253" i="1"/>
  <c r="AK67" i="1"/>
  <c r="AK138" i="1" s="1"/>
  <c r="AK139" i="1" s="1"/>
  <c r="AK148" i="1" s="1"/>
  <c r="D253" i="1"/>
  <c r="Z85" i="1"/>
  <c r="Z111" i="1"/>
  <c r="Z126" i="1"/>
  <c r="Z129" i="1" s="1"/>
  <c r="Z132" i="1" s="1"/>
  <c r="Z118" i="1"/>
  <c r="Z127" i="1"/>
  <c r="Z130" i="1" s="1"/>
  <c r="Z133" i="1" s="1"/>
  <c r="Y84" i="1"/>
  <c r="X82" i="1"/>
  <c r="D61" i="1"/>
  <c r="D67" i="1"/>
  <c r="BX59" i="1"/>
  <c r="BX60" i="1"/>
  <c r="AK61" i="1"/>
  <c r="AK63" i="1"/>
  <c r="X62" i="1"/>
  <c r="W61" i="1"/>
  <c r="W264" i="1" s="1"/>
  <c r="W253" i="1"/>
  <c r="W67" i="1"/>
  <c r="W71" i="1" s="1"/>
  <c r="AM246" i="1"/>
  <c r="AL63" i="1"/>
  <c r="AL253" i="1"/>
  <c r="AL61" i="1"/>
  <c r="AL264" i="1" s="1"/>
  <c r="AL67" i="1"/>
  <c r="AL212" i="1" s="1"/>
  <c r="AL214" i="1" s="1"/>
  <c r="T269" i="1"/>
  <c r="P269" i="1"/>
  <c r="D212" i="1"/>
  <c r="D214" i="1" s="1"/>
  <c r="M269" i="1"/>
  <c r="R269" i="1"/>
  <c r="I269" i="1"/>
  <c r="K269" i="1"/>
  <c r="G269" i="1"/>
  <c r="H269" i="1"/>
  <c r="L269" i="1"/>
  <c r="S269" i="1"/>
  <c r="O269" i="1"/>
  <c r="J269" i="1"/>
  <c r="N269" i="1"/>
  <c r="U269" i="1"/>
  <c r="V269" i="1"/>
  <c r="Q269" i="1"/>
  <c r="R131" i="1"/>
  <c r="S49" i="1"/>
  <c r="T131" i="1"/>
  <c r="U49" i="1"/>
  <c r="U131" i="1"/>
  <c r="V49" i="1"/>
  <c r="P131" i="1"/>
  <c r="Q49" i="1"/>
  <c r="Q131" i="1"/>
  <c r="R49" i="1"/>
  <c r="I131" i="1"/>
  <c r="J49" i="1"/>
  <c r="S131" i="1"/>
  <c r="T49" i="1"/>
  <c r="H131" i="1"/>
  <c r="I49" i="1"/>
  <c r="E131" i="1"/>
  <c r="F49" i="1"/>
  <c r="L131" i="1"/>
  <c r="M49" i="1"/>
  <c r="O131" i="1"/>
  <c r="P49" i="1"/>
  <c r="N131" i="1"/>
  <c r="O49" i="1"/>
  <c r="K131" i="1"/>
  <c r="L49" i="1"/>
  <c r="F131" i="1"/>
  <c r="G49" i="1"/>
  <c r="G131" i="1"/>
  <c r="H49" i="1"/>
  <c r="M131" i="1"/>
  <c r="N49" i="1"/>
  <c r="J131" i="1"/>
  <c r="K49" i="1"/>
  <c r="CN222" i="1"/>
  <c r="CN220" i="1" s="1"/>
  <c r="CO153" i="1"/>
  <c r="CV96" i="1"/>
  <c r="AD221" i="1"/>
  <c r="AB161" i="1"/>
  <c r="AE156" i="1"/>
  <c r="AD156" i="1"/>
  <c r="CT82" i="1"/>
  <c r="AC82" i="1" s="1"/>
  <c r="AC84" i="1" s="1"/>
  <c r="CS84" i="1"/>
  <c r="C131" i="1"/>
  <c r="BY1" i="1"/>
  <c r="L48" i="1"/>
  <c r="N48" i="1"/>
  <c r="F48" i="1"/>
  <c r="O48" i="1"/>
  <c r="U53" i="1"/>
  <c r="U57" i="1" s="1"/>
  <c r="U48" i="1"/>
  <c r="G48" i="1"/>
  <c r="S48" i="1"/>
  <c r="M48" i="1"/>
  <c r="R48" i="1"/>
  <c r="J48" i="1"/>
  <c r="I48" i="1"/>
  <c r="P48" i="1"/>
  <c r="H48" i="1"/>
  <c r="K48" i="1"/>
  <c r="T48" i="1"/>
  <c r="Q48" i="1"/>
  <c r="T251" i="1"/>
  <c r="T252" i="1" s="1"/>
  <c r="Q251" i="1"/>
  <c r="Q252" i="1" s="1"/>
  <c r="K251" i="1"/>
  <c r="K252" i="1" s="1"/>
  <c r="O251" i="1"/>
  <c r="O252" i="1" s="1"/>
  <c r="U251" i="1"/>
  <c r="U252" i="1" s="1"/>
  <c r="L251" i="1"/>
  <c r="L252" i="1" s="1"/>
  <c r="C251" i="1"/>
  <c r="C252" i="1" s="1"/>
  <c r="I251" i="1"/>
  <c r="I252" i="1" s="1"/>
  <c r="G251" i="1"/>
  <c r="G252" i="1" s="1"/>
  <c r="R251" i="1"/>
  <c r="R252" i="1" s="1"/>
  <c r="P251" i="1"/>
  <c r="P252" i="1" s="1"/>
  <c r="F251" i="1"/>
  <c r="F252" i="1" s="1"/>
  <c r="M251" i="1"/>
  <c r="M252" i="1" s="1"/>
  <c r="N251" i="1"/>
  <c r="N252" i="1" s="1"/>
  <c r="E251" i="1"/>
  <c r="E252" i="1" s="1"/>
  <c r="S251" i="1"/>
  <c r="S252" i="1" s="1"/>
  <c r="J251" i="1"/>
  <c r="J252" i="1" s="1"/>
  <c r="H251" i="1"/>
  <c r="H252" i="1" s="1"/>
  <c r="B53" i="1"/>
  <c r="L53" i="1"/>
  <c r="Q53" i="1"/>
  <c r="T53" i="1"/>
  <c r="N53" i="1"/>
  <c r="S53" i="1"/>
  <c r="F53" i="1"/>
  <c r="K53" i="1"/>
  <c r="H53" i="1"/>
  <c r="I53" i="1"/>
  <c r="P53" i="1"/>
  <c r="C53" i="1"/>
  <c r="O53" i="1"/>
  <c r="R53" i="1"/>
  <c r="M53" i="1"/>
  <c r="G53" i="1"/>
  <c r="E53" i="1"/>
  <c r="J53" i="1"/>
  <c r="AJ229" i="1" l="1"/>
  <c r="AJ230" i="1" s="1"/>
  <c r="D71" i="1"/>
  <c r="CB62" i="1"/>
  <c r="BX253" i="1"/>
  <c r="BX61" i="1"/>
  <c r="BX264" i="1" s="1"/>
  <c r="CB104" i="1"/>
  <c r="CB121" i="1"/>
  <c r="CB113" i="1"/>
  <c r="BX67" i="1"/>
  <c r="BY63" i="1"/>
  <c r="AK212" i="1"/>
  <c r="AK214" i="1" s="1"/>
  <c r="AK85" i="1"/>
  <c r="AK71" i="1"/>
  <c r="Z88" i="1"/>
  <c r="AA89" i="1" s="1"/>
  <c r="Z87" i="1"/>
  <c r="Z114" i="1"/>
  <c r="Z113" i="1"/>
  <c r="Z115" i="1"/>
  <c r="Z122" i="1"/>
  <c r="Z121" i="1"/>
  <c r="Z123" i="1"/>
  <c r="Y85" i="1"/>
  <c r="Y118" i="1"/>
  <c r="Y111" i="1"/>
  <c r="Y126" i="1"/>
  <c r="Y129" i="1" s="1"/>
  <c r="Y132" i="1" s="1"/>
  <c r="Y127" i="1"/>
  <c r="Y130" i="1" s="1"/>
  <c r="Y133" i="1" s="1"/>
  <c r="X84" i="1"/>
  <c r="W82" i="1"/>
  <c r="V82" i="1" s="1"/>
  <c r="U82" i="1" s="1"/>
  <c r="T82" i="1" s="1"/>
  <c r="S82" i="1" s="1"/>
  <c r="R82" i="1" s="1"/>
  <c r="Q82" i="1" s="1"/>
  <c r="P82" i="1" s="1"/>
  <c r="O82" i="1" s="1"/>
  <c r="N82" i="1" s="1"/>
  <c r="M82" i="1" s="1"/>
  <c r="L82" i="1" s="1"/>
  <c r="K82" i="1" s="1"/>
  <c r="J82" i="1" s="1"/>
  <c r="I82" i="1" s="1"/>
  <c r="H82" i="1" s="1"/>
  <c r="G82" i="1" s="1"/>
  <c r="F82" i="1" s="1"/>
  <c r="E82" i="1" s="1"/>
  <c r="AL71" i="1"/>
  <c r="AL85" i="1"/>
  <c r="AK226" i="1"/>
  <c r="AK224" i="1" s="1"/>
  <c r="AL226" i="1"/>
  <c r="AL224" i="1" s="1"/>
  <c r="BK183" i="1"/>
  <c r="BM183" i="1"/>
  <c r="CO157" i="1"/>
  <c r="CP51" i="1"/>
  <c r="CW96" i="1"/>
  <c r="AE159" i="1"/>
  <c r="AE221" i="1" s="1"/>
  <c r="CT84" i="1"/>
  <c r="CU82" i="1"/>
  <c r="BZ1" i="1"/>
  <c r="U60" i="1"/>
  <c r="V62" i="1" s="1"/>
  <c r="U59" i="1"/>
  <c r="P57" i="1"/>
  <c r="P60" i="1" s="1"/>
  <c r="R57" i="1"/>
  <c r="R60" i="1" s="1"/>
  <c r="E57" i="1"/>
  <c r="S57" i="1"/>
  <c r="S59" i="1" s="1"/>
  <c r="G57" i="1"/>
  <c r="G60" i="1" s="1"/>
  <c r="K57" i="1"/>
  <c r="K60" i="1" s="1"/>
  <c r="B57" i="1"/>
  <c r="O57" i="1"/>
  <c r="O60" i="1" s="1"/>
  <c r="H57" i="1"/>
  <c r="H60" i="1" s="1"/>
  <c r="N57" i="1"/>
  <c r="N60" i="1" s="1"/>
  <c r="L57" i="1"/>
  <c r="L59" i="1" s="1"/>
  <c r="C57" i="1"/>
  <c r="M57" i="1"/>
  <c r="M59" i="1" s="1"/>
  <c r="T57" i="1"/>
  <c r="T60" i="1" s="1"/>
  <c r="F57" i="1"/>
  <c r="F59" i="1" s="1"/>
  <c r="J57" i="1"/>
  <c r="J59" i="1" s="1"/>
  <c r="I57" i="1"/>
  <c r="I59" i="1" s="1"/>
  <c r="Q57" i="1"/>
  <c r="Q60" i="1" s="1"/>
  <c r="V253" i="1"/>
  <c r="CA73" i="1" l="1"/>
  <c r="BX85" i="1"/>
  <c r="CA88" i="1" s="1"/>
  <c r="BX212" i="1"/>
  <c r="BX214" i="1" s="1"/>
  <c r="BX71" i="1"/>
  <c r="Z106" i="1"/>
  <c r="Z104" i="1"/>
  <c r="Z105" i="1"/>
  <c r="Y88" i="1"/>
  <c r="Y87" i="1"/>
  <c r="Y123" i="1"/>
  <c r="Y121" i="1"/>
  <c r="Y122" i="1"/>
  <c r="Y115" i="1"/>
  <c r="Y113" i="1"/>
  <c r="Y114" i="1"/>
  <c r="X85" i="1"/>
  <c r="X127" i="1"/>
  <c r="X130" i="1" s="1"/>
  <c r="X133" i="1" s="1"/>
  <c r="X111" i="1"/>
  <c r="X126" i="1"/>
  <c r="X129" i="1" s="1"/>
  <c r="X132" i="1" s="1"/>
  <c r="X118" i="1"/>
  <c r="R62" i="1"/>
  <c r="U62" i="1"/>
  <c r="O62" i="1"/>
  <c r="AB51" i="1"/>
  <c r="B60" i="1"/>
  <c r="B59" i="1"/>
  <c r="C60" i="1"/>
  <c r="C59" i="1"/>
  <c r="E60" i="1"/>
  <c r="E67" i="1" s="1"/>
  <c r="E59" i="1"/>
  <c r="P62" i="1"/>
  <c r="H62" i="1"/>
  <c r="Q62" i="1"/>
  <c r="BJ184" i="1"/>
  <c r="BJ185" i="1" s="1"/>
  <c r="BL184" i="1"/>
  <c r="BL185" i="1" s="1"/>
  <c r="CP213" i="1"/>
  <c r="CP151" i="1"/>
  <c r="CO222" i="1"/>
  <c r="CO220" i="1" s="1"/>
  <c r="CX96" i="1"/>
  <c r="CV82" i="1"/>
  <c r="CU84" i="1"/>
  <c r="CA1" i="1"/>
  <c r="CB1" i="1" s="1"/>
  <c r="O59" i="1"/>
  <c r="BL253" i="1"/>
  <c r="S60" i="1"/>
  <c r="U61" i="1"/>
  <c r="U264" i="1" s="1"/>
  <c r="P61" i="1"/>
  <c r="P264" i="1" s="1"/>
  <c r="Q67" i="1"/>
  <c r="Q61" i="1"/>
  <c r="Q264" i="1" s="1"/>
  <c r="L60" i="1"/>
  <c r="P59" i="1"/>
  <c r="H61" i="1"/>
  <c r="H264" i="1" s="1"/>
  <c r="G61" i="1"/>
  <c r="G264" i="1" s="1"/>
  <c r="U67" i="1"/>
  <c r="N61" i="1"/>
  <c r="N264" i="1" s="1"/>
  <c r="R61" i="1"/>
  <c r="R264" i="1" s="1"/>
  <c r="K61" i="1"/>
  <c r="K264" i="1" s="1"/>
  <c r="O67" i="1"/>
  <c r="O61" i="1"/>
  <c r="O264" i="1" s="1"/>
  <c r="T67" i="1"/>
  <c r="T61" i="1"/>
  <c r="T264" i="1" s="1"/>
  <c r="R59" i="1"/>
  <c r="K59" i="1"/>
  <c r="N59" i="1"/>
  <c r="G59" i="1"/>
  <c r="H59" i="1"/>
  <c r="J60" i="1"/>
  <c r="K62" i="1" s="1"/>
  <c r="M60" i="1"/>
  <c r="N62" i="1" s="1"/>
  <c r="T59" i="1"/>
  <c r="F60" i="1"/>
  <c r="G62" i="1" s="1"/>
  <c r="I60" i="1"/>
  <c r="I62" i="1" s="1"/>
  <c r="O253" i="1"/>
  <c r="Q59" i="1"/>
  <c r="P253" i="1"/>
  <c r="P67" i="1"/>
  <c r="K253" i="1"/>
  <c r="K67" i="1"/>
  <c r="H253" i="1"/>
  <c r="H67" i="1"/>
  <c r="R67" i="1"/>
  <c r="N67" i="1"/>
  <c r="G67" i="1"/>
  <c r="G253" i="1"/>
  <c r="R253" i="1"/>
  <c r="N253" i="1"/>
  <c r="Q253" i="1"/>
  <c r="U253" i="1"/>
  <c r="T253" i="1"/>
  <c r="V71" i="1"/>
  <c r="V212" i="1"/>
  <c r="V214" i="1" s="1"/>
  <c r="CA104" i="1" l="1"/>
  <c r="BW108" i="1"/>
  <c r="CA105" i="1"/>
  <c r="CD109" i="1" s="1"/>
  <c r="CE89" i="1"/>
  <c r="CA106" i="1"/>
  <c r="Y106" i="1"/>
  <c r="Y105" i="1"/>
  <c r="Y104" i="1"/>
  <c r="X87" i="1"/>
  <c r="X88" i="1"/>
  <c r="X115" i="1"/>
  <c r="X113" i="1"/>
  <c r="X114" i="1"/>
  <c r="X121" i="1"/>
  <c r="X122" i="1"/>
  <c r="X123" i="1"/>
  <c r="Z89" i="1"/>
  <c r="E253" i="1"/>
  <c r="AB213" i="1"/>
  <c r="E61" i="1"/>
  <c r="E264" i="1" s="1"/>
  <c r="E62" i="1"/>
  <c r="D62" i="1"/>
  <c r="C61" i="1"/>
  <c r="B61" i="1"/>
  <c r="C62" i="1"/>
  <c r="F62" i="1"/>
  <c r="M62" i="1"/>
  <c r="S61" i="1"/>
  <c r="S264" i="1" s="1"/>
  <c r="T62" i="1"/>
  <c r="L62" i="1"/>
  <c r="J62" i="1"/>
  <c r="S62" i="1"/>
  <c r="I84" i="1"/>
  <c r="I118" i="1" s="1"/>
  <c r="Q84" i="1"/>
  <c r="Q118" i="1" s="1"/>
  <c r="U84" i="1"/>
  <c r="U118" i="1" s="1"/>
  <c r="F84" i="1"/>
  <c r="F118" i="1" s="1"/>
  <c r="R84" i="1"/>
  <c r="R118" i="1" s="1"/>
  <c r="J84" i="1"/>
  <c r="N84" i="1"/>
  <c r="N85" i="1" s="1"/>
  <c r="N88" i="1" s="1"/>
  <c r="T84" i="1"/>
  <c r="E84" i="1"/>
  <c r="E118" i="1" s="1"/>
  <c r="H84" i="1"/>
  <c r="H118" i="1" s="1"/>
  <c r="S84" i="1"/>
  <c r="V84" i="1"/>
  <c r="V118" i="1" s="1"/>
  <c r="P84" i="1"/>
  <c r="G84" i="1"/>
  <c r="G85" i="1" s="1"/>
  <c r="G88" i="1" s="1"/>
  <c r="L84" i="1"/>
  <c r="K84" i="1"/>
  <c r="AB151" i="1"/>
  <c r="AB153" i="1" s="1"/>
  <c r="AB52" i="1" s="1"/>
  <c r="CP153" i="1"/>
  <c r="AD96" i="1"/>
  <c r="CY96" i="1"/>
  <c r="CV84" i="1"/>
  <c r="CW82" i="1"/>
  <c r="CC1" i="1"/>
  <c r="K71" i="1"/>
  <c r="G71" i="1"/>
  <c r="E71" i="1"/>
  <c r="S67" i="1"/>
  <c r="S253" i="1"/>
  <c r="L253" i="1"/>
  <c r="L67" i="1"/>
  <c r="O212" i="1"/>
  <c r="O214" i="1" s="1"/>
  <c r="O71" i="1"/>
  <c r="B253" i="1"/>
  <c r="B67" i="1"/>
  <c r="M67" i="1"/>
  <c r="M61" i="1"/>
  <c r="M264" i="1" s="1"/>
  <c r="C253" i="1"/>
  <c r="I67" i="1"/>
  <c r="I61" i="1"/>
  <c r="I264" i="1" s="1"/>
  <c r="J67" i="1"/>
  <c r="J61" i="1"/>
  <c r="J264" i="1" s="1"/>
  <c r="F67" i="1"/>
  <c r="F61" i="1"/>
  <c r="F264" i="1" s="1"/>
  <c r="L61" i="1"/>
  <c r="L264" i="1" s="1"/>
  <c r="J253" i="1"/>
  <c r="E212" i="1"/>
  <c r="E214" i="1" s="1"/>
  <c r="R212" i="1"/>
  <c r="R214" i="1" s="1"/>
  <c r="M253" i="1"/>
  <c r="R71" i="1"/>
  <c r="I253" i="1"/>
  <c r="H71" i="1"/>
  <c r="H212" i="1"/>
  <c r="H214" i="1" s="1"/>
  <c r="F253" i="1"/>
  <c r="C67" i="1"/>
  <c r="N212" i="1"/>
  <c r="N214" i="1" s="1"/>
  <c r="N71" i="1"/>
  <c r="G212" i="1"/>
  <c r="G214" i="1" s="1"/>
  <c r="P71" i="1"/>
  <c r="K212" i="1"/>
  <c r="K214" i="1" s="1"/>
  <c r="P212" i="1"/>
  <c r="P214" i="1" s="1"/>
  <c r="U71" i="1"/>
  <c r="U212" i="1"/>
  <c r="U214" i="1" s="1"/>
  <c r="Q71" i="1"/>
  <c r="Q212" i="1"/>
  <c r="Q214" i="1" s="1"/>
  <c r="T71" i="1"/>
  <c r="T212" i="1"/>
  <c r="T214" i="1" s="1"/>
  <c r="X105" i="1" l="1"/>
  <c r="X106" i="1"/>
  <c r="X104" i="1"/>
  <c r="Y89" i="1"/>
  <c r="R85" i="1"/>
  <c r="R88" i="1" s="1"/>
  <c r="K118" i="1"/>
  <c r="L118" i="1"/>
  <c r="T118" i="1"/>
  <c r="P118" i="1"/>
  <c r="G118" i="1"/>
  <c r="S118" i="1"/>
  <c r="J118" i="1"/>
  <c r="N118" i="1"/>
  <c r="H85" i="1"/>
  <c r="U85" i="1"/>
  <c r="U88" i="1" s="1"/>
  <c r="V85" i="1"/>
  <c r="E85" i="1"/>
  <c r="Q85" i="1"/>
  <c r="T85" i="1"/>
  <c r="T88" i="1" s="1"/>
  <c r="M84" i="1"/>
  <c r="M85" i="1" s="1"/>
  <c r="M88" i="1" s="1"/>
  <c r="O84" i="1"/>
  <c r="O118" i="1" s="1"/>
  <c r="W84" i="1"/>
  <c r="W118" i="1" s="1"/>
  <c r="K85" i="1"/>
  <c r="P85" i="1"/>
  <c r="P88" i="1" s="1"/>
  <c r="CP157" i="1"/>
  <c r="CP222" i="1" s="1"/>
  <c r="CP220" i="1" s="1"/>
  <c r="CQ51" i="1"/>
  <c r="CZ96" i="1"/>
  <c r="AC161" i="1"/>
  <c r="CX82" i="1"/>
  <c r="AD82" i="1" s="1"/>
  <c r="AD84" i="1" s="1"/>
  <c r="CW84" i="1"/>
  <c r="CD1" i="1"/>
  <c r="CE1" i="1" s="1"/>
  <c r="CF1" i="1" s="1"/>
  <c r="CG1" i="1" s="1"/>
  <c r="CH1" i="1" s="1"/>
  <c r="CI1" i="1" s="1"/>
  <c r="CJ1" i="1" s="1"/>
  <c r="CK1" i="1" s="1"/>
  <c r="L212" i="1"/>
  <c r="L214" i="1" s="1"/>
  <c r="J212" i="1"/>
  <c r="J214" i="1" s="1"/>
  <c r="J85" i="1"/>
  <c r="J88" i="1" s="1"/>
  <c r="M212" i="1"/>
  <c r="M214" i="1" s="1"/>
  <c r="B71" i="1"/>
  <c r="F71" i="1"/>
  <c r="F85" i="1"/>
  <c r="F88" i="1" s="1"/>
  <c r="I71" i="1"/>
  <c r="I85" i="1"/>
  <c r="C71" i="1"/>
  <c r="L71" i="1"/>
  <c r="L85" i="1"/>
  <c r="S85" i="1"/>
  <c r="S71" i="1"/>
  <c r="J71" i="1"/>
  <c r="S212" i="1"/>
  <c r="S214" i="1" s="1"/>
  <c r="M71" i="1"/>
  <c r="I212" i="1"/>
  <c r="I214" i="1" s="1"/>
  <c r="F212" i="1"/>
  <c r="F214" i="1" s="1"/>
  <c r="C212" i="1"/>
  <c r="C214" i="1" s="1"/>
  <c r="K88" i="1" l="1"/>
  <c r="Q88" i="1"/>
  <c r="U89" i="1"/>
  <c r="M118" i="1"/>
  <c r="H88" i="1"/>
  <c r="E88" i="1"/>
  <c r="V88" i="1"/>
  <c r="O85" i="1"/>
  <c r="W85" i="1"/>
  <c r="CQ213" i="1"/>
  <c r="CQ151" i="1"/>
  <c r="DA96" i="1"/>
  <c r="CX84" i="1"/>
  <c r="CY82" i="1"/>
  <c r="AB143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89" i="1"/>
  <c r="G89" i="1"/>
  <c r="S88" i="1"/>
  <c r="I88" i="1"/>
  <c r="J89" i="1" s="1"/>
  <c r="L88" i="1"/>
  <c r="V98" i="2"/>
  <c r="P113" i="2"/>
  <c r="R69" i="2"/>
  <c r="C70" i="2"/>
  <c r="P94" i="2"/>
  <c r="E76" i="2"/>
  <c r="F104" i="2"/>
  <c r="M50" i="2"/>
  <c r="P59" i="2"/>
  <c r="S70" i="2"/>
  <c r="J59" i="2"/>
  <c r="E65" i="2"/>
  <c r="U58" i="2"/>
  <c r="R88" i="2"/>
  <c r="X44" i="2"/>
  <c r="C64" i="2"/>
  <c r="W94" i="2"/>
  <c r="J99" i="2"/>
  <c r="G91" i="2"/>
  <c r="I97" i="2"/>
  <c r="W51" i="2"/>
  <c r="P44" i="2"/>
  <c r="V112" i="2"/>
  <c r="O112" i="2"/>
  <c r="E59" i="2"/>
  <c r="S52" i="2"/>
  <c r="C44" i="2"/>
  <c r="L106" i="2"/>
  <c r="L42" i="2"/>
  <c r="U107" i="2"/>
  <c r="R50" i="2"/>
  <c r="H55" i="2"/>
  <c r="AP48" i="3"/>
  <c r="AP50" i="3"/>
  <c r="AI12" i="3"/>
  <c r="O29" i="3"/>
  <c r="S12" i="3"/>
  <c r="AP19" i="3"/>
  <c r="AP36" i="3"/>
  <c r="S42" i="3"/>
  <c r="AN20" i="3"/>
  <c r="O42" i="3"/>
  <c r="AJ23" i="3"/>
  <c r="Q19" i="3"/>
  <c r="C30" i="3"/>
  <c r="AG38" i="3"/>
  <c r="AJ34" i="3"/>
  <c r="N87" i="2"/>
  <c r="G111" i="2"/>
  <c r="H66" i="2"/>
  <c r="R41" i="2"/>
  <c r="Q110" i="2"/>
  <c r="V64" i="2"/>
  <c r="U76" i="2"/>
  <c r="O94" i="2"/>
  <c r="J83" i="2"/>
  <c r="R92" i="2"/>
  <c r="R42" i="2"/>
  <c r="M61" i="2"/>
  <c r="S81" i="2"/>
  <c r="P75" i="2"/>
  <c r="F76" i="2"/>
  <c r="N89" i="2"/>
  <c r="Q92" i="2"/>
  <c r="I50" i="2"/>
  <c r="N94" i="2"/>
  <c r="S50" i="2"/>
  <c r="I112" i="2"/>
  <c r="X58" i="2"/>
  <c r="H52" i="2"/>
  <c r="E44" i="2"/>
  <c r="C75" i="2"/>
  <c r="O97" i="2"/>
  <c r="K85" i="2"/>
  <c r="D106" i="2"/>
  <c r="X74" i="2"/>
  <c r="C79" i="2"/>
  <c r="H83" i="2"/>
  <c r="U98" i="2"/>
  <c r="P96" i="2"/>
  <c r="F84" i="2"/>
  <c r="M55" i="2"/>
  <c r="C50" i="2"/>
  <c r="M80" i="2"/>
  <c r="I54" i="2"/>
  <c r="F96" i="2"/>
  <c r="L68" i="2"/>
  <c r="I109" i="2"/>
  <c r="I70" i="2"/>
  <c r="N48" i="2"/>
  <c r="K47" i="2"/>
  <c r="W81" i="2"/>
  <c r="J110" i="2"/>
  <c r="R75" i="2"/>
  <c r="I63" i="2"/>
  <c r="F90" i="2"/>
  <c r="X88" i="2"/>
  <c r="Q64" i="2"/>
  <c r="F91" i="2"/>
  <c r="V104" i="2"/>
  <c r="J85" i="2"/>
  <c r="M90" i="2"/>
  <c r="V109" i="2"/>
  <c r="P49" i="2"/>
  <c r="H57" i="2"/>
  <c r="R65" i="2"/>
  <c r="D113" i="2"/>
  <c r="S95" i="2"/>
  <c r="U51" i="2"/>
  <c r="AP90" i="3"/>
  <c r="AP72" i="3"/>
  <c r="V16" i="3"/>
  <c r="AQ29" i="3"/>
  <c r="AJ25" i="3"/>
  <c r="N40" i="3"/>
  <c r="Q33" i="3"/>
  <c r="Y34" i="3"/>
  <c r="L5" i="3"/>
  <c r="AE11" i="3"/>
  <c r="N35" i="3"/>
  <c r="T111" i="2"/>
  <c r="L54" i="2"/>
  <c r="U54" i="2"/>
  <c r="V85" i="2"/>
  <c r="D89" i="2"/>
  <c r="R53" i="2"/>
  <c r="L90" i="2"/>
  <c r="N65" i="2"/>
  <c r="I91" i="2"/>
  <c r="G44" i="2"/>
  <c r="T53" i="2"/>
  <c r="E43" i="2"/>
  <c r="H86" i="2"/>
  <c r="S46" i="2"/>
  <c r="P81" i="2"/>
  <c r="U45" i="2"/>
  <c r="W49" i="2"/>
  <c r="T79" i="2"/>
  <c r="C57" i="2"/>
  <c r="L53" i="2"/>
  <c r="N74" i="2"/>
  <c r="C105" i="2"/>
  <c r="G59" i="2"/>
  <c r="P53" i="2"/>
  <c r="W82" i="2"/>
  <c r="G54" i="2"/>
  <c r="O52" i="2"/>
  <c r="D56" i="2"/>
  <c r="J60" i="2"/>
  <c r="Q73" i="2"/>
  <c r="W96" i="2"/>
  <c r="S98" i="2"/>
  <c r="AP83" i="3"/>
  <c r="AB70" i="3"/>
  <c r="L32" i="3"/>
  <c r="K75" i="2"/>
  <c r="K107" i="2"/>
  <c r="U42" i="2"/>
  <c r="T55" i="2"/>
  <c r="J112" i="2"/>
  <c r="V96" i="2"/>
  <c r="O49" i="2"/>
  <c r="D83" i="2"/>
  <c r="P71" i="2"/>
  <c r="W71" i="2"/>
  <c r="L72" i="2"/>
  <c r="W47" i="2"/>
  <c r="R58" i="2"/>
  <c r="K60" i="2"/>
  <c r="X82" i="2"/>
  <c r="T107" i="2"/>
  <c r="K70" i="2"/>
  <c r="W55" i="2"/>
  <c r="I99" i="2"/>
  <c r="D46" i="2"/>
  <c r="E68" i="2"/>
  <c r="K81" i="2"/>
  <c r="G63" i="2"/>
  <c r="C77" i="2"/>
  <c r="N49" i="2"/>
  <c r="G80" i="2"/>
  <c r="I105" i="2"/>
  <c r="F66" i="2"/>
  <c r="T70" i="2"/>
  <c r="K64" i="2"/>
  <c r="E96" i="2"/>
  <c r="AB80" i="3"/>
  <c r="AP85" i="3"/>
  <c r="O22" i="3"/>
  <c r="J41" i="3"/>
  <c r="M34" i="3"/>
  <c r="AO7" i="3"/>
  <c r="AO20" i="3"/>
  <c r="H11" i="3"/>
  <c r="AI9" i="3"/>
  <c r="O35" i="3"/>
  <c r="O18" i="3"/>
  <c r="T28" i="3"/>
  <c r="AO11" i="3"/>
  <c r="AQ12" i="3"/>
  <c r="AL42" i="3"/>
  <c r="W9" i="3"/>
  <c r="AL8" i="3"/>
  <c r="P29" i="3"/>
  <c r="I30" i="3"/>
  <c r="AE23" i="3"/>
  <c r="AL6" i="3"/>
  <c r="W38" i="3"/>
  <c r="AG5" i="3"/>
  <c r="Q42" i="3"/>
  <c r="X39" i="3"/>
  <c r="V42" i="3"/>
  <c r="R19" i="3"/>
  <c r="K37" i="3"/>
  <c r="Q18" i="3"/>
  <c r="J31" i="3"/>
  <c r="Q7" i="3"/>
  <c r="H40" i="2"/>
  <c r="E75" i="2"/>
  <c r="P73" i="2"/>
  <c r="T44" i="2"/>
  <c r="D66" i="2"/>
  <c r="S51" i="2"/>
  <c r="K79" i="2"/>
  <c r="Q109" i="2"/>
  <c r="W90" i="2"/>
  <c r="Q67" i="2"/>
  <c r="S89" i="2"/>
  <c r="F52" i="2"/>
  <c r="U56" i="2"/>
  <c r="D105" i="2"/>
  <c r="V110" i="2"/>
  <c r="G112" i="2"/>
  <c r="J91" i="2"/>
  <c r="E55" i="2"/>
  <c r="T81" i="2"/>
  <c r="S45" i="2"/>
  <c r="T87" i="2"/>
  <c r="E105" i="2"/>
  <c r="S41" i="2"/>
  <c r="O64" i="2"/>
  <c r="H61" i="2"/>
  <c r="H80" i="2"/>
  <c r="G74" i="2"/>
  <c r="R68" i="2"/>
  <c r="W79" i="2"/>
  <c r="G51" i="2"/>
  <c r="X84" i="2"/>
  <c r="AP86" i="3"/>
  <c r="AP80" i="3"/>
  <c r="AL33" i="3"/>
  <c r="T25" i="3"/>
  <c r="Z8" i="3"/>
  <c r="P41" i="3"/>
  <c r="AP13" i="3"/>
  <c r="AM8" i="3"/>
  <c r="K35" i="3"/>
  <c r="N10" i="3"/>
  <c r="G32" i="3"/>
  <c r="AN34" i="3"/>
  <c r="M31" i="3"/>
  <c r="P21" i="3"/>
  <c r="O19" i="3"/>
  <c r="AG18" i="3"/>
  <c r="K18" i="3"/>
  <c r="AE29" i="3"/>
  <c r="P24" i="3"/>
  <c r="S26" i="3"/>
  <c r="AO18" i="3"/>
  <c r="T20" i="3"/>
  <c r="AM35" i="3"/>
  <c r="J39" i="3"/>
  <c r="Z39" i="3"/>
  <c r="AB40" i="3"/>
  <c r="K28" i="3"/>
  <c r="H12" i="3"/>
  <c r="AA26" i="3"/>
  <c r="AA37" i="3"/>
  <c r="J11" i="3"/>
  <c r="Y21" i="3"/>
  <c r="E109" i="2"/>
  <c r="H104" i="2"/>
  <c r="L85" i="2"/>
  <c r="E110" i="2"/>
  <c r="H64" i="2"/>
  <c r="J56" i="2"/>
  <c r="S77" i="2"/>
  <c r="W57" i="2"/>
  <c r="V40" i="2"/>
  <c r="Q87" i="2"/>
  <c r="R110" i="2"/>
  <c r="J75" i="2"/>
  <c r="G84" i="2"/>
  <c r="X79" i="2"/>
  <c r="W95" i="2"/>
  <c r="X72" i="2"/>
  <c r="V105" i="2"/>
  <c r="C55" i="2"/>
  <c r="O96" i="2"/>
  <c r="P108" i="2"/>
  <c r="C106" i="2"/>
  <c r="J105" i="2"/>
  <c r="J44" i="2"/>
  <c r="M79" i="2"/>
  <c r="R71" i="2"/>
  <c r="H68" i="2"/>
  <c r="V77" i="2"/>
  <c r="S90" i="2"/>
  <c r="T105" i="2"/>
  <c r="G62" i="2"/>
  <c r="I73" i="2"/>
  <c r="AB65" i="3"/>
  <c r="AP79" i="3"/>
  <c r="AB84" i="3"/>
  <c r="AM16" i="3"/>
  <c r="V8" i="3"/>
  <c r="AE9" i="3"/>
  <c r="K29" i="3"/>
  <c r="AH42" i="3"/>
  <c r="AL31" i="3"/>
  <c r="S34" i="3"/>
  <c r="M9" i="3"/>
  <c r="AE19" i="3"/>
  <c r="AL16" i="3"/>
  <c r="AI31" i="3"/>
  <c r="C24" i="3"/>
  <c r="I40" i="3"/>
  <c r="AP17" i="3"/>
  <c r="K6" i="3"/>
  <c r="AD21" i="3"/>
  <c r="M8" i="3"/>
  <c r="P15" i="3"/>
  <c r="Z21" i="3"/>
  <c r="AG20" i="3"/>
  <c r="M42" i="3"/>
  <c r="H26" i="3"/>
  <c r="D48" i="3"/>
  <c r="T40" i="3"/>
  <c r="AE40" i="3"/>
  <c r="J26" i="3"/>
  <c r="AH6" i="3"/>
  <c r="S69" i="2"/>
  <c r="L84" i="2"/>
  <c r="E84" i="2"/>
  <c r="X73" i="2"/>
  <c r="F105" i="2"/>
  <c r="K76" i="2"/>
  <c r="X50" i="2"/>
  <c r="G96" i="2"/>
  <c r="S86" i="2"/>
  <c r="F71" i="2"/>
  <c r="R55" i="2"/>
  <c r="H70" i="2"/>
  <c r="O105" i="2"/>
  <c r="F72" i="2"/>
  <c r="X113" i="2"/>
  <c r="S84" i="2"/>
  <c r="I47" i="2"/>
  <c r="U83" i="2"/>
  <c r="X51" i="2"/>
  <c r="W67" i="2"/>
  <c r="U77" i="2"/>
  <c r="L96" i="2"/>
  <c r="X107" i="2"/>
  <c r="U59" i="2"/>
  <c r="S83" i="2"/>
  <c r="M68" i="2"/>
  <c r="E97" i="2"/>
  <c r="K73" i="2"/>
  <c r="N63" i="2"/>
  <c r="E78" i="2"/>
  <c r="L97" i="2"/>
  <c r="AB47" i="3"/>
  <c r="AB86" i="3"/>
  <c r="AJ38" i="3"/>
  <c r="AN22" i="3"/>
  <c r="S36" i="3"/>
  <c r="L37" i="3"/>
  <c r="P25" i="3"/>
  <c r="I39" i="3"/>
  <c r="AG7" i="3"/>
  <c r="H40" i="3"/>
  <c r="V34" i="3"/>
  <c r="AM13" i="3"/>
  <c r="K42" i="3"/>
  <c r="R14" i="3"/>
  <c r="AQ21" i="3"/>
  <c r="AQ37" i="3"/>
  <c r="AI42" i="3"/>
  <c r="R10" i="3"/>
  <c r="AI20" i="3"/>
  <c r="AL36" i="3"/>
  <c r="AM17" i="3"/>
  <c r="Y26" i="3"/>
  <c r="W17" i="3"/>
  <c r="Z5" i="3"/>
  <c r="AB8" i="3"/>
  <c r="R11" i="3"/>
  <c r="K32" i="3"/>
  <c r="L24" i="3"/>
  <c r="AA39" i="3"/>
  <c r="AQ17" i="3"/>
  <c r="C11" i="3"/>
  <c r="K56" i="2"/>
  <c r="P95" i="2"/>
  <c r="S91" i="2"/>
  <c r="I74" i="2"/>
  <c r="T113" i="2"/>
  <c r="Q65" i="2"/>
  <c r="H48" i="2"/>
  <c r="F65" i="2"/>
  <c r="L92" i="2"/>
  <c r="V61" i="2"/>
  <c r="P97" i="2"/>
  <c r="L91" i="2"/>
  <c r="L43" i="2"/>
  <c r="F92" i="2"/>
  <c r="I96" i="2"/>
  <c r="I72" i="2"/>
  <c r="H50" i="2"/>
  <c r="G95" i="2"/>
  <c r="O46" i="2"/>
  <c r="V69" i="2"/>
  <c r="F44" i="2"/>
  <c r="X55" i="2"/>
  <c r="C54" i="2"/>
  <c r="N42" i="2"/>
  <c r="E74" i="2"/>
  <c r="T91" i="2"/>
  <c r="V59" i="2"/>
  <c r="N71" i="2"/>
  <c r="J45" i="2"/>
  <c r="I44" i="2"/>
  <c r="M111" i="2"/>
  <c r="L83" i="2"/>
  <c r="AB79" i="3"/>
  <c r="AP64" i="3"/>
  <c r="U21" i="3"/>
  <c r="AL27" i="3"/>
  <c r="H28" i="3"/>
  <c r="Z25" i="3"/>
  <c r="X14" i="3"/>
  <c r="R15" i="3"/>
  <c r="M32" i="3"/>
  <c r="AQ36" i="3"/>
  <c r="Y28" i="3"/>
  <c r="Z9" i="3"/>
  <c r="Q5" i="3"/>
  <c r="L22" i="3"/>
  <c r="AI32" i="3"/>
  <c r="Q45" i="2"/>
  <c r="G75" i="2"/>
  <c r="I94" i="2"/>
  <c r="N85" i="2"/>
  <c r="N56" i="2"/>
  <c r="K97" i="2"/>
  <c r="I71" i="2"/>
  <c r="I65" i="2"/>
  <c r="W97" i="2"/>
  <c r="S61" i="2"/>
  <c r="U48" i="2"/>
  <c r="X60" i="2"/>
  <c r="P54" i="2"/>
  <c r="N41" i="2"/>
  <c r="L47" i="2"/>
  <c r="M77" i="2"/>
  <c r="J106" i="2"/>
  <c r="M52" i="2"/>
  <c r="I59" i="2"/>
  <c r="H98" i="2"/>
  <c r="M73" i="2"/>
  <c r="H92" i="2"/>
  <c r="M107" i="2"/>
  <c r="T60" i="2"/>
  <c r="Q80" i="2"/>
  <c r="Q111" i="2"/>
  <c r="C80" i="2"/>
  <c r="J88" i="2"/>
  <c r="L61" i="2"/>
  <c r="K106" i="2"/>
  <c r="U52" i="2"/>
  <c r="P105" i="2"/>
  <c r="G108" i="2"/>
  <c r="M65" i="2"/>
  <c r="L107" i="2"/>
  <c r="M87" i="2"/>
  <c r="V87" i="2"/>
  <c r="T51" i="2"/>
  <c r="X57" i="2"/>
  <c r="Q97" i="2"/>
  <c r="X40" i="2"/>
  <c r="P112" i="2"/>
  <c r="N59" i="2"/>
  <c r="T85" i="2"/>
  <c r="D44" i="2"/>
  <c r="T104" i="2"/>
  <c r="Q48" i="2"/>
  <c r="V54" i="2"/>
  <c r="L76" i="2"/>
  <c r="Q105" i="2"/>
  <c r="L49" i="2"/>
  <c r="G104" i="2"/>
  <c r="W58" i="2"/>
  <c r="R96" i="2"/>
  <c r="N109" i="2"/>
  <c r="C97" i="2"/>
  <c r="C110" i="2"/>
  <c r="V44" i="2"/>
  <c r="S58" i="2"/>
  <c r="K58" i="2"/>
  <c r="N57" i="2"/>
  <c r="V95" i="2"/>
  <c r="AB94" i="3"/>
  <c r="AP60" i="3"/>
  <c r="AJ17" i="3"/>
  <c r="U30" i="3"/>
  <c r="AP41" i="3"/>
  <c r="AM25" i="3"/>
  <c r="AM11" i="3"/>
  <c r="AK17" i="3"/>
  <c r="J25" i="3"/>
  <c r="O8" i="3"/>
  <c r="N21" i="3"/>
  <c r="J54" i="2"/>
  <c r="G43" i="2"/>
  <c r="X71" i="2"/>
  <c r="X106" i="2"/>
  <c r="R46" i="2"/>
  <c r="H113" i="2"/>
  <c r="I41" i="2"/>
  <c r="D65" i="2"/>
  <c r="P79" i="2"/>
  <c r="D88" i="2"/>
  <c r="J52" i="2"/>
  <c r="S73" i="2"/>
  <c r="R57" i="2"/>
  <c r="R66" i="2"/>
  <c r="D97" i="2"/>
  <c r="G57" i="2"/>
  <c r="D84" i="2"/>
  <c r="C99" i="2"/>
  <c r="U73" i="2"/>
  <c r="Q90" i="2"/>
  <c r="N111" i="2"/>
  <c r="R70" i="2"/>
  <c r="V66" i="2"/>
  <c r="D95" i="2"/>
  <c r="I111" i="2"/>
  <c r="X43" i="2"/>
  <c r="H58" i="2"/>
  <c r="P57" i="2"/>
  <c r="C61" i="2"/>
  <c r="Q51" i="2"/>
  <c r="W112" i="2"/>
  <c r="C87" i="2"/>
  <c r="AB50" i="3"/>
  <c r="AP69" i="3"/>
  <c r="M106" i="2"/>
  <c r="Q83" i="2"/>
  <c r="H91" i="2"/>
  <c r="J107" i="2"/>
  <c r="C94" i="2"/>
  <c r="G106" i="2"/>
  <c r="O76" i="2"/>
  <c r="K61" i="2"/>
  <c r="D98" i="2"/>
  <c r="N107" i="2"/>
  <c r="M54" i="2"/>
  <c r="H53" i="2"/>
  <c r="C98" i="2"/>
  <c r="W99" i="2"/>
  <c r="V113" i="2"/>
  <c r="R77" i="2"/>
  <c r="W109" i="2"/>
  <c r="K98" i="2"/>
  <c r="H72" i="2"/>
  <c r="M41" i="2"/>
  <c r="M112" i="2"/>
  <c r="V63" i="2"/>
  <c r="F107" i="2"/>
  <c r="K92" i="2"/>
  <c r="M75" i="2"/>
  <c r="C83" i="2"/>
  <c r="M63" i="2"/>
  <c r="U110" i="2"/>
  <c r="P74" i="2"/>
  <c r="J98" i="2"/>
  <c r="H59" i="2"/>
  <c r="R60" i="2"/>
  <c r="AB93" i="3"/>
  <c r="AP77" i="3"/>
  <c r="AC18" i="3"/>
  <c r="Y40" i="3"/>
  <c r="C7" i="3"/>
  <c r="Z34" i="3"/>
  <c r="Q35" i="3"/>
  <c r="X36" i="3"/>
  <c r="X15" i="3"/>
  <c r="L6" i="3"/>
  <c r="AH7" i="3"/>
  <c r="P6" i="3"/>
  <c r="L23" i="3"/>
  <c r="T26" i="3"/>
  <c r="AJ11" i="3"/>
  <c r="AA41" i="3"/>
  <c r="AK13" i="3"/>
  <c r="U36" i="3"/>
  <c r="AO17" i="3"/>
  <c r="H16" i="3"/>
  <c r="AK14" i="3"/>
  <c r="S6" i="3"/>
  <c r="K30" i="3"/>
  <c r="K39" i="3"/>
  <c r="AK8" i="3"/>
  <c r="AJ37" i="3"/>
  <c r="AA28" i="3"/>
  <c r="AC41" i="3"/>
  <c r="J10" i="3"/>
  <c r="M18" i="3"/>
  <c r="K113" i="2"/>
  <c r="H51" i="2"/>
  <c r="G72" i="2"/>
  <c r="S67" i="2"/>
  <c r="G46" i="2"/>
  <c r="K86" i="2"/>
  <c r="Q40" i="2"/>
  <c r="S85" i="2"/>
  <c r="H82" i="2"/>
  <c r="H65" i="2"/>
  <c r="D57" i="2"/>
  <c r="K44" i="2"/>
  <c r="Q77" i="2"/>
  <c r="M113" i="2"/>
  <c r="K99" i="2"/>
  <c r="L110" i="2"/>
  <c r="V90" i="2"/>
  <c r="I53" i="2"/>
  <c r="L58" i="2"/>
  <c r="L57" i="2"/>
  <c r="J74" i="2"/>
  <c r="U60" i="2"/>
  <c r="L104" i="2"/>
  <c r="T89" i="2"/>
  <c r="X61" i="2"/>
  <c r="K57" i="2"/>
  <c r="T93" i="2"/>
  <c r="O88" i="2"/>
  <c r="T49" i="2"/>
  <c r="I58" i="2"/>
  <c r="N61" i="2"/>
  <c r="L78" i="2"/>
  <c r="AB90" i="3"/>
  <c r="AP89" i="3"/>
  <c r="O39" i="3"/>
  <c r="R24" i="3"/>
  <c r="O28" i="3"/>
  <c r="L11" i="3"/>
  <c r="AE14" i="3"/>
  <c r="AE39" i="3"/>
  <c r="AC42" i="3"/>
  <c r="AA42" i="3"/>
  <c r="N20" i="3"/>
  <c r="T22" i="3"/>
  <c r="C42" i="3"/>
  <c r="V38" i="3"/>
  <c r="AO10" i="3"/>
  <c r="Q9" i="3"/>
  <c r="O27" i="3"/>
  <c r="V13" i="3"/>
  <c r="AL12" i="3"/>
  <c r="V30" i="3"/>
  <c r="AI35" i="3"/>
  <c r="N13" i="3"/>
  <c r="AH27" i="3"/>
  <c r="H30" i="3"/>
  <c r="T42" i="3"/>
  <c r="AP35" i="3"/>
  <c r="AM27" i="3"/>
  <c r="K9" i="3"/>
  <c r="AQ28" i="3"/>
  <c r="Q10" i="3"/>
  <c r="P12" i="3"/>
  <c r="AD41" i="3"/>
  <c r="J92" i="2"/>
  <c r="O48" i="2"/>
  <c r="R90" i="2"/>
  <c r="R44" i="2"/>
  <c r="X75" i="2"/>
  <c r="W63" i="2"/>
  <c r="G73" i="2"/>
  <c r="S104" i="2"/>
  <c r="M76" i="2"/>
  <c r="R79" i="2"/>
  <c r="K45" i="2"/>
  <c r="F87" i="2"/>
  <c r="W62" i="2"/>
  <c r="E58" i="2"/>
  <c r="P98" i="2"/>
  <c r="U47" i="2"/>
  <c r="X110" i="2"/>
  <c r="S49" i="2"/>
  <c r="S107" i="2"/>
  <c r="D87" i="2"/>
  <c r="E98" i="2"/>
  <c r="T83" i="2"/>
  <c r="E91" i="2"/>
  <c r="N113" i="2"/>
  <c r="F56" i="2"/>
  <c r="M51" i="2"/>
  <c r="T109" i="2"/>
  <c r="D68" i="2"/>
  <c r="M67" i="2"/>
  <c r="O50" i="2"/>
  <c r="T63" i="2"/>
  <c r="AB58" i="3"/>
  <c r="AB62" i="3"/>
  <c r="W5" i="3"/>
  <c r="AQ39" i="3"/>
  <c r="L25" i="3"/>
  <c r="M29" i="3"/>
  <c r="N34" i="3"/>
  <c r="AP30" i="3"/>
  <c r="AM40" i="3"/>
  <c r="M20" i="3"/>
  <c r="AK24" i="3"/>
  <c r="R6" i="3"/>
  <c r="AI34" i="3"/>
  <c r="N32" i="3"/>
  <c r="AC17" i="3"/>
  <c r="AN19" i="3"/>
  <c r="I18" i="3"/>
  <c r="X22" i="3"/>
  <c r="AD40" i="3"/>
  <c r="U25" i="3"/>
  <c r="AO12" i="3"/>
  <c r="AQ26" i="3"/>
  <c r="Z18" i="3"/>
  <c r="X37" i="3"/>
  <c r="Y42" i="3"/>
  <c r="N17" i="3"/>
  <c r="AA15" i="3"/>
  <c r="R7" i="3"/>
  <c r="Q39" i="3"/>
  <c r="W48" i="2"/>
  <c r="P88" i="2"/>
  <c r="E46" i="2"/>
  <c r="U74" i="2"/>
  <c r="N88" i="2"/>
  <c r="M110" i="2"/>
  <c r="J50" i="2"/>
  <c r="O54" i="2"/>
  <c r="J65" i="2"/>
  <c r="Q66" i="2"/>
  <c r="C72" i="2"/>
  <c r="J47" i="2"/>
  <c r="Q68" i="2"/>
  <c r="I107" i="2"/>
  <c r="E67" i="2"/>
  <c r="D76" i="2"/>
  <c r="L62" i="2"/>
  <c r="W66" i="2"/>
  <c r="V94" i="2"/>
  <c r="J89" i="2"/>
  <c r="K84" i="2"/>
  <c r="J70" i="2"/>
  <c r="G105" i="2"/>
  <c r="J69" i="2"/>
  <c r="D104" i="2"/>
  <c r="X87" i="2"/>
  <c r="E113" i="2"/>
  <c r="X97" i="2"/>
  <c r="P48" i="2"/>
  <c r="N70" i="2"/>
  <c r="J81" i="2"/>
  <c r="N47" i="2"/>
  <c r="C47" i="3"/>
  <c r="AP49" i="3"/>
  <c r="AQ13" i="3"/>
  <c r="AH21" i="3"/>
  <c r="W37" i="3"/>
  <c r="Y6" i="3"/>
  <c r="O5" i="3"/>
  <c r="W15" i="3"/>
  <c r="AG27" i="3"/>
  <c r="Q26" i="3"/>
  <c r="AN23" i="3"/>
  <c r="M26" i="3"/>
  <c r="AG21" i="3"/>
  <c r="X5" i="3"/>
  <c r="AB26" i="3"/>
  <c r="AM30" i="3"/>
  <c r="AE20" i="3"/>
  <c r="P23" i="3"/>
  <c r="AD33" i="3"/>
  <c r="T19" i="3"/>
  <c r="C14" i="3"/>
  <c r="C31" i="3"/>
  <c r="U5" i="3"/>
  <c r="W20" i="3"/>
  <c r="AL5" i="3"/>
  <c r="AC40" i="3"/>
  <c r="C16" i="3"/>
  <c r="J35" i="3"/>
  <c r="AO37" i="3"/>
  <c r="AG11" i="3"/>
  <c r="AQ14" i="3"/>
  <c r="AO41" i="3"/>
  <c r="D99" i="2"/>
  <c r="L81" i="2"/>
  <c r="G47" i="2"/>
  <c r="W60" i="2"/>
  <c r="W40" i="2"/>
  <c r="T48" i="2"/>
  <c r="R84" i="2"/>
  <c r="V47" i="2"/>
  <c r="R73" i="2"/>
  <c r="T62" i="2"/>
  <c r="C91" i="2"/>
  <c r="H20" i="3"/>
  <c r="AH33" i="3"/>
  <c r="AG17" i="3"/>
  <c r="AJ16" i="3"/>
  <c r="AI5" i="3"/>
  <c r="AC8" i="3"/>
  <c r="H35" i="3"/>
  <c r="AQ41" i="3"/>
  <c r="AQ42" i="3"/>
  <c r="J32" i="3"/>
  <c r="AE36" i="3"/>
  <c r="Y14" i="3"/>
  <c r="R31" i="3"/>
  <c r="V35" i="3"/>
  <c r="U66" i="2"/>
  <c r="N97" i="2"/>
  <c r="Q63" i="2"/>
  <c r="Q91" i="2"/>
  <c r="O106" i="2"/>
  <c r="L94" i="2"/>
  <c r="D96" i="2"/>
  <c r="V56" i="2"/>
  <c r="O104" i="2"/>
  <c r="G94" i="2"/>
  <c r="T110" i="2"/>
  <c r="AB49" i="3"/>
  <c r="E49" i="3"/>
  <c r="N14" i="3"/>
  <c r="AM41" i="3"/>
  <c r="O15" i="3"/>
  <c r="R17" i="3"/>
  <c r="AH35" i="3"/>
  <c r="AN24" i="3"/>
  <c r="AI27" i="3"/>
  <c r="U26" i="3"/>
  <c r="J61" i="2"/>
  <c r="K94" i="2"/>
  <c r="C58" i="2"/>
  <c r="L51" i="2"/>
  <c r="T80" i="2"/>
  <c r="Q88" i="2"/>
  <c r="J73" i="2"/>
  <c r="M72" i="2"/>
  <c r="D67" i="2"/>
  <c r="I40" i="2"/>
  <c r="AB57" i="3"/>
  <c r="H41" i="3"/>
  <c r="W33" i="3"/>
  <c r="AJ41" i="3"/>
  <c r="AC36" i="3"/>
  <c r="P90" i="2"/>
  <c r="I78" i="2"/>
  <c r="V75" i="2"/>
  <c r="P107" i="2"/>
  <c r="M45" i="2"/>
  <c r="R51" i="2"/>
  <c r="L108" i="2"/>
  <c r="E107" i="2"/>
  <c r="S113" i="2"/>
  <c r="J90" i="2"/>
  <c r="K111" i="2"/>
  <c r="C49" i="3"/>
  <c r="N15" i="3"/>
  <c r="Q16" i="3"/>
  <c r="AB34" i="3"/>
  <c r="V18" i="3"/>
  <c r="R20" i="3"/>
  <c r="AG8" i="3"/>
  <c r="T14" i="3"/>
  <c r="W41" i="3"/>
  <c r="C6" i="3"/>
  <c r="AJ18" i="3"/>
  <c r="R27" i="3"/>
  <c r="V26" i="3"/>
  <c r="Y15" i="3"/>
  <c r="I31" i="3"/>
  <c r="R12" i="3"/>
  <c r="U20" i="3"/>
  <c r="U13" i="3"/>
  <c r="O84" i="2"/>
  <c r="K49" i="2"/>
  <c r="F41" i="2"/>
  <c r="E104" i="2"/>
  <c r="L69" i="2"/>
  <c r="G110" i="2"/>
  <c r="D71" i="2"/>
  <c r="V81" i="2"/>
  <c r="O91" i="2"/>
  <c r="U99" i="2"/>
  <c r="H110" i="2"/>
  <c r="K108" i="2"/>
  <c r="W88" i="2"/>
  <c r="F49" i="2"/>
  <c r="D86" i="2"/>
  <c r="O110" i="2"/>
  <c r="F79" i="2"/>
  <c r="G41" i="2"/>
  <c r="X77" i="2"/>
  <c r="T98" i="2"/>
  <c r="F47" i="2"/>
  <c r="N96" i="2"/>
  <c r="F78" i="2"/>
  <c r="C48" i="2"/>
  <c r="D69" i="2"/>
  <c r="X64" i="2"/>
  <c r="U41" i="2"/>
  <c r="H105" i="2"/>
  <c r="Q52" i="2"/>
  <c r="O42" i="2"/>
  <c r="P78" i="2"/>
  <c r="V86" i="2"/>
  <c r="J108" i="2"/>
  <c r="N80" i="2"/>
  <c r="R82" i="2"/>
  <c r="K66" i="2"/>
  <c r="C107" i="2"/>
  <c r="C86" i="2"/>
  <c r="O92" i="2"/>
  <c r="E72" i="2"/>
  <c r="U46" i="2"/>
  <c r="U93" i="2"/>
  <c r="H108" i="2"/>
  <c r="F85" i="2"/>
  <c r="P110" i="2"/>
  <c r="H45" i="2"/>
  <c r="R97" i="2"/>
  <c r="O62" i="2"/>
  <c r="AB60" i="3"/>
  <c r="AB75" i="3"/>
  <c r="H34" i="3"/>
  <c r="O23" i="3"/>
  <c r="AB19" i="3"/>
  <c r="AA34" i="3"/>
  <c r="G37" i="3"/>
  <c r="AP37" i="3"/>
  <c r="H27" i="3"/>
  <c r="C12" i="3"/>
  <c r="S11" i="3"/>
  <c r="I15" i="3"/>
  <c r="J17" i="3"/>
  <c r="W16" i="3"/>
  <c r="AE33" i="3"/>
  <c r="H37" i="3"/>
  <c r="W50" i="2"/>
  <c r="K91" i="2"/>
  <c r="F73" i="2"/>
  <c r="W91" i="2"/>
  <c r="M96" i="2"/>
  <c r="O75" i="2"/>
  <c r="O89" i="2"/>
  <c r="W43" i="2"/>
  <c r="D92" i="2"/>
  <c r="F94" i="2"/>
  <c r="W84" i="2"/>
  <c r="I62" i="2"/>
  <c r="P106" i="2"/>
  <c r="O85" i="2"/>
  <c r="L71" i="2"/>
  <c r="H94" i="2"/>
  <c r="E66" i="2"/>
  <c r="C109" i="2"/>
  <c r="N73" i="2"/>
  <c r="Q41" i="2"/>
  <c r="H96" i="2"/>
  <c r="N83" i="2"/>
  <c r="P89" i="2"/>
  <c r="S75" i="2"/>
  <c r="M74" i="2"/>
  <c r="W76" i="2"/>
  <c r="G85" i="2"/>
  <c r="X80" i="2"/>
  <c r="R99" i="2"/>
  <c r="X54" i="2"/>
  <c r="Q113" i="2"/>
  <c r="I57" i="2"/>
  <c r="I64" i="2"/>
  <c r="S82" i="2"/>
  <c r="H75" i="2"/>
  <c r="I48" i="2"/>
  <c r="V88" i="2"/>
  <c r="D48" i="2"/>
  <c r="I60" i="2"/>
  <c r="E49" i="2"/>
  <c r="T72" i="2"/>
  <c r="V78" i="2"/>
  <c r="V51" i="2"/>
  <c r="W72" i="2"/>
  <c r="E94" i="2"/>
  <c r="S55" i="2"/>
  <c r="W85" i="2"/>
  <c r="H73" i="2"/>
  <c r="O45" i="2"/>
  <c r="S76" i="2"/>
  <c r="L73" i="2"/>
  <c r="P61" i="2"/>
  <c r="C68" i="2"/>
  <c r="N75" i="2"/>
  <c r="K65" i="2"/>
  <c r="D73" i="2"/>
  <c r="W64" i="2"/>
  <c r="M64" i="2"/>
  <c r="N46" i="2"/>
  <c r="G69" i="2"/>
  <c r="V83" i="2"/>
  <c r="AP84" i="3"/>
  <c r="AP47" i="3"/>
  <c r="C21" i="3"/>
  <c r="AP25" i="3"/>
  <c r="AN31" i="3"/>
  <c r="Q27" i="3"/>
  <c r="I16" i="3"/>
  <c r="AH15" i="3"/>
  <c r="M36" i="3"/>
  <c r="AC37" i="3"/>
  <c r="P20" i="3"/>
  <c r="AQ32" i="3"/>
  <c r="V42" i="2"/>
  <c r="C92" i="2"/>
  <c r="T92" i="2"/>
  <c r="O73" i="2"/>
  <c r="S57" i="2"/>
  <c r="O107" i="2"/>
  <c r="L88" i="2"/>
  <c r="M97" i="2"/>
  <c r="S60" i="2"/>
  <c r="G97" i="2"/>
  <c r="I92" i="2"/>
  <c r="U71" i="2"/>
  <c r="P72" i="2"/>
  <c r="V92" i="2"/>
  <c r="M44" i="2"/>
  <c r="S105" i="2"/>
  <c r="C43" i="2"/>
  <c r="F86" i="2"/>
  <c r="S48" i="2"/>
  <c r="J84" i="2"/>
  <c r="T47" i="2"/>
  <c r="D55" i="2"/>
  <c r="K68" i="2"/>
  <c r="F64" i="2"/>
  <c r="D58" i="2"/>
  <c r="W110" i="2"/>
  <c r="W86" i="2"/>
  <c r="G42" i="2"/>
  <c r="R59" i="2"/>
  <c r="H109" i="2"/>
  <c r="F82" i="2"/>
  <c r="AP70" i="3"/>
  <c r="AP92" i="3"/>
  <c r="R29" i="3"/>
  <c r="I89" i="2"/>
  <c r="P104" i="2"/>
  <c r="U79" i="2"/>
  <c r="L75" i="2"/>
  <c r="D111" i="2"/>
  <c r="I67" i="2"/>
  <c r="X49" i="2"/>
  <c r="G45" i="2"/>
  <c r="P67" i="2"/>
  <c r="W113" i="2"/>
  <c r="K80" i="2"/>
  <c r="L113" i="2"/>
  <c r="X46" i="2"/>
  <c r="N104" i="2"/>
  <c r="N76" i="2"/>
  <c r="Q106" i="2"/>
  <c r="K109" i="2"/>
  <c r="E69" i="2"/>
  <c r="V76" i="2"/>
  <c r="G68" i="2"/>
  <c r="C82" i="2"/>
  <c r="Q75" i="2"/>
  <c r="M83" i="2"/>
  <c r="X52" i="2"/>
  <c r="D59" i="2"/>
  <c r="X91" i="2"/>
  <c r="T112" i="2"/>
  <c r="P52" i="2"/>
  <c r="U70" i="2"/>
  <c r="F62" i="2"/>
  <c r="D107" i="2"/>
  <c r="F88" i="2"/>
  <c r="AP65" i="3"/>
  <c r="AP73" i="3"/>
  <c r="AK5" i="3"/>
  <c r="AC20" i="3"/>
  <c r="AH13" i="3"/>
  <c r="O17" i="3"/>
  <c r="AI30" i="3"/>
  <c r="X10" i="3"/>
  <c r="AP40" i="3"/>
  <c r="AA40" i="3"/>
  <c r="Y38" i="3"/>
  <c r="L14" i="3"/>
  <c r="N36" i="3"/>
  <c r="AK41" i="3"/>
  <c r="L18" i="3"/>
  <c r="W10" i="3"/>
  <c r="AD19" i="3"/>
  <c r="R9" i="3"/>
  <c r="AM37" i="3"/>
  <c r="AL17" i="3"/>
  <c r="AK33" i="3"/>
  <c r="U10" i="3"/>
  <c r="Q21" i="3"/>
  <c r="Y9" i="3"/>
  <c r="R8" i="3"/>
  <c r="C36" i="3"/>
  <c r="S10" i="3"/>
  <c r="AL19" i="3"/>
  <c r="N18" i="3"/>
  <c r="U40" i="3"/>
  <c r="Q43" i="2"/>
  <c r="P51" i="2"/>
  <c r="N60" i="2"/>
  <c r="C88" i="2"/>
  <c r="X94" i="2"/>
  <c r="G77" i="2"/>
  <c r="F80" i="2"/>
  <c r="J53" i="2"/>
  <c r="L52" i="2"/>
  <c r="Q96" i="2"/>
  <c r="Q49" i="2"/>
  <c r="E60" i="2"/>
  <c r="R61" i="2"/>
  <c r="Q70" i="2"/>
  <c r="R85" i="2"/>
  <c r="H87" i="2"/>
  <c r="L74" i="2"/>
  <c r="Q81" i="2"/>
  <c r="X95" i="2"/>
  <c r="V50" i="2"/>
  <c r="O59" i="2"/>
  <c r="N95" i="2"/>
  <c r="K96" i="2"/>
  <c r="W78" i="2"/>
  <c r="K69" i="2"/>
  <c r="S110" i="2"/>
  <c r="V108" i="2"/>
  <c r="X86" i="2"/>
  <c r="D94" i="2"/>
  <c r="U108" i="2"/>
  <c r="M108" i="2"/>
  <c r="C63" i="2"/>
  <c r="AP57" i="3"/>
  <c r="AB85" i="3"/>
  <c r="N26" i="3"/>
  <c r="O21" i="3"/>
  <c r="AI41" i="3"/>
  <c r="S32" i="3"/>
  <c r="I8" i="3"/>
  <c r="R32" i="3"/>
  <c r="AM39" i="3"/>
  <c r="AB18" i="3"/>
  <c r="AI38" i="3"/>
  <c r="U12" i="3"/>
  <c r="Y31" i="3"/>
  <c r="I29" i="3"/>
  <c r="E48" i="3"/>
  <c r="I34" i="3"/>
  <c r="AE38" i="3"/>
  <c r="Q41" i="3"/>
  <c r="Z40" i="3"/>
  <c r="AL40" i="3"/>
  <c r="AA16" i="3"/>
  <c r="AC21" i="3"/>
  <c r="AG33" i="3"/>
  <c r="I11" i="3"/>
  <c r="N11" i="3"/>
  <c r="AM18" i="3"/>
  <c r="S20" i="3"/>
  <c r="K41" i="3"/>
  <c r="T13" i="3"/>
  <c r="K5" i="3"/>
  <c r="P36" i="3"/>
  <c r="X6" i="3"/>
  <c r="V106" i="2"/>
  <c r="N51" i="2"/>
  <c r="P91" i="2"/>
  <c r="T64" i="2"/>
  <c r="U105" i="2"/>
  <c r="D70" i="2"/>
  <c r="J78" i="2"/>
  <c r="T67" i="2"/>
  <c r="R106" i="2"/>
  <c r="T99" i="2"/>
  <c r="J55" i="2"/>
  <c r="G48" i="2"/>
  <c r="P111" i="2"/>
  <c r="R91" i="2"/>
  <c r="H46" i="2"/>
  <c r="E92" i="2"/>
  <c r="V89" i="2"/>
  <c r="H111" i="2"/>
  <c r="J76" i="2"/>
  <c r="S71" i="2"/>
  <c r="T82" i="2"/>
  <c r="E50" i="2"/>
  <c r="N106" i="2"/>
  <c r="I45" i="2"/>
  <c r="H67" i="2"/>
  <c r="K78" i="2"/>
  <c r="J51" i="2"/>
  <c r="R104" i="2"/>
  <c r="G76" i="2"/>
  <c r="J67" i="2"/>
  <c r="L40" i="2"/>
  <c r="AB55" i="3"/>
  <c r="AB56" i="3"/>
  <c r="J36" i="3"/>
  <c r="AO39" i="3"/>
  <c r="AK21" i="3"/>
  <c r="AD28" i="3"/>
  <c r="AQ18" i="3"/>
  <c r="U24" i="3"/>
  <c r="M39" i="3"/>
  <c r="AP8" i="3"/>
  <c r="AH11" i="3"/>
  <c r="AM9" i="3"/>
  <c r="H42" i="3"/>
  <c r="AJ36" i="3"/>
  <c r="AM24" i="3"/>
  <c r="AQ22" i="3"/>
  <c r="N30" i="3"/>
  <c r="AL7" i="3"/>
  <c r="K10" i="3"/>
  <c r="U9" i="3"/>
  <c r="Q30" i="3"/>
  <c r="P37" i="3"/>
  <c r="AN42" i="3"/>
  <c r="N31" i="3"/>
  <c r="W25" i="3"/>
  <c r="U32" i="3"/>
  <c r="AI17" i="3"/>
  <c r="AG13" i="3"/>
  <c r="N22" i="3"/>
  <c r="U57" i="2"/>
  <c r="M48" i="2"/>
  <c r="M93" i="2"/>
  <c r="L95" i="2"/>
  <c r="T84" i="2"/>
  <c r="J62" i="2"/>
  <c r="D51" i="2"/>
  <c r="L63" i="2"/>
  <c r="F53" i="2"/>
  <c r="L87" i="2"/>
  <c r="J72" i="2"/>
  <c r="N93" i="2"/>
  <c r="H78" i="2"/>
  <c r="I52" i="2"/>
  <c r="J104" i="2"/>
  <c r="O71" i="2"/>
  <c r="V52" i="2"/>
  <c r="C76" i="2"/>
  <c r="H81" i="2"/>
  <c r="I84" i="2"/>
  <c r="U88" i="2"/>
  <c r="O72" i="2"/>
  <c r="R49" i="2"/>
  <c r="E111" i="2"/>
  <c r="X67" i="2"/>
  <c r="U95" i="2"/>
  <c r="V41" i="2"/>
  <c r="O93" i="2"/>
  <c r="M70" i="2"/>
  <c r="E40" i="2"/>
  <c r="F98" i="2"/>
  <c r="U86" i="2"/>
  <c r="O70" i="2"/>
  <c r="G79" i="2"/>
  <c r="H76" i="2"/>
  <c r="F67" i="2"/>
  <c r="AP93" i="3"/>
  <c r="AB82" i="3"/>
  <c r="AN8" i="3"/>
  <c r="W28" i="3"/>
  <c r="AC39" i="3"/>
  <c r="J12" i="3"/>
  <c r="T33" i="3"/>
  <c r="W34" i="3"/>
  <c r="Y25" i="3"/>
  <c r="P22" i="3"/>
  <c r="T30" i="3"/>
  <c r="AP14" i="3"/>
  <c r="AC6" i="3"/>
  <c r="K19" i="3"/>
  <c r="C9" i="3"/>
  <c r="V57" i="2"/>
  <c r="T59" i="2"/>
  <c r="S87" i="2"/>
  <c r="J66" i="2"/>
  <c r="R52" i="2"/>
  <c r="F110" i="2"/>
  <c r="Q84" i="2"/>
  <c r="F63" i="2"/>
  <c r="Q104" i="2"/>
  <c r="L70" i="2"/>
  <c r="Q71" i="2"/>
  <c r="O43" i="2"/>
  <c r="F74" i="2"/>
  <c r="T54" i="2"/>
  <c r="I90" i="2"/>
  <c r="P80" i="2"/>
  <c r="V48" i="2"/>
  <c r="P40" i="2"/>
  <c r="K110" i="2"/>
  <c r="M98" i="2"/>
  <c r="V84" i="2"/>
  <c r="I46" i="2"/>
  <c r="J64" i="2"/>
  <c r="D77" i="2"/>
  <c r="J86" i="2"/>
  <c r="O111" i="2"/>
  <c r="T61" i="2"/>
  <c r="E73" i="2"/>
  <c r="H43" i="2"/>
  <c r="I68" i="2"/>
  <c r="C73" i="2"/>
  <c r="V58" i="2"/>
  <c r="M49" i="2"/>
  <c r="Q112" i="2"/>
  <c r="K55" i="2"/>
  <c r="N44" i="2"/>
  <c r="AP74" i="3"/>
  <c r="E47" i="3"/>
  <c r="AL9" i="3"/>
  <c r="M88" i="2"/>
  <c r="J41" i="2"/>
  <c r="C84" i="2"/>
  <c r="N82" i="2"/>
  <c r="F60" i="2"/>
  <c r="J113" i="2"/>
  <c r="C40" i="2"/>
  <c r="F81" i="2"/>
  <c r="T8" i="3"/>
  <c r="D61" i="2"/>
  <c r="L82" i="2"/>
  <c r="S78" i="2"/>
  <c r="L111" i="2"/>
  <c r="N62" i="2"/>
  <c r="U69" i="2"/>
  <c r="N54" i="2"/>
  <c r="AB88" i="3"/>
  <c r="AK37" i="3"/>
  <c r="P13" i="3"/>
  <c r="O9" i="3"/>
  <c r="AH41" i="3"/>
  <c r="AD26" i="3"/>
  <c r="R22" i="3"/>
  <c r="AO36" i="3"/>
  <c r="V60" i="2"/>
  <c r="K93" i="2"/>
  <c r="V43" i="2"/>
  <c r="Q95" i="2"/>
  <c r="C45" i="2"/>
  <c r="F54" i="2"/>
  <c r="V53" i="2"/>
  <c r="N98" i="2"/>
  <c r="Z30" i="3"/>
  <c r="W18" i="3"/>
  <c r="AC13" i="3"/>
  <c r="AH10" i="3"/>
  <c r="AO30" i="3"/>
  <c r="AN16" i="3"/>
  <c r="AK23" i="3"/>
  <c r="AJ29" i="3"/>
  <c r="J109" i="2"/>
  <c r="R78" i="2"/>
  <c r="G81" i="2"/>
  <c r="E41" i="2"/>
  <c r="U94" i="2"/>
  <c r="R76" i="2"/>
  <c r="Q98" i="2"/>
  <c r="U65" i="2"/>
  <c r="AN33" i="3"/>
  <c r="Q31" i="3"/>
  <c r="AA6" i="3"/>
  <c r="AA32" i="3"/>
  <c r="AO9" i="3"/>
  <c r="AK40" i="3"/>
  <c r="G34" i="3"/>
  <c r="I108" i="2"/>
  <c r="N84" i="2"/>
  <c r="D50" i="2"/>
  <c r="I76" i="2"/>
  <c r="J57" i="2"/>
  <c r="S108" i="2"/>
  <c r="U55" i="2"/>
  <c r="K67" i="2"/>
  <c r="X89" i="2"/>
  <c r="F43" i="2"/>
  <c r="E56" i="2"/>
  <c r="X111" i="2"/>
  <c r="F45" i="2"/>
  <c r="N55" i="2"/>
  <c r="AB68" i="3"/>
  <c r="C28" i="3"/>
  <c r="Q36" i="3"/>
  <c r="M11" i="3"/>
  <c r="AB23" i="3"/>
  <c r="R30" i="3"/>
  <c r="AK9" i="3"/>
  <c r="AK34" i="3"/>
  <c r="Y37" i="3"/>
  <c r="AC31" i="3"/>
  <c r="X40" i="3"/>
  <c r="S29" i="3"/>
  <c r="T29" i="3"/>
  <c r="Q8" i="3"/>
  <c r="X19" i="3"/>
  <c r="S13" i="3"/>
  <c r="AE6" i="3"/>
  <c r="G66" i="2"/>
  <c r="L93" i="2"/>
  <c r="F95" i="2"/>
  <c r="K95" i="2"/>
  <c r="K72" i="2"/>
  <c r="F61" i="2"/>
  <c r="Q72" i="2"/>
  <c r="X109" i="2"/>
  <c r="AP76" i="3"/>
  <c r="AE32" i="3"/>
  <c r="W29" i="3"/>
  <c r="L31" i="3"/>
  <c r="M33" i="3"/>
  <c r="Z31" i="3"/>
  <c r="S23" i="3"/>
  <c r="AC26" i="3"/>
  <c r="AM34" i="3"/>
  <c r="AQ25" i="3"/>
  <c r="AQ10" i="3"/>
  <c r="P76" i="2"/>
  <c r="J46" i="2"/>
  <c r="U53" i="2"/>
  <c r="T94" i="2"/>
  <c r="R112" i="2"/>
  <c r="M43" i="2"/>
  <c r="Q86" i="2"/>
  <c r="X81" i="2"/>
  <c r="T23" i="3"/>
  <c r="AH16" i="3"/>
  <c r="I26" i="3"/>
  <c r="H21" i="3"/>
  <c r="S30" i="3"/>
  <c r="AK36" i="3"/>
  <c r="AQ40" i="3"/>
  <c r="M71" i="2"/>
  <c r="S109" i="2"/>
  <c r="D63" i="2"/>
  <c r="W87" i="2"/>
  <c r="W107" i="2"/>
  <c r="H71" i="2"/>
  <c r="J48" i="2"/>
  <c r="D41" i="2"/>
  <c r="AP63" i="3"/>
  <c r="Z6" i="3"/>
  <c r="X24" i="3"/>
  <c r="AN37" i="3"/>
  <c r="D80" i="2"/>
  <c r="T69" i="2"/>
  <c r="R56" i="2"/>
  <c r="M78" i="2"/>
  <c r="D91" i="2"/>
  <c r="H62" i="2"/>
  <c r="Q60" i="2"/>
  <c r="G60" i="2"/>
  <c r="P32" i="3"/>
  <c r="H38" i="3"/>
  <c r="H6" i="3"/>
  <c r="AB11" i="3"/>
  <c r="M7" i="3"/>
  <c r="G48" i="3"/>
  <c r="M5" i="3"/>
  <c r="AM23" i="3"/>
  <c r="AN10" i="3"/>
  <c r="AK32" i="3"/>
  <c r="T38" i="3"/>
  <c r="AN41" i="3"/>
  <c r="AC24" i="3"/>
  <c r="D109" i="2"/>
  <c r="O68" i="2"/>
  <c r="X108" i="2"/>
  <c r="W59" i="2"/>
  <c r="N66" i="2"/>
  <c r="J87" i="2"/>
  <c r="G49" i="2"/>
  <c r="T76" i="2"/>
  <c r="T97" i="2"/>
  <c r="L48" i="2"/>
  <c r="P41" i="2"/>
  <c r="I86" i="2"/>
  <c r="J111" i="2"/>
  <c r="V46" i="2"/>
  <c r="G64" i="2"/>
  <c r="E42" i="2"/>
  <c r="K13" i="3"/>
  <c r="I23" i="3"/>
  <c r="S35" i="3"/>
  <c r="Z12" i="3"/>
  <c r="Q29" i="3"/>
  <c r="J38" i="3"/>
  <c r="S38" i="3"/>
  <c r="X13" i="3"/>
  <c r="X21" i="3"/>
  <c r="AB25" i="3"/>
  <c r="AC28" i="3"/>
  <c r="AJ39" i="3"/>
  <c r="S8" i="3"/>
  <c r="AL23" i="3"/>
  <c r="V14" i="3"/>
  <c r="K22" i="3"/>
  <c r="Q11" i="3"/>
  <c r="Q12" i="3"/>
  <c r="AA22" i="3"/>
  <c r="T18" i="3"/>
  <c r="I98" i="2"/>
  <c r="E62" i="2"/>
  <c r="I104" i="2"/>
  <c r="C53" i="2"/>
  <c r="N72" i="2"/>
  <c r="J63" i="2"/>
  <c r="R113" i="2"/>
  <c r="H69" i="2"/>
  <c r="I81" i="2"/>
  <c r="N67" i="2"/>
  <c r="AB83" i="3"/>
  <c r="AI6" i="3"/>
  <c r="X12" i="3"/>
  <c r="H13" i="3"/>
  <c r="AG15" i="3"/>
  <c r="AM5" i="3"/>
  <c r="AQ9" i="3"/>
  <c r="AI28" i="3"/>
  <c r="L36" i="3"/>
  <c r="R37" i="3"/>
  <c r="AD30" i="3"/>
  <c r="AD36" i="3"/>
  <c r="O77" i="2"/>
  <c r="K50" i="2"/>
  <c r="K62" i="2"/>
  <c r="U68" i="2"/>
  <c r="N105" i="2"/>
  <c r="R105" i="2"/>
  <c r="K51" i="2"/>
  <c r="O53" i="2"/>
  <c r="S47" i="2"/>
  <c r="S111" i="2"/>
  <c r="D42" i="2"/>
  <c r="AB91" i="3"/>
  <c r="R36" i="3"/>
  <c r="J37" i="3"/>
  <c r="AH24" i="3"/>
  <c r="R40" i="3"/>
  <c r="AC19" i="3"/>
  <c r="AG23" i="3"/>
  <c r="AH29" i="3"/>
  <c r="P19" i="3"/>
  <c r="V32" i="3"/>
  <c r="I33" i="3"/>
  <c r="X33" i="3"/>
  <c r="AM28" i="3"/>
  <c r="AJ10" i="3"/>
  <c r="S25" i="3"/>
  <c r="AB31" i="3"/>
  <c r="AL11" i="3"/>
  <c r="V23" i="3"/>
  <c r="I49" i="2"/>
  <c r="F113" i="2"/>
  <c r="T42" i="2"/>
  <c r="Q53" i="2"/>
  <c r="M91" i="2"/>
  <c r="Q89" i="2"/>
  <c r="I82" i="2"/>
  <c r="W44" i="2"/>
  <c r="R64" i="2"/>
  <c r="P82" i="2"/>
  <c r="N99" i="2"/>
  <c r="H106" i="2"/>
  <c r="J95" i="2"/>
  <c r="AB73" i="3"/>
  <c r="I85" i="2"/>
  <c r="R111" i="2"/>
  <c r="C108" i="2"/>
  <c r="G41" i="3"/>
  <c r="X20" i="3"/>
  <c r="R38" i="3"/>
  <c r="M16" i="3"/>
  <c r="C89" i="2"/>
  <c r="J49" i="2"/>
  <c r="L19" i="3"/>
  <c r="AG37" i="3"/>
  <c r="P18" i="3"/>
  <c r="E50" i="3"/>
  <c r="M37" i="3"/>
  <c r="L13" i="3"/>
  <c r="AA18" i="3"/>
  <c r="AB32" i="3"/>
  <c r="AA38" i="3"/>
  <c r="AP21" i="3"/>
  <c r="P9" i="3"/>
  <c r="AL38" i="3"/>
  <c r="K27" i="3"/>
  <c r="V40" i="3"/>
  <c r="AE22" i="3"/>
  <c r="I77" i="2"/>
  <c r="M95" i="2"/>
  <c r="AB71" i="3"/>
  <c r="N39" i="3"/>
  <c r="AN7" i="3"/>
  <c r="H32" i="3"/>
  <c r="AK39" i="3"/>
  <c r="Q15" i="3"/>
  <c r="K11" i="3"/>
  <c r="I32" i="3"/>
  <c r="AM42" i="3"/>
  <c r="AI33" i="3"/>
  <c r="S66" i="2"/>
  <c r="N81" i="2"/>
  <c r="O55" i="2"/>
  <c r="AP87" i="3"/>
  <c r="P30" i="3"/>
  <c r="W24" i="3"/>
  <c r="W36" i="3"/>
  <c r="AM29" i="3"/>
  <c r="AB7" i="3"/>
  <c r="AQ5" i="3"/>
  <c r="R5" i="3"/>
  <c r="Q32" i="3"/>
  <c r="P33" i="3"/>
  <c r="V72" i="2"/>
  <c r="L60" i="2"/>
  <c r="G83" i="2"/>
  <c r="AB41" i="3"/>
  <c r="AP16" i="3"/>
  <c r="AP11" i="3"/>
  <c r="Y36" i="3"/>
  <c r="Z20" i="3"/>
  <c r="AM31" i="3"/>
  <c r="AH5" i="3"/>
  <c r="M14" i="3"/>
  <c r="X35" i="3"/>
  <c r="F42" i="2"/>
  <c r="I87" i="2"/>
  <c r="AB87" i="3"/>
  <c r="L33" i="3"/>
  <c r="AP26" i="3"/>
  <c r="K15" i="3"/>
  <c r="AE28" i="3"/>
  <c r="J5" i="3"/>
  <c r="C4" i="3"/>
  <c r="AH9" i="3"/>
  <c r="AJ9" i="3"/>
  <c r="J19" i="3"/>
  <c r="AG35" i="3"/>
  <c r="L67" i="2"/>
  <c r="F111" i="2"/>
  <c r="Y10" i="3"/>
  <c r="M46" i="2"/>
  <c r="J40" i="2"/>
  <c r="U113" i="2"/>
  <c r="N19" i="3"/>
  <c r="AI10" i="3"/>
  <c r="AB24" i="3"/>
  <c r="Z29" i="3"/>
  <c r="P42" i="3"/>
  <c r="L12" i="3"/>
  <c r="O31" i="3"/>
  <c r="X18" i="3"/>
  <c r="M40" i="3"/>
  <c r="AE13" i="3"/>
  <c r="V24" i="3"/>
  <c r="H36" i="3"/>
  <c r="Y7" i="3"/>
  <c r="AG16" i="3"/>
  <c r="W61" i="2"/>
  <c r="W93" i="2"/>
  <c r="R89" i="2"/>
  <c r="W52" i="2"/>
  <c r="AD24" i="3"/>
  <c r="G35" i="3"/>
  <c r="AJ8" i="3"/>
  <c r="T12" i="3"/>
  <c r="R23" i="3"/>
  <c r="N38" i="3"/>
  <c r="AJ19" i="3"/>
  <c r="P38" i="3"/>
  <c r="P62" i="2"/>
  <c r="W12" i="3"/>
  <c r="Q42" i="2"/>
  <c r="Z14" i="3"/>
  <c r="H84" i="2"/>
  <c r="M81" i="2"/>
  <c r="AB48" i="3"/>
  <c r="AH17" i="3"/>
  <c r="J18" i="3"/>
  <c r="AO31" i="3"/>
  <c r="H10" i="3"/>
  <c r="P31" i="3"/>
  <c r="AI8" i="3"/>
  <c r="AI13" i="3"/>
  <c r="AD23" i="3"/>
  <c r="AJ6" i="3"/>
  <c r="T37" i="3"/>
  <c r="C10" i="3"/>
  <c r="G47" i="3"/>
  <c r="U17" i="3"/>
  <c r="L35" i="3"/>
  <c r="Y19" i="3"/>
  <c r="L27" i="3"/>
  <c r="AN13" i="3"/>
  <c r="W105" i="2"/>
  <c r="AL14" i="3"/>
  <c r="G98" i="2"/>
  <c r="W42" i="2"/>
  <c r="I88" i="2"/>
  <c r="S31" i="3"/>
  <c r="AH22" i="3"/>
  <c r="C15" i="3"/>
  <c r="U6" i="3"/>
  <c r="O10" i="3"/>
  <c r="AE42" i="3"/>
  <c r="AB27" i="3"/>
  <c r="I27" i="3"/>
  <c r="AB17" i="3"/>
  <c r="G88" i="2"/>
  <c r="X25" i="3"/>
  <c r="M23" i="3"/>
  <c r="S24" i="3"/>
  <c r="AL24" i="3"/>
  <c r="AD31" i="3"/>
  <c r="U111" i="2"/>
  <c r="AJ22" i="3"/>
  <c r="L39" i="3"/>
  <c r="C23" i="3"/>
  <c r="Y33" i="3"/>
  <c r="AM6" i="3"/>
  <c r="U91" i="2"/>
  <c r="W22" i="3"/>
  <c r="S41" i="3"/>
  <c r="AM10" i="3"/>
  <c r="AQ7" i="3"/>
  <c r="J40" i="3"/>
  <c r="W13" i="3"/>
  <c r="H63" i="2"/>
  <c r="I14" i="3"/>
  <c r="AC30" i="3"/>
  <c r="AO13" i="3"/>
  <c r="AJ24" i="3"/>
  <c r="AI25" i="3"/>
  <c r="D72" i="2"/>
  <c r="AB66" i="3"/>
  <c r="U23" i="3"/>
  <c r="O14" i="3"/>
  <c r="X104" i="2"/>
  <c r="C27" i="3"/>
  <c r="R25" i="3"/>
  <c r="AP22" i="3"/>
  <c r="Q17" i="3"/>
  <c r="N37" i="3"/>
  <c r="AC27" i="3"/>
  <c r="AQ15" i="3"/>
  <c r="AJ21" i="3"/>
  <c r="AP88" i="3"/>
  <c r="V33" i="3"/>
  <c r="AG30" i="3"/>
  <c r="AB6" i="3"/>
  <c r="R13" i="3"/>
  <c r="X30" i="3"/>
  <c r="C95" i="2"/>
  <c r="L59" i="2"/>
  <c r="L89" i="2"/>
  <c r="V82" i="2"/>
  <c r="AP66" i="3"/>
  <c r="AA17" i="3"/>
  <c r="F55" i="2"/>
  <c r="O51" i="2"/>
  <c r="AP54" i="3"/>
  <c r="D52" i="2"/>
  <c r="AP33" i="3"/>
  <c r="U49" i="2"/>
  <c r="S112" i="2"/>
  <c r="O37" i="3"/>
  <c r="AK10" i="3"/>
  <c r="AC10" i="3"/>
  <c r="G107" i="2"/>
  <c r="O81" i="2"/>
  <c r="D112" i="2"/>
  <c r="AB69" i="3"/>
  <c r="C25" i="3"/>
  <c r="AG34" i="3"/>
  <c r="L34" i="3"/>
  <c r="R95" i="2"/>
  <c r="K82" i="2"/>
  <c r="E89" i="2"/>
  <c r="N79" i="2"/>
  <c r="AB54" i="3"/>
  <c r="AA9" i="3"/>
  <c r="J27" i="3"/>
  <c r="AE8" i="3"/>
  <c r="S39" i="3"/>
  <c r="AG14" i="3"/>
  <c r="AQ20" i="3"/>
  <c r="E95" i="2"/>
  <c r="D45" i="2"/>
  <c r="N43" i="2"/>
  <c r="G56" i="2"/>
  <c r="AA14" i="3"/>
  <c r="E90" i="2"/>
  <c r="M86" i="2"/>
  <c r="L56" i="2"/>
  <c r="V55" i="2"/>
  <c r="F106" i="2"/>
  <c r="W104" i="2"/>
  <c r="AG42" i="3"/>
  <c r="AN27" i="3"/>
  <c r="AC23" i="3"/>
  <c r="Q14" i="3"/>
  <c r="Q37" i="3"/>
  <c r="J22" i="3"/>
  <c r="N16" i="3"/>
  <c r="W108" i="2"/>
  <c r="I66" i="2"/>
  <c r="P93" i="2"/>
  <c r="AP67" i="3"/>
  <c r="AE21" i="3"/>
  <c r="S42" i="2"/>
  <c r="O69" i="2"/>
  <c r="W65" i="2"/>
  <c r="F83" i="2"/>
  <c r="R108" i="2"/>
  <c r="U50" i="2"/>
  <c r="O80" i="2"/>
  <c r="D43" i="2"/>
  <c r="I79" i="2"/>
  <c r="AP12" i="3"/>
  <c r="AE25" i="3"/>
  <c r="V29" i="3"/>
  <c r="D93" i="2"/>
  <c r="P109" i="2"/>
  <c r="O57" i="2"/>
  <c r="X47" i="2"/>
  <c r="G93" i="2"/>
  <c r="N86" i="2"/>
  <c r="Q50" i="2"/>
  <c r="M42" i="2"/>
  <c r="O56" i="2"/>
  <c r="S40" i="2"/>
  <c r="E61" i="2"/>
  <c r="G61" i="2"/>
  <c r="V111" i="2"/>
  <c r="N53" i="2"/>
  <c r="P86" i="2"/>
  <c r="Q44" i="2"/>
  <c r="AP81" i="3"/>
  <c r="C38" i="3"/>
  <c r="AK27" i="3"/>
  <c r="P35" i="3"/>
  <c r="AA10" i="3"/>
  <c r="AH19" i="3"/>
  <c r="AG24" i="3"/>
  <c r="L10" i="3"/>
  <c r="M66" i="2"/>
  <c r="S96" i="2"/>
  <c r="L55" i="2"/>
  <c r="W56" i="2"/>
  <c r="K53" i="2"/>
  <c r="U112" i="2"/>
  <c r="R94" i="2"/>
  <c r="X85" i="2"/>
  <c r="J16" i="3"/>
  <c r="AL37" i="3"/>
  <c r="AJ14" i="3"/>
  <c r="Q22" i="3"/>
  <c r="AL13" i="3"/>
  <c r="P7" i="3"/>
  <c r="O13" i="3"/>
  <c r="T6" i="3"/>
  <c r="S44" i="2"/>
  <c r="U82" i="2"/>
  <c r="X90" i="2"/>
  <c r="E81" i="2"/>
  <c r="W69" i="2"/>
  <c r="N69" i="2"/>
  <c r="S65" i="2"/>
  <c r="X45" i="2"/>
  <c r="Z10" i="3"/>
  <c r="H24" i="3"/>
  <c r="Q38" i="3"/>
  <c r="T11" i="3"/>
  <c r="U14" i="3"/>
  <c r="AL32" i="3"/>
  <c r="H39" i="3"/>
  <c r="R109" i="2"/>
  <c r="O41" i="2"/>
  <c r="H112" i="2"/>
  <c r="J80" i="2"/>
  <c r="P87" i="2"/>
  <c r="H41" i="2"/>
  <c r="E99" i="2"/>
  <c r="M94" i="2"/>
  <c r="Q79" i="2"/>
  <c r="I43" i="2"/>
  <c r="Q61" i="2"/>
  <c r="X53" i="2"/>
  <c r="I75" i="2"/>
  <c r="P92" i="2"/>
  <c r="AB59" i="3"/>
  <c r="AG39" i="3"/>
  <c r="AE31" i="3"/>
  <c r="X34" i="3"/>
  <c r="Z35" i="3"/>
  <c r="K23" i="3"/>
  <c r="V25" i="3"/>
  <c r="AC9" i="3"/>
  <c r="H7" i="3"/>
  <c r="AA33" i="3"/>
  <c r="AI22" i="3"/>
  <c r="AA20" i="3"/>
  <c r="AN39" i="3"/>
  <c r="X11" i="3"/>
  <c r="AG29" i="3"/>
  <c r="Z33" i="3"/>
  <c r="N8" i="3"/>
  <c r="M85" i="2"/>
  <c r="M53" i="2"/>
  <c r="C49" i="2"/>
  <c r="O87" i="2"/>
  <c r="S93" i="2"/>
  <c r="L80" i="2"/>
  <c r="V68" i="2"/>
  <c r="N92" i="2"/>
  <c r="Z19" i="3"/>
  <c r="X7" i="3"/>
  <c r="AB38" i="3"/>
  <c r="C17" i="3"/>
  <c r="O6" i="3"/>
  <c r="W11" i="3"/>
  <c r="AI36" i="3"/>
  <c r="X32" i="3"/>
  <c r="T7" i="3"/>
  <c r="K31" i="3"/>
  <c r="O12" i="3"/>
  <c r="G71" i="2"/>
  <c r="C67" i="2"/>
  <c r="S53" i="2"/>
  <c r="R63" i="2"/>
  <c r="X42" i="2"/>
  <c r="M84" i="2"/>
  <c r="O67" i="2"/>
  <c r="F93" i="2"/>
  <c r="AH23" i="3"/>
  <c r="K40" i="3"/>
  <c r="AC29" i="3"/>
  <c r="Q23" i="3"/>
  <c r="Y16" i="3"/>
  <c r="J21" i="3"/>
  <c r="AH32" i="3"/>
  <c r="P55" i="2"/>
  <c r="O74" i="2"/>
  <c r="O78" i="2"/>
  <c r="W68" i="2"/>
  <c r="E71" i="2"/>
  <c r="O60" i="2"/>
  <c r="K112" i="2"/>
  <c r="K63" i="2"/>
  <c r="AB97" i="3"/>
  <c r="P5" i="3"/>
  <c r="AE34" i="3"/>
  <c r="M13" i="3"/>
  <c r="F50" i="2"/>
  <c r="N58" i="2"/>
  <c r="G89" i="2"/>
  <c r="P47" i="2"/>
  <c r="H89" i="2"/>
  <c r="V93" i="2"/>
  <c r="T52" i="2"/>
  <c r="N77" i="2"/>
  <c r="Y22" i="3"/>
  <c r="O38" i="3"/>
  <c r="Y18" i="3"/>
  <c r="J34" i="3"/>
  <c r="AQ23" i="3"/>
  <c r="AC16" i="3"/>
  <c r="C39" i="3"/>
  <c r="G38" i="3"/>
  <c r="AL18" i="3"/>
  <c r="X8" i="3"/>
  <c r="M24" i="3"/>
  <c r="S28" i="3"/>
  <c r="H33" i="3"/>
  <c r="O95" i="2"/>
  <c r="K52" i="2"/>
  <c r="T90" i="2"/>
  <c r="S92" i="2"/>
  <c r="W89" i="2"/>
  <c r="J97" i="2"/>
  <c r="T86" i="2"/>
  <c r="Q85" i="2"/>
  <c r="J93" i="2"/>
  <c r="U92" i="2"/>
  <c r="K105" i="2"/>
  <c r="S88" i="2"/>
  <c r="X105" i="2"/>
  <c r="K46" i="2"/>
  <c r="X112" i="2"/>
  <c r="AB77" i="3"/>
  <c r="P39" i="3"/>
  <c r="K38" i="3"/>
  <c r="X28" i="3"/>
  <c r="V9" i="3"/>
  <c r="AO24" i="3"/>
  <c r="AC25" i="3"/>
  <c r="R42" i="3"/>
  <c r="M30" i="3"/>
  <c r="Y32" i="3"/>
  <c r="AE17" i="3"/>
  <c r="R41" i="3"/>
  <c r="O36" i="3"/>
  <c r="AP24" i="3"/>
  <c r="AD34" i="3"/>
  <c r="X41" i="3"/>
  <c r="AK16" i="3"/>
  <c r="N41" i="3"/>
  <c r="AN21" i="3"/>
  <c r="L40" i="3"/>
  <c r="AK26" i="3"/>
  <c r="S106" i="2"/>
  <c r="T78" i="2"/>
  <c r="T95" i="2"/>
  <c r="U96" i="2"/>
  <c r="X99" i="2"/>
  <c r="J79" i="2"/>
  <c r="S72" i="2"/>
  <c r="C52" i="2"/>
  <c r="C78" i="2"/>
  <c r="H97" i="2"/>
  <c r="AP97" i="3"/>
  <c r="R18" i="3"/>
  <c r="AI16" i="3"/>
  <c r="AI21" i="3"/>
  <c r="P8" i="3"/>
  <c r="AL22" i="3"/>
  <c r="S27" i="3"/>
  <c r="AP31" i="3"/>
  <c r="W27" i="3"/>
  <c r="R33" i="3"/>
  <c r="AH28" i="3"/>
  <c r="L15" i="3"/>
  <c r="L86" i="2"/>
  <c r="S74" i="2"/>
  <c r="G99" i="2"/>
  <c r="X98" i="2"/>
  <c r="K88" i="2"/>
  <c r="V71" i="2"/>
  <c r="W106" i="2"/>
  <c r="K40" i="2"/>
  <c r="T96" i="2"/>
  <c r="C51" i="2"/>
  <c r="AP68" i="3"/>
  <c r="H17" i="3"/>
  <c r="AD35" i="3"/>
  <c r="L29" i="3"/>
  <c r="AH36" i="3"/>
  <c r="L20" i="3"/>
  <c r="AE18" i="3"/>
  <c r="AI19" i="3"/>
  <c r="AE5" i="3"/>
  <c r="N28" i="3"/>
  <c r="G49" i="3"/>
  <c r="W42" i="3"/>
  <c r="N7" i="3"/>
  <c r="J30" i="3"/>
  <c r="AC38" i="3"/>
  <c r="AM38" i="3"/>
  <c r="AK18" i="3"/>
  <c r="W8" i="3"/>
  <c r="Q62" i="2"/>
  <c r="M62" i="2"/>
  <c r="D85" i="2"/>
  <c r="O98" i="2"/>
  <c r="D78" i="2"/>
  <c r="I106" i="2"/>
  <c r="L112" i="2"/>
  <c r="L50" i="2"/>
  <c r="C74" i="2"/>
  <c r="U87" i="2"/>
  <c r="P43" i="2"/>
  <c r="K89" i="2"/>
  <c r="R45" i="2"/>
  <c r="S54" i="2"/>
  <c r="AP71" i="3"/>
  <c r="I113" i="2"/>
  <c r="U89" i="2"/>
  <c r="AP55" i="3"/>
  <c r="L7" i="3"/>
  <c r="W32" i="3"/>
  <c r="AP20" i="3"/>
  <c r="H60" i="2"/>
  <c r="G53" i="2"/>
  <c r="X78" i="2"/>
  <c r="S16" i="3"/>
  <c r="T35" i="3"/>
  <c r="AJ20" i="3"/>
  <c r="AK7" i="3"/>
  <c r="J20" i="3"/>
  <c r="Z41" i="3"/>
  <c r="T39" i="3"/>
  <c r="AQ16" i="3"/>
  <c r="I5" i="3"/>
  <c r="AH39" i="3"/>
  <c r="AA19" i="3"/>
  <c r="T21" i="3"/>
  <c r="M19" i="3"/>
  <c r="S94" i="2"/>
  <c r="AE15" i="3"/>
  <c r="R87" i="2"/>
  <c r="P60" i="2"/>
  <c r="N24" i="3"/>
  <c r="V41" i="3"/>
  <c r="AP28" i="3"/>
  <c r="AB13" i="3"/>
  <c r="P11" i="3"/>
  <c r="Z32" i="3"/>
  <c r="C13" i="3"/>
  <c r="Z17" i="3"/>
  <c r="M41" i="3"/>
  <c r="H22" i="3"/>
  <c r="AB35" i="3"/>
  <c r="C69" i="2"/>
  <c r="W45" i="2"/>
  <c r="M35" i="3"/>
  <c r="L8" i="3"/>
  <c r="W6" i="3"/>
  <c r="O30" i="3"/>
  <c r="AJ28" i="3"/>
  <c r="X9" i="3"/>
  <c r="U7" i="3"/>
  <c r="AQ34" i="3"/>
  <c r="Z27" i="3"/>
  <c r="V15" i="3"/>
  <c r="Q74" i="2"/>
  <c r="W53" i="2"/>
  <c r="AP94" i="3"/>
  <c r="W40" i="3"/>
  <c r="T41" i="3"/>
  <c r="O7" i="3"/>
  <c r="O26" i="3"/>
  <c r="Z22" i="3"/>
  <c r="AA29" i="3"/>
  <c r="AE26" i="3"/>
  <c r="O33" i="3"/>
  <c r="AL34" i="3"/>
  <c r="C47" i="2"/>
  <c r="I110" i="2"/>
  <c r="AJ31" i="3"/>
  <c r="U41" i="3"/>
  <c r="I41" i="3"/>
  <c r="L38" i="3"/>
  <c r="H15" i="3"/>
  <c r="U27" i="3"/>
  <c r="J28" i="3"/>
  <c r="V10" i="3"/>
  <c r="Y41" i="3"/>
  <c r="T31" i="3"/>
  <c r="O113" i="2"/>
  <c r="AB81" i="3"/>
  <c r="L16" i="3"/>
  <c r="Q25" i="3"/>
  <c r="J82" i="2"/>
  <c r="D60" i="2"/>
  <c r="AB67" i="3"/>
  <c r="Y13" i="3"/>
  <c r="H9" i="3"/>
  <c r="I21" i="3"/>
  <c r="I6" i="3"/>
  <c r="AG31" i="3"/>
  <c r="AH38" i="3"/>
  <c r="S15" i="3"/>
  <c r="L21" i="3"/>
  <c r="C26" i="3"/>
  <c r="AN26" i="3"/>
  <c r="R35" i="3"/>
  <c r="AG10" i="3"/>
  <c r="AH25" i="3"/>
  <c r="O34" i="3"/>
  <c r="G67" i="2"/>
  <c r="N112" i="2"/>
  <c r="F112" i="2"/>
  <c r="AB61" i="3"/>
  <c r="AQ38" i="3"/>
  <c r="P27" i="3"/>
  <c r="V27" i="3"/>
  <c r="M38" i="3"/>
  <c r="L42" i="3"/>
  <c r="Y12" i="3"/>
  <c r="N23" i="3"/>
  <c r="AA27" i="3"/>
  <c r="S97" i="2"/>
  <c r="AO42" i="3"/>
  <c r="X16" i="3"/>
  <c r="AP32" i="3"/>
  <c r="W83" i="2"/>
  <c r="O79" i="2"/>
  <c r="AB74" i="3"/>
  <c r="V12" i="3"/>
  <c r="AB10" i="3"/>
  <c r="Z37" i="3"/>
  <c r="AO16" i="3"/>
  <c r="AH26" i="3"/>
  <c r="K12" i="3"/>
  <c r="H8" i="3"/>
  <c r="V37" i="3"/>
  <c r="AH8" i="3"/>
  <c r="AD27" i="3"/>
  <c r="N12" i="3"/>
  <c r="W39" i="3"/>
  <c r="AO5" i="3"/>
  <c r="AM22" i="3"/>
  <c r="AH40" i="3"/>
  <c r="AI18" i="3"/>
  <c r="AK15" i="3"/>
  <c r="AI11" i="3"/>
  <c r="T15" i="3"/>
  <c r="E86" i="2"/>
  <c r="H56" i="2"/>
  <c r="O61" i="2"/>
  <c r="AE24" i="3"/>
  <c r="G40" i="3"/>
  <c r="T16" i="3"/>
  <c r="AC5" i="3"/>
  <c r="AC85" i="3" s="1"/>
  <c r="R21" i="3"/>
  <c r="AB12" i="3"/>
  <c r="Y8" i="3"/>
  <c r="AQ31" i="3"/>
  <c r="K8" i="3"/>
  <c r="AB89" i="3"/>
  <c r="Y20" i="3"/>
  <c r="L109" i="2"/>
  <c r="C19" i="3"/>
  <c r="G33" i="3"/>
  <c r="V39" i="3"/>
  <c r="C85" i="2"/>
  <c r="M69" i="2"/>
  <c r="K41" i="2"/>
  <c r="AO15" i="3"/>
  <c r="G39" i="3"/>
  <c r="AP38" i="3"/>
  <c r="M105" i="2"/>
  <c r="K42" i="2"/>
  <c r="E112" i="2"/>
  <c r="AB20" i="3"/>
  <c r="AN29" i="3"/>
  <c r="AJ42" i="3"/>
  <c r="V74" i="2"/>
  <c r="C71" i="2"/>
  <c r="F109" i="2"/>
  <c r="H79" i="2"/>
  <c r="O65" i="2"/>
  <c r="E87" i="2"/>
  <c r="T17" i="3"/>
  <c r="AN35" i="3"/>
  <c r="U28" i="3"/>
  <c r="AE41" i="3"/>
  <c r="AA7" i="3"/>
  <c r="K34" i="3"/>
  <c r="C35" i="3"/>
  <c r="Z26" i="3"/>
  <c r="F70" i="2"/>
  <c r="V65" i="2"/>
  <c r="W75" i="2"/>
  <c r="R80" i="2"/>
  <c r="D75" i="2"/>
  <c r="AL20" i="3"/>
  <c r="AB37" i="3"/>
  <c r="G50" i="3"/>
  <c r="P17" i="3"/>
  <c r="U18" i="3"/>
  <c r="AG41" i="3"/>
  <c r="AD22" i="3"/>
  <c r="C41" i="2"/>
  <c r="M92" i="2"/>
  <c r="X96" i="2"/>
  <c r="T58" i="2"/>
  <c r="AP10" i="3"/>
  <c r="AP34" i="3"/>
  <c r="AN14" i="3"/>
  <c r="AE30" i="3"/>
  <c r="W98" i="2"/>
  <c r="L77" i="2"/>
  <c r="R72" i="2"/>
  <c r="X68" i="2"/>
  <c r="U15" i="3"/>
  <c r="AM21" i="3"/>
  <c r="R86" i="2"/>
  <c r="L45" i="2"/>
  <c r="K71" i="2"/>
  <c r="C48" i="3"/>
  <c r="T32" i="3"/>
  <c r="AB21" i="3"/>
  <c r="AO29" i="3"/>
  <c r="U35" i="3"/>
  <c r="AK38" i="3"/>
  <c r="K16" i="3"/>
  <c r="D108" i="2"/>
  <c r="U109" i="2"/>
  <c r="P66" i="2"/>
  <c r="P70" i="2"/>
  <c r="T56" i="2"/>
  <c r="P45" i="2"/>
  <c r="I38" i="3"/>
  <c r="N5" i="3"/>
  <c r="C32" i="3"/>
  <c r="AK11" i="3"/>
  <c r="M6" i="3"/>
  <c r="AA13" i="3"/>
  <c r="U34" i="3"/>
  <c r="AG12" i="3"/>
  <c r="V36" i="3"/>
  <c r="AD39" i="3"/>
  <c r="V21" i="3"/>
  <c r="X83" i="2"/>
  <c r="P63" i="2"/>
  <c r="T50" i="2"/>
  <c r="H44" i="2"/>
  <c r="L98" i="2"/>
  <c r="E77" i="2"/>
  <c r="T24" i="3"/>
  <c r="O41" i="3"/>
  <c r="L30" i="3"/>
  <c r="AB29" i="3"/>
  <c r="AP18" i="3"/>
  <c r="Z23" i="3"/>
  <c r="AN38" i="3"/>
  <c r="C20" i="3"/>
  <c r="X59" i="2"/>
  <c r="P68" i="2"/>
  <c r="K90" i="2"/>
  <c r="X62" i="2"/>
  <c r="I61" i="2"/>
  <c r="V62" i="2"/>
  <c r="E54" i="2"/>
  <c r="Q107" i="2"/>
  <c r="D40" i="2"/>
  <c r="V45" i="2"/>
  <c r="AB72" i="3"/>
  <c r="G36" i="3"/>
  <c r="Z11" i="3"/>
  <c r="AK29" i="3"/>
  <c r="O24" i="3"/>
  <c r="K24" i="3"/>
  <c r="AN40" i="3"/>
  <c r="AI7" i="3"/>
  <c r="H29" i="3"/>
  <c r="AO26" i="3"/>
  <c r="F40" i="2"/>
  <c r="G65" i="2"/>
  <c r="K74" i="2"/>
  <c r="W92" i="2"/>
  <c r="O44" i="2"/>
  <c r="O109" i="2"/>
  <c r="S63" i="2"/>
  <c r="C37" i="3"/>
  <c r="F46" i="2"/>
  <c r="X70" i="2"/>
  <c r="O63" i="2"/>
  <c r="AA25" i="3"/>
  <c r="O11" i="3"/>
  <c r="U39" i="3"/>
  <c r="AP27" i="3"/>
  <c r="S18" i="3"/>
  <c r="AK35" i="3"/>
  <c r="U80" i="2"/>
  <c r="T57" i="2"/>
  <c r="AJ30" i="3"/>
  <c r="X17" i="3"/>
  <c r="AO25" i="3"/>
  <c r="K77" i="2"/>
  <c r="J15" i="3"/>
  <c r="N6" i="3"/>
  <c r="T27" i="3"/>
  <c r="AN30" i="3"/>
  <c r="I51" i="2"/>
  <c r="AA21" i="3"/>
  <c r="AN18" i="3"/>
  <c r="W111" i="2"/>
  <c r="AC33" i="3"/>
  <c r="AJ27" i="3"/>
  <c r="W41" i="2"/>
  <c r="U62" i="2"/>
  <c r="Z24" i="3"/>
  <c r="AJ40" i="3"/>
  <c r="AO34" i="3"/>
  <c r="AB95" i="3"/>
  <c r="K36" i="3"/>
  <c r="AM20" i="3"/>
  <c r="U8" i="3"/>
  <c r="N25" i="3"/>
  <c r="I56" i="2"/>
  <c r="C34" i="3"/>
  <c r="AG19" i="3"/>
  <c r="AQ35" i="3"/>
  <c r="K20" i="3"/>
  <c r="V20" i="3"/>
  <c r="AA35" i="3"/>
  <c r="E93" i="2"/>
  <c r="J29" i="3"/>
  <c r="K26" i="3"/>
  <c r="G113" i="2"/>
  <c r="R47" i="2"/>
  <c r="I93" i="2"/>
  <c r="H5" i="3"/>
  <c r="H77" i="3" s="1"/>
  <c r="Q108" i="2"/>
  <c r="D81" i="2"/>
  <c r="V70" i="2"/>
  <c r="G40" i="2"/>
  <c r="M58" i="2"/>
  <c r="L105" i="2"/>
  <c r="AQ8" i="3"/>
  <c r="K14" i="3"/>
  <c r="N78" i="2"/>
  <c r="T106" i="2"/>
  <c r="G78" i="2"/>
  <c r="Z28" i="3"/>
  <c r="AE37" i="3"/>
  <c r="R67" i="2"/>
  <c r="G82" i="2"/>
  <c r="F58" i="2"/>
  <c r="C8" i="3"/>
  <c r="T45" i="2"/>
  <c r="U78" i="2"/>
  <c r="T41" i="2"/>
  <c r="G70" i="2"/>
  <c r="AI15" i="3"/>
  <c r="N42" i="3"/>
  <c r="K17" i="3"/>
  <c r="AB33" i="3"/>
  <c r="T40" i="2"/>
  <c r="U85" i="2"/>
  <c r="AE10" i="3"/>
  <c r="AM12" i="3"/>
  <c r="AB42" i="3"/>
  <c r="V6" i="3"/>
  <c r="AC35" i="3"/>
  <c r="V49" i="2"/>
  <c r="J94" i="2"/>
  <c r="J77" i="2"/>
  <c r="AP61" i="3"/>
  <c r="I7" i="3"/>
  <c r="I10" i="3"/>
  <c r="D53" i="2"/>
  <c r="W80" i="2"/>
  <c r="V79" i="2"/>
  <c r="U104" i="2"/>
  <c r="C42" i="2"/>
  <c r="S59" i="2"/>
  <c r="AB96" i="3"/>
  <c r="AJ33" i="3"/>
  <c r="AG6" i="3"/>
  <c r="AK6" i="3"/>
  <c r="AL35" i="3"/>
  <c r="M82" i="2"/>
  <c r="H42" i="2"/>
  <c r="R48" i="2"/>
  <c r="G87" i="2"/>
  <c r="AB64" i="3"/>
  <c r="Y39" i="3"/>
  <c r="AP9" i="3"/>
  <c r="AL21" i="3"/>
  <c r="Q20" i="3"/>
  <c r="AO27" i="3"/>
  <c r="D62" i="2"/>
  <c r="C60" i="2"/>
  <c r="F97" i="2"/>
  <c r="AG28" i="3"/>
  <c r="L46" i="2"/>
  <c r="T73" i="2"/>
  <c r="U97" i="2"/>
  <c r="E47" i="2"/>
  <c r="D49" i="2"/>
  <c r="E57" i="2"/>
  <c r="D64" i="2"/>
  <c r="V91" i="2"/>
  <c r="W26" i="3"/>
  <c r="T34" i="3"/>
  <c r="J8" i="3"/>
  <c r="G90" i="2"/>
  <c r="H74" i="2"/>
  <c r="Q99" i="2"/>
  <c r="T46" i="2"/>
  <c r="R93" i="2"/>
  <c r="L66" i="2"/>
  <c r="F59" i="2"/>
  <c r="AB78" i="3"/>
  <c r="P85" i="2"/>
  <c r="P65" i="2"/>
  <c r="S99" i="2"/>
  <c r="O58" i="2"/>
  <c r="F48" i="2"/>
  <c r="O99" i="2"/>
  <c r="P58" i="2"/>
  <c r="H93" i="2"/>
  <c r="S7" i="3"/>
  <c r="W21" i="3"/>
  <c r="P16" i="3"/>
  <c r="Y23" i="3"/>
  <c r="AN36" i="3"/>
  <c r="E53" i="2"/>
  <c r="W77" i="2"/>
  <c r="E108" i="2"/>
  <c r="D82" i="2"/>
  <c r="AP56" i="3"/>
  <c r="AM14" i="3"/>
  <c r="I25" i="3"/>
  <c r="AN28" i="3"/>
  <c r="J24" i="3"/>
  <c r="H107" i="2"/>
  <c r="T77" i="2"/>
  <c r="O83" i="2"/>
  <c r="V99" i="2"/>
  <c r="X48" i="2"/>
  <c r="AB92" i="3"/>
  <c r="AD38" i="3"/>
  <c r="C33" i="3"/>
  <c r="L17" i="3"/>
  <c r="AK28" i="3"/>
  <c r="T88" i="2"/>
  <c r="I83" i="2"/>
  <c r="H95" i="2"/>
  <c r="F68" i="2"/>
  <c r="U90" i="2"/>
  <c r="C90" i="2"/>
  <c r="S56" i="2"/>
  <c r="U64" i="2"/>
  <c r="AP58" i="3"/>
  <c r="I37" i="3"/>
  <c r="M15" i="3"/>
  <c r="S17" i="3"/>
  <c r="H18" i="3"/>
  <c r="M27" i="3"/>
  <c r="Y5" i="3"/>
  <c r="Y92" i="3" s="1"/>
  <c r="R16" i="3"/>
  <c r="I42" i="3"/>
  <c r="D79" i="2"/>
  <c r="C93" i="2"/>
  <c r="AP96" i="3"/>
  <c r="AN9" i="3"/>
  <c r="W7" i="3"/>
  <c r="AO23" i="3"/>
  <c r="J9" i="3"/>
  <c r="T66" i="2"/>
  <c r="L79" i="2"/>
  <c r="L99" i="2"/>
  <c r="AP75" i="3"/>
  <c r="AL30" i="3"/>
  <c r="AK22" i="3"/>
  <c r="X26" i="3"/>
  <c r="J43" i="2"/>
  <c r="T65" i="2"/>
  <c r="O86" i="2"/>
  <c r="U43" i="2"/>
  <c r="AM33" i="3"/>
  <c r="O16" i="3"/>
  <c r="E64" i="2"/>
  <c r="D110" i="2"/>
  <c r="C62" i="2"/>
  <c r="C66" i="2"/>
  <c r="AH31" i="3"/>
  <c r="AN32" i="3"/>
  <c r="K21" i="3"/>
  <c r="S19" i="3"/>
  <c r="AC12" i="3"/>
  <c r="U42" i="3"/>
  <c r="AG25" i="3"/>
  <c r="X65" i="2"/>
  <c r="R81" i="2"/>
  <c r="P99" i="2"/>
  <c r="E88" i="2"/>
  <c r="E82" i="2"/>
  <c r="G92" i="2"/>
  <c r="O90" i="2"/>
  <c r="J68" i="2"/>
  <c r="I69" i="2"/>
  <c r="AP91" i="3"/>
  <c r="H14" i="3"/>
  <c r="AQ19" i="3"/>
  <c r="AG36" i="3"/>
  <c r="AD47" i="3"/>
  <c r="S5" i="3"/>
  <c r="S79" i="3" s="1"/>
  <c r="D47" i="3"/>
  <c r="AK19" i="3"/>
  <c r="Y29" i="3"/>
  <c r="P50" i="2"/>
  <c r="U81" i="2"/>
  <c r="F51" i="2"/>
  <c r="U106" i="2"/>
  <c r="F77" i="2"/>
  <c r="AB63" i="3"/>
  <c r="I9" i="3"/>
  <c r="AN12" i="3"/>
  <c r="AP15" i="3"/>
  <c r="I19" i="3"/>
  <c r="S40" i="3"/>
  <c r="C40" i="3"/>
  <c r="AH34" i="3"/>
  <c r="I20" i="3"/>
  <c r="U29" i="3"/>
  <c r="AE16" i="3"/>
  <c r="AD49" i="3"/>
  <c r="E106" i="2"/>
  <c r="F99" i="2"/>
  <c r="N64" i="2"/>
  <c r="L65" i="2"/>
  <c r="V80" i="2"/>
  <c r="E51" i="2"/>
  <c r="I55" i="2"/>
  <c r="V97" i="2"/>
  <c r="AP95" i="3"/>
  <c r="C104" i="2"/>
  <c r="V28" i="3"/>
  <c r="AL26" i="3"/>
  <c r="S64" i="2"/>
  <c r="M22" i="3"/>
  <c r="V11" i="3"/>
  <c r="T9" i="3"/>
  <c r="T36" i="3"/>
  <c r="AC11" i="3"/>
  <c r="AL39" i="3"/>
  <c r="AM15" i="3"/>
  <c r="Q82" i="2"/>
  <c r="X31" i="3"/>
  <c r="L28" i="3"/>
  <c r="J23" i="3"/>
  <c r="AG22" i="3"/>
  <c r="K54" i="2"/>
  <c r="AA36" i="3"/>
  <c r="AP39" i="3"/>
  <c r="AM19" i="3"/>
  <c r="AH20" i="3"/>
  <c r="L44" i="2"/>
  <c r="AC22" i="3"/>
  <c r="V7" i="3"/>
  <c r="I12" i="3"/>
  <c r="W14" i="3"/>
  <c r="G55" i="2"/>
  <c r="J42" i="3"/>
  <c r="H23" i="3"/>
  <c r="P26" i="3"/>
  <c r="AI14" i="3"/>
  <c r="AC15" i="3"/>
  <c r="AK31" i="3"/>
  <c r="AP23" i="3"/>
  <c r="Z7" i="3"/>
  <c r="AB28" i="3"/>
  <c r="AE12" i="3"/>
  <c r="S79" i="2"/>
  <c r="S14" i="3"/>
  <c r="M109" i="2"/>
  <c r="AG26" i="3"/>
  <c r="Q6" i="3"/>
  <c r="F108" i="2"/>
  <c r="S80" i="2"/>
  <c r="H90" i="2"/>
  <c r="AB22" i="3"/>
  <c r="N9" i="3"/>
  <c r="C18" i="3"/>
  <c r="AE35" i="3"/>
  <c r="AN15" i="3"/>
  <c r="W35" i="3"/>
  <c r="H25" i="3"/>
  <c r="S43" i="2"/>
  <c r="AA8" i="3"/>
  <c r="Z13" i="3"/>
  <c r="AC32" i="3"/>
  <c r="AD42" i="3"/>
  <c r="N68" i="2"/>
  <c r="O40" i="2"/>
  <c r="M60" i="2"/>
  <c r="P56" i="2"/>
  <c r="G58" i="2"/>
  <c r="E70" i="2"/>
  <c r="D74" i="2"/>
  <c r="J96" i="2"/>
  <c r="AM32" i="3"/>
  <c r="AJ15" i="3"/>
  <c r="J13" i="3"/>
  <c r="AC34" i="3"/>
  <c r="E63" i="2"/>
  <c r="S68" i="2"/>
  <c r="H47" i="2"/>
  <c r="AP62" i="3"/>
  <c r="AN17" i="3"/>
  <c r="AQ11" i="3"/>
  <c r="U67" i="2"/>
  <c r="O66" i="2"/>
  <c r="S33" i="3"/>
  <c r="AI37" i="3"/>
  <c r="V107" i="2"/>
  <c r="W73" i="2"/>
  <c r="M99" i="2"/>
  <c r="Q94" i="2"/>
  <c r="X56" i="2"/>
  <c r="R107" i="2"/>
  <c r="U40" i="2"/>
  <c r="M10" i="3"/>
  <c r="H19" i="3"/>
  <c r="Y24" i="3"/>
  <c r="AJ26" i="3"/>
  <c r="AB9" i="3"/>
  <c r="E52" i="2"/>
  <c r="M89" i="2"/>
  <c r="AP78" i="3"/>
  <c r="AD20" i="3"/>
  <c r="AL10" i="3"/>
  <c r="AD48" i="3"/>
  <c r="AN5" i="3"/>
  <c r="AO35" i="3"/>
  <c r="P83" i="2"/>
  <c r="O82" i="2"/>
  <c r="W54" i="2"/>
  <c r="E83" i="2"/>
  <c r="P77" i="2"/>
  <c r="I28" i="3"/>
  <c r="U11" i="3"/>
  <c r="AM26" i="3"/>
  <c r="AO32" i="3"/>
  <c r="N29" i="3"/>
  <c r="U72" i="2"/>
  <c r="Q76" i="2"/>
  <c r="N90" i="2"/>
  <c r="L64" i="2"/>
  <c r="H88" i="2"/>
  <c r="Q34" i="3"/>
  <c r="U19" i="3"/>
  <c r="U31" i="3"/>
  <c r="P46" i="2"/>
  <c r="K104" i="2"/>
  <c r="Q93" i="2"/>
  <c r="U61" i="2"/>
  <c r="H77" i="2"/>
  <c r="AD37" i="3"/>
  <c r="C41" i="3"/>
  <c r="X38" i="3"/>
  <c r="AK20" i="3"/>
  <c r="AM7" i="3"/>
  <c r="H31" i="3"/>
  <c r="AO8" i="3"/>
  <c r="U84" i="2"/>
  <c r="T68" i="2"/>
  <c r="D90" i="2"/>
  <c r="R98" i="2"/>
  <c r="J42" i="2"/>
  <c r="O108" i="2"/>
  <c r="AA12" i="3"/>
  <c r="L26" i="3"/>
  <c r="AA11" i="3"/>
  <c r="AB14" i="3"/>
  <c r="AM36" i="3"/>
  <c r="AI26" i="3"/>
  <c r="Y35" i="3"/>
  <c r="T108" i="2"/>
  <c r="C96" i="2"/>
  <c r="E85" i="2"/>
  <c r="X76" i="2"/>
  <c r="T74" i="2"/>
  <c r="Y17" i="3"/>
  <c r="I13" i="3"/>
  <c r="O20" i="3"/>
  <c r="M12" i="3"/>
  <c r="N50" i="2"/>
  <c r="D54" i="2"/>
  <c r="C56" i="2"/>
  <c r="AO21" i="3"/>
  <c r="U33" i="3"/>
  <c r="J6" i="3"/>
  <c r="AB16" i="3"/>
  <c r="P64" i="2"/>
  <c r="I80" i="2"/>
  <c r="G52" i="2"/>
  <c r="M47" i="2"/>
  <c r="AD50" i="3"/>
  <c r="R62" i="2"/>
  <c r="S9" i="3"/>
  <c r="Q13" i="3"/>
  <c r="AG9" i="3"/>
  <c r="M28" i="3"/>
  <c r="Z15" i="3"/>
  <c r="O25" i="3"/>
  <c r="AO22" i="3"/>
  <c r="M59" i="2"/>
  <c r="S21" i="3"/>
  <c r="AE27" i="3"/>
  <c r="E48" i="2"/>
  <c r="AC14" i="3"/>
  <c r="W30" i="3"/>
  <c r="F69" i="2"/>
  <c r="AO38" i="3"/>
  <c r="AG40" i="3"/>
  <c r="P28" i="3"/>
  <c r="R40" i="2"/>
  <c r="X29" i="3"/>
  <c r="K33" i="3"/>
  <c r="C22" i="3"/>
  <c r="AK30" i="3"/>
  <c r="Y11" i="3"/>
  <c r="O32" i="3"/>
  <c r="AO33" i="3"/>
  <c r="N52" i="2"/>
  <c r="AJ5" i="3"/>
  <c r="AI40" i="3"/>
  <c r="J33" i="3"/>
  <c r="AH37" i="3"/>
  <c r="V22" i="3"/>
  <c r="I22" i="3"/>
  <c r="Q28" i="3"/>
  <c r="V17" i="3"/>
  <c r="AP29" i="3"/>
  <c r="Q47" i="2"/>
  <c r="AH18" i="3"/>
  <c r="AJ32" i="3"/>
  <c r="AA30" i="3"/>
  <c r="W19" i="3"/>
  <c r="AA5" i="3"/>
  <c r="J7" i="3"/>
  <c r="C81" i="2"/>
  <c r="R28" i="3"/>
  <c r="I95" i="2"/>
  <c r="U37" i="3"/>
  <c r="P42" i="2"/>
  <c r="AJ35" i="3"/>
  <c r="J14" i="3"/>
  <c r="W23" i="3"/>
  <c r="U22" i="3"/>
  <c r="Z38" i="3"/>
  <c r="F57" i="2"/>
  <c r="G50" i="2"/>
  <c r="AP82" i="3"/>
  <c r="AA31" i="3"/>
  <c r="Z36" i="3"/>
  <c r="Q24" i="3"/>
  <c r="AA24" i="3"/>
  <c r="U75" i="2"/>
  <c r="X93" i="2"/>
  <c r="J58" i="2"/>
  <c r="U44" i="2"/>
  <c r="I17" i="3"/>
  <c r="I42" i="2"/>
  <c r="T10" i="3"/>
  <c r="O40" i="3"/>
  <c r="W31" i="3"/>
  <c r="C46" i="2"/>
  <c r="M25" i="3"/>
  <c r="R34" i="3"/>
  <c r="AQ24" i="3"/>
  <c r="X27" i="3"/>
  <c r="AL29" i="3"/>
  <c r="AB15" i="3"/>
  <c r="P34" i="3"/>
  <c r="I24" i="3"/>
  <c r="X23" i="3"/>
  <c r="G42" i="3"/>
  <c r="AB36" i="3"/>
  <c r="V19" i="3"/>
  <c r="AK42" i="3"/>
  <c r="P10" i="3"/>
  <c r="L9" i="3"/>
  <c r="L41" i="3"/>
  <c r="AL15" i="3"/>
  <c r="T75" i="2"/>
  <c r="AC7" i="3"/>
  <c r="V67" i="2"/>
  <c r="Q40" i="3"/>
  <c r="AO19" i="3"/>
  <c r="AD29" i="3"/>
  <c r="S37" i="3"/>
  <c r="N40" i="2"/>
  <c r="N110" i="2"/>
  <c r="AO28" i="3"/>
  <c r="Z16" i="3"/>
  <c r="H85" i="2"/>
  <c r="K7" i="3"/>
  <c r="AL25" i="3"/>
  <c r="AK25" i="3"/>
  <c r="AA23" i="3"/>
  <c r="R83" i="2"/>
  <c r="AI29" i="3"/>
  <c r="R26" i="3"/>
  <c r="K48" i="2"/>
  <c r="U38" i="3"/>
  <c r="U63" i="2"/>
  <c r="AB76" i="3"/>
  <c r="R39" i="3"/>
  <c r="J71" i="2"/>
  <c r="AQ27" i="3"/>
  <c r="I35" i="3"/>
  <c r="AQ33" i="3"/>
  <c r="M40" i="2"/>
  <c r="V73" i="2"/>
  <c r="N91" i="2"/>
  <c r="AL41" i="3"/>
  <c r="AB30" i="3"/>
  <c r="AJ12" i="3"/>
  <c r="V5" i="3"/>
  <c r="X42" i="3"/>
  <c r="P84" i="2"/>
  <c r="E79" i="2"/>
  <c r="R43" i="2"/>
  <c r="R74" i="2"/>
  <c r="AK12" i="3"/>
  <c r="AP59" i="3"/>
  <c r="P40" i="3"/>
  <c r="P14" i="3"/>
  <c r="AI39" i="3"/>
  <c r="N108" i="2"/>
  <c r="AI23" i="3"/>
  <c r="Y27" i="3"/>
  <c r="M57" i="2"/>
  <c r="AN25" i="3"/>
  <c r="Z42" i="3"/>
  <c r="G109" i="2"/>
  <c r="AE7" i="3"/>
  <c r="AP42" i="3"/>
  <c r="T43" i="2"/>
  <c r="AO14" i="3"/>
  <c r="C29" i="3"/>
  <c r="U16" i="3"/>
  <c r="N45" i="2"/>
  <c r="AH14" i="3"/>
  <c r="AL28" i="3"/>
  <c r="N33" i="3"/>
  <c r="AN11" i="3"/>
  <c r="M56" i="2"/>
  <c r="D50" i="3"/>
  <c r="M21" i="3"/>
  <c r="AQ30" i="3"/>
  <c r="AI24" i="3"/>
  <c r="AD25" i="3"/>
  <c r="T5" i="3"/>
  <c r="N27" i="3"/>
  <c r="AH30" i="3"/>
  <c r="L41" i="2"/>
  <c r="AN6" i="3"/>
  <c r="AJ13" i="3"/>
  <c r="I36" i="3"/>
  <c r="M104" i="2"/>
  <c r="K83" i="2"/>
  <c r="G86" i="2"/>
  <c r="V31" i="3"/>
  <c r="AJ7" i="3"/>
  <c r="O47" i="2"/>
  <c r="K25" i="3"/>
  <c r="AG32" i="3"/>
  <c r="X69" i="2"/>
  <c r="S22" i="3"/>
  <c r="Y30" i="3"/>
  <c r="T71" i="2"/>
  <c r="D49" i="3"/>
  <c r="AH12" i="3"/>
  <c r="M17" i="3"/>
  <c r="AD32" i="3"/>
  <c r="AO40" i="3"/>
  <c r="E80" i="2"/>
  <c r="AI90" i="3"/>
  <c r="AO73" i="3"/>
  <c r="K86" i="3"/>
  <c r="K75" i="3"/>
  <c r="AL85" i="3"/>
  <c r="AQ57" i="3"/>
  <c r="P94" i="3"/>
  <c r="AM74" i="3"/>
  <c r="AI77" i="3"/>
  <c r="AE96" i="3"/>
  <c r="N92" i="3"/>
  <c r="R90" i="3"/>
  <c r="U91" i="3"/>
  <c r="X62" i="3"/>
  <c r="P54" i="3"/>
  <c r="T94" i="3"/>
  <c r="AK94" i="3"/>
  <c r="M74" i="3"/>
  <c r="AQ85" i="3"/>
  <c r="AE73" i="3"/>
  <c r="AL64" i="3"/>
  <c r="M54" i="3"/>
  <c r="J76" i="3"/>
  <c r="U78" i="3"/>
  <c r="P97" i="3"/>
  <c r="AJ56" i="3"/>
  <c r="AO90" i="3"/>
  <c r="AK79" i="3"/>
  <c r="AH63" i="3"/>
  <c r="V62" i="3"/>
  <c r="R94" i="3"/>
  <c r="V93" i="3"/>
  <c r="AL74" i="3"/>
  <c r="AN69" i="3"/>
  <c r="AK61" i="3"/>
  <c r="AJ63" i="3"/>
  <c r="X55" i="3"/>
  <c r="V83" i="3"/>
  <c r="AM47" i="3"/>
  <c r="AI70" i="3"/>
  <c r="V57" i="3"/>
  <c r="AH72" i="3"/>
  <c r="K77" i="3"/>
  <c r="K61" i="3"/>
  <c r="AQ80" i="3"/>
  <c r="AE50" i="3"/>
  <c r="AM69" i="3"/>
  <c r="AI80" i="3"/>
  <c r="AE66" i="3"/>
  <c r="AN54" i="3"/>
  <c r="N82" i="3"/>
  <c r="T57" i="3"/>
  <c r="U76" i="3"/>
  <c r="X84" i="3"/>
  <c r="AQ77" i="3"/>
  <c r="M83" i="3"/>
  <c r="M85" i="3"/>
  <c r="AO66" i="3"/>
  <c r="N78" i="3"/>
  <c r="U47" i="3"/>
  <c r="AH83" i="3"/>
  <c r="AJ83" i="3"/>
  <c r="H61" i="3"/>
  <c r="AO74" i="3"/>
  <c r="S56" i="3"/>
  <c r="R72" i="3"/>
  <c r="H64" i="3"/>
  <c r="H62" i="3"/>
  <c r="N47" i="3"/>
  <c r="U63" i="3"/>
  <c r="U97" i="3"/>
  <c r="AN74" i="3"/>
  <c r="P68" i="3"/>
  <c r="R89" i="3"/>
  <c r="AK57" i="3"/>
  <c r="P57" i="3"/>
  <c r="M71" i="3"/>
  <c r="AQ76" i="3"/>
  <c r="K50" i="3"/>
  <c r="R92" i="3"/>
  <c r="M68" i="3"/>
  <c r="R60" i="3"/>
  <c r="M55" i="3"/>
  <c r="AQ49" i="3"/>
  <c r="AM73" i="3"/>
  <c r="T87" i="3"/>
  <c r="AC62" i="3"/>
  <c r="R81" i="3"/>
  <c r="AE61" i="3"/>
  <c r="O54" i="3"/>
  <c r="O69" i="3"/>
  <c r="N62" i="3"/>
  <c r="R48" i="3"/>
  <c r="U96" i="3"/>
  <c r="AN95" i="3"/>
  <c r="J82" i="3"/>
  <c r="S88" i="3"/>
  <c r="AK83" i="3"/>
  <c r="O67" i="3"/>
  <c r="J50" i="3"/>
  <c r="R75" i="3"/>
  <c r="S89" i="3"/>
  <c r="J61" i="3"/>
  <c r="P83" i="3"/>
  <c r="P95" i="3"/>
  <c r="X95" i="3"/>
  <c r="N60" i="3"/>
  <c r="P81" i="3"/>
  <c r="AN87" i="3"/>
  <c r="V59" i="3"/>
  <c r="AM70" i="3"/>
  <c r="AJ62" i="3"/>
  <c r="AJ90" i="3"/>
  <c r="H56" i="3"/>
  <c r="AI76" i="3"/>
  <c r="AC82" i="3"/>
  <c r="S72" i="3"/>
  <c r="AM86" i="3"/>
  <c r="AN86" i="3"/>
  <c r="AQ62" i="3"/>
  <c r="AL58" i="3"/>
  <c r="Y86" i="3"/>
  <c r="AL71" i="3"/>
  <c r="O77" i="3"/>
  <c r="AI92" i="3"/>
  <c r="AI66" i="3"/>
  <c r="V78" i="3"/>
  <c r="K73" i="3"/>
  <c r="AL70" i="3"/>
  <c r="K87" i="3"/>
  <c r="M63" i="3"/>
  <c r="AO55" i="3"/>
  <c r="AM57" i="3"/>
  <c r="V89" i="3"/>
  <c r="AI62" i="3"/>
  <c r="T81" i="3"/>
  <c r="K71" i="3"/>
  <c r="H57" i="3"/>
  <c r="N63" i="3"/>
  <c r="R85" i="3"/>
  <c r="O96" i="3"/>
  <c r="O87" i="3"/>
  <c r="O81" i="3"/>
  <c r="S66" i="3"/>
  <c r="AQ88" i="3"/>
  <c r="R61" i="3"/>
  <c r="AM68" i="3"/>
  <c r="AL91" i="3"/>
  <c r="N79" i="3"/>
  <c r="J89" i="3"/>
  <c r="M62" i="3"/>
  <c r="AC72" i="3"/>
  <c r="AM90" i="3"/>
  <c r="Y81" i="3"/>
  <c r="T61" i="3"/>
  <c r="V91" i="3"/>
  <c r="AH54" i="3"/>
  <c r="V68" i="3"/>
  <c r="T77" i="3"/>
  <c r="AM54" i="3"/>
  <c r="V58" i="3"/>
  <c r="AE60" i="3"/>
  <c r="U89" i="3"/>
  <c r="AK88" i="3"/>
  <c r="AE76" i="3"/>
  <c r="Y77" i="3"/>
  <c r="O85" i="3"/>
  <c r="Y68" i="3"/>
  <c r="T83" i="3"/>
  <c r="AL48" i="3"/>
  <c r="AN60" i="3"/>
  <c r="J91" i="3"/>
  <c r="M96" i="3"/>
  <c r="O50" i="3"/>
  <c r="S96" i="3"/>
  <c r="R93" i="3"/>
  <c r="R80" i="3"/>
  <c r="K60" i="3"/>
  <c r="AI82" i="3"/>
  <c r="AE59" i="3"/>
  <c r="AE89" i="3"/>
  <c r="T95" i="3"/>
  <c r="AM72" i="3"/>
  <c r="J57" i="3"/>
  <c r="Y76" i="3"/>
  <c r="AO60" i="3"/>
  <c r="O61" i="3"/>
  <c r="AH80" i="3"/>
  <c r="H54" i="3"/>
  <c r="M56" i="3"/>
  <c r="AC88" i="3"/>
  <c r="AC66" i="3"/>
  <c r="H58" i="3"/>
  <c r="AM67" i="3"/>
  <c r="AE85" i="3"/>
  <c r="X54" i="3"/>
  <c r="AK89" i="3"/>
  <c r="Y84" i="3"/>
  <c r="AC86" i="3"/>
  <c r="H70" i="3"/>
  <c r="AI87" i="3"/>
  <c r="M60" i="3"/>
  <c r="H96" i="3"/>
  <c r="O86" i="3"/>
  <c r="AN94" i="3"/>
  <c r="AO68" i="3"/>
  <c r="X65" i="3"/>
  <c r="Y91" i="3"/>
  <c r="V67" i="3"/>
  <c r="J59" i="3"/>
  <c r="AM64" i="3"/>
  <c r="M88" i="3"/>
  <c r="AL79" i="3"/>
  <c r="AH87" i="3"/>
  <c r="AQ60" i="3"/>
  <c r="S83" i="3"/>
  <c r="AO50" i="3"/>
  <c r="AO71" i="3"/>
  <c r="H85" i="3"/>
  <c r="U58" i="3"/>
  <c r="AC69" i="3"/>
  <c r="P66" i="3"/>
  <c r="N86" i="3"/>
  <c r="K80" i="3"/>
  <c r="V97" i="3"/>
  <c r="R78" i="3"/>
  <c r="X86" i="3"/>
  <c r="O72" i="3"/>
  <c r="P58" i="3"/>
  <c r="K63" i="3"/>
  <c r="AQ97" i="3"/>
  <c r="AE49" i="3"/>
  <c r="AN72" i="3"/>
  <c r="AM62" i="3"/>
  <c r="P67" i="3"/>
  <c r="K78" i="3"/>
  <c r="AI94" i="3"/>
  <c r="AO91" i="3"/>
  <c r="AN62" i="3"/>
  <c r="O76" i="3"/>
  <c r="H81" i="3"/>
  <c r="S73" i="3"/>
  <c r="S69" i="3"/>
  <c r="AO82" i="3"/>
  <c r="AO84" i="3"/>
  <c r="AQ91" i="3"/>
  <c r="AN83" i="3"/>
  <c r="Y79" i="3"/>
  <c r="AC87" i="3"/>
  <c r="AH79" i="3"/>
  <c r="N71" i="3"/>
  <c r="AK93" i="3"/>
  <c r="X94" i="3"/>
  <c r="X63" i="3"/>
  <c r="O57" i="3"/>
  <c r="AK68" i="3"/>
  <c r="AI75" i="3"/>
  <c r="AM81" i="3"/>
  <c r="S48" i="3"/>
  <c r="J77" i="3"/>
  <c r="AQ48" i="3"/>
  <c r="Y94" i="3"/>
  <c r="M76" i="3"/>
  <c r="AJ95" i="3"/>
  <c r="M61" i="3"/>
  <c r="AQ72" i="3"/>
  <c r="H69" i="3"/>
  <c r="AQ94" i="3"/>
  <c r="AQ78" i="3"/>
  <c r="V69" i="3"/>
  <c r="AH73" i="3"/>
  <c r="O62" i="3"/>
  <c r="AO95" i="3"/>
  <c r="Y48" i="3"/>
  <c r="AH66" i="3"/>
  <c r="J74" i="3"/>
  <c r="AJ61" i="3"/>
  <c r="AC65" i="3"/>
  <c r="AH84" i="3"/>
  <c r="M66" i="3"/>
  <c r="AE58" i="3"/>
  <c r="AN59" i="3"/>
  <c r="R79" i="3"/>
  <c r="Y69" i="3"/>
  <c r="K93" i="3"/>
  <c r="S63" i="3"/>
  <c r="J48" i="3"/>
  <c r="U66" i="3"/>
  <c r="O74" i="3"/>
  <c r="V71" i="3"/>
  <c r="S77" i="3"/>
  <c r="AJ75" i="3"/>
  <c r="K92" i="3"/>
  <c r="X68" i="3"/>
  <c r="AN75" i="3"/>
  <c r="V64" i="3"/>
  <c r="N50" i="3"/>
  <c r="AH69" i="3"/>
  <c r="S84" i="3"/>
  <c r="AH77" i="3"/>
  <c r="S75" i="3"/>
  <c r="AI96" i="3"/>
  <c r="O92" i="3"/>
  <c r="O55" i="3"/>
  <c r="Y74" i="3"/>
  <c r="S95" i="3"/>
  <c r="AC76" i="3"/>
  <c r="Y88" i="3"/>
  <c r="AC92" i="3"/>
  <c r="H67" i="3"/>
  <c r="AC83" i="3"/>
  <c r="N96" i="3"/>
  <c r="U74" i="3"/>
  <c r="AH74" i="3"/>
  <c r="AE65" i="3"/>
  <c r="P76" i="3"/>
  <c r="AL77" i="3"/>
  <c r="V49" i="3"/>
  <c r="AK49" i="3"/>
  <c r="P96" i="3"/>
  <c r="AN82" i="3"/>
  <c r="AN91" i="3"/>
  <c r="AQ73" i="3"/>
  <c r="AL86" i="3"/>
  <c r="X60" i="3"/>
  <c r="Y82" i="3"/>
  <c r="AJ64" i="3"/>
  <c r="H90" i="3"/>
  <c r="M78" i="3"/>
  <c r="V88" i="3"/>
  <c r="T93" i="3"/>
  <c r="AE97" i="3"/>
  <c r="AH60" i="3"/>
  <c r="N68" i="3"/>
  <c r="N61" i="3"/>
  <c r="AL90" i="3"/>
  <c r="P70" i="3"/>
  <c r="AN80" i="3"/>
  <c r="Y97" i="3"/>
  <c r="P48" i="3"/>
  <c r="AL49" i="3"/>
  <c r="M84" i="3"/>
  <c r="O93" i="3"/>
  <c r="H94" i="3"/>
  <c r="U90" i="3"/>
  <c r="U82" i="3"/>
  <c r="AQ96" i="3"/>
  <c r="H66" i="3"/>
  <c r="O91" i="3"/>
  <c r="N88" i="3"/>
  <c r="U87" i="3"/>
  <c r="Y57" i="3"/>
  <c r="M47" i="3"/>
  <c r="U65" i="3"/>
  <c r="AH57" i="3"/>
  <c r="AE92" i="3"/>
  <c r="X88" i="3"/>
  <c r="K59" i="3"/>
  <c r="AQ84" i="3"/>
  <c r="AK81" i="3"/>
  <c r="O59" i="3"/>
  <c r="P93" i="3"/>
  <c r="U77" i="3"/>
  <c r="X82" i="3"/>
  <c r="AQ61" i="3"/>
  <c r="K82" i="3"/>
  <c r="AC70" i="3"/>
  <c r="AN73" i="3"/>
  <c r="R76" i="3"/>
  <c r="AK72" i="3"/>
  <c r="AI89" i="3"/>
  <c r="AE80" i="3"/>
  <c r="M67" i="3"/>
  <c r="T55" i="3"/>
  <c r="AM60" i="3"/>
  <c r="AJ85" i="3"/>
  <c r="Y62" i="3"/>
  <c r="V95" i="3"/>
  <c r="AC94" i="3"/>
  <c r="AJ87" i="3"/>
  <c r="AQ79" i="3"/>
  <c r="N72" i="3"/>
  <c r="AI65" i="3"/>
  <c r="AE64" i="3"/>
  <c r="AE82" i="3"/>
  <c r="AO54" i="3"/>
  <c r="AM61" i="3"/>
  <c r="AJ96" i="3"/>
  <c r="Y75" i="3"/>
  <c r="AL56" i="3"/>
  <c r="AN92" i="3"/>
  <c r="AO77" i="3"/>
  <c r="AM93" i="3"/>
  <c r="AJ91" i="3"/>
  <c r="AN85" i="3"/>
  <c r="AN79" i="3"/>
  <c r="V65" i="3"/>
  <c r="AL65" i="3"/>
  <c r="AL67" i="3"/>
  <c r="N65" i="3"/>
  <c r="T97" i="3"/>
  <c r="AK66" i="3"/>
  <c r="AC61" i="3"/>
  <c r="AM85" i="3"/>
  <c r="AI72" i="3"/>
  <c r="M89" i="3"/>
  <c r="AL81" i="3"/>
  <c r="AK90" i="3"/>
  <c r="R87" i="3"/>
  <c r="Y72" i="3"/>
  <c r="AO56" i="3"/>
  <c r="AJ71" i="3"/>
  <c r="R57" i="3"/>
  <c r="AJ92" i="3"/>
  <c r="AI85" i="3"/>
  <c r="X69" i="3"/>
  <c r="X91" i="3"/>
  <c r="AO59" i="3"/>
  <c r="AM92" i="3"/>
  <c r="AN57" i="3"/>
  <c r="Y73" i="3"/>
  <c r="AL63" i="3"/>
  <c r="V81" i="3"/>
  <c r="V63" i="3"/>
  <c r="P82" i="3"/>
  <c r="AI73" i="3"/>
  <c r="T86" i="3"/>
  <c r="T64" i="3"/>
  <c r="K48" i="3"/>
  <c r="AL92" i="3"/>
  <c r="K74" i="3"/>
  <c r="H95" i="3"/>
  <c r="AO70" i="3"/>
  <c r="AK50" i="3"/>
  <c r="AO75" i="3"/>
  <c r="AM94" i="3"/>
  <c r="AK70" i="3"/>
  <c r="J62" i="3"/>
  <c r="K88" i="3"/>
  <c r="AM95" i="3"/>
  <c r="J67" i="3"/>
  <c r="S64" i="3"/>
  <c r="X74" i="3"/>
  <c r="AL80" i="3"/>
  <c r="K76" i="3"/>
  <c r="N55" i="3"/>
  <c r="M97" i="3"/>
  <c r="H89" i="3"/>
  <c r="M87" i="3"/>
  <c r="AC84" i="3"/>
  <c r="T80" i="3"/>
  <c r="V55" i="3"/>
  <c r="T59" i="3"/>
  <c r="R56" i="3"/>
  <c r="O97" i="3"/>
  <c r="AC50" i="3"/>
  <c r="N76" i="3"/>
  <c r="AH85" i="3"/>
  <c r="AH91" i="3"/>
  <c r="O82" i="3"/>
  <c r="U75" i="3"/>
  <c r="AK84" i="3"/>
  <c r="AQ89" i="3"/>
  <c r="AN55" i="3"/>
  <c r="U55" i="3"/>
  <c r="AI78" i="3"/>
  <c r="AE75" i="3"/>
  <c r="AE55" i="3"/>
  <c r="N59" i="3"/>
  <c r="AC77" i="3"/>
  <c r="U64" i="3"/>
  <c r="X93" i="3"/>
  <c r="AE88" i="3"/>
  <c r="U54" i="3"/>
  <c r="N73" i="3"/>
  <c r="J88" i="3"/>
  <c r="AQ54" i="3"/>
  <c r="X77" i="3"/>
  <c r="J64" i="3"/>
  <c r="AC54" i="3"/>
  <c r="R64" i="3"/>
  <c r="U71" i="3"/>
  <c r="AJ73" i="3"/>
  <c r="J65" i="3"/>
  <c r="U50" i="3"/>
  <c r="Y50" i="3"/>
  <c r="AN97" i="3"/>
  <c r="X75" i="3"/>
  <c r="V75" i="3"/>
  <c r="AH97" i="3"/>
  <c r="AC64" i="3"/>
  <c r="AI59" i="3"/>
  <c r="V90" i="3"/>
  <c r="AC80" i="3"/>
  <c r="U49" i="3"/>
  <c r="X72" i="3"/>
  <c r="AM83" i="3"/>
  <c r="AN64" i="3"/>
  <c r="H97" i="3"/>
  <c r="AJ94" i="3"/>
  <c r="N77" i="3"/>
  <c r="V54" i="3"/>
  <c r="U86" i="3"/>
  <c r="AN49" i="3"/>
  <c r="R62" i="3"/>
  <c r="AM48" i="3"/>
  <c r="N67" i="3"/>
  <c r="AC74" i="3"/>
  <c r="X58" i="3"/>
  <c r="AE91" i="3"/>
  <c r="T66" i="3"/>
  <c r="R59" i="3"/>
  <c r="T60" i="3"/>
  <c r="M75" i="3"/>
  <c r="K66" i="3"/>
  <c r="M77" i="3"/>
  <c r="AM79" i="3"/>
  <c r="T85" i="3"/>
  <c r="AE87" i="3"/>
  <c r="AI84" i="3"/>
  <c r="AE84" i="3"/>
  <c r="AK96" i="3"/>
  <c r="O47" i="3"/>
  <c r="P61" i="3"/>
  <c r="R54" i="3"/>
  <c r="S85" i="3"/>
  <c r="S71" i="3"/>
  <c r="O63" i="3"/>
  <c r="P88" i="3"/>
  <c r="P84" i="3"/>
  <c r="AI88" i="3"/>
  <c r="S65" i="3"/>
  <c r="S93" i="3"/>
  <c r="AQ82" i="3"/>
  <c r="AE56" i="3"/>
  <c r="X56" i="3"/>
  <c r="N54" i="3"/>
  <c r="AE83" i="3"/>
  <c r="AH94" i="3"/>
  <c r="H93" i="3"/>
  <c r="R49" i="3"/>
  <c r="AO92" i="3"/>
  <c r="S60" i="3"/>
  <c r="J84" i="3"/>
  <c r="V79" i="3"/>
  <c r="K62" i="3"/>
  <c r="J81" i="3"/>
  <c r="S76" i="3"/>
  <c r="AL66" i="3"/>
  <c r="P62" i="3"/>
  <c r="AN89" i="3"/>
  <c r="K58" i="3"/>
  <c r="AL96" i="3"/>
  <c r="T75" i="3"/>
  <c r="U84" i="3"/>
  <c r="AI54" i="3"/>
  <c r="R67" i="3"/>
  <c r="AE79" i="3"/>
  <c r="AI63" i="3"/>
  <c r="N84" i="3"/>
  <c r="AJ79" i="3"/>
  <c r="H74" i="3"/>
  <c r="AC67" i="3"/>
  <c r="N66" i="3"/>
  <c r="N48" i="3"/>
  <c r="X71" i="3"/>
  <c r="AI57" i="3"/>
  <c r="AK65" i="3"/>
  <c r="AN78" i="3"/>
  <c r="I80" i="3"/>
  <c r="AI97" i="3"/>
  <c r="AM88" i="3"/>
  <c r="I87" i="3"/>
  <c r="K85" i="3"/>
  <c r="U60" i="3"/>
  <c r="AO81" i="3"/>
  <c r="AE47" i="3"/>
  <c r="Y89" i="3"/>
  <c r="AJ81" i="3"/>
  <c r="I86" i="3"/>
  <c r="P50" i="3"/>
  <c r="K91" i="3"/>
  <c r="AC71" i="3"/>
  <c r="AQ74" i="3"/>
  <c r="AE67" i="3"/>
  <c r="H84" i="3"/>
  <c r="AH49" i="3"/>
  <c r="X50" i="3"/>
  <c r="X61" i="3"/>
  <c r="AI64" i="3"/>
  <c r="AJ65" i="3"/>
  <c r="I93" i="3"/>
  <c r="M59" i="3"/>
  <c r="K89" i="3"/>
  <c r="M57" i="3"/>
  <c r="AC79" i="3"/>
  <c r="R47" i="3"/>
  <c r="AI95" i="3"/>
  <c r="O80" i="3"/>
  <c r="J73" i="3"/>
  <c r="P47" i="3"/>
  <c r="H50" i="3"/>
  <c r="AC57" i="3"/>
  <c r="Y67" i="3"/>
  <c r="R50" i="3"/>
  <c r="I57" i="3"/>
  <c r="S70" i="3"/>
  <c r="J70" i="3"/>
  <c r="AC58" i="3"/>
  <c r="V72" i="3"/>
  <c r="J66" i="3"/>
  <c r="X81" i="3"/>
  <c r="P79" i="3"/>
  <c r="S59" i="3"/>
  <c r="AO89" i="3"/>
  <c r="U83" i="3"/>
  <c r="AE63" i="3"/>
  <c r="AK54" i="3"/>
  <c r="P55" i="3"/>
  <c r="AN47" i="3"/>
  <c r="T65" i="3"/>
  <c r="AJ88" i="3"/>
  <c r="W62" i="3"/>
  <c r="W61" i="3"/>
  <c r="M72" i="3"/>
  <c r="AK76" i="3"/>
  <c r="AH71" i="3"/>
  <c r="Y80" i="3"/>
  <c r="I48" i="3"/>
  <c r="AE68" i="3"/>
  <c r="AK80" i="3"/>
  <c r="AH76" i="3"/>
  <c r="T84" i="3"/>
  <c r="AL50" i="3"/>
  <c r="L60" i="3"/>
  <c r="H55" i="3"/>
  <c r="AM63" i="3"/>
  <c r="AO62" i="3"/>
  <c r="T58" i="3"/>
  <c r="Y96" i="3"/>
  <c r="L62" i="3"/>
  <c r="U92" i="3"/>
  <c r="X90" i="3"/>
  <c r="M48" i="3"/>
  <c r="K55" i="3"/>
  <c r="AH55" i="3"/>
  <c r="P56" i="3"/>
  <c r="AQ92" i="3"/>
  <c r="W73" i="3"/>
  <c r="V47" i="3"/>
  <c r="AI58" i="3"/>
  <c r="O84" i="3"/>
  <c r="AI83" i="3"/>
  <c r="AO88" i="3"/>
  <c r="I66" i="3"/>
  <c r="AK60" i="3"/>
  <c r="AM71" i="3"/>
  <c r="Y56" i="3"/>
  <c r="AO63" i="3"/>
  <c r="V85" i="3"/>
  <c r="AN63" i="3"/>
  <c r="N93" i="3"/>
  <c r="H72" i="3"/>
  <c r="J79" i="3"/>
  <c r="J94" i="3"/>
  <c r="T96" i="3"/>
  <c r="T69" i="3"/>
  <c r="V86" i="3"/>
  <c r="I62" i="3"/>
  <c r="AC63" i="3"/>
  <c r="W97" i="3"/>
  <c r="AJ89" i="3"/>
  <c r="AI50" i="3"/>
  <c r="O94" i="3"/>
  <c r="K47" i="3"/>
  <c r="AC81" i="3"/>
  <c r="AK86" i="3"/>
  <c r="V84" i="3"/>
  <c r="T76" i="3"/>
  <c r="AQ75" i="3"/>
  <c r="K49" i="3"/>
  <c r="R66" i="3"/>
  <c r="I65" i="3"/>
  <c r="AI79" i="3"/>
  <c r="J78" i="3"/>
  <c r="W58" i="3"/>
  <c r="I89" i="3"/>
  <c r="AI86" i="3"/>
  <c r="K69" i="3"/>
  <c r="AE86" i="3"/>
  <c r="X85" i="3"/>
  <c r="T71" i="3"/>
  <c r="AN68" i="3"/>
  <c r="H78" i="3"/>
  <c r="L86" i="3"/>
  <c r="AJ84" i="3"/>
  <c r="M49" i="3"/>
  <c r="W70" i="3"/>
  <c r="AQ83" i="3"/>
  <c r="H49" i="3"/>
  <c r="J86" i="3"/>
  <c r="AC97" i="3"/>
  <c r="AC56" i="3"/>
  <c r="AM76" i="3"/>
  <c r="AE70" i="3"/>
  <c r="Y70" i="3"/>
  <c r="AO79" i="3"/>
  <c r="H86" i="3"/>
  <c r="H71" i="3"/>
  <c r="L97" i="3"/>
  <c r="AE81" i="3"/>
  <c r="AE95" i="3"/>
  <c r="AO72" i="3"/>
  <c r="AO93" i="3"/>
  <c r="AL78" i="3"/>
  <c r="I69" i="3"/>
  <c r="T92" i="3"/>
  <c r="N90" i="3"/>
  <c r="AQ55" i="3"/>
  <c r="AO47" i="3"/>
  <c r="AJ80" i="3"/>
  <c r="N94" i="3"/>
  <c r="J68" i="3"/>
  <c r="V56" i="3"/>
  <c r="AN70" i="3"/>
  <c r="AO48" i="3"/>
  <c r="I64" i="3"/>
  <c r="U61" i="3"/>
  <c r="Y85" i="3"/>
  <c r="AJ93" i="3"/>
  <c r="AQ65" i="3"/>
  <c r="J96" i="3"/>
  <c r="N69" i="3"/>
  <c r="AL54" i="3"/>
  <c r="H48" i="3"/>
  <c r="X92" i="3"/>
  <c r="AO96" i="3"/>
  <c r="I47" i="3"/>
  <c r="M80" i="3"/>
  <c r="AQ67" i="3"/>
  <c r="M50" i="3"/>
  <c r="M65" i="3"/>
  <c r="AO65" i="3"/>
  <c r="W66" i="3"/>
  <c r="S78" i="3"/>
  <c r="S57" i="3"/>
  <c r="I88" i="3"/>
  <c r="R58" i="3"/>
  <c r="R73" i="3"/>
  <c r="AK55" i="3"/>
  <c r="P90" i="3"/>
  <c r="AL82" i="3"/>
  <c r="Y55" i="3"/>
  <c r="AK64" i="3"/>
  <c r="AN50" i="3"/>
  <c r="AE94" i="3"/>
  <c r="Y66" i="3"/>
  <c r="AJ49" i="3"/>
  <c r="AQ68" i="3"/>
  <c r="AH93" i="3"/>
  <c r="AM84" i="3"/>
  <c r="P92" i="3"/>
  <c r="O88" i="3"/>
  <c r="AC68" i="3"/>
  <c r="AC55" i="3"/>
  <c r="V80" i="3"/>
  <c r="I56" i="3"/>
  <c r="AC95" i="3"/>
  <c r="J54" i="3"/>
  <c r="R91" i="3"/>
  <c r="AL62" i="3"/>
  <c r="N58" i="3"/>
  <c r="W60" i="3"/>
  <c r="AH67" i="3"/>
  <c r="AH86" i="3"/>
  <c r="P91" i="3"/>
  <c r="I71" i="3"/>
  <c r="AH81" i="3"/>
  <c r="I85" i="3"/>
  <c r="AK75" i="3"/>
  <c r="O73" i="3"/>
  <c r="AQ90" i="3"/>
  <c r="AQ69" i="3"/>
  <c r="U72" i="3"/>
  <c r="AJ78" i="3"/>
  <c r="X87" i="3"/>
  <c r="AE77" i="3"/>
  <c r="AQ50" i="3"/>
  <c r="AO87" i="3"/>
  <c r="X64" i="3"/>
  <c r="K95" i="3"/>
  <c r="J63" i="3"/>
  <c r="H88" i="3"/>
  <c r="P60" i="3"/>
  <c r="P86" i="3"/>
  <c r="W87" i="3"/>
  <c r="S97" i="3"/>
  <c r="AQ59" i="3"/>
  <c r="R95" i="3"/>
  <c r="AM97" i="3"/>
  <c r="T79" i="3"/>
  <c r="AK67" i="3"/>
  <c r="AC90" i="3"/>
  <c r="AK87" i="3"/>
  <c r="Y65" i="3"/>
  <c r="T88" i="3"/>
  <c r="AN61" i="3"/>
  <c r="S74" i="3"/>
  <c r="L85" i="3"/>
  <c r="H59" i="3"/>
  <c r="AN93" i="3"/>
  <c r="AK47" i="3"/>
  <c r="T82" i="3"/>
  <c r="AE71" i="3"/>
  <c r="AH47" i="3"/>
  <c r="AI60" i="3"/>
  <c r="L68" i="3"/>
  <c r="H82" i="3"/>
  <c r="U68" i="3"/>
  <c r="AM78" i="3"/>
  <c r="X67" i="3"/>
  <c r="AQ56" i="3"/>
  <c r="AL87" i="3"/>
  <c r="O75" i="3"/>
  <c r="K97" i="3"/>
  <c r="AM66" i="3"/>
  <c r="L50" i="3"/>
  <c r="V70" i="3"/>
  <c r="K84" i="3"/>
  <c r="K68" i="3"/>
  <c r="AL76" i="3"/>
  <c r="V74" i="3"/>
  <c r="AM49" i="3"/>
  <c r="AL72" i="3"/>
  <c r="AI48" i="3"/>
  <c r="P74" i="3"/>
  <c r="AH78" i="3"/>
  <c r="S50" i="3"/>
  <c r="P65" i="3"/>
  <c r="AK73" i="3"/>
  <c r="K57" i="3"/>
  <c r="AO57" i="3"/>
  <c r="V94" i="3"/>
  <c r="AO85" i="3"/>
  <c r="AC49" i="3"/>
  <c r="AI81" i="3"/>
  <c r="M70" i="3"/>
  <c r="AM55" i="3"/>
  <c r="M90" i="3"/>
  <c r="AQ71" i="3"/>
  <c r="R97" i="3"/>
  <c r="AK77" i="3"/>
  <c r="P59" i="3"/>
  <c r="AE72" i="3"/>
  <c r="U48" i="3"/>
  <c r="X59" i="3"/>
  <c r="AQ87" i="3"/>
  <c r="K90" i="3"/>
  <c r="S80" i="3"/>
  <c r="L96" i="3"/>
  <c r="AM87" i="3"/>
  <c r="L48" i="3"/>
  <c r="AH89" i="3"/>
  <c r="Y59" i="3"/>
  <c r="K83" i="3"/>
  <c r="AL95" i="3"/>
  <c r="S67" i="3"/>
  <c r="K96" i="3"/>
  <c r="AK78" i="3"/>
  <c r="O68" i="3"/>
  <c r="S92" i="3"/>
  <c r="N80" i="3"/>
  <c r="V76" i="3"/>
  <c r="AM80" i="3"/>
  <c r="O66" i="3"/>
  <c r="AN71" i="3"/>
  <c r="H92" i="3"/>
  <c r="J80" i="3"/>
  <c r="AJ67" i="3"/>
  <c r="V87" i="3"/>
  <c r="AL89" i="3"/>
  <c r="AL61" i="3"/>
  <c r="H47" i="3"/>
  <c r="AO49" i="3"/>
  <c r="AQ58" i="3"/>
  <c r="K54" i="3"/>
  <c r="S58" i="3"/>
  <c r="O83" i="3"/>
  <c r="J90" i="3"/>
  <c r="J60" i="3"/>
  <c r="N91" i="3"/>
  <c r="U69" i="3"/>
  <c r="AH70" i="3"/>
  <c r="AJ50" i="3"/>
  <c r="AE90" i="3"/>
  <c r="AJ48" i="3"/>
  <c r="AI49" i="3"/>
  <c r="N89" i="3"/>
  <c r="J97" i="3"/>
  <c r="K94" i="3"/>
  <c r="N70" i="3"/>
  <c r="J75" i="3"/>
  <c r="X76" i="3"/>
  <c r="P72" i="3"/>
  <c r="AH58" i="3"/>
  <c r="M94" i="3"/>
  <c r="AL93" i="3"/>
  <c r="M92" i="3"/>
  <c r="AQ95" i="3"/>
  <c r="AM96" i="3"/>
  <c r="AJ82" i="3"/>
  <c r="AQ63" i="3"/>
  <c r="K72" i="3"/>
  <c r="Y63" i="3"/>
  <c r="AE69" i="3"/>
  <c r="AN48" i="3"/>
  <c r="N64" i="3"/>
  <c r="AN76" i="3"/>
  <c r="K79" i="3"/>
  <c r="V96" i="3"/>
  <c r="AJ70" i="3"/>
  <c r="R55" i="3"/>
  <c r="I84" i="3"/>
  <c r="U57" i="3"/>
  <c r="S68" i="3"/>
  <c r="W59" i="3"/>
  <c r="AJ59" i="3"/>
  <c r="O95" i="3"/>
  <c r="U85" i="3"/>
  <c r="AJ69" i="3"/>
  <c r="W80" i="3"/>
  <c r="AI56" i="3"/>
  <c r="L63" i="3"/>
  <c r="H91" i="3"/>
  <c r="AH96" i="3"/>
  <c r="AO78" i="3"/>
  <c r="AO94" i="3"/>
  <c r="AH48" i="3"/>
  <c r="AK63" i="3"/>
  <c r="M79" i="3"/>
  <c r="R86" i="3"/>
  <c r="AE74" i="3"/>
  <c r="W67" i="3"/>
  <c r="R82" i="3"/>
  <c r="L57" i="3"/>
  <c r="V50" i="3"/>
  <c r="AH59" i="3"/>
  <c r="O56" i="3"/>
  <c r="M73" i="3"/>
  <c r="AM77" i="3"/>
  <c r="X78" i="3"/>
  <c r="W49" i="3"/>
  <c r="X47" i="3"/>
  <c r="X70" i="3"/>
  <c r="L65" i="3"/>
  <c r="V48" i="3"/>
  <c r="AM59" i="3"/>
  <c r="N87" i="3"/>
  <c r="T70" i="3"/>
  <c r="L77" i="3"/>
  <c r="S54" i="3"/>
  <c r="X79" i="3"/>
  <c r="X73" i="3"/>
  <c r="AC59" i="3"/>
  <c r="O49" i="3"/>
  <c r="AJ77" i="3"/>
  <c r="AL88" i="3"/>
  <c r="AK69" i="3"/>
  <c r="W77" i="3"/>
  <c r="R63" i="3"/>
  <c r="M86" i="3"/>
  <c r="S61" i="3"/>
  <c r="K81" i="3"/>
  <c r="N74" i="3"/>
  <c r="S62" i="3"/>
  <c r="O60" i="3"/>
  <c r="R88" i="3"/>
  <c r="U88" i="3"/>
  <c r="AC91" i="3"/>
  <c r="R69" i="3"/>
  <c r="I61" i="3"/>
  <c r="O78" i="3"/>
  <c r="AL60" i="3"/>
  <c r="I76" i="3"/>
  <c r="J55" i="3"/>
  <c r="AK92" i="3"/>
  <c r="P77" i="3"/>
  <c r="M81" i="3"/>
  <c r="AI67" i="3"/>
  <c r="AQ93" i="3"/>
  <c r="AO97" i="3"/>
  <c r="T67" i="3"/>
  <c r="L54" i="3"/>
  <c r="U73" i="3"/>
  <c r="T90" i="3"/>
  <c r="AL55" i="3"/>
  <c r="J85" i="3"/>
  <c r="P69" i="3"/>
  <c r="AI69" i="3"/>
  <c r="AM91" i="3"/>
  <c r="L58" i="3"/>
  <c r="AQ66" i="3"/>
  <c r="T73" i="3"/>
  <c r="N56" i="3"/>
  <c r="AM58" i="3"/>
  <c r="L64" i="3"/>
  <c r="AN77" i="3"/>
  <c r="U67" i="3"/>
  <c r="AN66" i="3"/>
  <c r="V73" i="3"/>
  <c r="S87" i="3"/>
  <c r="AM75" i="3"/>
  <c r="M64" i="3"/>
  <c r="AC48" i="3"/>
  <c r="T91" i="3"/>
  <c r="AL69" i="3"/>
  <c r="Y47" i="3"/>
  <c r="U95" i="3"/>
  <c r="AH50" i="3"/>
  <c r="AN67" i="3"/>
  <c r="H79" i="3"/>
  <c r="AI91" i="3"/>
  <c r="AK48" i="3"/>
  <c r="AC73" i="3"/>
  <c r="U79" i="3"/>
  <c r="M93" i="3"/>
  <c r="AQ70" i="3"/>
  <c r="AI61" i="3"/>
  <c r="M82" i="3"/>
  <c r="P73" i="3"/>
  <c r="P89" i="3"/>
  <c r="AO61" i="3"/>
  <c r="N75" i="3"/>
  <c r="L73" i="3"/>
  <c r="AM82" i="3"/>
  <c r="AC78" i="3"/>
  <c r="R70" i="3"/>
  <c r="L47" i="3"/>
  <c r="W69" i="3"/>
  <c r="R71" i="3"/>
  <c r="J93" i="3"/>
  <c r="Y54" i="3"/>
  <c r="AQ86" i="3"/>
  <c r="AL73" i="3"/>
  <c r="N95" i="3"/>
  <c r="AN65" i="3"/>
  <c r="Y49" i="3"/>
  <c r="O65" i="3"/>
  <c r="AN81" i="3"/>
  <c r="W91" i="3"/>
  <c r="U70" i="3"/>
  <c r="AI74" i="3"/>
  <c r="Y78" i="3"/>
  <c r="AK74" i="3"/>
  <c r="AE62" i="3"/>
  <c r="AH92" i="3"/>
  <c r="H63" i="3"/>
  <c r="AH75" i="3"/>
  <c r="T62" i="3"/>
  <c r="AM65" i="3"/>
  <c r="T68" i="3"/>
  <c r="T74" i="3"/>
  <c r="AE78" i="3"/>
  <c r="AH64" i="3"/>
  <c r="AO58" i="3"/>
  <c r="O70" i="3"/>
  <c r="M69" i="3"/>
  <c r="AN84" i="3"/>
  <c r="H60" i="3"/>
  <c r="I49" i="3"/>
  <c r="S47" i="3"/>
  <c r="AI71" i="3"/>
  <c r="I55" i="3"/>
  <c r="AJ55" i="3"/>
  <c r="AJ57" i="3"/>
  <c r="I68" i="3"/>
  <c r="J83" i="3"/>
  <c r="AL57" i="3"/>
  <c r="AE54" i="3"/>
  <c r="P85" i="3"/>
  <c r="AL84" i="3"/>
  <c r="AH88" i="3"/>
  <c r="T89" i="3"/>
  <c r="V60" i="3"/>
  <c r="N49" i="3"/>
  <c r="AJ97" i="3"/>
  <c r="AO67" i="3"/>
  <c r="J47" i="3"/>
  <c r="S49" i="3"/>
  <c r="O79" i="3"/>
  <c r="L70" i="3"/>
  <c r="S55" i="3"/>
  <c r="AM50" i="3"/>
  <c r="R96" i="3"/>
  <c r="U56" i="3"/>
  <c r="AH68" i="3"/>
  <c r="AI93" i="3"/>
  <c r="AK71" i="3"/>
  <c r="M58" i="3"/>
  <c r="AE48" i="3"/>
  <c r="S90" i="3"/>
  <c r="AH95" i="3"/>
  <c r="P71" i="3"/>
  <c r="AK58" i="3"/>
  <c r="Y95" i="3"/>
  <c r="V82" i="3"/>
  <c r="W72" i="3"/>
  <c r="AN56" i="3"/>
  <c r="J72" i="3"/>
  <c r="U62" i="3"/>
  <c r="J71" i="3"/>
  <c r="AH65" i="3"/>
  <c r="H83" i="3"/>
  <c r="I97" i="3"/>
  <c r="J49" i="3"/>
  <c r="W71" i="3"/>
  <c r="I67" i="3"/>
  <c r="P63" i="3"/>
  <c r="AC89" i="3"/>
  <c r="I83" i="3"/>
  <c r="S91" i="3"/>
  <c r="H75" i="3"/>
  <c r="V92" i="3"/>
  <c r="AO69" i="3"/>
  <c r="H87" i="3"/>
  <c r="AH62" i="3"/>
  <c r="AI55" i="3"/>
  <c r="K70" i="3"/>
  <c r="M95" i="3"/>
  <c r="W56" i="3"/>
  <c r="I77" i="3"/>
  <c r="X49" i="3"/>
  <c r="AJ66" i="3"/>
  <c r="U94" i="3"/>
  <c r="U93" i="3"/>
  <c r="O90" i="3"/>
  <c r="Y83" i="3"/>
  <c r="L88" i="3"/>
  <c r="N97" i="3"/>
  <c r="AL68" i="3"/>
  <c r="AK59" i="3"/>
  <c r="L93" i="3"/>
  <c r="O71" i="3"/>
  <c r="AN90" i="3"/>
  <c r="AN58" i="3"/>
  <c r="N85" i="3"/>
  <c r="AJ74" i="3"/>
  <c r="W47" i="3"/>
  <c r="AK56" i="3"/>
  <c r="K64" i="3"/>
  <c r="Y90" i="3"/>
  <c r="AO76" i="3"/>
  <c r="O64" i="3"/>
  <c r="Y93" i="3"/>
  <c r="R77" i="3"/>
  <c r="O58" i="3"/>
  <c r="W74" i="3"/>
  <c r="I73" i="3"/>
  <c r="H65" i="3"/>
  <c r="AK95" i="3"/>
  <c r="AE93" i="3"/>
  <c r="H73" i="3"/>
  <c r="S82" i="3"/>
  <c r="V77" i="3"/>
  <c r="U80" i="3"/>
  <c r="T78" i="3"/>
  <c r="N57" i="3"/>
  <c r="S86" i="3"/>
  <c r="P78" i="3"/>
  <c r="K56" i="3"/>
  <c r="AO83" i="3"/>
  <c r="Y58" i="3"/>
  <c r="AQ64" i="3"/>
  <c r="AL59" i="3"/>
  <c r="S81" i="3"/>
  <c r="AC60" i="3"/>
  <c r="I79" i="3"/>
  <c r="AQ47" i="3"/>
  <c r="P75" i="3"/>
  <c r="K67" i="3"/>
  <c r="N81" i="3"/>
  <c r="U59" i="3"/>
  <c r="AL75" i="3"/>
  <c r="L72" i="3"/>
  <c r="S94" i="3"/>
  <c r="AC93" i="3"/>
  <c r="AC96" i="3"/>
  <c r="P49" i="3"/>
  <c r="X48" i="3"/>
  <c r="J87" i="3"/>
  <c r="X57" i="3"/>
  <c r="AK62" i="3"/>
  <c r="X96" i="3"/>
  <c r="O89" i="3"/>
  <c r="AJ68" i="3"/>
  <c r="T63" i="3"/>
  <c r="T50" i="3"/>
  <c r="L75" i="3"/>
  <c r="U81" i="3"/>
  <c r="R68" i="3"/>
  <c r="X66" i="3"/>
  <c r="K65" i="3"/>
  <c r="AL97" i="3"/>
  <c r="AL83" i="3"/>
  <c r="I92" i="3"/>
  <c r="AE57" i="3"/>
  <c r="AK91" i="3"/>
  <c r="W79" i="3"/>
  <c r="H76" i="3"/>
  <c r="AH56" i="3"/>
  <c r="J92" i="3"/>
  <c r="AC75" i="3"/>
  <c r="Y64" i="3"/>
  <c r="AN88" i="3"/>
  <c r="R83" i="3"/>
  <c r="AO80" i="3"/>
  <c r="W75" i="3"/>
  <c r="T49" i="3"/>
  <c r="M91" i="3"/>
  <c r="W50" i="3"/>
  <c r="AH61" i="3"/>
  <c r="J58" i="3"/>
  <c r="AL94" i="3"/>
  <c r="X89" i="3"/>
  <c r="J69" i="3"/>
  <c r="P80" i="3"/>
  <c r="V66" i="3"/>
  <c r="AJ47" i="3"/>
  <c r="AK85" i="3"/>
  <c r="AK97" i="3"/>
  <c r="AJ54" i="3"/>
  <c r="AH90" i="3"/>
  <c r="AJ58" i="3"/>
  <c r="Y71" i="3"/>
  <c r="AJ76" i="3"/>
  <c r="AN96" i="3"/>
  <c r="AQ81" i="3"/>
  <c r="X83" i="3"/>
  <c r="AK82" i="3"/>
  <c r="T48" i="3"/>
  <c r="I63" i="3"/>
  <c r="AO86" i="3"/>
  <c r="AH82" i="3"/>
  <c r="J95" i="3"/>
  <c r="W92" i="3"/>
  <c r="L66" i="3"/>
  <c r="X80" i="3"/>
  <c r="AM56" i="3"/>
  <c r="Y60" i="3"/>
  <c r="Y61" i="3"/>
  <c r="H80" i="3"/>
  <c r="T72" i="3"/>
  <c r="O48" i="3"/>
  <c r="AM89" i="3"/>
  <c r="X97" i="3"/>
  <c r="L67" i="3"/>
  <c r="AJ86" i="3"/>
  <c r="N83" i="3"/>
  <c r="AC47" i="3"/>
  <c r="H68" i="3"/>
  <c r="AO64" i="3"/>
  <c r="R65" i="3"/>
  <c r="P64" i="3"/>
  <c r="W78" i="3"/>
  <c r="I95" i="3"/>
  <c r="J56" i="3"/>
  <c r="V61" i="3"/>
  <c r="R74" i="3"/>
  <c r="W76" i="3"/>
  <c r="Y87" i="3"/>
  <c r="AI47" i="3"/>
  <c r="AL47" i="3"/>
  <c r="P87" i="3"/>
  <c r="AI68" i="3"/>
  <c r="R84" i="3"/>
  <c r="AA82" i="3" l="1"/>
  <c r="AA70" i="3"/>
  <c r="AA94" i="3"/>
  <c r="I72" i="3"/>
  <c r="AA64" i="3"/>
  <c r="AA93" i="3"/>
  <c r="AA80" i="3"/>
  <c r="I50" i="3"/>
  <c r="AA50" i="3"/>
  <c r="AA54" i="3"/>
  <c r="AA71" i="3"/>
  <c r="I96" i="3"/>
  <c r="AA90" i="3"/>
  <c r="AA61" i="3"/>
  <c r="I94" i="3"/>
  <c r="I82" i="3"/>
  <c r="AA75" i="3"/>
  <c r="I54" i="3"/>
  <c r="AA56" i="3"/>
  <c r="AA83" i="3"/>
  <c r="I74" i="3"/>
  <c r="AA73" i="3"/>
  <c r="AA49" i="3"/>
  <c r="I81" i="3"/>
  <c r="AA92" i="3"/>
  <c r="I78" i="3"/>
  <c r="I58" i="3"/>
  <c r="AA48" i="3"/>
  <c r="AA97" i="3"/>
  <c r="AA72" i="3"/>
  <c r="I75" i="3"/>
  <c r="AA66" i="3"/>
  <c r="I91" i="3"/>
  <c r="AA67" i="3"/>
  <c r="I59" i="3"/>
  <c r="I90" i="3"/>
  <c r="AA62" i="3"/>
  <c r="AA65" i="3"/>
  <c r="AA78" i="3"/>
  <c r="I70" i="3"/>
  <c r="I60" i="3"/>
  <c r="AA95" i="3"/>
  <c r="AA87" i="3"/>
  <c r="AA63" i="3"/>
  <c r="AA86" i="3"/>
  <c r="AA74" i="3"/>
  <c r="AA85" i="3"/>
  <c r="AA89" i="3"/>
  <c r="AA57" i="3"/>
  <c r="AA96" i="3"/>
  <c r="AA60" i="3"/>
  <c r="AA69" i="3"/>
  <c r="AA91" i="3"/>
  <c r="AA59" i="3"/>
  <c r="AA55" i="3"/>
  <c r="AA77" i="3"/>
  <c r="AA47" i="3"/>
  <c r="AA81" i="3"/>
  <c r="AA58" i="3"/>
  <c r="AA88" i="3"/>
  <c r="AA79" i="3"/>
  <c r="AA68" i="3"/>
  <c r="AA84" i="3"/>
  <c r="AA76" i="3"/>
  <c r="Z93" i="3"/>
  <c r="AG86" i="3"/>
  <c r="Z85" i="3"/>
  <c r="Q78" i="3"/>
  <c r="L83" i="3"/>
  <c r="AG67" i="3"/>
  <c r="AG69" i="3"/>
  <c r="L61" i="3"/>
  <c r="AG75" i="3"/>
  <c r="L81" i="3"/>
  <c r="Q96" i="3"/>
  <c r="AG92" i="3"/>
  <c r="Z78" i="3"/>
  <c r="Q91" i="3"/>
  <c r="L89" i="3"/>
  <c r="AG48" i="3"/>
  <c r="AG50" i="3"/>
  <c r="Z66" i="3"/>
  <c r="Q70" i="3"/>
  <c r="Z79" i="3"/>
  <c r="AG72" i="3"/>
  <c r="AG89" i="3"/>
  <c r="L80" i="3"/>
  <c r="L87" i="3"/>
  <c r="AG76" i="3"/>
  <c r="Q79" i="3"/>
  <c r="L55" i="3"/>
  <c r="Z91" i="3"/>
  <c r="AG57" i="3"/>
  <c r="AG61" i="3"/>
  <c r="AG74" i="3"/>
  <c r="Z69" i="3"/>
  <c r="L59" i="3"/>
  <c r="L82" i="3"/>
  <c r="AG49" i="3"/>
  <c r="Q71" i="3"/>
  <c r="Z48" i="3"/>
  <c r="AG95" i="3"/>
  <c r="Z65" i="3"/>
  <c r="L79" i="3"/>
  <c r="AG91" i="3"/>
  <c r="AG82" i="3"/>
  <c r="L56" i="3"/>
  <c r="AG83" i="3"/>
  <c r="Z72" i="3"/>
  <c r="Q73" i="3"/>
  <c r="AG71" i="3"/>
  <c r="Z82" i="3"/>
  <c r="Q60" i="3"/>
  <c r="AG47" i="3"/>
  <c r="Q55" i="3"/>
  <c r="Z49" i="3"/>
  <c r="Z89" i="3"/>
  <c r="AG84" i="3"/>
  <c r="AG80" i="3"/>
  <c r="L49" i="3"/>
  <c r="AG97" i="3"/>
  <c r="L91" i="3"/>
  <c r="L92" i="3"/>
  <c r="Q57" i="3"/>
  <c r="Z60" i="3"/>
  <c r="Q48" i="3"/>
  <c r="AG64" i="3"/>
  <c r="Z50" i="3"/>
  <c r="Z87" i="3"/>
  <c r="Q59" i="3"/>
  <c r="L74" i="3"/>
  <c r="L71" i="3"/>
  <c r="L90" i="3"/>
  <c r="Z94" i="3"/>
  <c r="Q95" i="3"/>
  <c r="Z75" i="3"/>
  <c r="Q67" i="3"/>
  <c r="Z76" i="3"/>
  <c r="Q74" i="3"/>
  <c r="AG70" i="3"/>
  <c r="L95" i="3"/>
  <c r="L84" i="3"/>
  <c r="AG58" i="3"/>
  <c r="L78" i="3"/>
  <c r="L69" i="3"/>
  <c r="Z54" i="3"/>
  <c r="AG73" i="3"/>
  <c r="L94" i="3"/>
  <c r="AG85" i="3"/>
  <c r="Q66" i="3"/>
  <c r="L76" i="3"/>
  <c r="AG90" i="3"/>
  <c r="Z97" i="3"/>
  <c r="Q77" i="3"/>
  <c r="AG55" i="3"/>
  <c r="Q64" i="3"/>
  <c r="Z73" i="3"/>
  <c r="Z47" i="3"/>
  <c r="Q81" i="3"/>
  <c r="AG54" i="3"/>
  <c r="Z62" i="3"/>
  <c r="Z83" i="3"/>
  <c r="Z81" i="3"/>
  <c r="Z92" i="3"/>
  <c r="Z88" i="3"/>
  <c r="AG66" i="3"/>
  <c r="Z61" i="3"/>
  <c r="Z74" i="3"/>
  <c r="Z84" i="3"/>
  <c r="AG63" i="3"/>
  <c r="AG78" i="3"/>
  <c r="Q92" i="3"/>
  <c r="Q56" i="3"/>
  <c r="Q65" i="3"/>
  <c r="AG88" i="3"/>
  <c r="Q54" i="3"/>
  <c r="Z67" i="3"/>
  <c r="Q84" i="3"/>
  <c r="AG65" i="3"/>
  <c r="Z80" i="3"/>
  <c r="Q72" i="3"/>
  <c r="AG96" i="3"/>
  <c r="AG94" i="3"/>
  <c r="Q90" i="3"/>
  <c r="Q68" i="3"/>
  <c r="Q88" i="3"/>
  <c r="Q58" i="3"/>
  <c r="Z86" i="3"/>
  <c r="Z96" i="3"/>
  <c r="Z64" i="3"/>
  <c r="Z58" i="3"/>
  <c r="Z56" i="3"/>
  <c r="Z57" i="3"/>
  <c r="AG60" i="3"/>
  <c r="AG93" i="3"/>
  <c r="Z95" i="3"/>
  <c r="Q75" i="3"/>
  <c r="Q97" i="3"/>
  <c r="Q61" i="3"/>
  <c r="AG77" i="3"/>
  <c r="Z63" i="3"/>
  <c r="Q76" i="3"/>
  <c r="AG81" i="3"/>
  <c r="Q69" i="3"/>
  <c r="AG59" i="3"/>
  <c r="Q80" i="3"/>
  <c r="AG68" i="3"/>
  <c r="Z90" i="3"/>
  <c r="Z59" i="3"/>
  <c r="Q62" i="3"/>
  <c r="Q83" i="3"/>
  <c r="Q82" i="3"/>
  <c r="Q89" i="3"/>
  <c r="Q86" i="3"/>
  <c r="Z55" i="3"/>
  <c r="AG79" i="3"/>
  <c r="Q85" i="3"/>
  <c r="AG62" i="3"/>
  <c r="Q63" i="3"/>
  <c r="AG87" i="3"/>
  <c r="Z77" i="3"/>
  <c r="Z71" i="3"/>
  <c r="Q50" i="3"/>
  <c r="Q87" i="3"/>
  <c r="Q47" i="3"/>
  <c r="Z68" i="3"/>
  <c r="AG56" i="3"/>
  <c r="Z70" i="3"/>
  <c r="Q49" i="3"/>
  <c r="Q93" i="3"/>
  <c r="Q94" i="3"/>
  <c r="W85" i="3"/>
  <c r="W84" i="3"/>
  <c r="W68" i="3"/>
  <c r="W64" i="3"/>
  <c r="W55" i="3"/>
  <c r="W95" i="3"/>
  <c r="W86" i="3"/>
  <c r="W48" i="3"/>
  <c r="W96" i="3"/>
  <c r="W94" i="3"/>
  <c r="W82" i="3"/>
  <c r="W57" i="3"/>
  <c r="W90" i="3"/>
  <c r="W54" i="3"/>
  <c r="W93" i="3"/>
  <c r="W83" i="3"/>
  <c r="W63" i="3"/>
  <c r="W89" i="3"/>
  <c r="W65" i="3"/>
  <c r="W88" i="3"/>
  <c r="W81" i="3"/>
  <c r="AJ60" i="3"/>
  <c r="BP141" i="1" s="1"/>
  <c r="BQ141" i="1" s="1"/>
  <c r="AJ72" i="3"/>
  <c r="BP154" i="1" s="1"/>
  <c r="BQ154" i="1" s="1"/>
  <c r="T54" i="3"/>
  <c r="T47" i="3"/>
  <c r="T56" i="3"/>
  <c r="AZ136" i="1" s="1"/>
  <c r="BA136" i="1" s="1"/>
  <c r="D166" i="1"/>
  <c r="AS40" i="1"/>
  <c r="BN33" i="1"/>
  <c r="AJ92" i="1"/>
  <c r="S159" i="1"/>
  <c r="AQ55" i="1"/>
  <c r="N143" i="1"/>
  <c r="F154" i="1"/>
  <c r="F150" i="1" s="1"/>
  <c r="J183" i="1"/>
  <c r="BT27" i="1"/>
  <c r="K136" i="1"/>
  <c r="BJ55" i="1"/>
  <c r="BJ271" i="1" s="1"/>
  <c r="AS41" i="1"/>
  <c r="AJ93" i="1"/>
  <c r="L146" i="1"/>
  <c r="BT34" i="1"/>
  <c r="BR51" i="1"/>
  <c r="BN42" i="1"/>
  <c r="M141" i="1"/>
  <c r="BA39" i="1"/>
  <c r="AI58" i="1"/>
  <c r="BU42" i="1"/>
  <c r="S138" i="1"/>
  <c r="BV70" i="1"/>
  <c r="BF70" i="1"/>
  <c r="BT55" i="1"/>
  <c r="L174" i="1"/>
  <c r="BO54" i="1"/>
  <c r="M98" i="1"/>
  <c r="M123" i="1" s="1"/>
  <c r="AV42" i="1"/>
  <c r="BQ33" i="1"/>
  <c r="Q138" i="1"/>
  <c r="D165" i="1"/>
  <c r="BD70" i="1"/>
  <c r="BP33" i="1"/>
  <c r="U162" i="1"/>
  <c r="AO65" i="1"/>
  <c r="I159" i="1"/>
  <c r="T151" i="1"/>
  <c r="J144" i="1"/>
  <c r="AX66" i="1"/>
  <c r="BO58" i="1"/>
  <c r="Q183" i="1"/>
  <c r="BG54" i="1"/>
  <c r="BQ55" i="1"/>
  <c r="BR55" i="1"/>
  <c r="G189" i="1"/>
  <c r="BF39" i="1"/>
  <c r="BU51" i="1"/>
  <c r="M86" i="1"/>
  <c r="M87" i="1" s="1"/>
  <c r="BJ58" i="1"/>
  <c r="U156" i="1"/>
  <c r="S178" i="1"/>
  <c r="BR43" i="1"/>
  <c r="AV32" i="1"/>
  <c r="BQ70" i="1"/>
  <c r="AM70" i="1"/>
  <c r="BD54" i="1"/>
  <c r="AV64" i="1"/>
  <c r="BH43" i="1"/>
  <c r="BR58" i="1"/>
  <c r="AX64" i="1"/>
  <c r="AS55" i="1"/>
  <c r="AZ32" i="1"/>
  <c r="H137" i="1"/>
  <c r="AO40" i="1"/>
  <c r="W191" i="1"/>
  <c r="T178" i="1"/>
  <c r="BV164" i="1"/>
  <c r="F168" i="1"/>
  <c r="E174" i="1"/>
  <c r="BC54" i="1"/>
  <c r="AP42" i="1"/>
  <c r="BP65" i="1"/>
  <c r="O137" i="1"/>
  <c r="H190" i="1"/>
  <c r="AX51" i="1"/>
  <c r="AX213" i="1" s="1"/>
  <c r="BN44" i="1"/>
  <c r="P143" i="1"/>
  <c r="BV58" i="1"/>
  <c r="BB40" i="1"/>
  <c r="AW51" i="1"/>
  <c r="AW213" i="1" s="1"/>
  <c r="M170" i="1"/>
  <c r="BE34" i="1"/>
  <c r="BD58" i="1"/>
  <c r="AV51" i="1"/>
  <c r="AV213" i="1" s="1"/>
  <c r="BI42" i="1"/>
  <c r="D144" i="1"/>
  <c r="AY41" i="1"/>
  <c r="AU55" i="1"/>
  <c r="BF43" i="1"/>
  <c r="AS51" i="1"/>
  <c r="AS213" i="1" s="1"/>
  <c r="BJ93" i="1"/>
  <c r="L143" i="1"/>
  <c r="F170" i="1"/>
  <c r="H166" i="1"/>
  <c r="O152" i="1"/>
  <c r="BH39" i="1"/>
  <c r="AP27" i="1"/>
  <c r="AP250" i="1" s="1"/>
  <c r="BU41" i="1"/>
  <c r="B146" i="1"/>
  <c r="C172" i="1"/>
  <c r="C202" i="1" s="1"/>
  <c r="M168" i="1"/>
  <c r="AS33" i="1"/>
  <c r="AU28" i="1"/>
  <c r="BE40" i="1"/>
  <c r="W163" i="1"/>
  <c r="D189" i="1"/>
  <c r="S98" i="1"/>
  <c r="S127" i="1" s="1"/>
  <c r="BE65" i="1"/>
  <c r="BO66" i="1"/>
  <c r="BH42" i="1"/>
  <c r="BG34" i="1"/>
  <c r="AR66" i="1"/>
  <c r="BG33" i="1"/>
  <c r="N98" i="1"/>
  <c r="I137" i="1"/>
  <c r="S155" i="1"/>
  <c r="BU27" i="1"/>
  <c r="BU250" i="1" s="1"/>
  <c r="BQ28" i="1"/>
  <c r="G164" i="1"/>
  <c r="G199" i="1" s="1"/>
  <c r="P191" i="1"/>
  <c r="AW64" i="1"/>
  <c r="K152" i="1"/>
  <c r="P163" i="1"/>
  <c r="P198" i="1" s="1"/>
  <c r="T161" i="1"/>
  <c r="AT58" i="1"/>
  <c r="BS66" i="1"/>
  <c r="BA34" i="1"/>
  <c r="AO51" i="1"/>
  <c r="AO213" i="1" s="1"/>
  <c r="O164" i="1"/>
  <c r="O199" i="1" s="1"/>
  <c r="D183" i="1"/>
  <c r="V172" i="1"/>
  <c r="V202" i="1" s="1"/>
  <c r="O183" i="1"/>
  <c r="BU65" i="1"/>
  <c r="BR32" i="1"/>
  <c r="BJ28" i="1"/>
  <c r="BJ29" i="1" s="1"/>
  <c r="BJ35" i="1" s="1"/>
  <c r="BV161" i="1"/>
  <c r="BW161" i="1" s="1"/>
  <c r="D170" i="1"/>
  <c r="BP66" i="1"/>
  <c r="AS32" i="1"/>
  <c r="Q97" i="1"/>
  <c r="Q108" i="1" s="1"/>
  <c r="W146" i="1"/>
  <c r="V162" i="1"/>
  <c r="U97" i="1"/>
  <c r="T156" i="1"/>
  <c r="BW34" i="1"/>
  <c r="BT40" i="1"/>
  <c r="BV143" i="1"/>
  <c r="BW143" i="1" s="1"/>
  <c r="G143" i="1"/>
  <c r="R155" i="1"/>
  <c r="D151" i="1"/>
  <c r="BI64" i="1"/>
  <c r="BP43" i="1"/>
  <c r="O146" i="1"/>
  <c r="M155" i="1"/>
  <c r="BJ70" i="1"/>
  <c r="R138" i="1"/>
  <c r="AN55" i="1"/>
  <c r="BC65" i="1"/>
  <c r="BT43" i="1"/>
  <c r="BK65" i="1"/>
  <c r="AI44" i="1"/>
  <c r="R166" i="1"/>
  <c r="E98" i="1"/>
  <c r="E127" i="1" s="1"/>
  <c r="AW27" i="1"/>
  <c r="AW272" i="1" s="1"/>
  <c r="BM66" i="1"/>
  <c r="AY42" i="1"/>
  <c r="R165" i="1"/>
  <c r="BK33" i="1"/>
  <c r="BH51" i="1"/>
  <c r="BH213" i="1" s="1"/>
  <c r="BV54" i="1"/>
  <c r="BI43" i="1"/>
  <c r="BO42" i="1"/>
  <c r="AV66" i="1"/>
  <c r="AN54" i="1"/>
  <c r="AP70" i="1"/>
  <c r="BC42" i="1"/>
  <c r="AO33" i="1"/>
  <c r="BN28" i="1"/>
  <c r="J172" i="1"/>
  <c r="J202" i="1" s="1"/>
  <c r="AP54" i="1"/>
  <c r="AR51" i="1"/>
  <c r="AR213" i="1" s="1"/>
  <c r="BS43" i="1"/>
  <c r="BI34" i="1"/>
  <c r="BB34" i="1"/>
  <c r="R152" i="1"/>
  <c r="BR66" i="1"/>
  <c r="BB51" i="1"/>
  <c r="BB213" i="1" s="1"/>
  <c r="B82" i="1"/>
  <c r="BV183" i="1"/>
  <c r="BW183" i="1" s="1"/>
  <c r="D169" i="1"/>
  <c r="U166" i="1"/>
  <c r="M152" i="1"/>
  <c r="D96" i="1"/>
  <c r="BJ92" i="1"/>
  <c r="BK39" i="1"/>
  <c r="BA58" i="1"/>
  <c r="AO28" i="1"/>
  <c r="BN64" i="1"/>
  <c r="BV43" i="1"/>
  <c r="BT33" i="1"/>
  <c r="BH144" i="1"/>
  <c r="BI144" i="1" s="1"/>
  <c r="E164" i="1"/>
  <c r="E199" i="1" s="1"/>
  <c r="T96" i="1"/>
  <c r="T104" i="1" s="1"/>
  <c r="E169" i="1"/>
  <c r="O168" i="1"/>
  <c r="BE58" i="1"/>
  <c r="AN42" i="1"/>
  <c r="BV173" i="1"/>
  <c r="BW173" i="1" s="1"/>
  <c r="I155" i="1"/>
  <c r="BM55" i="1"/>
  <c r="BA70" i="1"/>
  <c r="BI33" i="1"/>
  <c r="AQ41" i="1"/>
  <c r="B150" i="1"/>
  <c r="C86" i="1"/>
  <c r="D152" i="1"/>
  <c r="AU39" i="1"/>
  <c r="T138" i="1"/>
  <c r="N154" i="1"/>
  <c r="N150" i="1" s="1"/>
  <c r="I138" i="1"/>
  <c r="BD66" i="1"/>
  <c r="K165" i="1"/>
  <c r="BU54" i="1"/>
  <c r="BV182" i="1"/>
  <c r="BW182" i="1" s="1"/>
  <c r="B191" i="1"/>
  <c r="C165" i="1"/>
  <c r="AO70" i="1"/>
  <c r="AX39" i="1"/>
  <c r="AN44" i="1"/>
  <c r="AY40" i="1"/>
  <c r="AS43" i="1"/>
  <c r="BV138" i="1"/>
  <c r="T152" i="1"/>
  <c r="R146" i="1"/>
  <c r="E155" i="1"/>
  <c r="G190" i="1"/>
  <c r="H183" i="1"/>
  <c r="BQ51" i="1"/>
  <c r="AR40" i="1"/>
  <c r="BH174" i="1"/>
  <c r="BI174" i="1" s="1"/>
  <c r="W144" i="1"/>
  <c r="N183" i="1"/>
  <c r="S164" i="1"/>
  <c r="S199" i="1" s="1"/>
  <c r="G97" i="1"/>
  <c r="BT51" i="1"/>
  <c r="BT213" i="1" s="1"/>
  <c r="AO55" i="1"/>
  <c r="BS42" i="1"/>
  <c r="BV136" i="1"/>
  <c r="D98" i="1"/>
  <c r="V164" i="1"/>
  <c r="V199" i="1" s="1"/>
  <c r="BE54" i="1"/>
  <c r="AV39" i="1"/>
  <c r="BC41" i="1"/>
  <c r="G191" i="1"/>
  <c r="E144" i="1"/>
  <c r="O189" i="1"/>
  <c r="BH161" i="1"/>
  <c r="BI161" i="1" s="1"/>
  <c r="Q191" i="1"/>
  <c r="AZ64" i="1"/>
  <c r="BC66" i="1"/>
  <c r="C152" i="1"/>
  <c r="D174" i="1"/>
  <c r="C182" i="1"/>
  <c r="D143" i="1"/>
  <c r="S162" i="1"/>
  <c r="BM51" i="1"/>
  <c r="C150" i="1"/>
  <c r="AW28" i="1"/>
  <c r="BR41" i="1"/>
  <c r="BH168" i="1"/>
  <c r="BI168" i="1" s="1"/>
  <c r="F145" i="1"/>
  <c r="F173" i="1" s="1"/>
  <c r="Q144" i="1"/>
  <c r="G137" i="1"/>
  <c r="BR65" i="1"/>
  <c r="BQ27" i="1"/>
  <c r="BQ250" i="1" s="1"/>
  <c r="BM27" i="1"/>
  <c r="BM250" i="1" s="1"/>
  <c r="BH182" i="1"/>
  <c r="BI182" i="1" s="1"/>
  <c r="B137" i="1"/>
  <c r="U165" i="1"/>
  <c r="V166" i="1"/>
  <c r="AO32" i="1"/>
  <c r="I164" i="1"/>
  <c r="I199" i="1" s="1"/>
  <c r="U182" i="1"/>
  <c r="BI65" i="1"/>
  <c r="BB27" i="1"/>
  <c r="BH70" i="1"/>
  <c r="BS33" i="1"/>
  <c r="BK32" i="1"/>
  <c r="T189" i="1"/>
  <c r="AQ40" i="1"/>
  <c r="AT70" i="1"/>
  <c r="BO43" i="1"/>
  <c r="S136" i="1"/>
  <c r="T179" i="1"/>
  <c r="S141" i="1"/>
  <c r="Q156" i="1"/>
  <c r="BF51" i="1"/>
  <c r="F179" i="1"/>
  <c r="S96" i="1"/>
  <c r="S121" i="1" s="1"/>
  <c r="M179" i="1"/>
  <c r="AQ42" i="1"/>
  <c r="BW27" i="1"/>
  <c r="P98" i="1"/>
  <c r="H191" i="1"/>
  <c r="Q143" i="1"/>
  <c r="F93" i="1"/>
  <c r="AQ66" i="1"/>
  <c r="AP58" i="1"/>
  <c r="D191" i="1"/>
  <c r="BG65" i="1"/>
  <c r="BB28" i="1"/>
  <c r="AQ28" i="1"/>
  <c r="BW65" i="1"/>
  <c r="AI64" i="1"/>
  <c r="H146" i="1"/>
  <c r="AT55" i="1"/>
  <c r="BS28" i="1"/>
  <c r="BH183" i="1"/>
  <c r="BI183" i="1" s="1"/>
  <c r="BU64" i="1"/>
  <c r="V136" i="1"/>
  <c r="BT44" i="1"/>
  <c r="BG41" i="1"/>
  <c r="H169" i="1"/>
  <c r="AT27" i="1"/>
  <c r="AP43" i="1"/>
  <c r="J164" i="1"/>
  <c r="J199" i="1" s="1"/>
  <c r="BU55" i="1"/>
  <c r="BD40" i="1"/>
  <c r="S174" i="1"/>
  <c r="T166" i="1"/>
  <c r="BQ65" i="1"/>
  <c r="AY44" i="1"/>
  <c r="AU34" i="1"/>
  <c r="BG55" i="1"/>
  <c r="N151" i="1"/>
  <c r="R151" i="1"/>
  <c r="BU66" i="1"/>
  <c r="AN58" i="1"/>
  <c r="BQ58" i="1"/>
  <c r="BF34" i="1"/>
  <c r="BH154" i="1"/>
  <c r="BI154" i="1" s="1"/>
  <c r="U141" i="1"/>
  <c r="P97" i="1"/>
  <c r="D172" i="1"/>
  <c r="D202" i="1" s="1"/>
  <c r="O155" i="1"/>
  <c r="AI28" i="1"/>
  <c r="BF54" i="1"/>
  <c r="BV44" i="1"/>
  <c r="BH58" i="1"/>
  <c r="D164" i="1"/>
  <c r="S168" i="1"/>
  <c r="O151" i="1"/>
  <c r="W183" i="1"/>
  <c r="BB41" i="1"/>
  <c r="BM33" i="1"/>
  <c r="BA64" i="1"/>
  <c r="AS27" i="1"/>
  <c r="AS250" i="1" s="1"/>
  <c r="BQ34" i="1"/>
  <c r="O141" i="1"/>
  <c r="S146" i="1"/>
  <c r="C98" i="1"/>
  <c r="AQ39" i="1"/>
  <c r="BA65" i="1"/>
  <c r="BU58" i="1"/>
  <c r="BH41" i="1"/>
  <c r="J159" i="1"/>
  <c r="K141" i="1"/>
  <c r="Q154" i="1"/>
  <c r="Q150" i="1" s="1"/>
  <c r="BS41" i="1"/>
  <c r="BA43" i="1"/>
  <c r="W155" i="1"/>
  <c r="Q161" i="1"/>
  <c r="K164" i="1"/>
  <c r="K199" i="1" s="1"/>
  <c r="BT42" i="1"/>
  <c r="BV64" i="1"/>
  <c r="BV32" i="1"/>
  <c r="B136" i="1"/>
  <c r="BA44" i="1"/>
  <c r="AV40" i="1"/>
  <c r="AM93" i="1"/>
  <c r="BR28" i="1"/>
  <c r="C178" i="1"/>
  <c r="Q166" i="1"/>
  <c r="V178" i="1"/>
  <c r="BF66" i="1"/>
  <c r="AI65" i="1"/>
  <c r="AQ64" i="1"/>
  <c r="BA51" i="1"/>
  <c r="BA213" i="1" s="1"/>
  <c r="BT65" i="1"/>
  <c r="AZ40" i="1"/>
  <c r="D145" i="1"/>
  <c r="D173" i="1" s="1"/>
  <c r="G165" i="1"/>
  <c r="B159" i="1"/>
  <c r="BP70" i="1"/>
  <c r="BT58" i="1"/>
  <c r="BH28" i="1"/>
  <c r="D92" i="1"/>
  <c r="J137" i="1"/>
  <c r="BU43" i="1"/>
  <c r="J136" i="1"/>
  <c r="B189" i="1"/>
  <c r="BE28" i="1"/>
  <c r="BH172" i="1"/>
  <c r="BH33" i="1"/>
  <c r="AX41" i="1"/>
  <c r="AZ39" i="1"/>
  <c r="G146" i="1"/>
  <c r="D154" i="1"/>
  <c r="AZ43" i="1"/>
  <c r="BO34" i="1"/>
  <c r="BQ43" i="1"/>
  <c r="BO44" i="1"/>
  <c r="AT33" i="1"/>
  <c r="AQ33" i="1"/>
  <c r="BN66" i="1"/>
  <c r="BU39" i="1"/>
  <c r="BH32" i="1"/>
  <c r="BB33" i="1"/>
  <c r="BH156" i="1"/>
  <c r="BI156" i="1" s="1"/>
  <c r="N165" i="1"/>
  <c r="V183" i="1"/>
  <c r="BD39" i="1"/>
  <c r="BU70" i="1"/>
  <c r="AT54" i="1"/>
  <c r="BE33" i="1"/>
  <c r="AR70" i="1"/>
  <c r="E92" i="1"/>
  <c r="M92" i="1"/>
  <c r="F156" i="1"/>
  <c r="AU64" i="1"/>
  <c r="BN55" i="1"/>
  <c r="BM32" i="1"/>
  <c r="AX65" i="1"/>
  <c r="BT66" i="1"/>
  <c r="AI66" i="1"/>
  <c r="AR41" i="1"/>
  <c r="AY43" i="1"/>
  <c r="AO27" i="1"/>
  <c r="AO41" i="1"/>
  <c r="AW55" i="1"/>
  <c r="AR39" i="1"/>
  <c r="BH163" i="1"/>
  <c r="N93" i="1"/>
  <c r="BB32" i="1"/>
  <c r="AP51" i="1"/>
  <c r="AP213" i="1" s="1"/>
  <c r="AN43" i="1"/>
  <c r="H86" i="1"/>
  <c r="H87" i="1" s="1"/>
  <c r="B143" i="1"/>
  <c r="BR64" i="1"/>
  <c r="BK66" i="1"/>
  <c r="BG58" i="1"/>
  <c r="AU66" i="1"/>
  <c r="BB43" i="1"/>
  <c r="BW64" i="1"/>
  <c r="BP51" i="1"/>
  <c r="BC27" i="1"/>
  <c r="BC250" i="1" s="1"/>
  <c r="AS65" i="1"/>
  <c r="V141" i="1"/>
  <c r="BH65" i="1"/>
  <c r="BF40" i="1"/>
  <c r="AV34" i="1"/>
  <c r="BV51" i="1"/>
  <c r="Q145" i="1"/>
  <c r="Q173" i="1" s="1"/>
  <c r="BK43" i="1"/>
  <c r="AZ41" i="1"/>
  <c r="BW39" i="1"/>
  <c r="AP28" i="1"/>
  <c r="BP28" i="1"/>
  <c r="AZ65" i="1"/>
  <c r="AY39" i="1"/>
  <c r="W179" i="1"/>
  <c r="BV28" i="1"/>
  <c r="H93" i="1"/>
  <c r="R172" i="1"/>
  <c r="R202" i="1" s="1"/>
  <c r="Q141" i="1"/>
  <c r="O138" i="1"/>
  <c r="T145" i="1"/>
  <c r="T173" i="1" s="1"/>
  <c r="K168" i="1"/>
  <c r="K92" i="1"/>
  <c r="H96" i="1"/>
  <c r="H121" i="1" s="1"/>
  <c r="C179" i="1"/>
  <c r="C189" i="1"/>
  <c r="BQ44" i="1"/>
  <c r="BC70" i="1"/>
  <c r="AM92" i="1"/>
  <c r="AT51" i="1"/>
  <c r="BK44" i="1"/>
  <c r="AR28" i="1"/>
  <c r="AR58" i="1"/>
  <c r="BJ65" i="1"/>
  <c r="AN40" i="1"/>
  <c r="BV150" i="1"/>
  <c r="B169" i="1"/>
  <c r="V96" i="1"/>
  <c r="V121" i="1" s="1"/>
  <c r="U159" i="1"/>
  <c r="J145" i="1"/>
  <c r="J173" i="1" s="1"/>
  <c r="K154" i="1"/>
  <c r="K150" i="1" s="1"/>
  <c r="AR43" i="1"/>
  <c r="BN51" i="1"/>
  <c r="BN52" i="1" s="1"/>
  <c r="BO41" i="1"/>
  <c r="BO39" i="1"/>
  <c r="AX44" i="1"/>
  <c r="B179" i="1"/>
  <c r="B170" i="1"/>
  <c r="R161" i="1"/>
  <c r="I165" i="1"/>
  <c r="S190" i="1"/>
  <c r="S179" i="1"/>
  <c r="S180" i="1" s="1"/>
  <c r="T228" i="1" s="1"/>
  <c r="R96" i="1"/>
  <c r="R104" i="1" s="1"/>
  <c r="BQ66" i="1"/>
  <c r="BT41" i="1"/>
  <c r="BQ39" i="1"/>
  <c r="BJ64" i="1"/>
  <c r="BK40" i="1"/>
  <c r="AX70" i="1"/>
  <c r="BI55" i="1"/>
  <c r="BD51" i="1"/>
  <c r="BD213" i="1" s="1"/>
  <c r="BH159" i="1"/>
  <c r="BI159" i="1" s="1"/>
  <c r="BJ221" i="1" s="1"/>
  <c r="W92" i="1"/>
  <c r="I191" i="1"/>
  <c r="P189" i="1"/>
  <c r="S154" i="1"/>
  <c r="S150" i="1" s="1"/>
  <c r="J170" i="1"/>
  <c r="N190" i="1"/>
  <c r="AY51" i="1"/>
  <c r="AY213" i="1" s="1"/>
  <c r="BR44" i="1"/>
  <c r="BI39" i="1"/>
  <c r="BW54" i="1"/>
  <c r="AP64" i="1"/>
  <c r="BE44" i="1"/>
  <c r="M164" i="1"/>
  <c r="M199" i="1" s="1"/>
  <c r="S170" i="1"/>
  <c r="U191" i="1"/>
  <c r="O143" i="1"/>
  <c r="E168" i="1"/>
  <c r="BK64" i="1"/>
  <c r="J151" i="1"/>
  <c r="J92" i="1"/>
  <c r="D159" i="1"/>
  <c r="V155" i="1"/>
  <c r="N179" i="1"/>
  <c r="AP41" i="1"/>
  <c r="BE39" i="1"/>
  <c r="AW54" i="1"/>
  <c r="BI58" i="1"/>
  <c r="BN54" i="1"/>
  <c r="E191" i="1"/>
  <c r="N156" i="1"/>
  <c r="W137" i="1"/>
  <c r="Q151" i="1"/>
  <c r="B156" i="1"/>
  <c r="F159" i="1"/>
  <c r="AU33" i="1"/>
  <c r="BC34" i="1"/>
  <c r="AU27" i="1"/>
  <c r="AU29" i="1" s="1"/>
  <c r="AI40" i="1"/>
  <c r="U155" i="1"/>
  <c r="K166" i="1"/>
  <c r="R191" i="1"/>
  <c r="N145" i="1"/>
  <c r="N173" i="1" s="1"/>
  <c r="B182" i="1"/>
  <c r="L189" i="1"/>
  <c r="BM58" i="1"/>
  <c r="BD34" i="1"/>
  <c r="BG28" i="1"/>
  <c r="BB55" i="1"/>
  <c r="AQ54" i="1"/>
  <c r="BF65" i="1"/>
  <c r="BD64" i="1"/>
  <c r="H178" i="1"/>
  <c r="H138" i="1"/>
  <c r="P165" i="1"/>
  <c r="G136" i="1"/>
  <c r="O145" i="1"/>
  <c r="O173" i="1" s="1"/>
  <c r="I166" i="1"/>
  <c r="G92" i="1"/>
  <c r="N136" i="1"/>
  <c r="BA42" i="1"/>
  <c r="AZ34" i="1"/>
  <c r="BF32" i="1"/>
  <c r="W141" i="1"/>
  <c r="AZ27" i="1"/>
  <c r="BP42" i="1"/>
  <c r="AP39" i="1"/>
  <c r="W189" i="1"/>
  <c r="T92" i="1"/>
  <c r="V146" i="1"/>
  <c r="AR32" i="1"/>
  <c r="BG32" i="1"/>
  <c r="AV65" i="1"/>
  <c r="BV163" i="1"/>
  <c r="O154" i="1"/>
  <c r="O150" i="1" s="1"/>
  <c r="N146" i="1"/>
  <c r="L137" i="1"/>
  <c r="P168" i="1"/>
  <c r="M154" i="1"/>
  <c r="M150" i="1" s="1"/>
  <c r="F191" i="1"/>
  <c r="W143" i="1"/>
  <c r="N174" i="1"/>
  <c r="C191" i="1"/>
  <c r="BB58" i="1"/>
  <c r="BK55" i="1"/>
  <c r="BV33" i="1"/>
  <c r="H165" i="1"/>
  <c r="C138" i="1"/>
  <c r="N166" i="1"/>
  <c r="T168" i="1"/>
  <c r="Q98" i="1"/>
  <c r="E183" i="1"/>
  <c r="R137" i="1"/>
  <c r="BK41" i="1"/>
  <c r="O191" i="1"/>
  <c r="V98" i="1"/>
  <c r="V123" i="1" s="1"/>
  <c r="AT39" i="1"/>
  <c r="AW42" i="1"/>
  <c r="BI54" i="1"/>
  <c r="BM70" i="1"/>
  <c r="E96" i="1"/>
  <c r="E121" i="1" s="1"/>
  <c r="K146" i="1"/>
  <c r="L154" i="1"/>
  <c r="L150" i="1" s="1"/>
  <c r="BG42" i="1"/>
  <c r="F146" i="1"/>
  <c r="M138" i="1"/>
  <c r="C141" i="1"/>
  <c r="D190" i="1"/>
  <c r="BW28" i="1"/>
  <c r="BM42" i="1"/>
  <c r="M165" i="1"/>
  <c r="Q190" i="1"/>
  <c r="AR64" i="1"/>
  <c r="BM64" i="1"/>
  <c r="AI55" i="1"/>
  <c r="BH151" i="1"/>
  <c r="C92" i="1"/>
  <c r="F97" i="1"/>
  <c r="BI32" i="1"/>
  <c r="BQ32" i="1"/>
  <c r="R92" i="1"/>
  <c r="T182" i="1"/>
  <c r="C170" i="1"/>
  <c r="N169" i="1"/>
  <c r="BG40" i="1"/>
  <c r="BV170" i="1"/>
  <c r="BW170" i="1" s="1"/>
  <c r="B190" i="1"/>
  <c r="BH27" i="1"/>
  <c r="BH250" i="1" s="1"/>
  <c r="BV146" i="1"/>
  <c r="BP41" i="1"/>
  <c r="BW43" i="1"/>
  <c r="AW40" i="1"/>
  <c r="AX55" i="1"/>
  <c r="AU42" i="1"/>
  <c r="BA54" i="1"/>
  <c r="BH170" i="1"/>
  <c r="BI170" i="1" s="1"/>
  <c r="C161" i="1"/>
  <c r="BO55" i="1"/>
  <c r="AO42" i="1"/>
  <c r="G151" i="1"/>
  <c r="BS32" i="1"/>
  <c r="BS27" i="1"/>
  <c r="BS250" i="1" s="1"/>
  <c r="AI54" i="1"/>
  <c r="AS54" i="1"/>
  <c r="BD55" i="1"/>
  <c r="BH40" i="1"/>
  <c r="BK70" i="1"/>
  <c r="AU32" i="1"/>
  <c r="BA27" i="1"/>
  <c r="AI43" i="1"/>
  <c r="V137" i="1"/>
  <c r="BR42" i="1"/>
  <c r="AR65" i="1"/>
  <c r="BA40" i="1"/>
  <c r="AI32" i="1"/>
  <c r="BP27" i="1"/>
  <c r="BP250" i="1" s="1"/>
  <c r="BJ54" i="1"/>
  <c r="AN32" i="1"/>
  <c r="AP44" i="1"/>
  <c r="BN40" i="1"/>
  <c r="BF42" i="1"/>
  <c r="P137" i="1"/>
  <c r="BC33" i="1"/>
  <c r="AX54" i="1"/>
  <c r="AZ33" i="1"/>
  <c r="AM65" i="1"/>
  <c r="V170" i="1"/>
  <c r="V191" i="1"/>
  <c r="BM39" i="1"/>
  <c r="BD44" i="1"/>
  <c r="AR33" i="1"/>
  <c r="AV70" i="1"/>
  <c r="BF58" i="1"/>
  <c r="BO32" i="1"/>
  <c r="T93" i="1"/>
  <c r="BE32" i="1"/>
  <c r="K156" i="1"/>
  <c r="BM65" i="1"/>
  <c r="BK51" i="1"/>
  <c r="AQ43" i="1"/>
  <c r="BV66" i="1"/>
  <c r="BH171" i="1"/>
  <c r="BI171" i="1" s="1"/>
  <c r="H145" i="1"/>
  <c r="H173" i="1" s="1"/>
  <c r="E137" i="1"/>
  <c r="BD65" i="1"/>
  <c r="AS42" i="1"/>
  <c r="BF28" i="1"/>
  <c r="BV34" i="1"/>
  <c r="BV39" i="1"/>
  <c r="F183" i="1"/>
  <c r="U161" i="1"/>
  <c r="BS58" i="1"/>
  <c r="BV171" i="1"/>
  <c r="BW171" i="1" s="1"/>
  <c r="BS70" i="1"/>
  <c r="AQ34" i="1"/>
  <c r="AW43" i="1"/>
  <c r="L190" i="1"/>
  <c r="H164" i="1"/>
  <c r="H199" i="1" s="1"/>
  <c r="BV41" i="1"/>
  <c r="BG44" i="1"/>
  <c r="AK93" i="1"/>
  <c r="AV44" i="1"/>
  <c r="I182" i="1"/>
  <c r="AS39" i="1"/>
  <c r="BD28" i="1"/>
  <c r="B98" i="1"/>
  <c r="H189" i="1"/>
  <c r="I190" i="1"/>
  <c r="G96" i="1"/>
  <c r="Q152" i="1"/>
  <c r="S137" i="1"/>
  <c r="E93" i="1"/>
  <c r="H182" i="1"/>
  <c r="BB54" i="1"/>
  <c r="BR34" i="1"/>
  <c r="AY55" i="1"/>
  <c r="BP32" i="1"/>
  <c r="BS51" i="1"/>
  <c r="BN58" i="1"/>
  <c r="BM54" i="1"/>
  <c r="BH173" i="1"/>
  <c r="BI173" i="1" s="1"/>
  <c r="C137" i="1"/>
  <c r="R143" i="1"/>
  <c r="J169" i="1"/>
  <c r="T155" i="1"/>
  <c r="J168" i="1"/>
  <c r="N164" i="1"/>
  <c r="N199" i="1" s="1"/>
  <c r="BO51" i="1"/>
  <c r="BO213" i="1" s="1"/>
  <c r="BM43" i="1"/>
  <c r="BD33" i="1"/>
  <c r="BO27" i="1"/>
  <c r="BH179" i="1"/>
  <c r="M156" i="1"/>
  <c r="Q93" i="1"/>
  <c r="I151" i="1"/>
  <c r="M161" i="1"/>
  <c r="D150" i="1"/>
  <c r="AZ44" i="1"/>
  <c r="AW33" i="1"/>
  <c r="AW34" i="1"/>
  <c r="BB42" i="1"/>
  <c r="BR54" i="1"/>
  <c r="BI51" i="1"/>
  <c r="BH55" i="1"/>
  <c r="BD41" i="1"/>
  <c r="AW58" i="1"/>
  <c r="BF33" i="1"/>
  <c r="AY65" i="1"/>
  <c r="AO54" i="1"/>
  <c r="D137" i="1"/>
  <c r="F152" i="1"/>
  <c r="H154" i="1"/>
  <c r="H150" i="1" s="1"/>
  <c r="O136" i="1"/>
  <c r="K144" i="1"/>
  <c r="S163" i="1"/>
  <c r="S198" i="1" s="1"/>
  <c r="F182" i="1"/>
  <c r="I145" i="1"/>
  <c r="W98" i="1"/>
  <c r="N155" i="1"/>
  <c r="BT32" i="1"/>
  <c r="BS54" i="1"/>
  <c r="BH34" i="1"/>
  <c r="AN27" i="1"/>
  <c r="L179" i="1"/>
  <c r="Q146" i="1"/>
  <c r="C166" i="1"/>
  <c r="BF27" i="1"/>
  <c r="BV144" i="1"/>
  <c r="BW144" i="1" s="1"/>
  <c r="C136" i="1"/>
  <c r="I144" i="1"/>
  <c r="G159" i="1"/>
  <c r="V97" i="1"/>
  <c r="V105" i="1" s="1"/>
  <c r="V145" i="1"/>
  <c r="V173" i="1" s="1"/>
  <c r="C151" i="1"/>
  <c r="L159" i="1"/>
  <c r="AN41" i="1"/>
  <c r="AO66" i="1"/>
  <c r="BN39" i="1"/>
  <c r="AZ54" i="1"/>
  <c r="P154" i="1"/>
  <c r="P150" i="1" s="1"/>
  <c r="L138" i="1"/>
  <c r="Q92" i="1"/>
  <c r="O163" i="1"/>
  <c r="O198" i="1" s="1"/>
  <c r="BW32" i="1"/>
  <c r="BW55" i="1"/>
  <c r="BS64" i="1"/>
  <c r="BI66" i="1"/>
  <c r="AY54" i="1"/>
  <c r="BC58" i="1"/>
  <c r="P161" i="1"/>
  <c r="J161" i="1"/>
  <c r="J190" i="1"/>
  <c r="E190" i="1"/>
  <c r="K191" i="1"/>
  <c r="BK27" i="1"/>
  <c r="AZ58" i="1"/>
  <c r="AY58" i="1"/>
  <c r="BQ64" i="1"/>
  <c r="BH54" i="1"/>
  <c r="AS34" i="1"/>
  <c r="AI51" i="1"/>
  <c r="BH150" i="1"/>
  <c r="E141" i="1"/>
  <c r="D146" i="1"/>
  <c r="E138" i="1"/>
  <c r="J156" i="1"/>
  <c r="R98" i="1"/>
  <c r="R127" i="1" s="1"/>
  <c r="I174" i="1"/>
  <c r="H163" i="1"/>
  <c r="C168" i="1"/>
  <c r="H98" i="1"/>
  <c r="H123" i="1" s="1"/>
  <c r="AM64" i="1"/>
  <c r="BG27" i="1"/>
  <c r="Q163" i="1"/>
  <c r="Q198" i="1" s="1"/>
  <c r="D136" i="1"/>
  <c r="Q179" i="1"/>
  <c r="BP58" i="1"/>
  <c r="BQ54" i="1"/>
  <c r="BT39" i="1"/>
  <c r="BN32" i="1"/>
  <c r="BC44" i="1"/>
  <c r="E172" i="1"/>
  <c r="E202" i="1" s="1"/>
  <c r="B141" i="1"/>
  <c r="P190" i="1"/>
  <c r="U138" i="1"/>
  <c r="J191" i="1"/>
  <c r="BJ66" i="1"/>
  <c r="BH146" i="1"/>
  <c r="BI146" i="1" s="1"/>
  <c r="M172" i="1"/>
  <c r="M202" i="1" s="1"/>
  <c r="R179" i="1"/>
  <c r="I93" i="1"/>
  <c r="I136" i="1"/>
  <c r="BV156" i="1"/>
  <c r="BW156" i="1" s="1"/>
  <c r="P92" i="1"/>
  <c r="L182" i="1"/>
  <c r="B162" i="1"/>
  <c r="H155" i="1"/>
  <c r="G138" i="1"/>
  <c r="D162" i="1"/>
  <c r="I154" i="1"/>
  <c r="I150" i="1" s="1"/>
  <c r="C164" i="1"/>
  <c r="C199" i="1" s="1"/>
  <c r="I152" i="1"/>
  <c r="J86" i="1"/>
  <c r="J87" i="1" s="1"/>
  <c r="U144" i="1"/>
  <c r="O166" i="1"/>
  <c r="S172" i="1"/>
  <c r="S202" i="1" s="1"/>
  <c r="N138" i="1"/>
  <c r="P159" i="1"/>
  <c r="E151" i="1"/>
  <c r="E86" i="1"/>
  <c r="E87" i="1" s="1"/>
  <c r="Q170" i="1"/>
  <c r="R145" i="1"/>
  <c r="R173" i="1" s="1"/>
  <c r="U174" i="1"/>
  <c r="BI27" i="1"/>
  <c r="BI250" i="1" s="1"/>
  <c r="BV42" i="1"/>
  <c r="BE55" i="1"/>
  <c r="BC64" i="1"/>
  <c r="AP33" i="1"/>
  <c r="BC51" i="1"/>
  <c r="BC213" i="1" s="1"/>
  <c r="BH164" i="1"/>
  <c r="E156" i="1"/>
  <c r="G163" i="1"/>
  <c r="G198" i="1" s="1"/>
  <c r="F165" i="1"/>
  <c r="T154" i="1"/>
  <c r="T150" i="1" s="1"/>
  <c r="N191" i="1"/>
  <c r="U136" i="1"/>
  <c r="T190" i="1"/>
  <c r="W156" i="1"/>
  <c r="Q182" i="1"/>
  <c r="N161" i="1"/>
  <c r="B163" i="1"/>
  <c r="B198" i="1" s="1"/>
  <c r="U170" i="1"/>
  <c r="N159" i="1"/>
  <c r="H170" i="1"/>
  <c r="G179" i="1"/>
  <c r="M191" i="1"/>
  <c r="I161" i="1"/>
  <c r="K145" i="1"/>
  <c r="K173" i="1" s="1"/>
  <c r="K151" i="1"/>
  <c r="C169" i="1"/>
  <c r="K190" i="1"/>
  <c r="L191" i="1"/>
  <c r="L144" i="1"/>
  <c r="T174" i="1"/>
  <c r="BO40" i="1"/>
  <c r="BC55" i="1"/>
  <c r="BT70" i="1"/>
  <c r="AQ32" i="1"/>
  <c r="AN70" i="1"/>
  <c r="BN34" i="1"/>
  <c r="BV27" i="1"/>
  <c r="BV250" i="1" s="1"/>
  <c r="BW44" i="1"/>
  <c r="BJ51" i="1"/>
  <c r="BJ272" i="1" s="1"/>
  <c r="BQ41" i="1"/>
  <c r="BH136" i="1"/>
  <c r="I156" i="1"/>
  <c r="F163" i="1"/>
  <c r="I169" i="1"/>
  <c r="J179" i="1"/>
  <c r="G156" i="1"/>
  <c r="H141" i="1"/>
  <c r="M96" i="1"/>
  <c r="M104" i="1" s="1"/>
  <c r="D168" i="1"/>
  <c r="R159" i="1"/>
  <c r="I163" i="1"/>
  <c r="I198" i="1" s="1"/>
  <c r="F144" i="1"/>
  <c r="Q96" i="1"/>
  <c r="Q121" i="1" s="1"/>
  <c r="S156" i="1"/>
  <c r="I179" i="1"/>
  <c r="S152" i="1"/>
  <c r="M169" i="1"/>
  <c r="U96" i="1"/>
  <c r="BD27" i="1"/>
  <c r="AY28" i="1"/>
  <c r="BS44" i="1"/>
  <c r="AT34" i="1"/>
  <c r="AO34" i="1"/>
  <c r="BI41" i="1"/>
  <c r="BG39" i="1"/>
  <c r="AO64" i="1"/>
  <c r="AO58" i="1"/>
  <c r="BA33" i="1"/>
  <c r="BH44" i="1"/>
  <c r="AU41" i="1"/>
  <c r="AT66" i="1"/>
  <c r="BH166" i="1"/>
  <c r="BI166" i="1" s="1"/>
  <c r="BV137" i="1"/>
  <c r="BW137" i="1" s="1"/>
  <c r="B151" i="1"/>
  <c r="L98" i="1"/>
  <c r="L123" i="1" s="1"/>
  <c r="T98" i="1"/>
  <c r="T106" i="1" s="1"/>
  <c r="W154" i="1"/>
  <c r="W150" i="1" s="1"/>
  <c r="U98" i="1"/>
  <c r="U106" i="1" s="1"/>
  <c r="R86" i="1"/>
  <c r="R87" i="1" s="1"/>
  <c r="V179" i="1"/>
  <c r="M190" i="1"/>
  <c r="U168" i="1"/>
  <c r="W190" i="1"/>
  <c r="G145" i="1"/>
  <c r="G173" i="1" s="1"/>
  <c r="Q189" i="1"/>
  <c r="P182" i="1"/>
  <c r="K170" i="1"/>
  <c r="E166" i="1"/>
  <c r="F164" i="1"/>
  <c r="F199" i="1" s="1"/>
  <c r="O169" i="1"/>
  <c r="P138" i="1"/>
  <c r="AT44" i="1"/>
  <c r="AY32" i="1"/>
  <c r="AW41" i="1"/>
  <c r="BA32" i="1"/>
  <c r="BR40" i="1"/>
  <c r="BC32" i="1"/>
  <c r="AR44" i="1"/>
  <c r="AR42" i="1"/>
  <c r="BD32" i="1"/>
  <c r="AU40" i="1"/>
  <c r="BI28" i="1"/>
  <c r="BI29" i="1" s="1"/>
  <c r="BV169" i="1"/>
  <c r="BW169" i="1" s="1"/>
  <c r="C97" i="1"/>
  <c r="O170" i="1"/>
  <c r="S92" i="1"/>
  <c r="W170" i="1"/>
  <c r="L183" i="1"/>
  <c r="P178" i="1"/>
  <c r="P180" i="1" s="1"/>
  <c r="Q228" i="1" s="1"/>
  <c r="F155" i="1"/>
  <c r="U163" i="1"/>
  <c r="U198" i="1" s="1"/>
  <c r="P96" i="1"/>
  <c r="M163" i="1"/>
  <c r="M198" i="1" s="1"/>
  <c r="K93" i="1"/>
  <c r="J166" i="1"/>
  <c r="V93" i="1"/>
  <c r="O156" i="1"/>
  <c r="F141" i="1"/>
  <c r="W182" i="1"/>
  <c r="H156" i="1"/>
  <c r="K178" i="1"/>
  <c r="T165" i="1"/>
  <c r="AX58" i="1"/>
  <c r="BV174" i="1"/>
  <c r="BW174" i="1" s="1"/>
  <c r="BV152" i="1"/>
  <c r="F137" i="1"/>
  <c r="V154" i="1"/>
  <c r="V150" i="1" s="1"/>
  <c r="V86" i="1"/>
  <c r="V87" i="1" s="1"/>
  <c r="E152" i="1"/>
  <c r="J155" i="1"/>
  <c r="S143" i="1"/>
  <c r="R144" i="1"/>
  <c r="E154" i="1"/>
  <c r="E150" i="1" s="1"/>
  <c r="B138" i="1"/>
  <c r="O161" i="1"/>
  <c r="T159" i="1"/>
  <c r="N97" i="1"/>
  <c r="R174" i="1"/>
  <c r="N162" i="1"/>
  <c r="U137" i="1"/>
  <c r="AV28" i="1"/>
  <c r="BN43" i="1"/>
  <c r="AO39" i="1"/>
  <c r="BV55" i="1"/>
  <c r="AI41" i="1"/>
  <c r="BV165" i="1"/>
  <c r="BW165" i="1" s="1"/>
  <c r="U183" i="1"/>
  <c r="L152" i="1"/>
  <c r="V152" i="1"/>
  <c r="C162" i="1"/>
  <c r="M178" i="1"/>
  <c r="B155" i="1"/>
  <c r="K162" i="1"/>
  <c r="R163" i="1"/>
  <c r="R198" i="1" s="1"/>
  <c r="N141" i="1"/>
  <c r="G162" i="1"/>
  <c r="V189" i="1"/>
  <c r="V161" i="1"/>
  <c r="U169" i="1"/>
  <c r="U179" i="1"/>
  <c r="S161" i="1"/>
  <c r="D182" i="1"/>
  <c r="C144" i="1"/>
  <c r="H144" i="1"/>
  <c r="G178" i="1"/>
  <c r="H152" i="1"/>
  <c r="H174" i="1"/>
  <c r="P93" i="1"/>
  <c r="W172" i="1"/>
  <c r="W166" i="1"/>
  <c r="F189" i="1"/>
  <c r="V163" i="1"/>
  <c r="V198" i="1" s="1"/>
  <c r="R178" i="1"/>
  <c r="M183" i="1"/>
  <c r="P136" i="1"/>
  <c r="M162" i="1"/>
  <c r="K159" i="1"/>
  <c r="N189" i="1"/>
  <c r="O96" i="1"/>
  <c r="O121" i="1" s="1"/>
  <c r="V138" i="1"/>
  <c r="N178" i="1"/>
  <c r="E162" i="1"/>
  <c r="V168" i="1"/>
  <c r="BC39" i="1"/>
  <c r="AP40" i="1"/>
  <c r="AO43" i="1"/>
  <c r="AY34" i="1"/>
  <c r="AI33" i="1"/>
  <c r="BG64" i="1"/>
  <c r="AU54" i="1"/>
  <c r="AN64" i="1"/>
  <c r="BH141" i="1"/>
  <c r="BI141" i="1" s="1"/>
  <c r="G141" i="1"/>
  <c r="O86" i="1"/>
  <c r="O87" i="1" s="1"/>
  <c r="E189" i="1"/>
  <c r="G98" i="1"/>
  <c r="G106" i="1" s="1"/>
  <c r="T191" i="1"/>
  <c r="D161" i="1"/>
  <c r="B154" i="1"/>
  <c r="B97" i="1"/>
  <c r="M166" i="1"/>
  <c r="I98" i="1"/>
  <c r="U154" i="1"/>
  <c r="U150" i="1" s="1"/>
  <c r="O179" i="1"/>
  <c r="N137" i="1"/>
  <c r="P170" i="1"/>
  <c r="T136" i="1"/>
  <c r="W152" i="1"/>
  <c r="B144" i="1"/>
  <c r="E179" i="1"/>
  <c r="E180" i="1" s="1"/>
  <c r="F228" i="1" s="1"/>
  <c r="E143" i="1"/>
  <c r="W164" i="1"/>
  <c r="F136" i="1"/>
  <c r="E165" i="1"/>
  <c r="N86" i="1"/>
  <c r="N87" i="1" s="1"/>
  <c r="C154" i="1"/>
  <c r="E182" i="1"/>
  <c r="J98" i="1"/>
  <c r="G86" i="1"/>
  <c r="G87" i="1" s="1"/>
  <c r="C159" i="1"/>
  <c r="F86" i="1"/>
  <c r="F87" i="1" s="1"/>
  <c r="D82" i="1"/>
  <c r="E136" i="1"/>
  <c r="J182" i="1"/>
  <c r="BA28" i="1"/>
  <c r="AX33" i="1"/>
  <c r="BE43" i="1"/>
  <c r="BB66" i="1"/>
  <c r="BP44" i="1"/>
  <c r="AI27" i="1"/>
  <c r="AI204" i="1" s="1"/>
  <c r="AZ42" i="1"/>
  <c r="AX28" i="1"/>
  <c r="BB44" i="1"/>
  <c r="BH64" i="1"/>
  <c r="AW39" i="1"/>
  <c r="AT43" i="1"/>
  <c r="AI92" i="1"/>
  <c r="R93" i="1"/>
  <c r="D97" i="1"/>
  <c r="D108" i="1" s="1"/>
  <c r="K98" i="1"/>
  <c r="Q169" i="1"/>
  <c r="L141" i="1"/>
  <c r="O97" i="1"/>
  <c r="O108" i="1" s="1"/>
  <c r="U178" i="1"/>
  <c r="H179" i="1"/>
  <c r="BH137" i="1"/>
  <c r="BI137" i="1" s="1"/>
  <c r="C156" i="1"/>
  <c r="L161" i="1"/>
  <c r="I162" i="1"/>
  <c r="S166" i="1"/>
  <c r="K169" i="1"/>
  <c r="BA66" i="1"/>
  <c r="BN65" i="1"/>
  <c r="AX40" i="1"/>
  <c r="AU43" i="1"/>
  <c r="AT42" i="1"/>
  <c r="AK92" i="1"/>
  <c r="BH92" i="1"/>
  <c r="S86" i="1"/>
  <c r="S87" i="1" s="1"/>
  <c r="U146" i="1"/>
  <c r="N96" i="1"/>
  <c r="N104" i="1" s="1"/>
  <c r="P151" i="1"/>
  <c r="BB65" i="1"/>
  <c r="BE42" i="1"/>
  <c r="BW70" i="1"/>
  <c r="AN65" i="1"/>
  <c r="BP39" i="1"/>
  <c r="BM40" i="1"/>
  <c r="AN28" i="1"/>
  <c r="Q162" i="1"/>
  <c r="U143" i="1"/>
  <c r="S144" i="1"/>
  <c r="F143" i="1"/>
  <c r="BW42" i="1"/>
  <c r="BM34" i="1"/>
  <c r="AP65" i="1"/>
  <c r="AI39" i="1"/>
  <c r="BC28" i="1"/>
  <c r="AI42" i="1"/>
  <c r="AV54" i="1"/>
  <c r="BK28" i="1"/>
  <c r="BH66" i="1"/>
  <c r="BM41" i="1"/>
  <c r="AS66" i="1"/>
  <c r="BT54" i="1"/>
  <c r="AW66" i="1"/>
  <c r="BC43" i="1"/>
  <c r="BE27" i="1"/>
  <c r="BN41" i="1"/>
  <c r="BV92" i="1"/>
  <c r="M143" i="1"/>
  <c r="O144" i="1"/>
  <c r="D93" i="1"/>
  <c r="W145" i="1"/>
  <c r="W173" i="1" s="1"/>
  <c r="C82" i="1"/>
  <c r="C163" i="1"/>
  <c r="C198" i="1" s="1"/>
  <c r="D156" i="1"/>
  <c r="H97" i="1"/>
  <c r="P155" i="1"/>
  <c r="I143" i="1"/>
  <c r="B161" i="1"/>
  <c r="N172" i="1"/>
  <c r="N202" i="1" s="1"/>
  <c r="I168" i="1"/>
  <c r="L86" i="1"/>
  <c r="L87" i="1" s="1"/>
  <c r="V144" i="1"/>
  <c r="BG43" i="1"/>
  <c r="AT40" i="1"/>
  <c r="BE70" i="1"/>
  <c r="BF44" i="1"/>
  <c r="BW66" i="1"/>
  <c r="BU33" i="1"/>
  <c r="BA55" i="1"/>
  <c r="AO44" i="1"/>
  <c r="BI40" i="1"/>
  <c r="BO64" i="1"/>
  <c r="AX27" i="1"/>
  <c r="AS28" i="1"/>
  <c r="AT64" i="1"/>
  <c r="AS58" i="1"/>
  <c r="AR55" i="1"/>
  <c r="BH143" i="1"/>
  <c r="BH138" i="1"/>
  <c r="S151" i="1"/>
  <c r="N168" i="1"/>
  <c r="L156" i="1"/>
  <c r="C155" i="1"/>
  <c r="L169" i="1"/>
  <c r="E146" i="1"/>
  <c r="M93" i="1"/>
  <c r="S183" i="1"/>
  <c r="C145" i="1"/>
  <c r="C173" i="1" s="1"/>
  <c r="R97" i="1"/>
  <c r="R122" i="1" s="1"/>
  <c r="R182" i="1"/>
  <c r="W86" i="1"/>
  <c r="T143" i="1"/>
  <c r="E145" i="1"/>
  <c r="E173" i="1" s="1"/>
  <c r="J141" i="1"/>
  <c r="Q165" i="1"/>
  <c r="L163" i="1"/>
  <c r="F162" i="1"/>
  <c r="V151" i="1"/>
  <c r="W178" i="1"/>
  <c r="N144" i="1"/>
  <c r="AV33" i="1"/>
  <c r="AW32" i="1"/>
  <c r="BW51" i="1"/>
  <c r="BW213" i="1" s="1"/>
  <c r="BV65" i="1"/>
  <c r="AZ70" i="1"/>
  <c r="BO65" i="1"/>
  <c r="BR33" i="1"/>
  <c r="BU32" i="1"/>
  <c r="AI70" i="1"/>
  <c r="AT28" i="1"/>
  <c r="BG70" i="1"/>
  <c r="BI70" i="1"/>
  <c r="BK42" i="1"/>
  <c r="AR34" i="1"/>
  <c r="AU51" i="1"/>
  <c r="AU213" i="1" s="1"/>
  <c r="BV172" i="1"/>
  <c r="BH145" i="1"/>
  <c r="BI145" i="1" s="1"/>
  <c r="K179" i="1"/>
  <c r="S182" i="1"/>
  <c r="S191" i="1"/>
  <c r="J174" i="1"/>
  <c r="K174" i="1"/>
  <c r="K86" i="1"/>
  <c r="K87" i="1" s="1"/>
  <c r="L93" i="1"/>
  <c r="P164" i="1"/>
  <c r="P199" i="1" s="1"/>
  <c r="C174" i="1"/>
  <c r="R189" i="1"/>
  <c r="J154" i="1"/>
  <c r="J150" i="1" s="1"/>
  <c r="R156" i="1"/>
  <c r="F161" i="1"/>
  <c r="G169" i="1"/>
  <c r="J93" i="1"/>
  <c r="AS44" i="1"/>
  <c r="AP32" i="1"/>
  <c r="BG51" i="1"/>
  <c r="BG213" i="1" s="1"/>
  <c r="AY27" i="1"/>
  <c r="BQ42" i="1"/>
  <c r="AN39" i="1"/>
  <c r="BU40" i="1"/>
  <c r="BP34" i="1"/>
  <c r="AZ66" i="1"/>
  <c r="AR54" i="1"/>
  <c r="AV27" i="1"/>
  <c r="AV250" i="1" s="1"/>
  <c r="AR27" i="1"/>
  <c r="BD43" i="1"/>
  <c r="AW65" i="1"/>
  <c r="BF64" i="1"/>
  <c r="BI44" i="1"/>
  <c r="BV159" i="1"/>
  <c r="BW159" i="1" s="1"/>
  <c r="BX221" i="1" s="1"/>
  <c r="T86" i="1"/>
  <c r="T87" i="1" s="1"/>
  <c r="L151" i="1"/>
  <c r="B183" i="1"/>
  <c r="L178" i="1"/>
  <c r="E97" i="1"/>
  <c r="E122" i="1" s="1"/>
  <c r="U151" i="1"/>
  <c r="L92" i="1"/>
  <c r="L136" i="1"/>
  <c r="G161" i="1"/>
  <c r="Q164" i="1"/>
  <c r="Q199" i="1" s="1"/>
  <c r="U93" i="1"/>
  <c r="L172" i="1"/>
  <c r="L202" i="1" s="1"/>
  <c r="M97" i="1"/>
  <c r="M108" i="1" s="1"/>
  <c r="N163" i="1"/>
  <c r="N198" i="1" s="1"/>
  <c r="F96" i="1"/>
  <c r="F104" i="1" s="1"/>
  <c r="I97" i="1"/>
  <c r="P183" i="1"/>
  <c r="L96" i="1"/>
  <c r="L121" i="1" s="1"/>
  <c r="BV151" i="1"/>
  <c r="BH93" i="1"/>
  <c r="B145" i="1"/>
  <c r="B173" i="1" s="1"/>
  <c r="V92" i="1"/>
  <c r="P169" i="1"/>
  <c r="O174" i="1"/>
  <c r="W138" i="1"/>
  <c r="C190" i="1"/>
  <c r="T162" i="1"/>
  <c r="F174" i="1"/>
  <c r="Q174" i="1"/>
  <c r="R162" i="1"/>
  <c r="I170" i="1"/>
  <c r="O165" i="1"/>
  <c r="H136" i="1"/>
  <c r="G93" i="1"/>
  <c r="W96" i="1"/>
  <c r="W121" i="1" s="1"/>
  <c r="W159" i="1"/>
  <c r="X221" i="1" s="1"/>
  <c r="F138" i="1"/>
  <c r="I172" i="1"/>
  <c r="I202" i="1" s="1"/>
  <c r="AT41" i="1"/>
  <c r="AP55" i="1"/>
  <c r="AP271" i="1" s="1"/>
  <c r="BQ40" i="1"/>
  <c r="BS34" i="1"/>
  <c r="BS55" i="1"/>
  <c r="BP40" i="1"/>
  <c r="BV141" i="1"/>
  <c r="BW141" i="1" s="1"/>
  <c r="U190" i="1"/>
  <c r="M174" i="1"/>
  <c r="B86" i="1"/>
  <c r="K182" i="1"/>
  <c r="K163" i="1"/>
  <c r="K198" i="1" s="1"/>
  <c r="U172" i="1"/>
  <c r="U202" i="1" s="1"/>
  <c r="P144" i="1"/>
  <c r="S189" i="1"/>
  <c r="O92" i="1"/>
  <c r="W174" i="1"/>
  <c r="S169" i="1"/>
  <c r="U145" i="1"/>
  <c r="U173" i="1" s="1"/>
  <c r="L145" i="1"/>
  <c r="L173" i="1" s="1"/>
  <c r="K97" i="1"/>
  <c r="F98" i="1"/>
  <c r="F127" i="1" s="1"/>
  <c r="T170" i="1"/>
  <c r="J96" i="1"/>
  <c r="J104" i="1" s="1"/>
  <c r="B166" i="1"/>
  <c r="P166" i="1"/>
  <c r="L97" i="1"/>
  <c r="L105" i="1" s="1"/>
  <c r="L162" i="1"/>
  <c r="L170" i="1"/>
  <c r="I96" i="1"/>
  <c r="I121" i="1" s="1"/>
  <c r="L164" i="1"/>
  <c r="L199" i="1" s="1"/>
  <c r="K143" i="1"/>
  <c r="M136" i="1"/>
  <c r="O172" i="1"/>
  <c r="O202" i="1" s="1"/>
  <c r="T144" i="1"/>
  <c r="H159" i="1"/>
  <c r="M146" i="1"/>
  <c r="M189" i="1"/>
  <c r="F178" i="1"/>
  <c r="P141" i="1"/>
  <c r="BE51" i="1"/>
  <c r="AX43" i="1"/>
  <c r="BD42" i="1"/>
  <c r="BF55" i="1"/>
  <c r="BF271" i="1" s="1"/>
  <c r="AN51" i="1"/>
  <c r="BA41" i="1"/>
  <c r="BV168" i="1"/>
  <c r="BW168" i="1" s="1"/>
  <c r="BH162" i="1"/>
  <c r="BI162" i="1" s="1"/>
  <c r="K183" i="1"/>
  <c r="I141" i="1"/>
  <c r="M159" i="1"/>
  <c r="M137" i="1"/>
  <c r="B172" i="1"/>
  <c r="F190" i="1"/>
  <c r="G168" i="1"/>
  <c r="H161" i="1"/>
  <c r="K138" i="1"/>
  <c r="G144" i="1"/>
  <c r="S93" i="1"/>
  <c r="O190" i="1"/>
  <c r="J146" i="1"/>
  <c r="AI34" i="1"/>
  <c r="BW40" i="1"/>
  <c r="AX34" i="1"/>
  <c r="BC40" i="1"/>
  <c r="BE66" i="1"/>
  <c r="BS40" i="1"/>
  <c r="BO28" i="1"/>
  <c r="AX32" i="1"/>
  <c r="BO70" i="1"/>
  <c r="BW41" i="1"/>
  <c r="AX42" i="1"/>
  <c r="AQ70" i="1"/>
  <c r="BB64" i="1"/>
  <c r="AV55" i="1"/>
  <c r="AV271" i="1" s="1"/>
  <c r="D179" i="1"/>
  <c r="M151" i="1"/>
  <c r="J162" i="1"/>
  <c r="L155" i="1"/>
  <c r="R183" i="1"/>
  <c r="W97" i="1"/>
  <c r="W126" i="1" s="1"/>
  <c r="T164" i="1"/>
  <c r="T199" i="1" s="1"/>
  <c r="V156" i="1"/>
  <c r="W169" i="1"/>
  <c r="T183" i="1"/>
  <c r="H143" i="1"/>
  <c r="W93" i="1"/>
  <c r="E161" i="1"/>
  <c r="E159" i="1"/>
  <c r="R154" i="1"/>
  <c r="R150" i="1" s="1"/>
  <c r="W168" i="1"/>
  <c r="J163" i="1"/>
  <c r="J198" i="1" s="1"/>
  <c r="W162" i="1"/>
  <c r="BN27" i="1"/>
  <c r="AP66" i="1"/>
  <c r="AN66" i="1"/>
  <c r="AS70" i="1"/>
  <c r="BM28" i="1"/>
  <c r="BF41" i="1"/>
  <c r="AV43" i="1"/>
  <c r="BJ41" i="1"/>
  <c r="BJ45" i="1" s="1"/>
  <c r="AQ27" i="1"/>
  <c r="BV40" i="1"/>
  <c r="BR39" i="1"/>
  <c r="AY64" i="1"/>
  <c r="BN70" i="1"/>
  <c r="AQ58" i="1"/>
  <c r="BS39" i="1"/>
  <c r="BH165" i="1"/>
  <c r="BI165" i="1" s="1"/>
  <c r="BV162" i="1"/>
  <c r="BW162" i="1" s="1"/>
  <c r="BH169" i="1"/>
  <c r="BI169" i="1" s="1"/>
  <c r="H162" i="1"/>
  <c r="U164" i="1"/>
  <c r="U199" i="1" s="1"/>
  <c r="G155" i="1"/>
  <c r="Q159" i="1"/>
  <c r="L165" i="1"/>
  <c r="B96" i="1"/>
  <c r="O98" i="1"/>
  <c r="O123" i="1" s="1"/>
  <c r="W161" i="1"/>
  <c r="V190" i="1"/>
  <c r="W165" i="1"/>
  <c r="I178" i="1"/>
  <c r="Q86" i="1"/>
  <c r="Q87" i="1" s="1"/>
  <c r="P145" i="1"/>
  <c r="P173" i="1" s="1"/>
  <c r="V174" i="1"/>
  <c r="R164" i="1"/>
  <c r="R199" i="1" s="1"/>
  <c r="I146" i="1"/>
  <c r="G152" i="1"/>
  <c r="D86" i="1"/>
  <c r="K189" i="1"/>
  <c r="BE41" i="1"/>
  <c r="AP34" i="1"/>
  <c r="BG66" i="1"/>
  <c r="AN33" i="1"/>
  <c r="AQ51" i="1"/>
  <c r="BS65" i="1"/>
  <c r="AZ28" i="1"/>
  <c r="BU44" i="1"/>
  <c r="AY66" i="1"/>
  <c r="BK58" i="1"/>
  <c r="AQ44" i="1"/>
  <c r="BM44" i="1"/>
  <c r="AV41" i="1"/>
  <c r="BT64" i="1"/>
  <c r="AM66" i="1"/>
  <c r="AT32" i="1"/>
  <c r="AQ65" i="1"/>
  <c r="AZ55" i="1"/>
  <c r="BV178" i="1"/>
  <c r="F169" i="1"/>
  <c r="V165" i="1"/>
  <c r="Q155" i="1"/>
  <c r="G166" i="1"/>
  <c r="N152" i="1"/>
  <c r="R136" i="1"/>
  <c r="D83" i="1"/>
  <c r="S145" i="1"/>
  <c r="S173" i="1" s="1"/>
  <c r="R141" i="1"/>
  <c r="F92" i="1"/>
  <c r="U86" i="1"/>
  <c r="U87" i="1" s="1"/>
  <c r="C83" i="1"/>
  <c r="T146" i="1"/>
  <c r="E170" i="1"/>
  <c r="P156" i="1"/>
  <c r="J165" i="1"/>
  <c r="R169" i="1"/>
  <c r="O162" i="1"/>
  <c r="D178" i="1"/>
  <c r="AW44" i="1"/>
  <c r="BB70" i="1"/>
  <c r="AW70" i="1"/>
  <c r="BR27" i="1"/>
  <c r="BR250" i="1" s="1"/>
  <c r="BK54" i="1"/>
  <c r="AV58" i="1"/>
  <c r="BR70" i="1"/>
  <c r="BW33" i="1"/>
  <c r="BU34" i="1"/>
  <c r="AZ51" i="1"/>
  <c r="AZ213" i="1" s="1"/>
  <c r="AU44" i="1"/>
  <c r="AU65" i="1"/>
  <c r="AN34" i="1"/>
  <c r="BU28" i="1"/>
  <c r="AS64" i="1"/>
  <c r="BV166" i="1"/>
  <c r="BW166" i="1" s="1"/>
  <c r="BH178" i="1"/>
  <c r="J152" i="1"/>
  <c r="F166" i="1"/>
  <c r="M182" i="1"/>
  <c r="B164" i="1"/>
  <c r="B199" i="1" s="1"/>
  <c r="F151" i="1"/>
  <c r="D155" i="1"/>
  <c r="S97" i="1"/>
  <c r="S122" i="1" s="1"/>
  <c r="V143" i="1"/>
  <c r="K161" i="1"/>
  <c r="V159" i="1"/>
  <c r="O159" i="1"/>
  <c r="C183" i="1"/>
  <c r="N182" i="1"/>
  <c r="I92" i="1"/>
  <c r="T137" i="1"/>
  <c r="J97" i="1"/>
  <c r="J122" i="1" s="1"/>
  <c r="J178" i="1"/>
  <c r="BH152" i="1"/>
  <c r="BV179" i="1"/>
  <c r="P162" i="1"/>
  <c r="C146" i="1"/>
  <c r="N170" i="1"/>
  <c r="F172" i="1"/>
  <c r="F202" i="1" s="1"/>
  <c r="B83" i="1"/>
  <c r="B174" i="1"/>
  <c r="S165" i="1"/>
  <c r="V182" i="1"/>
  <c r="T141" i="1"/>
  <c r="G154" i="1"/>
  <c r="G150" i="1" s="1"/>
  <c r="D138" i="1"/>
  <c r="U189" i="1"/>
  <c r="T172" i="1"/>
  <c r="K172" i="1"/>
  <c r="K202" i="1" s="1"/>
  <c r="AT65" i="1"/>
  <c r="BK34" i="1"/>
  <c r="BE64" i="1"/>
  <c r="BP55" i="1"/>
  <c r="BW58" i="1"/>
  <c r="BB39" i="1"/>
  <c r="BV154" i="1"/>
  <c r="BW154" i="1" s="1"/>
  <c r="BV145" i="1"/>
  <c r="BW145" i="1" s="1"/>
  <c r="T169" i="1"/>
  <c r="R190" i="1"/>
  <c r="C93" i="1"/>
  <c r="G174" i="1"/>
  <c r="O182" i="1"/>
  <c r="I189" i="1"/>
  <c r="P152" i="1"/>
  <c r="H151" i="1"/>
  <c r="Q178" i="1"/>
  <c r="I86" i="1"/>
  <c r="I87" i="1" s="1"/>
  <c r="J143" i="1"/>
  <c r="M144" i="1"/>
  <c r="K155" i="1"/>
  <c r="H172" i="1"/>
  <c r="H202" i="1" s="1"/>
  <c r="L166" i="1"/>
  <c r="B168" i="1"/>
  <c r="G183" i="1"/>
  <c r="B165" i="1"/>
  <c r="C96" i="1"/>
  <c r="J189" i="1"/>
  <c r="B178" i="1"/>
  <c r="G170" i="1"/>
  <c r="H92" i="1"/>
  <c r="R168" i="1"/>
  <c r="H168" i="1"/>
  <c r="E163" i="1"/>
  <c r="E198" i="1" s="1"/>
  <c r="O178" i="1"/>
  <c r="Q137" i="1"/>
  <c r="I183" i="1"/>
  <c r="T163" i="1"/>
  <c r="T198" i="1" s="1"/>
  <c r="U152" i="1"/>
  <c r="P86" i="1"/>
  <c r="P87" i="1" s="1"/>
  <c r="Q136" i="1"/>
  <c r="M145" i="1"/>
  <c r="BP64" i="1"/>
  <c r="BP54" i="1"/>
  <c r="AU70" i="1"/>
  <c r="BT28" i="1"/>
  <c r="BT29" i="1" s="1"/>
  <c r="AY70" i="1"/>
  <c r="AY33" i="1"/>
  <c r="AU58" i="1"/>
  <c r="BO33" i="1"/>
  <c r="BV93" i="1"/>
  <c r="Q168" i="1"/>
  <c r="T97" i="1"/>
  <c r="T122" i="1" s="1"/>
  <c r="K137" i="1"/>
  <c r="K96" i="1"/>
  <c r="R170" i="1"/>
  <c r="N92" i="1"/>
  <c r="U92" i="1"/>
  <c r="V169" i="1"/>
  <c r="B152" i="1"/>
  <c r="L168" i="1"/>
  <c r="D163" i="1"/>
  <c r="D198" i="1" s="1"/>
  <c r="O93" i="1"/>
  <c r="L89" i="1"/>
  <c r="M173" i="1"/>
  <c r="AX159" i="1"/>
  <c r="AY159" i="1" s="1"/>
  <c r="AZ172" i="1"/>
  <c r="BR145" i="1"/>
  <c r="BS145" i="1" s="1"/>
  <c r="AZ173" i="1"/>
  <c r="BA173" i="1" s="1"/>
  <c r="BT150" i="1"/>
  <c r="BP174" i="1"/>
  <c r="BQ174" i="1" s="1"/>
  <c r="BP92" i="1"/>
  <c r="AP165" i="1"/>
  <c r="AQ165" i="1" s="1"/>
  <c r="BI92" i="1"/>
  <c r="AX163" i="1"/>
  <c r="BR178" i="1"/>
  <c r="AZ171" i="1"/>
  <c r="BA171" i="1" s="1"/>
  <c r="BD154" i="1"/>
  <c r="BE154" i="1" s="1"/>
  <c r="BN183" i="1"/>
  <c r="BO183" i="1" s="1"/>
  <c r="BT170" i="1"/>
  <c r="BU170" i="1" s="1"/>
  <c r="BN138" i="1"/>
  <c r="AX137" i="1"/>
  <c r="AY137" i="1" s="1"/>
  <c r="BW93" i="1"/>
  <c r="BN145" i="1"/>
  <c r="BO145" i="1" s="1"/>
  <c r="AX170" i="1"/>
  <c r="AY170" i="1" s="1"/>
  <c r="AP144" i="1"/>
  <c r="AQ144" i="1" s="1"/>
  <c r="AT150" i="1"/>
  <c r="AZ150" i="1"/>
  <c r="BR146" i="1"/>
  <c r="BS146" i="1" s="1"/>
  <c r="BD166" i="1"/>
  <c r="BE166" i="1" s="1"/>
  <c r="AP162" i="1"/>
  <c r="AQ162" i="1" s="1"/>
  <c r="AV154" i="1"/>
  <c r="AW154" i="1" s="1"/>
  <c r="BB154" i="1"/>
  <c r="BC154" i="1" s="1"/>
  <c r="AN136" i="1"/>
  <c r="AQ92" i="1"/>
  <c r="AT170" i="1"/>
  <c r="AU170" i="1" s="1"/>
  <c r="AX93" i="1"/>
  <c r="BA92" i="1"/>
  <c r="BN141" i="1"/>
  <c r="BO141" i="1" s="1"/>
  <c r="BP146" i="1"/>
  <c r="BQ146" i="1" s="1"/>
  <c r="AZ179" i="1"/>
  <c r="BP145" i="1"/>
  <c r="BQ145" i="1" s="1"/>
  <c r="BD171" i="1"/>
  <c r="BE171" i="1" s="1"/>
  <c r="AZ161" i="1"/>
  <c r="BA161" i="1" s="1"/>
  <c r="BD179" i="1"/>
  <c r="BT136" i="1"/>
  <c r="BU136" i="1" s="1"/>
  <c r="BN171" i="1"/>
  <c r="BO171" i="1" s="1"/>
  <c r="BD168" i="1"/>
  <c r="BE168" i="1" s="1"/>
  <c r="BT171" i="1"/>
  <c r="BU171" i="1" s="1"/>
  <c r="BN146" i="1"/>
  <c r="BO146" i="1" s="1"/>
  <c r="BR151" i="1"/>
  <c r="BP163" i="1"/>
  <c r="AT178" i="1"/>
  <c r="AZ154" i="1"/>
  <c r="BA154" i="1" s="1"/>
  <c r="BT165" i="1"/>
  <c r="BU165" i="1" s="1"/>
  <c r="BP143" i="1"/>
  <c r="BQ143" i="1" s="1"/>
  <c r="BP161" i="1"/>
  <c r="BQ161" i="1" s="1"/>
  <c r="BT93" i="1"/>
  <c r="AX92" i="1"/>
  <c r="AX166" i="1"/>
  <c r="AY166" i="1" s="1"/>
  <c r="AX171" i="1"/>
  <c r="AY171" i="1" s="1"/>
  <c r="BB143" i="1"/>
  <c r="AZ166" i="1"/>
  <c r="BA166" i="1" s="1"/>
  <c r="BP150" i="1"/>
  <c r="AV163" i="1"/>
  <c r="BW92" i="1"/>
  <c r="BN174" i="1"/>
  <c r="BO174" i="1" s="1"/>
  <c r="BR168" i="1"/>
  <c r="BS168" i="1" s="1"/>
  <c r="BP138" i="1"/>
  <c r="BR92" i="1"/>
  <c r="BB93" i="1"/>
  <c r="BD93" i="1"/>
  <c r="AT144" i="1"/>
  <c r="AU144" i="1" s="1"/>
  <c r="BN144" i="1"/>
  <c r="BO144" i="1" s="1"/>
  <c r="BB165" i="1"/>
  <c r="BC165" i="1" s="1"/>
  <c r="AT141" i="1"/>
  <c r="AU141" i="1" s="1"/>
  <c r="BB151" i="1"/>
  <c r="AN141" i="1"/>
  <c r="AO141" i="1" s="1"/>
  <c r="BB145" i="1"/>
  <c r="BC145" i="1" s="1"/>
  <c r="BP159" i="1"/>
  <c r="BQ159" i="1" s="1"/>
  <c r="AP159" i="1"/>
  <c r="AV159" i="1"/>
  <c r="AV169" i="1"/>
  <c r="AW169" i="1" s="1"/>
  <c r="AN137" i="1"/>
  <c r="AO137" i="1" s="1"/>
  <c r="AN93" i="1"/>
  <c r="BE93" i="1"/>
  <c r="AX141" i="1"/>
  <c r="AY141" i="1" s="1"/>
  <c r="AX179" i="1"/>
  <c r="BB138" i="1"/>
  <c r="AZ164" i="1"/>
  <c r="BT163" i="1"/>
  <c r="BT198" i="1" s="1"/>
  <c r="BU198" i="1" s="1"/>
  <c r="AP138" i="1"/>
  <c r="BR170" i="1"/>
  <c r="BS170" i="1" s="1"/>
  <c r="AT152" i="1"/>
  <c r="AX169" i="1"/>
  <c r="AY169" i="1" s="1"/>
  <c r="BN165" i="1"/>
  <c r="BO165" i="1" s="1"/>
  <c r="BN151" i="1"/>
  <c r="AY93" i="1"/>
  <c r="BR163" i="1"/>
  <c r="BB179" i="1"/>
  <c r="BD150" i="1"/>
  <c r="BT172" i="1"/>
  <c r="BT202" i="1" s="1"/>
  <c r="BU202" i="1" s="1"/>
  <c r="BA93" i="1"/>
  <c r="BR165" i="1"/>
  <c r="BS165" i="1" s="1"/>
  <c r="BB146" i="1"/>
  <c r="BC146" i="1" s="1"/>
  <c r="BP164" i="1"/>
  <c r="AT163" i="1"/>
  <c r="BC92" i="1"/>
  <c r="BD170" i="1"/>
  <c r="BE170" i="1" s="1"/>
  <c r="BR164" i="1"/>
  <c r="BT178" i="1"/>
  <c r="AV168" i="1"/>
  <c r="AW168" i="1" s="1"/>
  <c r="BN161" i="1"/>
  <c r="BO161" i="1" s="1"/>
  <c r="AZ163" i="1"/>
  <c r="AP143" i="1"/>
  <c r="AQ143" i="1" s="1"/>
  <c r="BP136" i="1"/>
  <c r="BQ136" i="1" s="1"/>
  <c r="BD145" i="1"/>
  <c r="BE145" i="1" s="1"/>
  <c r="BP151" i="1"/>
  <c r="AP169" i="1"/>
  <c r="AQ169" i="1" s="1"/>
  <c r="BD183" i="1"/>
  <c r="BE183" i="1" s="1"/>
  <c r="AV178" i="1"/>
  <c r="AV136" i="1"/>
  <c r="AW136" i="1" s="1"/>
  <c r="AR138" i="1"/>
  <c r="AZ159" i="1"/>
  <c r="BA159" i="1" s="1"/>
  <c r="AP182" i="1"/>
  <c r="AQ182" i="1" s="1"/>
  <c r="AP161" i="1"/>
  <c r="AN156" i="1"/>
  <c r="AO156" i="1" s="1"/>
  <c r="AV144" i="1"/>
  <c r="AW144" i="1" s="1"/>
  <c r="AV145" i="1"/>
  <c r="AW145" i="1" s="1"/>
  <c r="AV152" i="1"/>
  <c r="AR137" i="1"/>
  <c r="AS137" i="1" s="1"/>
  <c r="BP178" i="1"/>
  <c r="AN169" i="1"/>
  <c r="AO169" i="1" s="1"/>
  <c r="AR143" i="1"/>
  <c r="AN179" i="1"/>
  <c r="AV183" i="1"/>
  <c r="AW183" i="1" s="1"/>
  <c r="AN145" i="1"/>
  <c r="AO145" i="1" s="1"/>
  <c r="AR141" i="1"/>
  <c r="AS141" i="1" s="1"/>
  <c r="BB150" i="1"/>
  <c r="AV92" i="1"/>
  <c r="AU92" i="1"/>
  <c r="AV172" i="1"/>
  <c r="AT168" i="1"/>
  <c r="AU168" i="1" s="1"/>
  <c r="AT172" i="1"/>
  <c r="BO93" i="1"/>
  <c r="BT159" i="1"/>
  <c r="AP152" i="1"/>
  <c r="BN92" i="1"/>
  <c r="AV179" i="1"/>
  <c r="BP168" i="1"/>
  <c r="BQ168" i="1" s="1"/>
  <c r="AV170" i="1"/>
  <c r="AW170" i="1" s="1"/>
  <c r="BT146" i="1"/>
  <c r="BU146" i="1" s="1"/>
  <c r="AR166" i="1"/>
  <c r="AS166" i="1" s="1"/>
  <c r="BB164" i="1"/>
  <c r="AT137" i="1"/>
  <c r="AU137" i="1" s="1"/>
  <c r="BO92" i="1"/>
  <c r="AX182" i="1"/>
  <c r="AY182" i="1" s="1"/>
  <c r="BB159" i="1"/>
  <c r="BC159" i="1" s="1"/>
  <c r="BD136" i="1"/>
  <c r="BE136" i="1" s="1"/>
  <c r="BR154" i="1"/>
  <c r="BS154" i="1" s="1"/>
  <c r="BB172" i="1"/>
  <c r="BP172" i="1"/>
  <c r="AX174" i="1"/>
  <c r="AY174" i="1" s="1"/>
  <c r="BN178" i="1"/>
  <c r="AZ145" i="1"/>
  <c r="BA145" i="1" s="1"/>
  <c r="AX150" i="1"/>
  <c r="BN163" i="1"/>
  <c r="BR137" i="1"/>
  <c r="BS137" i="1" s="1"/>
  <c r="BS92" i="1"/>
  <c r="BQ93" i="1"/>
  <c r="AT154" i="1"/>
  <c r="AU154" i="1" s="1"/>
  <c r="AT145" i="1"/>
  <c r="AU145" i="1" s="1"/>
  <c r="AZ141" i="1"/>
  <c r="BA141" i="1" s="1"/>
  <c r="BD182" i="1"/>
  <c r="BE182" i="1" s="1"/>
  <c r="BD141" i="1"/>
  <c r="BE141" i="1" s="1"/>
  <c r="BT138" i="1"/>
  <c r="BB173" i="1"/>
  <c r="BC173" i="1" s="1"/>
  <c r="AX138" i="1"/>
  <c r="AX154" i="1"/>
  <c r="AY154" i="1" s="1"/>
  <c r="AX164" i="1"/>
  <c r="AZ152" i="1"/>
  <c r="AZ174" i="1"/>
  <c r="BA174" i="1" s="1"/>
  <c r="BD169" i="1"/>
  <c r="BE169" i="1" s="1"/>
  <c r="BN169" i="1"/>
  <c r="BO169" i="1" s="1"/>
  <c r="AQ93" i="1"/>
  <c r="BR93" i="1"/>
  <c r="AZ146" i="1"/>
  <c r="BA146" i="1" s="1"/>
  <c r="BD165" i="1"/>
  <c r="BE165" i="1" s="1"/>
  <c r="BD143" i="1"/>
  <c r="BE143" i="1" s="1"/>
  <c r="BT154" i="1"/>
  <c r="BU154" i="1" s="1"/>
  <c r="BP93" i="1"/>
  <c r="AV173" i="1"/>
  <c r="AW173" i="1" s="1"/>
  <c r="BN93" i="1"/>
  <c r="BR183" i="1"/>
  <c r="BS183" i="1" s="1"/>
  <c r="AN183" i="1"/>
  <c r="AO183" i="1" s="1"/>
  <c r="AT169" i="1"/>
  <c r="AO92" i="1"/>
  <c r="AX168" i="1"/>
  <c r="AX151" i="1"/>
  <c r="AX156" i="1"/>
  <c r="AY156" i="1" s="1"/>
  <c r="BE92" i="1"/>
  <c r="BN152" i="1"/>
  <c r="BN182" i="1"/>
  <c r="BO182" i="1" s="1"/>
  <c r="BN143" i="1"/>
  <c r="BN164" i="1"/>
  <c r="BN173" i="1"/>
  <c r="BO173" i="1" s="1"/>
  <c r="AY92" i="1"/>
  <c r="BR161" i="1"/>
  <c r="BS161" i="1" s="1"/>
  <c r="BB168" i="1"/>
  <c r="BC168" i="1" s="1"/>
  <c r="BB170" i="1"/>
  <c r="BC170" i="1" s="1"/>
  <c r="AZ170" i="1"/>
  <c r="BA170" i="1" s="1"/>
  <c r="BD164" i="1"/>
  <c r="BT173" i="1"/>
  <c r="BU173" i="1" s="1"/>
  <c r="BT179" i="1"/>
  <c r="BP162" i="1"/>
  <c r="BQ162" i="1" s="1"/>
  <c r="BP170" i="1"/>
  <c r="BQ170" i="1" s="1"/>
  <c r="AP137" i="1"/>
  <c r="AQ137" i="1" s="1"/>
  <c r="AZ137" i="1"/>
  <c r="BA137" i="1" s="1"/>
  <c r="AX145" i="1"/>
  <c r="AY145" i="1" s="1"/>
  <c r="AX161" i="1"/>
  <c r="AY161" i="1" s="1"/>
  <c r="BN166" i="1"/>
  <c r="BO166" i="1" s="1"/>
  <c r="BR152" i="1"/>
  <c r="BR174" i="1"/>
  <c r="BS174" i="1" s="1"/>
  <c r="BR169" i="1"/>
  <c r="BS169" i="1" s="1"/>
  <c r="BB141" i="1"/>
  <c r="BC141" i="1" s="1"/>
  <c r="AZ151" i="1"/>
  <c r="AP168" i="1"/>
  <c r="AQ168" i="1" s="1"/>
  <c r="AS92" i="1"/>
  <c r="AT146" i="1"/>
  <c r="AU146" i="1" s="1"/>
  <c r="AT164" i="1"/>
  <c r="AT174" i="1"/>
  <c r="AU174" i="1" s="1"/>
  <c r="AT165" i="1"/>
  <c r="AU165" i="1" s="1"/>
  <c r="AT173" i="1"/>
  <c r="AU173" i="1" s="1"/>
  <c r="AT136" i="1"/>
  <c r="BB169" i="1"/>
  <c r="BC169" i="1" s="1"/>
  <c r="AZ182" i="1"/>
  <c r="BA182" i="1" s="1"/>
  <c r="AZ169" i="1"/>
  <c r="BA169" i="1" s="1"/>
  <c r="BD138" i="1"/>
  <c r="BD159" i="1"/>
  <c r="BE159" i="1" s="1"/>
  <c r="AP93" i="1"/>
  <c r="AZ183" i="1"/>
  <c r="BA183" i="1" s="1"/>
  <c r="BD161" i="1"/>
  <c r="BE161" i="1" s="1"/>
  <c r="BK92" i="1"/>
  <c r="AP141" i="1"/>
  <c r="AQ141" i="1" s="1"/>
  <c r="AT162" i="1"/>
  <c r="AU162" i="1" s="1"/>
  <c r="AT138" i="1"/>
  <c r="BN172" i="1"/>
  <c r="BB152" i="1"/>
  <c r="BB161" i="1"/>
  <c r="BC161" i="1" s="1"/>
  <c r="AZ168" i="1"/>
  <c r="BA168" i="1" s="1"/>
  <c r="BP165" i="1"/>
  <c r="BQ165" i="1" s="1"/>
  <c r="AN165" i="1"/>
  <c r="AO165" i="1" s="1"/>
  <c r="BT164" i="1"/>
  <c r="BD172" i="1"/>
  <c r="BT169" i="1"/>
  <c r="BU169" i="1" s="1"/>
  <c r="AN178" i="1"/>
  <c r="AZ156" i="1"/>
  <c r="BA156" i="1" s="1"/>
  <c r="AP145" i="1"/>
  <c r="AQ145" i="1" s="1"/>
  <c r="AP163" i="1"/>
  <c r="AN171" i="1"/>
  <c r="AO171" i="1" s="1"/>
  <c r="BP144" i="1"/>
  <c r="BQ144" i="1" s="1"/>
  <c r="AV165" i="1"/>
  <c r="AW165" i="1" s="1"/>
  <c r="AR144" i="1"/>
  <c r="AS144" i="1" s="1"/>
  <c r="AR93" i="1"/>
  <c r="BT166" i="1"/>
  <c r="BU166" i="1" s="1"/>
  <c r="BP171" i="1"/>
  <c r="BQ171" i="1" s="1"/>
  <c r="AN182" i="1"/>
  <c r="AO182" i="1" s="1"/>
  <c r="AV93" i="1"/>
  <c r="AP146" i="1"/>
  <c r="AQ146" i="1" s="1"/>
  <c r="AV137" i="1"/>
  <c r="AW137" i="1" s="1"/>
  <c r="AV182" i="1"/>
  <c r="AW182" i="1" s="1"/>
  <c r="AV143" i="1"/>
  <c r="BD92" i="1"/>
  <c r="AP172" i="1"/>
  <c r="BP152" i="1"/>
  <c r="AN166" i="1"/>
  <c r="AO166" i="1" s="1"/>
  <c r="BI93" i="1"/>
  <c r="AS93" i="1"/>
  <c r="AR169" i="1"/>
  <c r="AS169" i="1" s="1"/>
  <c r="AP179" i="1"/>
  <c r="AN173" i="1"/>
  <c r="AO173" i="1" s="1"/>
  <c r="AV146" i="1"/>
  <c r="AW146" i="1" s="1"/>
  <c r="BP173" i="1"/>
  <c r="BQ173" i="1" s="1"/>
  <c r="AN170" i="1"/>
  <c r="AO170" i="1" s="1"/>
  <c r="AN154" i="1"/>
  <c r="AO154" i="1" s="1"/>
  <c r="AR146" i="1"/>
  <c r="AS146" i="1" s="1"/>
  <c r="AV171" i="1"/>
  <c r="AW171" i="1" s="1"/>
  <c r="BQ92" i="1"/>
  <c r="BS93" i="1"/>
  <c r="AR168" i="1"/>
  <c r="AS168" i="1" s="1"/>
  <c r="AP92" i="1"/>
  <c r="BR143" i="1"/>
  <c r="BS143" i="1" s="1"/>
  <c r="AV161" i="1"/>
  <c r="AW161" i="1" s="1"/>
  <c r="AN162" i="1"/>
  <c r="AO162" i="1" s="1"/>
  <c r="AN151" i="1"/>
  <c r="AR182" i="1"/>
  <c r="AS182" i="1" s="1"/>
  <c r="AV164" i="1"/>
  <c r="AN161" i="1"/>
  <c r="AX172" i="1"/>
  <c r="BB92" i="1"/>
  <c r="AZ165" i="1"/>
  <c r="BA165" i="1" s="1"/>
  <c r="BD178" i="1"/>
  <c r="BR173" i="1"/>
  <c r="BS173" i="1" s="1"/>
  <c r="BT151" i="1"/>
  <c r="BK93" i="1"/>
  <c r="AX136" i="1"/>
  <c r="AX173" i="1"/>
  <c r="AY173" i="1" s="1"/>
  <c r="BB144" i="1"/>
  <c r="BC144" i="1" s="1"/>
  <c r="BT144" i="1"/>
  <c r="BU144" i="1" s="1"/>
  <c r="AX143" i="1"/>
  <c r="BR159" i="1"/>
  <c r="BT143" i="1"/>
  <c r="AP174" i="1"/>
  <c r="AQ174" i="1" s="1"/>
  <c r="AT183" i="1"/>
  <c r="AU183" i="1" s="1"/>
  <c r="AT171" i="1"/>
  <c r="AU171" i="1" s="1"/>
  <c r="BC93" i="1"/>
  <c r="AZ143" i="1"/>
  <c r="BA143" i="1" s="1"/>
  <c r="BD163" i="1"/>
  <c r="AT93" i="1"/>
  <c r="BB163" i="1"/>
  <c r="BT174" i="1"/>
  <c r="BU174" i="1" s="1"/>
  <c r="BB166" i="1"/>
  <c r="BC166" i="1" s="1"/>
  <c r="AN159" i="1"/>
  <c r="BP169" i="1"/>
  <c r="BQ169" i="1" s="1"/>
  <c r="AN152" i="1"/>
  <c r="BT92" i="1"/>
  <c r="AP164" i="1"/>
  <c r="AV150" i="1"/>
  <c r="BD146" i="1"/>
  <c r="BE146" i="1" s="1"/>
  <c r="AX178" i="1"/>
  <c r="AX183" i="1"/>
  <c r="AY183" i="1" s="1"/>
  <c r="AX144" i="1"/>
  <c r="AY144" i="1" s="1"/>
  <c r="BB182" i="1"/>
  <c r="BC182" i="1" s="1"/>
  <c r="BU92" i="1"/>
  <c r="AZ93" i="1"/>
  <c r="BD152" i="1"/>
  <c r="BN159" i="1"/>
  <c r="BR171" i="1"/>
  <c r="BS171" i="1" s="1"/>
  <c r="BR138" i="1"/>
  <c r="BR144" i="1"/>
  <c r="BS144" i="1" s="1"/>
  <c r="BR136" i="1"/>
  <c r="BB183" i="1"/>
  <c r="BC183" i="1" s="1"/>
  <c r="AZ138" i="1"/>
  <c r="BD137" i="1"/>
  <c r="BE137" i="1" s="1"/>
  <c r="BT183" i="1"/>
  <c r="BU183" i="1" s="1"/>
  <c r="BP179" i="1"/>
  <c r="AP151" i="1"/>
  <c r="AV151" i="1"/>
  <c r="BN150" i="1"/>
  <c r="BR166" i="1"/>
  <c r="BS166" i="1" s="1"/>
  <c r="AX152" i="1"/>
  <c r="AX165" i="1"/>
  <c r="AY165" i="1" s="1"/>
  <c r="BN179" i="1"/>
  <c r="BN137" i="1"/>
  <c r="BO137" i="1" s="1"/>
  <c r="BN168" i="1"/>
  <c r="BO168" i="1" s="1"/>
  <c r="BR179" i="1"/>
  <c r="BR141" i="1"/>
  <c r="BS141" i="1" s="1"/>
  <c r="BB178" i="1"/>
  <c r="BT137" i="1"/>
  <c r="BU137" i="1" s="1"/>
  <c r="BP182" i="1"/>
  <c r="BQ182" i="1" s="1"/>
  <c r="BP166" i="1"/>
  <c r="BQ166" i="1" s="1"/>
  <c r="AX146" i="1"/>
  <c r="AY146" i="1" s="1"/>
  <c r="BN170" i="1"/>
  <c r="BO170" i="1" s="1"/>
  <c r="BN136" i="1"/>
  <c r="BO136" i="1" s="1"/>
  <c r="BR150" i="1"/>
  <c r="BR182" i="1"/>
  <c r="BS182" i="1" s="1"/>
  <c r="BR172" i="1"/>
  <c r="BB174" i="1"/>
  <c r="BC174" i="1" s="1"/>
  <c r="AZ178" i="1"/>
  <c r="BD174" i="1"/>
  <c r="BE174" i="1" s="1"/>
  <c r="BT152" i="1"/>
  <c r="AP170" i="1"/>
  <c r="AQ170" i="1" s="1"/>
  <c r="AT159" i="1"/>
  <c r="AU159" i="1" s="1"/>
  <c r="AT179" i="1"/>
  <c r="AT143" i="1"/>
  <c r="AU143" i="1" s="1"/>
  <c r="AT161" i="1"/>
  <c r="BN154" i="1"/>
  <c r="BO154" i="1" s="1"/>
  <c r="BB171" i="1"/>
  <c r="BC171" i="1" s="1"/>
  <c r="BU93" i="1"/>
  <c r="AZ144" i="1"/>
  <c r="BA144" i="1" s="1"/>
  <c r="BP137" i="1"/>
  <c r="BQ137" i="1" s="1"/>
  <c r="BD144" i="1"/>
  <c r="BE144" i="1" s="1"/>
  <c r="BT141" i="1"/>
  <c r="BU141" i="1" s="1"/>
  <c r="AP171" i="1"/>
  <c r="AQ171" i="1" s="1"/>
  <c r="AT182" i="1"/>
  <c r="AU182" i="1" s="1"/>
  <c r="AT166" i="1"/>
  <c r="AU166" i="1" s="1"/>
  <c r="BT145" i="1"/>
  <c r="BU145" i="1" s="1"/>
  <c r="AU93" i="1"/>
  <c r="BB137" i="1"/>
  <c r="BC137" i="1" s="1"/>
  <c r="AZ92" i="1"/>
  <c r="BT161" i="1"/>
  <c r="BU161" i="1" s="1"/>
  <c r="AP183" i="1"/>
  <c r="AQ183" i="1" s="1"/>
  <c r="BB136" i="1"/>
  <c r="AN164" i="1"/>
  <c r="BD173" i="1"/>
  <c r="BE173" i="1" s="1"/>
  <c r="BT182" i="1"/>
  <c r="BU182" i="1" s="1"/>
  <c r="AP154" i="1"/>
  <c r="AQ154" i="1" s="1"/>
  <c r="AN143" i="1"/>
  <c r="BP183" i="1"/>
  <c r="BQ183" i="1" s="1"/>
  <c r="AP136" i="1"/>
  <c r="AQ136" i="1" s="1"/>
  <c r="AN138" i="1"/>
  <c r="AV141" i="1"/>
  <c r="AW141" i="1" s="1"/>
  <c r="AR154" i="1"/>
  <c r="AS154" i="1" s="1"/>
  <c r="AR159" i="1"/>
  <c r="AS159" i="1" s="1"/>
  <c r="AR152" i="1"/>
  <c r="AP178" i="1"/>
  <c r="AP166" i="1"/>
  <c r="AQ166" i="1" s="1"/>
  <c r="AN172" i="1"/>
  <c r="AV174" i="1"/>
  <c r="AW174" i="1" s="1"/>
  <c r="AP150" i="1"/>
  <c r="AR150" i="1"/>
  <c r="BD151" i="1"/>
  <c r="AN163" i="1"/>
  <c r="AV138" i="1"/>
  <c r="BT168" i="1"/>
  <c r="BU168" i="1" s="1"/>
  <c r="AN168" i="1"/>
  <c r="AO168" i="1" s="1"/>
  <c r="AP173" i="1"/>
  <c r="AQ173" i="1" s="1"/>
  <c r="AN146" i="1"/>
  <c r="AO146" i="1" s="1"/>
  <c r="AN174" i="1"/>
  <c r="AO174" i="1" s="1"/>
  <c r="AR170" i="1"/>
  <c r="AS170" i="1" s="1"/>
  <c r="AN150" i="1"/>
  <c r="AT151" i="1"/>
  <c r="AT92" i="1"/>
  <c r="AN92" i="1"/>
  <c r="AN144" i="1"/>
  <c r="AO144" i="1" s="1"/>
  <c r="AV166" i="1"/>
  <c r="AW166" i="1" s="1"/>
  <c r="AV156" i="1"/>
  <c r="AW156" i="1" s="1"/>
  <c r="AV162" i="1"/>
  <c r="AP156" i="1"/>
  <c r="AQ156" i="1" s="1"/>
  <c r="AT156" i="1"/>
  <c r="AU156" i="1" s="1"/>
  <c r="BP156" i="1"/>
  <c r="BQ156" i="1" s="1"/>
  <c r="BD156" i="1"/>
  <c r="BE156" i="1" s="1"/>
  <c r="BN156" i="1"/>
  <c r="BO156" i="1" s="1"/>
  <c r="BR156" i="1"/>
  <c r="BS156" i="1" s="1"/>
  <c r="BT156" i="1"/>
  <c r="BU156" i="1" s="1"/>
  <c r="BB156" i="1"/>
  <c r="BC156" i="1" s="1"/>
  <c r="BT162" i="1"/>
  <c r="BB162" i="1"/>
  <c r="AX162" i="1"/>
  <c r="BD162" i="1"/>
  <c r="AZ162" i="1"/>
  <c r="BR162" i="1"/>
  <c r="BN162" i="1"/>
  <c r="R89" i="1"/>
  <c r="K89" i="1"/>
  <c r="BT271" i="1"/>
  <c r="BR213" i="1"/>
  <c r="BU213" i="1"/>
  <c r="BT250" i="1"/>
  <c r="BJ36" i="1"/>
  <c r="Q89" i="1"/>
  <c r="H89" i="1"/>
  <c r="F89" i="1"/>
  <c r="U108" i="1"/>
  <c r="V89" i="1"/>
  <c r="O88" i="1"/>
  <c r="CQ153" i="1"/>
  <c r="DB96" i="1"/>
  <c r="CY84" i="1"/>
  <c r="CZ82" i="1"/>
  <c r="S89" i="1"/>
  <c r="T89" i="1"/>
  <c r="M89" i="1"/>
  <c r="I89" i="1"/>
  <c r="P192" i="1" l="1"/>
  <c r="BI271" i="1"/>
  <c r="BP213" i="1"/>
  <c r="BK250" i="1"/>
  <c r="BW221" i="1"/>
  <c r="H104" i="1"/>
  <c r="I105" i="1"/>
  <c r="AO93" i="1"/>
  <c r="U221" i="1"/>
  <c r="AV29" i="1"/>
  <c r="G180" i="1"/>
  <c r="R180" i="1"/>
  <c r="BJ46" i="1"/>
  <c r="R221" i="1"/>
  <c r="BG92" i="1"/>
  <c r="BG93" i="1"/>
  <c r="AI56" i="1"/>
  <c r="BO271" i="1"/>
  <c r="N139" i="1"/>
  <c r="N194" i="1" s="1"/>
  <c r="U180" i="1"/>
  <c r="V228" i="1" s="1"/>
  <c r="D180" i="1"/>
  <c r="V221" i="1"/>
  <c r="P221" i="1"/>
  <c r="BF136" i="1"/>
  <c r="BG136" i="1" s="1"/>
  <c r="BF144" i="1"/>
  <c r="BG144" i="1" s="1"/>
  <c r="BF93" i="1"/>
  <c r="BF166" i="1"/>
  <c r="BG166" i="1" s="1"/>
  <c r="BF173" i="1"/>
  <c r="BG173" i="1" s="1"/>
  <c r="AR183" i="1"/>
  <c r="AS183" i="1" s="1"/>
  <c r="BF170" i="1"/>
  <c r="BG170" i="1" s="1"/>
  <c r="BF143" i="1"/>
  <c r="BG143" i="1" s="1"/>
  <c r="BF182" i="1"/>
  <c r="BG182" i="1" s="1"/>
  <c r="AW92" i="1"/>
  <c r="BM93" i="1"/>
  <c r="BF183" i="1"/>
  <c r="BG183" i="1" s="1"/>
  <c r="AR162" i="1"/>
  <c r="AS162" i="1" s="1"/>
  <c r="BF137" i="1"/>
  <c r="BG137" i="1" s="1"/>
  <c r="AV198" i="1"/>
  <c r="AW198" i="1" s="1"/>
  <c r="BF151" i="1"/>
  <c r="AR161" i="1"/>
  <c r="AS161" i="1" s="1"/>
  <c r="AR173" i="1"/>
  <c r="AS173" i="1" s="1"/>
  <c r="AR171" i="1"/>
  <c r="AS171" i="1" s="1"/>
  <c r="AR172" i="1"/>
  <c r="AR165" i="1"/>
  <c r="AS165" i="1" s="1"/>
  <c r="AR179" i="1"/>
  <c r="AV202" i="1"/>
  <c r="AR92" i="1"/>
  <c r="BF169" i="1"/>
  <c r="BG169" i="1" s="1"/>
  <c r="AR163" i="1"/>
  <c r="BF179" i="1"/>
  <c r="BF164" i="1"/>
  <c r="BF150" i="1"/>
  <c r="BF172" i="1"/>
  <c r="BF154" i="1"/>
  <c r="BG154" i="1" s="1"/>
  <c r="BF161" i="1"/>
  <c r="BG161" i="1" s="1"/>
  <c r="AW93" i="1"/>
  <c r="BF138" i="1"/>
  <c r="BG138" i="1" s="1"/>
  <c r="BF141" i="1"/>
  <c r="BG141" i="1" s="1"/>
  <c r="BF159" i="1"/>
  <c r="BG159" i="1" s="1"/>
  <c r="BF145" i="1"/>
  <c r="BG145" i="1" s="1"/>
  <c r="AR136" i="1"/>
  <c r="AR156" i="1"/>
  <c r="AS156" i="1" s="1"/>
  <c r="AR145" i="1"/>
  <c r="AS145" i="1" s="1"/>
  <c r="BF163" i="1"/>
  <c r="BF171" i="1"/>
  <c r="BG171" i="1" s="1"/>
  <c r="BF165" i="1"/>
  <c r="BG165" i="1" s="1"/>
  <c r="BF146" i="1"/>
  <c r="BG146" i="1" s="1"/>
  <c r="BF168" i="1"/>
  <c r="BG168" i="1" s="1"/>
  <c r="BF152" i="1"/>
  <c r="BM92" i="1"/>
  <c r="BF174" i="1"/>
  <c r="BG174" i="1" s="1"/>
  <c r="BF178" i="1"/>
  <c r="BF92" i="1"/>
  <c r="AR151" i="1"/>
  <c r="AR178" i="1"/>
  <c r="AR164" i="1"/>
  <c r="AR174" i="1"/>
  <c r="AS174" i="1" s="1"/>
  <c r="BF156" i="1"/>
  <c r="BG156" i="1" s="1"/>
  <c r="BF162" i="1"/>
  <c r="BI136" i="1"/>
  <c r="BC271" i="1"/>
  <c r="M121" i="1"/>
  <c r="BI143" i="1"/>
  <c r="AP29" i="1"/>
  <c r="B192" i="1"/>
  <c r="C180" i="1"/>
  <c r="V180" i="1"/>
  <c r="W228" i="1" s="1"/>
  <c r="O153" i="1"/>
  <c r="BK56" i="1"/>
  <c r="Q147" i="1"/>
  <c r="H221" i="1"/>
  <c r="M221" i="1"/>
  <c r="BC29" i="1"/>
  <c r="BE45" i="1"/>
  <c r="D139" i="1"/>
  <c r="U192" i="1"/>
  <c r="BP271" i="1"/>
  <c r="I192" i="1"/>
  <c r="J192" i="1"/>
  <c r="B180" i="1"/>
  <c r="C228" i="1" s="1"/>
  <c r="R153" i="1"/>
  <c r="R52" i="1" s="1"/>
  <c r="J139" i="1"/>
  <c r="BP29" i="1"/>
  <c r="Q153" i="1"/>
  <c r="G139" i="1"/>
  <c r="BH199" i="1"/>
  <c r="BI199" i="1" s="1"/>
  <c r="I180" i="1"/>
  <c r="J228" i="1" s="1"/>
  <c r="W153" i="1"/>
  <c r="H153" i="1"/>
  <c r="L221" i="1"/>
  <c r="C221" i="1"/>
  <c r="D84" i="1"/>
  <c r="R192" i="1"/>
  <c r="BQ45" i="1"/>
  <c r="M139" i="1"/>
  <c r="E167" i="1"/>
  <c r="BP198" i="1"/>
  <c r="BQ198" i="1" s="1"/>
  <c r="BR198" i="1"/>
  <c r="BS198" i="1" s="1"/>
  <c r="BP199" i="1"/>
  <c r="BQ199" i="1" s="1"/>
  <c r="BP202" i="1"/>
  <c r="BQ202" i="1" s="1"/>
  <c r="BF199" i="1"/>
  <c r="BG199" i="1" s="1"/>
  <c r="BF202" i="1"/>
  <c r="BG202" i="1" s="1"/>
  <c r="BT199" i="1"/>
  <c r="BU199" i="1" s="1"/>
  <c r="AP198" i="1"/>
  <c r="AQ198" i="1" s="1"/>
  <c r="AP202" i="1"/>
  <c r="AQ202" i="1" s="1"/>
  <c r="BF198" i="1"/>
  <c r="BG198" i="1" s="1"/>
  <c r="AP199" i="1"/>
  <c r="AQ199" i="1" s="1"/>
  <c r="BB29" i="1"/>
  <c r="U122" i="1"/>
  <c r="U126" i="1"/>
  <c r="U105" i="1"/>
  <c r="G108" i="1"/>
  <c r="G122" i="1"/>
  <c r="BV139" i="1"/>
  <c r="BV111" i="1" s="1"/>
  <c r="BW136" i="1"/>
  <c r="BF213" i="1"/>
  <c r="BF272" i="1"/>
  <c r="P123" i="1"/>
  <c r="P106" i="1"/>
  <c r="P127" i="1"/>
  <c r="P105" i="1"/>
  <c r="P126" i="1"/>
  <c r="P122" i="1"/>
  <c r="P108" i="1"/>
  <c r="Q127" i="1"/>
  <c r="Q123" i="1"/>
  <c r="Q106" i="1"/>
  <c r="F105" i="1"/>
  <c r="F108" i="1"/>
  <c r="BK213" i="1"/>
  <c r="BK52" i="1"/>
  <c r="BK222" i="1"/>
  <c r="BK220" i="1" s="1"/>
  <c r="BS213" i="1"/>
  <c r="BS272" i="1"/>
  <c r="BI272" i="1"/>
  <c r="BI213" i="1"/>
  <c r="W123" i="1"/>
  <c r="W127" i="1"/>
  <c r="BF250" i="1"/>
  <c r="BF29" i="1"/>
  <c r="U121" i="1"/>
  <c r="U104" i="1"/>
  <c r="P121" i="1"/>
  <c r="P104" i="1"/>
  <c r="N105" i="1"/>
  <c r="N122" i="1"/>
  <c r="N126" i="1"/>
  <c r="I127" i="1"/>
  <c r="I106" i="1"/>
  <c r="J123" i="1"/>
  <c r="J106" i="1"/>
  <c r="J127" i="1"/>
  <c r="K123" i="1"/>
  <c r="K106" i="1"/>
  <c r="K127" i="1"/>
  <c r="BE250" i="1"/>
  <c r="BE271" i="1"/>
  <c r="H126" i="1"/>
  <c r="H105" i="1"/>
  <c r="H108" i="1"/>
  <c r="I108" i="1"/>
  <c r="I122" i="1"/>
  <c r="I126" i="1"/>
  <c r="L108" i="1"/>
  <c r="L122" i="1"/>
  <c r="BN271" i="1"/>
  <c r="BN272" i="1"/>
  <c r="AQ250" i="1"/>
  <c r="AQ29" i="1"/>
  <c r="BH202" i="1"/>
  <c r="BI202" i="1" s="1"/>
  <c r="BR272" i="1"/>
  <c r="AV199" i="1"/>
  <c r="AW199" i="1" s="1"/>
  <c r="F126" i="1"/>
  <c r="H122" i="1"/>
  <c r="W192" i="1"/>
  <c r="M127" i="1"/>
  <c r="BP272" i="1"/>
  <c r="AI202" i="1"/>
  <c r="AI203" i="1" s="1"/>
  <c r="BR202" i="1"/>
  <c r="BS202" i="1" s="1"/>
  <c r="I123" i="1"/>
  <c r="Q180" i="1"/>
  <c r="Q221" i="1"/>
  <c r="J175" i="1"/>
  <c r="J204" i="1" s="1"/>
  <c r="L104" i="1"/>
  <c r="BR199" i="1"/>
  <c r="BS199" i="1" s="1"/>
  <c r="R105" i="1"/>
  <c r="G153" i="1"/>
  <c r="BR29" i="1"/>
  <c r="BR35" i="1" s="1"/>
  <c r="AN271" i="1"/>
  <c r="T153" i="1"/>
  <c r="T52" i="1" s="1"/>
  <c r="AQ272" i="1"/>
  <c r="BN117" i="1"/>
  <c r="BN118" i="1" s="1"/>
  <c r="V139" i="1"/>
  <c r="V267" i="1" s="1"/>
  <c r="L153" i="1"/>
  <c r="O192" i="1"/>
  <c r="AW117" i="1"/>
  <c r="AW118" i="1" s="1"/>
  <c r="AT271" i="1"/>
  <c r="BV199" i="1"/>
  <c r="BW199" i="1" s="1"/>
  <c r="S221" i="1"/>
  <c r="F123" i="1"/>
  <c r="BN198" i="1"/>
  <c r="BO198" i="1" s="1"/>
  <c r="F122" i="1"/>
  <c r="F106" i="1"/>
  <c r="S106" i="1"/>
  <c r="AV272" i="1"/>
  <c r="AT250" i="1"/>
  <c r="G105" i="1"/>
  <c r="M106" i="1"/>
  <c r="T127" i="1"/>
  <c r="P153" i="1"/>
  <c r="P157" i="1" s="1"/>
  <c r="B84" i="1"/>
  <c r="V147" i="1"/>
  <c r="BH180" i="1"/>
  <c r="AM67" i="1"/>
  <c r="AM71" i="1" s="1"/>
  <c r="BC45" i="1"/>
  <c r="K139" i="1"/>
  <c r="P175" i="1"/>
  <c r="P204" i="1" s="1"/>
  <c r="P203" i="1" s="1"/>
  <c r="BI45" i="1"/>
  <c r="BI46" i="1" s="1"/>
  <c r="BV202" i="1"/>
  <c r="BW202" i="1" s="1"/>
  <c r="T147" i="1"/>
  <c r="AI45" i="1"/>
  <c r="U147" i="1"/>
  <c r="AU45" i="1"/>
  <c r="AU46" i="1" s="1"/>
  <c r="E139" i="1"/>
  <c r="E194" i="1" s="1"/>
  <c r="T139" i="1"/>
  <c r="P139" i="1"/>
  <c r="P194" i="1" s="1"/>
  <c r="H175" i="1"/>
  <c r="H204" i="1" s="1"/>
  <c r="H203" i="1" s="1"/>
  <c r="M180" i="1"/>
  <c r="N228" i="1" s="1"/>
  <c r="AO45" i="1"/>
  <c r="O167" i="1"/>
  <c r="V153" i="1"/>
  <c r="V157" i="1" s="1"/>
  <c r="BO45" i="1"/>
  <c r="I167" i="1"/>
  <c r="I201" i="1" s="1"/>
  <c r="I200" i="1" s="1"/>
  <c r="BG117" i="1"/>
  <c r="BG118" i="1" s="1"/>
  <c r="BD271" i="1"/>
  <c r="F147" i="1"/>
  <c r="W147" i="1"/>
  <c r="O175" i="1"/>
  <c r="BB271" i="1"/>
  <c r="AP45" i="1"/>
  <c r="AP46" i="1" s="1"/>
  <c r="BR45" i="1"/>
  <c r="AX45" i="1"/>
  <c r="AY45" i="1"/>
  <c r="AN45" i="1"/>
  <c r="AO29" i="1"/>
  <c r="BD45" i="1"/>
  <c r="BW271" i="1"/>
  <c r="B139" i="1"/>
  <c r="G192" i="1"/>
  <c r="B153" i="1"/>
  <c r="B157" i="1" s="1"/>
  <c r="BS45" i="1"/>
  <c r="D153" i="1"/>
  <c r="V167" i="1"/>
  <c r="BQ29" i="1"/>
  <c r="BH45" i="1"/>
  <c r="D147" i="1"/>
  <c r="D56" i="1" s="1"/>
  <c r="Q139" i="1"/>
  <c r="F153" i="1"/>
  <c r="F157" i="1" s="1"/>
  <c r="BB202" i="1"/>
  <c r="BC202" i="1" s="1"/>
  <c r="V192" i="1"/>
  <c r="T192" i="1"/>
  <c r="H106" i="1"/>
  <c r="AX199" i="1"/>
  <c r="AY199" i="1" s="1"/>
  <c r="AX198" i="1"/>
  <c r="AY198" i="1" s="1"/>
  <c r="BN213" i="1"/>
  <c r="R121" i="1"/>
  <c r="D221" i="1"/>
  <c r="BH29" i="1"/>
  <c r="V126" i="1"/>
  <c r="G175" i="1"/>
  <c r="G204" i="1" s="1"/>
  <c r="N180" i="1"/>
  <c r="O228" i="1" s="1"/>
  <c r="AS272" i="1"/>
  <c r="AP272" i="1"/>
  <c r="G221" i="1"/>
  <c r="O127" i="1"/>
  <c r="U127" i="1"/>
  <c r="G127" i="1"/>
  <c r="E175" i="1"/>
  <c r="E204" i="1" s="1"/>
  <c r="K147" i="1"/>
  <c r="BT117" i="1"/>
  <c r="BT118" i="1" s="1"/>
  <c r="BT123" i="1" s="1"/>
  <c r="BN250" i="1"/>
  <c r="BU272" i="1"/>
  <c r="T123" i="1"/>
  <c r="F139" i="1"/>
  <c r="B167" i="1"/>
  <c r="L180" i="1"/>
  <c r="BN45" i="1"/>
  <c r="S139" i="1"/>
  <c r="P147" i="1"/>
  <c r="AS271" i="1"/>
  <c r="AN29" i="1"/>
  <c r="AN244" i="1" s="1"/>
  <c r="Q167" i="1"/>
  <c r="AT29" i="1"/>
  <c r="BP117" i="1"/>
  <c r="BP118" i="1" s="1"/>
  <c r="BP122" i="1" s="1"/>
  <c r="AV45" i="1"/>
  <c r="AV46" i="1" s="1"/>
  <c r="G147" i="1"/>
  <c r="L147" i="1"/>
  <c r="BR271" i="1"/>
  <c r="I221" i="1"/>
  <c r="AQ271" i="1"/>
  <c r="BO29" i="1"/>
  <c r="BR117" i="1"/>
  <c r="BR118" i="1" s="1"/>
  <c r="BR121" i="1" s="1"/>
  <c r="R123" i="1"/>
  <c r="Q175" i="1"/>
  <c r="Q176" i="1" s="1"/>
  <c r="R175" i="1"/>
  <c r="BQ117" i="1"/>
  <c r="BQ118" i="1" s="1"/>
  <c r="BQ121" i="1" s="1"/>
  <c r="H147" i="1"/>
  <c r="M192" i="1"/>
  <c r="AX29" i="1"/>
  <c r="I153" i="1"/>
  <c r="BH153" i="1"/>
  <c r="BH157" i="1" s="1"/>
  <c r="AX117" i="1"/>
  <c r="AX118" i="1" s="1"/>
  <c r="AX122" i="1" s="1"/>
  <c r="C153" i="1"/>
  <c r="C157" i="1" s="1"/>
  <c r="I139" i="1"/>
  <c r="BQ271" i="1"/>
  <c r="AS45" i="1"/>
  <c r="T221" i="1"/>
  <c r="BV29" i="1"/>
  <c r="T108" i="1"/>
  <c r="BV180" i="1"/>
  <c r="BW228" i="1" s="1"/>
  <c r="AU117" i="1"/>
  <c r="AU118" i="1" s="1"/>
  <c r="AU123" i="1" s="1"/>
  <c r="J153" i="1"/>
  <c r="J52" i="1" s="1"/>
  <c r="E147" i="1"/>
  <c r="E187" i="1" s="1"/>
  <c r="E128" i="1" s="1"/>
  <c r="U153" i="1"/>
  <c r="C192" i="1"/>
  <c r="BE29" i="1"/>
  <c r="K153" i="1"/>
  <c r="K157" i="1" s="1"/>
  <c r="E105" i="1"/>
  <c r="BM117" i="1"/>
  <c r="BM118" i="1" s="1"/>
  <c r="BM122" i="1" s="1"/>
  <c r="H127" i="1"/>
  <c r="G167" i="1"/>
  <c r="G201" i="1" s="1"/>
  <c r="G200" i="1" s="1"/>
  <c r="B147" i="1"/>
  <c r="K180" i="1"/>
  <c r="L228" i="1" s="1"/>
  <c r="AQ213" i="1"/>
  <c r="BC272" i="1"/>
  <c r="BL117" i="1"/>
  <c r="BL118" i="1" s="1"/>
  <c r="BL123" i="1" s="1"/>
  <c r="BO117" i="1"/>
  <c r="BO118" i="1" s="1"/>
  <c r="BO121" i="1" s="1"/>
  <c r="L126" i="1"/>
  <c r="M122" i="1"/>
  <c r="BO272" i="1"/>
  <c r="AU272" i="1"/>
  <c r="BK29" i="1"/>
  <c r="N147" i="1"/>
  <c r="N148" i="1" s="1"/>
  <c r="N74" i="1" s="1"/>
  <c r="BV117" i="1"/>
  <c r="BV118" i="1" s="1"/>
  <c r="BV122" i="1" s="1"/>
  <c r="BM29" i="1"/>
  <c r="BM30" i="1" s="1"/>
  <c r="G126" i="1"/>
  <c r="R157" i="1"/>
  <c r="BV198" i="1"/>
  <c r="BW198" i="1" s="1"/>
  <c r="BB272" i="1"/>
  <c r="AT199" i="1"/>
  <c r="AU199" i="1" s="1"/>
  <c r="AT202" i="1"/>
  <c r="AU202" i="1" s="1"/>
  <c r="E126" i="1"/>
  <c r="E106" i="1"/>
  <c r="Q126" i="1"/>
  <c r="O180" i="1"/>
  <c r="P228" i="1" s="1"/>
  <c r="P167" i="1"/>
  <c r="P201" i="1" s="1"/>
  <c r="E192" i="1"/>
  <c r="C147" i="1"/>
  <c r="C56" i="1" s="1"/>
  <c r="O139" i="1"/>
  <c r="BV45" i="1"/>
  <c r="AX271" i="1"/>
  <c r="BK271" i="1"/>
  <c r="H180" i="1"/>
  <c r="I228" i="1" s="1"/>
  <c r="AI29" i="1"/>
  <c r="R147" i="1"/>
  <c r="BN29" i="1"/>
  <c r="R167" i="1"/>
  <c r="D192" i="1"/>
  <c r="BU45" i="1"/>
  <c r="H192" i="1"/>
  <c r="T180" i="1"/>
  <c r="U228" i="1" s="1"/>
  <c r="AW271" i="1"/>
  <c r="AX250" i="1"/>
  <c r="BB250" i="1"/>
  <c r="AN117" i="1"/>
  <c r="AN118" i="1" s="1"/>
  <c r="AN123" i="1" s="1"/>
  <c r="BK272" i="1"/>
  <c r="AX272" i="1"/>
  <c r="BS29" i="1"/>
  <c r="BS35" i="1" s="1"/>
  <c r="BU29" i="1"/>
  <c r="BY207" i="1" s="1"/>
  <c r="BH271" i="1"/>
  <c r="AN199" i="1"/>
  <c r="AO199" i="1" s="1"/>
  <c r="S123" i="1"/>
  <c r="W221" i="1"/>
  <c r="M105" i="1"/>
  <c r="R126" i="1"/>
  <c r="E108" i="1"/>
  <c r="T121" i="1"/>
  <c r="R106" i="1"/>
  <c r="Q122" i="1"/>
  <c r="J121" i="1"/>
  <c r="G123" i="1"/>
  <c r="L175" i="1"/>
  <c r="L204" i="1" s="1"/>
  <c r="L203" i="1" s="1"/>
  <c r="AO271" i="1"/>
  <c r="K167" i="1"/>
  <c r="K201" i="1" s="1"/>
  <c r="K200" i="1" s="1"/>
  <c r="AL117" i="1"/>
  <c r="AL118" i="1" s="1"/>
  <c r="V122" i="1"/>
  <c r="S108" i="1"/>
  <c r="Q104" i="1"/>
  <c r="AI198" i="1"/>
  <c r="AW29" i="1"/>
  <c r="AW35" i="1" s="1"/>
  <c r="AW36" i="1" s="1"/>
  <c r="S126" i="1"/>
  <c r="F175" i="1"/>
  <c r="F204" i="1" s="1"/>
  <c r="F203" i="1" s="1"/>
  <c r="R108" i="1"/>
  <c r="S175" i="1"/>
  <c r="S204" i="1" s="1"/>
  <c r="S203" i="1" s="1"/>
  <c r="BS271" i="1"/>
  <c r="BV153" i="1"/>
  <c r="S192" i="1"/>
  <c r="BP45" i="1"/>
  <c r="F192" i="1"/>
  <c r="S147" i="1"/>
  <c r="K192" i="1"/>
  <c r="E153" i="1"/>
  <c r="E52" i="1" s="1"/>
  <c r="U139" i="1"/>
  <c r="C139" i="1"/>
  <c r="BG45" i="1"/>
  <c r="BK45" i="1"/>
  <c r="BW45" i="1"/>
  <c r="AQ45" i="1"/>
  <c r="Q192" i="1"/>
  <c r="BT272" i="1"/>
  <c r="AI201" i="1"/>
  <c r="AI205" i="1" s="1"/>
  <c r="AN202" i="1"/>
  <c r="AO202" i="1" s="1"/>
  <c r="AX202" i="1"/>
  <c r="AY202" i="1" s="1"/>
  <c r="BN202" i="1"/>
  <c r="BO202" i="1" s="1"/>
  <c r="V127" i="1"/>
  <c r="E123" i="1"/>
  <c r="M126" i="1"/>
  <c r="Q105" i="1"/>
  <c r="S167" i="1"/>
  <c r="S201" i="1" s="1"/>
  <c r="H139" i="1"/>
  <c r="AI250" i="1"/>
  <c r="N175" i="1"/>
  <c r="N204" i="1" s="1"/>
  <c r="N203" i="1" s="1"/>
  <c r="AW250" i="1"/>
  <c r="AU250" i="1"/>
  <c r="BO250" i="1"/>
  <c r="BH139" i="1"/>
  <c r="BH111" i="1" s="1"/>
  <c r="BH115" i="1" s="1"/>
  <c r="J147" i="1"/>
  <c r="M153" i="1"/>
  <c r="M52" i="1" s="1"/>
  <c r="T167" i="1"/>
  <c r="C175" i="1"/>
  <c r="C204" i="1" s="1"/>
  <c r="N167" i="1"/>
  <c r="N201" i="1" s="1"/>
  <c r="AR45" i="1"/>
  <c r="N192" i="1"/>
  <c r="L139" i="1"/>
  <c r="F180" i="1"/>
  <c r="G228" i="1" s="1"/>
  <c r="S104" i="1"/>
  <c r="S105" i="1"/>
  <c r="V106" i="1"/>
  <c r="BJ213" i="1"/>
  <c r="AV117" i="1"/>
  <c r="AV118" i="1" s="1"/>
  <c r="AN250" i="1"/>
  <c r="BK117" i="1"/>
  <c r="BK118" i="1" s="1"/>
  <c r="AI199" i="1"/>
  <c r="BU271" i="1"/>
  <c r="BS117" i="1"/>
  <c r="BS118" i="1" s="1"/>
  <c r="BS121" i="1" s="1"/>
  <c r="I104" i="1"/>
  <c r="AU271" i="1"/>
  <c r="BH272" i="1"/>
  <c r="BV271" i="1"/>
  <c r="AS29" i="1"/>
  <c r="BU117" i="1"/>
  <c r="BU118" i="1" s="1"/>
  <c r="AN198" i="1"/>
  <c r="AO198" i="1" s="1"/>
  <c r="BB198" i="1"/>
  <c r="BC198" i="1" s="1"/>
  <c r="BN199" i="1"/>
  <c r="BO199" i="1" s="1"/>
  <c r="BB199" i="1"/>
  <c r="BC199" i="1" s="1"/>
  <c r="AT198" i="1"/>
  <c r="AU198" i="1" s="1"/>
  <c r="U123" i="1"/>
  <c r="M167" i="1"/>
  <c r="M201" i="1" s="1"/>
  <c r="M200" i="1" s="1"/>
  <c r="N121" i="1"/>
  <c r="J180" i="1"/>
  <c r="N153" i="1"/>
  <c r="N52" i="1" s="1"/>
  <c r="BV167" i="1"/>
  <c r="BV201" i="1" s="1"/>
  <c r="BH147" i="1"/>
  <c r="T202" i="1"/>
  <c r="T175" i="1"/>
  <c r="T204" i="1" s="1"/>
  <c r="E221" i="1"/>
  <c r="F221" i="1"/>
  <c r="BE213" i="1"/>
  <c r="BE272" i="1"/>
  <c r="K105" i="1"/>
  <c r="K126" i="1"/>
  <c r="K122" i="1"/>
  <c r="AR250" i="1"/>
  <c r="AR272" i="1"/>
  <c r="AS117" i="1"/>
  <c r="AS118" i="1" s="1"/>
  <c r="AS121" i="1" s="1"/>
  <c r="AR271" i="1"/>
  <c r="AT117" i="1"/>
  <c r="AT118" i="1" s="1"/>
  <c r="AT122" i="1" s="1"/>
  <c r="AY29" i="1"/>
  <c r="AZ117" i="1"/>
  <c r="AZ118" i="1" s="1"/>
  <c r="AZ121" i="1" s="1"/>
  <c r="AY250" i="1"/>
  <c r="BA117" i="1"/>
  <c r="BA118" i="1" s="1"/>
  <c r="C84" i="1"/>
  <c r="C126" i="1" s="1"/>
  <c r="V175" i="1"/>
  <c r="V204" i="1" s="1"/>
  <c r="BD29" i="1"/>
  <c r="BF117" i="1"/>
  <c r="BF118" i="1" s="1"/>
  <c r="BF123" i="1" s="1"/>
  <c r="BD250" i="1"/>
  <c r="BD272" i="1"/>
  <c r="H198" i="1"/>
  <c r="H167" i="1"/>
  <c r="AI213" i="1"/>
  <c r="AI222" i="1"/>
  <c r="AI220" i="1" s="1"/>
  <c r="AI52" i="1"/>
  <c r="I173" i="1"/>
  <c r="I175" i="1" s="1"/>
  <c r="I147" i="1"/>
  <c r="G104" i="1"/>
  <c r="G121" i="1"/>
  <c r="BM45" i="1"/>
  <c r="BA250" i="1"/>
  <c r="BA272" i="1"/>
  <c r="BA271" i="1"/>
  <c r="C167" i="1"/>
  <c r="AT45" i="1"/>
  <c r="L192" i="1"/>
  <c r="S153" i="1"/>
  <c r="S157" i="1" s="1"/>
  <c r="K221" i="1"/>
  <c r="J221" i="1"/>
  <c r="BW272" i="1"/>
  <c r="BW29" i="1"/>
  <c r="BX117" i="1"/>
  <c r="BX118" i="1" s="1"/>
  <c r="BX123" i="1" s="1"/>
  <c r="BY117" i="1"/>
  <c r="BY118" i="1" s="1"/>
  <c r="BW250" i="1"/>
  <c r="BZ117" i="1"/>
  <c r="BZ118" i="1" s="1"/>
  <c r="BZ121" i="1" s="1"/>
  <c r="BM52" i="1"/>
  <c r="BM272" i="1"/>
  <c r="BM213" i="1"/>
  <c r="BT45" i="1"/>
  <c r="BT46" i="1" s="1"/>
  <c r="N123" i="1"/>
  <c r="N106" i="1"/>
  <c r="N127" i="1"/>
  <c r="BF45" i="1"/>
  <c r="BA45" i="1"/>
  <c r="BB117" i="1"/>
  <c r="BB118" i="1" s="1"/>
  <c r="BD117" i="1"/>
  <c r="BD118" i="1" s="1"/>
  <c r="BD123" i="1" s="1"/>
  <c r="J167" i="1"/>
  <c r="J201" i="1" s="1"/>
  <c r="J200" i="1" s="1"/>
  <c r="L127" i="1"/>
  <c r="K108" i="1"/>
  <c r="V104" i="1"/>
  <c r="BJ47" i="1"/>
  <c r="E104" i="1"/>
  <c r="BE117" i="1"/>
  <c r="BE118" i="1" s="1"/>
  <c r="BE123" i="1" s="1"/>
  <c r="AY117" i="1"/>
  <c r="AY118" i="1" s="1"/>
  <c r="BM222" i="1"/>
  <c r="BM220" i="1" s="1"/>
  <c r="BW117" i="1"/>
  <c r="BW118" i="1" s="1"/>
  <c r="BW121" i="1" s="1"/>
  <c r="BH175" i="1"/>
  <c r="BH204" i="1" s="1"/>
  <c r="W122" i="1"/>
  <c r="R139" i="1"/>
  <c r="K121" i="1"/>
  <c r="K104" i="1"/>
  <c r="J108" i="1"/>
  <c r="J105" i="1"/>
  <c r="J126" i="1"/>
  <c r="B202" i="1"/>
  <c r="B175" i="1"/>
  <c r="B204" i="1" s="1"/>
  <c r="AN52" i="1"/>
  <c r="AN272" i="1"/>
  <c r="L198" i="1"/>
  <c r="L167" i="1"/>
  <c r="L201" i="1" s="1"/>
  <c r="M147" i="1"/>
  <c r="O122" i="1"/>
  <c r="O126" i="1"/>
  <c r="AW45" i="1"/>
  <c r="U175" i="1"/>
  <c r="F198" i="1"/>
  <c r="F167" i="1"/>
  <c r="F201" i="1" s="1"/>
  <c r="N221" i="1"/>
  <c r="O221" i="1"/>
  <c r="BG272" i="1"/>
  <c r="BG29" i="1"/>
  <c r="BH117" i="1"/>
  <c r="BH118" i="1" s="1"/>
  <c r="BI117" i="1"/>
  <c r="BI118" i="1" s="1"/>
  <c r="BI122" i="1" s="1"/>
  <c r="BG250" i="1"/>
  <c r="BW146" i="1"/>
  <c r="BW147" i="1" s="1"/>
  <c r="BX268" i="1" s="1"/>
  <c r="BV147" i="1"/>
  <c r="AZ29" i="1"/>
  <c r="AZ35" i="1" s="1"/>
  <c r="BC117" i="1"/>
  <c r="BC118" i="1" s="1"/>
  <c r="AZ271" i="1"/>
  <c r="AZ250" i="1"/>
  <c r="AZ272" i="1"/>
  <c r="O147" i="1"/>
  <c r="AT213" i="1"/>
  <c r="AT272" i="1"/>
  <c r="K175" i="1"/>
  <c r="BV213" i="1"/>
  <c r="BV272" i="1"/>
  <c r="BH198" i="1"/>
  <c r="BI198" i="1" s="1"/>
  <c r="BH167" i="1"/>
  <c r="BH201" i="1" s="1"/>
  <c r="AO272" i="1"/>
  <c r="AP117" i="1"/>
  <c r="AP118" i="1" s="1"/>
  <c r="AP123" i="1" s="1"/>
  <c r="AO117" i="1"/>
  <c r="AO118" i="1" s="1"/>
  <c r="AO123" i="1" s="1"/>
  <c r="AQ117" i="1"/>
  <c r="AQ118" i="1" s="1"/>
  <c r="AQ123" i="1" s="1"/>
  <c r="AZ45" i="1"/>
  <c r="BB45" i="1"/>
  <c r="D199" i="1"/>
  <c r="D167" i="1"/>
  <c r="BG271" i="1"/>
  <c r="BQ213" i="1"/>
  <c r="BQ272" i="1"/>
  <c r="BM271" i="1"/>
  <c r="BM56" i="1"/>
  <c r="D175" i="1"/>
  <c r="D204" i="1" s="1"/>
  <c r="U167" i="1"/>
  <c r="U201" i="1" s="1"/>
  <c r="U200" i="1" s="1"/>
  <c r="BI221" i="1"/>
  <c r="BV175" i="1"/>
  <c r="BV204" i="1" s="1"/>
  <c r="AY272" i="1"/>
  <c r="L106" i="1"/>
  <c r="AO250" i="1"/>
  <c r="AR117" i="1"/>
  <c r="AR118" i="1" s="1"/>
  <c r="AR121" i="1" s="1"/>
  <c r="AR29" i="1"/>
  <c r="BA29" i="1"/>
  <c r="AN213" i="1"/>
  <c r="BJ117" i="1"/>
  <c r="BJ118" i="1" s="1"/>
  <c r="BJ121" i="1" s="1"/>
  <c r="AY271" i="1"/>
  <c r="F121" i="1"/>
  <c r="AZ202" i="1"/>
  <c r="BA202" i="1" s="1"/>
  <c r="T126" i="1"/>
  <c r="BD199" i="1"/>
  <c r="BE199" i="1" s="1"/>
  <c r="AZ198" i="1"/>
  <c r="BA198" i="1" s="1"/>
  <c r="AZ199" i="1"/>
  <c r="BA199" i="1" s="1"/>
  <c r="M175" i="1"/>
  <c r="BD202" i="1"/>
  <c r="BE202" i="1" s="1"/>
  <c r="BD198" i="1"/>
  <c r="BE198" i="1" s="1"/>
  <c r="T105" i="1"/>
  <c r="N111" i="1"/>
  <c r="N114" i="1" s="1"/>
  <c r="N73" i="1"/>
  <c r="E228" i="1"/>
  <c r="D267" i="1"/>
  <c r="BD180" i="1"/>
  <c r="BE228" i="1" s="1"/>
  <c r="J194" i="1"/>
  <c r="J111" i="1"/>
  <c r="J73" i="1"/>
  <c r="D228" i="1"/>
  <c r="W157" i="1"/>
  <c r="W52" i="1"/>
  <c r="S228" i="1"/>
  <c r="AN180" i="1"/>
  <c r="AO228" i="1" s="1"/>
  <c r="Q52" i="1"/>
  <c r="Q157" i="1"/>
  <c r="AV180" i="1"/>
  <c r="AW228" i="1" s="1"/>
  <c r="BN180" i="1"/>
  <c r="BO228" i="1" s="1"/>
  <c r="BR153" i="1"/>
  <c r="AX180" i="1"/>
  <c r="AY228" i="1" s="1"/>
  <c r="BS147" i="1"/>
  <c r="AZ153" i="1"/>
  <c r="BP153" i="1"/>
  <c r="BT180" i="1"/>
  <c r="BU228" i="1" s="1"/>
  <c r="BP180" i="1"/>
  <c r="BQ228" i="1" s="1"/>
  <c r="BB180" i="1"/>
  <c r="AZ180" i="1"/>
  <c r="BA228" i="1" s="1"/>
  <c r="BE147" i="1"/>
  <c r="AQ159" i="1"/>
  <c r="AW159" i="1"/>
  <c r="AX221" i="1" s="1"/>
  <c r="AQ161" i="1"/>
  <c r="AP167" i="1"/>
  <c r="AP201" i="1" s="1"/>
  <c r="AS143" i="1"/>
  <c r="AU136" i="1"/>
  <c r="AT139" i="1"/>
  <c r="AT111" i="1" s="1"/>
  <c r="AX139" i="1"/>
  <c r="AY136" i="1"/>
  <c r="AY143" i="1"/>
  <c r="AY147" i="1" s="1"/>
  <c r="AX147" i="1"/>
  <c r="BO159" i="1"/>
  <c r="BN221" i="1"/>
  <c r="BT153" i="1"/>
  <c r="AT153" i="1"/>
  <c r="AV153" i="1"/>
  <c r="BD153" i="1"/>
  <c r="AP153" i="1"/>
  <c r="AU161" i="1"/>
  <c r="AT167" i="1"/>
  <c r="BC136" i="1"/>
  <c r="BB139" i="1"/>
  <c r="BB111" i="1" s="1"/>
  <c r="AO143" i="1"/>
  <c r="AO147" i="1" s="1"/>
  <c r="AN147" i="1"/>
  <c r="AO136" i="1"/>
  <c r="AN139" i="1"/>
  <c r="BC143" i="1"/>
  <c r="BC147" i="1" s="1"/>
  <c r="BB147" i="1"/>
  <c r="BU159" i="1"/>
  <c r="BV221" i="1" s="1"/>
  <c r="BD139" i="1"/>
  <c r="AU169" i="1"/>
  <c r="AT175" i="1"/>
  <c r="AT204" i="1" s="1"/>
  <c r="AY168" i="1"/>
  <c r="AX175" i="1"/>
  <c r="AX204" i="1" s="1"/>
  <c r="BO143" i="1"/>
  <c r="BO147" i="1" s="1"/>
  <c r="BN147" i="1"/>
  <c r="AW143" i="1"/>
  <c r="AW147" i="1" s="1"/>
  <c r="AV147" i="1"/>
  <c r="AO161" i="1"/>
  <c r="AN167" i="1"/>
  <c r="BS159" i="1"/>
  <c r="BR221" i="1"/>
  <c r="BU143" i="1"/>
  <c r="BU147" i="1" s="1"/>
  <c r="BT147" i="1"/>
  <c r="AO159" i="1"/>
  <c r="AN221" i="1"/>
  <c r="BS136" i="1"/>
  <c r="BR139" i="1"/>
  <c r="BR111" i="1" s="1"/>
  <c r="AQ147" i="1"/>
  <c r="AT221" i="1"/>
  <c r="AN153" i="1"/>
  <c r="AP180" i="1"/>
  <c r="BT175" i="1"/>
  <c r="BT204" i="1" s="1"/>
  <c r="BT203" i="1" s="1"/>
  <c r="BN153" i="1"/>
  <c r="AX153" i="1"/>
  <c r="BB153" i="1"/>
  <c r="AT180" i="1"/>
  <c r="AU228" i="1" s="1"/>
  <c r="AZ139" i="1"/>
  <c r="BR180" i="1"/>
  <c r="BN139" i="1"/>
  <c r="AS221" i="1"/>
  <c r="BP175" i="1"/>
  <c r="BP204" i="1" s="1"/>
  <c r="BT139" i="1"/>
  <c r="BE221" i="1"/>
  <c r="BR175" i="1"/>
  <c r="BR204" i="1" s="1"/>
  <c r="BP167" i="1"/>
  <c r="BP201" i="1" s="1"/>
  <c r="AZ147" i="1"/>
  <c r="BQ221" i="1"/>
  <c r="BB175" i="1"/>
  <c r="BB204" i="1" s="1"/>
  <c r="AP147" i="1"/>
  <c r="AP139" i="1"/>
  <c r="AP111" i="1" s="1"/>
  <c r="BD175" i="1"/>
  <c r="BD204" i="1" s="1"/>
  <c r="BP139" i="1"/>
  <c r="BP111" i="1" s="1"/>
  <c r="BP113" i="1" s="1"/>
  <c r="BN175" i="1"/>
  <c r="BN204" i="1" s="1"/>
  <c r="AN175" i="1"/>
  <c r="AN204" i="1" s="1"/>
  <c r="BP147" i="1"/>
  <c r="BA147" i="1"/>
  <c r="AT147" i="1"/>
  <c r="AP175" i="1"/>
  <c r="AV175" i="1"/>
  <c r="AV204" i="1" s="1"/>
  <c r="BQ147" i="1"/>
  <c r="BR147" i="1"/>
  <c r="BD147" i="1"/>
  <c r="AZ175" i="1"/>
  <c r="AZ204" i="1" s="1"/>
  <c r="AV139" i="1"/>
  <c r="AU147" i="1"/>
  <c r="AW162" i="1"/>
  <c r="AV167" i="1"/>
  <c r="BC162" i="1"/>
  <c r="BB167" i="1"/>
  <c r="BE162" i="1"/>
  <c r="BD167" i="1"/>
  <c r="BO162" i="1"/>
  <c r="BN167" i="1"/>
  <c r="BU162" i="1"/>
  <c r="BT167" i="1"/>
  <c r="AY162" i="1"/>
  <c r="AX167" i="1"/>
  <c r="BS162" i="1"/>
  <c r="BR167" i="1"/>
  <c r="BA162" i="1"/>
  <c r="AZ167" i="1"/>
  <c r="AU221" i="1"/>
  <c r="AV221" i="1"/>
  <c r="BB221" i="1"/>
  <c r="BA221" i="1"/>
  <c r="AY221" i="1"/>
  <c r="AZ221" i="1"/>
  <c r="BC221" i="1"/>
  <c r="BD221" i="1"/>
  <c r="BI35" i="1"/>
  <c r="AU35" i="1"/>
  <c r="BJ31" i="1"/>
  <c r="BX30" i="1"/>
  <c r="BT35" i="1"/>
  <c r="AV35" i="1"/>
  <c r="AV31" i="1"/>
  <c r="P89" i="1"/>
  <c r="N108" i="1"/>
  <c r="O105" i="1"/>
  <c r="O106" i="1"/>
  <c r="O89" i="1"/>
  <c r="O104" i="1"/>
  <c r="CQ157" i="1"/>
  <c r="CR51" i="1"/>
  <c r="AE96" i="1"/>
  <c r="AB144" i="1"/>
  <c r="AB147" i="1" s="1"/>
  <c r="AB268" i="1" s="1"/>
  <c r="AD161" i="1"/>
  <c r="CZ84" i="1"/>
  <c r="DA82" i="1"/>
  <c r="H228" i="1" l="1"/>
  <c r="AV203" i="1"/>
  <c r="BF139" i="1"/>
  <c r="AP35" i="1"/>
  <c r="AP30" i="1"/>
  <c r="AW202" i="1"/>
  <c r="BG221" i="1"/>
  <c r="BI147" i="1"/>
  <c r="BJ268" i="1" s="1"/>
  <c r="BF46" i="1"/>
  <c r="D194" i="1"/>
  <c r="D126" i="1"/>
  <c r="H157" i="1"/>
  <c r="N226" i="1"/>
  <c r="D73" i="1"/>
  <c r="H52" i="1"/>
  <c r="M111" i="1"/>
  <c r="M114" i="1" s="1"/>
  <c r="M194" i="1"/>
  <c r="M73" i="1"/>
  <c r="G111" i="1"/>
  <c r="G73" i="1"/>
  <c r="G194" i="1"/>
  <c r="E201" i="1"/>
  <c r="E200" i="1" s="1"/>
  <c r="D85" i="1"/>
  <c r="D127" i="1"/>
  <c r="G267" i="1"/>
  <c r="B201" i="1"/>
  <c r="AR198" i="1"/>
  <c r="AS198" i="1" s="1"/>
  <c r="BH221" i="1"/>
  <c r="AR153" i="1"/>
  <c r="AS52" i="1" s="1"/>
  <c r="O157" i="1"/>
  <c r="O52" i="1"/>
  <c r="M228" i="1"/>
  <c r="BG147" i="1"/>
  <c r="BF175" i="1"/>
  <c r="BF204" i="1" s="1"/>
  <c r="BG162" i="1"/>
  <c r="BF167" i="1"/>
  <c r="BP35" i="1"/>
  <c r="BC35" i="1"/>
  <c r="BP30" i="1"/>
  <c r="BT30" i="1"/>
  <c r="BP46" i="1"/>
  <c r="AR202" i="1"/>
  <c r="AS202" i="1" s="1"/>
  <c r="J148" i="1"/>
  <c r="J74" i="1" s="1"/>
  <c r="J267" i="1"/>
  <c r="BH200" i="1"/>
  <c r="V201" i="1"/>
  <c r="V200" i="1" s="1"/>
  <c r="D52" i="1"/>
  <c r="D157" i="1"/>
  <c r="Q56" i="1"/>
  <c r="O204" i="1"/>
  <c r="AR180" i="1"/>
  <c r="AS228" i="1" s="1"/>
  <c r="Q225" i="1"/>
  <c r="H226" i="1"/>
  <c r="BH203" i="1"/>
  <c r="B126" i="1"/>
  <c r="B127" i="1"/>
  <c r="B85" i="1"/>
  <c r="B87" i="1" s="1"/>
  <c r="AP200" i="1"/>
  <c r="AS147" i="1"/>
  <c r="AR147" i="1"/>
  <c r="AS136" i="1"/>
  <c r="AR139" i="1"/>
  <c r="BF180" i="1"/>
  <c r="BG228" i="1" s="1"/>
  <c r="BF153" i="1"/>
  <c r="AR199" i="1"/>
  <c r="AS199" i="1" s="1"/>
  <c r="AR167" i="1"/>
  <c r="AR201" i="1" s="1"/>
  <c r="BF221" i="1"/>
  <c r="AR175" i="1"/>
  <c r="BF147" i="1"/>
  <c r="BB35" i="1"/>
  <c r="BC31" i="1"/>
  <c r="BF30" i="1"/>
  <c r="BC46" i="1"/>
  <c r="K226" i="1"/>
  <c r="AO46" i="1"/>
  <c r="BH46" i="1"/>
  <c r="S216" i="1"/>
  <c r="H187" i="1"/>
  <c r="H128" i="1" s="1"/>
  <c r="BV148" i="1"/>
  <c r="BB46" i="1"/>
  <c r="O111" i="1"/>
  <c r="O115" i="1" s="1"/>
  <c r="V226" i="1"/>
  <c r="AS46" i="1"/>
  <c r="AI46" i="1"/>
  <c r="T226" i="1"/>
  <c r="BO46" i="1"/>
  <c r="BH30" i="1"/>
  <c r="BP200" i="1"/>
  <c r="BF203" i="1"/>
  <c r="L267" i="1"/>
  <c r="BJ30" i="1"/>
  <c r="BF35" i="1"/>
  <c r="AQ31" i="1"/>
  <c r="AQ207" i="1"/>
  <c r="AQ30" i="1"/>
  <c r="AU30" i="1"/>
  <c r="AQ35" i="1"/>
  <c r="BN121" i="1"/>
  <c r="BN123" i="1"/>
  <c r="AW123" i="1"/>
  <c r="AW121" i="1"/>
  <c r="BH267" i="1"/>
  <c r="BI228" i="1"/>
  <c r="AO35" i="1"/>
  <c r="AP38" i="1" s="1"/>
  <c r="AO30" i="1"/>
  <c r="AP31" i="1"/>
  <c r="AP207" i="1"/>
  <c r="BQ35" i="1"/>
  <c r="BQ31" i="1"/>
  <c r="BH35" i="1"/>
  <c r="BI31" i="1"/>
  <c r="AU207" i="1"/>
  <c r="AX30" i="1"/>
  <c r="AL123" i="1"/>
  <c r="AL122" i="1"/>
  <c r="BW52" i="1"/>
  <c r="BV157" i="1"/>
  <c r="BW153" i="1"/>
  <c r="U111" i="1"/>
  <c r="U194" i="1"/>
  <c r="U267" i="1"/>
  <c r="U73" i="1"/>
  <c r="C73" i="1"/>
  <c r="C267" i="1"/>
  <c r="AV121" i="1"/>
  <c r="AV122" i="1"/>
  <c r="BK123" i="1"/>
  <c r="BK121" i="1"/>
  <c r="BA122" i="1"/>
  <c r="BA123" i="1"/>
  <c r="BA121" i="1"/>
  <c r="BY123" i="1"/>
  <c r="BY121" i="1"/>
  <c r="BB122" i="1"/>
  <c r="BB123" i="1"/>
  <c r="BJ53" i="1"/>
  <c r="BJ57" i="1" s="1"/>
  <c r="BJ251" i="1"/>
  <c r="BJ252" i="1" s="1"/>
  <c r="AY121" i="1"/>
  <c r="AY123" i="1"/>
  <c r="BJ263" i="1"/>
  <c r="BH31" i="1"/>
  <c r="BG30" i="1"/>
  <c r="BG35" i="1"/>
  <c r="BV46" i="1"/>
  <c r="AX203" i="1"/>
  <c r="BR46" i="1"/>
  <c r="AR244" i="1"/>
  <c r="B148" i="1"/>
  <c r="B74" i="1" s="1"/>
  <c r="V77" i="1"/>
  <c r="Q226" i="1"/>
  <c r="Q224" i="1" s="1"/>
  <c r="BN46" i="1"/>
  <c r="G225" i="1"/>
  <c r="BF207" i="1"/>
  <c r="AI200" i="1"/>
  <c r="BK46" i="1"/>
  <c r="AQ46" i="1"/>
  <c r="F267" i="1"/>
  <c r="BV200" i="1"/>
  <c r="O148" i="1"/>
  <c r="O74" i="1" s="1"/>
  <c r="D176" i="1"/>
  <c r="D184" i="1" s="1"/>
  <c r="J216" i="1"/>
  <c r="C176" i="1"/>
  <c r="CA207" i="1"/>
  <c r="BP203" i="1"/>
  <c r="BR203" i="1"/>
  <c r="BB203" i="1"/>
  <c r="AZ203" i="1"/>
  <c r="Q187" i="1"/>
  <c r="Q128" i="1" s="1"/>
  <c r="R228" i="1"/>
  <c r="G157" i="1"/>
  <c r="G52" i="1"/>
  <c r="L52" i="1"/>
  <c r="L157" i="1"/>
  <c r="V187" i="1"/>
  <c r="V128" i="1" s="1"/>
  <c r="V268" i="1"/>
  <c r="V270" i="1" s="1"/>
  <c r="T56" i="1"/>
  <c r="T187" i="1"/>
  <c r="T128" i="1" s="1"/>
  <c r="U225" i="1"/>
  <c r="U56" i="1"/>
  <c r="U268" i="1"/>
  <c r="U270" i="1" s="1"/>
  <c r="V225" i="1"/>
  <c r="U148" i="1"/>
  <c r="U74" i="1" s="1"/>
  <c r="O176" i="1"/>
  <c r="O201" i="1"/>
  <c r="BG122" i="1"/>
  <c r="BG123" i="1"/>
  <c r="F56" i="1"/>
  <c r="F187" i="1"/>
  <c r="F128" i="1" s="1"/>
  <c r="F225" i="1"/>
  <c r="F148" i="1"/>
  <c r="F74" i="1" s="1"/>
  <c r="X268" i="1"/>
  <c r="X270" i="1" s="1"/>
  <c r="W268" i="1"/>
  <c r="W270" i="1" s="1"/>
  <c r="W225" i="1"/>
  <c r="W56" i="1"/>
  <c r="K56" i="1"/>
  <c r="K268" i="1"/>
  <c r="K270" i="1" s="1"/>
  <c r="K225" i="1"/>
  <c r="F111" i="1"/>
  <c r="G226" i="1"/>
  <c r="F194" i="1"/>
  <c r="S194" i="1"/>
  <c r="S267" i="1"/>
  <c r="Q201" i="1"/>
  <c r="Q200" i="1" s="1"/>
  <c r="R215" i="1"/>
  <c r="AT35" i="1"/>
  <c r="AT30" i="1"/>
  <c r="AT207" i="1"/>
  <c r="AU31" i="1"/>
  <c r="BR244" i="1"/>
  <c r="BO35" i="1"/>
  <c r="BP31" i="1"/>
  <c r="BP207" i="1"/>
  <c r="AX35" i="1"/>
  <c r="BB30" i="1"/>
  <c r="I52" i="1"/>
  <c r="I157" i="1"/>
  <c r="I267" i="1"/>
  <c r="I194" i="1"/>
  <c r="BV35" i="1"/>
  <c r="BZ30" i="1"/>
  <c r="BV30" i="1"/>
  <c r="U52" i="1"/>
  <c r="U157" i="1"/>
  <c r="V222" i="1" s="1"/>
  <c r="V220" i="1" s="1"/>
  <c r="BF31" i="1"/>
  <c r="BE46" i="1"/>
  <c r="BI30" i="1"/>
  <c r="B187" i="1"/>
  <c r="B128" i="1" s="1"/>
  <c r="B56" i="1"/>
  <c r="BL244" i="1"/>
  <c r="BO30" i="1"/>
  <c r="BL31" i="1"/>
  <c r="BK31" i="1"/>
  <c r="BK35" i="1"/>
  <c r="BK207" i="1"/>
  <c r="BL207" i="1"/>
  <c r="AI35" i="1"/>
  <c r="N77" i="1"/>
  <c r="AL263" i="1"/>
  <c r="AJ31" i="1"/>
  <c r="AM30" i="1"/>
  <c r="AL244" i="1"/>
  <c r="R56" i="1"/>
  <c r="R187" i="1"/>
  <c r="R128" i="1" s="1"/>
  <c r="R225" i="1"/>
  <c r="BR30" i="1"/>
  <c r="BN30" i="1"/>
  <c r="BN35" i="1"/>
  <c r="BQ244" i="1"/>
  <c r="BO31" i="1"/>
  <c r="BO207" i="1"/>
  <c r="L111" i="1"/>
  <c r="M226" i="1"/>
  <c r="AS35" i="1"/>
  <c r="AT31" i="1"/>
  <c r="BU123" i="1"/>
  <c r="BU122" i="1"/>
  <c r="AY35" i="1"/>
  <c r="AY46" i="1"/>
  <c r="H176" i="1"/>
  <c r="H184" i="1" s="1"/>
  <c r="H201" i="1"/>
  <c r="R111" i="1"/>
  <c r="R73" i="1"/>
  <c r="BI244" i="1"/>
  <c r="BG31" i="1"/>
  <c r="BH122" i="1"/>
  <c r="BH123" i="1"/>
  <c r="BC123" i="1"/>
  <c r="BC121" i="1"/>
  <c r="P77" i="1"/>
  <c r="AS244" i="1"/>
  <c r="AV207" i="1"/>
  <c r="AR35" i="1"/>
  <c r="AS31" i="1"/>
  <c r="AR31" i="1"/>
  <c r="AV30" i="1"/>
  <c r="BA35" i="1"/>
  <c r="BE30" i="1"/>
  <c r="BN122" i="1"/>
  <c r="Q148" i="1"/>
  <c r="Q74" i="1" s="1"/>
  <c r="R176" i="1"/>
  <c r="R184" i="1" s="1"/>
  <c r="BM123" i="1"/>
  <c r="V194" i="1"/>
  <c r="Q204" i="1"/>
  <c r="R201" i="1"/>
  <c r="R200" i="1" s="1"/>
  <c r="AX207" i="1"/>
  <c r="AN122" i="1"/>
  <c r="BL121" i="1"/>
  <c r="BU121" i="1"/>
  <c r="BR31" i="1"/>
  <c r="BK244" i="1"/>
  <c r="BE35" i="1"/>
  <c r="BE37" i="1" s="1"/>
  <c r="BL263" i="1"/>
  <c r="BR122" i="1"/>
  <c r="BQ46" i="1"/>
  <c r="AM85" i="1"/>
  <c r="AM88" i="1" s="1"/>
  <c r="G176" i="1"/>
  <c r="V148" i="1"/>
  <c r="V74" i="1" s="1"/>
  <c r="U187" i="1"/>
  <c r="U128" i="1" s="1"/>
  <c r="S176" i="1"/>
  <c r="T157" i="1"/>
  <c r="T263" i="1" s="1"/>
  <c r="N267" i="1"/>
  <c r="E216" i="1"/>
  <c r="BK30" i="1"/>
  <c r="BR123" i="1"/>
  <c r="P215" i="1"/>
  <c r="BL122" i="1"/>
  <c r="AN121" i="1"/>
  <c r="BD122" i="1"/>
  <c r="BP121" i="1"/>
  <c r="AM212" i="1"/>
  <c r="AM214" i="1" s="1"/>
  <c r="V73" i="1"/>
  <c r="B267" i="1"/>
  <c r="F226" i="1"/>
  <c r="BZ122" i="1"/>
  <c r="AM138" i="1"/>
  <c r="AM139" i="1" s="1"/>
  <c r="E176" i="1"/>
  <c r="V111" i="1"/>
  <c r="G148" i="1"/>
  <c r="G74" i="1" s="1"/>
  <c r="K52" i="1"/>
  <c r="X225" i="1"/>
  <c r="K111" i="1"/>
  <c r="B73" i="1"/>
  <c r="E157" i="1"/>
  <c r="H216" i="1"/>
  <c r="J56" i="1"/>
  <c r="F73" i="1"/>
  <c r="V56" i="1"/>
  <c r="M267" i="1"/>
  <c r="BU30" i="1"/>
  <c r="Q267" i="1"/>
  <c r="BJ207" i="1"/>
  <c r="BA46" i="1"/>
  <c r="C187" i="1"/>
  <c r="C128" i="1" s="1"/>
  <c r="C129" i="1" s="1"/>
  <c r="C132" i="1" s="1"/>
  <c r="D187" i="1"/>
  <c r="D128" i="1" s="1"/>
  <c r="D129" i="1" s="1"/>
  <c r="D132" i="1" s="1"/>
  <c r="AW122" i="1"/>
  <c r="BJ244" i="1"/>
  <c r="BL30" i="1"/>
  <c r="AS30" i="1"/>
  <c r="AV244" i="1"/>
  <c r="BK122" i="1"/>
  <c r="AW30" i="1"/>
  <c r="BP123" i="1"/>
  <c r="BG207" i="1"/>
  <c r="AT244" i="1"/>
  <c r="P56" i="1"/>
  <c r="R268" i="1"/>
  <c r="R270" i="1" s="1"/>
  <c r="K148" i="1"/>
  <c r="K74" i="1" s="1"/>
  <c r="B194" i="1"/>
  <c r="S52" i="1"/>
  <c r="C148" i="1"/>
  <c r="C74" i="1" s="1"/>
  <c r="C194" i="1"/>
  <c r="L73" i="1"/>
  <c r="BH187" i="1"/>
  <c r="L148" i="1"/>
  <c r="L74" i="1" s="1"/>
  <c r="U226" i="1"/>
  <c r="L194" i="1"/>
  <c r="BV187" i="1"/>
  <c r="J268" i="1"/>
  <c r="J270" i="1" s="1"/>
  <c r="S148" i="1"/>
  <c r="S74" i="1" s="1"/>
  <c r="AX46" i="1"/>
  <c r="P263" i="1"/>
  <c r="AY31" i="1"/>
  <c r="P265" i="1"/>
  <c r="AO122" i="1"/>
  <c r="P267" i="1"/>
  <c r="J157" i="1"/>
  <c r="J263" i="1" s="1"/>
  <c r="BC207" i="1"/>
  <c r="BY122" i="1"/>
  <c r="BM244" i="1"/>
  <c r="K267" i="1"/>
  <c r="P226" i="1"/>
  <c r="AO121" i="1"/>
  <c r="BI52" i="1"/>
  <c r="AX123" i="1"/>
  <c r="BI153" i="1"/>
  <c r="BJ52" i="1" s="1"/>
  <c r="BD121" i="1"/>
  <c r="AY30" i="1"/>
  <c r="BT121" i="1"/>
  <c r="AY207" i="1"/>
  <c r="BV267" i="1"/>
  <c r="BQ30" i="1"/>
  <c r="L225" i="1"/>
  <c r="P111" i="1"/>
  <c r="Q73" i="1"/>
  <c r="S111" i="1"/>
  <c r="S114" i="1" s="1"/>
  <c r="L226" i="1"/>
  <c r="S56" i="1"/>
  <c r="I73" i="1"/>
  <c r="T111" i="1"/>
  <c r="T114" i="1" s="1"/>
  <c r="F52" i="1"/>
  <c r="I187" i="1"/>
  <c r="I128" i="1" s="1"/>
  <c r="I130" i="1" s="1"/>
  <c r="I133" i="1" s="1"/>
  <c r="E226" i="1"/>
  <c r="P148" i="1"/>
  <c r="P74" i="1" s="1"/>
  <c r="BO122" i="1"/>
  <c r="K194" i="1"/>
  <c r="AW207" i="1"/>
  <c r="AX121" i="1"/>
  <c r="BT122" i="1"/>
  <c r="AT203" i="1"/>
  <c r="L268" i="1"/>
  <c r="L270" i="1" s="1"/>
  <c r="R216" i="1"/>
  <c r="M215" i="1"/>
  <c r="Q111" i="1"/>
  <c r="S73" i="1"/>
  <c r="K73" i="1"/>
  <c r="B52" i="1"/>
  <c r="I226" i="1"/>
  <c r="P52" i="1"/>
  <c r="P216" i="1"/>
  <c r="O226" i="1"/>
  <c r="E111" i="1"/>
  <c r="I215" i="1"/>
  <c r="T194" i="1"/>
  <c r="BS31" i="1"/>
  <c r="P73" i="1"/>
  <c r="T73" i="1"/>
  <c r="BQ123" i="1"/>
  <c r="BW268" i="1"/>
  <c r="BC30" i="1"/>
  <c r="BQ207" i="1"/>
  <c r="AU122" i="1"/>
  <c r="R204" i="1"/>
  <c r="V52" i="1"/>
  <c r="Q216" i="1"/>
  <c r="Q268" i="1"/>
  <c r="Q270" i="1" s="1"/>
  <c r="G187" i="1"/>
  <c r="G128" i="1" s="1"/>
  <c r="G130" i="1" s="1"/>
  <c r="G133" i="1" s="1"/>
  <c r="J225" i="1"/>
  <c r="S226" i="1"/>
  <c r="K187" i="1"/>
  <c r="K128" i="1" s="1"/>
  <c r="T148" i="1"/>
  <c r="T74" i="1" s="1"/>
  <c r="G268" i="1"/>
  <c r="G270" i="1" s="1"/>
  <c r="K228" i="1"/>
  <c r="I111" i="1"/>
  <c r="I113" i="1" s="1"/>
  <c r="R226" i="1"/>
  <c r="D225" i="1"/>
  <c r="D268" i="1"/>
  <c r="D270" i="1" s="1"/>
  <c r="E73" i="1"/>
  <c r="BG121" i="1"/>
  <c r="AT46" i="1"/>
  <c r="P176" i="1"/>
  <c r="P184" i="1" s="1"/>
  <c r="Q194" i="1"/>
  <c r="D148" i="1"/>
  <c r="D74" i="1" s="1"/>
  <c r="BO244" i="1"/>
  <c r="AX31" i="1"/>
  <c r="BM121" i="1"/>
  <c r="BQ122" i="1"/>
  <c r="AW46" i="1"/>
  <c r="G56" i="1"/>
  <c r="I148" i="1"/>
  <c r="I74" i="1" s="1"/>
  <c r="M157" i="1"/>
  <c r="J226" i="1"/>
  <c r="J187" i="1"/>
  <c r="J128" i="1" s="1"/>
  <c r="J130" i="1" s="1"/>
  <c r="J133" i="1" s="1"/>
  <c r="AZ47" i="1"/>
  <c r="M268" i="1"/>
  <c r="M270" i="1" s="1"/>
  <c r="H225" i="1"/>
  <c r="AP244" i="1"/>
  <c r="AO31" i="1"/>
  <c r="AV123" i="1"/>
  <c r="R77" i="1"/>
  <c r="AL121" i="1"/>
  <c r="BX122" i="1"/>
  <c r="AZ46" i="1"/>
  <c r="H56" i="1"/>
  <c r="D216" i="1"/>
  <c r="BU244" i="1"/>
  <c r="T267" i="1"/>
  <c r="BU46" i="1"/>
  <c r="F268" i="1"/>
  <c r="F270" i="1" s="1"/>
  <c r="C52" i="1"/>
  <c r="H263" i="1"/>
  <c r="BV205" i="1"/>
  <c r="BZ208" i="1" s="1"/>
  <c r="U215" i="1"/>
  <c r="R222" i="1"/>
  <c r="R220" i="1" s="1"/>
  <c r="AN31" i="1"/>
  <c r="BY30" i="1"/>
  <c r="BW123" i="1"/>
  <c r="L56" i="1"/>
  <c r="P268" i="1"/>
  <c r="P270" i="1" s="1"/>
  <c r="E148" i="1"/>
  <c r="E74" i="1" s="1"/>
  <c r="U176" i="1"/>
  <c r="H148" i="1"/>
  <c r="H74" i="1" s="1"/>
  <c r="BG46" i="1"/>
  <c r="S215" i="1"/>
  <c r="AZ207" i="1"/>
  <c r="BU207" i="1"/>
  <c r="BU35" i="1"/>
  <c r="BU36" i="1" s="1"/>
  <c r="BC244" i="1"/>
  <c r="BF121" i="1"/>
  <c r="BV207" i="1"/>
  <c r="AZ31" i="1"/>
  <c r="O77" i="1"/>
  <c r="L187" i="1"/>
  <c r="L128" i="1" s="1"/>
  <c r="L130" i="1" s="1"/>
  <c r="L133" i="1" s="1"/>
  <c r="P187" i="1"/>
  <c r="P128" i="1" s="1"/>
  <c r="P129" i="1" s="1"/>
  <c r="P132" i="1" s="1"/>
  <c r="I268" i="1"/>
  <c r="I270" i="1" s="1"/>
  <c r="E225" i="1"/>
  <c r="F263" i="1"/>
  <c r="BN207" i="1"/>
  <c r="AN35" i="1"/>
  <c r="AO244" i="1"/>
  <c r="BM207" i="1"/>
  <c r="BZ207" i="1"/>
  <c r="AN207" i="1"/>
  <c r="AN30" i="1"/>
  <c r="AQ122" i="1"/>
  <c r="AN46" i="1"/>
  <c r="BV31" i="1"/>
  <c r="BM35" i="1"/>
  <c r="AU121" i="1"/>
  <c r="E56" i="1"/>
  <c r="I225" i="1"/>
  <c r="N157" i="1"/>
  <c r="BM46" i="1"/>
  <c r="BU31" i="1"/>
  <c r="H268" i="1"/>
  <c r="H270" i="1" s="1"/>
  <c r="AO207" i="1"/>
  <c r="AQ244" i="1"/>
  <c r="AS207" i="1"/>
  <c r="BO123" i="1"/>
  <c r="I56" i="1"/>
  <c r="O56" i="1"/>
  <c r="BS244" i="1"/>
  <c r="BX121" i="1"/>
  <c r="BW225" i="1"/>
  <c r="O215" i="1"/>
  <c r="D215" i="1"/>
  <c r="BD207" i="1"/>
  <c r="S225" i="1"/>
  <c r="BR207" i="1"/>
  <c r="BV244" i="1"/>
  <c r="AX244" i="1"/>
  <c r="BX225" i="1"/>
  <c r="BG244" i="1"/>
  <c r="D201" i="1"/>
  <c r="D200" i="1" s="1"/>
  <c r="L176" i="1"/>
  <c r="BE121" i="1"/>
  <c r="BT207" i="1"/>
  <c r="BV203" i="1"/>
  <c r="R263" i="1"/>
  <c r="BS123" i="1"/>
  <c r="M216" i="1"/>
  <c r="V216" i="1"/>
  <c r="B176" i="1"/>
  <c r="N187" i="1"/>
  <c r="N128" i="1" s="1"/>
  <c r="N130" i="1" s="1"/>
  <c r="N133" i="1" s="1"/>
  <c r="T201" i="1"/>
  <c r="T205" i="1" s="1"/>
  <c r="L215" i="1"/>
  <c r="T215" i="1"/>
  <c r="C127" i="1"/>
  <c r="O73" i="1"/>
  <c r="AP121" i="1"/>
  <c r="BI123" i="1"/>
  <c r="BX263" i="1"/>
  <c r="AR207" i="1"/>
  <c r="BN31" i="1"/>
  <c r="BB31" i="1"/>
  <c r="Q77" i="1"/>
  <c r="BH244" i="1"/>
  <c r="AR46" i="1"/>
  <c r="AW47" i="1"/>
  <c r="AW251" i="1" s="1"/>
  <c r="AW252" i="1" s="1"/>
  <c r="BV121" i="1"/>
  <c r="AU244" i="1"/>
  <c r="AW244" i="1"/>
  <c r="BS122" i="1"/>
  <c r="O216" i="1"/>
  <c r="N176" i="1"/>
  <c r="N56" i="1"/>
  <c r="H215" i="1"/>
  <c r="C216" i="1"/>
  <c r="Q215" i="1"/>
  <c r="F176" i="1"/>
  <c r="F184" i="1" s="1"/>
  <c r="C85" i="1"/>
  <c r="C88" i="1" s="1"/>
  <c r="D226" i="1"/>
  <c r="O194" i="1"/>
  <c r="O267" i="1"/>
  <c r="BH148" i="1"/>
  <c r="BD244" i="1"/>
  <c r="AT123" i="1"/>
  <c r="BJ122" i="1"/>
  <c r="BF122" i="1"/>
  <c r="C215" i="1"/>
  <c r="N215" i="1"/>
  <c r="F216" i="1"/>
  <c r="S187" i="1"/>
  <c r="S128" i="1" s="1"/>
  <c r="S129" i="1" s="1"/>
  <c r="S132" i="1" s="1"/>
  <c r="E215" i="1"/>
  <c r="BW35" i="1"/>
  <c r="BE122" i="1"/>
  <c r="BH205" i="1"/>
  <c r="BL208" i="1" s="1"/>
  <c r="BA207" i="1"/>
  <c r="BB121" i="1"/>
  <c r="BS207" i="1"/>
  <c r="BA30" i="1"/>
  <c r="J215" i="1"/>
  <c r="T216" i="1"/>
  <c r="C268" i="1"/>
  <c r="C270" i="1" s="1"/>
  <c r="C226" i="1"/>
  <c r="N216" i="1"/>
  <c r="L216" i="1"/>
  <c r="N225" i="1"/>
  <c r="BS46" i="1"/>
  <c r="AT121" i="1"/>
  <c r="T268" i="1"/>
  <c r="T270" i="1" s="1"/>
  <c r="S268" i="1"/>
  <c r="S270" i="1" s="1"/>
  <c r="BN244" i="1"/>
  <c r="BI207" i="1"/>
  <c r="C201" i="1"/>
  <c r="C200" i="1" s="1"/>
  <c r="T225" i="1"/>
  <c r="AP122" i="1"/>
  <c r="BI121" i="1"/>
  <c r="BY244" i="1"/>
  <c r="BP244" i="1"/>
  <c r="U77" i="1"/>
  <c r="W77" i="1"/>
  <c r="BT244" i="1"/>
  <c r="T176" i="1"/>
  <c r="H194" i="1"/>
  <c r="H73" i="1"/>
  <c r="H111" i="1"/>
  <c r="BB207" i="1"/>
  <c r="BW122" i="1"/>
  <c r="BV123" i="1"/>
  <c r="AS122" i="1"/>
  <c r="AZ244" i="1"/>
  <c r="AY244" i="1"/>
  <c r="BS30" i="1"/>
  <c r="F265" i="1"/>
  <c r="BD203" i="1"/>
  <c r="N268" i="1"/>
  <c r="N270" i="1" s="1"/>
  <c r="C225" i="1"/>
  <c r="V215" i="1"/>
  <c r="F215" i="1"/>
  <c r="G215" i="1"/>
  <c r="U216" i="1"/>
  <c r="AR30" i="1"/>
  <c r="AW31" i="1"/>
  <c r="BH121" i="1"/>
  <c r="T77" i="1"/>
  <c r="BT31" i="1"/>
  <c r="BM31" i="1"/>
  <c r="M187" i="1"/>
  <c r="M128" i="1" s="1"/>
  <c r="G216" i="1"/>
  <c r="H267" i="1"/>
  <c r="V176" i="1"/>
  <c r="V184" i="1" s="1"/>
  <c r="K204" i="1"/>
  <c r="K203" i="1" s="1"/>
  <c r="I204" i="1"/>
  <c r="I205" i="1" s="1"/>
  <c r="K176" i="1"/>
  <c r="K184" i="1" s="1"/>
  <c r="U204" i="1"/>
  <c r="U205" i="1" s="1"/>
  <c r="I216" i="1"/>
  <c r="M204" i="1"/>
  <c r="M203" i="1" s="1"/>
  <c r="BX244" i="1"/>
  <c r="BW31" i="1"/>
  <c r="BV176" i="1"/>
  <c r="AR123" i="1"/>
  <c r="BF244" i="1"/>
  <c r="BD46" i="1"/>
  <c r="R148" i="1"/>
  <c r="R74" i="1" s="1"/>
  <c r="BJ48" i="1"/>
  <c r="BD31" i="1"/>
  <c r="BW207" i="1"/>
  <c r="AS123" i="1"/>
  <c r="BX31" i="1"/>
  <c r="CA30" i="1"/>
  <c r="CB207" i="1"/>
  <c r="AY122" i="1"/>
  <c r="AR122" i="1"/>
  <c r="BZ123" i="1"/>
  <c r="BA244" i="1"/>
  <c r="AZ36" i="1"/>
  <c r="BE207" i="1"/>
  <c r="BX207" i="1"/>
  <c r="BW30" i="1"/>
  <c r="BD35" i="1"/>
  <c r="BD30" i="1"/>
  <c r="BA31" i="1"/>
  <c r="BC122" i="1"/>
  <c r="BH176" i="1"/>
  <c r="BH184" i="1" s="1"/>
  <c r="M176" i="1"/>
  <c r="M148" i="1"/>
  <c r="M74" i="1" s="1"/>
  <c r="P225" i="1"/>
  <c r="I176" i="1"/>
  <c r="K216" i="1"/>
  <c r="M225" i="1"/>
  <c r="K215" i="1"/>
  <c r="O225" i="1"/>
  <c r="C222" i="1"/>
  <c r="C220" i="1" s="1"/>
  <c r="R194" i="1"/>
  <c r="B203" i="1"/>
  <c r="X77" i="1"/>
  <c r="BW244" i="1"/>
  <c r="BE31" i="1"/>
  <c r="J176" i="1"/>
  <c r="BW46" i="1"/>
  <c r="BB244" i="1"/>
  <c r="AZ30" i="1"/>
  <c r="BZ244" i="1"/>
  <c r="BZ263" i="1"/>
  <c r="AQ121" i="1"/>
  <c r="BE244" i="1"/>
  <c r="AZ122" i="1"/>
  <c r="S77" i="1"/>
  <c r="AZ123" i="1"/>
  <c r="BH207" i="1"/>
  <c r="R265" i="1"/>
  <c r="BJ123" i="1"/>
  <c r="M56" i="1"/>
  <c r="O268" i="1"/>
  <c r="O270" i="1" s="1"/>
  <c r="R267" i="1"/>
  <c r="O187" i="1"/>
  <c r="O128" i="1" s="1"/>
  <c r="O130" i="1" s="1"/>
  <c r="O133" i="1" s="1"/>
  <c r="T203" i="1"/>
  <c r="N113" i="1"/>
  <c r="N115" i="1"/>
  <c r="M113" i="1"/>
  <c r="BU221" i="1"/>
  <c r="M115" i="1"/>
  <c r="AS153" i="1"/>
  <c r="AS157" i="1" s="1"/>
  <c r="BR268" i="1"/>
  <c r="BH114" i="1"/>
  <c r="AR157" i="1"/>
  <c r="BH113" i="1"/>
  <c r="AW221" i="1"/>
  <c r="F200" i="1"/>
  <c r="F205" i="1"/>
  <c r="S205" i="1"/>
  <c r="S200" i="1"/>
  <c r="S222" i="1"/>
  <c r="S220" i="1" s="1"/>
  <c r="S265" i="1"/>
  <c r="S263" i="1"/>
  <c r="G114" i="1"/>
  <c r="G115" i="1"/>
  <c r="G113" i="1"/>
  <c r="X222" i="1"/>
  <c r="X220" i="1" s="1"/>
  <c r="W222" i="1"/>
  <c r="W220" i="1" s="1"/>
  <c r="J113" i="1"/>
  <c r="J114" i="1"/>
  <c r="J115" i="1"/>
  <c r="L200" i="1"/>
  <c r="L205" i="1"/>
  <c r="D203" i="1"/>
  <c r="Q184" i="1"/>
  <c r="D88" i="1"/>
  <c r="D87" i="1"/>
  <c r="B205" i="1"/>
  <c r="B200" i="1"/>
  <c r="AR221" i="1"/>
  <c r="AQ221" i="1"/>
  <c r="BB187" i="1"/>
  <c r="J203" i="1"/>
  <c r="J205" i="1"/>
  <c r="AV187" i="1"/>
  <c r="K263" i="1"/>
  <c r="K265" i="1"/>
  <c r="C203" i="1"/>
  <c r="BS52" i="1"/>
  <c r="BS153" i="1"/>
  <c r="BR157" i="1"/>
  <c r="V263" i="1"/>
  <c r="V265" i="1"/>
  <c r="AQ268" i="1"/>
  <c r="AN111" i="1"/>
  <c r="AN114" i="1" s="1"/>
  <c r="AN267" i="1"/>
  <c r="P205" i="1"/>
  <c r="P200" i="1"/>
  <c r="AV268" i="1"/>
  <c r="Q265" i="1"/>
  <c r="Q263" i="1"/>
  <c r="Q222" i="1"/>
  <c r="Q220" i="1" s="1"/>
  <c r="E129" i="1"/>
  <c r="E132" i="1" s="1"/>
  <c r="E130" i="1"/>
  <c r="E133" i="1" s="1"/>
  <c r="O265" i="1"/>
  <c r="P222" i="1"/>
  <c r="P220" i="1" s="1"/>
  <c r="AO153" i="1"/>
  <c r="AO52" i="1"/>
  <c r="AN157" i="1"/>
  <c r="AN265" i="1" s="1"/>
  <c r="BC52" i="1"/>
  <c r="BB157" i="1"/>
  <c r="BC153" i="1"/>
  <c r="AV225" i="1"/>
  <c r="BT148" i="1"/>
  <c r="E203" i="1"/>
  <c r="E205" i="1"/>
  <c r="V203" i="1"/>
  <c r="BN187" i="1"/>
  <c r="BN148" i="1"/>
  <c r="BC225" i="1"/>
  <c r="BC268" i="1"/>
  <c r="O263" i="1"/>
  <c r="N205" i="1"/>
  <c r="N200" i="1"/>
  <c r="G205" i="1"/>
  <c r="G203" i="1"/>
  <c r="BB148" i="1"/>
  <c r="AT267" i="1"/>
  <c r="AX111" i="1"/>
  <c r="AX267" i="1"/>
  <c r="BU52" i="1"/>
  <c r="BT157" i="1"/>
  <c r="BU153" i="1"/>
  <c r="AW52" i="1"/>
  <c r="AV157" i="1"/>
  <c r="AW153" i="1"/>
  <c r="BE52" i="1"/>
  <c r="BE153" i="1"/>
  <c r="BD157" i="1"/>
  <c r="AQ153" i="1"/>
  <c r="AP157" i="1"/>
  <c r="AQ52" i="1"/>
  <c r="AT201" i="1"/>
  <c r="AT176" i="1"/>
  <c r="BB114" i="1"/>
  <c r="BB115" i="1"/>
  <c r="BB113" i="1"/>
  <c r="AO268" i="1"/>
  <c r="AO225" i="1"/>
  <c r="AN268" i="1"/>
  <c r="AN225" i="1"/>
  <c r="AN148" i="1"/>
  <c r="AN187" i="1"/>
  <c r="BN157" i="1"/>
  <c r="BO153" i="1"/>
  <c r="BO52" i="1"/>
  <c r="AY153" i="1"/>
  <c r="AX157" i="1"/>
  <c r="AY52" i="1"/>
  <c r="BN267" i="1"/>
  <c r="BN111" i="1"/>
  <c r="BP268" i="1"/>
  <c r="BP225" i="1"/>
  <c r="BP187" i="1"/>
  <c r="BR148" i="1"/>
  <c r="BS268" i="1"/>
  <c r="BS225" i="1"/>
  <c r="BR187" i="1"/>
  <c r="BA153" i="1"/>
  <c r="BA52" i="1"/>
  <c r="AZ157" i="1"/>
  <c r="BQ52" i="1"/>
  <c r="BP157" i="1"/>
  <c r="BQ153" i="1"/>
  <c r="BC228" i="1"/>
  <c r="BB267" i="1"/>
  <c r="AX225" i="1"/>
  <c r="AX187" i="1"/>
  <c r="AX148" i="1"/>
  <c r="AX268" i="1"/>
  <c r="BO221" i="1"/>
  <c r="BP221" i="1"/>
  <c r="AT157" i="1"/>
  <c r="AU52" i="1"/>
  <c r="AU153" i="1"/>
  <c r="BD111" i="1"/>
  <c r="BD267" i="1"/>
  <c r="BO225" i="1"/>
  <c r="BO268" i="1"/>
  <c r="BN268" i="1"/>
  <c r="BN225" i="1"/>
  <c r="AW268" i="1"/>
  <c r="AW225" i="1"/>
  <c r="AN201" i="1"/>
  <c r="AN176" i="1"/>
  <c r="BT221" i="1"/>
  <c r="BS221" i="1"/>
  <c r="BV268" i="1"/>
  <c r="BU268" i="1"/>
  <c r="BU225" i="1"/>
  <c r="BV225" i="1"/>
  <c r="BT187" i="1"/>
  <c r="BT268" i="1"/>
  <c r="BT225" i="1"/>
  <c r="AP221" i="1"/>
  <c r="AO221" i="1"/>
  <c r="AZ187" i="1"/>
  <c r="AZ268" i="1"/>
  <c r="AZ148" i="1"/>
  <c r="AZ225" i="1"/>
  <c r="AN203" i="1"/>
  <c r="AT148" i="1"/>
  <c r="AT187" i="1"/>
  <c r="BD225" i="1"/>
  <c r="BD148" i="1"/>
  <c r="BE268" i="1"/>
  <c r="BE225" i="1"/>
  <c r="BD187" i="1"/>
  <c r="BD268" i="1"/>
  <c r="AV111" i="1"/>
  <c r="AV267" i="1"/>
  <c r="AQ225" i="1"/>
  <c r="AP225" i="1"/>
  <c r="AP268" i="1"/>
  <c r="BH268" i="1"/>
  <c r="BB225" i="1"/>
  <c r="BA268" i="1"/>
  <c r="BB268" i="1"/>
  <c r="BA225" i="1"/>
  <c r="AU225" i="1"/>
  <c r="AU268" i="1"/>
  <c r="BP205" i="1"/>
  <c r="BP208" i="1" s="1"/>
  <c r="BR225" i="1"/>
  <c r="AY225" i="1"/>
  <c r="AY268" i="1"/>
  <c r="AQ228" i="1"/>
  <c r="AP267" i="1"/>
  <c r="AZ111" i="1"/>
  <c r="AZ267" i="1"/>
  <c r="BS228" i="1"/>
  <c r="BR267" i="1"/>
  <c r="BT111" i="1"/>
  <c r="BT267" i="1"/>
  <c r="AP187" i="1"/>
  <c r="AP148" i="1"/>
  <c r="AP114" i="1"/>
  <c r="AP113" i="1"/>
  <c r="AP115" i="1"/>
  <c r="AP204" i="1"/>
  <c r="AP176" i="1"/>
  <c r="BF111" i="1"/>
  <c r="BP115" i="1"/>
  <c r="AV148" i="1"/>
  <c r="BQ268" i="1"/>
  <c r="BP267" i="1"/>
  <c r="BP148" i="1"/>
  <c r="BP176" i="1"/>
  <c r="BQ225" i="1"/>
  <c r="BP114" i="1"/>
  <c r="AV201" i="1"/>
  <c r="AV205" i="1" s="1"/>
  <c r="AV176" i="1"/>
  <c r="BB201" i="1"/>
  <c r="BB176" i="1"/>
  <c r="BD201" i="1"/>
  <c r="BD176" i="1"/>
  <c r="AX201" i="1"/>
  <c r="AX176" i="1"/>
  <c r="BF201" i="1"/>
  <c r="BF176" i="1"/>
  <c r="BT201" i="1"/>
  <c r="BT176" i="1"/>
  <c r="BR201" i="1"/>
  <c r="BR205" i="1" s="1"/>
  <c r="BR176" i="1"/>
  <c r="BN201" i="1"/>
  <c r="BN176" i="1"/>
  <c r="AZ201" i="1"/>
  <c r="AZ176" i="1"/>
  <c r="BV115" i="1"/>
  <c r="BV114" i="1"/>
  <c r="BV113" i="1"/>
  <c r="AP47" i="1"/>
  <c r="AP37" i="1"/>
  <c r="AP36" i="1"/>
  <c r="BI36" i="1"/>
  <c r="BI47" i="1"/>
  <c r="BJ38" i="1"/>
  <c r="BP47" i="1"/>
  <c r="BP37" i="1"/>
  <c r="BP36" i="1"/>
  <c r="BN203" i="1"/>
  <c r="BS38" i="1"/>
  <c r="BT38" i="1"/>
  <c r="AV38" i="1"/>
  <c r="AU47" i="1"/>
  <c r="AU36" i="1"/>
  <c r="BS47" i="1"/>
  <c r="BS36" i="1"/>
  <c r="BC47" i="1"/>
  <c r="BC36" i="1"/>
  <c r="BR47" i="1"/>
  <c r="BR36" i="1"/>
  <c r="AT114" i="1"/>
  <c r="AT115" i="1"/>
  <c r="AT113" i="1"/>
  <c r="AV47" i="1"/>
  <c r="AV36" i="1"/>
  <c r="AW38" i="1"/>
  <c r="AZ37" i="1"/>
  <c r="BT47" i="1"/>
  <c r="BX37" i="1"/>
  <c r="BT36" i="1"/>
  <c r="BT37" i="1"/>
  <c r="BR115" i="1"/>
  <c r="BR113" i="1"/>
  <c r="BR114" i="1"/>
  <c r="BH265" i="1"/>
  <c r="BH263" i="1"/>
  <c r="BB36" i="1"/>
  <c r="BB47" i="1"/>
  <c r="CR213" i="1"/>
  <c r="CR151" i="1"/>
  <c r="CQ222" i="1"/>
  <c r="CQ220" i="1" s="1"/>
  <c r="AB225" i="1"/>
  <c r="DB82" i="1"/>
  <c r="DA84" i="1"/>
  <c r="O184" i="1" l="1"/>
  <c r="O185" i="1" s="1"/>
  <c r="BJ225" i="1"/>
  <c r="BI225" i="1"/>
  <c r="H265" i="1"/>
  <c r="BI268" i="1"/>
  <c r="N224" i="1"/>
  <c r="BH225" i="1"/>
  <c r="U224" i="1"/>
  <c r="BB38" i="1"/>
  <c r="H224" i="1"/>
  <c r="S217" i="1"/>
  <c r="S218" i="1" s="1"/>
  <c r="BA38" i="1"/>
  <c r="AO37" i="1"/>
  <c r="B88" i="1"/>
  <c r="B106" i="1" s="1"/>
  <c r="BA37" i="1"/>
  <c r="BI38" i="1"/>
  <c r="AQ36" i="1"/>
  <c r="BF37" i="1"/>
  <c r="D222" i="1"/>
  <c r="D220" i="1" s="1"/>
  <c r="V205" i="1"/>
  <c r="O203" i="1"/>
  <c r="AQ38" i="1"/>
  <c r="AO47" i="1"/>
  <c r="AQ47" i="1"/>
  <c r="BF267" i="1"/>
  <c r="BC38" i="1"/>
  <c r="AO36" i="1"/>
  <c r="AQ37" i="1"/>
  <c r="BA36" i="1"/>
  <c r="C184" i="1"/>
  <c r="C263" i="1" s="1"/>
  <c r="AR263" i="1"/>
  <c r="AR200" i="1"/>
  <c r="H130" i="1"/>
  <c r="H133" i="1" s="1"/>
  <c r="H129" i="1"/>
  <c r="H132" i="1" s="1"/>
  <c r="AR225" i="1"/>
  <c r="AR268" i="1"/>
  <c r="AS225" i="1"/>
  <c r="AS268" i="1"/>
  <c r="AR187" i="1"/>
  <c r="AS56" i="1" s="1"/>
  <c r="AR148" i="1"/>
  <c r="AR111" i="1"/>
  <c r="BG153" i="1"/>
  <c r="BG52" i="1"/>
  <c r="BF157" i="1"/>
  <c r="AR204" i="1"/>
  <c r="AR176" i="1"/>
  <c r="BF225" i="1"/>
  <c r="BF187" i="1"/>
  <c r="AR267" i="1"/>
  <c r="AT225" i="1"/>
  <c r="BF268" i="1"/>
  <c r="BF148" i="1"/>
  <c r="BG225" i="1"/>
  <c r="BF36" i="1"/>
  <c r="BJ37" i="1"/>
  <c r="BE36" i="1"/>
  <c r="AU37" i="1"/>
  <c r="BH47" i="1"/>
  <c r="BL37" i="1"/>
  <c r="BG38" i="1"/>
  <c r="BG36" i="1"/>
  <c r="BH38" i="1"/>
  <c r="BG47" i="1"/>
  <c r="O78" i="1"/>
  <c r="AT268" i="1"/>
  <c r="BG268" i="1"/>
  <c r="BQ38" i="1"/>
  <c r="BF38" i="1"/>
  <c r="BR38" i="1"/>
  <c r="BH36" i="1"/>
  <c r="BG37" i="1"/>
  <c r="T78" i="1"/>
  <c r="T224" i="1"/>
  <c r="BV184" i="1"/>
  <c r="BV185" i="1" s="1"/>
  <c r="O114" i="1"/>
  <c r="O113" i="1"/>
  <c r="BW157" i="1"/>
  <c r="BX52" i="1"/>
  <c r="BV263" i="1"/>
  <c r="BV265" i="1"/>
  <c r="BJ60" i="1"/>
  <c r="BJ59" i="1"/>
  <c r="R217" i="1"/>
  <c r="R218" i="1" s="1"/>
  <c r="P217" i="1"/>
  <c r="P218" i="1" s="1"/>
  <c r="BA47" i="1"/>
  <c r="J217" i="1"/>
  <c r="J218" i="1" s="1"/>
  <c r="BF47" i="1"/>
  <c r="BJ49" i="1" s="1"/>
  <c r="AN47" i="1"/>
  <c r="AO38" i="1"/>
  <c r="AN37" i="1"/>
  <c r="AN38" i="1"/>
  <c r="AN36" i="1"/>
  <c r="G184" i="1"/>
  <c r="G185" i="1" s="1"/>
  <c r="J224" i="1"/>
  <c r="R224" i="1"/>
  <c r="N184" i="1"/>
  <c r="N185" i="1" s="1"/>
  <c r="F185" i="1"/>
  <c r="BW38" i="1"/>
  <c r="L217" i="1"/>
  <c r="L218" i="1" s="1"/>
  <c r="I129" i="1"/>
  <c r="I132" i="1" s="1"/>
  <c r="E217" i="1"/>
  <c r="E218" i="1" s="1"/>
  <c r="K224" i="1"/>
  <c r="V224" i="1"/>
  <c r="S184" i="1"/>
  <c r="S185" i="1" s="1"/>
  <c r="G224" i="1"/>
  <c r="L222" i="1"/>
  <c r="L220" i="1" s="1"/>
  <c r="D130" i="1"/>
  <c r="D133" i="1" s="1"/>
  <c r="F224" i="1"/>
  <c r="B184" i="1"/>
  <c r="R129" i="1"/>
  <c r="R132" i="1" s="1"/>
  <c r="R130" i="1"/>
  <c r="R133" i="1" s="1"/>
  <c r="L263" i="1"/>
  <c r="L265" i="1"/>
  <c r="V129" i="1"/>
  <c r="V132" i="1" s="1"/>
  <c r="V130" i="1"/>
  <c r="V133" i="1" s="1"/>
  <c r="J265" i="1"/>
  <c r="U263" i="1"/>
  <c r="U265" i="1"/>
  <c r="T222" i="1"/>
  <c r="T220" i="1" s="1"/>
  <c r="F129" i="1"/>
  <c r="F132" i="1" s="1"/>
  <c r="F130" i="1"/>
  <c r="F133" i="1" s="1"/>
  <c r="F115" i="1"/>
  <c r="F114" i="1"/>
  <c r="F113" i="1"/>
  <c r="T130" i="1"/>
  <c r="T133" i="1" s="1"/>
  <c r="T129" i="1"/>
  <c r="T132" i="1" s="1"/>
  <c r="Q205" i="1"/>
  <c r="N222" i="1"/>
  <c r="N220" i="1" s="1"/>
  <c r="U184" i="1"/>
  <c r="U185" i="1" s="1"/>
  <c r="L184" i="1"/>
  <c r="L185" i="1" s="1"/>
  <c r="T184" i="1"/>
  <c r="T185" i="1" s="1"/>
  <c r="G217" i="1"/>
  <c r="G218" i="1" s="1"/>
  <c r="P224" i="1"/>
  <c r="I184" i="1"/>
  <c r="I185" i="1" s="1"/>
  <c r="M224" i="1"/>
  <c r="BQ47" i="1"/>
  <c r="BQ36" i="1"/>
  <c r="U114" i="1"/>
  <c r="U113" i="1"/>
  <c r="U115" i="1"/>
  <c r="Q130" i="1"/>
  <c r="Q133" i="1" s="1"/>
  <c r="Q129" i="1"/>
  <c r="Q132" i="1" s="1"/>
  <c r="G222" i="1"/>
  <c r="G220" i="1" s="1"/>
  <c r="G263" i="1"/>
  <c r="G265" i="1"/>
  <c r="H222" i="1"/>
  <c r="H220" i="1" s="1"/>
  <c r="O200" i="1"/>
  <c r="O205" i="1"/>
  <c r="AT36" i="1"/>
  <c r="AT47" i="1"/>
  <c r="AT37" i="1"/>
  <c r="AU38" i="1"/>
  <c r="AX37" i="1"/>
  <c r="BS37" i="1"/>
  <c r="BO36" i="1"/>
  <c r="BP38" i="1"/>
  <c r="V78" i="1"/>
  <c r="BO47" i="1"/>
  <c r="AY38" i="1"/>
  <c r="AX47" i="1"/>
  <c r="AX36" i="1"/>
  <c r="AX38" i="1"/>
  <c r="Q78" i="1"/>
  <c r="BB37" i="1"/>
  <c r="I222" i="1"/>
  <c r="I220" i="1" s="1"/>
  <c r="I263" i="1"/>
  <c r="I265" i="1"/>
  <c r="J222" i="1"/>
  <c r="J220" i="1" s="1"/>
  <c r="BZ37" i="1"/>
  <c r="BV47" i="1"/>
  <c r="B129" i="1"/>
  <c r="B132" i="1" s="1"/>
  <c r="B130" i="1"/>
  <c r="B133" i="1" s="1"/>
  <c r="BK38" i="1"/>
  <c r="BK36" i="1"/>
  <c r="BO37" i="1"/>
  <c r="BL38" i="1"/>
  <c r="BK37" i="1"/>
  <c r="BK47" i="1"/>
  <c r="AJ38" i="1"/>
  <c r="AI47" i="1"/>
  <c r="AI36" i="1"/>
  <c r="AM37" i="1"/>
  <c r="N78" i="1"/>
  <c r="BR37" i="1"/>
  <c r="BN36" i="1"/>
  <c r="BO38" i="1"/>
  <c r="BN47" i="1"/>
  <c r="BN37" i="1"/>
  <c r="L114" i="1"/>
  <c r="L113" i="1"/>
  <c r="L115" i="1"/>
  <c r="AS36" i="1"/>
  <c r="AW37" i="1"/>
  <c r="AT38" i="1"/>
  <c r="AS47" i="1"/>
  <c r="AS37" i="1"/>
  <c r="AY36" i="1"/>
  <c r="AZ38" i="1"/>
  <c r="R78" i="1"/>
  <c r="AY47" i="1"/>
  <c r="AY37" i="1"/>
  <c r="BC37" i="1"/>
  <c r="R115" i="1"/>
  <c r="R114" i="1"/>
  <c r="R113" i="1"/>
  <c r="AR47" i="1"/>
  <c r="AR48" i="1" s="1"/>
  <c r="AS38" i="1"/>
  <c r="AR38" i="1"/>
  <c r="AR37" i="1"/>
  <c r="AR36" i="1"/>
  <c r="AV37" i="1"/>
  <c r="P78" i="1"/>
  <c r="E263" i="1"/>
  <c r="F222" i="1"/>
  <c r="F220" i="1" s="1"/>
  <c r="E222" i="1"/>
  <c r="E220" i="1" s="1"/>
  <c r="BM38" i="1"/>
  <c r="BM47" i="1"/>
  <c r="N265" i="1"/>
  <c r="O222" i="1"/>
  <c r="O220" i="1" s="1"/>
  <c r="BD47" i="1"/>
  <c r="BD36" i="1"/>
  <c r="BD38" i="1"/>
  <c r="S78" i="1"/>
  <c r="BH185" i="1"/>
  <c r="BI56" i="1"/>
  <c r="BH128" i="1"/>
  <c r="BV128" i="1"/>
  <c r="BW56" i="1"/>
  <c r="BV37" i="1"/>
  <c r="BV36" i="1"/>
  <c r="E184" i="1"/>
  <c r="E185" i="1" s="1"/>
  <c r="E224" i="1"/>
  <c r="U78" i="1"/>
  <c r="S224" i="1"/>
  <c r="C130" i="1"/>
  <c r="C133" i="1" s="1"/>
  <c r="D224" i="1"/>
  <c r="N217" i="1"/>
  <c r="N218" i="1" s="1"/>
  <c r="V185" i="1"/>
  <c r="M184" i="1"/>
  <c r="M185" i="1" s="1"/>
  <c r="O224" i="1"/>
  <c r="Q185" i="1"/>
  <c r="H200" i="1"/>
  <c r="H205" i="1"/>
  <c r="AM105" i="1"/>
  <c r="AM104" i="1"/>
  <c r="AM106" i="1"/>
  <c r="U129" i="1"/>
  <c r="U132" i="1" s="1"/>
  <c r="U130" i="1"/>
  <c r="U133" i="1" s="1"/>
  <c r="AM148" i="1"/>
  <c r="AM74" i="1" s="1"/>
  <c r="AM111" i="1"/>
  <c r="V114" i="1"/>
  <c r="V113" i="1"/>
  <c r="V115" i="1"/>
  <c r="K115" i="1"/>
  <c r="K114" i="1"/>
  <c r="P113" i="1"/>
  <c r="P115" i="1"/>
  <c r="Q114" i="1"/>
  <c r="Q113" i="1"/>
  <c r="K129" i="1"/>
  <c r="K132" i="1" s="1"/>
  <c r="K130" i="1"/>
  <c r="K133" i="1" s="1"/>
  <c r="AZ251" i="1"/>
  <c r="AZ252" i="1" s="1"/>
  <c r="AZ48" i="1"/>
  <c r="AZ53" i="1"/>
  <c r="AZ57" i="1" s="1"/>
  <c r="M130" i="1"/>
  <c r="M133" i="1" s="1"/>
  <c r="M129" i="1"/>
  <c r="M132" i="1" s="1"/>
  <c r="E114" i="1"/>
  <c r="E115" i="1"/>
  <c r="DB84" i="1"/>
  <c r="AE82" i="1"/>
  <c r="AE84" i="1" s="1"/>
  <c r="T115" i="1"/>
  <c r="Q115" i="1"/>
  <c r="T113" i="1"/>
  <c r="K113" i="1"/>
  <c r="M265" i="1"/>
  <c r="E265" i="1"/>
  <c r="H217" i="1"/>
  <c r="H218" i="1" s="1"/>
  <c r="P185" i="1"/>
  <c r="BE47" i="1"/>
  <c r="BI37" i="1"/>
  <c r="AM73" i="1"/>
  <c r="I203" i="1"/>
  <c r="M263" i="1"/>
  <c r="I224" i="1"/>
  <c r="R205" i="1"/>
  <c r="L224" i="1"/>
  <c r="AM226" i="1"/>
  <c r="AM224" i="1" s="1"/>
  <c r="U222" i="1"/>
  <c r="U220" i="1" s="1"/>
  <c r="G129" i="1"/>
  <c r="G132" i="1" s="1"/>
  <c r="BE38" i="1"/>
  <c r="H185" i="1"/>
  <c r="M222" i="1"/>
  <c r="M220" i="1" s="1"/>
  <c r="T265" i="1"/>
  <c r="Q203" i="1"/>
  <c r="K185" i="1"/>
  <c r="M217" i="1"/>
  <c r="M218" i="1" s="1"/>
  <c r="M205" i="1"/>
  <c r="O217" i="1"/>
  <c r="O218" i="1" s="1"/>
  <c r="K222" i="1"/>
  <c r="K220" i="1" s="1"/>
  <c r="N129" i="1"/>
  <c r="N132" i="1" s="1"/>
  <c r="R185" i="1"/>
  <c r="I217" i="1"/>
  <c r="I218" i="1" s="1"/>
  <c r="R203" i="1"/>
  <c r="L129" i="1"/>
  <c r="L132" i="1" s="1"/>
  <c r="N263" i="1"/>
  <c r="E113" i="1"/>
  <c r="J184" i="1"/>
  <c r="J185" i="1" s="1"/>
  <c r="T217" i="1"/>
  <c r="T218" i="1" s="1"/>
  <c r="U217" i="1"/>
  <c r="U218" i="1" s="1"/>
  <c r="BI157" i="1"/>
  <c r="BQ37" i="1"/>
  <c r="S113" i="1"/>
  <c r="S115" i="1"/>
  <c r="BV208" i="1"/>
  <c r="U203" i="1"/>
  <c r="I115" i="1"/>
  <c r="I114" i="1"/>
  <c r="BY37" i="1"/>
  <c r="P114" i="1"/>
  <c r="J129" i="1"/>
  <c r="J132" i="1" s="1"/>
  <c r="V217" i="1"/>
  <c r="V218" i="1" s="1"/>
  <c r="BV38" i="1"/>
  <c r="P130" i="1"/>
  <c r="P133" i="1" s="1"/>
  <c r="C224" i="1"/>
  <c r="Q217" i="1"/>
  <c r="Q218" i="1" s="1"/>
  <c r="Q229" i="1" s="1"/>
  <c r="Q230" i="1" s="1"/>
  <c r="BM36" i="1"/>
  <c r="BM37" i="1"/>
  <c r="BU37" i="1"/>
  <c r="T200" i="1"/>
  <c r="BU47" i="1"/>
  <c r="BN38" i="1"/>
  <c r="AW53" i="1"/>
  <c r="AW57" i="1" s="1"/>
  <c r="AW60" i="1" s="1"/>
  <c r="F217" i="1"/>
  <c r="F218" i="1" s="1"/>
  <c r="AW48" i="1"/>
  <c r="K205" i="1"/>
  <c r="L208" i="1" s="1"/>
  <c r="L209" i="1" s="1"/>
  <c r="BU38" i="1"/>
  <c r="C217" i="1"/>
  <c r="C218" i="1" s="1"/>
  <c r="C229" i="1" s="1"/>
  <c r="C230" i="1" s="1"/>
  <c r="D217" i="1"/>
  <c r="D218" i="1" s="1"/>
  <c r="X78" i="1"/>
  <c r="BW37" i="1"/>
  <c r="D205" i="1"/>
  <c r="E208" i="1" s="1"/>
  <c r="E209" i="1" s="1"/>
  <c r="S130" i="1"/>
  <c r="S133" i="1" s="1"/>
  <c r="BW47" i="1"/>
  <c r="BX38" i="1"/>
  <c r="CA37" i="1"/>
  <c r="BW36" i="1"/>
  <c r="C87" i="1"/>
  <c r="C205" i="1"/>
  <c r="C208" i="1" s="1"/>
  <c r="C209" i="1" s="1"/>
  <c r="H115" i="1"/>
  <c r="H114" i="1"/>
  <c r="H113" i="1"/>
  <c r="K217" i="1"/>
  <c r="K218" i="1" s="1"/>
  <c r="O129" i="1"/>
  <c r="O132" i="1" s="1"/>
  <c r="BH37" i="1"/>
  <c r="BD37" i="1"/>
  <c r="AT52" i="1"/>
  <c r="AR265" i="1"/>
  <c r="D89" i="1"/>
  <c r="B108" i="1"/>
  <c r="C106" i="1"/>
  <c r="C105" i="1"/>
  <c r="C104" i="1"/>
  <c r="D263" i="1"/>
  <c r="D185" i="1"/>
  <c r="AW56" i="1"/>
  <c r="AV128" i="1"/>
  <c r="BS157" i="1"/>
  <c r="BT52" i="1"/>
  <c r="BR265" i="1"/>
  <c r="BR263" i="1"/>
  <c r="AP52" i="1"/>
  <c r="AO157" i="1"/>
  <c r="AN113" i="1"/>
  <c r="AN115" i="1"/>
  <c r="J208" i="1"/>
  <c r="J209" i="1" s="1"/>
  <c r="BR184" i="1"/>
  <c r="BR185" i="1" s="1"/>
  <c r="BB128" i="1"/>
  <c r="BC56" i="1"/>
  <c r="D104" i="1"/>
  <c r="D105" i="1"/>
  <c r="D106" i="1"/>
  <c r="C108" i="1"/>
  <c r="E89" i="1"/>
  <c r="AN184" i="1"/>
  <c r="AN185" i="1" s="1"/>
  <c r="BP184" i="1"/>
  <c r="BP185" i="1" s="1"/>
  <c r="BN128" i="1"/>
  <c r="BO56" i="1"/>
  <c r="AZ52" i="1"/>
  <c r="AY157" i="1"/>
  <c r="F208" i="1"/>
  <c r="F209" i="1" s="1"/>
  <c r="G208" i="1"/>
  <c r="G209" i="1" s="1"/>
  <c r="BN222" i="1"/>
  <c r="BN220" i="1" s="1"/>
  <c r="BN265" i="1"/>
  <c r="BN263" i="1"/>
  <c r="BN115" i="1"/>
  <c r="BN114" i="1"/>
  <c r="BN113" i="1"/>
  <c r="BP128" i="1"/>
  <c r="BQ56" i="1"/>
  <c r="BB184" i="1"/>
  <c r="BB185" i="1" s="1"/>
  <c r="BT184" i="1"/>
  <c r="BT185" i="1" s="1"/>
  <c r="AP265" i="1"/>
  <c r="AP263" i="1"/>
  <c r="BD52" i="1"/>
  <c r="BC157" i="1"/>
  <c r="BN184" i="1"/>
  <c r="BN185" i="1" s="1"/>
  <c r="AZ184" i="1"/>
  <c r="AZ185" i="1" s="1"/>
  <c r="AN263" i="1"/>
  <c r="AN222" i="1"/>
  <c r="AN220" i="1" s="1"/>
  <c r="BT265" i="1"/>
  <c r="BT263" i="1"/>
  <c r="AW157" i="1"/>
  <c r="AX52" i="1"/>
  <c r="BS56" i="1"/>
  <c r="BR128" i="1"/>
  <c r="BA157" i="1"/>
  <c r="BB52" i="1"/>
  <c r="AZ263" i="1"/>
  <c r="AZ265" i="1"/>
  <c r="BR52" i="1"/>
  <c r="BQ157" i="1"/>
  <c r="AN200" i="1"/>
  <c r="AN205" i="1"/>
  <c r="BB265" i="1"/>
  <c r="BB263" i="1"/>
  <c r="AV263" i="1"/>
  <c r="AV265" i="1"/>
  <c r="BE157" i="1"/>
  <c r="BF52" i="1"/>
  <c r="BD263" i="1"/>
  <c r="BD265" i="1"/>
  <c r="AX265" i="1"/>
  <c r="AX263" i="1"/>
  <c r="AU56" i="1"/>
  <c r="AT128" i="1"/>
  <c r="AP184" i="1"/>
  <c r="AP185" i="1" s="1"/>
  <c r="BD184" i="1"/>
  <c r="BD185" i="1" s="1"/>
  <c r="AX115" i="1"/>
  <c r="AX114" i="1"/>
  <c r="AX113" i="1"/>
  <c r="BV52" i="1"/>
  <c r="BU157" i="1"/>
  <c r="AQ157" i="1"/>
  <c r="AR52" i="1"/>
  <c r="AT205" i="1"/>
  <c r="AT200" i="1"/>
  <c r="AO56" i="1"/>
  <c r="AN128" i="1"/>
  <c r="AV52" i="1"/>
  <c r="AU157" i="1"/>
  <c r="BD114" i="1"/>
  <c r="BD113" i="1"/>
  <c r="BD115" i="1"/>
  <c r="BU56" i="1"/>
  <c r="BT128" i="1"/>
  <c r="BE56" i="1"/>
  <c r="BD128" i="1"/>
  <c r="AV115" i="1"/>
  <c r="AV113" i="1"/>
  <c r="AV114" i="1"/>
  <c r="T208" i="1"/>
  <c r="T209" i="1" s="1"/>
  <c r="U208" i="1"/>
  <c r="U209" i="1" s="1"/>
  <c r="AV184" i="1"/>
  <c r="AV185" i="1" s="1"/>
  <c r="AX184" i="1"/>
  <c r="AX185" i="1" s="1"/>
  <c r="BP52" i="1"/>
  <c r="BO157" i="1"/>
  <c r="BP265" i="1"/>
  <c r="BP263" i="1"/>
  <c r="AY56" i="1"/>
  <c r="AX128" i="1"/>
  <c r="AT184" i="1"/>
  <c r="AT185" i="1" s="1"/>
  <c r="AT265" i="1"/>
  <c r="AT263" i="1"/>
  <c r="AP128" i="1"/>
  <c r="AQ56" i="1"/>
  <c r="AZ128" i="1"/>
  <c r="BA56" i="1"/>
  <c r="AZ114" i="1"/>
  <c r="AZ115" i="1"/>
  <c r="AZ113" i="1"/>
  <c r="AP205" i="1"/>
  <c r="AP208" i="1" s="1"/>
  <c r="AP203" i="1"/>
  <c r="AX200" i="1"/>
  <c r="AX205" i="1"/>
  <c r="BF200" i="1"/>
  <c r="BF205" i="1"/>
  <c r="BJ208" i="1" s="1"/>
  <c r="BT115" i="1"/>
  <c r="BT114" i="1"/>
  <c r="BT113" i="1"/>
  <c r="BF114" i="1"/>
  <c r="BF115" i="1"/>
  <c r="BF113" i="1"/>
  <c r="AV200" i="1"/>
  <c r="BR200" i="1"/>
  <c r="BN200" i="1"/>
  <c r="BN205" i="1"/>
  <c r="BB205" i="1"/>
  <c r="BB200" i="1"/>
  <c r="BD200" i="1"/>
  <c r="BD205" i="1"/>
  <c r="BT205" i="1"/>
  <c r="BT200" i="1"/>
  <c r="AZ205" i="1"/>
  <c r="AZ208" i="1" s="1"/>
  <c r="AZ200" i="1"/>
  <c r="AP48" i="1"/>
  <c r="AP49" i="1"/>
  <c r="AP251" i="1"/>
  <c r="AP252" i="1" s="1"/>
  <c r="AP53" i="1"/>
  <c r="AP57" i="1" s="1"/>
  <c r="AS222" i="1"/>
  <c r="AS220" i="1" s="1"/>
  <c r="AT222" i="1"/>
  <c r="AT220" i="1" s="1"/>
  <c r="BI251" i="1"/>
  <c r="BI252" i="1" s="1"/>
  <c r="BI53" i="1"/>
  <c r="BI48" i="1"/>
  <c r="BJ50" i="1"/>
  <c r="BJ269" i="1"/>
  <c r="BJ270" i="1" s="1"/>
  <c r="BP48" i="1"/>
  <c r="BP49" i="1"/>
  <c r="BP251" i="1"/>
  <c r="BP252" i="1" s="1"/>
  <c r="BP53" i="1"/>
  <c r="BP57" i="1" s="1"/>
  <c r="AP50" i="1"/>
  <c r="BT269" i="1"/>
  <c r="BT270" i="1" s="1"/>
  <c r="BC50" i="1"/>
  <c r="AU251" i="1"/>
  <c r="AU252" i="1" s="1"/>
  <c r="AU48" i="1"/>
  <c r="AU53" i="1"/>
  <c r="AU57" i="1" s="1"/>
  <c r="AV50" i="1"/>
  <c r="AV269" i="1"/>
  <c r="AV270" i="1" s="1"/>
  <c r="AU49" i="1"/>
  <c r="BS53" i="1"/>
  <c r="BS57" i="1" s="1"/>
  <c r="BS48" i="1"/>
  <c r="BS251" i="1"/>
  <c r="BS252" i="1" s="1"/>
  <c r="BS269" i="1"/>
  <c r="BS270" i="1" s="1"/>
  <c r="BG49" i="1"/>
  <c r="BC53" i="1"/>
  <c r="BC48" i="1"/>
  <c r="BC251" i="1"/>
  <c r="BC252" i="1" s="1"/>
  <c r="BR48" i="1"/>
  <c r="BS50" i="1"/>
  <c r="BR251" i="1"/>
  <c r="BR252" i="1" s="1"/>
  <c r="BR53" i="1"/>
  <c r="BT50" i="1"/>
  <c r="AP269" i="1"/>
  <c r="AP270" i="1" s="1"/>
  <c r="AV53" i="1"/>
  <c r="AZ49" i="1"/>
  <c r="AV48" i="1"/>
  <c r="AV251" i="1"/>
  <c r="AV252" i="1" s="1"/>
  <c r="AW269" i="1"/>
  <c r="AW270" i="1" s="1"/>
  <c r="AW50" i="1"/>
  <c r="BG48" i="1"/>
  <c r="T79" i="1"/>
  <c r="BJ131" i="1"/>
  <c r="BG53" i="1"/>
  <c r="BG251" i="1"/>
  <c r="BG252" i="1" s="1"/>
  <c r="BJ245" i="1"/>
  <c r="BH50" i="1"/>
  <c r="BL49" i="1"/>
  <c r="BH48" i="1"/>
  <c r="BH53" i="1"/>
  <c r="BH57" i="1" s="1"/>
  <c r="BH251" i="1"/>
  <c r="BH252" i="1" s="1"/>
  <c r="BH269" i="1"/>
  <c r="BH270" i="1" s="1"/>
  <c r="BI269" i="1"/>
  <c r="BI270" i="1" s="1"/>
  <c r="BI50" i="1"/>
  <c r="BB53" i="1"/>
  <c r="BB251" i="1"/>
  <c r="BB252" i="1" s="1"/>
  <c r="BB48" i="1"/>
  <c r="BC269" i="1"/>
  <c r="BC270" i="1" s="1"/>
  <c r="AQ48" i="1"/>
  <c r="AQ251" i="1"/>
  <c r="AQ252" i="1" s="1"/>
  <c r="AQ53" i="1"/>
  <c r="AQ49" i="1"/>
  <c r="AO251" i="1"/>
  <c r="AO252" i="1" s="1"/>
  <c r="AO53" i="1"/>
  <c r="AO57" i="1" s="1"/>
  <c r="AO59" i="1" s="1"/>
  <c r="AO49" i="1"/>
  <c r="AO48" i="1"/>
  <c r="BT53" i="1"/>
  <c r="BT48" i="1"/>
  <c r="BX49" i="1"/>
  <c r="BT251" i="1"/>
  <c r="BT252" i="1" s="1"/>
  <c r="BT49" i="1"/>
  <c r="CR153" i="1"/>
  <c r="AE161" i="1"/>
  <c r="AC143" i="1"/>
  <c r="S229" i="1" l="1"/>
  <c r="S230" i="1" s="1"/>
  <c r="D232" i="1"/>
  <c r="C185" i="1"/>
  <c r="B105" i="1"/>
  <c r="B104" i="1"/>
  <c r="V208" i="1"/>
  <c r="V209" i="1" s="1"/>
  <c r="S232" i="1"/>
  <c r="C89" i="1"/>
  <c r="AR115" i="1"/>
  <c r="AR114" i="1"/>
  <c r="AR205" i="1"/>
  <c r="AR203" i="1"/>
  <c r="AR113" i="1"/>
  <c r="U232" i="1"/>
  <c r="BN50" i="1"/>
  <c r="BN49" i="1"/>
  <c r="AR50" i="1"/>
  <c r="AR131" i="1"/>
  <c r="AS49" i="1"/>
  <c r="AR184" i="1"/>
  <c r="AR185" i="1" s="1"/>
  <c r="BG157" i="1"/>
  <c r="BH52" i="1"/>
  <c r="AQ269" i="1"/>
  <c r="AQ270" i="1" s="1"/>
  <c r="AQ50" i="1"/>
  <c r="O79" i="1"/>
  <c r="AY49" i="1"/>
  <c r="BF184" i="1"/>
  <c r="BF185" i="1" s="1"/>
  <c r="BF265" i="1"/>
  <c r="BF263" i="1"/>
  <c r="BG56" i="1"/>
  <c r="BF128" i="1"/>
  <c r="BX222" i="1"/>
  <c r="BX220" i="1" s="1"/>
  <c r="BW222" i="1"/>
  <c r="BW220" i="1" s="1"/>
  <c r="BD49" i="1"/>
  <c r="AR53" i="1"/>
  <c r="AR57" i="1" s="1"/>
  <c r="AR60" i="1" s="1"/>
  <c r="BA251" i="1"/>
  <c r="BA252" i="1" s="1"/>
  <c r="BA50" i="1"/>
  <c r="BF48" i="1"/>
  <c r="S79" i="1"/>
  <c r="AS245" i="1"/>
  <c r="AS131" i="1"/>
  <c r="BM50" i="1"/>
  <c r="BM49" i="1"/>
  <c r="BJ253" i="1"/>
  <c r="BJ61" i="1"/>
  <c r="BJ264" i="1" s="1"/>
  <c r="BJ67" i="1"/>
  <c r="E229" i="1"/>
  <c r="E230" i="1" s="1"/>
  <c r="BA269" i="1"/>
  <c r="BA270" i="1" s="1"/>
  <c r="BQ50" i="1"/>
  <c r="L229" i="1"/>
  <c r="L230" i="1" s="1"/>
  <c r="T232" i="1"/>
  <c r="BA49" i="1"/>
  <c r="BF251" i="1"/>
  <c r="BF252" i="1" s="1"/>
  <c r="BA53" i="1"/>
  <c r="BA57" i="1" s="1"/>
  <c r="BA48" i="1"/>
  <c r="BF53" i="1"/>
  <c r="BF57" i="1" s="1"/>
  <c r="BF59" i="1" s="1"/>
  <c r="P232" i="1"/>
  <c r="Q208" i="1"/>
  <c r="Q209" i="1" s="1"/>
  <c r="R229" i="1"/>
  <c r="R230" i="1" s="1"/>
  <c r="R232" i="1"/>
  <c r="L232" i="1"/>
  <c r="BS245" i="1"/>
  <c r="BM131" i="1"/>
  <c r="BL245" i="1"/>
  <c r="BL131" i="1"/>
  <c r="AT49" i="1"/>
  <c r="BK49" i="1"/>
  <c r="BK50" i="1"/>
  <c r="BM245" i="1"/>
  <c r="BK131" i="1"/>
  <c r="AX245" i="1"/>
  <c r="BD50" i="1"/>
  <c r="BF131" i="1"/>
  <c r="BV49" i="1"/>
  <c r="BS131" i="1"/>
  <c r="AQ245" i="1"/>
  <c r="AX131" i="1"/>
  <c r="AY131" i="1"/>
  <c r="AY245" i="1"/>
  <c r="AZ131" i="1"/>
  <c r="AQ131" i="1"/>
  <c r="AR245" i="1"/>
  <c r="AP245" i="1"/>
  <c r="AP131" i="1"/>
  <c r="BK245" i="1"/>
  <c r="Q79" i="1"/>
  <c r="BD245" i="1"/>
  <c r="BC131" i="1"/>
  <c r="BC245" i="1"/>
  <c r="BG269" i="1"/>
  <c r="BG270" i="1" s="1"/>
  <c r="BI245" i="1"/>
  <c r="BI131" i="1"/>
  <c r="BG50" i="1"/>
  <c r="AN269" i="1"/>
  <c r="AN270" i="1" s="1"/>
  <c r="AN53" i="1"/>
  <c r="AO245" i="1"/>
  <c r="AN50" i="1"/>
  <c r="AN48" i="1"/>
  <c r="AN251" i="1"/>
  <c r="AN252" i="1" s="1"/>
  <c r="AN245" i="1"/>
  <c r="AR49" i="1"/>
  <c r="AO131" i="1"/>
  <c r="AN131" i="1"/>
  <c r="AO50" i="1"/>
  <c r="AN49" i="1"/>
  <c r="BO245" i="1"/>
  <c r="BP131" i="1"/>
  <c r="BO131" i="1"/>
  <c r="AZ245" i="1"/>
  <c r="AX50" i="1"/>
  <c r="BF49" i="1"/>
  <c r="BD131" i="1"/>
  <c r="BB269" i="1"/>
  <c r="BB270" i="1" s="1"/>
  <c r="BB50" i="1"/>
  <c r="BE131" i="1"/>
  <c r="AT245" i="1"/>
  <c r="P79" i="1"/>
  <c r="AT131" i="1"/>
  <c r="AO269" i="1"/>
  <c r="AO270" i="1" s="1"/>
  <c r="E232" i="1"/>
  <c r="BV53" i="1"/>
  <c r="BV57" i="1" s="1"/>
  <c r="BV48" i="1"/>
  <c r="AR251" i="1"/>
  <c r="AR252" i="1" s="1"/>
  <c r="H229" i="1"/>
  <c r="H230" i="1" s="1"/>
  <c r="M232" i="1"/>
  <c r="J232" i="1"/>
  <c r="P229" i="1"/>
  <c r="P230" i="1" s="1"/>
  <c r="B263" i="1"/>
  <c r="B185" i="1"/>
  <c r="J229" i="1"/>
  <c r="J230" i="1" s="1"/>
  <c r="H232" i="1"/>
  <c r="M229" i="1"/>
  <c r="M230" i="1" s="1"/>
  <c r="G229" i="1"/>
  <c r="G230" i="1" s="1"/>
  <c r="G232" i="1"/>
  <c r="P208" i="1"/>
  <c r="P209" i="1" s="1"/>
  <c r="O208" i="1"/>
  <c r="O209" i="1" s="1"/>
  <c r="BA245" i="1"/>
  <c r="BO49" i="1"/>
  <c r="BK48" i="1"/>
  <c r="BL50" i="1"/>
  <c r="BN53" i="1"/>
  <c r="BP245" i="1"/>
  <c r="BQ131" i="1"/>
  <c r="BB49" i="1"/>
  <c r="AX53" i="1"/>
  <c r="AX48" i="1"/>
  <c r="BB131" i="1"/>
  <c r="AS50" i="1"/>
  <c r="BK251" i="1"/>
  <c r="BK252" i="1" s="1"/>
  <c r="BK53" i="1"/>
  <c r="BK57" i="1" s="1"/>
  <c r="BK269" i="1"/>
  <c r="BK270" i="1" s="1"/>
  <c r="BL269" i="1"/>
  <c r="BL270" i="1" s="1"/>
  <c r="AY48" i="1"/>
  <c r="AY251" i="1"/>
  <c r="AY252" i="1" s="1"/>
  <c r="AY53" i="1"/>
  <c r="AY57" i="1" s="1"/>
  <c r="AZ269" i="1"/>
  <c r="AZ270" i="1" s="1"/>
  <c r="AZ50" i="1"/>
  <c r="U79" i="1"/>
  <c r="AS251" i="1"/>
  <c r="AS252" i="1" s="1"/>
  <c r="AS53" i="1"/>
  <c r="AS57" i="1" s="1"/>
  <c r="AW49" i="1"/>
  <c r="AT50" i="1"/>
  <c r="AS269" i="1"/>
  <c r="AS270" i="1" s="1"/>
  <c r="AS48" i="1"/>
  <c r="AT269" i="1"/>
  <c r="AT270" i="1" s="1"/>
  <c r="BQ269" i="1"/>
  <c r="BQ270" i="1" s="1"/>
  <c r="BM53" i="1"/>
  <c r="BM57" i="1" s="1"/>
  <c r="BM48" i="1"/>
  <c r="BQ49" i="1"/>
  <c r="BM251" i="1"/>
  <c r="BM252" i="1" s="1"/>
  <c r="BM269" i="1"/>
  <c r="BM270" i="1" s="1"/>
  <c r="BD269" i="1"/>
  <c r="BD270" i="1" s="1"/>
  <c r="BD53" i="1"/>
  <c r="BD57" i="1" s="1"/>
  <c r="BD48" i="1"/>
  <c r="BD251" i="1"/>
  <c r="BD252" i="1" s="1"/>
  <c r="BE269" i="1"/>
  <c r="BE270" i="1" s="1"/>
  <c r="BI49" i="1"/>
  <c r="BO48" i="1"/>
  <c r="BO53" i="1"/>
  <c r="BO57" i="1" s="1"/>
  <c r="BO251" i="1"/>
  <c r="BO252" i="1" s="1"/>
  <c r="BP50" i="1"/>
  <c r="BP269" i="1"/>
  <c r="BP270" i="1" s="1"/>
  <c r="AJ50" i="1"/>
  <c r="AL131" i="1"/>
  <c r="AI48" i="1"/>
  <c r="AM49" i="1"/>
  <c r="AI53" i="1"/>
  <c r="N79" i="1"/>
  <c r="AL245" i="1"/>
  <c r="AI251" i="1"/>
  <c r="AI252" i="1" s="1"/>
  <c r="AW245" i="1"/>
  <c r="AU245" i="1"/>
  <c r="AW131" i="1"/>
  <c r="AU50" i="1"/>
  <c r="AU269" i="1"/>
  <c r="AU270" i="1" s="1"/>
  <c r="AU131" i="1"/>
  <c r="AV245" i="1"/>
  <c r="BS49" i="1"/>
  <c r="BC49" i="1"/>
  <c r="BT245" i="1"/>
  <c r="AZ60" i="1"/>
  <c r="AZ59" i="1"/>
  <c r="BR269" i="1"/>
  <c r="BR270" i="1" s="1"/>
  <c r="BR50" i="1"/>
  <c r="V79" i="1"/>
  <c r="BR245" i="1"/>
  <c r="BR131" i="1"/>
  <c r="BN131" i="1"/>
  <c r="BN245" i="1"/>
  <c r="BA131" i="1"/>
  <c r="AY50" i="1"/>
  <c r="AY269" i="1"/>
  <c r="AY270" i="1" s="1"/>
  <c r="BT131" i="1"/>
  <c r="AV131" i="1"/>
  <c r="BB245" i="1"/>
  <c r="R79" i="1"/>
  <c r="BH131" i="1"/>
  <c r="BH49" i="1"/>
  <c r="BN48" i="1"/>
  <c r="BO50" i="1"/>
  <c r="BN251" i="1"/>
  <c r="BN252" i="1" s="1"/>
  <c r="BN269" i="1"/>
  <c r="BN270" i="1" s="1"/>
  <c r="BQ245" i="1"/>
  <c r="AX269" i="1"/>
  <c r="AX270" i="1" s="1"/>
  <c r="AX251" i="1"/>
  <c r="AX252" i="1" s="1"/>
  <c r="AX49" i="1"/>
  <c r="AR269" i="1"/>
  <c r="AR270" i="1" s="1"/>
  <c r="AV49" i="1"/>
  <c r="BR49" i="1"/>
  <c r="BO269" i="1"/>
  <c r="BO270" i="1" s="1"/>
  <c r="BQ48" i="1"/>
  <c r="BQ251" i="1"/>
  <c r="BQ252" i="1" s="1"/>
  <c r="BQ53" i="1"/>
  <c r="AT48" i="1"/>
  <c r="AT251" i="1"/>
  <c r="AT252" i="1" s="1"/>
  <c r="AT53" i="1"/>
  <c r="O232" i="1"/>
  <c r="I232" i="1"/>
  <c r="F232" i="1"/>
  <c r="BW269" i="1"/>
  <c r="BW270" i="1" s="1"/>
  <c r="BZ49" i="1"/>
  <c r="BV251" i="1"/>
  <c r="BV252" i="1" s="1"/>
  <c r="N232" i="1"/>
  <c r="N229" i="1"/>
  <c r="N230" i="1" s="1"/>
  <c r="H208" i="1"/>
  <c r="H209" i="1" s="1"/>
  <c r="I208" i="1"/>
  <c r="I209" i="1" s="1"/>
  <c r="O229" i="1"/>
  <c r="O230" i="1" s="1"/>
  <c r="BH129" i="1"/>
  <c r="BH130" i="1"/>
  <c r="BV129" i="1"/>
  <c r="BV130" i="1"/>
  <c r="AM113" i="1"/>
  <c r="AM114" i="1"/>
  <c r="AM115" i="1"/>
  <c r="BJ222" i="1"/>
  <c r="BJ220" i="1" s="1"/>
  <c r="BI222" i="1"/>
  <c r="BI220" i="1" s="1"/>
  <c r="BU251" i="1"/>
  <c r="BU252" i="1" s="1"/>
  <c r="BU131" i="1"/>
  <c r="BV131" i="1"/>
  <c r="U229" i="1"/>
  <c r="U230" i="1" s="1"/>
  <c r="K229" i="1"/>
  <c r="K230" i="1" s="1"/>
  <c r="BE251" i="1"/>
  <c r="BE252" i="1" s="1"/>
  <c r="BH245" i="1"/>
  <c r="S208" i="1"/>
  <c r="S209" i="1" s="1"/>
  <c r="R208" i="1"/>
  <c r="R209" i="1" s="1"/>
  <c r="M208" i="1"/>
  <c r="M209" i="1" s="1"/>
  <c r="N208" i="1"/>
  <c r="N209" i="1" s="1"/>
  <c r="V229" i="1"/>
  <c r="V230" i="1" s="1"/>
  <c r="V232" i="1"/>
  <c r="BF50" i="1"/>
  <c r="BE49" i="1"/>
  <c r="BU48" i="1"/>
  <c r="I229" i="1"/>
  <c r="I230" i="1" s="1"/>
  <c r="AW59" i="1"/>
  <c r="BG245" i="1"/>
  <c r="BF245" i="1"/>
  <c r="BE53" i="1"/>
  <c r="BE50" i="1"/>
  <c r="BF269" i="1"/>
  <c r="BF270" i="1" s="1"/>
  <c r="BU49" i="1"/>
  <c r="BE48" i="1"/>
  <c r="K232" i="1"/>
  <c r="T229" i="1"/>
  <c r="T230" i="1" s="1"/>
  <c r="BE245" i="1"/>
  <c r="BG131" i="1"/>
  <c r="F229" i="1"/>
  <c r="F230" i="1" s="1"/>
  <c r="D229" i="1"/>
  <c r="D230" i="1" s="1"/>
  <c r="BU50" i="1"/>
  <c r="BV50" i="1"/>
  <c r="Q232" i="1"/>
  <c r="BV245" i="1"/>
  <c r="BU53" i="1"/>
  <c r="BU57" i="1" s="1"/>
  <c r="BV269" i="1"/>
  <c r="BV270" i="1" s="1"/>
  <c r="BZ245" i="1"/>
  <c r="BY49" i="1"/>
  <c r="D208" i="1"/>
  <c r="D209" i="1" s="1"/>
  <c r="BU269" i="1"/>
  <c r="BU270" i="1" s="1"/>
  <c r="BZ131" i="1"/>
  <c r="BZ132" i="1" s="1"/>
  <c r="BW48" i="1"/>
  <c r="C232" i="1"/>
  <c r="BY245" i="1"/>
  <c r="K208" i="1"/>
  <c r="K209" i="1" s="1"/>
  <c r="BW49" i="1"/>
  <c r="BX131" i="1"/>
  <c r="BX245" i="1"/>
  <c r="CA49" i="1"/>
  <c r="BX50" i="1"/>
  <c r="BW131" i="1"/>
  <c r="BY131" i="1"/>
  <c r="BW251" i="1"/>
  <c r="BW252" i="1" s="1"/>
  <c r="X79" i="1"/>
  <c r="BX269" i="1"/>
  <c r="BX270" i="1" s="1"/>
  <c r="BW53" i="1"/>
  <c r="BW245" i="1"/>
  <c r="BW50" i="1"/>
  <c r="AV129" i="1"/>
  <c r="AV130" i="1"/>
  <c r="BT222" i="1"/>
  <c r="BT220" i="1" s="1"/>
  <c r="BS222" i="1"/>
  <c r="BS220" i="1" s="1"/>
  <c r="AP222" i="1"/>
  <c r="AP220" i="1" s="1"/>
  <c r="AO222" i="1"/>
  <c r="AO220" i="1" s="1"/>
  <c r="BB130" i="1"/>
  <c r="BB129" i="1"/>
  <c r="BN130" i="1"/>
  <c r="BN129" i="1"/>
  <c r="BP129" i="1"/>
  <c r="BP130" i="1"/>
  <c r="AY222" i="1"/>
  <c r="AY220" i="1" s="1"/>
  <c r="AZ222" i="1"/>
  <c r="AZ220" i="1" s="1"/>
  <c r="BC222" i="1"/>
  <c r="BC220" i="1" s="1"/>
  <c r="BD222" i="1"/>
  <c r="BD220" i="1" s="1"/>
  <c r="AX222" i="1"/>
  <c r="AX220" i="1" s="1"/>
  <c r="AW222" i="1"/>
  <c r="AW220" i="1" s="1"/>
  <c r="BB222" i="1"/>
  <c r="BB220" i="1" s="1"/>
  <c r="BA222" i="1"/>
  <c r="BA220" i="1" s="1"/>
  <c r="BR222" i="1"/>
  <c r="BR220" i="1" s="1"/>
  <c r="BQ222" i="1"/>
  <c r="BQ220" i="1" s="1"/>
  <c r="AR222" i="1"/>
  <c r="AR220" i="1" s="1"/>
  <c r="AQ222" i="1"/>
  <c r="AQ220" i="1" s="1"/>
  <c r="AR208" i="1"/>
  <c r="AV208" i="1"/>
  <c r="BR129" i="1"/>
  <c r="BR130" i="1"/>
  <c r="BE222" i="1"/>
  <c r="BE220" i="1" s="1"/>
  <c r="BF222" i="1"/>
  <c r="BF220" i="1" s="1"/>
  <c r="AT130" i="1"/>
  <c r="AT129" i="1"/>
  <c r="AN130" i="1"/>
  <c r="AN129" i="1"/>
  <c r="AT208" i="1"/>
  <c r="AX208" i="1"/>
  <c r="BV222" i="1"/>
  <c r="BV220" i="1" s="1"/>
  <c r="BU222" i="1"/>
  <c r="BU220" i="1" s="1"/>
  <c r="AV222" i="1"/>
  <c r="AV220" i="1" s="1"/>
  <c r="AU222" i="1"/>
  <c r="AU220" i="1" s="1"/>
  <c r="BT130" i="1"/>
  <c r="BT129" i="1"/>
  <c r="BD130" i="1"/>
  <c r="BD129" i="1"/>
  <c r="BO222" i="1"/>
  <c r="BO220" i="1" s="1"/>
  <c r="BP222" i="1"/>
  <c r="BP220" i="1" s="1"/>
  <c r="AX129" i="1"/>
  <c r="AX130" i="1"/>
  <c r="AP129" i="1"/>
  <c r="AP130" i="1"/>
  <c r="AZ129" i="1"/>
  <c r="AZ130" i="1"/>
  <c r="BH208" i="1"/>
  <c r="BD208" i="1"/>
  <c r="BN208" i="1"/>
  <c r="BR208" i="1"/>
  <c r="BB208" i="1"/>
  <c r="BF208" i="1"/>
  <c r="BT208" i="1"/>
  <c r="BX208" i="1"/>
  <c r="AP59" i="1"/>
  <c r="AP60" i="1"/>
  <c r="AP62" i="1" s="1"/>
  <c r="BP59" i="1"/>
  <c r="BP60" i="1"/>
  <c r="BI57" i="1"/>
  <c r="AU60" i="1"/>
  <c r="AU59" i="1"/>
  <c r="BC57" i="1"/>
  <c r="BR57" i="1"/>
  <c r="AO60" i="1"/>
  <c r="BH60" i="1"/>
  <c r="BH59" i="1"/>
  <c r="AQ57" i="1"/>
  <c r="BB57" i="1"/>
  <c r="AV57" i="1"/>
  <c r="BT57" i="1"/>
  <c r="BJ132" i="1"/>
  <c r="BJ133" i="1"/>
  <c r="BJ74" i="1"/>
  <c r="BG57" i="1"/>
  <c r="BS59" i="1"/>
  <c r="BS60" i="1"/>
  <c r="AW67" i="1"/>
  <c r="AW253" i="1"/>
  <c r="AW61" i="1"/>
  <c r="AW264" i="1" s="1"/>
  <c r="CR157" i="1"/>
  <c r="CS51" i="1"/>
  <c r="BF60" i="1" l="1"/>
  <c r="AR59" i="1"/>
  <c r="BF130" i="1"/>
  <c r="BF129" i="1"/>
  <c r="BH222" i="1"/>
  <c r="BH220" i="1" s="1"/>
  <c r="BG222" i="1"/>
  <c r="BG220" i="1" s="1"/>
  <c r="AV132" i="1"/>
  <c r="AV133" i="1"/>
  <c r="BH132" i="1"/>
  <c r="BH133" i="1"/>
  <c r="BR133" i="1"/>
  <c r="BT133" i="1"/>
  <c r="BT132" i="1"/>
  <c r="AI57" i="1"/>
  <c r="AL74" i="1"/>
  <c r="AZ253" i="1"/>
  <c r="AZ67" i="1"/>
  <c r="AZ61" i="1"/>
  <c r="AZ264" i="1" s="1"/>
  <c r="AR74" i="1"/>
  <c r="AR61" i="1"/>
  <c r="AR264" i="1" s="1"/>
  <c r="AR67" i="1"/>
  <c r="AR253" i="1"/>
  <c r="AX74" i="1"/>
  <c r="BN133" i="1"/>
  <c r="BN132" i="1"/>
  <c r="AL133" i="1"/>
  <c r="AL132" i="1"/>
  <c r="BJ71" i="1"/>
  <c r="BJ212" i="1"/>
  <c r="BJ214" i="1" s="1"/>
  <c r="BJ85" i="1"/>
  <c r="BA59" i="1"/>
  <c r="BA60" i="1"/>
  <c r="BP132" i="1"/>
  <c r="BP133" i="1"/>
  <c r="BF133" i="1"/>
  <c r="BF132" i="1"/>
  <c r="AT133" i="1"/>
  <c r="AT132" i="1"/>
  <c r="AN133" i="1"/>
  <c r="AN132" i="1"/>
  <c r="BD133" i="1"/>
  <c r="BD132" i="1"/>
  <c r="AX132" i="1"/>
  <c r="AX133" i="1"/>
  <c r="AP132" i="1"/>
  <c r="AP133" i="1"/>
  <c r="AZ132" i="1"/>
  <c r="AZ133" i="1"/>
  <c r="BL132" i="1"/>
  <c r="BL133" i="1"/>
  <c r="BL74" i="1"/>
  <c r="BD74" i="1"/>
  <c r="BO60" i="1"/>
  <c r="BO59" i="1"/>
  <c r="BR74" i="1"/>
  <c r="AP74" i="1"/>
  <c r="AZ74" i="1"/>
  <c r="AN74" i="1"/>
  <c r="AN57" i="1"/>
  <c r="BV60" i="1"/>
  <c r="BV59" i="1"/>
  <c r="BB133" i="1"/>
  <c r="BB132" i="1"/>
  <c r="BR132" i="1"/>
  <c r="BK60" i="1"/>
  <c r="BK59" i="1"/>
  <c r="AY59" i="1"/>
  <c r="AY60" i="1"/>
  <c r="AS59" i="1"/>
  <c r="AS60" i="1"/>
  <c r="AS63" i="1" s="1"/>
  <c r="BM59" i="1"/>
  <c r="BM60" i="1"/>
  <c r="BD59" i="1"/>
  <c r="BD60" i="1"/>
  <c r="AX57" i="1"/>
  <c r="BN57" i="1"/>
  <c r="BP74" i="1"/>
  <c r="BB74" i="1"/>
  <c r="BN74" i="1"/>
  <c r="BV133" i="1"/>
  <c r="BV132" i="1"/>
  <c r="BQ57" i="1"/>
  <c r="BT74" i="1"/>
  <c r="AT57" i="1"/>
  <c r="AT74" i="1"/>
  <c r="AV74" i="1"/>
  <c r="BF61" i="1"/>
  <c r="BF264" i="1" s="1"/>
  <c r="BF67" i="1"/>
  <c r="BJ62" i="1"/>
  <c r="BE57" i="1"/>
  <c r="BE59" i="1" s="1"/>
  <c r="BH74" i="1"/>
  <c r="BU59" i="1"/>
  <c r="BU60" i="1"/>
  <c r="BX132" i="1"/>
  <c r="BX133" i="1"/>
  <c r="BZ133" i="1"/>
  <c r="BF74" i="1"/>
  <c r="BV74" i="1"/>
  <c r="BX74" i="1"/>
  <c r="BW57" i="1"/>
  <c r="BW60" i="1" s="1"/>
  <c r="BW62" i="1" s="1"/>
  <c r="BY74" i="1"/>
  <c r="BZ74" i="1"/>
  <c r="AP253" i="1"/>
  <c r="AP67" i="1"/>
  <c r="AP61" i="1"/>
  <c r="AP264" i="1" s="1"/>
  <c r="AZ63" i="1"/>
  <c r="AY67" i="1"/>
  <c r="BK63" i="1"/>
  <c r="BP67" i="1"/>
  <c r="BP62" i="1"/>
  <c r="BP253" i="1"/>
  <c r="BP61" i="1"/>
  <c r="BP264" i="1" s="1"/>
  <c r="BI60" i="1"/>
  <c r="BI63" i="1" s="1"/>
  <c r="BI59" i="1"/>
  <c r="BC60" i="1"/>
  <c r="BC59" i="1"/>
  <c r="AU61" i="1"/>
  <c r="AU264" i="1" s="1"/>
  <c r="AU253" i="1"/>
  <c r="AU67" i="1"/>
  <c r="AP63" i="1"/>
  <c r="AO67" i="1"/>
  <c r="BR60" i="1"/>
  <c r="BR59" i="1"/>
  <c r="AO62" i="1"/>
  <c r="AO253" i="1"/>
  <c r="AO61" i="1"/>
  <c r="AO264" i="1" s="1"/>
  <c r="AQ60" i="1"/>
  <c r="AQ59" i="1"/>
  <c r="BT60" i="1"/>
  <c r="BT59" i="1"/>
  <c r="AV59" i="1"/>
  <c r="AV60" i="1"/>
  <c r="BH67" i="1"/>
  <c r="BL62" i="1"/>
  <c r="BH253" i="1"/>
  <c r="BH61" i="1"/>
  <c r="BH264" i="1" s="1"/>
  <c r="BG59" i="1"/>
  <c r="BG60" i="1"/>
  <c r="BB60" i="1"/>
  <c r="BB59" i="1"/>
  <c r="BS253" i="1"/>
  <c r="BS61" i="1"/>
  <c r="BS264" i="1" s="1"/>
  <c r="BS67" i="1"/>
  <c r="AW212" i="1"/>
  <c r="AW214" i="1" s="1"/>
  <c r="AW85" i="1"/>
  <c r="AW138" i="1"/>
  <c r="AW139" i="1" s="1"/>
  <c r="AW71" i="1"/>
  <c r="CS213" i="1"/>
  <c r="CS151" i="1"/>
  <c r="CR222" i="1"/>
  <c r="CR220" i="1" s="1"/>
  <c r="AC144" i="1"/>
  <c r="AC147" i="1" s="1"/>
  <c r="AC268" i="1" s="1"/>
  <c r="BF253" i="1" l="1"/>
  <c r="BK253" i="1"/>
  <c r="AS67" i="1"/>
  <c r="AS61" i="1"/>
  <c r="AS264" i="1" s="1"/>
  <c r="AS253" i="1"/>
  <c r="AW62" i="1"/>
  <c r="AS62" i="1"/>
  <c r="BO253" i="1"/>
  <c r="BO61" i="1"/>
  <c r="BO264" i="1" s="1"/>
  <c r="BO67" i="1"/>
  <c r="BP63" i="1"/>
  <c r="BO62" i="1"/>
  <c r="BL63" i="1"/>
  <c r="BK67" i="1"/>
  <c r="BK61" i="1"/>
  <c r="BK264" i="1" s="1"/>
  <c r="AY253" i="1"/>
  <c r="AY61" i="1"/>
  <c r="AY264" i="1" s="1"/>
  <c r="BM67" i="1"/>
  <c r="BM63" i="1"/>
  <c r="BM253" i="1"/>
  <c r="BM246" i="1"/>
  <c r="BM61" i="1"/>
  <c r="BM264" i="1" s="1"/>
  <c r="BD67" i="1"/>
  <c r="BD253" i="1"/>
  <c r="BD61" i="1"/>
  <c r="BD264" i="1" s="1"/>
  <c r="BD62" i="1"/>
  <c r="AI59" i="1"/>
  <c r="AZ71" i="1"/>
  <c r="AZ212" i="1"/>
  <c r="AZ214" i="1" s="1"/>
  <c r="AZ85" i="1"/>
  <c r="AI60" i="1"/>
  <c r="AR71" i="1"/>
  <c r="AR212" i="1"/>
  <c r="AR214" i="1" s="1"/>
  <c r="AR85" i="1"/>
  <c r="BA62" i="1"/>
  <c r="BA67" i="1"/>
  <c r="BA63" i="1"/>
  <c r="BA61" i="1"/>
  <c r="BA264" i="1" s="1"/>
  <c r="BA253" i="1"/>
  <c r="BE60" i="1"/>
  <c r="BS62" i="1"/>
  <c r="AY62" i="1"/>
  <c r="BH62" i="1"/>
  <c r="BN60" i="1"/>
  <c r="BN59" i="1"/>
  <c r="AN60" i="1"/>
  <c r="AN59" i="1"/>
  <c r="AX60" i="1"/>
  <c r="AX59" i="1"/>
  <c r="BZ62" i="1"/>
  <c r="BV253" i="1"/>
  <c r="BV67" i="1"/>
  <c r="BV61" i="1"/>
  <c r="BV264" i="1" s="1"/>
  <c r="BQ60" i="1"/>
  <c r="BQ59" i="1"/>
  <c r="AT59" i="1"/>
  <c r="AT60" i="1"/>
  <c r="BF71" i="1"/>
  <c r="BF212" i="1"/>
  <c r="BF214" i="1" s="1"/>
  <c r="BF85" i="1"/>
  <c r="BY62" i="1"/>
  <c r="BU61" i="1"/>
  <c r="BU264" i="1" s="1"/>
  <c r="BU253" i="1"/>
  <c r="BU67" i="1"/>
  <c r="BV63" i="1"/>
  <c r="BW59" i="1"/>
  <c r="BK71" i="1"/>
  <c r="BK212" i="1"/>
  <c r="BK214" i="1" s="1"/>
  <c r="BK138" i="1"/>
  <c r="BK139" i="1" s="1"/>
  <c r="BK85" i="1"/>
  <c r="AP212" i="1"/>
  <c r="AP214" i="1" s="1"/>
  <c r="AP85" i="1"/>
  <c r="AP71" i="1"/>
  <c r="BS63" i="1"/>
  <c r="AY212" i="1"/>
  <c r="AY214" i="1" s="1"/>
  <c r="AY85" i="1"/>
  <c r="AY138" i="1"/>
  <c r="AY139" i="1" s="1"/>
  <c r="AY71" i="1"/>
  <c r="BK246" i="1"/>
  <c r="BP71" i="1"/>
  <c r="BP212" i="1"/>
  <c r="BP214" i="1" s="1"/>
  <c r="BP85" i="1"/>
  <c r="BM62" i="1"/>
  <c r="BL246" i="1"/>
  <c r="BI67" i="1"/>
  <c r="BI253" i="1"/>
  <c r="BJ63" i="1"/>
  <c r="BI61" i="1"/>
  <c r="BI264" i="1" s="1"/>
  <c r="BD63" i="1"/>
  <c r="BC62" i="1"/>
  <c r="BC67" i="1"/>
  <c r="BC253" i="1"/>
  <c r="BC61" i="1"/>
  <c r="BC264" i="1" s="1"/>
  <c r="AU71" i="1"/>
  <c r="AU85" i="1"/>
  <c r="AU212" i="1"/>
  <c r="AU214" i="1" s="1"/>
  <c r="AU138" i="1"/>
  <c r="AU139" i="1" s="1"/>
  <c r="AO212" i="1"/>
  <c r="AO214" i="1" s="1"/>
  <c r="AO85" i="1"/>
  <c r="AO138" i="1"/>
  <c r="AO139" i="1" s="1"/>
  <c r="AO71" i="1"/>
  <c r="BR61" i="1"/>
  <c r="BR264" i="1" s="1"/>
  <c r="BR253" i="1"/>
  <c r="BR67" i="1"/>
  <c r="BV62" i="1"/>
  <c r="BX62" i="1"/>
  <c r="BT61" i="1"/>
  <c r="BT264" i="1" s="1"/>
  <c r="BT253" i="1"/>
  <c r="BT67" i="1"/>
  <c r="BU63" i="1"/>
  <c r="BT62" i="1"/>
  <c r="BW246" i="1"/>
  <c r="BV246" i="1"/>
  <c r="AZ62" i="1"/>
  <c r="AV61" i="1"/>
  <c r="AV264" i="1" s="1"/>
  <c r="AV253" i="1"/>
  <c r="AV67" i="1"/>
  <c r="AW63" i="1"/>
  <c r="AV62" i="1"/>
  <c r="AV63" i="1"/>
  <c r="AR63" i="1"/>
  <c r="AQ62" i="1"/>
  <c r="AQ253" i="1"/>
  <c r="AQ67" i="1"/>
  <c r="AQ61" i="1"/>
  <c r="AQ264" i="1" s="1"/>
  <c r="AQ63" i="1"/>
  <c r="AU62" i="1"/>
  <c r="AS246" i="1"/>
  <c r="AR246" i="1"/>
  <c r="BB61" i="1"/>
  <c r="BB264" i="1" s="1"/>
  <c r="BF62" i="1"/>
  <c r="BB253" i="1"/>
  <c r="BB67" i="1"/>
  <c r="BC63" i="1"/>
  <c r="BD246" i="1"/>
  <c r="BB246" i="1"/>
  <c r="BB63" i="1"/>
  <c r="BC246" i="1"/>
  <c r="BH71" i="1"/>
  <c r="BH85" i="1"/>
  <c r="BH212" i="1"/>
  <c r="BH214" i="1" s="1"/>
  <c r="BT63" i="1"/>
  <c r="BK62" i="1"/>
  <c r="BG67" i="1"/>
  <c r="BG62" i="1"/>
  <c r="BG61" i="1"/>
  <c r="BG264" i="1" s="1"/>
  <c r="BH63" i="1"/>
  <c r="BG253" i="1"/>
  <c r="BJ246" i="1"/>
  <c r="BG63" i="1"/>
  <c r="BI246" i="1"/>
  <c r="BX246" i="1"/>
  <c r="BW253" i="1"/>
  <c r="BW63" i="1"/>
  <c r="BX63" i="1"/>
  <c r="BW67" i="1"/>
  <c r="X80" i="1"/>
  <c r="BY246" i="1"/>
  <c r="CA62" i="1"/>
  <c r="BW61" i="1"/>
  <c r="BW264" i="1" s="1"/>
  <c r="BZ246" i="1"/>
  <c r="BS212" i="1"/>
  <c r="BS214" i="1" s="1"/>
  <c r="BS71" i="1"/>
  <c r="BS138" i="1"/>
  <c r="BS139" i="1" s="1"/>
  <c r="BS85" i="1"/>
  <c r="AW148" i="1"/>
  <c r="AW74" i="1" s="1"/>
  <c r="AW226" i="1"/>
  <c r="AW224" i="1" s="1"/>
  <c r="AW111" i="1"/>
  <c r="CS153" i="1"/>
  <c r="AC225" i="1"/>
  <c r="CA245" i="1"/>
  <c r="CB245" i="1"/>
  <c r="BU245" i="1"/>
  <c r="AS71" i="1" l="1"/>
  <c r="AS138" i="1"/>
  <c r="AS139" i="1" s="1"/>
  <c r="AS212" i="1"/>
  <c r="AS214" i="1" s="1"/>
  <c r="AS85" i="1"/>
  <c r="BM85" i="1"/>
  <c r="BM71" i="1"/>
  <c r="BM138" i="1"/>
  <c r="BM139" i="1" s="1"/>
  <c r="BM212" i="1"/>
  <c r="BM214" i="1" s="1"/>
  <c r="BF246" i="1"/>
  <c r="BD71" i="1"/>
  <c r="BD212" i="1"/>
  <c r="BD214" i="1" s="1"/>
  <c r="BD85" i="1"/>
  <c r="BO71" i="1"/>
  <c r="AN62" i="1"/>
  <c r="AP246" i="1"/>
  <c r="AO246" i="1"/>
  <c r="AN63" i="1"/>
  <c r="BO85" i="1"/>
  <c r="BO212" i="1"/>
  <c r="BO214" i="1" s="1"/>
  <c r="BO138" i="1"/>
  <c r="BO139" i="1" s="1"/>
  <c r="AN61" i="1"/>
  <c r="AN264" i="1" s="1"/>
  <c r="AQ246" i="1"/>
  <c r="AO63" i="1"/>
  <c r="AN246" i="1"/>
  <c r="AR62" i="1"/>
  <c r="AN67" i="1"/>
  <c r="AN253" i="1"/>
  <c r="BB62" i="1"/>
  <c r="AX253" i="1"/>
  <c r="AY246" i="1"/>
  <c r="BN67" i="1"/>
  <c r="BN62" i="1"/>
  <c r="BN61" i="1"/>
  <c r="BN264" i="1" s="1"/>
  <c r="BO63" i="1"/>
  <c r="BN246" i="1"/>
  <c r="BN63" i="1"/>
  <c r="BO246" i="1"/>
  <c r="BP246" i="1"/>
  <c r="BE246" i="1"/>
  <c r="AX67" i="1"/>
  <c r="AX61" i="1"/>
  <c r="AX264" i="1" s="1"/>
  <c r="AZ246" i="1"/>
  <c r="BE62" i="1"/>
  <c r="BE63" i="1"/>
  <c r="BE61" i="1"/>
  <c r="BE264" i="1" s="1"/>
  <c r="BE67" i="1"/>
  <c r="BE253" i="1"/>
  <c r="BF63" i="1"/>
  <c r="BI62" i="1"/>
  <c r="AI61" i="1"/>
  <c r="AI253" i="1"/>
  <c r="AX63" i="1"/>
  <c r="AY63" i="1"/>
  <c r="BA246" i="1"/>
  <c r="AJ63" i="1"/>
  <c r="AM62" i="1"/>
  <c r="AI67" i="1"/>
  <c r="AL246" i="1"/>
  <c r="AX246" i="1"/>
  <c r="BA85" i="1"/>
  <c r="BA138" i="1"/>
  <c r="BA139" i="1" s="1"/>
  <c r="BA212" i="1"/>
  <c r="BA214" i="1" s="1"/>
  <c r="BA71" i="1"/>
  <c r="BU138" i="1"/>
  <c r="BU139" i="1" s="1"/>
  <c r="BU71" i="1"/>
  <c r="BU212" i="1"/>
  <c r="BU214" i="1" s="1"/>
  <c r="BS246" i="1"/>
  <c r="BR63" i="1"/>
  <c r="BR246" i="1"/>
  <c r="BN253" i="1"/>
  <c r="BR62" i="1"/>
  <c r="BH246" i="1"/>
  <c r="BG246" i="1"/>
  <c r="BV71" i="1"/>
  <c r="BV85" i="1"/>
  <c r="BV212" i="1"/>
  <c r="BV214" i="1" s="1"/>
  <c r="BU85" i="1"/>
  <c r="BQ62" i="1"/>
  <c r="BU62" i="1"/>
  <c r="BQ253" i="1"/>
  <c r="BQ67" i="1"/>
  <c r="BQ61" i="1"/>
  <c r="BQ264" i="1" s="1"/>
  <c r="BQ63" i="1"/>
  <c r="AU63" i="1"/>
  <c r="AU246" i="1"/>
  <c r="AT63" i="1"/>
  <c r="AT62" i="1"/>
  <c r="AT61" i="1"/>
  <c r="AT264" i="1" s="1"/>
  <c r="AT253" i="1"/>
  <c r="AT67" i="1"/>
  <c r="BQ246" i="1"/>
  <c r="BT246" i="1"/>
  <c r="AW246" i="1"/>
  <c r="AV246" i="1"/>
  <c r="AT246" i="1"/>
  <c r="AX62" i="1"/>
  <c r="BK73" i="1"/>
  <c r="BM88" i="1"/>
  <c r="BI108" i="1" s="1"/>
  <c r="BK111" i="1"/>
  <c r="BL226" i="1"/>
  <c r="BL224" i="1" s="1"/>
  <c r="BK226" i="1"/>
  <c r="BK224" i="1" s="1"/>
  <c r="BK148" i="1"/>
  <c r="BK74" i="1" s="1"/>
  <c r="AY111" i="1"/>
  <c r="AY226" i="1"/>
  <c r="AY224" i="1" s="1"/>
  <c r="AY148" i="1"/>
  <c r="AY74" i="1" s="1"/>
  <c r="AZ226" i="1"/>
  <c r="AZ224" i="1" s="1"/>
  <c r="AS111" i="1"/>
  <c r="AS148" i="1"/>
  <c r="AS74" i="1" s="1"/>
  <c r="BL73" i="1"/>
  <c r="BI71" i="1"/>
  <c r="BI212" i="1"/>
  <c r="BI214" i="1" s="1"/>
  <c r="BI85" i="1"/>
  <c r="BI138" i="1"/>
  <c r="BI139" i="1" s="1"/>
  <c r="BM73" i="1"/>
  <c r="BM226" i="1"/>
  <c r="BM224" i="1" s="1"/>
  <c r="BM148" i="1"/>
  <c r="BM74" i="1" s="1"/>
  <c r="BM111" i="1"/>
  <c r="AX226" i="1"/>
  <c r="AX224" i="1" s="1"/>
  <c r="BC85" i="1"/>
  <c r="BC138" i="1"/>
  <c r="BC139" i="1" s="1"/>
  <c r="BC212" i="1"/>
  <c r="BC214" i="1" s="1"/>
  <c r="BC71" i="1"/>
  <c r="BO226" i="1"/>
  <c r="BO224" i="1" s="1"/>
  <c r="BO148" i="1"/>
  <c r="BO74" i="1" s="1"/>
  <c r="BP226" i="1"/>
  <c r="BP224" i="1" s="1"/>
  <c r="BO111" i="1"/>
  <c r="AU111" i="1"/>
  <c r="AU226" i="1"/>
  <c r="AU224" i="1" s="1"/>
  <c r="AU148" i="1"/>
  <c r="AU74" i="1" s="1"/>
  <c r="AP226" i="1"/>
  <c r="AP224" i="1" s="1"/>
  <c r="AO111" i="1"/>
  <c r="AO148" i="1"/>
  <c r="AO74" i="1" s="1"/>
  <c r="AO226" i="1"/>
  <c r="AO224" i="1" s="1"/>
  <c r="AV226" i="1"/>
  <c r="AV224" i="1" s="1"/>
  <c r="AY73" i="1"/>
  <c r="BR71" i="1"/>
  <c r="BR212" i="1"/>
  <c r="BR214" i="1" s="1"/>
  <c r="BR85" i="1"/>
  <c r="BV73" i="1"/>
  <c r="BX73" i="1"/>
  <c r="BW138" i="1"/>
  <c r="BW139" i="1" s="1"/>
  <c r="BY73" i="1"/>
  <c r="BW212" i="1"/>
  <c r="BW214" i="1" s="1"/>
  <c r="BW71" i="1"/>
  <c r="BZ73" i="1"/>
  <c r="BW85" i="1"/>
  <c r="AV212" i="1"/>
  <c r="AV214" i="1" s="1"/>
  <c r="AV71" i="1"/>
  <c r="AV85" i="1"/>
  <c r="Q80" i="1"/>
  <c r="AX73" i="1"/>
  <c r="BT212" i="1"/>
  <c r="BT214" i="1" s="1"/>
  <c r="BT71" i="1"/>
  <c r="BT85" i="1"/>
  <c r="AX71" i="1"/>
  <c r="AX85" i="1"/>
  <c r="AX212" i="1"/>
  <c r="AX214" i="1" s="1"/>
  <c r="AZ73" i="1"/>
  <c r="BB85" i="1"/>
  <c r="BB71" i="1"/>
  <c r="BB212" i="1"/>
  <c r="BB214" i="1" s="1"/>
  <c r="BB73" i="1"/>
  <c r="R80" i="1"/>
  <c r="BD73" i="1"/>
  <c r="AQ138" i="1"/>
  <c r="AQ139" i="1" s="1"/>
  <c r="AQ212" i="1"/>
  <c r="AQ214" i="1" s="1"/>
  <c r="AQ71" i="1"/>
  <c r="AQ85" i="1"/>
  <c r="AS73" i="1"/>
  <c r="AR73" i="1"/>
  <c r="BG71" i="1"/>
  <c r="BG85" i="1"/>
  <c r="BG139" i="1"/>
  <c r="BG111" i="1" s="1"/>
  <c r="BJ73" i="1"/>
  <c r="BG212" i="1"/>
  <c r="BG214" i="1" s="1"/>
  <c r="T80" i="1"/>
  <c r="AN212" i="1"/>
  <c r="AN214" i="1" s="1"/>
  <c r="AN73" i="1"/>
  <c r="O80" i="1"/>
  <c r="AN226" i="1"/>
  <c r="AN224" i="1" s="1"/>
  <c r="BT226" i="1"/>
  <c r="BT224" i="1" s="1"/>
  <c r="BS111" i="1"/>
  <c r="BS148" i="1"/>
  <c r="BS74" i="1" s="1"/>
  <c r="BS226" i="1"/>
  <c r="BS224" i="1" s="1"/>
  <c r="BS73" i="1"/>
  <c r="AW114" i="1"/>
  <c r="AW113" i="1"/>
  <c r="AW115" i="1"/>
  <c r="CS157" i="1"/>
  <c r="CT51" i="1"/>
  <c r="AD143" i="1"/>
  <c r="W78" i="1"/>
  <c r="AS226" i="1" l="1"/>
  <c r="AS224" i="1" s="1"/>
  <c r="AO73" i="1"/>
  <c r="AN71" i="1"/>
  <c r="AP73" i="1"/>
  <c r="AN85" i="1"/>
  <c r="BO73" i="1"/>
  <c r="BN226" i="1"/>
  <c r="BN224" i="1" s="1"/>
  <c r="BN71" i="1"/>
  <c r="BN85" i="1"/>
  <c r="BN212" i="1"/>
  <c r="BN214" i="1" s="1"/>
  <c r="BN73" i="1"/>
  <c r="U80" i="1"/>
  <c r="BP73" i="1"/>
  <c r="BE85" i="1"/>
  <c r="BE212" i="1"/>
  <c r="BE214" i="1" s="1"/>
  <c r="BE71" i="1"/>
  <c r="BE138" i="1"/>
  <c r="BE139" i="1" s="1"/>
  <c r="BV226" i="1"/>
  <c r="BV224" i="1" s="1"/>
  <c r="BU226" i="1"/>
  <c r="BU224" i="1" s="1"/>
  <c r="BU111" i="1"/>
  <c r="BU148" i="1"/>
  <c r="BU74" i="1" s="1"/>
  <c r="S80" i="1"/>
  <c r="BF73" i="1"/>
  <c r="BH73" i="1"/>
  <c r="AI85" i="1"/>
  <c r="AL88" i="1" s="1"/>
  <c r="AI71" i="1"/>
  <c r="AL73" i="1"/>
  <c r="N80" i="1"/>
  <c r="AI226" i="1"/>
  <c r="AI224" i="1" s="1"/>
  <c r="AI212" i="1"/>
  <c r="AI214" i="1" s="1"/>
  <c r="AI218" i="1" s="1"/>
  <c r="AI232" i="1" s="1"/>
  <c r="AU73" i="1"/>
  <c r="BT73" i="1"/>
  <c r="BR73" i="1"/>
  <c r="V80" i="1"/>
  <c r="AW73" i="1"/>
  <c r="AT226" i="1"/>
  <c r="AT224" i="1" s="1"/>
  <c r="BA73" i="1"/>
  <c r="BU73" i="1"/>
  <c r="BV88" i="1"/>
  <c r="BR108" i="1" s="1"/>
  <c r="BA148" i="1"/>
  <c r="BA74" i="1" s="1"/>
  <c r="BA111" i="1"/>
  <c r="BA226" i="1"/>
  <c r="BA224" i="1" s="1"/>
  <c r="BB226" i="1"/>
  <c r="BB224" i="1" s="1"/>
  <c r="BQ71" i="1"/>
  <c r="BQ85" i="1"/>
  <c r="BQ138" i="1"/>
  <c r="BQ139" i="1" s="1"/>
  <c r="BQ73" i="1" s="1"/>
  <c r="BQ212" i="1"/>
  <c r="BQ214" i="1" s="1"/>
  <c r="AT71" i="1"/>
  <c r="AT212" i="1"/>
  <c r="AT214" i="1" s="1"/>
  <c r="AT85" i="1"/>
  <c r="AU88" i="1" s="1"/>
  <c r="AV73" i="1"/>
  <c r="AT73" i="1"/>
  <c r="P80" i="1"/>
  <c r="BM104" i="1"/>
  <c r="BM106" i="1"/>
  <c r="BM105" i="1"/>
  <c r="BK115" i="1"/>
  <c r="BK113" i="1"/>
  <c r="BK114" i="1"/>
  <c r="AY113" i="1"/>
  <c r="AY114" i="1"/>
  <c r="AY115" i="1"/>
  <c r="BL88" i="1"/>
  <c r="BK88" i="1"/>
  <c r="AS114" i="1"/>
  <c r="AS115" i="1"/>
  <c r="AS113" i="1"/>
  <c r="BI111" i="1"/>
  <c r="BI148" i="1"/>
  <c r="BI74" i="1" s="1"/>
  <c r="BI226" i="1"/>
  <c r="BI224" i="1" s="1"/>
  <c r="BI73" i="1"/>
  <c r="BJ226" i="1"/>
  <c r="BJ224" i="1" s="1"/>
  <c r="BM114" i="1"/>
  <c r="BM115" i="1"/>
  <c r="BM113" i="1"/>
  <c r="BU88" i="1"/>
  <c r="BU104" i="1" s="1"/>
  <c r="BC226" i="1"/>
  <c r="BC224" i="1" s="1"/>
  <c r="BC148" i="1"/>
  <c r="BC74" i="1" s="1"/>
  <c r="BC111" i="1"/>
  <c r="BC73" i="1"/>
  <c r="BD226" i="1"/>
  <c r="BD224" i="1" s="1"/>
  <c r="BO113" i="1"/>
  <c r="BO114" i="1"/>
  <c r="BO115" i="1"/>
  <c r="AU114" i="1"/>
  <c r="AU115" i="1"/>
  <c r="AU113" i="1"/>
  <c r="AO115" i="1"/>
  <c r="AO113" i="1"/>
  <c r="AO114" i="1"/>
  <c r="BA88" i="1"/>
  <c r="AZ88" i="1"/>
  <c r="AY88" i="1"/>
  <c r="AY105" i="1" s="1"/>
  <c r="AX88" i="1"/>
  <c r="AR88" i="1"/>
  <c r="AS88" i="1"/>
  <c r="BO88" i="1"/>
  <c r="BN88" i="1"/>
  <c r="BP88" i="1"/>
  <c r="AQ88" i="1"/>
  <c r="AN88" i="1"/>
  <c r="AP88" i="1"/>
  <c r="AO88" i="1"/>
  <c r="BJ88" i="1"/>
  <c r="BF108" i="1" s="1"/>
  <c r="BI88" i="1"/>
  <c r="BD88" i="1"/>
  <c r="BB88" i="1"/>
  <c r="BC88" i="1"/>
  <c r="BZ88" i="1"/>
  <c r="BX88" i="1"/>
  <c r="BY88" i="1"/>
  <c r="BW88" i="1"/>
  <c r="BG226" i="1"/>
  <c r="BG224" i="1" s="1"/>
  <c r="BG148" i="1"/>
  <c r="BG74" i="1" s="1"/>
  <c r="BG73" i="1"/>
  <c r="BH226" i="1"/>
  <c r="BH224" i="1" s="1"/>
  <c r="AQ148" i="1"/>
  <c r="AQ74" i="1" s="1"/>
  <c r="AQ226" i="1"/>
  <c r="AQ224" i="1" s="1"/>
  <c r="AQ111" i="1"/>
  <c r="AR226" i="1"/>
  <c r="AR224" i="1" s="1"/>
  <c r="AQ73" i="1"/>
  <c r="BW226" i="1"/>
  <c r="BW224" i="1" s="1"/>
  <c r="BX226" i="1"/>
  <c r="BX224" i="1" s="1"/>
  <c r="BW148" i="1"/>
  <c r="BW74" i="1" s="1"/>
  <c r="BW73" i="1"/>
  <c r="BW111" i="1"/>
  <c r="BS113" i="1"/>
  <c r="BS114" i="1"/>
  <c r="BS115" i="1"/>
  <c r="AC51" i="1"/>
  <c r="CT213" i="1"/>
  <c r="CT151" i="1"/>
  <c r="CS222" i="1"/>
  <c r="CS220" i="1" s="1"/>
  <c r="W79" i="1"/>
  <c r="BF226" i="1" l="1"/>
  <c r="BF224" i="1" s="1"/>
  <c r="BE111" i="1"/>
  <c r="BE148" i="1"/>
  <c r="BE74" i="1" s="1"/>
  <c r="BE226" i="1"/>
  <c r="BE224" i="1" s="1"/>
  <c r="BF88" i="1"/>
  <c r="BE73" i="1"/>
  <c r="BU113" i="1"/>
  <c r="BU115" i="1"/>
  <c r="BU114" i="1"/>
  <c r="AI229" i="1"/>
  <c r="AI230" i="1" s="1"/>
  <c r="AL104" i="1"/>
  <c r="AL105" i="1"/>
  <c r="AL106" i="1"/>
  <c r="BH88" i="1"/>
  <c r="BG88" i="1"/>
  <c r="BE88" i="1"/>
  <c r="BE105" i="1" s="1"/>
  <c r="BE113" i="1"/>
  <c r="AV88" i="1"/>
  <c r="AT88" i="1"/>
  <c r="BE115" i="1"/>
  <c r="BE114" i="1"/>
  <c r="AW88" i="1"/>
  <c r="BR88" i="1"/>
  <c r="BR105" i="1" s="1"/>
  <c r="BS88" i="1"/>
  <c r="BB108" i="1"/>
  <c r="BF104" i="1"/>
  <c r="BF106" i="1"/>
  <c r="BF105" i="1"/>
  <c r="BQ88" i="1"/>
  <c r="BV106" i="1"/>
  <c r="BV105" i="1"/>
  <c r="BV104" i="1"/>
  <c r="BA115" i="1"/>
  <c r="BA113" i="1"/>
  <c r="BA114" i="1"/>
  <c r="AU106" i="1"/>
  <c r="AU105" i="1"/>
  <c r="AQ108" i="1"/>
  <c r="AU104" i="1"/>
  <c r="BT88" i="1"/>
  <c r="BQ111" i="1"/>
  <c r="BQ148" i="1"/>
  <c r="BQ74" i="1" s="1"/>
  <c r="BQ226" i="1"/>
  <c r="BQ224" i="1" s="1"/>
  <c r="BR226" i="1"/>
  <c r="BR224" i="1" s="1"/>
  <c r="BL104" i="1"/>
  <c r="BL105" i="1"/>
  <c r="BH108" i="1"/>
  <c r="BL106" i="1"/>
  <c r="BK104" i="1"/>
  <c r="BK105" i="1"/>
  <c r="BK106" i="1"/>
  <c r="BG108" i="1"/>
  <c r="BV108" i="1"/>
  <c r="BZ89" i="1"/>
  <c r="BY89" i="1"/>
  <c r="BI114" i="1"/>
  <c r="BI115" i="1"/>
  <c r="BI113" i="1"/>
  <c r="BQ108" i="1"/>
  <c r="BU106" i="1"/>
  <c r="BU105" i="1"/>
  <c r="BW104" i="1"/>
  <c r="BC114" i="1"/>
  <c r="BC113" i="1"/>
  <c r="BC115" i="1"/>
  <c r="AW108" i="1"/>
  <c r="AQ105" i="1"/>
  <c r="AQ104" i="1"/>
  <c r="BA106" i="1"/>
  <c r="CD89" i="1"/>
  <c r="BZ106" i="1"/>
  <c r="BX105" i="1"/>
  <c r="BT108" i="1"/>
  <c r="BX106" i="1"/>
  <c r="CB89" i="1"/>
  <c r="BX104" i="1"/>
  <c r="AN106" i="1"/>
  <c r="AR89" i="1"/>
  <c r="AN105" i="1"/>
  <c r="AN104" i="1"/>
  <c r="BO104" i="1"/>
  <c r="BK108" i="1"/>
  <c r="BO105" i="1"/>
  <c r="BO89" i="1"/>
  <c r="BO106" i="1"/>
  <c r="CA89" i="1"/>
  <c r="BS108" i="1"/>
  <c r="BW106" i="1"/>
  <c r="BJ105" i="1"/>
  <c r="BJ104" i="1"/>
  <c r="AU89" i="1"/>
  <c r="AQ89" i="1"/>
  <c r="AQ106" i="1"/>
  <c r="AV108" i="1"/>
  <c r="AZ106" i="1"/>
  <c r="AZ105" i="1"/>
  <c r="BD89" i="1"/>
  <c r="AZ104" i="1"/>
  <c r="AZ108" i="1"/>
  <c r="BD104" i="1"/>
  <c r="BD106" i="1"/>
  <c r="BD105" i="1"/>
  <c r="AY106" i="1"/>
  <c r="AU108" i="1"/>
  <c r="BC89" i="1"/>
  <c r="AY89" i="1"/>
  <c r="BJ106" i="1"/>
  <c r="BW105" i="1"/>
  <c r="AM108" i="1"/>
  <c r="BC106" i="1"/>
  <c r="AY108" i="1"/>
  <c r="BC105" i="1"/>
  <c r="BC104" i="1"/>
  <c r="BM89" i="1"/>
  <c r="BI106" i="1"/>
  <c r="BI104" i="1"/>
  <c r="BI105" i="1"/>
  <c r="BE108" i="1"/>
  <c r="AO106" i="1"/>
  <c r="AO104" i="1"/>
  <c r="AS89" i="1"/>
  <c r="AO105" i="1"/>
  <c r="BP89" i="1"/>
  <c r="BL108" i="1"/>
  <c r="BP105" i="1"/>
  <c r="BP106" i="1"/>
  <c r="BP104" i="1"/>
  <c r="AS105" i="1"/>
  <c r="AO108" i="1"/>
  <c r="AS106" i="1"/>
  <c r="AS104" i="1"/>
  <c r="BA104" i="1"/>
  <c r="BA105" i="1"/>
  <c r="AY104" i="1"/>
  <c r="BZ105" i="1"/>
  <c r="CC109" i="1" s="1"/>
  <c r="BA108" i="1"/>
  <c r="BN89" i="1"/>
  <c r="BZ104" i="1"/>
  <c r="CC89" i="1"/>
  <c r="BY106" i="1"/>
  <c r="BU108" i="1"/>
  <c r="BY105" i="1"/>
  <c r="BY104" i="1"/>
  <c r="AX108" i="1"/>
  <c r="BF89" i="1"/>
  <c r="BB106" i="1"/>
  <c r="BB105" i="1"/>
  <c r="BB104" i="1"/>
  <c r="BH106" i="1"/>
  <c r="BH104" i="1"/>
  <c r="BD108" i="1"/>
  <c r="BL89" i="1"/>
  <c r="BH105" i="1"/>
  <c r="AT89" i="1"/>
  <c r="AP106" i="1"/>
  <c r="AP89" i="1"/>
  <c r="AL108" i="1"/>
  <c r="AP105" i="1"/>
  <c r="AP104" i="1"/>
  <c r="BJ108" i="1"/>
  <c r="BN106" i="1"/>
  <c r="BN104" i="1"/>
  <c r="BN105" i="1"/>
  <c r="AN108" i="1"/>
  <c r="AR106" i="1"/>
  <c r="AR105" i="1"/>
  <c r="AR104" i="1"/>
  <c r="AX105" i="1"/>
  <c r="BB89" i="1"/>
  <c r="AX104" i="1"/>
  <c r="AT108" i="1"/>
  <c r="AX106" i="1"/>
  <c r="BW113" i="1"/>
  <c r="BW115" i="1"/>
  <c r="BW114" i="1"/>
  <c r="BG113" i="1"/>
  <c r="BG115" i="1"/>
  <c r="BG114" i="1"/>
  <c r="AQ114" i="1"/>
  <c r="AQ115" i="1"/>
  <c r="AQ113" i="1"/>
  <c r="AC213" i="1"/>
  <c r="AC151" i="1"/>
  <c r="AC153" i="1" s="1"/>
  <c r="AC52" i="1" s="1"/>
  <c r="CT153" i="1"/>
  <c r="AD144" i="1"/>
  <c r="AD147" i="1" s="1"/>
  <c r="AD268" i="1" s="1"/>
  <c r="AR128" i="1"/>
  <c r="W80" i="1"/>
  <c r="BC108" i="1" l="1"/>
  <c r="BG104" i="1"/>
  <c r="BG105" i="1"/>
  <c r="BG106" i="1"/>
  <c r="BK89" i="1"/>
  <c r="BN108" i="1"/>
  <c r="BR104" i="1"/>
  <c r="BR106" i="1"/>
  <c r="BW89" i="1"/>
  <c r="AW89" i="1"/>
  <c r="BE89" i="1"/>
  <c r="BQ105" i="1"/>
  <c r="BM108" i="1"/>
  <c r="BU89" i="1"/>
  <c r="AX89" i="1"/>
  <c r="AP108" i="1"/>
  <c r="BE106" i="1"/>
  <c r="BI89" i="1"/>
  <c r="BE104" i="1"/>
  <c r="BJ89" i="1"/>
  <c r="AW104" i="1"/>
  <c r="AW105" i="1"/>
  <c r="AS108" i="1"/>
  <c r="BA89" i="1"/>
  <c r="AW106" i="1"/>
  <c r="BH89" i="1"/>
  <c r="BG89" i="1"/>
  <c r="BR89" i="1"/>
  <c r="AV89" i="1"/>
  <c r="BV89" i="1"/>
  <c r="BP108" i="1"/>
  <c r="BT106" i="1"/>
  <c r="BT104" i="1"/>
  <c r="BT105" i="1"/>
  <c r="BS106" i="1"/>
  <c r="AT105" i="1"/>
  <c r="BS89" i="1"/>
  <c r="AV105" i="1"/>
  <c r="AV104" i="1"/>
  <c r="AZ89" i="1"/>
  <c r="AV106" i="1"/>
  <c r="AR108" i="1"/>
  <c r="AT106" i="1"/>
  <c r="AT104" i="1"/>
  <c r="BO108" i="1"/>
  <c r="BS105" i="1"/>
  <c r="BS104" i="1"/>
  <c r="BT89" i="1"/>
  <c r="BQ104" i="1"/>
  <c r="BQ89" i="1"/>
  <c r="BQ106" i="1"/>
  <c r="BX89" i="1"/>
  <c r="BQ115" i="1"/>
  <c r="BQ114" i="1"/>
  <c r="BQ113" i="1"/>
  <c r="CB109" i="1"/>
  <c r="BM109" i="1"/>
  <c r="BN109" i="1"/>
  <c r="BB109" i="1"/>
  <c r="BL109" i="1"/>
  <c r="BY109" i="1"/>
  <c r="AR109" i="1"/>
  <c r="AV109" i="1"/>
  <c r="BE109" i="1"/>
  <c r="AS109" i="1"/>
  <c r="AU109" i="1"/>
  <c r="BA109" i="1"/>
  <c r="AT109" i="1"/>
  <c r="AQ109" i="1"/>
  <c r="AP109" i="1"/>
  <c r="AO109" i="1"/>
  <c r="BP109" i="1"/>
  <c r="BO109" i="1"/>
  <c r="CA109" i="1"/>
  <c r="BC109" i="1"/>
  <c r="BZ109" i="1"/>
  <c r="BF109" i="1"/>
  <c r="BD109" i="1"/>
  <c r="BK109" i="1"/>
  <c r="BX109" i="1"/>
  <c r="BW109" i="1"/>
  <c r="BV109" i="1"/>
  <c r="BU109" i="1"/>
  <c r="CU51" i="1"/>
  <c r="CT157" i="1"/>
  <c r="AD225" i="1"/>
  <c r="AB157" i="1"/>
  <c r="AR129" i="1"/>
  <c r="AR132" i="1" s="1"/>
  <c r="AR130" i="1"/>
  <c r="AR133" i="1" s="1"/>
  <c r="CA246" i="1"/>
  <c r="CB246" i="1"/>
  <c r="W212" i="1"/>
  <c r="W214" i="1" s="1"/>
  <c r="BU246" i="1"/>
  <c r="BH109" i="1" l="1"/>
  <c r="BI109" i="1"/>
  <c r="BG109" i="1"/>
  <c r="BJ109" i="1"/>
  <c r="BT109" i="1"/>
  <c r="AW109" i="1"/>
  <c r="AZ109" i="1"/>
  <c r="AX109" i="1"/>
  <c r="BR109" i="1"/>
  <c r="AY109" i="1"/>
  <c r="BQ109" i="1"/>
  <c r="BS109" i="1"/>
  <c r="CT222" i="1"/>
  <c r="CT220" i="1" s="1"/>
  <c r="CU213" i="1"/>
  <c r="CU151" i="1"/>
  <c r="AB222" i="1"/>
  <c r="AB220" i="1" s="1"/>
  <c r="AE143" i="1"/>
  <c r="CA108" i="1"/>
  <c r="CU153" i="1" l="1"/>
  <c r="CF108" i="1"/>
  <c r="W108" i="1"/>
  <c r="W88" i="1"/>
  <c r="W87" i="1"/>
  <c r="CU157" i="1" l="1"/>
  <c r="CV51" i="1"/>
  <c r="AE144" i="1"/>
  <c r="AE147" i="1" s="1"/>
  <c r="AE268" i="1" s="1"/>
  <c r="W89" i="1"/>
  <c r="X89" i="1"/>
  <c r="X108" i="1"/>
  <c r="W106" i="1"/>
  <c r="V108" i="1"/>
  <c r="W104" i="1"/>
  <c r="W105" i="1"/>
  <c r="CV213" i="1" l="1"/>
  <c r="CV151" i="1"/>
  <c r="CU222" i="1"/>
  <c r="CU220" i="1" s="1"/>
  <c r="AE225" i="1"/>
  <c r="AC157" i="1"/>
  <c r="W139" i="1"/>
  <c r="CV153" i="1" l="1"/>
  <c r="W73" i="1"/>
  <c r="W111" i="1"/>
  <c r="AC222" i="1"/>
  <c r="AC220" i="1" s="1"/>
  <c r="X226" i="1"/>
  <c r="X224" i="1" s="1"/>
  <c r="W226" i="1"/>
  <c r="W224" i="1" s="1"/>
  <c r="W148" i="1"/>
  <c r="W74" i="1" s="1"/>
  <c r="W194" i="1"/>
  <c r="CW51" i="1" l="1"/>
  <c r="CV157" i="1"/>
  <c r="W114" i="1"/>
  <c r="W113" i="1"/>
  <c r="W115" i="1"/>
  <c r="CV222" i="1" l="1"/>
  <c r="CV220" i="1" s="1"/>
  <c r="CW213" i="1"/>
  <c r="CW151" i="1"/>
  <c r="CW153" i="1" l="1"/>
  <c r="CW157" i="1" l="1"/>
  <c r="CX51" i="1"/>
  <c r="AD51" i="1" l="1"/>
  <c r="CX213" i="1"/>
  <c r="CX151" i="1"/>
  <c r="CW222" i="1"/>
  <c r="CW220" i="1" s="1"/>
  <c r="AD213" i="1" l="1"/>
  <c r="AD151" i="1"/>
  <c r="AD153" i="1" s="1"/>
  <c r="CX153" i="1"/>
  <c r="AD157" i="1" l="1"/>
  <c r="AD222" i="1" s="1"/>
  <c r="AD220" i="1" s="1"/>
  <c r="AD52" i="1"/>
  <c r="CX157" i="1"/>
  <c r="CY51" i="1"/>
  <c r="CY213" i="1" l="1"/>
  <c r="CY151" i="1"/>
  <c r="CX222" i="1"/>
  <c r="CX220" i="1" s="1"/>
  <c r="CY153" i="1" l="1"/>
  <c r="W199" i="1"/>
  <c r="CY157" i="1" l="1"/>
  <c r="CZ51" i="1"/>
  <c r="W202" i="1"/>
  <c r="W175" i="1"/>
  <c r="X216" i="1" s="1"/>
  <c r="CZ213" i="1" l="1"/>
  <c r="CZ151" i="1"/>
  <c r="CY222" i="1"/>
  <c r="CY220" i="1" s="1"/>
  <c r="W204" i="1"/>
  <c r="W203" i="1" s="1"/>
  <c r="W216" i="1"/>
  <c r="W167" i="1"/>
  <c r="X215" i="1" s="1"/>
  <c r="X217" i="1" s="1"/>
  <c r="X218" i="1" s="1"/>
  <c r="X232" i="1" s="1"/>
  <c r="W198" i="1"/>
  <c r="CZ153" i="1" l="1"/>
  <c r="W201" i="1"/>
  <c r="W176" i="1"/>
  <c r="W215" i="1"/>
  <c r="W217" i="1" s="1"/>
  <c r="W218" i="1" s="1"/>
  <c r="CZ157" i="1" l="1"/>
  <c r="CZ222" i="1" s="1"/>
  <c r="CZ220" i="1" s="1"/>
  <c r="DA51" i="1"/>
  <c r="W200" i="1"/>
  <c r="W205" i="1"/>
  <c r="W229" i="1"/>
  <c r="W232" i="1"/>
  <c r="DA213" i="1" l="1"/>
  <c r="DA151" i="1"/>
  <c r="W208" i="1"/>
  <c r="W209" i="1" s="1"/>
  <c r="X208" i="1"/>
  <c r="X209" i="1" s="1"/>
  <c r="DA153" i="1" l="1"/>
  <c r="W180" i="1"/>
  <c r="X228" i="1" l="1"/>
  <c r="X229" i="1" s="1"/>
  <c r="X230" i="1" s="1"/>
  <c r="W265" i="1"/>
  <c r="W267" i="1"/>
  <c r="W263" i="1"/>
  <c r="DA157" i="1"/>
  <c r="DA222" i="1" s="1"/>
  <c r="DA220" i="1" s="1"/>
  <c r="DB51" i="1"/>
  <c r="W187" i="1"/>
  <c r="W128" i="1" s="1"/>
  <c r="W184" i="1"/>
  <c r="W230" i="1"/>
  <c r="AE51" i="1" l="1"/>
  <c r="AE213" i="1" s="1"/>
  <c r="DB213" i="1"/>
  <c r="DB151" i="1"/>
  <c r="W130" i="1"/>
  <c r="W133" i="1" s="1"/>
  <c r="W129" i="1"/>
  <c r="W132" i="1" s="1"/>
  <c r="W185" i="1"/>
  <c r="DB153" i="1" l="1"/>
  <c r="DB157" i="1" s="1"/>
  <c r="DB222" i="1" s="1"/>
  <c r="DB220" i="1" s="1"/>
  <c r="AE151" i="1"/>
  <c r="AE153" i="1" s="1"/>
  <c r="C111" i="2"/>
  <c r="C113" i="2"/>
  <c r="C112" i="2"/>
  <c r="AE157" i="1" l="1"/>
  <c r="AE222" i="1" s="1"/>
  <c r="AE220" i="1" s="1"/>
  <c r="AE52" i="1"/>
  <c r="B92" i="1"/>
  <c r="B93" i="1"/>
  <c r="AK198" i="1" l="1"/>
  <c r="AK163" i="1" s="1"/>
  <c r="AM163" i="1" l="1"/>
  <c r="AO163" i="1" l="1"/>
  <c r="AQ163" i="1" l="1"/>
  <c r="AS163" i="1" l="1"/>
  <c r="AU163" i="1" l="1"/>
  <c r="AW163" i="1" l="1"/>
  <c r="AY163" i="1" l="1"/>
  <c r="BA163" i="1" l="1"/>
  <c r="BC163" i="1" l="1"/>
  <c r="BE163" i="1" l="1"/>
  <c r="BG163" i="1" l="1"/>
  <c r="BI163" i="1" l="1"/>
  <c r="BK163" i="1" l="1"/>
  <c r="BM163" i="1" l="1"/>
  <c r="BO163" i="1" l="1"/>
  <c r="BQ163" i="1" l="1"/>
  <c r="BS163" i="1" l="1"/>
  <c r="BU163" i="1" l="1"/>
  <c r="BW163" i="1" l="1"/>
  <c r="BY163" i="1" l="1"/>
  <c r="AK164" i="1" l="1"/>
  <c r="AK167" i="1" s="1"/>
  <c r="AL215" i="1" l="1"/>
  <c r="AK215" i="1"/>
  <c r="AK201" i="1"/>
  <c r="AM164" i="1"/>
  <c r="AM167" i="1" s="1"/>
  <c r="AM201" i="1" l="1"/>
  <c r="AM200" i="1" s="1"/>
  <c r="AN215" i="1"/>
  <c r="AM215" i="1"/>
  <c r="AJ200" i="1"/>
  <c r="AK200" i="1"/>
  <c r="AO164" i="1" l="1"/>
  <c r="AO167" i="1" s="1"/>
  <c r="AP215" i="1" l="1"/>
  <c r="AO201" i="1"/>
  <c r="AO200" i="1" s="1"/>
  <c r="AO215" i="1"/>
  <c r="AQ164" i="1" l="1"/>
  <c r="AQ167" i="1" s="1"/>
  <c r="AQ201" i="1" l="1"/>
  <c r="AQ200" i="1" s="1"/>
  <c r="AR215" i="1"/>
  <c r="AQ215" i="1"/>
  <c r="AS164" i="1" l="1"/>
  <c r="AS167" i="1" s="1"/>
  <c r="AT215" i="1" l="1"/>
  <c r="AS201" i="1"/>
  <c r="AS200" i="1" s="1"/>
  <c r="AS215" i="1"/>
  <c r="AU164" i="1" l="1"/>
  <c r="AU167" i="1" s="1"/>
  <c r="AU201" i="1" l="1"/>
  <c r="AU200" i="1" s="1"/>
  <c r="AV215" i="1"/>
  <c r="AU215" i="1"/>
  <c r="AW164" i="1" l="1"/>
  <c r="AW167" i="1" s="1"/>
  <c r="AW201" i="1" l="1"/>
  <c r="AW200" i="1" s="1"/>
  <c r="AX215" i="1"/>
  <c r="AW215" i="1"/>
  <c r="AY164" i="1" l="1"/>
  <c r="AY167" i="1" s="1"/>
  <c r="AY201" i="1" l="1"/>
  <c r="AY200" i="1" s="1"/>
  <c r="AZ215" i="1"/>
  <c r="AY215" i="1"/>
  <c r="BA164" i="1" l="1"/>
  <c r="BA167" i="1" s="1"/>
  <c r="BB215" i="1" l="1"/>
  <c r="BA201" i="1"/>
  <c r="BA200" i="1" s="1"/>
  <c r="BA215" i="1"/>
  <c r="BC164" i="1" l="1"/>
  <c r="BC167" i="1" s="1"/>
  <c r="BD215" i="1" l="1"/>
  <c r="BC201" i="1"/>
  <c r="BC200" i="1" s="1"/>
  <c r="BC215" i="1"/>
  <c r="BE164" i="1" l="1"/>
  <c r="BE167" i="1" s="1"/>
  <c r="BF215" i="1" l="1"/>
  <c r="BE201" i="1"/>
  <c r="BE200" i="1" s="1"/>
  <c r="BE215" i="1"/>
  <c r="BG164" i="1" l="1"/>
  <c r="BG167" i="1" s="1"/>
  <c r="BG201" i="1" l="1"/>
  <c r="BG200" i="1" s="1"/>
  <c r="BH215" i="1"/>
  <c r="BG215" i="1"/>
  <c r="BI164" i="1" l="1"/>
  <c r="BI167" i="1" s="1"/>
  <c r="BJ215" i="1" l="1"/>
  <c r="BI201" i="1"/>
  <c r="BI200" i="1" s="1"/>
  <c r="BI215" i="1"/>
  <c r="BK164" i="1" l="1"/>
  <c r="BK167" i="1" s="1"/>
  <c r="BL215" i="1" l="1"/>
  <c r="BK201" i="1"/>
  <c r="BK200" i="1" s="1"/>
  <c r="BK215" i="1"/>
  <c r="BM164" i="1" l="1"/>
  <c r="BM167" i="1" s="1"/>
  <c r="BM201" i="1" l="1"/>
  <c r="BM200" i="1" s="1"/>
  <c r="BN215" i="1"/>
  <c r="BM215" i="1"/>
  <c r="BO164" i="1" l="1"/>
  <c r="BO167" i="1" s="1"/>
  <c r="BO201" i="1" l="1"/>
  <c r="BO200" i="1" s="1"/>
  <c r="BP215" i="1"/>
  <c r="BO215" i="1"/>
  <c r="BQ164" i="1" l="1"/>
  <c r="BQ167" i="1" s="1"/>
  <c r="BR215" i="1" l="1"/>
  <c r="BQ201" i="1"/>
  <c r="BQ200" i="1" s="1"/>
  <c r="BQ215" i="1"/>
  <c r="BS164" i="1" l="1"/>
  <c r="BS167" i="1" s="1"/>
  <c r="BT215" i="1" l="1"/>
  <c r="BS201" i="1"/>
  <c r="BS200" i="1" s="1"/>
  <c r="BS215" i="1"/>
  <c r="BU164" i="1" l="1"/>
  <c r="BU167" i="1" s="1"/>
  <c r="BU201" i="1" l="1"/>
  <c r="BU200" i="1" s="1"/>
  <c r="BV215" i="1"/>
  <c r="BU215" i="1"/>
  <c r="BW164" i="1" l="1"/>
  <c r="BW167" i="1" s="1"/>
  <c r="BW201" i="1" l="1"/>
  <c r="BW200" i="1" s="1"/>
  <c r="BX215" i="1"/>
  <c r="BW215" i="1"/>
  <c r="BY164" i="1" l="1"/>
  <c r="BY167" i="1" s="1"/>
  <c r="BZ215" i="1" l="1"/>
  <c r="BY201" i="1"/>
  <c r="BY200" i="1" s="1"/>
  <c r="BY215" i="1"/>
  <c r="AK202" i="1" l="1"/>
  <c r="AK172" i="1" s="1"/>
  <c r="AK175" i="1" s="1"/>
  <c r="AK176" i="1" l="1"/>
  <c r="AK204" i="1"/>
  <c r="AL216" i="1"/>
  <c r="AL217" i="1" s="1"/>
  <c r="AL218" i="1" s="1"/>
  <c r="AL232" i="1" s="1"/>
  <c r="AK216" i="1"/>
  <c r="AK217" i="1" s="1"/>
  <c r="AK218" i="1" s="1"/>
  <c r="AM172" i="1"/>
  <c r="AM175" i="1" s="1"/>
  <c r="AK232" i="1" l="1"/>
  <c r="AK229" i="1"/>
  <c r="AK179" i="1" s="1"/>
  <c r="AK180" i="1" s="1"/>
  <c r="AK184" i="1" s="1"/>
  <c r="AK185" i="1" s="1"/>
  <c r="AN216" i="1"/>
  <c r="AN217" i="1" s="1"/>
  <c r="AN218" i="1" s="1"/>
  <c r="AN232" i="1" s="1"/>
  <c r="AM204" i="1"/>
  <c r="AM203" i="1" s="1"/>
  <c r="AM216" i="1"/>
  <c r="AM217" i="1" s="1"/>
  <c r="AM218" i="1" s="1"/>
  <c r="AM176" i="1"/>
  <c r="AJ203" i="1"/>
  <c r="AJ205" i="1"/>
  <c r="AN208" i="1" s="1"/>
  <c r="AK203" i="1"/>
  <c r="AK205" i="1"/>
  <c r="AO172" i="1"/>
  <c r="AO175" i="1" s="1"/>
  <c r="AM205" i="1" l="1"/>
  <c r="AO204" i="1"/>
  <c r="AO203" i="1" s="1"/>
  <c r="AP216" i="1"/>
  <c r="AP217" i="1" s="1"/>
  <c r="AP218" i="1" s="1"/>
  <c r="AP232" i="1" s="1"/>
  <c r="AO216" i="1"/>
  <c r="AO217" i="1" s="1"/>
  <c r="AO218" i="1" s="1"/>
  <c r="AM232" i="1"/>
  <c r="AM229" i="1"/>
  <c r="AO176" i="1"/>
  <c r="AL228" i="1" l="1"/>
  <c r="AL229" i="1" s="1"/>
  <c r="AL230" i="1" s="1"/>
  <c r="AK230" i="1"/>
  <c r="AO205" i="1"/>
  <c r="AO208" i="1" s="1"/>
  <c r="AO232" i="1"/>
  <c r="AO229" i="1"/>
  <c r="AQ172" i="1"/>
  <c r="AQ175" i="1" s="1"/>
  <c r="AK187" i="1"/>
  <c r="AL56" i="1" s="1"/>
  <c r="AM179" i="1"/>
  <c r="AM180" i="1" s="1"/>
  <c r="AM184" i="1" s="1"/>
  <c r="AN228" i="1" l="1"/>
  <c r="AN229" i="1" s="1"/>
  <c r="AN230" i="1" s="1"/>
  <c r="AM267" i="1"/>
  <c r="AM265" i="1"/>
  <c r="AM263" i="1"/>
  <c r="AQ204" i="1"/>
  <c r="AQ203" i="1" s="1"/>
  <c r="AR216" i="1"/>
  <c r="AR217" i="1" s="1"/>
  <c r="AR218" i="1" s="1"/>
  <c r="AR232" i="1" s="1"/>
  <c r="AQ216" i="1"/>
  <c r="AQ217" i="1" s="1"/>
  <c r="AQ218" i="1" s="1"/>
  <c r="AM230" i="1"/>
  <c r="AQ176" i="1"/>
  <c r="AO179" i="1"/>
  <c r="AO180" i="1" s="1"/>
  <c r="AM187" i="1"/>
  <c r="AO265" i="1" l="1"/>
  <c r="AO267" i="1"/>
  <c r="AO263" i="1"/>
  <c r="AM128" i="1"/>
  <c r="AM129" i="1" s="1"/>
  <c r="AM132" i="1" s="1"/>
  <c r="AN56" i="1"/>
  <c r="AQ205" i="1"/>
  <c r="AQ208" i="1" s="1"/>
  <c r="AQ232" i="1"/>
  <c r="AQ229" i="1"/>
  <c r="AP228" i="1"/>
  <c r="AP229" i="1" s="1"/>
  <c r="AP230" i="1" s="1"/>
  <c r="AO230" i="1"/>
  <c r="AS172" i="1"/>
  <c r="AS175" i="1" s="1"/>
  <c r="AO187" i="1"/>
  <c r="AO184" i="1"/>
  <c r="AM185" i="1"/>
  <c r="AM130" i="1" l="1"/>
  <c r="AM133" i="1" s="1"/>
  <c r="AO128" i="1"/>
  <c r="AO130" i="1" s="1"/>
  <c r="AO133" i="1" s="1"/>
  <c r="AP56" i="1"/>
  <c r="AS204" i="1"/>
  <c r="AS203" i="1" s="1"/>
  <c r="AT216" i="1"/>
  <c r="AT217" i="1" s="1"/>
  <c r="AT218" i="1" s="1"/>
  <c r="AT232" i="1" s="1"/>
  <c r="AS216" i="1"/>
  <c r="AS217" i="1" s="1"/>
  <c r="AS218" i="1" s="1"/>
  <c r="AO185" i="1"/>
  <c r="AS176" i="1"/>
  <c r="AQ179" i="1"/>
  <c r="AQ180" i="1" s="1"/>
  <c r="AQ265" i="1" l="1"/>
  <c r="AQ267" i="1"/>
  <c r="AQ263" i="1"/>
  <c r="AO129" i="1"/>
  <c r="AO132" i="1" s="1"/>
  <c r="AS205" i="1"/>
  <c r="AS208" i="1" s="1"/>
  <c r="AS232" i="1"/>
  <c r="AS229" i="1"/>
  <c r="AR228" i="1"/>
  <c r="AR229" i="1" s="1"/>
  <c r="AR230" i="1" s="1"/>
  <c r="AQ230" i="1"/>
  <c r="AQ184" i="1"/>
  <c r="AQ187" i="1"/>
  <c r="AU172" i="1"/>
  <c r="AU175" i="1" s="1"/>
  <c r="AQ128" i="1" l="1"/>
  <c r="AQ129" i="1" s="1"/>
  <c r="AQ132" i="1" s="1"/>
  <c r="AR56" i="1"/>
  <c r="AU204" i="1"/>
  <c r="AU203" i="1" s="1"/>
  <c r="AV216" i="1"/>
  <c r="AV217" i="1" s="1"/>
  <c r="AV218" i="1" s="1"/>
  <c r="AV232" i="1" s="1"/>
  <c r="AU216" i="1"/>
  <c r="AU217" i="1" s="1"/>
  <c r="AU218" i="1" s="1"/>
  <c r="AU176" i="1"/>
  <c r="AS179" i="1"/>
  <c r="AS180" i="1" s="1"/>
  <c r="AQ185" i="1"/>
  <c r="AS267" i="1" l="1"/>
  <c r="AS265" i="1"/>
  <c r="AS263" i="1"/>
  <c r="AQ130" i="1"/>
  <c r="AQ133" i="1" s="1"/>
  <c r="AU205" i="1"/>
  <c r="AU208" i="1" s="1"/>
  <c r="AU232" i="1"/>
  <c r="AU229" i="1"/>
  <c r="AT228" i="1"/>
  <c r="AT229" i="1" s="1"/>
  <c r="AT230" i="1" s="1"/>
  <c r="AS230" i="1"/>
  <c r="AS187" i="1"/>
  <c r="AS184" i="1"/>
  <c r="AW172" i="1"/>
  <c r="AW175" i="1" s="1"/>
  <c r="AS128" i="1" l="1"/>
  <c r="AS129" i="1" s="1"/>
  <c r="AS132" i="1" s="1"/>
  <c r="AT56" i="1"/>
  <c r="AW204" i="1"/>
  <c r="AW205" i="1" s="1"/>
  <c r="AW208" i="1" s="1"/>
  <c r="AX216" i="1"/>
  <c r="AX217" i="1" s="1"/>
  <c r="AX218" i="1" s="1"/>
  <c r="AX232" i="1" s="1"/>
  <c r="AW216" i="1"/>
  <c r="AW217" i="1" s="1"/>
  <c r="AW218" i="1" s="1"/>
  <c r="AU179" i="1"/>
  <c r="AU180" i="1" s="1"/>
  <c r="AS185" i="1"/>
  <c r="AW176" i="1"/>
  <c r="AU267" i="1" l="1"/>
  <c r="AU265" i="1"/>
  <c r="AU263" i="1"/>
  <c r="AS130" i="1"/>
  <c r="AS133" i="1" s="1"/>
  <c r="AW203" i="1"/>
  <c r="AW232" i="1"/>
  <c r="AW229" i="1"/>
  <c r="AV228" i="1"/>
  <c r="AV229" i="1" s="1"/>
  <c r="AV230" i="1" s="1"/>
  <c r="AU230" i="1"/>
  <c r="AU187" i="1"/>
  <c r="AU184" i="1"/>
  <c r="AY172" i="1"/>
  <c r="AY175" i="1" s="1"/>
  <c r="AU128" i="1" l="1"/>
  <c r="AU130" i="1" s="1"/>
  <c r="AU133" i="1" s="1"/>
  <c r="AV56" i="1"/>
  <c r="AY204" i="1"/>
  <c r="AY203" i="1" s="1"/>
  <c r="AZ216" i="1"/>
  <c r="AZ217" i="1" s="1"/>
  <c r="AZ218" i="1" s="1"/>
  <c r="AZ232" i="1" s="1"/>
  <c r="AY216" i="1"/>
  <c r="AY217" i="1" s="1"/>
  <c r="AY218" i="1" s="1"/>
  <c r="AW179" i="1"/>
  <c r="AW180" i="1" s="1"/>
  <c r="AY176" i="1"/>
  <c r="AU185" i="1"/>
  <c r="AW265" i="1" l="1"/>
  <c r="AW267" i="1"/>
  <c r="AW263" i="1"/>
  <c r="AU129" i="1"/>
  <c r="AU132" i="1" s="1"/>
  <c r="AY205" i="1"/>
  <c r="AY208" i="1" s="1"/>
  <c r="AY232" i="1"/>
  <c r="AY229" i="1"/>
  <c r="AX228" i="1"/>
  <c r="AX229" i="1" s="1"/>
  <c r="AX230" i="1" s="1"/>
  <c r="AW230" i="1"/>
  <c r="BA172" i="1"/>
  <c r="BA175" i="1" s="1"/>
  <c r="AW184" i="1"/>
  <c r="AW187" i="1"/>
  <c r="AW128" i="1" l="1"/>
  <c r="AW130" i="1" s="1"/>
  <c r="AW133" i="1" s="1"/>
  <c r="AX56" i="1"/>
  <c r="BB216" i="1"/>
  <c r="BB217" i="1" s="1"/>
  <c r="BB218" i="1" s="1"/>
  <c r="BB232" i="1" s="1"/>
  <c r="BA204" i="1"/>
  <c r="BA203" i="1" s="1"/>
  <c r="BA216" i="1"/>
  <c r="BA217" i="1" s="1"/>
  <c r="BA218" i="1" s="1"/>
  <c r="AW185" i="1"/>
  <c r="BA176" i="1"/>
  <c r="AY179" i="1"/>
  <c r="AY180" i="1" s="1"/>
  <c r="AY265" i="1" l="1"/>
  <c r="AY267" i="1"/>
  <c r="AY263" i="1"/>
  <c r="AW129" i="1"/>
  <c r="AW132" i="1" s="1"/>
  <c r="BA205" i="1"/>
  <c r="BA208" i="1" s="1"/>
  <c r="BA232" i="1"/>
  <c r="BA229" i="1"/>
  <c r="AZ228" i="1"/>
  <c r="AZ229" i="1" s="1"/>
  <c r="AZ230" i="1" s="1"/>
  <c r="AY230" i="1"/>
  <c r="AY184" i="1"/>
  <c r="AY187" i="1"/>
  <c r="BC172" i="1"/>
  <c r="BC175" i="1" s="1"/>
  <c r="AY128" i="1" l="1"/>
  <c r="AY130" i="1" s="1"/>
  <c r="AY133" i="1" s="1"/>
  <c r="AZ56" i="1"/>
  <c r="BC204" i="1"/>
  <c r="BC203" i="1" s="1"/>
  <c r="BD216" i="1"/>
  <c r="BD217" i="1" s="1"/>
  <c r="BD218" i="1" s="1"/>
  <c r="BD232" i="1" s="1"/>
  <c r="BC216" i="1"/>
  <c r="BC217" i="1" s="1"/>
  <c r="BC218" i="1" s="1"/>
  <c r="AY185" i="1"/>
  <c r="BC176" i="1"/>
  <c r="BA179" i="1"/>
  <c r="BA180" i="1" s="1"/>
  <c r="BA267" i="1" l="1"/>
  <c r="BA265" i="1"/>
  <c r="BA263" i="1"/>
  <c r="AY129" i="1"/>
  <c r="AY132" i="1" s="1"/>
  <c r="BC205" i="1"/>
  <c r="BC208" i="1" s="1"/>
  <c r="BC232" i="1"/>
  <c r="BC229" i="1"/>
  <c r="BB228" i="1"/>
  <c r="BB229" i="1" s="1"/>
  <c r="BB230" i="1" s="1"/>
  <c r="BA230" i="1"/>
  <c r="BE172" i="1"/>
  <c r="BE175" i="1" s="1"/>
  <c r="BA187" i="1"/>
  <c r="BA184" i="1"/>
  <c r="BA128" i="1" l="1"/>
  <c r="BA129" i="1" s="1"/>
  <c r="BA132" i="1" s="1"/>
  <c r="BB56" i="1"/>
  <c r="BE204" i="1"/>
  <c r="BE203" i="1" s="1"/>
  <c r="BF216" i="1"/>
  <c r="BF217" i="1" s="1"/>
  <c r="BF218" i="1" s="1"/>
  <c r="BF232" i="1" s="1"/>
  <c r="BE216" i="1"/>
  <c r="BE217" i="1" s="1"/>
  <c r="BE218" i="1" s="1"/>
  <c r="BC179" i="1"/>
  <c r="BC180" i="1" s="1"/>
  <c r="BA185" i="1"/>
  <c r="BE176" i="1"/>
  <c r="BC267" i="1" l="1"/>
  <c r="BC265" i="1"/>
  <c r="BC263" i="1"/>
  <c r="BA130" i="1"/>
  <c r="BA133" i="1" s="1"/>
  <c r="BE205" i="1"/>
  <c r="BE208" i="1" s="1"/>
  <c r="BE232" i="1"/>
  <c r="BE229" i="1"/>
  <c r="BD228" i="1"/>
  <c r="BD229" i="1" s="1"/>
  <c r="BD230" i="1" s="1"/>
  <c r="BC230" i="1"/>
  <c r="BG172" i="1"/>
  <c r="BG175" i="1" s="1"/>
  <c r="BC184" i="1"/>
  <c r="BC187" i="1"/>
  <c r="BC128" i="1" l="1"/>
  <c r="BC129" i="1" s="1"/>
  <c r="BC132" i="1" s="1"/>
  <c r="BD56" i="1"/>
  <c r="BG204" i="1"/>
  <c r="BG205" i="1" s="1"/>
  <c r="BG208" i="1" s="1"/>
  <c r="BH216" i="1"/>
  <c r="BH217" i="1" s="1"/>
  <c r="BH218" i="1" s="1"/>
  <c r="BH232" i="1" s="1"/>
  <c r="BG216" i="1"/>
  <c r="BG217" i="1" s="1"/>
  <c r="BG218" i="1" s="1"/>
  <c r="BC185" i="1"/>
  <c r="BE179" i="1"/>
  <c r="BE180" i="1" s="1"/>
  <c r="BG176" i="1"/>
  <c r="BE265" i="1" l="1"/>
  <c r="BE267" i="1"/>
  <c r="BE263" i="1"/>
  <c r="BC130" i="1"/>
  <c r="BC133" i="1" s="1"/>
  <c r="BG203" i="1"/>
  <c r="BG232" i="1"/>
  <c r="BG229" i="1"/>
  <c r="BF228" i="1"/>
  <c r="BF229" i="1" s="1"/>
  <c r="BF230" i="1" s="1"/>
  <c r="BE230" i="1"/>
  <c r="BE187" i="1"/>
  <c r="BE184" i="1"/>
  <c r="BI172" i="1"/>
  <c r="BI175" i="1" s="1"/>
  <c r="BE128" i="1" l="1"/>
  <c r="BE129" i="1" s="1"/>
  <c r="BE132" i="1" s="1"/>
  <c r="BF56" i="1"/>
  <c r="BI204" i="1"/>
  <c r="BI203" i="1" s="1"/>
  <c r="BJ216" i="1"/>
  <c r="BJ217" i="1" s="1"/>
  <c r="BJ218" i="1" s="1"/>
  <c r="BJ232" i="1" s="1"/>
  <c r="BI216" i="1"/>
  <c r="BI217" i="1" s="1"/>
  <c r="BI218" i="1" s="1"/>
  <c r="BE185" i="1"/>
  <c r="BG179" i="1"/>
  <c r="BG180" i="1" s="1"/>
  <c r="BI176" i="1"/>
  <c r="BG265" i="1" l="1"/>
  <c r="BG267" i="1"/>
  <c r="BG263" i="1"/>
  <c r="BE130" i="1"/>
  <c r="BE133" i="1" s="1"/>
  <c r="BI205" i="1"/>
  <c r="BI208" i="1" s="1"/>
  <c r="BI232" i="1"/>
  <c r="BI229" i="1"/>
  <c r="BH228" i="1"/>
  <c r="BH229" i="1" s="1"/>
  <c r="BH230" i="1" s="1"/>
  <c r="BG230" i="1"/>
  <c r="BG184" i="1"/>
  <c r="BG187" i="1"/>
  <c r="BK172" i="1"/>
  <c r="BK175" i="1" s="1"/>
  <c r="BG128" i="1" l="1"/>
  <c r="BG129" i="1" s="1"/>
  <c r="BG132" i="1" s="1"/>
  <c r="BH56" i="1"/>
  <c r="BL216" i="1"/>
  <c r="BL217" i="1" s="1"/>
  <c r="BL218" i="1" s="1"/>
  <c r="BL232" i="1" s="1"/>
  <c r="BK204" i="1"/>
  <c r="BK203" i="1" s="1"/>
  <c r="BK216" i="1"/>
  <c r="BK217" i="1" s="1"/>
  <c r="BK218" i="1" s="1"/>
  <c r="BK176" i="1"/>
  <c r="BG185" i="1"/>
  <c r="BI179" i="1"/>
  <c r="BI180" i="1" s="1"/>
  <c r="BI267" i="1" l="1"/>
  <c r="BI265" i="1"/>
  <c r="BI263" i="1"/>
  <c r="BG130" i="1"/>
  <c r="BG133" i="1" s="1"/>
  <c r="BK205" i="1"/>
  <c r="BK208" i="1" s="1"/>
  <c r="BK232" i="1"/>
  <c r="BK229" i="1"/>
  <c r="BJ228" i="1"/>
  <c r="BJ229" i="1" s="1"/>
  <c r="BJ230" i="1" s="1"/>
  <c r="BI230" i="1"/>
  <c r="BI187" i="1"/>
  <c r="BI184" i="1"/>
  <c r="BM172" i="1"/>
  <c r="BM175" i="1" s="1"/>
  <c r="BI128" i="1" l="1"/>
  <c r="BI130" i="1" s="1"/>
  <c r="BI133" i="1" s="1"/>
  <c r="BJ56" i="1"/>
  <c r="BM204" i="1"/>
  <c r="BM203" i="1" s="1"/>
  <c r="BN216" i="1"/>
  <c r="BN217" i="1" s="1"/>
  <c r="BN218" i="1" s="1"/>
  <c r="BN232" i="1" s="1"/>
  <c r="BM216" i="1"/>
  <c r="BM217" i="1" s="1"/>
  <c r="BM218" i="1" s="1"/>
  <c r="BM176" i="1"/>
  <c r="BI185" i="1"/>
  <c r="BK179" i="1"/>
  <c r="BK180" i="1" s="1"/>
  <c r="BK267" i="1" l="1"/>
  <c r="BK265" i="1"/>
  <c r="BK263" i="1"/>
  <c r="BI129" i="1"/>
  <c r="BI132" i="1" s="1"/>
  <c r="BM205" i="1"/>
  <c r="BM208" i="1" s="1"/>
  <c r="BM232" i="1"/>
  <c r="BM229" i="1"/>
  <c r="BL228" i="1"/>
  <c r="BL229" i="1" s="1"/>
  <c r="BL230" i="1" s="1"/>
  <c r="BK230" i="1"/>
  <c r="BK187" i="1"/>
  <c r="BK184" i="1"/>
  <c r="BO172" i="1"/>
  <c r="BO175" i="1" s="1"/>
  <c r="BK128" i="1" l="1"/>
  <c r="BK130" i="1" s="1"/>
  <c r="BK133" i="1" s="1"/>
  <c r="BL56" i="1"/>
  <c r="BO204" i="1"/>
  <c r="BO203" i="1" s="1"/>
  <c r="BP216" i="1"/>
  <c r="BP217" i="1" s="1"/>
  <c r="BP218" i="1" s="1"/>
  <c r="BP232" i="1" s="1"/>
  <c r="BO216" i="1"/>
  <c r="BO217" i="1" s="1"/>
  <c r="BO218" i="1" s="1"/>
  <c r="BM179" i="1"/>
  <c r="BM180" i="1" s="1"/>
  <c r="BK185" i="1"/>
  <c r="BO176" i="1"/>
  <c r="BM265" i="1" l="1"/>
  <c r="BM267" i="1"/>
  <c r="BM263" i="1"/>
  <c r="BK129" i="1"/>
  <c r="BK132" i="1" s="1"/>
  <c r="BO205" i="1"/>
  <c r="BO208" i="1" s="1"/>
  <c r="BO232" i="1"/>
  <c r="BO229" i="1"/>
  <c r="BN228" i="1"/>
  <c r="BN229" i="1" s="1"/>
  <c r="BN230" i="1" s="1"/>
  <c r="BM230" i="1"/>
  <c r="BM184" i="1"/>
  <c r="BM187" i="1"/>
  <c r="BQ172" i="1"/>
  <c r="BQ175" i="1" s="1"/>
  <c r="BM128" i="1" l="1"/>
  <c r="BM129" i="1" s="1"/>
  <c r="BM132" i="1" s="1"/>
  <c r="BN56" i="1"/>
  <c r="BQ204" i="1"/>
  <c r="BQ203" i="1" s="1"/>
  <c r="BR216" i="1"/>
  <c r="BR217" i="1" s="1"/>
  <c r="BR218" i="1" s="1"/>
  <c r="BR232" i="1" s="1"/>
  <c r="BQ216" i="1"/>
  <c r="BQ217" i="1" s="1"/>
  <c r="BQ218" i="1" s="1"/>
  <c r="BO179" i="1"/>
  <c r="BO180" i="1" s="1"/>
  <c r="BQ176" i="1"/>
  <c r="BM185" i="1"/>
  <c r="BO265" i="1" l="1"/>
  <c r="BO267" i="1"/>
  <c r="BO263" i="1"/>
  <c r="BM130" i="1"/>
  <c r="BM133" i="1" s="1"/>
  <c r="BQ205" i="1"/>
  <c r="BQ208" i="1" s="1"/>
  <c r="BQ232" i="1"/>
  <c r="BQ229" i="1"/>
  <c r="BP228" i="1"/>
  <c r="BP229" i="1" s="1"/>
  <c r="BP230" i="1" s="1"/>
  <c r="BO230" i="1"/>
  <c r="BS172" i="1"/>
  <c r="BS175" i="1" s="1"/>
  <c r="BO184" i="1"/>
  <c r="BO187" i="1"/>
  <c r="BO128" i="1" l="1"/>
  <c r="BO129" i="1" s="1"/>
  <c r="BO132" i="1" s="1"/>
  <c r="BP56" i="1"/>
  <c r="BS204" i="1"/>
  <c r="BS203" i="1" s="1"/>
  <c r="BT216" i="1"/>
  <c r="BT217" i="1" s="1"/>
  <c r="BT218" i="1" s="1"/>
  <c r="BT232" i="1" s="1"/>
  <c r="BS216" i="1"/>
  <c r="BS217" i="1" s="1"/>
  <c r="BS218" i="1" s="1"/>
  <c r="BO185" i="1"/>
  <c r="BS176" i="1"/>
  <c r="BQ179" i="1"/>
  <c r="BQ180" i="1" s="1"/>
  <c r="BQ267" i="1" l="1"/>
  <c r="BQ265" i="1"/>
  <c r="BQ263" i="1"/>
  <c r="BO130" i="1"/>
  <c r="BO133" i="1" s="1"/>
  <c r="BS205" i="1"/>
  <c r="BS208" i="1" s="1"/>
  <c r="BS232" i="1"/>
  <c r="BS229" i="1"/>
  <c r="BR228" i="1"/>
  <c r="BR229" i="1" s="1"/>
  <c r="BR230" i="1" s="1"/>
  <c r="BQ230" i="1"/>
  <c r="BQ184" i="1"/>
  <c r="BQ187" i="1"/>
  <c r="BU172" i="1"/>
  <c r="BU175" i="1" s="1"/>
  <c r="BQ128" i="1" l="1"/>
  <c r="BQ129" i="1" s="1"/>
  <c r="BQ132" i="1" s="1"/>
  <c r="BR56" i="1"/>
  <c r="BU204" i="1"/>
  <c r="BU203" i="1" s="1"/>
  <c r="BV216" i="1"/>
  <c r="BV217" i="1" s="1"/>
  <c r="BV218" i="1" s="1"/>
  <c r="BV232" i="1" s="1"/>
  <c r="BU216" i="1"/>
  <c r="BU217" i="1" s="1"/>
  <c r="BU218" i="1" s="1"/>
  <c r="BS179" i="1"/>
  <c r="BS180" i="1" s="1"/>
  <c r="BQ185" i="1"/>
  <c r="BU176" i="1"/>
  <c r="BS267" i="1" l="1"/>
  <c r="BS265" i="1"/>
  <c r="BS263" i="1"/>
  <c r="BQ130" i="1"/>
  <c r="BQ133" i="1" s="1"/>
  <c r="BU205" i="1"/>
  <c r="BU208" i="1" s="1"/>
  <c r="BU232" i="1"/>
  <c r="BU229" i="1"/>
  <c r="BT228" i="1"/>
  <c r="BT229" i="1" s="1"/>
  <c r="BT230" i="1" s="1"/>
  <c r="BS230" i="1"/>
  <c r="BS184" i="1"/>
  <c r="BS187" i="1"/>
  <c r="BW172" i="1"/>
  <c r="BW175" i="1" s="1"/>
  <c r="BS128" i="1" l="1"/>
  <c r="BS130" i="1" s="1"/>
  <c r="BS133" i="1" s="1"/>
  <c r="BT56" i="1"/>
  <c r="BW204" i="1"/>
  <c r="BW203" i="1" s="1"/>
  <c r="BX216" i="1"/>
  <c r="BX217" i="1" s="1"/>
  <c r="BX218" i="1" s="1"/>
  <c r="BX232" i="1" s="1"/>
  <c r="BW216" i="1"/>
  <c r="BW217" i="1" s="1"/>
  <c r="BW218" i="1" s="1"/>
  <c r="BW176" i="1"/>
  <c r="BS185" i="1"/>
  <c r="BU179" i="1"/>
  <c r="BU180" i="1" s="1"/>
  <c r="BU265" i="1" l="1"/>
  <c r="BU267" i="1"/>
  <c r="BU263" i="1"/>
  <c r="BS129" i="1"/>
  <c r="BS132" i="1" s="1"/>
  <c r="BW205" i="1"/>
  <c r="BW208" i="1" s="1"/>
  <c r="BW232" i="1"/>
  <c r="BW229" i="1"/>
  <c r="BV228" i="1"/>
  <c r="BV229" i="1" s="1"/>
  <c r="BV230" i="1" s="1"/>
  <c r="BU230" i="1"/>
  <c r="BU184" i="1"/>
  <c r="BU187" i="1"/>
  <c r="BY172" i="1"/>
  <c r="BY175" i="1" s="1"/>
  <c r="BU128" i="1" l="1"/>
  <c r="BU130" i="1" s="1"/>
  <c r="BU133" i="1" s="1"/>
  <c r="BV56" i="1"/>
  <c r="BZ216" i="1"/>
  <c r="BZ217" i="1" s="1"/>
  <c r="BZ218" i="1" s="1"/>
  <c r="BZ232" i="1" s="1"/>
  <c r="BY204" i="1"/>
  <c r="BY203" i="1" s="1"/>
  <c r="BY216" i="1"/>
  <c r="BY217" i="1" s="1"/>
  <c r="BY218" i="1" s="1"/>
  <c r="BW179" i="1"/>
  <c r="BW180" i="1" s="1"/>
  <c r="BY176" i="1"/>
  <c r="BU185" i="1"/>
  <c r="BW265" i="1" l="1"/>
  <c r="BW267" i="1"/>
  <c r="BW263" i="1"/>
  <c r="BU129" i="1"/>
  <c r="BU132" i="1" s="1"/>
  <c r="BY205" i="1"/>
  <c r="BY208" i="1" s="1"/>
  <c r="BY232" i="1"/>
  <c r="BY229" i="1"/>
  <c r="BX228" i="1"/>
  <c r="BX229" i="1" s="1"/>
  <c r="BX230" i="1" s="1"/>
  <c r="BW230" i="1"/>
  <c r="BW184" i="1"/>
  <c r="BW187" i="1"/>
  <c r="BW128" i="1" l="1"/>
  <c r="BW130" i="1" s="1"/>
  <c r="BW133" i="1" s="1"/>
  <c r="BX56" i="1"/>
  <c r="BW185" i="1"/>
  <c r="BY179" i="1"/>
  <c r="BY180" i="1" s="1"/>
  <c r="BY267" i="1" l="1"/>
  <c r="BY265" i="1"/>
  <c r="BY263" i="1"/>
  <c r="BW129" i="1"/>
  <c r="BW132" i="1" s="1"/>
  <c r="BZ228" i="1"/>
  <c r="BZ229" i="1" s="1"/>
  <c r="BZ230" i="1" s="1"/>
  <c r="BY230" i="1"/>
  <c r="BY187" i="1"/>
  <c r="BY184" i="1"/>
  <c r="BY128" i="1" l="1"/>
  <c r="BY129" i="1" s="1"/>
  <c r="BY132" i="1" s="1"/>
  <c r="BZ56" i="1"/>
  <c r="BY185" i="1"/>
  <c r="CC164" i="1"/>
  <c r="CC163" i="1"/>
  <c r="CA163" i="1"/>
  <c r="CA172" i="1"/>
  <c r="CA175" i="1" s="1"/>
  <c r="CA164" i="1"/>
  <c r="BY130" i="1" l="1"/>
  <c r="BY133" i="1" s="1"/>
  <c r="CA167" i="1"/>
  <c r="CA201" i="1" s="1"/>
  <c r="CA200" i="1" s="1"/>
  <c r="CB216" i="1"/>
  <c r="CA204" i="1"/>
  <c r="CA203" i="1" s="1"/>
  <c r="CA216" i="1"/>
  <c r="CC172" i="1"/>
  <c r="CC175" i="1" s="1"/>
  <c r="CC167" i="1"/>
  <c r="CA176" i="1" l="1"/>
  <c r="CA215" i="1"/>
  <c r="CA217" i="1" s="1"/>
  <c r="CA218" i="1" s="1"/>
  <c r="CA232" i="1" s="1"/>
  <c r="CB215" i="1"/>
  <c r="CB217" i="1" s="1"/>
  <c r="CB218" i="1" s="1"/>
  <c r="CB232" i="1" s="1"/>
  <c r="CA205" i="1"/>
  <c r="CD215" i="1"/>
  <c r="CC201" i="1"/>
  <c r="CC200" i="1" s="1"/>
  <c r="CC215" i="1"/>
  <c r="CC204" i="1"/>
  <c r="CC203" i="1" s="1"/>
  <c r="CD216" i="1"/>
  <c r="CC216" i="1"/>
  <c r="CC176" i="1"/>
  <c r="CA208" i="1" l="1"/>
  <c r="CE208" i="1"/>
  <c r="CC217" i="1"/>
  <c r="CC218" i="1" s="1"/>
  <c r="CC232" i="1" s="1"/>
  <c r="CD217" i="1"/>
  <c r="CD218" i="1" s="1"/>
  <c r="CD232" i="1" s="1"/>
  <c r="CA229" i="1"/>
  <c r="CA179" i="1" s="1"/>
  <c r="CA180" i="1" s="1"/>
  <c r="CC205" i="1"/>
  <c r="CA267" i="1" l="1"/>
  <c r="CA265" i="1"/>
  <c r="CA263" i="1"/>
  <c r="CC208" i="1"/>
  <c r="CG208" i="1"/>
  <c r="CC229" i="1"/>
  <c r="CC179" i="1" s="1"/>
  <c r="CC180" i="1" s="1"/>
  <c r="CB228" i="1"/>
  <c r="CB229" i="1" s="1"/>
  <c r="CB230" i="1" s="1"/>
  <c r="CA230" i="1"/>
  <c r="CA187" i="1"/>
  <c r="CA184" i="1"/>
  <c r="CC265" i="1" l="1"/>
  <c r="CC267" i="1"/>
  <c r="CC263" i="1"/>
  <c r="CA128" i="1"/>
  <c r="CA129" i="1" s="1"/>
  <c r="CA132" i="1" s="1"/>
  <c r="CB56" i="1"/>
  <c r="CD228" i="1"/>
  <c r="CD229" i="1" s="1"/>
  <c r="CD230" i="1" s="1"/>
  <c r="CC230" i="1"/>
  <c r="CC184" i="1"/>
  <c r="CC187" i="1"/>
  <c r="CA185" i="1"/>
  <c r="CA130" i="1" l="1"/>
  <c r="CA133" i="1" s="1"/>
  <c r="CC128" i="1"/>
  <c r="CC129" i="1" s="1"/>
  <c r="CC132" i="1" s="1"/>
  <c r="CD56" i="1"/>
  <c r="CC185" i="1"/>
  <c r="CC130" i="1" l="1"/>
  <c r="CC133" i="1" s="1"/>
  <c r="CE108" i="1"/>
  <c r="CD108" i="1"/>
  <c r="CC108" i="1"/>
  <c r="CB108" i="1"/>
  <c r="Y108" i="1"/>
  <c r="CI164" i="1" l="1"/>
  <c r="CI172" i="1"/>
  <c r="CI175" i="1" s="1"/>
  <c r="CI163" i="1"/>
  <c r="CJ216" i="1" l="1"/>
  <c r="CI167" i="1"/>
  <c r="CI216" i="1"/>
  <c r="CJ215" i="1" l="1"/>
  <c r="CJ217" i="1" s="1"/>
  <c r="CJ218" i="1" s="1"/>
  <c r="CJ232" i="1" s="1"/>
  <c r="CI176" i="1"/>
  <c r="CI215" i="1"/>
  <c r="CI217" i="1" s="1"/>
  <c r="CI218" i="1" s="1"/>
  <c r="CI232" i="1" s="1"/>
  <c r="CI205" i="1" l="1"/>
  <c r="CI208" i="1" s="1"/>
  <c r="CI229" i="1"/>
  <c r="CI179" i="1" s="1"/>
  <c r="CI180" i="1" s="1"/>
  <c r="CI267" i="1" l="1"/>
  <c r="CI265" i="1"/>
  <c r="CI263" i="1"/>
  <c r="CI230" i="1"/>
  <c r="CJ228" i="1"/>
  <c r="CJ229" i="1" s="1"/>
  <c r="CI187" i="1"/>
  <c r="CI184" i="1"/>
  <c r="CI128" i="1" l="1"/>
  <c r="CI130" i="1" s="1"/>
  <c r="CI133" i="1" s="1"/>
  <c r="CJ56" i="1"/>
  <c r="CJ230" i="1"/>
  <c r="CI185" i="1"/>
  <c r="CI129" i="1" l="1"/>
  <c r="CI132" i="1" s="1"/>
  <c r="CJ187" i="1"/>
  <c r="CJ128" i="1" l="1"/>
  <c r="CK56" i="1"/>
  <c r="CN56" i="1"/>
  <c r="CO56" i="1" s="1"/>
  <c r="CP56" i="1" s="1"/>
  <c r="CR56" i="1" s="1"/>
  <c r="CS56" i="1" s="1"/>
  <c r="CT56" i="1" s="1"/>
  <c r="CU56" i="1" s="1"/>
  <c r="CV56" i="1" s="1"/>
  <c r="CW56" i="1" s="1"/>
  <c r="CX56" i="1" s="1"/>
  <c r="CY56" i="1" s="1"/>
  <c r="CZ56" i="1" s="1"/>
  <c r="DA56" i="1" s="1"/>
  <c r="DB56" i="1" s="1"/>
  <c r="CJ129" i="1" l="1"/>
  <c r="CJ132" i="1" s="1"/>
  <c r="CJ130" i="1"/>
  <c r="CJ133" i="1" s="1"/>
  <c r="CK250" i="1" l="1"/>
  <c r="CK272" i="1"/>
  <c r="CK271" i="1"/>
  <c r="CN29" i="1"/>
  <c r="CN17" i="1" s="1"/>
  <c r="CN272" i="1"/>
  <c r="CM29" i="1"/>
  <c r="CM17" i="1" s="1"/>
  <c r="CM272" i="1"/>
  <c r="CN250" i="1"/>
  <c r="CM250" i="1"/>
  <c r="CM117" i="1"/>
  <c r="CM118" i="1" s="1"/>
  <c r="CM121" i="1" s="1"/>
  <c r="CN117" i="1"/>
  <c r="CN118" i="1" s="1"/>
  <c r="CN121" i="1" s="1"/>
  <c r="CL17" i="1"/>
  <c r="CN30" i="1" l="1"/>
  <c r="CM30" i="1"/>
  <c r="CN31" i="1"/>
  <c r="CM31" i="1"/>
  <c r="CM165" i="1"/>
  <c r="CQ272" i="1"/>
  <c r="CO29" i="1"/>
  <c r="CO17" i="1" s="1"/>
  <c r="CN45" i="1"/>
  <c r="CN42" i="1" s="1"/>
  <c r="CR272" i="1"/>
  <c r="CN164" i="1"/>
  <c r="CN35" i="1"/>
  <c r="CN163" i="1"/>
  <c r="CN172" i="1"/>
  <c r="CM45" i="1"/>
  <c r="CM42" i="1" s="1"/>
  <c r="CM172" i="1"/>
  <c r="CN171" i="1"/>
  <c r="CN165" i="1"/>
  <c r="CM164" i="1"/>
  <c r="CM35" i="1"/>
  <c r="CM34" i="1" s="1"/>
  <c r="CM171" i="1"/>
  <c r="CM163" i="1"/>
  <c r="CK163" i="1"/>
  <c r="CK172" i="1"/>
  <c r="CK164" i="1"/>
  <c r="CM244" i="1"/>
  <c r="CK171" i="1"/>
  <c r="CK244" i="1"/>
  <c r="CK165" i="1"/>
  <c r="AA17" i="1"/>
  <c r="CN244" i="1"/>
  <c r="CO30" i="1" l="1"/>
  <c r="CO31" i="1"/>
  <c r="CO244" i="1"/>
  <c r="CM175" i="1"/>
  <c r="CK175" i="1"/>
  <c r="CN34" i="1"/>
  <c r="CN37" i="1"/>
  <c r="CN47" i="1"/>
  <c r="CN167" i="1"/>
  <c r="CM167" i="1"/>
  <c r="CN175" i="1"/>
  <c r="CR29" i="1"/>
  <c r="CR17" i="1" s="1"/>
  <c r="CM37" i="1"/>
  <c r="CR250" i="1"/>
  <c r="CQ29" i="1"/>
  <c r="CQ17" i="1" s="1"/>
  <c r="CQ250" i="1"/>
  <c r="CM47" i="1"/>
  <c r="CR117" i="1"/>
  <c r="CR118" i="1" s="1"/>
  <c r="CR121" i="1" s="1"/>
  <c r="CP272" i="1"/>
  <c r="CN38" i="1"/>
  <c r="CO117" i="1"/>
  <c r="CO118" i="1" s="1"/>
  <c r="CO121" i="1" s="1"/>
  <c r="CO272" i="1"/>
  <c r="CO250" i="1"/>
  <c r="CK167" i="1"/>
  <c r="CM38" i="1"/>
  <c r="CP250" i="1"/>
  <c r="CP29" i="1"/>
  <c r="CQ117" i="1"/>
  <c r="CQ118" i="1" s="1"/>
  <c r="CQ121" i="1" s="1"/>
  <c r="AB27" i="1"/>
  <c r="AB272" i="1" s="1"/>
  <c r="CP117" i="1"/>
  <c r="CP118" i="1" s="1"/>
  <c r="CP121" i="1" s="1"/>
  <c r="CO163" i="1"/>
  <c r="CO35" i="1"/>
  <c r="CO171" i="1"/>
  <c r="CO172" i="1"/>
  <c r="CO45" i="1"/>
  <c r="CO42" i="1" s="1"/>
  <c r="CO164" i="1"/>
  <c r="CO165" i="1"/>
  <c r="CK216" i="1" l="1"/>
  <c r="CL216" i="1"/>
  <c r="CK215" i="1"/>
  <c r="CL215" i="1"/>
  <c r="CL217" i="1" s="1"/>
  <c r="CL218" i="1" s="1"/>
  <c r="CL232" i="1" s="1"/>
  <c r="CP30" i="1"/>
  <c r="CP17" i="1"/>
  <c r="CP31" i="1"/>
  <c r="CQ30" i="1"/>
  <c r="CR31" i="1"/>
  <c r="CQ31" i="1"/>
  <c r="CR30" i="1"/>
  <c r="CN269" i="1"/>
  <c r="CN270" i="1" s="1"/>
  <c r="CN216" i="1"/>
  <c r="CN48" i="1"/>
  <c r="CN251" i="1"/>
  <c r="CN252" i="1" s="1"/>
  <c r="CN49" i="1"/>
  <c r="CN53" i="1"/>
  <c r="CN176" i="1"/>
  <c r="CM176" i="1"/>
  <c r="CN215" i="1"/>
  <c r="CR171" i="1"/>
  <c r="CR35" i="1"/>
  <c r="CR163" i="1"/>
  <c r="CR164" i="1"/>
  <c r="CR165" i="1"/>
  <c r="CR45" i="1"/>
  <c r="CR42" i="1" s="1"/>
  <c r="CR172" i="1"/>
  <c r="CQ45" i="1"/>
  <c r="CQ42" i="1" s="1"/>
  <c r="CQ165" i="1"/>
  <c r="CQ164" i="1"/>
  <c r="CQ171" i="1"/>
  <c r="CQ172" i="1"/>
  <c r="CQ163" i="1"/>
  <c r="CN50" i="1"/>
  <c r="CM49" i="1"/>
  <c r="CM251" i="1"/>
  <c r="CM252" i="1" s="1"/>
  <c r="CM48" i="1"/>
  <c r="CM53" i="1"/>
  <c r="CQ35" i="1"/>
  <c r="CK176" i="1"/>
  <c r="CK269" i="1"/>
  <c r="CK270" i="1" s="1"/>
  <c r="CS117" i="1"/>
  <c r="CS118" i="1" s="1"/>
  <c r="CS121" i="1" s="1"/>
  <c r="CS272" i="1"/>
  <c r="CM269" i="1"/>
  <c r="CM270" i="1" s="1"/>
  <c r="CK251" i="1"/>
  <c r="CK252" i="1" s="1"/>
  <c r="CK245" i="1"/>
  <c r="CN245" i="1"/>
  <c r="CR244" i="1"/>
  <c r="CP244" i="1"/>
  <c r="AB29" i="1"/>
  <c r="AB17" i="1" s="1"/>
  <c r="CO175" i="1"/>
  <c r="CS29" i="1"/>
  <c r="CS250" i="1"/>
  <c r="CO167" i="1"/>
  <c r="CM131" i="1"/>
  <c r="CN131" i="1"/>
  <c r="CM216" i="1"/>
  <c r="CP164" i="1"/>
  <c r="AB164" i="1" s="1"/>
  <c r="AB199" i="1" s="1"/>
  <c r="CP163" i="1"/>
  <c r="CP171" i="1"/>
  <c r="CP35" i="1"/>
  <c r="CP34" i="1" s="1"/>
  <c r="CP172" i="1"/>
  <c r="AB172" i="1" s="1"/>
  <c r="AB202" i="1" s="1"/>
  <c r="CP165" i="1"/>
  <c r="AB165" i="1" s="1"/>
  <c r="CP45" i="1"/>
  <c r="CP42" i="1" s="1"/>
  <c r="CT272" i="1"/>
  <c r="CO47" i="1"/>
  <c r="CO37" i="1"/>
  <c r="CO38" i="1"/>
  <c r="CM215" i="1"/>
  <c r="CQ244" i="1"/>
  <c r="CO34" i="1"/>
  <c r="CM245" i="1"/>
  <c r="CM50" i="1"/>
  <c r="CK217" i="1" l="1"/>
  <c r="CS31" i="1"/>
  <c r="CS17" i="1"/>
  <c r="CS30" i="1"/>
  <c r="CU272" i="1"/>
  <c r="CU29" i="1"/>
  <c r="CU17" i="1" s="1"/>
  <c r="CU250" i="1"/>
  <c r="CS244" i="1"/>
  <c r="CW272" i="1"/>
  <c r="CR167" i="1"/>
  <c r="CQ175" i="1"/>
  <c r="AB42" i="1"/>
  <c r="AB45" i="1" s="1"/>
  <c r="AB46" i="1" s="1"/>
  <c r="CN217" i="1"/>
  <c r="CR175" i="1"/>
  <c r="CR37" i="1"/>
  <c r="CR38" i="1"/>
  <c r="CR47" i="1"/>
  <c r="CR34" i="1"/>
  <c r="CV272" i="1"/>
  <c r="CV250" i="1"/>
  <c r="CV29" i="1"/>
  <c r="CV17" i="1" s="1"/>
  <c r="CQ34" i="1"/>
  <c r="CQ37" i="1"/>
  <c r="CQ47" i="1"/>
  <c r="CQ167" i="1"/>
  <c r="CO131" i="1"/>
  <c r="CO269" i="1"/>
  <c r="CO270" i="1" s="1"/>
  <c r="AB117" i="1"/>
  <c r="AB118" i="1" s="1"/>
  <c r="AB121" i="1" s="1"/>
  <c r="AB207" i="1"/>
  <c r="CQ38" i="1"/>
  <c r="AB34" i="1"/>
  <c r="AB35" i="1" s="1"/>
  <c r="CM217" i="1"/>
  <c r="CO176" i="1"/>
  <c r="CO215" i="1"/>
  <c r="CO245" i="1"/>
  <c r="AC27" i="1"/>
  <c r="AC272" i="1" s="1"/>
  <c r="CV117" i="1"/>
  <c r="CV118" i="1" s="1"/>
  <c r="CV121" i="1" s="1"/>
  <c r="AB30" i="1"/>
  <c r="AB77" i="1"/>
  <c r="AB163" i="1"/>
  <c r="CP167" i="1"/>
  <c r="CS163" i="1"/>
  <c r="CS35" i="1"/>
  <c r="CS34" i="1" s="1"/>
  <c r="CS171" i="1"/>
  <c r="CS164" i="1"/>
  <c r="CS172" i="1"/>
  <c r="CS165" i="1"/>
  <c r="CS45" i="1"/>
  <c r="CS42" i="1" s="1"/>
  <c r="CT117" i="1"/>
  <c r="CT118" i="1" s="1"/>
  <c r="CT121" i="1" s="1"/>
  <c r="CO216" i="1"/>
  <c r="CO49" i="1"/>
  <c r="CO251" i="1"/>
  <c r="CO252" i="1" s="1"/>
  <c r="CO53" i="1"/>
  <c r="CO50" i="1"/>
  <c r="CO48" i="1"/>
  <c r="CP37" i="1"/>
  <c r="CP47" i="1"/>
  <c r="CP38" i="1"/>
  <c r="CT250" i="1"/>
  <c r="CT29" i="1"/>
  <c r="CT17" i="1" s="1"/>
  <c r="AB171" i="1"/>
  <c r="AB175" i="1" s="1"/>
  <c r="CP175" i="1"/>
  <c r="CU117" i="1"/>
  <c r="CU118" i="1" s="1"/>
  <c r="CU121" i="1" s="1"/>
  <c r="CV31" i="1" l="1"/>
  <c r="CU30" i="1"/>
  <c r="CU31" i="1"/>
  <c r="CT30" i="1"/>
  <c r="CV30" i="1"/>
  <c r="CT31" i="1"/>
  <c r="CU45" i="1"/>
  <c r="CU42" i="1" s="1"/>
  <c r="CU163" i="1"/>
  <c r="CU35" i="1"/>
  <c r="CU171" i="1"/>
  <c r="CU164" i="1"/>
  <c r="CU172" i="1"/>
  <c r="CU165" i="1"/>
  <c r="CQ216" i="1"/>
  <c r="CV163" i="1"/>
  <c r="CV35" i="1"/>
  <c r="CV37" i="1" s="1"/>
  <c r="CV171" i="1"/>
  <c r="CR216" i="1"/>
  <c r="CR176" i="1"/>
  <c r="CR251" i="1"/>
  <c r="CR252" i="1" s="1"/>
  <c r="CR48" i="1"/>
  <c r="CR53" i="1"/>
  <c r="CR49" i="1"/>
  <c r="CV165" i="1"/>
  <c r="CV164" i="1"/>
  <c r="CV45" i="1"/>
  <c r="CV42" i="1" s="1"/>
  <c r="CV172" i="1"/>
  <c r="CQ53" i="1"/>
  <c r="CQ48" i="1"/>
  <c r="CQ49" i="1"/>
  <c r="CR50" i="1"/>
  <c r="CR269" i="1"/>
  <c r="CR270" i="1" s="1"/>
  <c r="CQ251" i="1"/>
  <c r="CQ252" i="1" s="1"/>
  <c r="CR215" i="1"/>
  <c r="CQ176" i="1"/>
  <c r="AB37" i="1"/>
  <c r="CP131" i="1"/>
  <c r="CP269" i="1"/>
  <c r="CP270" i="1" s="1"/>
  <c r="CQ269" i="1"/>
  <c r="CQ270" i="1" s="1"/>
  <c r="CS175" i="1"/>
  <c r="CS216" i="1" s="1"/>
  <c r="CV244" i="1"/>
  <c r="CP216" i="1"/>
  <c r="CP251" i="1"/>
  <c r="CP252" i="1" s="1"/>
  <c r="CP49" i="1"/>
  <c r="CP50" i="1"/>
  <c r="CP48" i="1"/>
  <c r="CP53" i="1"/>
  <c r="CT244" i="1"/>
  <c r="CP245" i="1"/>
  <c r="CU244" i="1"/>
  <c r="CR245" i="1"/>
  <c r="CQ245" i="1"/>
  <c r="CS47" i="1"/>
  <c r="CS269" i="1" s="1"/>
  <c r="CS270" i="1" s="1"/>
  <c r="CS37" i="1"/>
  <c r="CS38" i="1"/>
  <c r="AC29" i="1"/>
  <c r="AC17" i="1" s="1"/>
  <c r="CO217" i="1"/>
  <c r="CW250" i="1"/>
  <c r="CW29" i="1"/>
  <c r="CQ131" i="1"/>
  <c r="CW117" i="1"/>
  <c r="CW118" i="1" s="1"/>
  <c r="CW121" i="1" s="1"/>
  <c r="CS167" i="1"/>
  <c r="CT163" i="1"/>
  <c r="CT172" i="1"/>
  <c r="AC172" i="1" s="1"/>
  <c r="AC202" i="1" s="1"/>
  <c r="CT35" i="1"/>
  <c r="CT34" i="1" s="1"/>
  <c r="AC34" i="1" s="1"/>
  <c r="CT164" i="1"/>
  <c r="AC164" i="1" s="1"/>
  <c r="AC199" i="1" s="1"/>
  <c r="CT171" i="1"/>
  <c r="CT45" i="1"/>
  <c r="CT42" i="1" s="1"/>
  <c r="CT165" i="1"/>
  <c r="AC165" i="1" s="1"/>
  <c r="AB78" i="1"/>
  <c r="AB36" i="1"/>
  <c r="AB47" i="1"/>
  <c r="AB269" i="1" s="1"/>
  <c r="AB270" i="1" s="1"/>
  <c r="CQ50" i="1"/>
  <c r="CQ215" i="1"/>
  <c r="CP176" i="1"/>
  <c r="CP215" i="1"/>
  <c r="AB204" i="1"/>
  <c r="AB203" i="1" s="1"/>
  <c r="AB216" i="1"/>
  <c r="CR131" i="1"/>
  <c r="AB167" i="1"/>
  <c r="AB198" i="1"/>
  <c r="CW31" i="1" l="1"/>
  <c r="CW17" i="1"/>
  <c r="CW30" i="1"/>
  <c r="CU175" i="1"/>
  <c r="CU167" i="1"/>
  <c r="CY272" i="1"/>
  <c r="CY29" i="1"/>
  <c r="CY17" i="1" s="1"/>
  <c r="CY250" i="1"/>
  <c r="CU34" i="1"/>
  <c r="CU47" i="1"/>
  <c r="CU37" i="1"/>
  <c r="CW244" i="1"/>
  <c r="DA272" i="1"/>
  <c r="CQ217" i="1"/>
  <c r="AC42" i="1"/>
  <c r="AC45" i="1" s="1"/>
  <c r="AC46" i="1" s="1"/>
  <c r="CV167" i="1"/>
  <c r="CV34" i="1"/>
  <c r="CV38" i="1"/>
  <c r="CV175" i="1"/>
  <c r="CV47" i="1"/>
  <c r="CZ272" i="1"/>
  <c r="CZ250" i="1"/>
  <c r="CZ29" i="1"/>
  <c r="CZ17" i="1" s="1"/>
  <c r="CR217" i="1"/>
  <c r="CX117" i="1"/>
  <c r="CX118" i="1" s="1"/>
  <c r="CX121" i="1" s="1"/>
  <c r="CX272" i="1"/>
  <c r="CP217" i="1"/>
  <c r="AC117" i="1"/>
  <c r="AC118" i="1" s="1"/>
  <c r="AC121" i="1" s="1"/>
  <c r="AC207" i="1"/>
  <c r="AB49" i="1"/>
  <c r="CT167" i="1"/>
  <c r="CT215" i="1" s="1"/>
  <c r="AC163" i="1"/>
  <c r="CS176" i="1"/>
  <c r="CS215" i="1"/>
  <c r="CS217" i="1" s="1"/>
  <c r="CY117" i="1"/>
  <c r="CY118" i="1" s="1"/>
  <c r="CY121" i="1" s="1"/>
  <c r="CS50" i="1"/>
  <c r="CS48" i="1"/>
  <c r="CS53" i="1"/>
  <c r="CS251" i="1"/>
  <c r="CS252" i="1" s="1"/>
  <c r="CS49" i="1"/>
  <c r="AB176" i="1"/>
  <c r="AB201" i="1"/>
  <c r="AB215" i="1"/>
  <c r="AB217" i="1" s="1"/>
  <c r="AB79" i="1"/>
  <c r="AB53" i="1"/>
  <c r="AB131" i="1"/>
  <c r="AB48" i="1"/>
  <c r="CW35" i="1"/>
  <c r="CW34" i="1" s="1"/>
  <c r="CW171" i="1"/>
  <c r="CW163" i="1"/>
  <c r="CW165" i="1"/>
  <c r="CW164" i="1"/>
  <c r="CW172" i="1"/>
  <c r="CW45" i="1"/>
  <c r="CW42" i="1" s="1"/>
  <c r="CT175" i="1"/>
  <c r="AC171" i="1"/>
  <c r="AC175" i="1" s="1"/>
  <c r="CS131" i="1"/>
  <c r="CK264" i="1"/>
  <c r="CK246" i="1"/>
  <c r="CK253" i="1"/>
  <c r="CS245" i="1"/>
  <c r="CT38" i="1"/>
  <c r="CT37" i="1"/>
  <c r="CT47" i="1"/>
  <c r="AC30" i="1"/>
  <c r="AC35" i="1"/>
  <c r="AC77" i="1"/>
  <c r="CX250" i="1"/>
  <c r="CX29" i="1"/>
  <c r="CX17" i="1" s="1"/>
  <c r="CZ117" i="1"/>
  <c r="CZ118" i="1" s="1"/>
  <c r="CZ121" i="1" s="1"/>
  <c r="CU38" i="1"/>
  <c r="AD27" i="1"/>
  <c r="AD272" i="1" s="1"/>
  <c r="CZ172" i="1" l="1"/>
  <c r="CZ30" i="1"/>
  <c r="CZ31" i="1"/>
  <c r="CY30" i="1"/>
  <c r="CY31" i="1"/>
  <c r="CX30" i="1"/>
  <c r="CX31" i="1"/>
  <c r="CU176" i="1"/>
  <c r="CV215" i="1"/>
  <c r="CY164" i="1"/>
  <c r="CY35" i="1"/>
  <c r="CY172" i="1"/>
  <c r="CY165" i="1"/>
  <c r="CY171" i="1"/>
  <c r="CY45" i="1"/>
  <c r="CY163" i="1"/>
  <c r="CU53" i="1"/>
  <c r="CU48" i="1"/>
  <c r="CU49" i="1"/>
  <c r="CU251" i="1"/>
  <c r="CU252" i="1" s="1"/>
  <c r="CZ244" i="1"/>
  <c r="CV269" i="1"/>
  <c r="CV270" i="1" s="1"/>
  <c r="CV53" i="1"/>
  <c r="CV251" i="1"/>
  <c r="CV252" i="1" s="1"/>
  <c r="CV48" i="1"/>
  <c r="CV50" i="1"/>
  <c r="CV49" i="1"/>
  <c r="CZ45" i="1"/>
  <c r="CZ42" i="1" s="1"/>
  <c r="CZ163" i="1"/>
  <c r="CZ171" i="1"/>
  <c r="CZ165" i="1"/>
  <c r="CZ164" i="1"/>
  <c r="CZ35" i="1"/>
  <c r="CV176" i="1"/>
  <c r="CV216" i="1"/>
  <c r="AC37" i="1"/>
  <c r="CU131" i="1"/>
  <c r="CT269" i="1"/>
  <c r="CT270" i="1" s="1"/>
  <c r="CU269" i="1"/>
  <c r="CU270" i="1" s="1"/>
  <c r="CW175" i="1"/>
  <c r="CW216" i="1" s="1"/>
  <c r="CX244" i="1"/>
  <c r="CY244" i="1"/>
  <c r="CU216" i="1"/>
  <c r="CT216" i="1"/>
  <c r="CT217" i="1" s="1"/>
  <c r="CK212" i="1"/>
  <c r="CK214" i="1" s="1"/>
  <c r="CK218" i="1" s="1"/>
  <c r="CK232" i="1" s="1"/>
  <c r="CK138" i="1"/>
  <c r="CV245" i="1"/>
  <c r="AC47" i="1"/>
  <c r="AC269" i="1" s="1"/>
  <c r="AC270" i="1" s="1"/>
  <c r="AC78" i="1"/>
  <c r="AC36" i="1"/>
  <c r="CW167" i="1"/>
  <c r="CT245" i="1"/>
  <c r="AC198" i="1"/>
  <c r="AC167" i="1"/>
  <c r="DA250" i="1"/>
  <c r="DA29" i="1"/>
  <c r="DA17" i="1" s="1"/>
  <c r="CT176" i="1"/>
  <c r="CU215" i="1"/>
  <c r="CX163" i="1"/>
  <c r="CX164" i="1"/>
  <c r="AD164" i="1" s="1"/>
  <c r="AD199" i="1" s="1"/>
  <c r="CX35" i="1"/>
  <c r="CX172" i="1"/>
  <c r="AD172" i="1" s="1"/>
  <c r="AD202" i="1" s="1"/>
  <c r="CX171" i="1"/>
  <c r="CX45" i="1"/>
  <c r="CX42" i="1" s="1"/>
  <c r="CX165" i="1"/>
  <c r="AD165" i="1" s="1"/>
  <c r="CT53" i="1"/>
  <c r="CT49" i="1"/>
  <c r="CT48" i="1"/>
  <c r="CT251" i="1"/>
  <c r="CT252" i="1" s="1"/>
  <c r="CT50" i="1"/>
  <c r="CW38" i="1"/>
  <c r="CW37" i="1"/>
  <c r="CW47" i="1"/>
  <c r="CU245" i="1"/>
  <c r="CU50" i="1"/>
  <c r="AD29" i="1"/>
  <c r="AD17" i="1" s="1"/>
  <c r="DA117" i="1"/>
  <c r="DA118" i="1" s="1"/>
  <c r="DA121" i="1" s="1"/>
  <c r="AC204" i="1"/>
  <c r="AC203" i="1" s="1"/>
  <c r="AC216" i="1"/>
  <c r="AB200" i="1"/>
  <c r="AB205" i="1"/>
  <c r="AB208" i="1" s="1"/>
  <c r="AB209" i="1" s="1"/>
  <c r="CT131" i="1"/>
  <c r="CV131" i="1"/>
  <c r="CZ175" i="1" l="1"/>
  <c r="DA244" i="1"/>
  <c r="DA30" i="1"/>
  <c r="DA31" i="1"/>
  <c r="CY175" i="1"/>
  <c r="CY167" i="1"/>
  <c r="CV217" i="1"/>
  <c r="CY34" i="1"/>
  <c r="CY37" i="1"/>
  <c r="CY38" i="1"/>
  <c r="CY42" i="1"/>
  <c r="CY47" i="1"/>
  <c r="AD42" i="1"/>
  <c r="AD45" i="1" s="1"/>
  <c r="AD46" i="1" s="1"/>
  <c r="CZ167" i="1"/>
  <c r="CZ34" i="1"/>
  <c r="CZ37" i="1"/>
  <c r="CZ47" i="1"/>
  <c r="CZ38" i="1"/>
  <c r="CW245" i="1"/>
  <c r="CW269" i="1"/>
  <c r="CW270" i="1" s="1"/>
  <c r="DB117" i="1"/>
  <c r="DB118" i="1" s="1"/>
  <c r="DB121" i="1" s="1"/>
  <c r="DB272" i="1"/>
  <c r="AD117" i="1"/>
  <c r="AD118" i="1" s="1"/>
  <c r="AD121" i="1" s="1"/>
  <c r="AD207" i="1"/>
  <c r="CU217" i="1"/>
  <c r="AC49" i="1"/>
  <c r="AD171" i="1"/>
  <c r="AD175" i="1" s="1"/>
  <c r="CX175" i="1"/>
  <c r="DA171" i="1"/>
  <c r="DA172" i="1"/>
  <c r="DA164" i="1"/>
  <c r="DA35" i="1"/>
  <c r="DA163" i="1"/>
  <c r="DA45" i="1"/>
  <c r="DA42" i="1" s="1"/>
  <c r="DA165" i="1"/>
  <c r="CK139" i="1"/>
  <c r="CL226" i="1" s="1"/>
  <c r="CL224" i="1" s="1"/>
  <c r="CX38" i="1"/>
  <c r="CX47" i="1"/>
  <c r="CX37" i="1"/>
  <c r="AC201" i="1"/>
  <c r="AC176" i="1"/>
  <c r="AC215" i="1"/>
  <c r="AC217" i="1" s="1"/>
  <c r="AC53" i="1"/>
  <c r="AC79" i="1"/>
  <c r="AC48" i="1"/>
  <c r="AC131" i="1"/>
  <c r="DB29" i="1"/>
  <c r="DB17" i="1" s="1"/>
  <c r="DB250" i="1"/>
  <c r="CW176" i="1"/>
  <c r="CW215" i="1"/>
  <c r="CW217" i="1" s="1"/>
  <c r="AD163" i="1"/>
  <c r="CX167" i="1"/>
  <c r="AD77" i="1"/>
  <c r="AD30" i="1"/>
  <c r="CW53" i="1"/>
  <c r="CW49" i="1"/>
  <c r="CW251" i="1"/>
  <c r="CW252" i="1" s="1"/>
  <c r="CW50" i="1"/>
  <c r="CW48" i="1"/>
  <c r="CW131" i="1"/>
  <c r="CX34" i="1"/>
  <c r="AD34" i="1" s="1"/>
  <c r="AD35" i="1" s="1"/>
  <c r="AE27" i="1"/>
  <c r="AE272" i="1" s="1"/>
  <c r="CZ216" i="1" l="1"/>
  <c r="CY176" i="1"/>
  <c r="DB244" i="1"/>
  <c r="DB30" i="1"/>
  <c r="DB31" i="1"/>
  <c r="CK111" i="1"/>
  <c r="CK73" i="1"/>
  <c r="CY269" i="1"/>
  <c r="CY270" i="1" s="1"/>
  <c r="CY53" i="1"/>
  <c r="CY49" i="1"/>
  <c r="CY48" i="1"/>
  <c r="CY251" i="1"/>
  <c r="CY252" i="1" s="1"/>
  <c r="CZ215" i="1"/>
  <c r="CZ176" i="1"/>
  <c r="CZ269" i="1"/>
  <c r="CZ270" i="1" s="1"/>
  <c r="CZ48" i="1"/>
  <c r="CZ251" i="1"/>
  <c r="CZ252" i="1" s="1"/>
  <c r="CZ50" i="1"/>
  <c r="CZ53" i="1"/>
  <c r="CZ49" i="1"/>
  <c r="AD37" i="1"/>
  <c r="CZ131" i="1"/>
  <c r="CX269" i="1"/>
  <c r="CX270" i="1" s="1"/>
  <c r="CY245" i="1"/>
  <c r="CY50" i="1"/>
  <c r="CZ245" i="1"/>
  <c r="CX245" i="1"/>
  <c r="CY131" i="1"/>
  <c r="CX131" i="1"/>
  <c r="DA167" i="1"/>
  <c r="DA215" i="1" s="1"/>
  <c r="AD36" i="1"/>
  <c r="AD78" i="1"/>
  <c r="AD47" i="1"/>
  <c r="AD269" i="1" s="1"/>
  <c r="AD270" i="1" s="1"/>
  <c r="CY215" i="1"/>
  <c r="CX176" i="1"/>
  <c r="CY216" i="1"/>
  <c r="CX216" i="1"/>
  <c r="AD204" i="1"/>
  <c r="AD203" i="1" s="1"/>
  <c r="AD216" i="1"/>
  <c r="CG108" i="1"/>
  <c r="DA38" i="1"/>
  <c r="DA37" i="1"/>
  <c r="DA47" i="1"/>
  <c r="DA269" i="1" s="1"/>
  <c r="DA270" i="1" s="1"/>
  <c r="CX215" i="1"/>
  <c r="CX53" i="1"/>
  <c r="CX49" i="1"/>
  <c r="CX48" i="1"/>
  <c r="CX251" i="1"/>
  <c r="CX252" i="1" s="1"/>
  <c r="CX50" i="1"/>
  <c r="AD198" i="1"/>
  <c r="AD167" i="1"/>
  <c r="CK226" i="1"/>
  <c r="CK224" i="1" s="1"/>
  <c r="CK229" i="1" s="1"/>
  <c r="CK148" i="1"/>
  <c r="CK74" i="1" s="1"/>
  <c r="AC200" i="1"/>
  <c r="AC205" i="1"/>
  <c r="AC208" i="1" s="1"/>
  <c r="AC209" i="1" s="1"/>
  <c r="DA34" i="1"/>
  <c r="DB164" i="1"/>
  <c r="AE164" i="1" s="1"/>
  <c r="AE199" i="1" s="1"/>
  <c r="DB35" i="1"/>
  <c r="DB34" i="1" s="1"/>
  <c r="DB163" i="1"/>
  <c r="DB45" i="1"/>
  <c r="DB42" i="1" s="1"/>
  <c r="DB172" i="1"/>
  <c r="AE172" i="1" s="1"/>
  <c r="AE202" i="1" s="1"/>
  <c r="DB165" i="1"/>
  <c r="AE165" i="1" s="1"/>
  <c r="DB171" i="1"/>
  <c r="AE29" i="1"/>
  <c r="AE17" i="1" s="1"/>
  <c r="DA175" i="1"/>
  <c r="CZ217" i="1" l="1"/>
  <c r="CK114" i="1"/>
  <c r="CK115" i="1"/>
  <c r="CK113" i="1"/>
  <c r="AE42" i="1"/>
  <c r="AE45" i="1" s="1"/>
  <c r="AE46" i="1" s="1"/>
  <c r="AE117" i="1"/>
  <c r="AE118" i="1" s="1"/>
  <c r="AE121" i="1" s="1"/>
  <c r="AE207" i="1"/>
  <c r="AD49" i="1"/>
  <c r="DA176" i="1"/>
  <c r="CK179" i="1"/>
  <c r="CK180" i="1" s="1"/>
  <c r="CL228" i="1" s="1"/>
  <c r="CL229" i="1" s="1"/>
  <c r="CL230" i="1" s="1"/>
  <c r="DB38" i="1"/>
  <c r="DB47" i="1"/>
  <c r="DB269" i="1" s="1"/>
  <c r="DB270" i="1" s="1"/>
  <c r="DB37" i="1"/>
  <c r="CX217" i="1"/>
  <c r="CY217" i="1"/>
  <c r="AD176" i="1"/>
  <c r="AD201" i="1"/>
  <c r="AD215" i="1"/>
  <c r="AD217" i="1" s="1"/>
  <c r="DB167" i="1"/>
  <c r="AE163" i="1"/>
  <c r="DA53" i="1"/>
  <c r="DA48" i="1"/>
  <c r="DA49" i="1"/>
  <c r="DA50" i="1"/>
  <c r="DA251" i="1"/>
  <c r="DA252" i="1" s="1"/>
  <c r="AD53" i="1"/>
  <c r="AD48" i="1"/>
  <c r="AD131" i="1"/>
  <c r="AD79" i="1"/>
  <c r="AE30" i="1"/>
  <c r="AE77" i="1"/>
  <c r="AE34" i="1"/>
  <c r="AE35" i="1" s="1"/>
  <c r="AE37" i="1" s="1"/>
  <c r="DA131" i="1"/>
  <c r="DA245" i="1"/>
  <c r="AE171" i="1"/>
  <c r="AE175" i="1" s="1"/>
  <c r="DB175" i="1"/>
  <c r="DB216" i="1" s="1"/>
  <c r="DA216" i="1"/>
  <c r="DA217" i="1" s="1"/>
  <c r="CK230" i="1" l="1"/>
  <c r="CK267" i="1"/>
  <c r="CK263" i="1"/>
  <c r="CK265" i="1"/>
  <c r="AE47" i="1"/>
  <c r="AE36" i="1"/>
  <c r="AE78" i="1"/>
  <c r="DB53" i="1"/>
  <c r="DB50" i="1"/>
  <c r="DB251" i="1"/>
  <c r="DB252" i="1" s="1"/>
  <c r="DB48" i="1"/>
  <c r="DB49" i="1"/>
  <c r="DB131" i="1"/>
  <c r="AD205" i="1"/>
  <c r="AD208" i="1" s="1"/>
  <c r="AD209" i="1" s="1"/>
  <c r="AD200" i="1"/>
  <c r="AE167" i="1"/>
  <c r="AE198" i="1"/>
  <c r="CK184" i="1"/>
  <c r="CK187" i="1"/>
  <c r="DB176" i="1"/>
  <c r="DB215" i="1"/>
  <c r="DB217" i="1" s="1"/>
  <c r="AE204" i="1"/>
  <c r="AE203" i="1" s="1"/>
  <c r="AE216" i="1"/>
  <c r="DB245" i="1"/>
  <c r="CK128" i="1" l="1"/>
  <c r="CK130" i="1" s="1"/>
  <c r="CK133" i="1" s="1"/>
  <c r="CL56" i="1"/>
  <c r="AE49" i="1"/>
  <c r="AE269" i="1"/>
  <c r="AE270" i="1" s="1"/>
  <c r="CK185" i="1"/>
  <c r="AE176" i="1"/>
  <c r="AE201" i="1"/>
  <c r="AE215" i="1"/>
  <c r="AE217" i="1" s="1"/>
  <c r="AE53" i="1"/>
  <c r="AE48" i="1"/>
  <c r="AE79" i="1"/>
  <c r="AE131" i="1"/>
  <c r="CK129" i="1" l="1"/>
  <c r="CK132" i="1" s="1"/>
  <c r="AE205" i="1"/>
  <c r="AE208" i="1" s="1"/>
  <c r="AE209" i="1" s="1"/>
  <c r="AE200" i="1"/>
  <c r="Z108" i="1" l="1"/>
  <c r="CM106" i="1" l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M115" i="1"/>
  <c r="CM114" i="1"/>
  <c r="CH108" i="1"/>
  <c r="CN114" i="1" l="1"/>
  <c r="CN115" i="1"/>
  <c r="CM105" i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O115" i="1" l="1"/>
  <c r="CO114" i="1"/>
  <c r="CP114" i="1" l="1"/>
  <c r="CP115" i="1"/>
  <c r="CM228" i="1"/>
  <c r="AB228" i="1"/>
  <c r="CQ115" i="1" l="1"/>
  <c r="CQ114" i="1"/>
  <c r="CM55" i="1"/>
  <c r="CM271" i="1" s="1"/>
  <c r="CR114" i="1" l="1"/>
  <c r="CR115" i="1"/>
  <c r="CM57" i="1"/>
  <c r="CS115" i="1" l="1"/>
  <c r="CS114" i="1"/>
  <c r="CM58" i="1"/>
  <c r="CT114" i="1" l="1"/>
  <c r="CT115" i="1"/>
  <c r="CM60" i="1"/>
  <c r="CU115" i="1" l="1"/>
  <c r="CU114" i="1"/>
  <c r="CM62" i="1"/>
  <c r="CM63" i="1"/>
  <c r="CM253" i="1"/>
  <c r="CM67" i="1"/>
  <c r="CM61" i="1"/>
  <c r="CM264" i="1" s="1"/>
  <c r="CM246" i="1"/>
  <c r="CV114" i="1" l="1"/>
  <c r="CV115" i="1"/>
  <c r="CM212" i="1"/>
  <c r="CM214" i="1" s="1"/>
  <c r="CM218" i="1" s="1"/>
  <c r="CM232" i="1" s="1"/>
  <c r="CM85" i="1"/>
  <c r="CM138" i="1"/>
  <c r="CW115" i="1" l="1"/>
  <c r="CW114" i="1"/>
  <c r="CM139" i="1"/>
  <c r="CM88" i="1"/>
  <c r="CX114" i="1" l="1"/>
  <c r="CX115" i="1"/>
  <c r="CM89" i="1"/>
  <c r="CI108" i="1"/>
  <c r="CM104" i="1"/>
  <c r="CM148" i="1"/>
  <c r="CM74" i="1" s="1"/>
  <c r="CM111" i="1"/>
  <c r="CM226" i="1"/>
  <c r="CM224" i="1" s="1"/>
  <c r="CM229" i="1" s="1"/>
  <c r="CM73" i="1"/>
  <c r="CM113" i="1" l="1"/>
  <c r="CM97" i="1"/>
  <c r="CM100" i="1" s="1"/>
  <c r="CM98" i="1"/>
  <c r="CM101" i="1" s="1"/>
  <c r="CY115" i="1"/>
  <c r="CY114" i="1"/>
  <c r="CM179" i="1"/>
  <c r="CM180" i="1" s="1"/>
  <c r="CM127" i="1" l="1"/>
  <c r="CM126" i="1"/>
  <c r="CZ114" i="1"/>
  <c r="CZ115" i="1"/>
  <c r="CM230" i="1"/>
  <c r="CM267" i="1"/>
  <c r="CM265" i="1"/>
  <c r="CM263" i="1"/>
  <c r="CN228" i="1"/>
  <c r="CM184" i="1"/>
  <c r="CM187" i="1"/>
  <c r="DA115" i="1" l="1"/>
  <c r="DA114" i="1"/>
  <c r="CM185" i="1"/>
  <c r="CN55" i="1"/>
  <c r="CN271" i="1" s="1"/>
  <c r="CM128" i="1"/>
  <c r="DB114" i="1" l="1"/>
  <c r="DB115" i="1"/>
  <c r="CM129" i="1"/>
  <c r="CM132" i="1" s="1"/>
  <c r="CM130" i="1"/>
  <c r="CM133" i="1" s="1"/>
  <c r="CN57" i="1"/>
  <c r="CN58" i="1" l="1"/>
  <c r="CN60" i="1" s="1"/>
  <c r="CN62" i="1" l="1"/>
  <c r="CN63" i="1"/>
  <c r="CN67" i="1"/>
  <c r="CN253" i="1"/>
  <c r="CN61" i="1"/>
  <c r="CN264" i="1" s="1"/>
  <c r="CN246" i="1"/>
  <c r="CN85" i="1" l="1"/>
  <c r="CN212" i="1"/>
  <c r="CN214" i="1" s="1"/>
  <c r="CN218" i="1" s="1"/>
  <c r="CN232" i="1" s="1"/>
  <c r="CN138" i="1"/>
  <c r="CN88" i="1" l="1"/>
  <c r="CN139" i="1"/>
  <c r="CN89" i="1" l="1"/>
  <c r="CN148" i="1"/>
  <c r="CN74" i="1" s="1"/>
  <c r="CN226" i="1"/>
  <c r="CN224" i="1" s="1"/>
  <c r="CN229" i="1" s="1"/>
  <c r="CN111" i="1"/>
  <c r="CN73" i="1"/>
  <c r="CN104" i="1"/>
  <c r="CJ108" i="1"/>
  <c r="CN113" i="1" l="1"/>
  <c r="CN98" i="1"/>
  <c r="CN127" i="1" s="1"/>
  <c r="CN97" i="1"/>
  <c r="CN100" i="1" s="1"/>
  <c r="CN179" i="1"/>
  <c r="CN180" i="1" s="1"/>
  <c r="CN126" i="1" l="1"/>
  <c r="CN101" i="1"/>
  <c r="CN230" i="1"/>
  <c r="CN267" i="1"/>
  <c r="CN265" i="1"/>
  <c r="CN263" i="1"/>
  <c r="CN184" i="1"/>
  <c r="CN187" i="1"/>
  <c r="CO228" i="1"/>
  <c r="CN185" i="1" l="1"/>
  <c r="CO55" i="1"/>
  <c r="CO271" i="1" s="1"/>
  <c r="CN128" i="1"/>
  <c r="CO57" i="1" l="1"/>
  <c r="CN130" i="1"/>
  <c r="CN133" i="1" s="1"/>
  <c r="CN129" i="1"/>
  <c r="CN132" i="1" s="1"/>
  <c r="CO58" i="1" l="1"/>
  <c r="CO60" i="1" l="1"/>
  <c r="CO61" i="1" l="1"/>
  <c r="CO264" i="1" s="1"/>
  <c r="CO63" i="1"/>
  <c r="CO62" i="1"/>
  <c r="CO253" i="1"/>
  <c r="CO67" i="1"/>
  <c r="CO246" i="1"/>
  <c r="CO85" i="1" l="1"/>
  <c r="CO212" i="1"/>
  <c r="CO214" i="1" s="1"/>
  <c r="CO218" i="1" s="1"/>
  <c r="CO232" i="1" s="1"/>
  <c r="CO138" i="1"/>
  <c r="CO139" i="1" l="1"/>
  <c r="CO88" i="1"/>
  <c r="CK108" i="1" s="1"/>
  <c r="CO89" i="1" l="1"/>
  <c r="CO104" i="1"/>
  <c r="CO111" i="1"/>
  <c r="CO226" i="1"/>
  <c r="CO224" i="1" s="1"/>
  <c r="CO229" i="1" s="1"/>
  <c r="CO148" i="1"/>
  <c r="CO74" i="1" s="1"/>
  <c r="CO73" i="1"/>
  <c r="CO113" i="1" l="1"/>
  <c r="CO97" i="1"/>
  <c r="CO100" i="1" s="1"/>
  <c r="CO98" i="1"/>
  <c r="CO127" i="1" s="1"/>
  <c r="CO179" i="1"/>
  <c r="CO180" i="1" s="1"/>
  <c r="CO101" i="1" l="1"/>
  <c r="CO126" i="1"/>
  <c r="CO230" i="1"/>
  <c r="CO265" i="1"/>
  <c r="CO263" i="1"/>
  <c r="CO267" i="1"/>
  <c r="CO184" i="1"/>
  <c r="CO187" i="1"/>
  <c r="CP228" i="1"/>
  <c r="CP55" i="1" l="1"/>
  <c r="CP271" i="1" s="1"/>
  <c r="CO128" i="1"/>
  <c r="CO185" i="1"/>
  <c r="CO130" i="1" l="1"/>
  <c r="CO133" i="1" s="1"/>
  <c r="CO129" i="1"/>
  <c r="CO132" i="1" s="1"/>
  <c r="CP57" i="1"/>
  <c r="AB55" i="1"/>
  <c r="AB56" i="1" l="1"/>
  <c r="AB271" i="1"/>
  <c r="AB57" i="1"/>
  <c r="CP58" i="1"/>
  <c r="AB58" i="1" s="1"/>
  <c r="AB59" i="1" l="1"/>
  <c r="CP60" i="1"/>
  <c r="CP61" i="1" s="1"/>
  <c r="CP264" i="1" s="1"/>
  <c r="AB60" i="1"/>
  <c r="CP62" i="1" l="1"/>
  <c r="CP246" i="1"/>
  <c r="CP253" i="1"/>
  <c r="CP67" i="1"/>
  <c r="CP138" i="1" s="1"/>
  <c r="CP63" i="1"/>
  <c r="AB62" i="1"/>
  <c r="AB67" i="1"/>
  <c r="AB61" i="1"/>
  <c r="AB264" i="1" s="1"/>
  <c r="AB80" i="1"/>
  <c r="CP212" i="1" l="1"/>
  <c r="CP214" i="1" s="1"/>
  <c r="CP218" i="1" s="1"/>
  <c r="CP232" i="1" s="1"/>
  <c r="CP85" i="1"/>
  <c r="CP88" i="1" s="1"/>
  <c r="CL108" i="1" s="1"/>
  <c r="AB138" i="1"/>
  <c r="AB139" i="1" s="1"/>
  <c r="AB73" i="1" s="1"/>
  <c r="CP139" i="1"/>
  <c r="AB70" i="1"/>
  <c r="AB71" i="1" s="1"/>
  <c r="AB85" i="1"/>
  <c r="AB212" i="1"/>
  <c r="AB214" i="1" s="1"/>
  <c r="AB218" i="1" s="1"/>
  <c r="AB232" i="1" s="1"/>
  <c r="CP91" i="1" l="1"/>
  <c r="CP89" i="1"/>
  <c r="AB148" i="1"/>
  <c r="AB74" i="1" s="1"/>
  <c r="AB194" i="1"/>
  <c r="AB226" i="1"/>
  <c r="AB224" i="1" s="1"/>
  <c r="AB229" i="1" s="1"/>
  <c r="AB111" i="1"/>
  <c r="AB113" i="1" s="1"/>
  <c r="AB87" i="1"/>
  <c r="AB88" i="1"/>
  <c r="AA108" i="1" s="1"/>
  <c r="CP104" i="1"/>
  <c r="CP226" i="1"/>
  <c r="CP224" i="1" s="1"/>
  <c r="CP229" i="1" s="1"/>
  <c r="CP148" i="1"/>
  <c r="CP74" i="1" s="1"/>
  <c r="CP111" i="1"/>
  <c r="CP73" i="1"/>
  <c r="AB89" i="1" l="1"/>
  <c r="CP113" i="1"/>
  <c r="CP97" i="1"/>
  <c r="CP100" i="1" s="1"/>
  <c r="CP98" i="1"/>
  <c r="CP127" i="1" s="1"/>
  <c r="CP179" i="1"/>
  <c r="AB104" i="1"/>
  <c r="AB97" i="1" l="1"/>
  <c r="AB122" i="1" s="1"/>
  <c r="CP126" i="1"/>
  <c r="AB98" i="1"/>
  <c r="AB123" i="1" s="1"/>
  <c r="CP101" i="1"/>
  <c r="CP180" i="1"/>
  <c r="AB179" i="1"/>
  <c r="AB180" i="1" s="1"/>
  <c r="AB126" i="1" l="1"/>
  <c r="AB114" i="1"/>
  <c r="AB105" i="1"/>
  <c r="AB100" i="1"/>
  <c r="AB127" i="1"/>
  <c r="AB115" i="1"/>
  <c r="AB106" i="1"/>
  <c r="AB101" i="1"/>
  <c r="AB267" i="1"/>
  <c r="AB265" i="1"/>
  <c r="AB263" i="1"/>
  <c r="CP265" i="1"/>
  <c r="CP263" i="1"/>
  <c r="CP267" i="1"/>
  <c r="CP184" i="1"/>
  <c r="CQ228" i="1"/>
  <c r="CP187" i="1"/>
  <c r="CP230" i="1"/>
  <c r="AB187" i="1"/>
  <c r="AB128" i="1" s="1"/>
  <c r="AB184" i="1"/>
  <c r="AC228" i="1"/>
  <c r="AB230" i="1"/>
  <c r="AB130" i="1" l="1"/>
  <c r="AB133" i="1" s="1"/>
  <c r="AB129" i="1"/>
  <c r="AB132" i="1" s="1"/>
  <c r="AB185" i="1"/>
  <c r="CP128" i="1"/>
  <c r="CQ55" i="1"/>
  <c r="CQ271" i="1" s="1"/>
  <c r="CP185" i="1"/>
  <c r="CQ57" i="1" l="1"/>
  <c r="CP129" i="1"/>
  <c r="CP132" i="1" s="1"/>
  <c r="CP130" i="1"/>
  <c r="CP133" i="1" s="1"/>
  <c r="CQ58" i="1" l="1"/>
  <c r="CQ60" i="1" s="1"/>
  <c r="CQ67" i="1" l="1"/>
  <c r="CQ61" i="1"/>
  <c r="CQ264" i="1" s="1"/>
  <c r="CQ62" i="1"/>
  <c r="CQ63" i="1"/>
  <c r="CQ253" i="1"/>
  <c r="CQ246" i="1"/>
  <c r="CQ85" i="1" l="1"/>
  <c r="CQ212" i="1"/>
  <c r="CQ214" i="1" s="1"/>
  <c r="CQ218" i="1" s="1"/>
  <c r="CQ232" i="1" s="1"/>
  <c r="CQ138" i="1"/>
  <c r="CQ139" i="1" l="1"/>
  <c r="CQ88" i="1"/>
  <c r="CQ89" i="1" l="1"/>
  <c r="CQ104" i="1"/>
  <c r="CQ148" i="1"/>
  <c r="CQ74" i="1" s="1"/>
  <c r="CQ226" i="1"/>
  <c r="CQ224" i="1" s="1"/>
  <c r="CQ229" i="1" s="1"/>
  <c r="CQ111" i="1"/>
  <c r="CQ73" i="1"/>
  <c r="CQ113" i="1" l="1"/>
  <c r="CQ98" i="1"/>
  <c r="CQ127" i="1" s="1"/>
  <c r="CQ97" i="1"/>
  <c r="CQ100" i="1" s="1"/>
  <c r="CQ179" i="1"/>
  <c r="CQ180" i="1" s="1"/>
  <c r="CQ230" i="1" s="1"/>
  <c r="CQ101" i="1" l="1"/>
  <c r="CQ126" i="1"/>
  <c r="CQ267" i="1"/>
  <c r="CQ265" i="1"/>
  <c r="CQ263" i="1"/>
  <c r="CQ187" i="1"/>
  <c r="CR228" i="1"/>
  <c r="CQ184" i="1"/>
  <c r="CQ185" i="1" l="1"/>
  <c r="CQ128" i="1"/>
  <c r="CR55" i="1"/>
  <c r="CR271" i="1" s="1"/>
  <c r="CR57" i="1" l="1"/>
  <c r="CQ129" i="1"/>
  <c r="CQ132" i="1" s="1"/>
  <c r="CQ130" i="1"/>
  <c r="CQ133" i="1" s="1"/>
  <c r="CR58" i="1" l="1"/>
  <c r="CR60" i="1" s="1"/>
  <c r="CR253" i="1" l="1"/>
  <c r="CR61" i="1"/>
  <c r="CR264" i="1" s="1"/>
  <c r="CR67" i="1"/>
  <c r="CR62" i="1"/>
  <c r="CR63" i="1"/>
  <c r="CR246" i="1"/>
  <c r="CR85" i="1" l="1"/>
  <c r="CR212" i="1"/>
  <c r="CR214" i="1" s="1"/>
  <c r="CR218" i="1" s="1"/>
  <c r="CR232" i="1" s="1"/>
  <c r="CR138" i="1"/>
  <c r="CR139" i="1" l="1"/>
  <c r="CR88" i="1"/>
  <c r="CR89" i="1" l="1"/>
  <c r="CR104" i="1"/>
  <c r="CR148" i="1"/>
  <c r="CR74" i="1" s="1"/>
  <c r="CR226" i="1"/>
  <c r="CR224" i="1" s="1"/>
  <c r="CR229" i="1" s="1"/>
  <c r="CR111" i="1"/>
  <c r="CR73" i="1"/>
  <c r="CR113" i="1" l="1"/>
  <c r="CR97" i="1"/>
  <c r="CR126" i="1" s="1"/>
  <c r="CR98" i="1"/>
  <c r="CR101" i="1" s="1"/>
  <c r="CR179" i="1"/>
  <c r="CR180" i="1" s="1"/>
  <c r="CR127" i="1" l="1"/>
  <c r="CR100" i="1"/>
  <c r="CR267" i="1"/>
  <c r="CR265" i="1"/>
  <c r="CR263" i="1"/>
  <c r="CS228" i="1"/>
  <c r="CR187" i="1"/>
  <c r="CR184" i="1"/>
  <c r="CR230" i="1"/>
  <c r="CR185" i="1" l="1"/>
  <c r="CR128" i="1"/>
  <c r="CS55" i="1"/>
  <c r="CS271" i="1" s="1"/>
  <c r="CS57" i="1" l="1"/>
  <c r="CR129" i="1"/>
  <c r="CR132" i="1" s="1"/>
  <c r="CR130" i="1"/>
  <c r="CR133" i="1" s="1"/>
  <c r="CS58" i="1" l="1"/>
  <c r="CS60" i="1" l="1"/>
  <c r="CS67" i="1" l="1"/>
  <c r="CS63" i="1"/>
  <c r="CS253" i="1"/>
  <c r="CS62" i="1"/>
  <c r="CS61" i="1"/>
  <c r="CS264" i="1" s="1"/>
  <c r="CS246" i="1"/>
  <c r="CS85" i="1" l="1"/>
  <c r="CS212" i="1"/>
  <c r="CS214" i="1" s="1"/>
  <c r="CS218" i="1" s="1"/>
  <c r="CS232" i="1" s="1"/>
  <c r="CS138" i="1"/>
  <c r="CS139" i="1" l="1"/>
  <c r="CS88" i="1"/>
  <c r="CS89" i="1" l="1"/>
  <c r="CS104" i="1"/>
  <c r="CS148" i="1"/>
  <c r="CS74" i="1" s="1"/>
  <c r="CS111" i="1"/>
  <c r="CS226" i="1"/>
  <c r="CS224" i="1" s="1"/>
  <c r="CS229" i="1" s="1"/>
  <c r="CS73" i="1"/>
  <c r="CS113" i="1" l="1"/>
  <c r="CS97" i="1"/>
  <c r="CS126" i="1" s="1"/>
  <c r="CS98" i="1"/>
  <c r="CS127" i="1" s="1"/>
  <c r="CS179" i="1"/>
  <c r="CS180" i="1" s="1"/>
  <c r="CS100" i="1" l="1"/>
  <c r="CS101" i="1"/>
  <c r="CS265" i="1"/>
  <c r="CS267" i="1"/>
  <c r="CS263" i="1"/>
  <c r="CT228" i="1"/>
  <c r="CS184" i="1"/>
  <c r="CS187" i="1"/>
  <c r="CS230" i="1"/>
  <c r="CT55" i="1" l="1"/>
  <c r="CT271" i="1" s="1"/>
  <c r="CS128" i="1"/>
  <c r="CS185" i="1"/>
  <c r="CS130" i="1" l="1"/>
  <c r="CS133" i="1" s="1"/>
  <c r="CS129" i="1"/>
  <c r="CS132" i="1" s="1"/>
  <c r="CT57" i="1"/>
  <c r="AC55" i="1"/>
  <c r="AC56" i="1" l="1"/>
  <c r="AC271" i="1"/>
  <c r="AC57" i="1"/>
  <c r="CT58" i="1"/>
  <c r="AC58" i="1" s="1"/>
  <c r="AC59" i="1" l="1"/>
  <c r="CT60" i="1"/>
  <c r="CT63" i="1" s="1"/>
  <c r="AC60" i="1"/>
  <c r="CT62" i="1" l="1"/>
  <c r="CT67" i="1"/>
  <c r="CT253" i="1"/>
  <c r="CT246" i="1"/>
  <c r="CT61" i="1"/>
  <c r="CT264" i="1" s="1"/>
  <c r="AC62" i="1"/>
  <c r="AC61" i="1"/>
  <c r="AC264" i="1" s="1"/>
  <c r="AC80" i="1"/>
  <c r="AC67" i="1"/>
  <c r="CT138" i="1" l="1"/>
  <c r="CT85" i="1"/>
  <c r="CT88" i="1" s="1"/>
  <c r="CT91" i="1" s="1"/>
  <c r="CT212" i="1"/>
  <c r="CT214" i="1" s="1"/>
  <c r="CT218" i="1" s="1"/>
  <c r="CT232" i="1" s="1"/>
  <c r="AC85" i="1"/>
  <c r="AC70" i="1"/>
  <c r="AC71" i="1" s="1"/>
  <c r="AC212" i="1"/>
  <c r="AC214" i="1" s="1"/>
  <c r="AC218" i="1" s="1"/>
  <c r="AC232" i="1" s="1"/>
  <c r="CT139" i="1" l="1"/>
  <c r="AC138" i="1"/>
  <c r="AC139" i="1" s="1"/>
  <c r="AC148" i="1" s="1"/>
  <c r="AC74" i="1" s="1"/>
  <c r="CT89" i="1"/>
  <c r="AC87" i="1"/>
  <c r="AC88" i="1"/>
  <c r="AC89" i="1" s="1"/>
  <c r="CT104" i="1"/>
  <c r="CT148" i="1" l="1"/>
  <c r="CT74" i="1" s="1"/>
  <c r="CT111" i="1"/>
  <c r="CT226" i="1"/>
  <c r="CT224" i="1" s="1"/>
  <c r="CT229" i="1" s="1"/>
  <c r="CT179" i="1" s="1"/>
  <c r="CT73" i="1"/>
  <c r="AC73" i="1"/>
  <c r="AC226" i="1"/>
  <c r="AC224" i="1" s="1"/>
  <c r="AC229" i="1" s="1"/>
  <c r="AC111" i="1"/>
  <c r="AC113" i="1" s="1"/>
  <c r="AC194" i="1"/>
  <c r="AC104" i="1"/>
  <c r="AB108" i="1"/>
  <c r="CT113" i="1" l="1"/>
  <c r="CT98" i="1"/>
  <c r="AC98" i="1" s="1"/>
  <c r="AC123" i="1" s="1"/>
  <c r="CT97" i="1"/>
  <c r="AC97" i="1" s="1"/>
  <c r="AC122" i="1" s="1"/>
  <c r="CT180" i="1"/>
  <c r="AC179" i="1"/>
  <c r="AC180" i="1" s="1"/>
  <c r="AC127" i="1" l="1"/>
  <c r="AC115" i="1"/>
  <c r="AC126" i="1"/>
  <c r="AC114" i="1"/>
  <c r="AC100" i="1"/>
  <c r="AC106" i="1"/>
  <c r="AC105" i="1"/>
  <c r="AC101" i="1"/>
  <c r="CT100" i="1"/>
  <c r="CT126" i="1"/>
  <c r="CT127" i="1"/>
  <c r="CT101" i="1"/>
  <c r="CT265" i="1"/>
  <c r="CT267" i="1"/>
  <c r="CT263" i="1"/>
  <c r="AC267" i="1"/>
  <c r="AC265" i="1"/>
  <c r="AC263" i="1"/>
  <c r="CU228" i="1"/>
  <c r="CT184" i="1"/>
  <c r="CT187" i="1"/>
  <c r="CT230" i="1"/>
  <c r="AD228" i="1"/>
  <c r="AC187" i="1"/>
  <c r="AC128" i="1" s="1"/>
  <c r="AC184" i="1"/>
  <c r="AC230" i="1"/>
  <c r="AC129" i="1" l="1"/>
  <c r="AC132" i="1" s="1"/>
  <c r="AC130" i="1"/>
  <c r="AC133" i="1" s="1"/>
  <c r="AC185" i="1"/>
  <c r="CT185" i="1"/>
  <c r="CT128" i="1"/>
  <c r="CU55" i="1"/>
  <c r="CU271" i="1" s="1"/>
  <c r="CU57" i="1" l="1"/>
  <c r="CT129" i="1"/>
  <c r="CT132" i="1" s="1"/>
  <c r="CT130" i="1"/>
  <c r="CT133" i="1" s="1"/>
  <c r="CU58" i="1" l="1"/>
  <c r="CU60" i="1" s="1"/>
  <c r="CU61" i="1" l="1"/>
  <c r="CU264" i="1" s="1"/>
  <c r="CU62" i="1"/>
  <c r="CU63" i="1"/>
  <c r="CU67" i="1"/>
  <c r="CU253" i="1"/>
  <c r="CU246" i="1"/>
  <c r="CU212" i="1" l="1"/>
  <c r="CU214" i="1" s="1"/>
  <c r="CU218" i="1" s="1"/>
  <c r="CU232" i="1" s="1"/>
  <c r="CU85" i="1"/>
  <c r="CU138" i="1"/>
  <c r="CU139" i="1" l="1"/>
  <c r="CU88" i="1"/>
  <c r="CU89" i="1" l="1"/>
  <c r="CU104" i="1"/>
  <c r="CU148" i="1"/>
  <c r="CU74" i="1" s="1"/>
  <c r="CU226" i="1"/>
  <c r="CU224" i="1" s="1"/>
  <c r="CU229" i="1" s="1"/>
  <c r="CU111" i="1"/>
  <c r="CU73" i="1"/>
  <c r="CU113" i="1" l="1"/>
  <c r="CU98" i="1"/>
  <c r="CU127" i="1" s="1"/>
  <c r="CU97" i="1"/>
  <c r="CU126" i="1" s="1"/>
  <c r="CU179" i="1"/>
  <c r="CU180" i="1" s="1"/>
  <c r="CU100" i="1" l="1"/>
  <c r="CU101" i="1"/>
  <c r="CU267" i="1"/>
  <c r="CU263" i="1"/>
  <c r="CU265" i="1"/>
  <c r="CU184" i="1"/>
  <c r="CU187" i="1"/>
  <c r="CV228" i="1"/>
  <c r="CU230" i="1"/>
  <c r="CU185" i="1" l="1"/>
  <c r="CV55" i="1"/>
  <c r="CV271" i="1" s="1"/>
  <c r="CU128" i="1"/>
  <c r="CU129" i="1" l="1"/>
  <c r="CU132" i="1" s="1"/>
  <c r="CU130" i="1"/>
  <c r="CU133" i="1" s="1"/>
  <c r="CV57" i="1"/>
  <c r="CV58" i="1" l="1"/>
  <c r="CV60" i="1" l="1"/>
  <c r="CV67" i="1" l="1"/>
  <c r="CV253" i="1"/>
  <c r="CV61" i="1"/>
  <c r="CV264" i="1" s="1"/>
  <c r="CV63" i="1"/>
  <c r="CV62" i="1"/>
  <c r="CV246" i="1"/>
  <c r="CV212" i="1" l="1"/>
  <c r="CV214" i="1" s="1"/>
  <c r="CV218" i="1" s="1"/>
  <c r="CV232" i="1" s="1"/>
  <c r="CV85" i="1"/>
  <c r="CV138" i="1"/>
  <c r="CV139" i="1" l="1"/>
  <c r="CV88" i="1"/>
  <c r="CV89" i="1" l="1"/>
  <c r="CV104" i="1"/>
  <c r="CV111" i="1"/>
  <c r="CV148" i="1"/>
  <c r="CV74" i="1" s="1"/>
  <c r="CV226" i="1"/>
  <c r="CV224" i="1" s="1"/>
  <c r="CV229" i="1" s="1"/>
  <c r="CV73" i="1"/>
  <c r="CV113" i="1" l="1"/>
  <c r="CV98" i="1"/>
  <c r="CV127" i="1" s="1"/>
  <c r="CV97" i="1"/>
  <c r="CV126" i="1" s="1"/>
  <c r="CV179" i="1"/>
  <c r="CV180" i="1" s="1"/>
  <c r="CV100" i="1" l="1"/>
  <c r="CV101" i="1"/>
  <c r="CV265" i="1"/>
  <c r="CV263" i="1"/>
  <c r="CV267" i="1"/>
  <c r="CV187" i="1"/>
  <c r="CW228" i="1"/>
  <c r="CV184" i="1"/>
  <c r="CV230" i="1"/>
  <c r="CV185" i="1" l="1"/>
  <c r="CV128" i="1"/>
  <c r="CW55" i="1"/>
  <c r="CW271" i="1" s="1"/>
  <c r="CW57" i="1" l="1"/>
  <c r="CV130" i="1"/>
  <c r="CV133" i="1" s="1"/>
  <c r="CV129" i="1"/>
  <c r="CV132" i="1" s="1"/>
  <c r="CW58" i="1" l="1"/>
  <c r="CW60" i="1" l="1"/>
  <c r="CW61" i="1" l="1"/>
  <c r="CW264" i="1" s="1"/>
  <c r="CW63" i="1"/>
  <c r="CW67" i="1"/>
  <c r="CW62" i="1"/>
  <c r="CW253" i="1"/>
  <c r="CW246" i="1"/>
  <c r="CW212" i="1" l="1"/>
  <c r="CW214" i="1" s="1"/>
  <c r="CW218" i="1" s="1"/>
  <c r="CW232" i="1" s="1"/>
  <c r="CW85" i="1"/>
  <c r="CW138" i="1"/>
  <c r="CW139" i="1" l="1"/>
  <c r="CW88" i="1"/>
  <c r="CW89" i="1" l="1"/>
  <c r="CW104" i="1"/>
  <c r="CW226" i="1"/>
  <c r="CW224" i="1" s="1"/>
  <c r="CW229" i="1" s="1"/>
  <c r="CW148" i="1"/>
  <c r="CW74" i="1" s="1"/>
  <c r="CW111" i="1"/>
  <c r="CW73" i="1"/>
  <c r="CW113" i="1" l="1"/>
  <c r="CW97" i="1"/>
  <c r="CW126" i="1" s="1"/>
  <c r="CW98" i="1"/>
  <c r="CW127" i="1" s="1"/>
  <c r="CW179" i="1"/>
  <c r="CW180" i="1" s="1"/>
  <c r="CW101" i="1" l="1"/>
  <c r="CW100" i="1"/>
  <c r="CW265" i="1"/>
  <c r="CW263" i="1"/>
  <c r="CW267" i="1"/>
  <c r="CW184" i="1"/>
  <c r="CX228" i="1"/>
  <c r="CW187" i="1"/>
  <c r="CW230" i="1"/>
  <c r="CX55" i="1" l="1"/>
  <c r="CX271" i="1" s="1"/>
  <c r="CW128" i="1"/>
  <c r="CW185" i="1"/>
  <c r="CW129" i="1" l="1"/>
  <c r="CW132" i="1" s="1"/>
  <c r="CW130" i="1"/>
  <c r="CW133" i="1" s="1"/>
  <c r="CX57" i="1"/>
  <c r="AD55" i="1"/>
  <c r="AD56" i="1" l="1"/>
  <c r="AD271" i="1"/>
  <c r="AD57" i="1"/>
  <c r="CX58" i="1"/>
  <c r="AD58" i="1" s="1"/>
  <c r="AD59" i="1" l="1"/>
  <c r="CX60" i="1"/>
  <c r="CX246" i="1" s="1"/>
  <c r="AD60" i="1"/>
  <c r="CX63" i="1" l="1"/>
  <c r="CX253" i="1"/>
  <c r="CX67" i="1"/>
  <c r="CX61" i="1"/>
  <c r="CX264" i="1" s="1"/>
  <c r="CX62" i="1"/>
  <c r="AD62" i="1"/>
  <c r="AD80" i="1"/>
  <c r="AD67" i="1"/>
  <c r="AD61" i="1"/>
  <c r="AD264" i="1" s="1"/>
  <c r="CX85" i="1" l="1"/>
  <c r="CX88" i="1" s="1"/>
  <c r="CX212" i="1"/>
  <c r="CX214" i="1" s="1"/>
  <c r="CX218" i="1" s="1"/>
  <c r="CX232" i="1" s="1"/>
  <c r="CX138" i="1"/>
  <c r="AD85" i="1"/>
  <c r="AD70" i="1"/>
  <c r="AD71" i="1" s="1"/>
  <c r="AD212" i="1"/>
  <c r="AD214" i="1" s="1"/>
  <c r="AD218" i="1" s="1"/>
  <c r="AD232" i="1" s="1"/>
  <c r="AD138" i="1" l="1"/>
  <c r="AD139" i="1" s="1"/>
  <c r="CX139" i="1"/>
  <c r="CX226" i="1" s="1"/>
  <c r="CX224" i="1" s="1"/>
  <c r="CX229" i="1" s="1"/>
  <c r="CX89" i="1"/>
  <c r="CX104" i="1"/>
  <c r="AD87" i="1"/>
  <c r="AD88" i="1"/>
  <c r="AD89" i="1" s="1"/>
  <c r="AD111" i="1" l="1"/>
  <c r="AD113" i="1" s="1"/>
  <c r="AD194" i="1"/>
  <c r="AD148" i="1"/>
  <c r="AD74" i="1" s="1"/>
  <c r="AD73" i="1"/>
  <c r="AD226" i="1"/>
  <c r="AD224" i="1" s="1"/>
  <c r="AD229" i="1" s="1"/>
  <c r="CX148" i="1"/>
  <c r="CX74" i="1" s="1"/>
  <c r="CX111" i="1"/>
  <c r="CX73" i="1"/>
  <c r="CX179" i="1"/>
  <c r="AD104" i="1"/>
  <c r="AC108" i="1"/>
  <c r="CX113" i="1" l="1"/>
  <c r="CX98" i="1"/>
  <c r="AD98" i="1" s="1"/>
  <c r="AD123" i="1" s="1"/>
  <c r="CX97" i="1"/>
  <c r="AD97" i="1" s="1"/>
  <c r="AD122" i="1" s="1"/>
  <c r="CX180" i="1"/>
  <c r="AD179" i="1"/>
  <c r="AD180" i="1" s="1"/>
  <c r="AD106" i="1" l="1"/>
  <c r="AD115" i="1"/>
  <c r="AD101" i="1"/>
  <c r="AD126" i="1"/>
  <c r="AD127" i="1"/>
  <c r="AD100" i="1"/>
  <c r="AD105" i="1"/>
  <c r="AD114" i="1"/>
  <c r="CX126" i="1"/>
  <c r="CX100" i="1"/>
  <c r="CX101" i="1"/>
  <c r="CX127" i="1"/>
  <c r="AD267" i="1"/>
  <c r="AD265" i="1"/>
  <c r="AD263" i="1"/>
  <c r="CX267" i="1"/>
  <c r="CX265" i="1"/>
  <c r="CX263" i="1"/>
  <c r="AE228" i="1"/>
  <c r="AD184" i="1"/>
  <c r="AD187" i="1"/>
  <c r="AD128" i="1" s="1"/>
  <c r="AD230" i="1"/>
  <c r="CY228" i="1"/>
  <c r="CX184" i="1"/>
  <c r="CX187" i="1"/>
  <c r="CX230" i="1"/>
  <c r="AD130" i="1" l="1"/>
  <c r="AD133" i="1" s="1"/>
  <c r="AD129" i="1"/>
  <c r="AD132" i="1" s="1"/>
  <c r="AD185" i="1"/>
  <c r="CX128" i="1"/>
  <c r="CY55" i="1"/>
  <c r="CY271" i="1" s="1"/>
  <c r="CX185" i="1"/>
  <c r="CY57" i="1" l="1"/>
  <c r="CX129" i="1"/>
  <c r="CX132" i="1" s="1"/>
  <c r="CX130" i="1"/>
  <c r="CX133" i="1" s="1"/>
  <c r="CY58" i="1" l="1"/>
  <c r="CY60" i="1" l="1"/>
  <c r="CY61" i="1" l="1"/>
  <c r="CY264" i="1" s="1"/>
  <c r="CY253" i="1"/>
  <c r="CY62" i="1"/>
  <c r="CY63" i="1"/>
  <c r="CY67" i="1"/>
  <c r="CY246" i="1"/>
  <c r="CY85" i="1" l="1"/>
  <c r="CY212" i="1"/>
  <c r="CY214" i="1" s="1"/>
  <c r="CY218" i="1" s="1"/>
  <c r="CY232" i="1" s="1"/>
  <c r="CY138" i="1"/>
  <c r="CY139" i="1" l="1"/>
  <c r="CY88" i="1"/>
  <c r="CY89" i="1" s="1"/>
  <c r="CY104" i="1" l="1"/>
  <c r="CY111" i="1"/>
  <c r="CY148" i="1"/>
  <c r="CY74" i="1" s="1"/>
  <c r="CY226" i="1"/>
  <c r="CY224" i="1" s="1"/>
  <c r="CY229" i="1" s="1"/>
  <c r="CY73" i="1"/>
  <c r="CY113" i="1" l="1"/>
  <c r="CY97" i="1"/>
  <c r="CY126" i="1" s="1"/>
  <c r="CY98" i="1"/>
  <c r="CY127" i="1" s="1"/>
  <c r="CY179" i="1"/>
  <c r="CY180" i="1" s="1"/>
  <c r="CY100" i="1" l="1"/>
  <c r="CY101" i="1"/>
  <c r="CY230" i="1"/>
  <c r="CY267" i="1"/>
  <c r="CY265" i="1"/>
  <c r="CY263" i="1"/>
  <c r="CZ228" i="1"/>
  <c r="CY184" i="1"/>
  <c r="CY187" i="1"/>
  <c r="CY185" i="1" l="1"/>
  <c r="CZ55" i="1"/>
  <c r="CZ271" i="1" s="1"/>
  <c r="CY128" i="1"/>
  <c r="CY130" i="1" l="1"/>
  <c r="CY133" i="1" s="1"/>
  <c r="CY129" i="1"/>
  <c r="CY132" i="1" s="1"/>
  <c r="CZ57" i="1"/>
  <c r="CZ58" i="1" l="1"/>
  <c r="CZ60" i="1" l="1"/>
  <c r="CZ253" i="1" l="1"/>
  <c r="CZ62" i="1"/>
  <c r="CZ61" i="1"/>
  <c r="CZ264" i="1" s="1"/>
  <c r="CZ63" i="1"/>
  <c r="CZ67" i="1"/>
  <c r="CZ246" i="1"/>
  <c r="CZ212" i="1" l="1"/>
  <c r="CZ214" i="1" s="1"/>
  <c r="CZ218" i="1" s="1"/>
  <c r="CZ232" i="1" s="1"/>
  <c r="CZ85" i="1"/>
  <c r="CZ138" i="1"/>
  <c r="CZ139" i="1" l="1"/>
  <c r="CZ88" i="1"/>
  <c r="CZ89" i="1" s="1"/>
  <c r="CZ104" i="1" l="1"/>
  <c r="CZ148" i="1"/>
  <c r="CZ74" i="1" s="1"/>
  <c r="CZ226" i="1"/>
  <c r="CZ224" i="1" s="1"/>
  <c r="CZ229" i="1" s="1"/>
  <c r="CZ111" i="1"/>
  <c r="CZ73" i="1"/>
  <c r="CZ113" i="1" l="1"/>
  <c r="CZ98" i="1"/>
  <c r="CZ101" i="1" s="1"/>
  <c r="CZ97" i="1"/>
  <c r="CZ126" i="1" s="1"/>
  <c r="CZ179" i="1"/>
  <c r="CZ180" i="1" s="1"/>
  <c r="CZ127" i="1" l="1"/>
  <c r="CZ100" i="1"/>
  <c r="CZ265" i="1"/>
  <c r="CZ263" i="1"/>
  <c r="CZ267" i="1"/>
  <c r="CZ184" i="1"/>
  <c r="CZ187" i="1"/>
  <c r="DA228" i="1"/>
  <c r="CZ230" i="1"/>
  <c r="CZ128" i="1" l="1"/>
  <c r="DA55" i="1"/>
  <c r="DA271" i="1" s="1"/>
  <c r="CZ185" i="1"/>
  <c r="DA57" i="1" l="1"/>
  <c r="CZ129" i="1"/>
  <c r="CZ132" i="1" s="1"/>
  <c r="CZ130" i="1"/>
  <c r="CZ133" i="1" s="1"/>
  <c r="DA58" i="1" l="1"/>
  <c r="DA60" i="1" l="1"/>
  <c r="DA253" i="1" l="1"/>
  <c r="DA67" i="1"/>
  <c r="DA62" i="1"/>
  <c r="DA63" i="1"/>
  <c r="DA61" i="1"/>
  <c r="DA264" i="1" s="1"/>
  <c r="DA246" i="1"/>
  <c r="DA85" i="1" l="1"/>
  <c r="DA212" i="1"/>
  <c r="DA214" i="1" s="1"/>
  <c r="DA218" i="1" s="1"/>
  <c r="DA232" i="1" s="1"/>
  <c r="DA138" i="1"/>
  <c r="DA139" i="1" l="1"/>
  <c r="DA88" i="1"/>
  <c r="DA89" i="1" s="1"/>
  <c r="DA104" i="1" l="1"/>
  <c r="DA148" i="1"/>
  <c r="DA74" i="1" s="1"/>
  <c r="DA226" i="1"/>
  <c r="DA224" i="1" s="1"/>
  <c r="DA229" i="1" s="1"/>
  <c r="DA111" i="1"/>
  <c r="DA73" i="1"/>
  <c r="DA113" i="1" l="1"/>
  <c r="DA97" i="1"/>
  <c r="DA126" i="1" s="1"/>
  <c r="DA98" i="1"/>
  <c r="DA101" i="1" s="1"/>
  <c r="DA179" i="1"/>
  <c r="DA180" i="1" s="1"/>
  <c r="DA127" i="1" l="1"/>
  <c r="DA100" i="1"/>
  <c r="DA230" i="1"/>
  <c r="DA267" i="1"/>
  <c r="DA263" i="1"/>
  <c r="DA265" i="1"/>
  <c r="DA187" i="1"/>
  <c r="DB228" i="1"/>
  <c r="DA184" i="1"/>
  <c r="DA185" i="1" l="1"/>
  <c r="DA128" i="1"/>
  <c r="DB55" i="1"/>
  <c r="DB271" i="1" s="1"/>
  <c r="DA130" i="1" l="1"/>
  <c r="DA133" i="1" s="1"/>
  <c r="DA129" i="1"/>
  <c r="DA132" i="1" s="1"/>
  <c r="DB57" i="1"/>
  <c r="AE55" i="1"/>
  <c r="AE56" i="1" l="1"/>
  <c r="AE271" i="1"/>
  <c r="AE57" i="1"/>
  <c r="DB58" i="1"/>
  <c r="AE58" i="1" s="1"/>
  <c r="AE59" i="1" l="1"/>
  <c r="DB60" i="1"/>
  <c r="AE60" i="1"/>
  <c r="AE62" i="1" s="1"/>
  <c r="AE61" i="1" l="1"/>
  <c r="AE264" i="1" s="1"/>
  <c r="AE67" i="1"/>
  <c r="AE80" i="1"/>
  <c r="DB62" i="1"/>
  <c r="DB63" i="1"/>
  <c r="DB253" i="1"/>
  <c r="DB61" i="1"/>
  <c r="DB264" i="1" s="1"/>
  <c r="DB67" i="1"/>
  <c r="DB246" i="1"/>
  <c r="AE70" i="1" l="1"/>
  <c r="AE71" i="1" s="1"/>
  <c r="AE85" i="1"/>
  <c r="AE212" i="1"/>
  <c r="AE214" i="1" s="1"/>
  <c r="AE218" i="1" s="1"/>
  <c r="AE232" i="1" s="1"/>
  <c r="DB212" i="1"/>
  <c r="DB214" i="1" s="1"/>
  <c r="DB218" i="1" s="1"/>
  <c r="DB232" i="1" s="1"/>
  <c r="DB85" i="1"/>
  <c r="DB88" i="1" s="1"/>
  <c r="DB89" i="1" s="1"/>
  <c r="DB138" i="1"/>
  <c r="AE138" i="1" l="1"/>
  <c r="AE139" i="1" s="1"/>
  <c r="DB139" i="1"/>
  <c r="DB104" i="1"/>
  <c r="AE88" i="1"/>
  <c r="AE89" i="1" s="1"/>
  <c r="AE87" i="1"/>
  <c r="AE104" i="1" l="1"/>
  <c r="AD108" i="1"/>
  <c r="DB226" i="1"/>
  <c r="DB224" i="1" s="1"/>
  <c r="DB229" i="1" s="1"/>
  <c r="DB148" i="1"/>
  <c r="DB74" i="1" s="1"/>
  <c r="DB111" i="1"/>
  <c r="DB73" i="1"/>
  <c r="AE226" i="1"/>
  <c r="AE224" i="1" s="1"/>
  <c r="AE229" i="1" s="1"/>
  <c r="AE148" i="1"/>
  <c r="AE74" i="1" s="1"/>
  <c r="AE111" i="1"/>
  <c r="AE113" i="1" s="1"/>
  <c r="AE194" i="1"/>
  <c r="AE73" i="1"/>
  <c r="DB113" i="1" l="1"/>
  <c r="DB98" i="1"/>
  <c r="AE98" i="1" s="1"/>
  <c r="AE123" i="1" s="1"/>
  <c r="DB97" i="1"/>
  <c r="AE97" i="1" s="1"/>
  <c r="AE122" i="1" s="1"/>
  <c r="DB179" i="1"/>
  <c r="AE127" i="1" l="1"/>
  <c r="AE115" i="1"/>
  <c r="AE106" i="1"/>
  <c r="AE101" i="1"/>
  <c r="AE126" i="1"/>
  <c r="AE114" i="1"/>
  <c r="AE100" i="1"/>
  <c r="AE105" i="1"/>
  <c r="DB126" i="1"/>
  <c r="DB100" i="1"/>
  <c r="DB101" i="1"/>
  <c r="DB127" i="1"/>
  <c r="AE179" i="1"/>
  <c r="AE180" i="1" s="1"/>
  <c r="DB180" i="1"/>
  <c r="DB263" i="1" l="1"/>
  <c r="DB267" i="1"/>
  <c r="DB265" i="1"/>
  <c r="AE265" i="1"/>
  <c r="AE263" i="1"/>
  <c r="AE267" i="1"/>
  <c r="DB184" i="1"/>
  <c r="DB187" i="1"/>
  <c r="DB128" i="1" s="1"/>
  <c r="DB230" i="1"/>
  <c r="AE187" i="1"/>
  <c r="AE128" i="1" s="1"/>
  <c r="AE184" i="1"/>
  <c r="AE230" i="1"/>
  <c r="AE185" i="1" l="1"/>
  <c r="AE130" i="1"/>
  <c r="AE133" i="1" s="1"/>
  <c r="AE129" i="1"/>
  <c r="AE132" i="1" s="1"/>
  <c r="DB129" i="1"/>
  <c r="DB132" i="1" s="1"/>
  <c r="DB130" i="1"/>
  <c r="DB133" i="1" s="1"/>
  <c r="DB1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CL54" authorId="0" shapeId="0" xr:uid="{CA3CBA44-5875-4F35-843E-1182497A9C72}">
      <text>
        <r>
          <rPr>
            <b/>
            <sz val="9"/>
            <color indexed="81"/>
            <rFont val="Tahoma"/>
            <family val="2"/>
          </rPr>
          <t xml:space="preserve">reconciliation/ settlement with Discerns relating to various claims towards change in law events,
carrying cost thereon and delayed payment interest.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<sst xmlns="http://schemas.openxmlformats.org/spreadsheetml/2006/main" count="676" uniqueCount="537">
  <si>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</si>
  <si>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</si>
  <si>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</si>
  <si>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</si>
  <si>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</si>
  <si>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</si>
  <si>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</si>
  <si>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</si>
  <si>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</si>
  <si>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</si>
  <si>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</si>
  <si>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</si>
  <si>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</si>
  <si>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</si>
  <si>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</si>
  <si>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</si>
  <si>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</si>
  <si>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</si>
  <si>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</si>
  <si>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</si>
  <si>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</si>
  <si>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</si>
  <si>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</si>
  <si>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</si>
  <si>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</si>
  <si>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</si>
  <si>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</si>
  <si>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</si>
  <si>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</si>
  <si>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</si>
  <si>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</si>
  <si>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</si>
  <si>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</si>
  <si>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</si>
  <si>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</si>
  <si>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</si>
  <si>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</si>
  <si>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</si>
  <si>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</si>
  <si>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</si>
  <si>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</si>
  <si>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</si>
  <si>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</si>
  <si>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</si>
  <si>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</si>
  <si>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</si>
  <si>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</si>
  <si>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</si>
  <si>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</si>
  <si>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</si>
  <si>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</si>
  <si>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</si>
  <si>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</si>
  <si>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</si>
  <si>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</si>
  <si>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</si>
  <si>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</si>
  <si>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</si>
  <si>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</si>
  <si>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</si>
  <si>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</si>
  <si>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</si>
  <si>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</si>
  <si>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</si>
  <si>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</si>
  <si>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</si>
  <si>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</si>
  <si>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</si>
  <si>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</si>
  <si>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</si>
  <si>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</si>
  <si>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</si>
  <si>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</si>
  <si>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</si>
  <si>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</si>
  <si>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</si>
  <si>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</si>
  <si>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</si>
  <si>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</si>
  <si>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</si>
  <si>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</si>
  <si>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</si>
  <si>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</si>
  <si>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</si>
  <si>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</si>
  <si>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</si>
  <si>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</si>
  <si>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</si>
  <si>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</si>
  <si>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</si>
  <si>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</si>
  <si>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</si>
  <si>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</si>
  <si>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</si>
  <si>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</si>
  <si>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</si>
  <si>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</si>
  <si>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</si>
  <si>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</si>
  <si>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</si>
  <si>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</si>
  <si>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</si>
  <si>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</si>
  <si>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</si>
  <si>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</si>
  <si>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</si>
  <si>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</si>
  <si>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</si>
  <si>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</si>
  <si>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</si>
  <si>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</si>
  <si>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</si>
  <si>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</si>
  <si>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</si>
  <si>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</si>
  <si>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</si>
  <si>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</si>
  <si>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</si>
  <si>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</si>
  <si>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</si>
  <si>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</si>
  <si>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</si>
  <si>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</si>
  <si>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</si>
  <si>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</si>
  <si>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</si>
  <si>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</si>
  <si>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</si>
  <si>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</si>
  <si>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</si>
  <si>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</si>
  <si>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</si>
  <si>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</si>
  <si>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</si>
  <si>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</si>
  <si>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</si>
  <si>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</si>
  <si>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</si>
  <si>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</si>
  <si>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</si>
  <si>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</si>
  <si>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</si>
  <si>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</si>
  <si>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</si>
  <si>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</si>
  <si>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</si>
  <si>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</si>
  <si>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</si>
  <si>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</si>
  <si>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</si>
  <si>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</si>
  <si>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</si>
  <si>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</si>
  <si>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</si>
  <si>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</si>
  <si>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</si>
  <si>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</si>
  <si>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</si>
  <si>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</si>
  <si>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</si>
  <si>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</si>
  <si>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</si>
  <si>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</si>
  <si>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</si>
  <si>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</si>
  <si>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</si>
  <si>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</si>
  <si>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</si>
  <si>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</si>
  <si>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</si>
  <si>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</si>
  <si>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</si>
  <si>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</si>
  <si>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</si>
  <si>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</si>
  <si>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</si>
  <si>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</si>
  <si>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</si>
  <si>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</si>
  <si>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</si>
  <si>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</si>
  <si>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</si>
  <si>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</si>
  <si>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</si>
  <si>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</si>
  <si>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</si>
  <si>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</si>
  <si>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</si>
  <si>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</si>
  <si>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</si>
  <si>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</si>
  <si>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</si>
  <si>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</si>
  <si>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</si>
  <si>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</si>
  <si>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</si>
  <si>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</si>
  <si>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</si>
  <si>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</si>
  <si>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</si>
  <si>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</si>
  <si>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</si>
  <si>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</si>
  <si>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</si>
  <si>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</si>
  <si>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</si>
  <si>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</si>
  <si>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</si>
  <si>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</si>
  <si>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</si>
  <si>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</si>
  <si>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</si>
  <si>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</si>
  <si>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</si>
  <si>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</si>
  <si>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</si>
  <si>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</si>
  <si>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</si>
  <si>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</si>
  <si>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</si>
  <si>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</si>
  <si>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</si>
  <si>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</si>
  <si>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</si>
  <si>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</si>
  <si>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</si>
  <si>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</si>
  <si>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</si>
  <si>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</si>
  <si>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</si>
  <si>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</si>
  <si>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</si>
  <si>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</si>
  <si>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</si>
  <si>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</si>
  <si>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</si>
  <si>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</si>
  <si>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</si>
  <si>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</si>
  <si>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</si>
  <si>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</si>
  <si>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</si>
  <si>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</si>
  <si>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</si>
  <si>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</si>
  <si>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</si>
  <si>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</si>
  <si>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</si>
  <si>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</si>
  <si>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</si>
  <si>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</si>
  <si>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</si>
  <si>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</si>
  <si>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</si>
  <si>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</si>
  <si>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</si>
  <si>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</si>
  <si>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</si>
  <si>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</si>
  <si>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</si>
  <si>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</si>
  <si>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</si>
  <si>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</si>
  <si>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</si>
  <si>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</si>
  <si>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</si>
  <si>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</si>
  <si>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</si>
  <si>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</si>
  <si>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</si>
  <si>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</si>
  <si>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</si>
  <si>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</si>
  <si>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</si>
  <si>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</si>
  <si>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</si>
  <si>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</si>
  <si>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</si>
  <si>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</si>
  <si>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</si>
  <si>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</si>
  <si>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</si>
  <si>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</si>
  <si>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</si>
  <si>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</si>
  <si>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</si>
  <si>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</si>
  <si>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</si>
  <si>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</si>
  <si>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</si>
  <si>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</si>
  <si>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</si>
  <si>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</si>
  <si>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</si>
  <si>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</si>
  <si>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</si>
  <si>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</si>
  <si>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</si>
  <si>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</si>
  <si>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</si>
  <si>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</si>
  <si>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</si>
  <si>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</si>
  <si>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</si>
  <si>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</si>
  <si>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</si>
  <si>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</si>
  <si>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</si>
  <si>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</si>
  <si>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</si>
  <si>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</si>
  <si>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</si>
  <si>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</si>
  <si>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</si>
  <si>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</si>
  <si>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</si>
  <si>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</si>
  <si>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</si>
  <si>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</si>
  <si>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</si>
  <si>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</si>
  <si>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</si>
  <si>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</si>
  <si>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</si>
  <si>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</si>
  <si>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</si>
  <si>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</si>
  <si>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</si>
  <si>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</si>
  <si>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</si>
  <si>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</si>
  <si>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</si>
  <si>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</si>
  <si>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</si>
  <si>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</si>
  <si>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</si>
  <si>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</si>
  <si>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</si>
  <si>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</si>
  <si>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</si>
  <si>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</si>
  <si>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</si>
  <si>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</si>
  <si>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</si>
  <si>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</si>
  <si>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</si>
  <si>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</si>
  <si>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</si>
  <si>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</si>
  <si>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</si>
  <si>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</si>
  <si>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</si>
  <si>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</si>
  <si>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</si>
  <si>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</si>
  <si>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</si>
  <si>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</si>
  <si>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</si>
  <si>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</si>
  <si>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</si>
  <si>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</si>
  <si>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</si>
  <si>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</si>
  <si>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</si>
  <si>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</si>
  <si>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</si>
  <si>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</si>
  <si>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</si>
  <si>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</si>
  <si>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</si>
  <si>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</si>
  <si>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</si>
  <si>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</si>
  <si>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</si>
  <si>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</si>
  <si>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</si>
  <si>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</si>
  <si>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</si>
  <si>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</si>
  <si>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</si>
  <si>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</si>
  <si>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</si>
  <si>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</si>
  <si>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</si>
  <si>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</si>
  <si>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</si>
  <si>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</si>
  <si>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</si>
  <si>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</si>
  <si>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</si>
  <si>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</si>
  <si>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</si>
  <si>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</si>
  <si>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</si>
  <si>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</si>
  <si>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</si>
  <si>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</si>
  <si>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</si>
  <si>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</si>
  <si>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</si>
  <si>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</si>
  <si>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</si>
  <si>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</si>
  <si>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</si>
  <si>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</si>
  <si>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</si>
  <si>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</si>
  <si>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</si>
  <si>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</si>
  <si>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</si>
  <si>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</si>
  <si>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</si>
  <si>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</si>
  <si>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</si>
  <si>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</si>
  <si>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</si>
  <si>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</si>
  <si>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</si>
  <si>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</si>
  <si>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</si>
  <si>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</si>
  <si>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</si>
  <si>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</si>
  <si>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</si>
  <si>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</si>
  <si>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</si>
  <si>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</si>
  <si>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</si>
  <si>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</si>
  <si>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</si>
  <si>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</si>
  <si>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</si>
  <si>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</si>
  <si>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</si>
  <si>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</si>
  <si>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</si>
  <si>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</si>
  <si>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</si>
  <si>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</si>
  <si>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</si>
  <si>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</si>
  <si>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</si>
  <si>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</si>
  <si>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</si>
  <si>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</si>
  <si>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</si>
  <si>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</si>
  <si>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</si>
  <si>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</si>
  <si>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</si>
  <si>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</si>
  <si>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</si>
  <si>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</si>
  <si>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</si>
  <si>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</si>
  <si>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</si>
  <si>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</si>
  <si>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</si>
  <si>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</si>
  <si>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</si>
  <si>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</si>
  <si>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</si>
  <si>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</si>
  <si>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</si>
  <si>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</si>
  <si>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</si>
  <si>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</si>
  <si>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</si>
  <si>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</si>
  <si>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</si>
  <si>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</si>
  <si>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</si>
  <si>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</si>
  <si>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</si>
  <si>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</si>
  <si>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</si>
  <si>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</si>
  <si>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</si>
  <si>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</si>
  <si>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</si>
  <si>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</si>
  <si>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</si>
  <si>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</si>
  <si>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</si>
  <si>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</si>
  <si>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</si>
  <si>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</si>
  <si>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</si>
  <si>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</si>
  <si>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</si>
  <si>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</si>
  <si>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</si>
  <si>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</si>
  <si>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</si>
  <si>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</si>
  <si>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</si>
  <si>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</si>
  <si>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</si>
  <si>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</si>
  <si>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</si>
  <si>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</si>
  <si>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</si>
  <si>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</si>
  <si>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</si>
  <si>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</si>
  <si>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</si>
  <si>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</si>
  <si>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</si>
  <si>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</si>
  <si>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</si>
  <si>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</si>
  <si>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</si>
  <si>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</si>
  <si>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</si>
  <si>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</si>
  <si>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Adani Power Ltd.</t>
  </si>
  <si>
    <t>DATE</t>
  </si>
  <si>
    <t>ADJCLOSE</t>
  </si>
  <si>
    <t>ADJHIGH</t>
  </si>
  <si>
    <t>ADJLOW</t>
  </si>
  <si>
    <t>ADJOPEN</t>
  </si>
  <si>
    <t>CLOSE</t>
  </si>
  <si>
    <t>VOLUME</t>
  </si>
  <si>
    <t>power sales volume (MU)</t>
  </si>
  <si>
    <t>Operating capacity (MW)</t>
  </si>
  <si>
    <t>PLF</t>
  </si>
  <si>
    <t xml:space="preserve">Revenue  </t>
  </si>
  <si>
    <t>Relization -(rs/Kwh)</t>
  </si>
  <si>
    <t>from trading and other activities</t>
  </si>
  <si>
    <t xml:space="preserve">Less : inter segment </t>
  </si>
  <si>
    <t>Total</t>
  </si>
  <si>
    <t>Checksum</t>
  </si>
  <si>
    <t>Unit mertics</t>
  </si>
  <si>
    <t xml:space="preserve"> supply of power</t>
  </si>
  <si>
    <t>Growth % Y-o-Y</t>
  </si>
  <si>
    <t>Supply of power %</t>
  </si>
  <si>
    <t>From trading and other activities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</si>
</sst>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20" fillId="2" borderId="0" xfId="1" applyFont="1" applyFill="1" applyAlignment="1"/>
    <xf numFmtId="9" fontId="20" fillId="7" borderId="0" xfId="1" applyFont="1" applyFill="1" applyAlignment="1"/>
    <xf numFmtId="9" fontId="7" fillId="0" borderId="0" xfId="1" applyFont="1" applyAlignment="1"/>
    <xf numFmtId="9" fontId="20" fillId="0" borderId="0" xfId="1" applyFont="1" applyFill="1" applyAlignment="1"/>
    <xf numFmtId="43" fontId="18" fillId="2" borderId="0" xfId="2" applyFont="1" applyFill="1" applyAlignment="1">
      <alignment horizontal="left"/>
    </xf>
    <xf numFmtId="43" fontId="9" fillId="2" borderId="0" xfId="2" applyFont="1" applyFill="1" applyAlignment="1">
      <alignment horizontal="left"/>
    </xf>
    <xf numFmtId="43" fontId="9" fillId="2" borderId="0" xfId="2" applyFont="1" applyFill="1" applyAlignment="1">
      <alignment horizontal="center"/>
    </xf>
    <xf numFmtId="9" fontId="9" fillId="2" borderId="0" xfId="1" applyFont="1" applyFill="1" applyAlignment="1">
      <alignment horizontal="right"/>
    </xf>
    <xf numFmtId="43" fontId="9" fillId="0" borderId="0" xfId="2" applyFont="1" applyAlignment="1">
      <alignment horizontal="center"/>
    </xf>
    <xf numFmtId="9" fontId="9" fillId="7" borderId="0" xfId="2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3"/>
  <sheetViews>
    <sheetView tabSelected="1" zoomScaleNormal="100" workbookViewId="0">
      <pane xSplit="1" ySplit="1" topLeftCell="CV20" activePane="bottomRight" state="frozen"/>
      <selection pane="topRight" activeCell="B1" sqref="B1"/>
      <selection pane="bottomLeft" activeCell="A2" sqref="A2"/>
      <selection pane="bottomRight" activeCell="DF26" sqref="DF26:DF273"/>
    </sheetView>
  </sheetViews>
  <sheetFormatPr defaultColWidth="11.140625" defaultRowHeight="12" outlineLevelRow="1" x14ac:dyDescent="0.2"/>
  <cols>
    <col min="1" max="1" width="35.85546875" style="2" customWidth="1"/>
    <col min="2" max="19" width="0" style="2" hidden="1" customWidth="1"/>
    <col min="20" max="26" width="11.140625" style="2"/>
    <col min="27" max="29" width="11.140625" style="19"/>
    <col min="30" max="31" width="12.140625" style="19" bestFit="1" customWidth="1"/>
    <col min="32" max="34" width="11.140625" style="2"/>
    <col min="35" max="62" width="0" style="2" hidden="1" customWidth="1"/>
    <col min="63" max="88" width="11.140625" style="2"/>
    <col min="89" max="89" width="12.28515625" style="24" bestFit="1" customWidth="1"/>
    <col min="90" max="90" width="10" style="24" bestFit="1" customWidth="1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Adani Power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1" customFormat="1" x14ac:dyDescent="0.2">
      <c r="A4" s="151" t="s">
        <v>532</v>
      </c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>
        <f>BZ5</f>
        <v>13650</v>
      </c>
      <c r="Y5" s="156">
        <f>CD5</f>
        <v>15250</v>
      </c>
      <c r="Z5" s="156">
        <f>CH5</f>
        <v>17550</v>
      </c>
      <c r="AA5" s="157">
        <f>CL5</f>
        <v>18150</v>
      </c>
      <c r="AB5" s="157">
        <f>CP5</f>
        <v>18475</v>
      </c>
      <c r="AC5" s="157">
        <f>CT5</f>
        <v>21225</v>
      </c>
      <c r="AD5" s="157">
        <f>CX5</f>
        <v>25425</v>
      </c>
      <c r="AE5" s="157">
        <f>DB5</f>
        <v>31825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>
        <v>13650</v>
      </c>
      <c r="BY5" s="156">
        <v>13650</v>
      </c>
      <c r="BZ5" s="156">
        <v>13650</v>
      </c>
      <c r="CA5" s="156">
        <v>15250</v>
      </c>
      <c r="CB5" s="156">
        <v>15250</v>
      </c>
      <c r="CC5" s="156">
        <v>15250</v>
      </c>
      <c r="CD5" s="156">
        <v>15250</v>
      </c>
      <c r="CE5" s="156">
        <v>15250</v>
      </c>
      <c r="CF5" s="156">
        <v>17550</v>
      </c>
      <c r="CG5" s="156">
        <v>17550</v>
      </c>
      <c r="CH5" s="156">
        <v>17550</v>
      </c>
      <c r="CI5" s="156">
        <v>18150</v>
      </c>
      <c r="CJ5" s="156">
        <v>18150</v>
      </c>
      <c r="CK5" s="156">
        <v>18150</v>
      </c>
      <c r="CL5" s="156">
        <v>18150</v>
      </c>
      <c r="CM5" s="157">
        <f>+CL5</f>
        <v>18150</v>
      </c>
      <c r="CN5" s="157">
        <f>+CM5</f>
        <v>18150</v>
      </c>
      <c r="CO5" s="157">
        <f>+CN5</f>
        <v>18150</v>
      </c>
      <c r="CP5" s="157">
        <f>+CO5+325</f>
        <v>18475</v>
      </c>
      <c r="CQ5" s="157">
        <f>+CP5</f>
        <v>18475</v>
      </c>
      <c r="CR5" s="157">
        <f>+CQ5+1500</f>
        <v>19975</v>
      </c>
      <c r="CS5" s="157">
        <f>+CR5+1000</f>
        <v>20975</v>
      </c>
      <c r="CT5" s="157">
        <f>+CS5+250</f>
        <v>21225</v>
      </c>
      <c r="CU5" s="157">
        <f>+CT5</f>
        <v>21225</v>
      </c>
      <c r="CV5" s="157">
        <f>+CU5+1500</f>
        <v>22725</v>
      </c>
      <c r="CW5" s="157">
        <f>+CV5+2000</f>
        <v>24725</v>
      </c>
      <c r="CX5" s="157">
        <f>+CW5+700</f>
        <v>25425</v>
      </c>
      <c r="CY5" s="157">
        <f>+CX5</f>
        <v>25425</v>
      </c>
      <c r="CZ5" s="157">
        <f>+CY5+3000</f>
        <v>28425</v>
      </c>
      <c r="DA5" s="157">
        <f>+CZ5+1500</f>
        <v>29925</v>
      </c>
      <c r="DB5" s="157">
        <f>+DA5+1900</f>
        <v>31825</v>
      </c>
      <c r="DE5" s="159"/>
      <c r="DF5" s="158">
        <v>18150</v>
      </c>
    </row>
    <row r="6" spans="1:110" s="187" customFormat="1" x14ac:dyDescent="0.2">
      <c r="A6" s="185" t="s">
        <v>525</v>
      </c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>
        <f t="shared" ref="Y6:AD6" si="33">+(Y8/Y5)/365/24*1000</f>
        <v>0.59359982034583436</v>
      </c>
      <c r="Z6" s="185">
        <f t="shared" si="33"/>
        <v>0.6239966696587701</v>
      </c>
      <c r="AA6" s="186">
        <f t="shared" si="33"/>
        <v>0.62302979986666163</v>
      </c>
      <c r="AB6" s="186">
        <f t="shared" si="33"/>
        <v>0.68248384525552863</v>
      </c>
      <c r="AC6" s="186">
        <f t="shared" si="33"/>
        <v>0.66384456120819024</v>
      </c>
      <c r="AD6" s="186">
        <f t="shared" si="33"/>
        <v>0.64949632076615349</v>
      </c>
      <c r="AE6" s="186">
        <f>+(AE8/AE5)/365/24*1000</f>
        <v>0.63999699630901008</v>
      </c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185"/>
      <c r="BP6" s="185"/>
      <c r="BQ6" s="185"/>
      <c r="BR6" s="185"/>
      <c r="BS6" s="185"/>
      <c r="BT6" s="185"/>
      <c r="BU6" s="185"/>
      <c r="BV6" s="185"/>
      <c r="BW6" s="185"/>
      <c r="BX6" s="185">
        <v>0.39</v>
      </c>
      <c r="BY6" s="185">
        <v>0.42</v>
      </c>
      <c r="BZ6" s="185"/>
      <c r="CA6" s="185"/>
      <c r="CB6" s="185">
        <v>0.57999999999999996</v>
      </c>
      <c r="CC6" s="185">
        <v>0.69</v>
      </c>
      <c r="CD6" s="185">
        <v>0.72</v>
      </c>
      <c r="CE6" s="185">
        <v>0.78</v>
      </c>
      <c r="CF6" s="185">
        <v>0.67</v>
      </c>
      <c r="CG6" s="185">
        <v>0.64</v>
      </c>
      <c r="CH6" s="185">
        <v>0.74</v>
      </c>
      <c r="CI6" s="185">
        <v>0.67</v>
      </c>
      <c r="CJ6" s="185">
        <v>0.63</v>
      </c>
      <c r="CK6" s="185">
        <v>0.63</v>
      </c>
      <c r="CL6" s="185">
        <v>0.74</v>
      </c>
      <c r="CM6" s="186">
        <f>+CI6*1.05</f>
        <v>0.70350000000000013</v>
      </c>
      <c r="CN6" s="186">
        <f>+CJ6*1.05</f>
        <v>0.66150000000000009</v>
      </c>
      <c r="CO6" s="186">
        <f t="shared" ref="CO6:CP6" si="34">+CK6*1.05</f>
        <v>0.66150000000000009</v>
      </c>
      <c r="CP6" s="186">
        <f t="shared" si="34"/>
        <v>0.77700000000000002</v>
      </c>
      <c r="CQ6" s="186">
        <f>+CM6*1.01</f>
        <v>0.71053500000000014</v>
      </c>
      <c r="CR6" s="186">
        <f t="shared" ref="CR6:CT6" si="35">+CN6*1.01</f>
        <v>0.66811500000000013</v>
      </c>
      <c r="CS6" s="186">
        <f t="shared" si="35"/>
        <v>0.66811500000000013</v>
      </c>
      <c r="CT6" s="186">
        <f t="shared" si="35"/>
        <v>0.78477000000000008</v>
      </c>
      <c r="CU6" s="186">
        <f t="shared" ref="CU6:CW6" si="36">+CQ6+0.25%</f>
        <v>0.71303500000000009</v>
      </c>
      <c r="CV6" s="186">
        <f t="shared" si="36"/>
        <v>0.67061500000000007</v>
      </c>
      <c r="CW6" s="186">
        <f t="shared" si="36"/>
        <v>0.67061500000000007</v>
      </c>
      <c r="CX6" s="186">
        <f>+CT6+0.25%</f>
        <v>0.78727000000000003</v>
      </c>
      <c r="CY6" s="186">
        <f t="shared" ref="CY6:DB6" si="37">+CU6+0.25%</f>
        <v>0.71553500000000003</v>
      </c>
      <c r="CZ6" s="186">
        <f t="shared" si="37"/>
        <v>0.67311500000000002</v>
      </c>
      <c r="DA6" s="186">
        <f t="shared" si="37"/>
        <v>0.67311500000000002</v>
      </c>
      <c r="DB6" s="186">
        <f t="shared" si="37"/>
        <v>0.78976999999999997</v>
      </c>
      <c r="DE6" s="188"/>
      <c r="DF6" s="187">
        <v>0.72519999999999996</v>
      </c>
    </row>
    <row r="7" spans="1:110" s="158" customFormat="1" x14ac:dyDescent="0.2">
      <c r="A7" s="155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 t="s">
        <v>523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>
        <f>SUM(CA8:CD8)</f>
        <v>79299</v>
      </c>
      <c r="Z8" s="156">
        <f>SUM(CE8:CH8)</f>
        <v>95932</v>
      </c>
      <c r="AA8" s="157">
        <f>SUM(CI8:CL8)</f>
        <v>99058</v>
      </c>
      <c r="AB8" s="157">
        <f>+SUM(CM8:CP8)</f>
        <v>110453.86800000002</v>
      </c>
      <c r="AC8" s="157">
        <f>+SUM(CQ8:CT8)</f>
        <v>123429.28311000002</v>
      </c>
      <c r="AD8" s="157">
        <f>+SUM(CU8:CX8)</f>
        <v>144657.76905</v>
      </c>
      <c r="AE8" s="157">
        <f>+SUM(CY8:DB8)</f>
        <v>178422.84260999999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>
        <v>11000</v>
      </c>
      <c r="BY8" s="156">
        <v>11800</v>
      </c>
      <c r="BZ8" s="156"/>
      <c r="CA8" s="156">
        <f>79299-SUM(CB8:CD8)</f>
        <v>17599</v>
      </c>
      <c r="CB8" s="156">
        <v>18100</v>
      </c>
      <c r="CC8" s="156">
        <v>21500</v>
      </c>
      <c r="CD8" s="156">
        <v>22100</v>
      </c>
      <c r="CE8" s="156">
        <v>24200</v>
      </c>
      <c r="CF8" s="156">
        <v>22000</v>
      </c>
      <c r="CG8" s="156">
        <v>23332</v>
      </c>
      <c r="CH8" s="156">
        <v>26400</v>
      </c>
      <c r="CI8" s="156">
        <v>24600</v>
      </c>
      <c r="CJ8" s="156">
        <v>23700</v>
      </c>
      <c r="CK8" s="156">
        <v>23556</v>
      </c>
      <c r="CL8" s="156">
        <v>27202</v>
      </c>
      <c r="CM8" s="157">
        <f t="shared" ref="CM8:DB8" si="38">CM6*CM5*90*24/1000</f>
        <v>27580.014000000006</v>
      </c>
      <c r="CN8" s="157">
        <f t="shared" si="38"/>
        <v>25933.446000000007</v>
      </c>
      <c r="CO8" s="157">
        <f t="shared" si="38"/>
        <v>25933.446000000007</v>
      </c>
      <c r="CP8" s="157">
        <f t="shared" si="38"/>
        <v>31006.962</v>
      </c>
      <c r="CQ8" s="157">
        <f t="shared" si="38"/>
        <v>28354.609710000008</v>
      </c>
      <c r="CR8" s="157">
        <f t="shared" si="38"/>
        <v>28826.489790000007</v>
      </c>
      <c r="CS8" s="157">
        <f t="shared" si="38"/>
        <v>30269.618190000001</v>
      </c>
      <c r="CT8" s="157">
        <f t="shared" si="38"/>
        <v>35978.565420000006</v>
      </c>
      <c r="CU8" s="157">
        <f t="shared" si="38"/>
        <v>32689.802610000002</v>
      </c>
      <c r="CV8" s="157">
        <f t="shared" si="38"/>
        <v>32917.807890000004</v>
      </c>
      <c r="CW8" s="157">
        <f t="shared" si="38"/>
        <v>35814.864690000002</v>
      </c>
      <c r="CX8" s="157">
        <f t="shared" si="38"/>
        <v>43235.293859999998</v>
      </c>
      <c r="CY8" s="157">
        <f t="shared" si="38"/>
        <v>39295.751130000004</v>
      </c>
      <c r="CZ8" s="157">
        <f t="shared" si="38"/>
        <v>41327.914769999996</v>
      </c>
      <c r="DA8" s="157">
        <f t="shared" si="38"/>
        <v>43508.807369999995</v>
      </c>
      <c r="DB8" s="157">
        <f t="shared" si="38"/>
        <v>54290.36933999999</v>
      </c>
      <c r="DE8" s="159"/>
      <c r="DF8" s="158">
        <v>28430.740799999996</v>
      </c>
    </row>
    <row r="9" spans="1:110" s="158" customFormat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7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6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09" customFormat="1" x14ac:dyDescent="0.2">
      <c r="A10" s="189" t="s">
        <v>527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 t="e">
        <f t="shared" ref="W10:AE10" si="39">W13*10/W8</f>
        <v>#DIV/0!</v>
      </c>
      <c r="X10" s="107" t="e">
        <f t="shared" si="39"/>
        <v>#DIV/0!</v>
      </c>
      <c r="Y10" s="107">
        <f t="shared" si="39"/>
        <v>6.3070353976721014</v>
      </c>
      <c r="Z10" s="107">
        <f t="shared" si="39"/>
        <v>5.8486969937038733</v>
      </c>
      <c r="AA10" s="108">
        <f t="shared" si="39"/>
        <v>5.4755728966867885</v>
      </c>
      <c r="AB10" s="108">
        <f t="shared" si="39"/>
        <v>5.6776517770636135</v>
      </c>
      <c r="AC10" s="108">
        <f t="shared" si="39"/>
        <v>5.9080206308522927</v>
      </c>
      <c r="AD10" s="108">
        <f t="shared" si="39"/>
        <v>5.9200899788832455</v>
      </c>
      <c r="AE10" s="108">
        <f t="shared" si="39"/>
        <v>5.9227291192273084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 t="e">
        <f t="shared" ref="BU10:CL10" si="40">BU13*10/BU8</f>
        <v>#DIV/0!</v>
      </c>
      <c r="BV10" s="107" t="e">
        <f t="shared" si="40"/>
        <v>#DIV/0!</v>
      </c>
      <c r="BW10" s="107" t="e">
        <f t="shared" si="40"/>
        <v>#DIV/0!</v>
      </c>
      <c r="BX10" s="107">
        <f t="shared" si="40"/>
        <v>6.352254545454544</v>
      </c>
      <c r="BY10" s="107">
        <f t="shared" si="40"/>
        <v>6.5619322033898309</v>
      </c>
      <c r="BZ10" s="107" t="e">
        <f t="shared" si="40"/>
        <v>#DIV/0!</v>
      </c>
      <c r="CA10" s="107">
        <f t="shared" si="40"/>
        <v>6.2407693618955618</v>
      </c>
      <c r="CB10" s="107">
        <f t="shared" si="40"/>
        <v>7.165839779005525</v>
      </c>
      <c r="CC10" s="107">
        <f t="shared" si="40"/>
        <v>6.0417767441860466</v>
      </c>
      <c r="CD10" s="107">
        <f t="shared" si="40"/>
        <v>5.9144977375565615</v>
      </c>
      <c r="CE10" s="107">
        <f t="shared" si="40"/>
        <v>6.180012396694214</v>
      </c>
      <c r="CF10" s="107">
        <f t="shared" si="40"/>
        <v>6.0631272727272725</v>
      </c>
      <c r="CG10" s="107">
        <f t="shared" si="40"/>
        <v>5.8596948397051261</v>
      </c>
      <c r="CH10" s="107">
        <f t="shared" si="40"/>
        <v>5.3565795454545455</v>
      </c>
      <c r="CI10" s="107">
        <f t="shared" si="40"/>
        <v>5.7353658536585366</v>
      </c>
      <c r="CJ10" s="107">
        <f t="shared" si="40"/>
        <v>5.6779915611814342</v>
      </c>
      <c r="CK10" s="107">
        <f t="shared" si="40"/>
        <v>5.285702156563084</v>
      </c>
      <c r="CL10" s="107">
        <f t="shared" si="40"/>
        <v>5.2286927431806483</v>
      </c>
      <c r="CM10" s="108">
        <f>AVERAGE(CI10:CL10)*1.03</f>
        <v>5.646396221005304</v>
      </c>
      <c r="CN10" s="108">
        <f>AVERAGE(CJ10:CM10)*1.03</f>
        <v>5.6234865405970966</v>
      </c>
      <c r="CO10" s="108">
        <f>AVERAGE(CK10:CN10)*1.04</f>
        <v>5.6639121919499944</v>
      </c>
      <c r="CP10" s="108">
        <f>AVERAGE(CL10:CO10)*1.04</f>
        <v>5.7622468011505914</v>
      </c>
      <c r="CQ10" s="108">
        <f>AVERAGE(CM10:CP10)*1.03</f>
        <v>5.8442307518360188</v>
      </c>
      <c r="CR10" s="108">
        <f>AVERAGE(CN10:CQ10)*1.03</f>
        <v>5.8951731435249277</v>
      </c>
      <c r="CS10" s="108">
        <f>AVERAGE(CO10:CR10)*1.02</f>
        <v>5.907218536557691</v>
      </c>
      <c r="CT10" s="108">
        <f>AVERAGE(CP10:CS10)*1.02</f>
        <v>5.9692616544326542</v>
      </c>
      <c r="CU10" s="108">
        <f t="shared" ref="CU10:DB10" si="41">AVERAGE(CQ10:CT10)</f>
        <v>5.9039710215878225</v>
      </c>
      <c r="CV10" s="108">
        <f t="shared" si="41"/>
        <v>5.9189060890257732</v>
      </c>
      <c r="CW10" s="108">
        <f t="shared" si="41"/>
        <v>5.9248393254009848</v>
      </c>
      <c r="CX10" s="108">
        <f t="shared" si="41"/>
        <v>5.9292445226118087</v>
      </c>
      <c r="CY10" s="108">
        <f t="shared" si="41"/>
        <v>5.9192402396565971</v>
      </c>
      <c r="CZ10" s="108">
        <f t="shared" si="41"/>
        <v>5.9230575441737905</v>
      </c>
      <c r="DA10" s="108">
        <f t="shared" si="41"/>
        <v>5.9240954079607953</v>
      </c>
      <c r="DB10" s="108">
        <f t="shared" si="41"/>
        <v>5.9239094286007479</v>
      </c>
      <c r="DE10" s="117"/>
      <c r="DF10" s="109">
        <v>5.3484924858379674</v>
      </c>
    </row>
    <row r="11" spans="1:110" s="158" customFormat="1" x14ac:dyDescent="0.2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1" customFormat="1" x14ac:dyDescent="0.2">
      <c r="A12" s="151" t="s">
        <v>526</v>
      </c>
    </row>
    <row r="13" spans="1:110" s="158" customFormat="1" x14ac:dyDescent="0.2">
      <c r="A13" s="155" t="s">
        <v>533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>
        <f t="shared" ref="Y13:Y15" si="42">SUM(CA13:CD13)</f>
        <v>50014.159999999996</v>
      </c>
      <c r="Z13" s="156">
        <f>SUM(CE13:CH13)</f>
        <v>56107.72</v>
      </c>
      <c r="AA13" s="157">
        <f>SUM(CI13:CL13)</f>
        <v>54239.929999999993</v>
      </c>
      <c r="AB13" s="157">
        <f>SUM(CM13:CP13)</f>
        <v>62711.859993374987</v>
      </c>
      <c r="AC13" s="157">
        <f>SUM(CQ13:CT13)</f>
        <v>72922.275106518849</v>
      </c>
      <c r="AD13" s="157">
        <f>SUM(CU13:CX13)</f>
        <v>85638.700892051187</v>
      </c>
      <c r="AE13" s="157">
        <f>SUM(CY13:DB13)</f>
        <v>105675.01654615579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>
        <v>6987.48</v>
      </c>
      <c r="BY13" s="156">
        <v>7743.08</v>
      </c>
      <c r="BZ13" s="156"/>
      <c r="CA13" s="156">
        <v>10983.13</v>
      </c>
      <c r="CB13" s="156">
        <v>12970.17</v>
      </c>
      <c r="CC13" s="156">
        <v>12989.82</v>
      </c>
      <c r="CD13" s="156">
        <v>13071.04</v>
      </c>
      <c r="CE13" s="156">
        <v>14955.63</v>
      </c>
      <c r="CF13" s="156">
        <v>13338.88</v>
      </c>
      <c r="CG13" s="156">
        <v>13671.84</v>
      </c>
      <c r="CH13" s="156">
        <v>14141.37</v>
      </c>
      <c r="CI13" s="156">
        <v>14109</v>
      </c>
      <c r="CJ13" s="156">
        <v>13456.84</v>
      </c>
      <c r="CK13" s="156">
        <v>12451</v>
      </c>
      <c r="CL13" s="156">
        <v>14223.09</v>
      </c>
      <c r="CM13" s="157">
        <f t="shared" ref="CM13:DB13" si="43">CM10*CM8/10</f>
        <v>15572.768682487342</v>
      </c>
      <c r="CN13" s="157">
        <f t="shared" si="43"/>
        <v>14583.638453230165</v>
      </c>
      <c r="CO13" s="157">
        <f t="shared" si="43"/>
        <v>14688.476097867684</v>
      </c>
      <c r="CP13" s="157">
        <f t="shared" si="43"/>
        <v>17866.976759789795</v>
      </c>
      <c r="CQ13" s="157">
        <f t="shared" si="43"/>
        <v>16571.088202349023</v>
      </c>
      <c r="CR13" s="157">
        <f t="shared" si="43"/>
        <v>16993.714843210357</v>
      </c>
      <c r="CS13" s="157">
        <f t="shared" si="43"/>
        <v>17880.924966649189</v>
      </c>
      <c r="CT13" s="157">
        <f t="shared" si="43"/>
        <v>21476.547094310274</v>
      </c>
      <c r="CU13" s="157">
        <f t="shared" si="43"/>
        <v>19299.964731086598</v>
      </c>
      <c r="CV13" s="157">
        <f t="shared" si="43"/>
        <v>19483.741355750164</v>
      </c>
      <c r="CW13" s="157">
        <f t="shared" si="43"/>
        <v>21219.731874922716</v>
      </c>
      <c r="CX13" s="157">
        <f t="shared" si="43"/>
        <v>25635.262930291698</v>
      </c>
      <c r="CY13" s="157">
        <f t="shared" si="43"/>
        <v>23260.099133622723</v>
      </c>
      <c r="CZ13" s="157">
        <f t="shared" si="43"/>
        <v>24478.761736341992</v>
      </c>
      <c r="DA13" s="157">
        <f t="shared" si="43"/>
        <v>25775.032594646778</v>
      </c>
      <c r="DB13" s="157">
        <f t="shared" si="43"/>
        <v>32161.12308154429</v>
      </c>
      <c r="DE13" s="159"/>
      <c r="DF13" s="158">
        <v>15206.16035356069</v>
      </c>
    </row>
    <row r="14" spans="1:110" s="158" customFormat="1" x14ac:dyDescent="0.2">
      <c r="A14" s="155" t="s">
        <v>528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>
        <f t="shared" si="42"/>
        <v>337.09</v>
      </c>
      <c r="Z14" s="156">
        <f>SUM(CE14:CH14)</f>
        <v>96.03</v>
      </c>
      <c r="AA14" s="157">
        <f t="shared" ref="AA14:AA15" si="44">SUM(CI14:CL14)</f>
        <v>0</v>
      </c>
      <c r="AB14" s="157">
        <f t="shared" ref="AB14:AB15" si="45">SUM(CM14:CP14)</f>
        <v>80</v>
      </c>
      <c r="AC14" s="157">
        <f t="shared" ref="AC14:AC15" si="46">SUM(CQ14:CT14)</f>
        <v>160</v>
      </c>
      <c r="AD14" s="157">
        <f t="shared" ref="AD14:AD15" si="47">SUM(CU14:CX14)</f>
        <v>160</v>
      </c>
      <c r="AE14" s="157">
        <f t="shared" ref="AE14:AE15" si="48">SUM(CY14:DB14)</f>
        <v>160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>
        <v>56.29</v>
      </c>
      <c r="BY14" s="156">
        <v>21.33</v>
      </c>
      <c r="BZ14" s="156"/>
      <c r="CA14" s="156">
        <v>22.41</v>
      </c>
      <c r="CB14" s="156">
        <v>20.41</v>
      </c>
      <c r="CC14" s="156">
        <v>1.62</v>
      </c>
      <c r="CD14" s="156">
        <v>292.64999999999998</v>
      </c>
      <c r="CE14" s="156">
        <v>0</v>
      </c>
      <c r="CF14" s="156">
        <v>0</v>
      </c>
      <c r="CG14" s="156">
        <v>0</v>
      </c>
      <c r="CH14" s="156">
        <v>96.03</v>
      </c>
      <c r="CI14" s="156">
        <v>0</v>
      </c>
      <c r="CJ14" s="156">
        <v>0</v>
      </c>
      <c r="CK14" s="156">
        <v>0</v>
      </c>
      <c r="CL14" s="156">
        <v>0</v>
      </c>
      <c r="CM14" s="157">
        <v>20</v>
      </c>
      <c r="CN14" s="157">
        <v>20</v>
      </c>
      <c r="CO14" s="157">
        <v>20</v>
      </c>
      <c r="CP14" s="157">
        <v>20</v>
      </c>
      <c r="CQ14" s="157">
        <v>40</v>
      </c>
      <c r="CR14" s="157">
        <v>40</v>
      </c>
      <c r="CS14" s="157">
        <v>40</v>
      </c>
      <c r="CT14" s="157">
        <v>40</v>
      </c>
      <c r="CU14" s="157">
        <v>40</v>
      </c>
      <c r="CV14" s="157">
        <v>40</v>
      </c>
      <c r="CW14" s="157">
        <v>40</v>
      </c>
      <c r="CX14" s="157">
        <v>40</v>
      </c>
      <c r="CY14" s="157">
        <v>40</v>
      </c>
      <c r="CZ14" s="157">
        <v>40</v>
      </c>
      <c r="DA14" s="157">
        <v>40</v>
      </c>
      <c r="DB14" s="157">
        <v>40</v>
      </c>
      <c r="DE14" s="159"/>
      <c r="DF14" s="158">
        <v>0</v>
      </c>
    </row>
    <row r="15" spans="1:110" s="158" customFormat="1" x14ac:dyDescent="0.2">
      <c r="A15" s="155" t="s">
        <v>529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>
        <f t="shared" si="42"/>
        <v>0</v>
      </c>
      <c r="Z15" s="156">
        <f>SUM(CE15:CH15)</f>
        <v>0</v>
      </c>
      <c r="AA15" s="157">
        <f t="shared" si="44"/>
        <v>0</v>
      </c>
      <c r="AB15" s="157">
        <f t="shared" si="45"/>
        <v>0</v>
      </c>
      <c r="AC15" s="157">
        <f t="shared" si="46"/>
        <v>0</v>
      </c>
      <c r="AD15" s="157">
        <f t="shared" si="47"/>
        <v>0</v>
      </c>
      <c r="AE15" s="157">
        <f t="shared" si="48"/>
        <v>0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>
        <v>0</v>
      </c>
      <c r="BZ15" s="156"/>
      <c r="CA15" s="156"/>
      <c r="CB15" s="156">
        <v>0</v>
      </c>
      <c r="CC15" s="156"/>
      <c r="CD15" s="156"/>
      <c r="CE15" s="156">
        <v>0</v>
      </c>
      <c r="CF15" s="156">
        <v>0</v>
      </c>
      <c r="CG15" s="156">
        <v>0</v>
      </c>
      <c r="CH15" s="156">
        <v>0</v>
      </c>
      <c r="CI15" s="156">
        <v>0</v>
      </c>
      <c r="CJ15" s="156">
        <v>0</v>
      </c>
      <c r="CK15" s="156">
        <v>0</v>
      </c>
      <c r="CL15" s="156">
        <v>0</v>
      </c>
      <c r="CM15" s="157">
        <v>0</v>
      </c>
      <c r="CN15" s="157">
        <v>0</v>
      </c>
      <c r="CO15" s="157">
        <v>0</v>
      </c>
      <c r="CP15" s="157">
        <v>0</v>
      </c>
      <c r="CQ15" s="157">
        <v>0</v>
      </c>
      <c r="CR15" s="157">
        <v>0</v>
      </c>
      <c r="CS15" s="157">
        <v>0</v>
      </c>
      <c r="CT15" s="157">
        <v>0</v>
      </c>
      <c r="CU15" s="157">
        <v>0</v>
      </c>
      <c r="CV15" s="157">
        <v>0</v>
      </c>
      <c r="CW15" s="157">
        <v>0</v>
      </c>
      <c r="CX15" s="157">
        <v>0</v>
      </c>
      <c r="CY15" s="157">
        <v>0</v>
      </c>
      <c r="CZ15" s="157">
        <v>0</v>
      </c>
      <c r="DA15" s="157">
        <v>0</v>
      </c>
      <c r="DB15" s="157">
        <v>0</v>
      </c>
      <c r="DE15" s="159"/>
      <c r="DF15" s="158">
        <v>0</v>
      </c>
    </row>
    <row r="16" spans="1:110" s="109" customFormat="1" x14ac:dyDescent="0.2">
      <c r="A16" s="189" t="s">
        <v>530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>
        <f>Y13+Y14-Y15</f>
        <v>50351.249999999993</v>
      </c>
      <c r="Z16" s="107">
        <f>Z13+Z14-Z15</f>
        <v>56203.75</v>
      </c>
      <c r="AA16" s="108">
        <f t="shared" ref="AA16:AE16" si="49">AA13+AA14-AA15</f>
        <v>54239.929999999993</v>
      </c>
      <c r="AB16" s="108">
        <f t="shared" si="49"/>
        <v>62791.859993374987</v>
      </c>
      <c r="AC16" s="108">
        <f t="shared" si="49"/>
        <v>73082.275106518849</v>
      </c>
      <c r="AD16" s="108">
        <f t="shared" si="49"/>
        <v>85798.700892051187</v>
      </c>
      <c r="AE16" s="108">
        <f t="shared" si="49"/>
        <v>105835.01654615579</v>
      </c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>
        <f t="shared" ref="BM16:CJ16" si="50">BM13+BM14-BM15</f>
        <v>0</v>
      </c>
      <c r="BN16" s="107">
        <f t="shared" si="50"/>
        <v>0</v>
      </c>
      <c r="BO16" s="107">
        <f t="shared" si="50"/>
        <v>0</v>
      </c>
      <c r="BP16" s="107">
        <f t="shared" si="50"/>
        <v>0</v>
      </c>
      <c r="BQ16" s="107">
        <f t="shared" si="50"/>
        <v>0</v>
      </c>
      <c r="BR16" s="107">
        <f t="shared" si="50"/>
        <v>0</v>
      </c>
      <c r="BS16" s="107">
        <f t="shared" si="50"/>
        <v>0</v>
      </c>
      <c r="BT16" s="107">
        <f t="shared" si="50"/>
        <v>0</v>
      </c>
      <c r="BU16" s="107">
        <f t="shared" si="50"/>
        <v>0</v>
      </c>
      <c r="BV16" s="107">
        <f t="shared" si="50"/>
        <v>0</v>
      </c>
      <c r="BW16" s="107">
        <f t="shared" si="50"/>
        <v>0</v>
      </c>
      <c r="BX16" s="107">
        <f t="shared" si="50"/>
        <v>7043.7699999999995</v>
      </c>
      <c r="BY16" s="107">
        <f t="shared" si="50"/>
        <v>7764.41</v>
      </c>
      <c r="BZ16" s="107">
        <f t="shared" si="50"/>
        <v>0</v>
      </c>
      <c r="CA16" s="107">
        <f t="shared" si="50"/>
        <v>11005.539999999999</v>
      </c>
      <c r="CB16" s="107">
        <f t="shared" si="50"/>
        <v>12990.58</v>
      </c>
      <c r="CC16" s="107">
        <f t="shared" si="50"/>
        <v>12991.44</v>
      </c>
      <c r="CD16" s="107">
        <f t="shared" si="50"/>
        <v>13363.69</v>
      </c>
      <c r="CE16" s="107">
        <f t="shared" si="50"/>
        <v>14955.63</v>
      </c>
      <c r="CF16" s="107">
        <f t="shared" si="50"/>
        <v>13338.88</v>
      </c>
      <c r="CG16" s="107">
        <f t="shared" si="50"/>
        <v>13671.84</v>
      </c>
      <c r="CH16" s="107">
        <f t="shared" si="50"/>
        <v>14237.400000000001</v>
      </c>
      <c r="CI16" s="107">
        <f t="shared" si="50"/>
        <v>14109</v>
      </c>
      <c r="CJ16" s="107">
        <f t="shared" si="50"/>
        <v>13456.84</v>
      </c>
      <c r="CK16" s="107">
        <f>CK13+CK14-CK15</f>
        <v>12451</v>
      </c>
      <c r="CL16" s="107">
        <f t="shared" ref="CL16:DB16" si="51">CL13+CL14-CL15</f>
        <v>14223.09</v>
      </c>
      <c r="CM16" s="108">
        <f t="shared" si="51"/>
        <v>15592.768682487342</v>
      </c>
      <c r="CN16" s="108">
        <f t="shared" si="51"/>
        <v>14603.638453230165</v>
      </c>
      <c r="CO16" s="108">
        <f t="shared" si="51"/>
        <v>14708.476097867684</v>
      </c>
      <c r="CP16" s="108">
        <f t="shared" si="51"/>
        <v>17886.976759789795</v>
      </c>
      <c r="CQ16" s="108">
        <f t="shared" si="51"/>
        <v>16611.088202349023</v>
      </c>
      <c r="CR16" s="108">
        <f t="shared" si="51"/>
        <v>17033.714843210357</v>
      </c>
      <c r="CS16" s="108">
        <f t="shared" si="51"/>
        <v>17920.924966649189</v>
      </c>
      <c r="CT16" s="108">
        <f t="shared" si="51"/>
        <v>21516.547094310274</v>
      </c>
      <c r="CU16" s="108">
        <f t="shared" si="51"/>
        <v>19339.964731086598</v>
      </c>
      <c r="CV16" s="108">
        <f t="shared" si="51"/>
        <v>19523.741355750164</v>
      </c>
      <c r="CW16" s="108">
        <f t="shared" si="51"/>
        <v>21259.731874922716</v>
      </c>
      <c r="CX16" s="108">
        <f t="shared" si="51"/>
        <v>25675.262930291698</v>
      </c>
      <c r="CY16" s="108">
        <f t="shared" si="51"/>
        <v>23300.099133622723</v>
      </c>
      <c r="CZ16" s="108">
        <f t="shared" si="51"/>
        <v>24518.761736341992</v>
      </c>
      <c r="DA16" s="108">
        <f t="shared" si="51"/>
        <v>25815.032594646778</v>
      </c>
      <c r="DB16" s="108">
        <f t="shared" si="51"/>
        <v>32201.12308154429</v>
      </c>
      <c r="DE16" s="117"/>
      <c r="DF16" s="109">
        <v>15206.16035356069</v>
      </c>
    </row>
    <row r="17" spans="1:110" s="158" customFormat="1" x14ac:dyDescent="0.2">
      <c r="A17" s="155" t="s">
        <v>531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>
        <f t="shared" ref="Y17:AE17" si="52">Y29-Y16</f>
        <v>0</v>
      </c>
      <c r="Z17" s="156">
        <f t="shared" si="52"/>
        <v>-0.66000000000349246</v>
      </c>
      <c r="AA17" s="157">
        <f t="shared" si="52"/>
        <v>0.5900000000037835</v>
      </c>
      <c r="AB17" s="157">
        <f t="shared" si="52"/>
        <v>0</v>
      </c>
      <c r="AC17" s="157">
        <f t="shared" si="52"/>
        <v>0</v>
      </c>
      <c r="AD17" s="157">
        <f t="shared" si="52"/>
        <v>0</v>
      </c>
      <c r="AE17" s="157">
        <f t="shared" si="52"/>
        <v>0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>
        <f t="shared" ref="BX17:DB17" si="53">BX29-BX16</f>
        <v>0</v>
      </c>
      <c r="BY17" s="156">
        <f t="shared" si="53"/>
        <v>0</v>
      </c>
      <c r="BZ17" s="156">
        <f t="shared" si="53"/>
        <v>10242.06</v>
      </c>
      <c r="CA17" s="156">
        <f t="shared" si="53"/>
        <v>0</v>
      </c>
      <c r="CB17" s="156">
        <f t="shared" si="53"/>
        <v>0</v>
      </c>
      <c r="CC17" s="156">
        <f t="shared" si="53"/>
        <v>0</v>
      </c>
      <c r="CD17" s="156">
        <f t="shared" si="53"/>
        <v>0</v>
      </c>
      <c r="CE17" s="156">
        <f t="shared" si="53"/>
        <v>0</v>
      </c>
      <c r="CF17" s="156">
        <f t="shared" si="53"/>
        <v>0</v>
      </c>
      <c r="CG17" s="156">
        <f t="shared" si="53"/>
        <v>-0.65999999999985448</v>
      </c>
      <c r="CH17" s="156">
        <f t="shared" si="53"/>
        <v>0</v>
      </c>
      <c r="CI17" s="156">
        <f t="shared" si="53"/>
        <v>0.1499999999996362</v>
      </c>
      <c r="CJ17" s="156">
        <f t="shared" si="53"/>
        <v>0</v>
      </c>
      <c r="CK17" s="156">
        <f t="shared" si="53"/>
        <v>0.44000000000050932</v>
      </c>
      <c r="CL17" s="156">
        <f t="shared" si="53"/>
        <v>0</v>
      </c>
      <c r="CM17" s="157">
        <f t="shared" si="53"/>
        <v>0</v>
      </c>
      <c r="CN17" s="157">
        <f t="shared" si="53"/>
        <v>0</v>
      </c>
      <c r="CO17" s="157">
        <f t="shared" si="53"/>
        <v>0</v>
      </c>
      <c r="CP17" s="157">
        <f t="shared" si="53"/>
        <v>0</v>
      </c>
      <c r="CQ17" s="157">
        <f t="shared" si="53"/>
        <v>0</v>
      </c>
      <c r="CR17" s="157">
        <f t="shared" si="53"/>
        <v>0</v>
      </c>
      <c r="CS17" s="157">
        <f t="shared" si="53"/>
        <v>0</v>
      </c>
      <c r="CT17" s="157">
        <f t="shared" si="53"/>
        <v>0</v>
      </c>
      <c r="CU17" s="157">
        <f t="shared" si="53"/>
        <v>0</v>
      </c>
      <c r="CV17" s="157">
        <f t="shared" si="53"/>
        <v>0</v>
      </c>
      <c r="CW17" s="157">
        <f t="shared" si="53"/>
        <v>0</v>
      </c>
      <c r="CX17" s="157">
        <f t="shared" si="53"/>
        <v>0</v>
      </c>
      <c r="CY17" s="157">
        <f t="shared" si="53"/>
        <v>0</v>
      </c>
      <c r="CZ17" s="157">
        <f t="shared" si="53"/>
        <v>0</v>
      </c>
      <c r="DA17" s="157">
        <f t="shared" si="53"/>
        <v>0</v>
      </c>
      <c r="DB17" s="157">
        <f t="shared" si="53"/>
        <v>0</v>
      </c>
      <c r="DE17" s="159"/>
      <c r="DF17" s="158">
        <v>-983.07035356068991</v>
      </c>
    </row>
    <row r="18" spans="1:110" s="158" customFormat="1" x14ac:dyDescent="0.2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51" customFormat="1" x14ac:dyDescent="0.2">
      <c r="A19" s="151" t="s">
        <v>534</v>
      </c>
    </row>
    <row r="20" spans="1:110" s="193" customFormat="1" x14ac:dyDescent="0.2">
      <c r="A20" s="190" t="s">
        <v>535</v>
      </c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2">
        <f>Z13/Y13-1</f>
        <v>0.12183669584773593</v>
      </c>
      <c r="AA20" s="194">
        <f t="shared" ref="AA20:AE21" si="54">AA13/Z13-1</f>
        <v>-3.3289358398452262E-2</v>
      </c>
      <c r="AB20" s="194">
        <f t="shared" si="54"/>
        <v>0.1561936011601599</v>
      </c>
      <c r="AC20" s="194">
        <f t="shared" si="54"/>
        <v>0.16281473893809739</v>
      </c>
      <c r="AD20" s="194">
        <f t="shared" si="54"/>
        <v>0.17438328366685263</v>
      </c>
      <c r="AE20" s="194">
        <f t="shared" si="54"/>
        <v>0.23396333019297755</v>
      </c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92" t="e">
        <f t="shared" ref="CA20:CJ20" si="55">CA13/BW13-1</f>
        <v>#DIV/0!</v>
      </c>
      <c r="CB20" s="192">
        <f t="shared" si="55"/>
        <v>0.85620137732057922</v>
      </c>
      <c r="CC20" s="192">
        <f t="shared" si="55"/>
        <v>0.67760374424647551</v>
      </c>
      <c r="CD20" s="192"/>
      <c r="CE20" s="192">
        <f t="shared" si="55"/>
        <v>0.36169106620790248</v>
      </c>
      <c r="CF20" s="192">
        <f t="shared" si="55"/>
        <v>2.8427537958253479E-2</v>
      </c>
      <c r="CG20" s="192">
        <f t="shared" si="55"/>
        <v>5.2504191743996564E-2</v>
      </c>
      <c r="CH20" s="192">
        <f t="shared" si="55"/>
        <v>8.188560359389907E-2</v>
      </c>
      <c r="CI20" s="192">
        <f t="shared" si="55"/>
        <v>-5.660945075533419E-2</v>
      </c>
      <c r="CJ20" s="192">
        <f t="shared" si="55"/>
        <v>8.843321178389818E-3</v>
      </c>
      <c r="CK20" s="192">
        <f>CK13/CG13-1</f>
        <v>-8.9295954311928716E-2</v>
      </c>
      <c r="CL20" s="192">
        <f t="shared" ref="CL20" si="56">CL13/CH13-1</f>
        <v>5.7787894666498918E-3</v>
      </c>
      <c r="CM20" s="194">
        <f t="shared" ref="CM20:DB21" si="57">CM13/CI13-1</f>
        <v>0.10374716014510899</v>
      </c>
      <c r="CN20" s="194">
        <f t="shared" si="57"/>
        <v>8.373425360115494E-2</v>
      </c>
      <c r="CO20" s="194">
        <f t="shared" si="57"/>
        <v>0.1797025217145356</v>
      </c>
      <c r="CP20" s="194">
        <f t="shared" si="57"/>
        <v>0.2561951558901614</v>
      </c>
      <c r="CQ20" s="194">
        <f t="shared" si="57"/>
        <v>6.4106745577256374E-2</v>
      </c>
      <c r="CR20" s="194">
        <f t="shared" si="57"/>
        <v>0.16525892339619652</v>
      </c>
      <c r="CS20" s="194">
        <f t="shared" si="57"/>
        <v>0.2173437766797981</v>
      </c>
      <c r="CT20" s="194">
        <f t="shared" si="57"/>
        <v>0.2020246840329436</v>
      </c>
      <c r="CU20" s="194">
        <f t="shared" si="57"/>
        <v>0.16467696601546944</v>
      </c>
      <c r="CV20" s="194">
        <f t="shared" si="57"/>
        <v>0.14652632079057559</v>
      </c>
      <c r="CW20" s="194">
        <f t="shared" si="57"/>
        <v>0.18672450751294689</v>
      </c>
      <c r="CX20" s="194">
        <f t="shared" si="57"/>
        <v>0.19363987226248214</v>
      </c>
      <c r="CY20" s="194">
        <f t="shared" si="57"/>
        <v>0.20518868597503226</v>
      </c>
      <c r="CZ20" s="194">
        <f t="shared" si="57"/>
        <v>0.25636864549721938</v>
      </c>
      <c r="DA20" s="194">
        <f t="shared" si="57"/>
        <v>0.21467286893985094</v>
      </c>
      <c r="DB20" s="194">
        <f t="shared" si="57"/>
        <v>0.25456575846317397</v>
      </c>
      <c r="DE20" s="142"/>
      <c r="DF20" s="193">
        <v>7.5296124318979585E-2</v>
      </c>
    </row>
    <row r="21" spans="1:110" s="193" customFormat="1" x14ac:dyDescent="0.2">
      <c r="A21" s="190" t="s">
        <v>536</v>
      </c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2">
        <f t="shared" ref="Z21" si="58">Z14/Y14-1</f>
        <v>-0.71512059094010505</v>
      </c>
      <c r="AA21" s="194">
        <f t="shared" si="54"/>
        <v>-1</v>
      </c>
      <c r="AB21" s="194" t="e">
        <f t="shared" si="54"/>
        <v>#DIV/0!</v>
      </c>
      <c r="AC21" s="194">
        <f t="shared" si="54"/>
        <v>1</v>
      </c>
      <c r="AD21" s="194">
        <f t="shared" si="54"/>
        <v>0</v>
      </c>
      <c r="AE21" s="194">
        <f t="shared" si="54"/>
        <v>0</v>
      </c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/>
      <c r="BX21" s="191"/>
      <c r="BY21" s="191"/>
      <c r="BZ21" s="191"/>
      <c r="CA21" s="192" t="e">
        <f t="shared" ref="CA21:CH21" si="59">CA14/BW14-1</f>
        <v>#DIV/0!</v>
      </c>
      <c r="CB21" s="192">
        <f t="shared" si="59"/>
        <v>-0.6374133949191686</v>
      </c>
      <c r="CC21" s="192">
        <f t="shared" si="59"/>
        <v>-0.92405063291139244</v>
      </c>
      <c r="CD21" s="192"/>
      <c r="CE21" s="192">
        <f t="shared" si="59"/>
        <v>-1</v>
      </c>
      <c r="CF21" s="192">
        <f t="shared" si="59"/>
        <v>-1</v>
      </c>
      <c r="CG21" s="192">
        <f t="shared" si="59"/>
        <v>-1</v>
      </c>
      <c r="CH21" s="192">
        <f t="shared" si="59"/>
        <v>-0.67186058431573548</v>
      </c>
      <c r="CI21" s="192">
        <v>0</v>
      </c>
      <c r="CJ21" s="192">
        <v>0</v>
      </c>
      <c r="CK21" s="192">
        <v>0</v>
      </c>
      <c r="CL21" s="192">
        <v>0</v>
      </c>
      <c r="CM21" s="194">
        <v>0</v>
      </c>
      <c r="CN21" s="194">
        <v>0</v>
      </c>
      <c r="CO21" s="194">
        <v>0</v>
      </c>
      <c r="CP21" s="194">
        <v>0</v>
      </c>
      <c r="CQ21" s="194">
        <f t="shared" si="57"/>
        <v>1</v>
      </c>
      <c r="CR21" s="194">
        <f t="shared" si="57"/>
        <v>1</v>
      </c>
      <c r="CS21" s="194">
        <f t="shared" si="57"/>
        <v>1</v>
      </c>
      <c r="CT21" s="194">
        <f t="shared" si="57"/>
        <v>1</v>
      </c>
      <c r="CU21" s="194">
        <f t="shared" si="57"/>
        <v>0</v>
      </c>
      <c r="CV21" s="194">
        <f t="shared" si="57"/>
        <v>0</v>
      </c>
      <c r="CW21" s="194">
        <f t="shared" si="57"/>
        <v>0</v>
      </c>
      <c r="CX21" s="194">
        <f t="shared" si="57"/>
        <v>0</v>
      </c>
      <c r="CY21" s="194">
        <f t="shared" si="57"/>
        <v>0</v>
      </c>
      <c r="CZ21" s="194">
        <f t="shared" si="57"/>
        <v>0</v>
      </c>
      <c r="DA21" s="194">
        <f t="shared" si="57"/>
        <v>0</v>
      </c>
      <c r="DB21" s="194">
        <f t="shared" si="57"/>
        <v>0</v>
      </c>
      <c r="DE21" s="142"/>
      <c r="DF21" s="193">
        <v>-1</v>
      </c>
    </row>
    <row r="22" spans="1:110" s="158" customFormat="1" x14ac:dyDescent="0.2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7"/>
      <c r="AB22" s="157"/>
      <c r="AC22" s="157"/>
      <c r="AD22" s="157"/>
      <c r="AE22" s="157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6"/>
      <c r="CM22" s="157"/>
      <c r="CN22" s="157"/>
      <c r="CO22" s="157"/>
      <c r="CP22" s="157"/>
      <c r="CQ22" s="157"/>
      <c r="CR22" s="157"/>
      <c r="CS22" s="157"/>
      <c r="CT22" s="157"/>
      <c r="CU22" s="157"/>
      <c r="CV22" s="157"/>
      <c r="CW22" s="157"/>
      <c r="CX22" s="157"/>
      <c r="CY22" s="157"/>
      <c r="CZ22" s="157"/>
      <c r="DA22" s="157"/>
      <c r="DB22" s="157"/>
      <c r="DE22" s="159"/>
    </row>
    <row r="23" spans="1:110" s="158" customFormat="1" x14ac:dyDescent="0.2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E23" s="159"/>
    </row>
    <row r="24" spans="1:110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10" s="106" customFormat="1" x14ac:dyDescent="0.2">
      <c r="A25" s="151" t="s">
        <v>500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5"/>
      <c r="AB25" s="105"/>
      <c r="AC25" s="105"/>
      <c r="AD25" s="105"/>
      <c r="AE25" s="105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E25" s="118"/>
    </row>
    <row r="26" spans="1:110" s="106" customFormat="1" x14ac:dyDescent="0.2">
      <c r="A26" s="151" t="s">
        <v>485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05"/>
      <c r="AC26" s="105"/>
      <c r="AD26" s="105"/>
      <c r="AE26" s="105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60"/>
      <c r="CK26" s="160"/>
      <c r="CL26" s="160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E26" s="118"/>
    </row>
    <row r="27" spans="1:110" s="25" customFormat="1" outlineLevel="1" x14ac:dyDescent="0.2">
      <c r="A27" s="25" t="s">
        <v>430</v>
      </c>
      <c r="B27" s="25">
        <f>'Annual Raw'!C6</f>
        <v>0</v>
      </c>
      <c r="C27" s="25">
        <f>'Annual Raw'!D6</f>
        <v>0</v>
      </c>
      <c r="D27" s="25">
        <f>'Annual Raw'!E6</f>
        <v>0</v>
      </c>
      <c r="E27" s="25">
        <f>'Annual Raw'!F6</f>
        <v>0</v>
      </c>
      <c r="F27" s="25">
        <f>'Annual Raw'!G6</f>
        <v>0</v>
      </c>
      <c r="G27" s="25">
        <f>'Annual Raw'!H6</f>
        <v>0</v>
      </c>
      <c r="H27" s="25">
        <f>'Annual Raw'!I6</f>
        <v>0</v>
      </c>
      <c r="I27" s="25">
        <f>'Annual Raw'!J6</f>
        <v>0</v>
      </c>
      <c r="J27" s="25">
        <f>'Annual Raw'!K6</f>
        <v>0</v>
      </c>
      <c r="K27" s="25">
        <f>'Annual Raw'!L6</f>
        <v>434.86</v>
      </c>
      <c r="L27" s="25">
        <f>'Annual Raw'!M6</f>
        <v>2135.19</v>
      </c>
      <c r="M27" s="25">
        <f>'Annual Raw'!N6</f>
        <v>4092.16</v>
      </c>
      <c r="N27" s="25">
        <f>'Annual Raw'!O6</f>
        <v>6779.36</v>
      </c>
      <c r="O27" s="25">
        <f>'Annual Raw'!P6</f>
        <v>15463.9</v>
      </c>
      <c r="P27" s="25">
        <f>'Annual Raw'!Q6</f>
        <v>19544.939999999999</v>
      </c>
      <c r="Q27" s="25">
        <f>'Annual Raw'!R6</f>
        <v>25532.17</v>
      </c>
      <c r="R27" s="25">
        <f>'Annual Raw'!S6</f>
        <v>22615.51</v>
      </c>
      <c r="S27" s="25">
        <f>'Annual Raw'!T6</f>
        <v>20304.28</v>
      </c>
      <c r="T27" s="25">
        <f>'Annual Raw'!U6</f>
        <v>23884.18</v>
      </c>
      <c r="U27" s="25">
        <f>'Annual Raw'!V6</f>
        <v>26467.72</v>
      </c>
      <c r="V27" s="25">
        <f>'Annual Raw'!W6</f>
        <v>26221.48</v>
      </c>
      <c r="W27" s="25">
        <f>'Annual Raw'!X6</f>
        <v>27711.18</v>
      </c>
      <c r="X27" s="25">
        <f>'Annual Raw'!Y6</f>
        <v>38773.300000000003</v>
      </c>
      <c r="Y27" s="25">
        <f>'Annual Raw'!Z6</f>
        <v>50351.25</v>
      </c>
      <c r="Z27" s="25">
        <f>'Annual Raw'!AA6</f>
        <v>56203.09</v>
      </c>
      <c r="AA27" s="25">
        <f>'Annual Raw'!AB6</f>
        <v>54240.52</v>
      </c>
      <c r="AB27" s="17">
        <f>+SUM(CM27:CP27)</f>
        <v>62791.859993374987</v>
      </c>
      <c r="AC27" s="17">
        <f>+SUM(CQ27:CT27)</f>
        <v>73082.275106518849</v>
      </c>
      <c r="AD27" s="17">
        <f>+SUM(CU27:CX27)</f>
        <v>85798.700892051187</v>
      </c>
      <c r="AE27" s="17">
        <f>+SUM(CY27:DB27)</f>
        <v>105835.01654615579</v>
      </c>
      <c r="AI27" s="25">
        <f>'QTR Raw'!C6+'QTR Raw'!C8</f>
        <v>1503.15</v>
      </c>
      <c r="AJ27" s="25">
        <f>'QTR Raw'!D6+'QTR Raw'!D8</f>
        <v>1502.69</v>
      </c>
      <c r="AK27" s="25">
        <f>'QTR Raw'!E6+'QTR Raw'!E8</f>
        <v>1884.3799999999999</v>
      </c>
      <c r="AL27" s="25">
        <f>'QTR Raw'!F6+'QTR Raw'!F8</f>
        <v>1889.13</v>
      </c>
      <c r="AM27" s="25">
        <f>'QTR Raw'!G6+'QTR Raw'!G8</f>
        <v>2536.73</v>
      </c>
      <c r="AN27" s="25">
        <f>'QTR Raw'!H6+'QTR Raw'!H8</f>
        <v>3044.5499999999997</v>
      </c>
      <c r="AO27" s="25">
        <f>'QTR Raw'!I6+'QTR Raw'!I8</f>
        <v>4190.3100000000004</v>
      </c>
      <c r="AP27" s="25">
        <f>'QTR Raw'!J6+'QTR Raw'!J8</f>
        <v>5996.49</v>
      </c>
      <c r="AQ27" s="25">
        <f>'QTR Raw'!K6+'QTR Raw'!K8</f>
        <v>5225.4000000000005</v>
      </c>
      <c r="AR27" s="25">
        <f>'QTR Raw'!L6+'QTR Raw'!L8</f>
        <v>4147.9299999999994</v>
      </c>
      <c r="AS27" s="25">
        <f>'QTR Raw'!M6+'QTR Raw'!M8</f>
        <v>5504.05</v>
      </c>
      <c r="AT27" s="25">
        <f>'QTR Raw'!N6+'QTR Raw'!N8</f>
        <v>4667.5600000000004</v>
      </c>
      <c r="AU27" s="25">
        <f>'QTR Raw'!O6+'QTR Raw'!O8</f>
        <v>5945.46</v>
      </c>
      <c r="AV27" s="25">
        <f>'QTR Raw'!P6+'QTR Raw'!P8</f>
        <v>5750.63</v>
      </c>
      <c r="AW27" s="25">
        <f>'QTR Raw'!Q6+'QTR Raw'!Q8</f>
        <v>6191.09</v>
      </c>
      <c r="AX27" s="25">
        <f>'QTR Raw'!R6+'QTR Raw'!R8</f>
        <v>7644.99</v>
      </c>
      <c r="AY27" s="25">
        <f>'QTR Raw'!S6+'QTR Raw'!S8</f>
        <v>5386.05</v>
      </c>
      <c r="AZ27" s="25">
        <f>'QTR Raw'!T6+'QTR Raw'!T8</f>
        <v>5576.49</v>
      </c>
      <c r="BA27" s="25">
        <f>'QTR Raw'!U6+'QTR Raw'!U8</f>
        <v>5431.5</v>
      </c>
      <c r="BB27" s="25">
        <f>'QTR Raw'!V6+'QTR Raw'!V8</f>
        <v>6352.23</v>
      </c>
      <c r="BC27" s="25">
        <f>'QTR Raw'!W6+'QTR Raw'!W8</f>
        <v>5543.36</v>
      </c>
      <c r="BD27" s="25">
        <f>'QTR Raw'!X6+'QTR Raw'!X8</f>
        <v>6159.05</v>
      </c>
      <c r="BE27" s="25">
        <f>'QTR Raw'!Y6+'QTR Raw'!Y8</f>
        <v>4844.46</v>
      </c>
      <c r="BF27" s="25">
        <f>'QTR Raw'!Z6+'QTR Raw'!Z8</f>
        <v>3981.21</v>
      </c>
      <c r="BG27" s="25">
        <f>'QTR Raw'!AA6+'QTR Raw'!AA8</f>
        <v>3829.68</v>
      </c>
      <c r="BH27" s="25">
        <f>'QTR Raw'!AB6+'QTR Raw'!AB8</f>
        <v>7104.22</v>
      </c>
      <c r="BI27" s="25">
        <f>'QTR Raw'!AC6+'QTR Raw'!AC8</f>
        <v>6305.04</v>
      </c>
      <c r="BJ27" s="25">
        <f>'QTR Raw'!AD6+'QTR Raw'!AD8</f>
        <v>6721.72</v>
      </c>
      <c r="BK27" s="25">
        <f>'QTR Raw'!AE6+'QTR Raw'!AE8</f>
        <v>7804.78</v>
      </c>
      <c r="BL27" s="25">
        <f>'QTR Raw'!AF6+'QTR Raw'!AF8</f>
        <v>5915.69</v>
      </c>
      <c r="BM27" s="25">
        <f>'QTR Raw'!AG6+'QTR Raw'!AG8</f>
        <v>6574.82</v>
      </c>
      <c r="BN27" s="25">
        <f>'QTR Raw'!AH6+'QTR Raw'!AH8</f>
        <v>6172.43</v>
      </c>
      <c r="BO27" s="25">
        <f>'QTR Raw'!AI6+'QTR Raw'!AI8</f>
        <v>5203.83</v>
      </c>
      <c r="BP27" s="25">
        <f>'QTR Raw'!AJ6+'QTR Raw'!AJ8</f>
        <v>7749.21</v>
      </c>
      <c r="BQ27" s="25">
        <f>'QTR Raw'!AK6+'QTR Raw'!AK8</f>
        <v>6894.84</v>
      </c>
      <c r="BR27" s="25">
        <f>'QTR Raw'!AL6+'QTR Raw'!AL8</f>
        <v>6373.6</v>
      </c>
      <c r="BS27" s="25">
        <f>'QTR Raw'!AM6+'QTR Raw'!AM8</f>
        <v>6568.86</v>
      </c>
      <c r="BT27" s="25">
        <f>'QTR Raw'!AN6+'QTR Raw'!AN8</f>
        <v>5183.66</v>
      </c>
      <c r="BU27" s="25">
        <f>'QTR Raw'!AO6+'QTR Raw'!AO8</f>
        <v>5360.88</v>
      </c>
      <c r="BV27" s="25">
        <f>'QTR Raw'!AP6+'QTR Raw'!AP8</f>
        <v>10597.78</v>
      </c>
      <c r="BW27" s="25">
        <f>'QTR Raw'!AQ6+'QTR Raw'!AQ8</f>
        <v>13723.06</v>
      </c>
      <c r="BX27" s="25">
        <f>'QTR Raw'!AR6+'QTR Raw'!AR8</f>
        <v>7043.77</v>
      </c>
      <c r="BY27" s="25">
        <f>'QTR Raw'!AS6+'QTR Raw'!AS8</f>
        <v>7764.41</v>
      </c>
      <c r="BZ27" s="25">
        <f>'QTR Raw'!AT6+'QTR Raw'!AT8</f>
        <v>10242.06</v>
      </c>
      <c r="CA27" s="25">
        <f>'QTR Raw'!AU6+'QTR Raw'!AU8</f>
        <v>11005.54</v>
      </c>
      <c r="CB27" s="25">
        <f>'QTR Raw'!AV6+'QTR Raw'!AV8</f>
        <v>12990.58</v>
      </c>
      <c r="CC27" s="25">
        <f>'QTR Raw'!AW6+'QTR Raw'!AW8</f>
        <v>12991.44</v>
      </c>
      <c r="CD27" s="25">
        <f>'QTR Raw'!AX6+'QTR Raw'!AX8</f>
        <v>13363.69</v>
      </c>
      <c r="CE27" s="25">
        <f>'QTR Raw'!AY6+'QTR Raw'!AY8</f>
        <v>14955.63</v>
      </c>
      <c r="CF27" s="25">
        <f>'QTR Raw'!AZ6+'QTR Raw'!AZ8</f>
        <v>13338.88</v>
      </c>
      <c r="CG27" s="25">
        <f>'QTR Raw'!BA6+'QTR Raw'!BA8</f>
        <v>13671.18</v>
      </c>
      <c r="CH27" s="25">
        <f>'QTR Raw'!BB6+'QTR Raw'!BB8</f>
        <v>14237.4</v>
      </c>
      <c r="CI27" s="25">
        <f>'QTR Raw'!BC6+'QTR Raw'!BC8</f>
        <v>14109.15</v>
      </c>
      <c r="CJ27" s="25">
        <f>'QTR Raw'!BD6+'QTR Raw'!BD8</f>
        <v>13456.84</v>
      </c>
      <c r="CK27" s="25">
        <f>'QTR Raw'!BE6+'QTR Raw'!BE8</f>
        <v>12451.44</v>
      </c>
      <c r="CL27" s="25">
        <f>'QTR Raw'!BF6+'QTR Raw'!BF8</f>
        <v>14223.09</v>
      </c>
      <c r="CM27" s="17">
        <f t="shared" ref="CM27:DB27" si="60">CM16</f>
        <v>15592.768682487342</v>
      </c>
      <c r="CN27" s="17">
        <f>CN16</f>
        <v>14603.638453230165</v>
      </c>
      <c r="CO27" s="17">
        <f t="shared" si="60"/>
        <v>14708.476097867684</v>
      </c>
      <c r="CP27" s="17">
        <f t="shared" si="60"/>
        <v>17886.976759789795</v>
      </c>
      <c r="CQ27" s="17">
        <f t="shared" si="60"/>
        <v>16611.088202349023</v>
      </c>
      <c r="CR27" s="17">
        <f t="shared" si="60"/>
        <v>17033.714843210357</v>
      </c>
      <c r="CS27" s="17">
        <f t="shared" si="60"/>
        <v>17920.924966649189</v>
      </c>
      <c r="CT27" s="17">
        <f t="shared" si="60"/>
        <v>21516.547094310274</v>
      </c>
      <c r="CU27" s="17">
        <f t="shared" si="60"/>
        <v>19339.964731086598</v>
      </c>
      <c r="CV27" s="17">
        <f t="shared" si="60"/>
        <v>19523.741355750164</v>
      </c>
      <c r="CW27" s="17">
        <f t="shared" si="60"/>
        <v>21259.731874922716</v>
      </c>
      <c r="CX27" s="17">
        <f t="shared" si="60"/>
        <v>25675.262930291698</v>
      </c>
      <c r="CY27" s="17">
        <f t="shared" si="60"/>
        <v>23300.099133622723</v>
      </c>
      <c r="CZ27" s="17">
        <f t="shared" si="60"/>
        <v>24518.761736341992</v>
      </c>
      <c r="DA27" s="17">
        <f t="shared" si="60"/>
        <v>25815.032594646778</v>
      </c>
      <c r="DB27" s="17">
        <f t="shared" si="60"/>
        <v>32201.12308154429</v>
      </c>
      <c r="DE27" s="119"/>
      <c r="DF27" s="25">
        <v>0</v>
      </c>
    </row>
    <row r="28" spans="1:110" s="92" customFormat="1" outlineLevel="1" x14ac:dyDescent="0.2">
      <c r="A28" s="92" t="s">
        <v>109</v>
      </c>
      <c r="B28" s="92">
        <f>'Annual Raw'!C7+'Annual Raw'!C8+'Annual Raw'!C9</f>
        <v>0</v>
      </c>
      <c r="C28" s="92">
        <f>'Annual Raw'!D7+'Annual Raw'!D8+'Annual Raw'!D9</f>
        <v>0</v>
      </c>
      <c r="D28" s="92">
        <f>'Annual Raw'!E7+'Annual Raw'!E8+'Annual Raw'!E9</f>
        <v>0</v>
      </c>
      <c r="E28" s="92">
        <f>'Annual Raw'!F7+'Annual Raw'!F8+'Annual Raw'!F9</f>
        <v>0</v>
      </c>
      <c r="F28" s="92">
        <f>'Annual Raw'!G7+'Annual Raw'!G8+'Annual Raw'!G9</f>
        <v>0</v>
      </c>
      <c r="G28" s="92">
        <f>'Annual Raw'!H7+'Annual Raw'!H8+'Annual Raw'!H9</f>
        <v>0</v>
      </c>
      <c r="H28" s="92">
        <f>'Annual Raw'!I7+'Annual Raw'!I8+'Annual Raw'!I9</f>
        <v>0</v>
      </c>
      <c r="I28" s="92">
        <f>'Annual Raw'!J7+'Annual Raw'!J8+'Annual Raw'!J9</f>
        <v>0</v>
      </c>
      <c r="J28" s="92">
        <f>'Annual Raw'!K7+'Annual Raw'!K8+'Annual Raw'!K9</f>
        <v>0</v>
      </c>
      <c r="K28" s="92">
        <f>'Annual Raw'!L7+'Annual Raw'!L8+'Annual Raw'!L9</f>
        <v>0</v>
      </c>
      <c r="L28" s="92">
        <f>'Annual Raw'!M7+'Annual Raw'!M8+'Annual Raw'!M9</f>
        <v>0</v>
      </c>
      <c r="M28" s="92">
        <f>'Annual Raw'!N7+'Annual Raw'!N8+'Annual Raw'!N9</f>
        <v>0</v>
      </c>
      <c r="N28" s="92">
        <f>'Annual Raw'!O7+'Annual Raw'!O8+'Annual Raw'!O9</f>
        <v>0</v>
      </c>
      <c r="O28" s="92">
        <f>'Annual Raw'!P7+'Annual Raw'!P8+'Annual Raw'!P9</f>
        <v>0</v>
      </c>
      <c r="P28" s="92">
        <f>'Annual Raw'!Q7+'Annual Raw'!Q8+'Annual Raw'!Q9</f>
        <v>0</v>
      </c>
      <c r="Q28" s="92">
        <f>'Annual Raw'!R7+'Annual Raw'!R8+'Annual Raw'!R9</f>
        <v>0</v>
      </c>
      <c r="R28" s="92">
        <f>'Annual Raw'!S7+'Annual Raw'!S8+'Annual Raw'!S9</f>
        <v>0</v>
      </c>
      <c r="S28" s="92">
        <f>'Annual Raw'!T7+'Annual Raw'!T8+'Annual Raw'!T9</f>
        <v>0</v>
      </c>
      <c r="T28" s="92">
        <f>'Annual Raw'!U7+'Annual Raw'!U8+'Annual Raw'!U9</f>
        <v>0</v>
      </c>
      <c r="U28" s="92">
        <f>'Annual Raw'!V7+'Annual Raw'!V8+'Annual Raw'!V9</f>
        <v>0</v>
      </c>
      <c r="V28" s="92">
        <f>'Annual Raw'!W7+'Annual Raw'!W8+'Annual Raw'!W9</f>
        <v>0</v>
      </c>
      <c r="W28" s="92">
        <f>'Annual Raw'!X7+'Annual Raw'!X8+'Annual Raw'!X9</f>
        <v>0</v>
      </c>
      <c r="X28" s="92">
        <f>'Annual Raw'!Y7+'Annual Raw'!Y8+'Annual Raw'!Y9</f>
        <v>0</v>
      </c>
      <c r="Y28" s="92">
        <f>'Annual Raw'!Z7+'Annual Raw'!Z8+'Annual Raw'!Z9</f>
        <v>0</v>
      </c>
      <c r="Z28" s="92">
        <f>'Annual Raw'!AA7+'Annual Raw'!AA8+'Annual Raw'!AA9</f>
        <v>0</v>
      </c>
      <c r="AA28" s="92">
        <f>'Annual Raw'!AB7+'Annual Raw'!AB8+'Annual Raw'!AB9</f>
        <v>0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92">
        <f>+'QTR Raw'!C20+'QTR Raw'!C19+'QTR Raw'!C13+'QTR Raw'!C7</f>
        <v>424.62</v>
      </c>
      <c r="AJ28" s="92">
        <f>+'QTR Raw'!D20+'QTR Raw'!D19+'QTR Raw'!D13+'QTR Raw'!D7</f>
        <v>0</v>
      </c>
      <c r="AK28" s="92">
        <f>+'QTR Raw'!E20+'QTR Raw'!E19+'QTR Raw'!E13+'QTR Raw'!E7</f>
        <v>59</v>
      </c>
      <c r="AL28" s="92">
        <f>+'QTR Raw'!F20+'QTR Raw'!F19+'QTR Raw'!F13+'QTR Raw'!F7</f>
        <v>0</v>
      </c>
      <c r="AM28" s="92">
        <f>+'QTR Raw'!G20+'QTR Raw'!G19+'QTR Raw'!G13+'QTR Raw'!G7</f>
        <v>412.42</v>
      </c>
      <c r="AN28" s="92">
        <f>+'QTR Raw'!H20+'QTR Raw'!H19+'QTR Raw'!H13+'QTR Raw'!H7</f>
        <v>241.34</v>
      </c>
      <c r="AO28" s="92">
        <f>+'QTR Raw'!I20+'QTR Raw'!I19+'QTR Raw'!I13+'QTR Raw'!I7</f>
        <v>0</v>
      </c>
      <c r="AP28" s="92">
        <f>+'QTR Raw'!J20+'QTR Raw'!J19+'QTR Raw'!J13+'QTR Raw'!J7</f>
        <v>0</v>
      </c>
      <c r="AQ28" s="92">
        <f>+'QTR Raw'!K20+'QTR Raw'!K19+'QTR Raw'!K13+'QTR Raw'!K7</f>
        <v>26.25</v>
      </c>
      <c r="AR28" s="92">
        <f>+'QTR Raw'!L20+'QTR Raw'!L19+'QTR Raw'!L13+'QTR Raw'!L7</f>
        <v>0</v>
      </c>
      <c r="AS28" s="92">
        <f>+'QTR Raw'!M20+'QTR Raw'!M19+'QTR Raw'!M13+'QTR Raw'!M7</f>
        <v>0</v>
      </c>
      <c r="AT28" s="92">
        <f>+'QTR Raw'!N20+'QTR Raw'!N19+'QTR Raw'!N13+'QTR Raw'!N7</f>
        <v>0</v>
      </c>
      <c r="AU28" s="92">
        <f>+'QTR Raw'!O20+'QTR Raw'!O19+'QTR Raw'!O13+'QTR Raw'!O7</f>
        <v>0</v>
      </c>
      <c r="AV28" s="92">
        <f>+'QTR Raw'!P20+'QTR Raw'!P19+'QTR Raw'!P13+'QTR Raw'!P7</f>
        <v>0</v>
      </c>
      <c r="AW28" s="92">
        <f>+'QTR Raw'!Q20+'QTR Raw'!Q19+'QTR Raw'!Q13+'QTR Raw'!Q7</f>
        <v>0</v>
      </c>
      <c r="AX28" s="92">
        <f>+'QTR Raw'!R20+'QTR Raw'!R19+'QTR Raw'!R13+'QTR Raw'!R7</f>
        <v>0</v>
      </c>
      <c r="AY28" s="92">
        <f>+'QTR Raw'!S20+'QTR Raw'!S19+'QTR Raw'!S13+'QTR Raw'!S7</f>
        <v>0</v>
      </c>
      <c r="AZ28" s="92">
        <f>+'QTR Raw'!T20+'QTR Raw'!T19+'QTR Raw'!T13+'QTR Raw'!T7</f>
        <v>0</v>
      </c>
      <c r="BA28" s="92">
        <f>+'QTR Raw'!U20+'QTR Raw'!U19+'QTR Raw'!U13+'QTR Raw'!U7</f>
        <v>0</v>
      </c>
      <c r="BB28" s="92">
        <f>+'QTR Raw'!V20+'QTR Raw'!V19+'QTR Raw'!V13+'QTR Raw'!V7</f>
        <v>0</v>
      </c>
      <c r="BC28" s="92">
        <f>+'QTR Raw'!W20+'QTR Raw'!W19+'QTR Raw'!W13+'QTR Raw'!W7</f>
        <v>0</v>
      </c>
      <c r="BD28" s="92">
        <f>+'QTR Raw'!X20+'QTR Raw'!X19+'QTR Raw'!X13+'QTR Raw'!X7</f>
        <v>0</v>
      </c>
      <c r="BE28" s="92">
        <f>+'QTR Raw'!Y20+'QTR Raw'!Y19+'QTR Raw'!Y13+'QTR Raw'!Y7</f>
        <v>0</v>
      </c>
      <c r="BF28" s="92">
        <f>+'QTR Raw'!Z20+'QTR Raw'!Z19+'QTR Raw'!Z13+'QTR Raw'!Z7</f>
        <v>0</v>
      </c>
      <c r="BG28" s="92">
        <f>+'QTR Raw'!AA20+'QTR Raw'!AA19+'QTR Raw'!AA13+'QTR Raw'!AA7</f>
        <v>0</v>
      </c>
      <c r="BH28" s="92">
        <f>+'QTR Raw'!AB20+'QTR Raw'!AB19+'QTR Raw'!AB13+'QTR Raw'!AB7</f>
        <v>0</v>
      </c>
      <c r="BI28" s="92">
        <f>+'QTR Raw'!AC20+'QTR Raw'!AC19+'QTR Raw'!AC13+'QTR Raw'!AC7</f>
        <v>0</v>
      </c>
      <c r="BJ28" s="92">
        <f>+'QTR Raw'!AD20+'QTR Raw'!AD19+'QTR Raw'!AD13+'QTR Raw'!AD7</f>
        <v>0</v>
      </c>
      <c r="BK28" s="92">
        <f>+'QTR Raw'!AE20+'QTR Raw'!AE19+'QTR Raw'!AE13+'QTR Raw'!AE7</f>
        <v>0</v>
      </c>
      <c r="BL28" s="92">
        <f>+'QTR Raw'!AF20+'QTR Raw'!AF19+'QTR Raw'!AF13+'QTR Raw'!AF7</f>
        <v>0</v>
      </c>
      <c r="BM28" s="92">
        <f>+'QTR Raw'!AG20+'QTR Raw'!AG19+'QTR Raw'!AG13+'QTR Raw'!AG7</f>
        <v>0</v>
      </c>
      <c r="BN28" s="92">
        <f>+'QTR Raw'!AH20+'QTR Raw'!AH19+'QTR Raw'!AH13+'QTR Raw'!AH7</f>
        <v>0</v>
      </c>
      <c r="BO28" s="92">
        <f>+'QTR Raw'!AI20+'QTR Raw'!AI19+'QTR Raw'!AI13+'QTR Raw'!AI7</f>
        <v>0</v>
      </c>
      <c r="BP28" s="92">
        <f>+'QTR Raw'!AJ20+'QTR Raw'!AJ19+'QTR Raw'!AJ13+'QTR Raw'!AJ7</f>
        <v>0</v>
      </c>
      <c r="BQ28" s="92">
        <f>+'QTR Raw'!AK20+'QTR Raw'!AK19+'QTR Raw'!AK13+'QTR Raw'!AK7</f>
        <v>0</v>
      </c>
      <c r="BR28" s="92">
        <f>+'QTR Raw'!AL20+'QTR Raw'!AL19+'QTR Raw'!AL13+'QTR Raw'!AL7</f>
        <v>0</v>
      </c>
      <c r="BS28" s="92">
        <f>+'QTR Raw'!AM20+'QTR Raw'!AM19+'QTR Raw'!AM13+'QTR Raw'!AM7</f>
        <v>0</v>
      </c>
      <c r="BT28" s="92">
        <f>+'QTR Raw'!AN20+'QTR Raw'!AN19+'QTR Raw'!AN13+'QTR Raw'!AN7</f>
        <v>0</v>
      </c>
      <c r="BU28" s="92">
        <f>+'QTR Raw'!AO20+'QTR Raw'!AO19+'QTR Raw'!AO13+'QTR Raw'!AO7</f>
        <v>0</v>
      </c>
      <c r="BV28" s="92">
        <f>+'QTR Raw'!AP20+'QTR Raw'!AP19+'QTR Raw'!AP13+'QTR Raw'!AP7</f>
        <v>0</v>
      </c>
      <c r="BW28" s="92">
        <f>+'QTR Raw'!AQ20+'QTR Raw'!AQ19+'QTR Raw'!AQ13+'QTR Raw'!AQ7</f>
        <v>0</v>
      </c>
      <c r="BX28" s="92">
        <f>+'QTR Raw'!AR20+'QTR Raw'!AR19+'QTR Raw'!AR13+'QTR Raw'!AR7</f>
        <v>0</v>
      </c>
      <c r="BY28" s="92">
        <f>+'QTR Raw'!AS20+'QTR Raw'!AS19+'QTR Raw'!AS13+'QTR Raw'!AS7</f>
        <v>0</v>
      </c>
      <c r="BZ28" s="92">
        <f>+'QTR Raw'!AT20+'QTR Raw'!AT19+'QTR Raw'!AT13+'QTR Raw'!AT7</f>
        <v>0</v>
      </c>
      <c r="CA28" s="92">
        <f>+'QTR Raw'!AU20+'QTR Raw'!AU19+'QTR Raw'!AU13+'QTR Raw'!AU7</f>
        <v>0</v>
      </c>
      <c r="CB28" s="92">
        <f>+'QTR Raw'!AV20+'QTR Raw'!AV19+'QTR Raw'!AV13+'QTR Raw'!AV7</f>
        <v>0</v>
      </c>
      <c r="CC28" s="92">
        <f>+'QTR Raw'!AW20+'QTR Raw'!AW19+'QTR Raw'!AW13+'QTR Raw'!AW7</f>
        <v>0</v>
      </c>
      <c r="CD28" s="92">
        <f>+'QTR Raw'!AX20+'QTR Raw'!AX19+'QTR Raw'!AX13+'QTR Raw'!AX7</f>
        <v>0</v>
      </c>
      <c r="CE28" s="92">
        <f>+'QTR Raw'!AY20+'QTR Raw'!AY19+'QTR Raw'!AY13+'QTR Raw'!AY7</f>
        <v>0</v>
      </c>
      <c r="CF28" s="92">
        <f>+'QTR Raw'!AZ20+'QTR Raw'!AZ19+'QTR Raw'!AZ13+'QTR Raw'!AZ7</f>
        <v>0</v>
      </c>
      <c r="CG28" s="92">
        <f>+'QTR Raw'!BA20+'QTR Raw'!BA19+'QTR Raw'!BA13+'QTR Raw'!BA7</f>
        <v>0</v>
      </c>
      <c r="CH28" s="92">
        <f>+'QTR Raw'!BB20+'QTR Raw'!BB19+'QTR Raw'!BB13+'QTR Raw'!BB7</f>
        <v>0</v>
      </c>
      <c r="CI28" s="92">
        <f>+'QTR Raw'!BC20+'QTR Raw'!BC19+'QTR Raw'!BC13+'QTR Raw'!BC7</f>
        <v>0</v>
      </c>
      <c r="CJ28" s="92">
        <f>+'QTR Raw'!BD20+'QTR Raw'!BD19+'QTR Raw'!BD13+'QTR Raw'!BD7</f>
        <v>0</v>
      </c>
      <c r="CK28" s="92">
        <f>+'QTR Raw'!BE20+'QTR Raw'!BE19+'QTR Raw'!BE13+'QTR Raw'!BE7</f>
        <v>0</v>
      </c>
      <c r="CL28" s="92">
        <f>+'QTR Raw'!BF20+'QTR Raw'!BF19+'QTR Raw'!BF13+'QTR Raw'!BF7</f>
        <v>0</v>
      </c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E28" s="120"/>
      <c r="DF28" s="92">
        <v>0</v>
      </c>
    </row>
    <row r="29" spans="1:110" s="26" customFormat="1" x14ac:dyDescent="0.2">
      <c r="A29" s="26" t="s">
        <v>431</v>
      </c>
      <c r="B29" s="26">
        <f>+B27-B28</f>
        <v>0</v>
      </c>
      <c r="C29" s="26">
        <f>+C27-C28</f>
        <v>0</v>
      </c>
      <c r="D29" s="26">
        <f t="shared" ref="D29:U29" si="61">+D27-D28</f>
        <v>0</v>
      </c>
      <c r="E29" s="26">
        <f t="shared" si="61"/>
        <v>0</v>
      </c>
      <c r="F29" s="26">
        <f t="shared" si="61"/>
        <v>0</v>
      </c>
      <c r="G29" s="26">
        <f t="shared" si="61"/>
        <v>0</v>
      </c>
      <c r="H29" s="26">
        <f t="shared" si="61"/>
        <v>0</v>
      </c>
      <c r="I29" s="26">
        <f t="shared" si="61"/>
        <v>0</v>
      </c>
      <c r="J29" s="26">
        <f t="shared" si="61"/>
        <v>0</v>
      </c>
      <c r="K29" s="26">
        <f t="shared" si="61"/>
        <v>434.86</v>
      </c>
      <c r="L29" s="26">
        <f t="shared" si="61"/>
        <v>2135.19</v>
      </c>
      <c r="M29" s="26">
        <f t="shared" si="61"/>
        <v>4092.16</v>
      </c>
      <c r="N29" s="26">
        <f t="shared" si="61"/>
        <v>6779.36</v>
      </c>
      <c r="O29" s="26">
        <f t="shared" si="61"/>
        <v>15463.9</v>
      </c>
      <c r="P29" s="26">
        <f t="shared" si="61"/>
        <v>19544.939999999999</v>
      </c>
      <c r="Q29" s="26">
        <f t="shared" si="61"/>
        <v>25532.17</v>
      </c>
      <c r="R29" s="26">
        <f t="shared" si="61"/>
        <v>22615.51</v>
      </c>
      <c r="S29" s="26">
        <f t="shared" si="61"/>
        <v>20304.28</v>
      </c>
      <c r="T29" s="26">
        <f t="shared" si="61"/>
        <v>23884.18</v>
      </c>
      <c r="U29" s="26">
        <f t="shared" si="61"/>
        <v>26467.72</v>
      </c>
      <c r="V29" s="26">
        <f t="shared" ref="V29:AA29" si="62">+V27-V28</f>
        <v>26221.48</v>
      </c>
      <c r="W29" s="26">
        <f t="shared" si="62"/>
        <v>27711.18</v>
      </c>
      <c r="X29" s="26">
        <f t="shared" si="62"/>
        <v>38773.300000000003</v>
      </c>
      <c r="Y29" s="26">
        <f t="shared" si="62"/>
        <v>50351.25</v>
      </c>
      <c r="Z29" s="26">
        <f t="shared" si="62"/>
        <v>56203.09</v>
      </c>
      <c r="AA29" s="26">
        <f t="shared" si="62"/>
        <v>54240.52</v>
      </c>
      <c r="AB29" s="27">
        <f t="shared" ref="AB29:AD29" si="63">+AB27-AB28</f>
        <v>62791.859993374987</v>
      </c>
      <c r="AC29" s="27">
        <f t="shared" si="63"/>
        <v>73082.275106518849</v>
      </c>
      <c r="AD29" s="27">
        <f t="shared" si="63"/>
        <v>85798.700892051187</v>
      </c>
      <c r="AE29" s="27">
        <f t="shared" ref="AE29" si="64">+AE27-AE28</f>
        <v>105835.01654615579</v>
      </c>
      <c r="AI29" s="26">
        <f t="shared" ref="AI29" si="65">+AI27-AI28</f>
        <v>1078.5300000000002</v>
      </c>
      <c r="AJ29" s="26">
        <f t="shared" ref="AJ29" si="66">+AJ27-AJ28</f>
        <v>1502.69</v>
      </c>
      <c r="AK29" s="26">
        <f t="shared" ref="AK29:AM29" si="67">+AK27-AK28</f>
        <v>1825.3799999999999</v>
      </c>
      <c r="AL29" s="26">
        <f t="shared" si="67"/>
        <v>1889.13</v>
      </c>
      <c r="AM29" s="26">
        <f t="shared" si="67"/>
        <v>2124.31</v>
      </c>
      <c r="AN29" s="26">
        <f t="shared" ref="AN29:AO29" si="68">+AN27-AN28</f>
        <v>2803.2099999999996</v>
      </c>
      <c r="AO29" s="26">
        <f t="shared" si="68"/>
        <v>4190.3100000000004</v>
      </c>
      <c r="AP29" s="26">
        <f t="shared" ref="AP29:AW29" si="69">+AP27-AP28</f>
        <v>5996.49</v>
      </c>
      <c r="AQ29" s="26">
        <f t="shared" si="69"/>
        <v>5199.1500000000005</v>
      </c>
      <c r="AR29" s="26">
        <f t="shared" si="69"/>
        <v>4147.9299999999994</v>
      </c>
      <c r="AS29" s="26">
        <f t="shared" si="69"/>
        <v>5504.05</v>
      </c>
      <c r="AT29" s="26">
        <f t="shared" si="69"/>
        <v>4667.5600000000004</v>
      </c>
      <c r="AU29" s="26">
        <f t="shared" si="69"/>
        <v>5945.46</v>
      </c>
      <c r="AV29" s="26">
        <f t="shared" si="69"/>
        <v>5750.63</v>
      </c>
      <c r="AW29" s="26">
        <f t="shared" si="69"/>
        <v>6191.09</v>
      </c>
      <c r="AX29" s="26">
        <f t="shared" ref="AX29:CF29" si="70">+AX27-AX28</f>
        <v>7644.99</v>
      </c>
      <c r="AY29" s="26">
        <f t="shared" si="70"/>
        <v>5386.05</v>
      </c>
      <c r="AZ29" s="26">
        <f t="shared" si="70"/>
        <v>5576.49</v>
      </c>
      <c r="BA29" s="26">
        <f t="shared" si="70"/>
        <v>5431.5</v>
      </c>
      <c r="BB29" s="26">
        <f t="shared" si="70"/>
        <v>6352.23</v>
      </c>
      <c r="BC29" s="26">
        <f t="shared" si="70"/>
        <v>5543.36</v>
      </c>
      <c r="BD29" s="26">
        <f t="shared" si="70"/>
        <v>6159.05</v>
      </c>
      <c r="BE29" s="26">
        <f t="shared" si="70"/>
        <v>4844.46</v>
      </c>
      <c r="BF29" s="26">
        <f t="shared" si="70"/>
        <v>3981.21</v>
      </c>
      <c r="BG29" s="26">
        <f t="shared" si="70"/>
        <v>3829.68</v>
      </c>
      <c r="BH29" s="26">
        <f t="shared" si="70"/>
        <v>7104.22</v>
      </c>
      <c r="BI29" s="26">
        <f t="shared" si="70"/>
        <v>6305.04</v>
      </c>
      <c r="BJ29" s="26">
        <f t="shared" si="70"/>
        <v>6721.72</v>
      </c>
      <c r="BK29" s="26">
        <f t="shared" si="70"/>
        <v>7804.78</v>
      </c>
      <c r="BL29" s="26">
        <f t="shared" si="70"/>
        <v>5915.69</v>
      </c>
      <c r="BM29" s="26">
        <f t="shared" si="70"/>
        <v>6574.82</v>
      </c>
      <c r="BN29" s="26">
        <f t="shared" si="70"/>
        <v>6172.43</v>
      </c>
      <c r="BO29" s="26">
        <f t="shared" si="70"/>
        <v>5203.83</v>
      </c>
      <c r="BP29" s="26">
        <f t="shared" si="70"/>
        <v>7749.21</v>
      </c>
      <c r="BQ29" s="26">
        <f t="shared" si="70"/>
        <v>6894.84</v>
      </c>
      <c r="BR29" s="26">
        <f t="shared" si="70"/>
        <v>6373.6</v>
      </c>
      <c r="BS29" s="26">
        <f t="shared" si="70"/>
        <v>6568.86</v>
      </c>
      <c r="BT29" s="26">
        <f t="shared" si="70"/>
        <v>5183.66</v>
      </c>
      <c r="BU29" s="26">
        <f t="shared" si="70"/>
        <v>5360.88</v>
      </c>
      <c r="BV29" s="26">
        <f t="shared" si="70"/>
        <v>10597.78</v>
      </c>
      <c r="BW29" s="26">
        <f t="shared" si="70"/>
        <v>13723.06</v>
      </c>
      <c r="BX29" s="26">
        <f t="shared" si="70"/>
        <v>7043.77</v>
      </c>
      <c r="BY29" s="26">
        <f t="shared" si="70"/>
        <v>7764.41</v>
      </c>
      <c r="BZ29" s="26">
        <f t="shared" si="70"/>
        <v>10242.06</v>
      </c>
      <c r="CA29" s="26">
        <f t="shared" si="70"/>
        <v>11005.54</v>
      </c>
      <c r="CB29" s="26">
        <f t="shared" si="70"/>
        <v>12990.58</v>
      </c>
      <c r="CC29" s="26">
        <f t="shared" si="70"/>
        <v>12991.44</v>
      </c>
      <c r="CD29" s="26">
        <f t="shared" si="70"/>
        <v>13363.69</v>
      </c>
      <c r="CE29" s="26">
        <f t="shared" si="70"/>
        <v>14955.63</v>
      </c>
      <c r="CF29" s="26">
        <f t="shared" si="70"/>
        <v>13338.88</v>
      </c>
      <c r="CG29" s="26">
        <f t="shared" ref="CG29:CH29" si="71">+CG27-CG28</f>
        <v>13671.18</v>
      </c>
      <c r="CH29" s="26">
        <f t="shared" si="71"/>
        <v>14237.4</v>
      </c>
      <c r="CI29" s="26">
        <f t="shared" ref="CI29:CJ29" si="72">+CI27-CI28</f>
        <v>14109.15</v>
      </c>
      <c r="CJ29" s="26">
        <f t="shared" si="72"/>
        <v>13456.84</v>
      </c>
      <c r="CK29" s="26">
        <f t="shared" ref="CK29:CL29" si="73">+CK27-CK28</f>
        <v>12451.44</v>
      </c>
      <c r="CL29" s="26">
        <f t="shared" si="73"/>
        <v>14223.09</v>
      </c>
      <c r="CM29" s="27">
        <f t="shared" ref="CM29:DB29" si="74">+CM27-CM28</f>
        <v>15592.768682487342</v>
      </c>
      <c r="CN29" s="27">
        <f t="shared" si="74"/>
        <v>14603.638453230165</v>
      </c>
      <c r="CO29" s="27">
        <f t="shared" si="74"/>
        <v>14708.476097867684</v>
      </c>
      <c r="CP29" s="27">
        <f t="shared" si="74"/>
        <v>17886.976759789795</v>
      </c>
      <c r="CQ29" s="27">
        <f t="shared" si="74"/>
        <v>16611.088202349023</v>
      </c>
      <c r="CR29" s="27">
        <f t="shared" si="74"/>
        <v>17033.714843210357</v>
      </c>
      <c r="CS29" s="27">
        <f t="shared" si="74"/>
        <v>17920.924966649189</v>
      </c>
      <c r="CT29" s="27">
        <f t="shared" si="74"/>
        <v>21516.547094310274</v>
      </c>
      <c r="CU29" s="27">
        <f t="shared" si="74"/>
        <v>19339.964731086598</v>
      </c>
      <c r="CV29" s="27">
        <f t="shared" si="74"/>
        <v>19523.741355750164</v>
      </c>
      <c r="CW29" s="27">
        <f t="shared" si="74"/>
        <v>21259.731874922716</v>
      </c>
      <c r="CX29" s="27">
        <f t="shared" si="74"/>
        <v>25675.262930291698</v>
      </c>
      <c r="CY29" s="27">
        <f t="shared" si="74"/>
        <v>23300.099133622723</v>
      </c>
      <c r="CZ29" s="27">
        <f t="shared" si="74"/>
        <v>24518.761736341992</v>
      </c>
      <c r="DA29" s="27">
        <f t="shared" si="74"/>
        <v>25815.032594646778</v>
      </c>
      <c r="DB29" s="27">
        <f t="shared" si="74"/>
        <v>32201.12308154429</v>
      </c>
      <c r="DE29" s="121"/>
      <c r="DF29" s="26">
        <v>0</v>
      </c>
    </row>
    <row r="30" spans="1:110" s="39" customFormat="1" x14ac:dyDescent="0.2">
      <c r="A30" s="39" t="s">
        <v>484</v>
      </c>
      <c r="C30" s="39" t="e">
        <f t="shared" ref="C30" si="75">C29/B29-1</f>
        <v>#DIV/0!</v>
      </c>
      <c r="D30" s="39" t="e">
        <f t="shared" ref="D30" si="76">D29/C29-1</f>
        <v>#DIV/0!</v>
      </c>
      <c r="E30" s="39" t="e">
        <f t="shared" ref="E30" si="77">E29/D29-1</f>
        <v>#DIV/0!</v>
      </c>
      <c r="F30" s="39" t="e">
        <f t="shared" ref="F30:R30" si="78">F29/E29-1</f>
        <v>#DIV/0!</v>
      </c>
      <c r="G30" s="39" t="e">
        <f t="shared" si="78"/>
        <v>#DIV/0!</v>
      </c>
      <c r="H30" s="39" t="e">
        <f t="shared" si="78"/>
        <v>#DIV/0!</v>
      </c>
      <c r="I30" s="39" t="e">
        <f t="shared" si="78"/>
        <v>#DIV/0!</v>
      </c>
      <c r="J30" s="39" t="e">
        <f t="shared" si="78"/>
        <v>#DIV/0!</v>
      </c>
      <c r="K30" s="39" t="e">
        <f>K29/J29-1</f>
        <v>#DIV/0!</v>
      </c>
      <c r="L30" s="39">
        <f t="shared" si="78"/>
        <v>3.9100630087844364</v>
      </c>
      <c r="M30" s="39">
        <f t="shared" si="78"/>
        <v>0.91653201822788599</v>
      </c>
      <c r="N30" s="39">
        <f t="shared" si="78"/>
        <v>0.65667031592117597</v>
      </c>
      <c r="O30" s="39">
        <f t="shared" si="78"/>
        <v>1.2810265275778243</v>
      </c>
      <c r="P30" s="39">
        <f t="shared" si="78"/>
        <v>0.26390755242855946</v>
      </c>
      <c r="Q30" s="39">
        <f t="shared" si="78"/>
        <v>0.30633145970261366</v>
      </c>
      <c r="R30" s="39">
        <f t="shared" si="78"/>
        <v>-0.11423470860486984</v>
      </c>
      <c r="S30" s="39">
        <f t="shared" ref="S30:AA30" si="79">S29/R29-1</f>
        <v>-0.10219667829732781</v>
      </c>
      <c r="T30" s="39">
        <f t="shared" si="79"/>
        <v>0.17631258040176756</v>
      </c>
      <c r="U30" s="39">
        <f t="shared" si="79"/>
        <v>0.10816950801744096</v>
      </c>
      <c r="V30" s="39">
        <f t="shared" si="79"/>
        <v>-9.3034080759506477E-3</v>
      </c>
      <c r="W30" s="39">
        <f t="shared" si="79"/>
        <v>5.6812201294511144E-2</v>
      </c>
      <c r="X30" s="39">
        <f t="shared" si="79"/>
        <v>0.3991933941463337</v>
      </c>
      <c r="Y30" s="39">
        <f t="shared" si="79"/>
        <v>0.29860625739877689</v>
      </c>
      <c r="Z30" s="39">
        <f t="shared" si="79"/>
        <v>0.1162203520270102</v>
      </c>
      <c r="AA30" s="39">
        <f t="shared" si="79"/>
        <v>-3.4919254439569114E-2</v>
      </c>
      <c r="AB30" s="40">
        <f t="shared" ref="AB30" si="80">AB29/AA29-1</f>
        <v>0.15765593680471701</v>
      </c>
      <c r="AC30" s="40">
        <f t="shared" ref="AC30" si="81">AC29/AB29-1</f>
        <v>0.16388135523027314</v>
      </c>
      <c r="AD30" s="40">
        <f t="shared" ref="AD30" si="82">AD29/AC29-1</f>
        <v>0.17400150401719028</v>
      </c>
      <c r="AE30" s="40">
        <f t="shared" ref="AE30" si="83">AE29/AD29-1</f>
        <v>0.23352702833244021</v>
      </c>
      <c r="AM30" s="39">
        <f t="shared" ref="AM30:CI30" si="84">+IF(AI29&lt;0,1-AM29/AI29,AM29/AI29-1)</f>
        <v>0.96963459523610807</v>
      </c>
      <c r="AN30" s="39">
        <f t="shared" si="84"/>
        <v>0.8654612727841402</v>
      </c>
      <c r="AO30" s="39">
        <f t="shared" si="84"/>
        <v>1.2955822897150187</v>
      </c>
      <c r="AP30" s="39">
        <f t="shared" si="84"/>
        <v>2.174207174731225</v>
      </c>
      <c r="AQ30" s="39">
        <f t="shared" si="84"/>
        <v>1.4474535260861177</v>
      </c>
      <c r="AR30" s="39">
        <f t="shared" si="84"/>
        <v>0.479707192825368</v>
      </c>
      <c r="AS30" s="39">
        <f t="shared" si="84"/>
        <v>0.31351857022511442</v>
      </c>
      <c r="AT30" s="39">
        <f t="shared" si="84"/>
        <v>-0.22161797985154641</v>
      </c>
      <c r="AU30" s="39">
        <f t="shared" si="84"/>
        <v>0.14354461787022865</v>
      </c>
      <c r="AV30" s="39">
        <f t="shared" si="84"/>
        <v>0.38638549830879532</v>
      </c>
      <c r="AW30" s="39">
        <f t="shared" si="84"/>
        <v>0.12482444745233057</v>
      </c>
      <c r="AX30" s="39">
        <f t="shared" si="84"/>
        <v>0.63789860226756567</v>
      </c>
      <c r="AY30" s="39">
        <f t="shared" si="84"/>
        <v>-9.4090280651118685E-2</v>
      </c>
      <c r="AZ30" s="39">
        <f t="shared" si="84"/>
        <v>-3.0281899548397329E-2</v>
      </c>
      <c r="BA30" s="39">
        <f t="shared" si="84"/>
        <v>-0.1226908347318485</v>
      </c>
      <c r="BB30" s="39">
        <f t="shared" si="84"/>
        <v>-0.16909897854673461</v>
      </c>
      <c r="BC30" s="39">
        <f t="shared" si="84"/>
        <v>2.9206932724352708E-2</v>
      </c>
      <c r="BD30" s="39">
        <f t="shared" si="84"/>
        <v>0.1044671468970626</v>
      </c>
      <c r="BE30" s="39">
        <f t="shared" si="84"/>
        <v>-0.10808064070698697</v>
      </c>
      <c r="BF30" s="39">
        <f t="shared" si="84"/>
        <v>-0.37325789525883035</v>
      </c>
      <c r="BG30" s="39">
        <f t="shared" si="84"/>
        <v>-0.30914102638111185</v>
      </c>
      <c r="BH30" s="39">
        <f t="shared" si="84"/>
        <v>0.15346035508722933</v>
      </c>
      <c r="BI30" s="39">
        <f t="shared" si="84"/>
        <v>0.30149490345673202</v>
      </c>
      <c r="BJ30" s="39">
        <f t="shared" si="84"/>
        <v>0.68836107615523923</v>
      </c>
      <c r="BK30" s="39">
        <f t="shared" si="84"/>
        <v>1.0379718409893255</v>
      </c>
      <c r="BL30" s="39">
        <f t="shared" si="84"/>
        <v>-0.16729915458699207</v>
      </c>
      <c r="BM30" s="39">
        <f t="shared" si="84"/>
        <v>4.2787991828759253E-2</v>
      </c>
      <c r="BN30" s="39">
        <f t="shared" si="84"/>
        <v>-8.1718667245883503E-2</v>
      </c>
      <c r="BO30" s="39">
        <f t="shared" si="84"/>
        <v>-0.33325090521449674</v>
      </c>
      <c r="BP30" s="39">
        <f t="shared" si="84"/>
        <v>0.30994186646021005</v>
      </c>
      <c r="BQ30" s="39">
        <f t="shared" si="84"/>
        <v>4.8673575854548234E-2</v>
      </c>
      <c r="BR30" s="39">
        <f t="shared" si="84"/>
        <v>3.2591702133519584E-2</v>
      </c>
      <c r="BS30" s="39">
        <f t="shared" si="84"/>
        <v>0.2623125659370118</v>
      </c>
      <c r="BT30" s="39">
        <f t="shared" si="84"/>
        <v>-0.33107245770859228</v>
      </c>
      <c r="BU30" s="39">
        <f t="shared" si="84"/>
        <v>-0.22247941939189309</v>
      </c>
      <c r="BV30" s="39">
        <f t="shared" si="84"/>
        <v>0.66276201832559312</v>
      </c>
      <c r="BW30" s="39">
        <f t="shared" si="84"/>
        <v>1.0891083079864696</v>
      </c>
      <c r="BX30" s="39">
        <f t="shared" si="84"/>
        <v>0.35884105053186377</v>
      </c>
      <c r="BY30" s="39">
        <f t="shared" si="84"/>
        <v>0.44834616704720109</v>
      </c>
      <c r="BZ30" s="39">
        <f t="shared" si="84"/>
        <v>-3.3565520325955167E-2</v>
      </c>
      <c r="CA30" s="39">
        <f t="shared" si="84"/>
        <v>-0.19802580474034204</v>
      </c>
      <c r="CB30" s="39">
        <f t="shared" si="84"/>
        <v>0.84426521592840187</v>
      </c>
      <c r="CC30" s="39">
        <f t="shared" si="84"/>
        <v>0.67320375920385467</v>
      </c>
      <c r="CD30" s="39">
        <f t="shared" si="84"/>
        <v>0.3047853654440611</v>
      </c>
      <c r="CE30" s="39">
        <f t="shared" si="84"/>
        <v>0.35891832658824541</v>
      </c>
      <c r="CF30" s="39">
        <f t="shared" si="84"/>
        <v>2.6811735888620847E-2</v>
      </c>
      <c r="CG30" s="39">
        <f t="shared" si="84"/>
        <v>5.2322144427407569E-2</v>
      </c>
      <c r="CH30" s="39">
        <f t="shared" si="84"/>
        <v>6.5379397456839961E-2</v>
      </c>
      <c r="CI30" s="39">
        <f t="shared" si="84"/>
        <v>-5.6599421087576984E-2</v>
      </c>
      <c r="CJ30" s="39">
        <f>+IF(CF29&lt;0,1-CJ29/CF29,CJ29/CF29-1)</f>
        <v>8.843321178389818E-3</v>
      </c>
      <c r="CK30" s="39">
        <f>+IF(CG29&lt;0,1-CK29/CG29,CK29/CG29-1)</f>
        <v>-8.9219803996436253E-2</v>
      </c>
      <c r="CL30" s="39">
        <f>+IF(CH29&lt;0,1-CL29/CH29,CL29/CH29-1)</f>
        <v>-1.0050992456487329E-3</v>
      </c>
      <c r="CM30" s="40">
        <f t="shared" ref="CM30:DB30" si="85">+IF(CI29&lt;0,1-CM29/CI29,CM29/CI29-1)</f>
        <v>0.10515294560532285</v>
      </c>
      <c r="CN30" s="40">
        <f t="shared" si="85"/>
        <v>8.5220486624658198E-2</v>
      </c>
      <c r="CO30" s="40">
        <f t="shared" si="85"/>
        <v>0.18126707415910803</v>
      </c>
      <c r="CP30" s="40">
        <f t="shared" si="85"/>
        <v>0.25760132009217362</v>
      </c>
      <c r="CQ30" s="40">
        <f t="shared" si="85"/>
        <v>6.5307165173647652E-2</v>
      </c>
      <c r="CR30" s="40">
        <f t="shared" si="85"/>
        <v>0.16640211942816796</v>
      </c>
      <c r="CS30" s="40">
        <f t="shared" si="85"/>
        <v>0.2184080014412384</v>
      </c>
      <c r="CT30" s="40">
        <f t="shared" si="85"/>
        <v>0.20291692571993547</v>
      </c>
      <c r="CU30" s="40">
        <f t="shared" si="85"/>
        <v>0.16428041892834422</v>
      </c>
      <c r="CV30" s="40">
        <f t="shared" si="85"/>
        <v>0.14618223537611552</v>
      </c>
      <c r="CW30" s="40">
        <f t="shared" si="85"/>
        <v>0.18630773324965322</v>
      </c>
      <c r="CX30" s="40">
        <f t="shared" si="85"/>
        <v>0.19327988908969207</v>
      </c>
      <c r="CY30" s="40">
        <f t="shared" si="85"/>
        <v>0.20476430322391947</v>
      </c>
      <c r="CZ30" s="40">
        <f t="shared" si="85"/>
        <v>0.25584340058472899</v>
      </c>
      <c r="DA30" s="40">
        <f t="shared" si="85"/>
        <v>0.21426896381027949</v>
      </c>
      <c r="DB30" s="40">
        <f t="shared" si="85"/>
        <v>0.25416916543251356</v>
      </c>
      <c r="DE30" s="122"/>
      <c r="DF30" s="39" t="e">
        <v>#DIV/0!</v>
      </c>
    </row>
    <row r="31" spans="1:110" s="39" customFormat="1" x14ac:dyDescent="0.2">
      <c r="A31" s="39" t="s">
        <v>446</v>
      </c>
      <c r="AB31" s="40"/>
      <c r="AC31" s="40"/>
      <c r="AD31" s="40"/>
      <c r="AE31" s="40"/>
      <c r="AJ31" s="39">
        <f t="shared" ref="AJ31:AL31" si="86">+IF(AI29&lt;0,1-AJ29/AI29,AJ29/AI29-1)</f>
        <v>0.39327603311915271</v>
      </c>
      <c r="AK31" s="39">
        <f t="shared" si="86"/>
        <v>0.21474156346285644</v>
      </c>
      <c r="AL31" s="39">
        <f t="shared" si="86"/>
        <v>3.4924234953817912E-2</v>
      </c>
      <c r="AM31" s="39">
        <f t="shared" ref="AM31:CI31" si="87">+IF(AL29&lt;0,1-AM29/AL29,AM29/AL29-1)</f>
        <v>0.12449116789209835</v>
      </c>
      <c r="AN31" s="39">
        <f t="shared" si="87"/>
        <v>0.319586124435699</v>
      </c>
      <c r="AO31" s="39">
        <f t="shared" si="87"/>
        <v>0.49482557496584301</v>
      </c>
      <c r="AP31" s="39">
        <f t="shared" si="87"/>
        <v>0.43103732182105836</v>
      </c>
      <c r="AQ31" s="39">
        <f t="shared" si="87"/>
        <v>-0.13296778615490046</v>
      </c>
      <c r="AR31" s="39">
        <f t="shared" si="87"/>
        <v>-0.20219074271755977</v>
      </c>
      <c r="AS31" s="39">
        <f t="shared" si="87"/>
        <v>0.32693897920167436</v>
      </c>
      <c r="AT31" s="39">
        <f t="shared" si="87"/>
        <v>-0.15197718043985786</v>
      </c>
      <c r="AU31" s="39">
        <f t="shared" si="87"/>
        <v>0.27378330433888354</v>
      </c>
      <c r="AV31" s="39">
        <f t="shared" si="87"/>
        <v>-3.2769541801643598E-2</v>
      </c>
      <c r="AW31" s="39">
        <f t="shared" si="87"/>
        <v>7.6593347163702141E-2</v>
      </c>
      <c r="AX31" s="39">
        <f t="shared" si="87"/>
        <v>0.2348374841909906</v>
      </c>
      <c r="AY31" s="39">
        <f t="shared" si="87"/>
        <v>-0.29547978480024173</v>
      </c>
      <c r="AZ31" s="39">
        <f t="shared" si="87"/>
        <v>3.5358008187818424E-2</v>
      </c>
      <c r="BA31" s="39">
        <f t="shared" si="87"/>
        <v>-2.6000225948580535E-2</v>
      </c>
      <c r="BB31" s="39">
        <f t="shared" si="87"/>
        <v>0.16951670809168728</v>
      </c>
      <c r="BC31" s="39">
        <f t="shared" si="87"/>
        <v>-0.12733638423041982</v>
      </c>
      <c r="BD31" s="39">
        <f t="shared" si="87"/>
        <v>0.11106801650984255</v>
      </c>
      <c r="BE31" s="39">
        <f t="shared" si="87"/>
        <v>-0.21344038447487845</v>
      </c>
      <c r="BF31" s="39">
        <f t="shared" si="87"/>
        <v>-0.1781932351593366</v>
      </c>
      <c r="BG31" s="39">
        <f t="shared" si="87"/>
        <v>-3.8061292923508239E-2</v>
      </c>
      <c r="BH31" s="39">
        <f t="shared" si="87"/>
        <v>0.85504271897390915</v>
      </c>
      <c r="BI31" s="39">
        <f t="shared" si="87"/>
        <v>-0.11249370092705469</v>
      </c>
      <c r="BJ31" s="39">
        <f t="shared" si="87"/>
        <v>6.608681308921116E-2</v>
      </c>
      <c r="BK31" s="39">
        <f t="shared" si="87"/>
        <v>0.16112840165909903</v>
      </c>
      <c r="BL31" s="39">
        <f t="shared" si="87"/>
        <v>-0.24204269691138003</v>
      </c>
      <c r="BM31" s="39">
        <f t="shared" si="87"/>
        <v>0.11142064577420396</v>
      </c>
      <c r="BN31" s="39">
        <f t="shared" si="87"/>
        <v>-6.1201675483131046E-2</v>
      </c>
      <c r="BO31" s="39">
        <f t="shared" si="87"/>
        <v>-0.15692361031230817</v>
      </c>
      <c r="BP31" s="39">
        <f t="shared" si="87"/>
        <v>0.48913588645286254</v>
      </c>
      <c r="BQ31" s="39">
        <f t="shared" si="87"/>
        <v>-0.11025252896746895</v>
      </c>
      <c r="BR31" s="39">
        <f t="shared" si="87"/>
        <v>-7.5598563563476384E-2</v>
      </c>
      <c r="BS31" s="39">
        <f t="shared" si="87"/>
        <v>3.063574745826525E-2</v>
      </c>
      <c r="BT31" s="39">
        <f t="shared" si="87"/>
        <v>-0.2108737284703891</v>
      </c>
      <c r="BU31" s="39">
        <f t="shared" si="87"/>
        <v>3.4188199071698344E-2</v>
      </c>
      <c r="BV31" s="39">
        <f t="shared" si="87"/>
        <v>0.97687319992240096</v>
      </c>
      <c r="BW31" s="39">
        <f t="shared" si="87"/>
        <v>0.29489949781935443</v>
      </c>
      <c r="BX31" s="39">
        <f t="shared" si="87"/>
        <v>-0.48672016299571663</v>
      </c>
      <c r="BY31" s="39">
        <f t="shared" si="87"/>
        <v>0.10230884881249658</v>
      </c>
      <c r="BZ31" s="39">
        <f t="shared" si="87"/>
        <v>0.3191034476541037</v>
      </c>
      <c r="CA31" s="39">
        <f t="shared" si="87"/>
        <v>7.4543597674686657E-2</v>
      </c>
      <c r="CB31" s="39">
        <f t="shared" si="87"/>
        <v>0.18036734226580431</v>
      </c>
      <c r="CC31" s="39">
        <f t="shared" si="87"/>
        <v>6.620181700900396E-5</v>
      </c>
      <c r="CD31" s="39">
        <f t="shared" si="87"/>
        <v>2.8653482600851099E-2</v>
      </c>
      <c r="CE31" s="39">
        <f t="shared" si="87"/>
        <v>0.119124283786888</v>
      </c>
      <c r="CF31" s="39">
        <f t="shared" si="87"/>
        <v>-0.10810310230996623</v>
      </c>
      <c r="CG31" s="39">
        <f t="shared" si="87"/>
        <v>2.4912136551194841E-2</v>
      </c>
      <c r="CH31" s="39">
        <f t="shared" si="87"/>
        <v>4.1417053977783835E-2</v>
      </c>
      <c r="CI31" s="39">
        <f t="shared" si="87"/>
        <v>-9.0079649374184001E-3</v>
      </c>
      <c r="CJ31" s="39">
        <f>+IF(CI29&lt;0,1-CJ29/CI29,CJ29/CI29-1)</f>
        <v>-4.6233118224698111E-2</v>
      </c>
      <c r="CK31" s="39">
        <f>+IF(CJ29&lt;0,1-CK29/CJ29,CK29/CJ29-1)</f>
        <v>-7.4712934091510363E-2</v>
      </c>
      <c r="CL31" s="39">
        <f>+IF(CK29&lt;0,1-CL29/CK29,CL29/CK29-1)</f>
        <v>0.14228474778820766</v>
      </c>
      <c r="CM31" s="40">
        <f t="shared" ref="CM31:DB31" si="88">+IF(CL29&lt;0,1-CM29/CL29,CM29/CL29-1)</f>
        <v>9.62996565786578E-2</v>
      </c>
      <c r="CN31" s="40">
        <f t="shared" si="88"/>
        <v>-6.3435189054532382E-2</v>
      </c>
      <c r="CO31" s="40">
        <f t="shared" si="88"/>
        <v>7.1788715513105839E-3</v>
      </c>
      <c r="CP31" s="40">
        <f t="shared" si="88"/>
        <v>0.21609993046002263</v>
      </c>
      <c r="CQ31" s="40">
        <f t="shared" si="88"/>
        <v>-7.1330587308023441E-2</v>
      </c>
      <c r="CR31" s="40">
        <f t="shared" si="88"/>
        <v>2.5442441561508877E-2</v>
      </c>
      <c r="CS31" s="40">
        <f t="shared" si="88"/>
        <v>5.2085533402743023E-2</v>
      </c>
      <c r="CT31" s="40">
        <f t="shared" si="88"/>
        <v>0.20063820000097832</v>
      </c>
      <c r="CU31" s="40">
        <f t="shared" si="88"/>
        <v>-0.1011585341125314</v>
      </c>
      <c r="CV31" s="40">
        <f t="shared" si="88"/>
        <v>9.5024281180910997E-3</v>
      </c>
      <c r="CW31" s="40">
        <f t="shared" si="88"/>
        <v>8.8916898023813751E-2</v>
      </c>
      <c r="CX31" s="40">
        <f t="shared" si="88"/>
        <v>0.20769457871561392</v>
      </c>
      <c r="CY31" s="40">
        <f t="shared" si="88"/>
        <v>-9.2507866545224471E-2</v>
      </c>
      <c r="CZ31" s="40">
        <f t="shared" si="88"/>
        <v>5.2302893465405953E-2</v>
      </c>
      <c r="DA31" s="40">
        <f t="shared" si="88"/>
        <v>5.2868528690151573E-2</v>
      </c>
      <c r="DB31" s="40">
        <f t="shared" si="88"/>
        <v>0.24737874970654827</v>
      </c>
      <c r="DE31" s="122"/>
    </row>
    <row r="32" spans="1:110" s="23" customFormat="1" outlineLevel="1" x14ac:dyDescent="0.2">
      <c r="A32" s="23" t="s">
        <v>2</v>
      </c>
      <c r="B32" s="23">
        <f>'Annual Raw'!C11</f>
        <v>0</v>
      </c>
      <c r="C32" s="23">
        <f>'Annual Raw'!D11</f>
        <v>0</v>
      </c>
      <c r="D32" s="23">
        <f>'Annual Raw'!E11</f>
        <v>0</v>
      </c>
      <c r="E32" s="23">
        <f>'Annual Raw'!F11</f>
        <v>0</v>
      </c>
      <c r="F32" s="23">
        <f>'Annual Raw'!G11</f>
        <v>0</v>
      </c>
      <c r="G32" s="23">
        <f>'Annual Raw'!H11</f>
        <v>0</v>
      </c>
      <c r="H32" s="23">
        <f>'Annual Raw'!I11</f>
        <v>0</v>
      </c>
      <c r="I32" s="23">
        <f>'Annual Raw'!J11</f>
        <v>0</v>
      </c>
      <c r="J32" s="23">
        <f>'Annual Raw'!K11</f>
        <v>0</v>
      </c>
      <c r="K32" s="23">
        <f>'Annual Raw'!L11</f>
        <v>0</v>
      </c>
      <c r="L32" s="23">
        <f>'Annual Raw'!M11</f>
        <v>0</v>
      </c>
      <c r="M32" s="23">
        <f>'Annual Raw'!N11</f>
        <v>0</v>
      </c>
      <c r="N32" s="23">
        <f>'Annual Raw'!O11</f>
        <v>0</v>
      </c>
      <c r="O32" s="23">
        <f>'Annual Raw'!P11</f>
        <v>0</v>
      </c>
      <c r="P32" s="23">
        <f>'Annual Raw'!Q11</f>
        <v>0</v>
      </c>
      <c r="Q32" s="23">
        <f>'Annual Raw'!R11</f>
        <v>0</v>
      </c>
      <c r="R32" s="23">
        <f>'Annual Raw'!S11</f>
        <v>0</v>
      </c>
      <c r="S32" s="23">
        <f>'Annual Raw'!T11</f>
        <v>0</v>
      </c>
      <c r="T32" s="23">
        <f>'Annual Raw'!U11</f>
        <v>0</v>
      </c>
      <c r="U32" s="23">
        <f>'Annual Raw'!V11</f>
        <v>0</v>
      </c>
      <c r="V32" s="23">
        <f>'Annual Raw'!W11</f>
        <v>0</v>
      </c>
      <c r="W32" s="23">
        <f>'Annual Raw'!X11</f>
        <v>0</v>
      </c>
      <c r="X32" s="23">
        <f>'Annual Raw'!Y11</f>
        <v>0</v>
      </c>
      <c r="Y32" s="23">
        <f>'Annual Raw'!Z11</f>
        <v>0</v>
      </c>
      <c r="Z32" s="23">
        <f>'Annual Raw'!AA11</f>
        <v>0</v>
      </c>
      <c r="AA32" s="23">
        <f>'Annual Raw'!AB11</f>
        <v>0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23">
        <f>'QTR Raw'!C10</f>
        <v>0</v>
      </c>
      <c r="AJ32" s="23">
        <f>'QTR Raw'!D10</f>
        <v>0</v>
      </c>
      <c r="AK32" s="23">
        <f>'QTR Raw'!E10</f>
        <v>0</v>
      </c>
      <c r="AL32" s="23">
        <f>'QTR Raw'!F10</f>
        <v>0</v>
      </c>
      <c r="AM32" s="23">
        <f>'QTR Raw'!G10</f>
        <v>0</v>
      </c>
      <c r="AN32" s="23">
        <f>'QTR Raw'!H10</f>
        <v>0</v>
      </c>
      <c r="AO32" s="23">
        <f>'QTR Raw'!I10</f>
        <v>0</v>
      </c>
      <c r="AP32" s="23">
        <f>'QTR Raw'!J10</f>
        <v>0</v>
      </c>
      <c r="AQ32" s="23">
        <f>'QTR Raw'!K10</f>
        <v>0</v>
      </c>
      <c r="AR32" s="23">
        <f>'QTR Raw'!L10</f>
        <v>0</v>
      </c>
      <c r="AS32" s="23">
        <f>'QTR Raw'!M10</f>
        <v>0</v>
      </c>
      <c r="AT32" s="23">
        <f>'QTR Raw'!N10</f>
        <v>0</v>
      </c>
      <c r="AU32" s="23">
        <f>'QTR Raw'!O10</f>
        <v>0</v>
      </c>
      <c r="AV32" s="23">
        <f>'QTR Raw'!P10</f>
        <v>0</v>
      </c>
      <c r="AW32" s="23">
        <f>'QTR Raw'!Q10</f>
        <v>0</v>
      </c>
      <c r="AX32" s="23">
        <f>'QTR Raw'!R10</f>
        <v>0</v>
      </c>
      <c r="AY32" s="23">
        <f>'QTR Raw'!S10</f>
        <v>0</v>
      </c>
      <c r="AZ32" s="23">
        <f>'QTR Raw'!T10</f>
        <v>0</v>
      </c>
      <c r="BA32" s="23">
        <f>'QTR Raw'!U10</f>
        <v>0</v>
      </c>
      <c r="BB32" s="23">
        <f>'QTR Raw'!V10</f>
        <v>0</v>
      </c>
      <c r="BC32" s="23">
        <f>'QTR Raw'!W10</f>
        <v>0</v>
      </c>
      <c r="BD32" s="23">
        <f>'QTR Raw'!X10</f>
        <v>0</v>
      </c>
      <c r="BE32" s="23">
        <f>'QTR Raw'!Y10</f>
        <v>0</v>
      </c>
      <c r="BF32" s="23">
        <f>'QTR Raw'!Z10</f>
        <v>0</v>
      </c>
      <c r="BG32" s="23">
        <f>'QTR Raw'!AA10</f>
        <v>0</v>
      </c>
      <c r="BH32" s="23">
        <f>'QTR Raw'!AB10</f>
        <v>0</v>
      </c>
      <c r="BI32" s="23">
        <f>'QTR Raw'!AC10</f>
        <v>0</v>
      </c>
      <c r="BJ32" s="23">
        <f>'QTR Raw'!AD10</f>
        <v>0</v>
      </c>
      <c r="BK32" s="23">
        <f>'QTR Raw'!AE10</f>
        <v>0</v>
      </c>
      <c r="BL32" s="23">
        <f>'QTR Raw'!AF10</f>
        <v>0</v>
      </c>
      <c r="BM32" s="23">
        <f>'QTR Raw'!AG10</f>
        <v>0</v>
      </c>
      <c r="BN32" s="23">
        <f>'QTR Raw'!AH10</f>
        <v>0</v>
      </c>
      <c r="BO32" s="23">
        <f>'QTR Raw'!AI10</f>
        <v>0</v>
      </c>
      <c r="BP32" s="23">
        <f>'QTR Raw'!AJ10</f>
        <v>0</v>
      </c>
      <c r="BQ32" s="23">
        <f>'QTR Raw'!AK10</f>
        <v>-10.06</v>
      </c>
      <c r="BR32" s="23">
        <f>'QTR Raw'!AL10</f>
        <v>10.06</v>
      </c>
      <c r="BS32" s="23">
        <f>'QTR Raw'!AM10</f>
        <v>0</v>
      </c>
      <c r="BT32" s="23">
        <f>'QTR Raw'!AN10</f>
        <v>0</v>
      </c>
      <c r="BU32" s="23">
        <f>'QTR Raw'!AO10</f>
        <v>-18.43</v>
      </c>
      <c r="BV32" s="23">
        <f>'QTR Raw'!AP10</f>
        <v>18.43</v>
      </c>
      <c r="BW32" s="23">
        <f>'QTR Raw'!AQ10</f>
        <v>0</v>
      </c>
      <c r="BX32" s="23">
        <f>'QTR Raw'!AR10</f>
        <v>0</v>
      </c>
      <c r="BY32" s="23">
        <f>'QTR Raw'!AS10</f>
        <v>0</v>
      </c>
      <c r="BZ32" s="23">
        <f>'QTR Raw'!AT10</f>
        <v>0</v>
      </c>
      <c r="CA32" s="23">
        <f>'QTR Raw'!AU10</f>
        <v>0</v>
      </c>
      <c r="CB32" s="23">
        <f>'QTR Raw'!AV10</f>
        <v>0</v>
      </c>
      <c r="CC32" s="23">
        <f>'QTR Raw'!AW10</f>
        <v>0</v>
      </c>
      <c r="CD32" s="23">
        <f>'QTR Raw'!AX10</f>
        <v>0</v>
      </c>
      <c r="CE32" s="23">
        <f>'QTR Raw'!AY10</f>
        <v>0</v>
      </c>
      <c r="CF32" s="23">
        <f>'QTR Raw'!AZ10</f>
        <v>0</v>
      </c>
      <c r="CG32" s="23">
        <f>'QTR Raw'!BA10</f>
        <v>0</v>
      </c>
      <c r="CH32" s="23">
        <f>'QTR Raw'!BB10</f>
        <v>0</v>
      </c>
      <c r="CI32" s="23">
        <f>'QTR Raw'!BC10</f>
        <v>0</v>
      </c>
      <c r="CJ32" s="23">
        <f>'QTR Raw'!BD10</f>
        <v>0</v>
      </c>
      <c r="CK32" s="23">
        <f>'QTR Raw'!BE10</f>
        <v>0</v>
      </c>
      <c r="CL32" s="23">
        <f>'QTR Raw'!BF10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3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76">
        <f>+SUM(CM33:CP33)</f>
        <v>0</v>
      </c>
      <c r="AC33" s="76">
        <f>+SUM(CQ33:CT33)</f>
        <v>0</v>
      </c>
      <c r="AD33" s="76">
        <f>+SUM(CU33:CX33)</f>
        <v>0</v>
      </c>
      <c r="AE33" s="76">
        <f>+SUM(CY33:DB33)</f>
        <v>0</v>
      </c>
      <c r="AI33" s="23">
        <f>'QTR Raw'!C12</f>
        <v>0</v>
      </c>
      <c r="AJ33" s="23">
        <f>'QTR Raw'!D12</f>
        <v>0</v>
      </c>
      <c r="AK33" s="23">
        <f>'QTR Raw'!E12</f>
        <v>0</v>
      </c>
      <c r="AL33" s="23">
        <f>'QTR Raw'!F12</f>
        <v>0</v>
      </c>
      <c r="AM33" s="23">
        <f>'QTR Raw'!G12</f>
        <v>0</v>
      </c>
      <c r="AN33" s="23">
        <f>'QTR Raw'!H12</f>
        <v>0</v>
      </c>
      <c r="AO33" s="23">
        <f>'QTR Raw'!I12</f>
        <v>328.54</v>
      </c>
      <c r="AP33" s="23">
        <f>'QTR Raw'!J12</f>
        <v>0.48</v>
      </c>
      <c r="AQ33" s="23">
        <f>'QTR Raw'!K12</f>
        <v>0.19</v>
      </c>
      <c r="AR33" s="23">
        <f>'QTR Raw'!L12</f>
        <v>13.45</v>
      </c>
      <c r="AS33" s="23">
        <f>'QTR Raw'!M12</f>
        <v>104.74</v>
      </c>
      <c r="AT33" s="23">
        <f>'QTR Raw'!N12</f>
        <v>172.22</v>
      </c>
      <c r="AU33" s="23">
        <f>'QTR Raw'!O12</f>
        <v>109.09</v>
      </c>
      <c r="AV33" s="23">
        <f>'QTR Raw'!P12</f>
        <v>6.87</v>
      </c>
      <c r="AW33" s="23">
        <f>'QTR Raw'!Q12</f>
        <v>0</v>
      </c>
      <c r="AX33" s="23">
        <f>'QTR Raw'!R12</f>
        <v>73.59</v>
      </c>
      <c r="AY33" s="23">
        <f>'QTR Raw'!S12</f>
        <v>25.19</v>
      </c>
      <c r="AZ33" s="23">
        <f>'QTR Raw'!T12</f>
        <v>18.62</v>
      </c>
      <c r="BA33" s="23">
        <f>'QTR Raw'!U12</f>
        <v>21.62</v>
      </c>
      <c r="BB33" s="23">
        <f>'QTR Raw'!V12</f>
        <v>150.25</v>
      </c>
      <c r="BC33" s="23">
        <f>'QTR Raw'!W12</f>
        <v>81.22</v>
      </c>
      <c r="BD33" s="23">
        <f>'QTR Raw'!X12</f>
        <v>85.08</v>
      </c>
      <c r="BE33" s="23">
        <f>'QTR Raw'!Y12</f>
        <v>85.34</v>
      </c>
      <c r="BF33" s="23">
        <f>'QTR Raw'!Z12</f>
        <v>86.29</v>
      </c>
      <c r="BG33" s="23">
        <f>'QTR Raw'!AA12</f>
        <v>65.67</v>
      </c>
      <c r="BH33" s="23">
        <f>'QTR Raw'!AB12</f>
        <v>236.83</v>
      </c>
      <c r="BI33" s="23">
        <f>'QTR Raw'!AC12</f>
        <v>17.03</v>
      </c>
      <c r="BJ33" s="23">
        <f>'QTR Raw'!AD12</f>
        <v>490.38</v>
      </c>
      <c r="BK33" s="23">
        <f>'QTR Raw'!AE12</f>
        <v>2.83</v>
      </c>
      <c r="BL33" s="23">
        <f>'QTR Raw'!AF12</f>
        <v>1.2</v>
      </c>
      <c r="BM33" s="23">
        <f>'QTR Raw'!AG12</f>
        <v>46.57</v>
      </c>
      <c r="BN33" s="23">
        <f>'QTR Raw'!AH12</f>
        <v>416.5</v>
      </c>
      <c r="BO33" s="23">
        <f>'QTR Raw'!AI12</f>
        <v>1.51</v>
      </c>
      <c r="BP33" s="23">
        <f>'QTR Raw'!AJ12</f>
        <v>3.14</v>
      </c>
      <c r="BQ33" s="23">
        <f>'QTR Raw'!AK12</f>
        <v>43.93</v>
      </c>
      <c r="BR33" s="23">
        <f>'QTR Raw'!AL12</f>
        <v>316.72000000000003</v>
      </c>
      <c r="BS33" s="23">
        <f>'QTR Raw'!AM12</f>
        <v>2.42</v>
      </c>
      <c r="BT33" s="23">
        <f>'QTR Raw'!AN12</f>
        <v>9.39</v>
      </c>
      <c r="BU33" s="23">
        <f>'QTR Raw'!AO12</f>
        <v>112.11</v>
      </c>
      <c r="BV33" s="23">
        <f>'QTR Raw'!AP12</f>
        <v>421.64</v>
      </c>
      <c r="BW33" s="23">
        <f>'QTR Raw'!AQ12</f>
        <v>54.86</v>
      </c>
      <c r="BX33" s="23">
        <f>'QTR Raw'!AR12</f>
        <v>69.319999999999993</v>
      </c>
      <c r="BY33" s="23">
        <f>'QTR Raw'!AS12</f>
        <v>29.78</v>
      </c>
      <c r="BZ33" s="23">
        <f>'QTR Raw'!AT12</f>
        <v>60.18</v>
      </c>
      <c r="CA33" s="23">
        <f>'QTR Raw'!AU12</f>
        <v>23.54</v>
      </c>
      <c r="CB33" s="23">
        <f>'QTR Raw'!AV12</f>
        <v>29.01</v>
      </c>
      <c r="CC33" s="23">
        <f>'QTR Raw'!AW12</f>
        <v>68.91</v>
      </c>
      <c r="CD33" s="23">
        <f>'QTR Raw'!AX12</f>
        <v>100.8</v>
      </c>
      <c r="CE33" s="23">
        <f>'QTR Raw'!AY12</f>
        <v>10.73</v>
      </c>
      <c r="CF33" s="23">
        <f>'QTR Raw'!AZ12</f>
        <v>81.489999999999995</v>
      </c>
      <c r="CG33" s="23">
        <f>'QTR Raw'!BA12</f>
        <v>108.67</v>
      </c>
      <c r="CH33" s="23">
        <f>'QTR Raw'!BB12</f>
        <v>156.1</v>
      </c>
      <c r="CI33" s="23">
        <f>'QTR Raw'!BC12</f>
        <v>9.6199999999999992</v>
      </c>
      <c r="CJ33" s="23">
        <f>'QTR Raw'!BD12</f>
        <v>11.16</v>
      </c>
      <c r="CK33" s="23">
        <f>'QTR Raw'!BE12</f>
        <v>42.14</v>
      </c>
      <c r="CL33" s="23">
        <f>'QTR Raw'!BF12</f>
        <v>146.74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4</v>
      </c>
      <c r="B34" s="23">
        <f>'Annual Raw'!C12</f>
        <v>0</v>
      </c>
      <c r="C34" s="23">
        <f>'Annual Raw'!D12</f>
        <v>0</v>
      </c>
      <c r="D34" s="23">
        <f>'Annual Raw'!E12</f>
        <v>0</v>
      </c>
      <c r="E34" s="23">
        <f>'Annual Raw'!F12</f>
        <v>0</v>
      </c>
      <c r="F34" s="23">
        <f>'Annual Raw'!G12</f>
        <v>0</v>
      </c>
      <c r="G34" s="23">
        <f>'Annual Raw'!H12</f>
        <v>0</v>
      </c>
      <c r="H34" s="23">
        <f>'Annual Raw'!I12</f>
        <v>0</v>
      </c>
      <c r="I34" s="23">
        <f>'Annual Raw'!J12</f>
        <v>0</v>
      </c>
      <c r="J34" s="23">
        <f>'Annual Raw'!K12</f>
        <v>0</v>
      </c>
      <c r="K34" s="23">
        <f>'Annual Raw'!L12</f>
        <v>0</v>
      </c>
      <c r="L34" s="23">
        <f>'Annual Raw'!M12</f>
        <v>0</v>
      </c>
      <c r="M34" s="23">
        <f>'Annual Raw'!N12</f>
        <v>0</v>
      </c>
      <c r="N34" s="23">
        <f>'Annual Raw'!O12</f>
        <v>0</v>
      </c>
      <c r="O34" s="23">
        <f>'Annual Raw'!P12</f>
        <v>0</v>
      </c>
      <c r="P34" s="23">
        <f>'Annual Raw'!Q12</f>
        <v>0</v>
      </c>
      <c r="Q34" s="23">
        <f>'Annual Raw'!R12</f>
        <v>0</v>
      </c>
      <c r="R34" s="23">
        <f>'Annual Raw'!S12</f>
        <v>0</v>
      </c>
      <c r="S34" s="23">
        <f>'Annual Raw'!T12</f>
        <v>0</v>
      </c>
      <c r="T34" s="23">
        <f>'Annual Raw'!U12</f>
        <v>0</v>
      </c>
      <c r="U34" s="23">
        <f>'Annual Raw'!V12</f>
        <v>0</v>
      </c>
      <c r="V34" s="23">
        <f>'Annual Raw'!W12</f>
        <v>0</v>
      </c>
      <c r="W34" s="23">
        <f>'Annual Raw'!X12</f>
        <v>0</v>
      </c>
      <c r="X34" s="23">
        <f>'Annual Raw'!Y12</f>
        <v>0</v>
      </c>
      <c r="Y34" s="23">
        <f>'Annual Raw'!Z12</f>
        <v>0</v>
      </c>
      <c r="Z34" s="23">
        <f>'Annual Raw'!AA12</f>
        <v>0</v>
      </c>
      <c r="AA34" s="23">
        <f>'Annual Raw'!AB12</f>
        <v>0</v>
      </c>
      <c r="AB34" s="24">
        <f>+SUM(CM34:CP34)</f>
        <v>315.78720283514849</v>
      </c>
      <c r="AC34" s="24">
        <f>+SUM(CQ34:CT34)</f>
        <v>388.18469477680264</v>
      </c>
      <c r="AD34" s="24">
        <f>+SUM(CU34:CX34)</f>
        <v>460.30096813890123</v>
      </c>
      <c r="AE34" s="24">
        <f>+SUM(CY34:DB34)</f>
        <v>568.81144326602953</v>
      </c>
      <c r="AI34" s="23">
        <f>'QTR Raw'!C11</f>
        <v>0</v>
      </c>
      <c r="AJ34" s="23">
        <f>'QTR Raw'!D11</f>
        <v>0</v>
      </c>
      <c r="AK34" s="23">
        <f>'QTR Raw'!E11</f>
        <v>0</v>
      </c>
      <c r="AL34" s="23">
        <f>'QTR Raw'!F11</f>
        <v>0</v>
      </c>
      <c r="AM34" s="23">
        <f>'QTR Raw'!G11</f>
        <v>0</v>
      </c>
      <c r="AN34" s="23">
        <f>'QTR Raw'!H11</f>
        <v>0</v>
      </c>
      <c r="AO34" s="23">
        <f>'QTR Raw'!I11</f>
        <v>0</v>
      </c>
      <c r="AP34" s="23">
        <f>'QTR Raw'!J11</f>
        <v>0</v>
      </c>
      <c r="AQ34" s="23">
        <f>'QTR Raw'!K11</f>
        <v>0</v>
      </c>
      <c r="AR34" s="23">
        <f>'QTR Raw'!L11</f>
        <v>0</v>
      </c>
      <c r="AS34" s="23">
        <f>'QTR Raw'!M11</f>
        <v>0</v>
      </c>
      <c r="AT34" s="23">
        <f>'QTR Raw'!N11</f>
        <v>0</v>
      </c>
      <c r="AU34" s="23">
        <f>'QTR Raw'!O11</f>
        <v>0</v>
      </c>
      <c r="AV34" s="23">
        <f>'QTR Raw'!P11</f>
        <v>0</v>
      </c>
      <c r="AW34" s="23">
        <f>'QTR Raw'!Q11</f>
        <v>0</v>
      </c>
      <c r="AX34" s="23">
        <f>'QTR Raw'!R11</f>
        <v>0</v>
      </c>
      <c r="AY34" s="23">
        <f>'QTR Raw'!S11</f>
        <v>0</v>
      </c>
      <c r="AZ34" s="23">
        <f>'QTR Raw'!T11</f>
        <v>0</v>
      </c>
      <c r="BA34" s="23">
        <f>'QTR Raw'!U11</f>
        <v>0</v>
      </c>
      <c r="BB34" s="23">
        <f>'QTR Raw'!V11</f>
        <v>0</v>
      </c>
      <c r="BC34" s="23">
        <f>'QTR Raw'!W11</f>
        <v>0</v>
      </c>
      <c r="BD34" s="23">
        <f>'QTR Raw'!X11</f>
        <v>0</v>
      </c>
      <c r="BE34" s="23">
        <f>'QTR Raw'!Y11</f>
        <v>0</v>
      </c>
      <c r="BF34" s="23">
        <f>'QTR Raw'!Z11</f>
        <v>0</v>
      </c>
      <c r="BG34" s="23">
        <f>'QTR Raw'!AA11</f>
        <v>0</v>
      </c>
      <c r="BH34" s="23">
        <f>'QTR Raw'!AB11</f>
        <v>0</v>
      </c>
      <c r="BI34" s="23">
        <f>'QTR Raw'!AC11</f>
        <v>0</v>
      </c>
      <c r="BJ34" s="23">
        <f>'QTR Raw'!AD11</f>
        <v>0</v>
      </c>
      <c r="BK34" s="23">
        <f>'QTR Raw'!AE11</f>
        <v>0</v>
      </c>
      <c r="BL34" s="23">
        <f>'QTR Raw'!AF11</f>
        <v>0</v>
      </c>
      <c r="BM34" s="23">
        <f>'QTR Raw'!AG11</f>
        <v>0</v>
      </c>
      <c r="BN34" s="23">
        <f>'QTR Raw'!AH11</f>
        <v>0</v>
      </c>
      <c r="BO34" s="23">
        <f>'QTR Raw'!AI11</f>
        <v>0</v>
      </c>
      <c r="BP34" s="23">
        <f>'QTR Raw'!AJ11</f>
        <v>0</v>
      </c>
      <c r="BQ34" s="23">
        <f>'QTR Raw'!AK11</f>
        <v>0</v>
      </c>
      <c r="BR34" s="23">
        <f>'QTR Raw'!AL11</f>
        <v>0</v>
      </c>
      <c r="BS34" s="23">
        <f>'QTR Raw'!AM11</f>
        <v>0</v>
      </c>
      <c r="BT34" s="23">
        <f>'QTR Raw'!AN11</f>
        <v>0</v>
      </c>
      <c r="BU34" s="23">
        <f>'QTR Raw'!AO11</f>
        <v>0</v>
      </c>
      <c r="BV34" s="23">
        <f>'QTR Raw'!AP11</f>
        <v>0</v>
      </c>
      <c r="BW34" s="23">
        <f>'QTR Raw'!AQ11</f>
        <v>0</v>
      </c>
      <c r="BX34" s="23">
        <f>'QTR Raw'!AR11</f>
        <v>0</v>
      </c>
      <c r="BY34" s="23">
        <f>'QTR Raw'!AS11</f>
        <v>0</v>
      </c>
      <c r="BZ34" s="23">
        <f>'QTR Raw'!AT11</f>
        <v>0</v>
      </c>
      <c r="CA34" s="23">
        <f>'QTR Raw'!AU11</f>
        <v>0</v>
      </c>
      <c r="CB34" s="23">
        <f>'QTR Raw'!AV11</f>
        <v>0</v>
      </c>
      <c r="CC34" s="23">
        <f>'QTR Raw'!AW11</f>
        <v>0</v>
      </c>
      <c r="CD34" s="23">
        <f>'QTR Raw'!AX11</f>
        <v>0</v>
      </c>
      <c r="CE34" s="23">
        <f>'QTR Raw'!AY11</f>
        <v>0</v>
      </c>
      <c r="CF34" s="23">
        <f>'QTR Raw'!AZ11</f>
        <v>0</v>
      </c>
      <c r="CG34" s="23">
        <f>'QTR Raw'!BA11</f>
        <v>0</v>
      </c>
      <c r="CH34" s="23">
        <f>'QTR Raw'!BB11</f>
        <v>0</v>
      </c>
      <c r="CI34" s="23">
        <f>'QTR Raw'!BC11</f>
        <v>0</v>
      </c>
      <c r="CJ34" s="23">
        <f>'QTR Raw'!BD11</f>
        <v>0</v>
      </c>
      <c r="CK34" s="23">
        <f>'QTR Raw'!BE11</f>
        <v>0</v>
      </c>
      <c r="CL34" s="23">
        <f>'QTR Raw'!BF11</f>
        <v>0</v>
      </c>
      <c r="CM34" s="24">
        <f t="shared" ref="CM34:DB34" si="89">+CM29-CM35</f>
        <v>59.301323754718396</v>
      </c>
      <c r="CN34" s="24">
        <f t="shared" si="89"/>
        <v>66.935127439181088</v>
      </c>
      <c r="CO34" s="24">
        <f t="shared" si="89"/>
        <v>81.220056556836425</v>
      </c>
      <c r="CP34" s="24">
        <f t="shared" si="89"/>
        <v>108.33069508441258</v>
      </c>
      <c r="CQ34" s="24">
        <f t="shared" si="89"/>
        <v>82.909993392448087</v>
      </c>
      <c r="CR34" s="24">
        <f t="shared" si="89"/>
        <v>90.078925296187663</v>
      </c>
      <c r="CS34" s="24">
        <f t="shared" si="89"/>
        <v>97.928477046589251</v>
      </c>
      <c r="CT34" s="24">
        <f t="shared" si="89"/>
        <v>117.26729904157764</v>
      </c>
      <c r="CU34" s="24">
        <f t="shared" si="89"/>
        <v>102.47324567203759</v>
      </c>
      <c r="CV34" s="24">
        <f t="shared" si="89"/>
        <v>104.94679895252921</v>
      </c>
      <c r="CW34" s="24">
        <f t="shared" si="89"/>
        <v>114.74111475866448</v>
      </c>
      <c r="CX34" s="24">
        <f t="shared" si="89"/>
        <v>138.13980875566995</v>
      </c>
      <c r="CY34" s="24">
        <f t="shared" si="89"/>
        <v>124.95402891096455</v>
      </c>
      <c r="CZ34" s="24">
        <f t="shared" si="89"/>
        <v>131.8835526895673</v>
      </c>
      <c r="DA34" s="24">
        <f t="shared" si="89"/>
        <v>138.87889138215905</v>
      </c>
      <c r="DB34" s="24">
        <f t="shared" si="89"/>
        <v>173.09497028333863</v>
      </c>
      <c r="DE34" s="123"/>
      <c r="DF34" s="23">
        <v>0</v>
      </c>
    </row>
    <row r="35" spans="1:110" s="31" customFormat="1" x14ac:dyDescent="0.2">
      <c r="A35" s="31" t="s">
        <v>5</v>
      </c>
      <c r="B35" s="31">
        <f t="shared" ref="B35:T35" si="90">B29-B32-B34-B33</f>
        <v>0</v>
      </c>
      <c r="C35" s="31">
        <f t="shared" si="90"/>
        <v>0</v>
      </c>
      <c r="D35" s="31">
        <f t="shared" si="90"/>
        <v>0</v>
      </c>
      <c r="E35" s="31">
        <f t="shared" si="90"/>
        <v>0</v>
      </c>
      <c r="F35" s="31">
        <f t="shared" si="90"/>
        <v>0</v>
      </c>
      <c r="G35" s="31">
        <f t="shared" si="90"/>
        <v>0</v>
      </c>
      <c r="H35" s="31">
        <f t="shared" si="90"/>
        <v>0</v>
      </c>
      <c r="I35" s="31">
        <f t="shared" si="90"/>
        <v>0</v>
      </c>
      <c r="J35" s="31">
        <f t="shared" si="90"/>
        <v>0</v>
      </c>
      <c r="K35" s="31">
        <f t="shared" si="90"/>
        <v>434.86</v>
      </c>
      <c r="L35" s="31">
        <f t="shared" si="90"/>
        <v>2135.19</v>
      </c>
      <c r="M35" s="31">
        <f t="shared" si="90"/>
        <v>4092.16</v>
      </c>
      <c r="N35" s="31">
        <f t="shared" si="90"/>
        <v>6779.36</v>
      </c>
      <c r="O35" s="31">
        <f t="shared" si="90"/>
        <v>15463.9</v>
      </c>
      <c r="P35" s="31">
        <f t="shared" si="90"/>
        <v>19544.939999999999</v>
      </c>
      <c r="Q35" s="31">
        <f t="shared" si="90"/>
        <v>25532.17</v>
      </c>
      <c r="R35" s="31">
        <f t="shared" si="90"/>
        <v>22615.51</v>
      </c>
      <c r="S35" s="31">
        <f t="shared" si="90"/>
        <v>20304.28</v>
      </c>
      <c r="T35" s="31">
        <f t="shared" si="90"/>
        <v>23884.18</v>
      </c>
      <c r="U35" s="31">
        <f t="shared" ref="U35:Z35" si="91">U29-U32-U34-U33</f>
        <v>26467.72</v>
      </c>
      <c r="V35" s="31">
        <f t="shared" si="91"/>
        <v>26221.48</v>
      </c>
      <c r="W35" s="31">
        <f t="shared" si="91"/>
        <v>27711.18</v>
      </c>
      <c r="X35" s="31">
        <f t="shared" si="91"/>
        <v>38773.300000000003</v>
      </c>
      <c r="Y35" s="31">
        <f t="shared" si="91"/>
        <v>50351.25</v>
      </c>
      <c r="Z35" s="31">
        <f t="shared" si="91"/>
        <v>56203.09</v>
      </c>
      <c r="AA35" s="31">
        <f t="shared" ref="AA35" si="92">AA29-AA32-AA34-AA33</f>
        <v>54240.52</v>
      </c>
      <c r="AB35" s="32">
        <f t="shared" ref="AB35:AD35" si="93">AB29-AB32-AB34-AB33</f>
        <v>62476.072790539838</v>
      </c>
      <c r="AC35" s="32">
        <f t="shared" si="93"/>
        <v>72694.090411742043</v>
      </c>
      <c r="AD35" s="32">
        <f t="shared" si="93"/>
        <v>85338.399923912279</v>
      </c>
      <c r="AE35" s="32">
        <f t="shared" ref="AE35" si="94">AE29-AE32-AE34-AE33</f>
        <v>105266.20510288977</v>
      </c>
      <c r="AI35" s="31">
        <f t="shared" ref="AI35" si="95">AI29-AI32-AI34-AI33</f>
        <v>1078.5300000000002</v>
      </c>
      <c r="AJ35" s="31">
        <f t="shared" ref="AJ35" si="96">AJ29-AJ32-AJ34-AJ33</f>
        <v>1502.69</v>
      </c>
      <c r="AK35" s="31">
        <f t="shared" ref="AK35:AM35" si="97">AK29-AK32-AK34-AK33</f>
        <v>1825.3799999999999</v>
      </c>
      <c r="AL35" s="31">
        <f t="shared" si="97"/>
        <v>1889.13</v>
      </c>
      <c r="AM35" s="31">
        <f t="shared" si="97"/>
        <v>2124.31</v>
      </c>
      <c r="AN35" s="31">
        <f t="shared" ref="AN35:AO35" si="98">AN29-AN32-AN34-AN33</f>
        <v>2803.2099999999996</v>
      </c>
      <c r="AO35" s="31">
        <f t="shared" si="98"/>
        <v>3861.7700000000004</v>
      </c>
      <c r="AP35" s="31">
        <f t="shared" ref="AP35:CD35" si="99">AP29-AP32-AP34-AP33</f>
        <v>5996.01</v>
      </c>
      <c r="AQ35" s="31">
        <f t="shared" si="99"/>
        <v>5198.9600000000009</v>
      </c>
      <c r="AR35" s="31">
        <f t="shared" si="99"/>
        <v>4134.4799999999996</v>
      </c>
      <c r="AS35" s="31">
        <f t="shared" si="99"/>
        <v>5399.31</v>
      </c>
      <c r="AT35" s="31">
        <f t="shared" si="99"/>
        <v>4495.34</v>
      </c>
      <c r="AU35" s="31">
        <f t="shared" si="99"/>
        <v>5836.37</v>
      </c>
      <c r="AV35" s="31">
        <f t="shared" si="99"/>
        <v>5743.76</v>
      </c>
      <c r="AW35" s="31">
        <f t="shared" si="99"/>
        <v>6191.09</v>
      </c>
      <c r="AX35" s="31">
        <f t="shared" si="99"/>
        <v>7571.4</v>
      </c>
      <c r="AY35" s="31">
        <f t="shared" si="99"/>
        <v>5360.8600000000006</v>
      </c>
      <c r="AZ35" s="31">
        <f t="shared" si="99"/>
        <v>5557.87</v>
      </c>
      <c r="BA35" s="31">
        <f t="shared" si="99"/>
        <v>5409.88</v>
      </c>
      <c r="BB35" s="31">
        <f t="shared" si="99"/>
        <v>6201.98</v>
      </c>
      <c r="BC35" s="31">
        <f t="shared" si="99"/>
        <v>5462.1399999999994</v>
      </c>
      <c r="BD35" s="31">
        <f t="shared" si="99"/>
        <v>6073.97</v>
      </c>
      <c r="BE35" s="31">
        <f t="shared" si="99"/>
        <v>4759.12</v>
      </c>
      <c r="BF35" s="31">
        <f t="shared" si="99"/>
        <v>3894.92</v>
      </c>
      <c r="BG35" s="31">
        <f t="shared" si="99"/>
        <v>3764.0099999999998</v>
      </c>
      <c r="BH35" s="31">
        <f t="shared" si="99"/>
        <v>6867.39</v>
      </c>
      <c r="BI35" s="31">
        <f t="shared" si="99"/>
        <v>6288.01</v>
      </c>
      <c r="BJ35" s="31">
        <f t="shared" si="99"/>
        <v>6231.34</v>
      </c>
      <c r="BK35" s="31">
        <f t="shared" si="99"/>
        <v>7801.95</v>
      </c>
      <c r="BL35" s="31">
        <f t="shared" si="99"/>
        <v>5914.49</v>
      </c>
      <c r="BM35" s="31">
        <f t="shared" si="99"/>
        <v>6528.25</v>
      </c>
      <c r="BN35" s="31">
        <f t="shared" si="99"/>
        <v>5755.93</v>
      </c>
      <c r="BO35" s="31">
        <f t="shared" si="99"/>
        <v>5202.32</v>
      </c>
      <c r="BP35" s="31">
        <f t="shared" si="99"/>
        <v>7746.07</v>
      </c>
      <c r="BQ35" s="31">
        <f t="shared" si="99"/>
        <v>6860.97</v>
      </c>
      <c r="BR35" s="31">
        <f t="shared" si="99"/>
        <v>6046.82</v>
      </c>
      <c r="BS35" s="31">
        <f t="shared" si="99"/>
        <v>6566.44</v>
      </c>
      <c r="BT35" s="31">
        <f t="shared" si="99"/>
        <v>5174.2699999999995</v>
      </c>
      <c r="BU35" s="31">
        <f t="shared" si="99"/>
        <v>5267.2000000000007</v>
      </c>
      <c r="BV35" s="31">
        <f t="shared" si="99"/>
        <v>10157.710000000001</v>
      </c>
      <c r="BW35" s="31">
        <f t="shared" si="99"/>
        <v>13668.199999999999</v>
      </c>
      <c r="BX35" s="31">
        <f t="shared" si="99"/>
        <v>6974.4500000000007</v>
      </c>
      <c r="BY35" s="31">
        <f t="shared" si="99"/>
        <v>7734.63</v>
      </c>
      <c r="BZ35" s="31">
        <f t="shared" si="99"/>
        <v>10181.879999999999</v>
      </c>
      <c r="CA35" s="31">
        <f t="shared" si="99"/>
        <v>10982</v>
      </c>
      <c r="CB35" s="31">
        <f t="shared" si="99"/>
        <v>12961.57</v>
      </c>
      <c r="CC35" s="31">
        <f t="shared" si="99"/>
        <v>12922.53</v>
      </c>
      <c r="CD35" s="31">
        <f t="shared" si="99"/>
        <v>13262.890000000001</v>
      </c>
      <c r="CE35" s="31">
        <f t="shared" ref="CE35:CF35" si="100">CE29-CE32-CE34-CE33</f>
        <v>14944.9</v>
      </c>
      <c r="CF35" s="31">
        <f t="shared" si="100"/>
        <v>13257.39</v>
      </c>
      <c r="CG35" s="31">
        <f t="shared" ref="CG35:CH35" si="101">CG29-CG32-CG34-CG33</f>
        <v>13562.51</v>
      </c>
      <c r="CH35" s="31">
        <f t="shared" si="101"/>
        <v>14081.3</v>
      </c>
      <c r="CI35" s="31">
        <f t="shared" ref="CI35:CJ35" si="102">CI29-CI32-CI34-CI33</f>
        <v>14099.529999999999</v>
      </c>
      <c r="CJ35" s="31">
        <f t="shared" si="102"/>
        <v>13445.68</v>
      </c>
      <c r="CK35" s="31">
        <f t="shared" ref="CK35:CL35" si="103">CK29-CK32-CK34-CK33</f>
        <v>12409.300000000001</v>
      </c>
      <c r="CL35" s="31">
        <f t="shared" si="103"/>
        <v>14076.35</v>
      </c>
      <c r="CM35" s="32">
        <f t="shared" ref="CM35:DB35" si="104">+CM36*CM29</f>
        <v>15533.467358732623</v>
      </c>
      <c r="CN35" s="32">
        <f t="shared" si="104"/>
        <v>14536.703325790984</v>
      </c>
      <c r="CO35" s="32">
        <f t="shared" si="104"/>
        <v>14627.256041310848</v>
      </c>
      <c r="CP35" s="32">
        <f t="shared" si="104"/>
        <v>17778.646064705383</v>
      </c>
      <c r="CQ35" s="32">
        <f t="shared" si="104"/>
        <v>16528.178208956575</v>
      </c>
      <c r="CR35" s="32">
        <f t="shared" si="104"/>
        <v>16943.635917914169</v>
      </c>
      <c r="CS35" s="32">
        <f t="shared" si="104"/>
        <v>17822.996489602599</v>
      </c>
      <c r="CT35" s="32">
        <f t="shared" si="104"/>
        <v>21399.279795268696</v>
      </c>
      <c r="CU35" s="32">
        <f t="shared" si="104"/>
        <v>19237.491485414561</v>
      </c>
      <c r="CV35" s="32">
        <f t="shared" si="104"/>
        <v>19418.794556797635</v>
      </c>
      <c r="CW35" s="32">
        <f t="shared" si="104"/>
        <v>21144.990760164052</v>
      </c>
      <c r="CX35" s="32">
        <f t="shared" si="104"/>
        <v>25537.123121536028</v>
      </c>
      <c r="CY35" s="32">
        <f t="shared" si="104"/>
        <v>23175.145104711759</v>
      </c>
      <c r="CZ35" s="32">
        <f t="shared" si="104"/>
        <v>24386.878183652425</v>
      </c>
      <c r="DA35" s="32">
        <f t="shared" si="104"/>
        <v>25676.153703264619</v>
      </c>
      <c r="DB35" s="32">
        <f t="shared" si="104"/>
        <v>32028.028111260952</v>
      </c>
      <c r="DE35" s="124"/>
      <c r="DF35" s="31">
        <v>0</v>
      </c>
    </row>
    <row r="36" spans="1:110" s="41" customFormat="1" x14ac:dyDescent="0.2">
      <c r="A36" s="41" t="s">
        <v>6</v>
      </c>
      <c r="B36" s="41" t="e">
        <f>B35/B29</f>
        <v>#DIV/0!</v>
      </c>
      <c r="C36" s="41" t="e">
        <f t="shared" ref="C36:U36" si="105">C35/C29</f>
        <v>#DIV/0!</v>
      </c>
      <c r="D36" s="41" t="e">
        <f t="shared" si="105"/>
        <v>#DIV/0!</v>
      </c>
      <c r="E36" s="41" t="e">
        <f t="shared" si="105"/>
        <v>#DIV/0!</v>
      </c>
      <c r="F36" s="41" t="e">
        <f t="shared" si="105"/>
        <v>#DIV/0!</v>
      </c>
      <c r="G36" s="41" t="e">
        <f t="shared" si="105"/>
        <v>#DIV/0!</v>
      </c>
      <c r="H36" s="41" t="e">
        <f t="shared" si="105"/>
        <v>#DIV/0!</v>
      </c>
      <c r="I36" s="41" t="e">
        <f t="shared" si="105"/>
        <v>#DIV/0!</v>
      </c>
      <c r="J36" s="41" t="e">
        <f t="shared" si="105"/>
        <v>#DIV/0!</v>
      </c>
      <c r="K36" s="41">
        <f t="shared" si="105"/>
        <v>1</v>
      </c>
      <c r="L36" s="41">
        <f t="shared" si="105"/>
        <v>1</v>
      </c>
      <c r="M36" s="41">
        <f t="shared" si="105"/>
        <v>1</v>
      </c>
      <c r="N36" s="41">
        <f t="shared" si="105"/>
        <v>1</v>
      </c>
      <c r="O36" s="41">
        <f t="shared" si="105"/>
        <v>1</v>
      </c>
      <c r="P36" s="41">
        <f t="shared" si="105"/>
        <v>1</v>
      </c>
      <c r="Q36" s="41">
        <f t="shared" si="105"/>
        <v>1</v>
      </c>
      <c r="R36" s="41">
        <f t="shared" si="105"/>
        <v>1</v>
      </c>
      <c r="S36" s="41">
        <f t="shared" si="105"/>
        <v>1</v>
      </c>
      <c r="T36" s="41">
        <f t="shared" si="105"/>
        <v>1</v>
      </c>
      <c r="U36" s="41">
        <f t="shared" si="105"/>
        <v>1</v>
      </c>
      <c r="V36" s="41">
        <f t="shared" ref="V36:AA36" si="106">V35/V29</f>
        <v>1</v>
      </c>
      <c r="W36" s="41">
        <f t="shared" si="106"/>
        <v>1</v>
      </c>
      <c r="X36" s="41">
        <f t="shared" si="106"/>
        <v>1</v>
      </c>
      <c r="Y36" s="41">
        <f t="shared" si="106"/>
        <v>1</v>
      </c>
      <c r="Z36" s="41">
        <f t="shared" si="106"/>
        <v>1</v>
      </c>
      <c r="AA36" s="41">
        <f t="shared" si="106"/>
        <v>1</v>
      </c>
      <c r="AB36" s="42">
        <f t="shared" ref="AB36:AD36" si="107">AB35/AB29</f>
        <v>0.9949708894931848</v>
      </c>
      <c r="AC36" s="42">
        <f t="shared" si="107"/>
        <v>0.99468838792701764</v>
      </c>
      <c r="AD36" s="42">
        <f t="shared" si="107"/>
        <v>0.99463510562102753</v>
      </c>
      <c r="AE36" s="42">
        <f t="shared" ref="AE36" si="108">AE35/AE29</f>
        <v>0.99462548916390103</v>
      </c>
      <c r="AI36" s="41">
        <f t="shared" ref="AI36" si="109">AI35/AI29</f>
        <v>1</v>
      </c>
      <c r="AJ36" s="41">
        <f t="shared" ref="AJ36" si="110">AJ35/AJ29</f>
        <v>1</v>
      </c>
      <c r="AK36" s="41">
        <f t="shared" ref="AK36:AM36" si="111">AK35/AK29</f>
        <v>1</v>
      </c>
      <c r="AL36" s="41">
        <f t="shared" si="111"/>
        <v>1</v>
      </c>
      <c r="AM36" s="41">
        <f t="shared" si="111"/>
        <v>1</v>
      </c>
      <c r="AN36" s="41">
        <f t="shared" ref="AN36:AO36" si="112">AN35/AN29</f>
        <v>1</v>
      </c>
      <c r="AO36" s="41">
        <f t="shared" si="112"/>
        <v>0.92159529963176945</v>
      </c>
      <c r="AP36" s="41">
        <f t="shared" ref="AP36:CD36" si="113">AP35/AP29</f>
        <v>0.99991995317260607</v>
      </c>
      <c r="AQ36" s="41">
        <f t="shared" si="113"/>
        <v>0.999963455564852</v>
      </c>
      <c r="AR36" s="41">
        <f t="shared" si="113"/>
        <v>0.99675741876068313</v>
      </c>
      <c r="AS36" s="41">
        <f t="shared" si="113"/>
        <v>0.98097037635922646</v>
      </c>
      <c r="AT36" s="41">
        <f t="shared" si="113"/>
        <v>0.96310277746831319</v>
      </c>
      <c r="AU36" s="41">
        <f t="shared" si="113"/>
        <v>0.98165154588543191</v>
      </c>
      <c r="AV36" s="41">
        <f t="shared" si="113"/>
        <v>0.99880534828357936</v>
      </c>
      <c r="AW36" s="41">
        <f t="shared" si="113"/>
        <v>1</v>
      </c>
      <c r="AX36" s="41">
        <f t="shared" si="113"/>
        <v>0.99037408812830363</v>
      </c>
      <c r="AY36" s="41">
        <f t="shared" si="113"/>
        <v>0.99532310320178985</v>
      </c>
      <c r="AZ36" s="41">
        <f t="shared" si="113"/>
        <v>0.9966609820872987</v>
      </c>
      <c r="BA36" s="41">
        <f t="shared" si="113"/>
        <v>0.99601951578753567</v>
      </c>
      <c r="BB36" s="41">
        <f t="shared" si="113"/>
        <v>0.97634688920268942</v>
      </c>
      <c r="BC36" s="41">
        <f t="shared" si="113"/>
        <v>0.98534823644865199</v>
      </c>
      <c r="BD36" s="41">
        <f t="shared" si="113"/>
        <v>0.98618618131042934</v>
      </c>
      <c r="BE36" s="41">
        <f t="shared" si="113"/>
        <v>0.9823840015192612</v>
      </c>
      <c r="BF36" s="41">
        <f t="shared" si="113"/>
        <v>0.97832568490484051</v>
      </c>
      <c r="BG36" s="41">
        <f t="shared" si="113"/>
        <v>0.98285235319922293</v>
      </c>
      <c r="BH36" s="41">
        <f t="shared" si="113"/>
        <v>0.96666347607478376</v>
      </c>
      <c r="BI36" s="41">
        <f t="shared" si="113"/>
        <v>0.99729898620785917</v>
      </c>
      <c r="BJ36" s="41">
        <f t="shared" si="113"/>
        <v>0.92704545860285759</v>
      </c>
      <c r="BK36" s="41">
        <f t="shared" si="113"/>
        <v>0.99963740169485882</v>
      </c>
      <c r="BL36" s="41">
        <f t="shared" si="113"/>
        <v>0.99979714961399269</v>
      </c>
      <c r="BM36" s="41">
        <f t="shared" si="113"/>
        <v>0.99291691635664558</v>
      </c>
      <c r="BN36" s="41">
        <f t="shared" si="113"/>
        <v>0.93252252354421195</v>
      </c>
      <c r="BO36" s="41">
        <f t="shared" si="113"/>
        <v>0.99970982910663875</v>
      </c>
      <c r="BP36" s="41">
        <f t="shared" si="113"/>
        <v>0.99959479740515478</v>
      </c>
      <c r="BQ36" s="41">
        <f t="shared" si="113"/>
        <v>0.9950876307499521</v>
      </c>
      <c r="BR36" s="41">
        <f t="shared" si="113"/>
        <v>0.94872913267227299</v>
      </c>
      <c r="BS36" s="41">
        <f t="shared" si="113"/>
        <v>0.99963159513218425</v>
      </c>
      <c r="BT36" s="41">
        <f t="shared" si="113"/>
        <v>0.99818853860013956</v>
      </c>
      <c r="BU36" s="41">
        <f t="shared" si="113"/>
        <v>0.9825252570473505</v>
      </c>
      <c r="BV36" s="41">
        <f t="shared" si="113"/>
        <v>0.95847526557448826</v>
      </c>
      <c r="BW36" s="41">
        <f t="shared" si="113"/>
        <v>0.99600234933025134</v>
      </c>
      <c r="BX36" s="41">
        <f t="shared" si="113"/>
        <v>0.99015867923001466</v>
      </c>
      <c r="BY36" s="41">
        <f t="shared" si="113"/>
        <v>0.99616455081583799</v>
      </c>
      <c r="BZ36" s="41">
        <f t="shared" si="113"/>
        <v>0.99412422891488628</v>
      </c>
      <c r="CA36" s="41">
        <f t="shared" si="113"/>
        <v>0.99786107723928119</v>
      </c>
      <c r="CB36" s="41">
        <f t="shared" si="113"/>
        <v>0.99776684335880306</v>
      </c>
      <c r="CC36" s="41">
        <f t="shared" si="113"/>
        <v>0.9946957381167908</v>
      </c>
      <c r="CD36" s="41">
        <f t="shared" si="113"/>
        <v>0.99245717313107384</v>
      </c>
      <c r="CE36" s="41">
        <f t="shared" ref="CE36:CF36" si="114">CE35/CE29</f>
        <v>0.99928254443309983</v>
      </c>
      <c r="CF36" s="41">
        <f t="shared" si="114"/>
        <v>0.99389079143076486</v>
      </c>
      <c r="CG36" s="41">
        <f t="shared" ref="CG36:CH36" si="115">CG35/CG29</f>
        <v>0.99205116164076546</v>
      </c>
      <c r="CH36" s="41">
        <f t="shared" si="115"/>
        <v>0.98903591947968028</v>
      </c>
      <c r="CI36" s="41">
        <f t="shared" ref="CI36:CJ36" si="116">CI35/CI29</f>
        <v>0.99931817295868275</v>
      </c>
      <c r="CJ36" s="41">
        <f t="shared" si="116"/>
        <v>0.99917068197288517</v>
      </c>
      <c r="CK36" s="41">
        <f t="shared" ref="CK36:CL36" si="117">CK35/CK29</f>
        <v>0.99661565248678075</v>
      </c>
      <c r="CL36" s="41">
        <f t="shared" si="117"/>
        <v>0.98968297324983534</v>
      </c>
      <c r="CM36" s="42">
        <f t="shared" ref="CM36:DB36" si="118">AVERAGE(CI36:CL36)</f>
        <v>0.99619687016704606</v>
      </c>
      <c r="CN36" s="42">
        <f t="shared" si="118"/>
        <v>0.99541654446913697</v>
      </c>
      <c r="CO36" s="42">
        <f t="shared" si="118"/>
        <v>0.9944780100931998</v>
      </c>
      <c r="CP36" s="42">
        <f t="shared" si="118"/>
        <v>0.99394359949480449</v>
      </c>
      <c r="CQ36" s="42">
        <f t="shared" si="118"/>
        <v>0.99500875605604677</v>
      </c>
      <c r="CR36" s="42">
        <f t="shared" si="118"/>
        <v>0.99471172752829706</v>
      </c>
      <c r="CS36" s="42">
        <f t="shared" si="118"/>
        <v>0.99453552329308703</v>
      </c>
      <c r="CT36" s="42">
        <f t="shared" si="118"/>
        <v>0.99454990159305878</v>
      </c>
      <c r="CU36" s="42">
        <f t="shared" si="118"/>
        <v>0.99470147711762236</v>
      </c>
      <c r="CV36" s="42">
        <f t="shared" si="118"/>
        <v>0.99462465738301631</v>
      </c>
      <c r="CW36" s="42">
        <f t="shared" si="118"/>
        <v>0.99460288984669609</v>
      </c>
      <c r="CX36" s="42">
        <f t="shared" si="118"/>
        <v>0.99461973148509841</v>
      </c>
      <c r="CY36" s="42">
        <f t="shared" si="118"/>
        <v>0.99463718895810826</v>
      </c>
      <c r="CZ36" s="42">
        <f t="shared" si="118"/>
        <v>0.99462111691822974</v>
      </c>
      <c r="DA36" s="42">
        <f t="shared" si="118"/>
        <v>0.99462023180203307</v>
      </c>
      <c r="DB36" s="42">
        <f t="shared" si="118"/>
        <v>0.99462456729086735</v>
      </c>
      <c r="DE36" s="125"/>
      <c r="DF36" s="41" t="e">
        <v>#DIV/0!</v>
      </c>
    </row>
    <row r="37" spans="1:110" s="39" customFormat="1" x14ac:dyDescent="0.2">
      <c r="A37" s="39" t="s">
        <v>447</v>
      </c>
      <c r="C37" s="39" t="e">
        <f t="shared" ref="C37:AE37" si="119">+IF(B35&lt;0,1-C35/B35,C35/B35-1)</f>
        <v>#DIV/0!</v>
      </c>
      <c r="D37" s="39" t="e">
        <f t="shared" si="119"/>
        <v>#DIV/0!</v>
      </c>
      <c r="E37" s="39" t="e">
        <f t="shared" si="119"/>
        <v>#DIV/0!</v>
      </c>
      <c r="F37" s="39" t="e">
        <f t="shared" si="119"/>
        <v>#DIV/0!</v>
      </c>
      <c r="G37" s="39" t="e">
        <f t="shared" si="119"/>
        <v>#DIV/0!</v>
      </c>
      <c r="H37" s="39" t="e">
        <f t="shared" si="119"/>
        <v>#DIV/0!</v>
      </c>
      <c r="I37" s="39" t="e">
        <f t="shared" si="119"/>
        <v>#DIV/0!</v>
      </c>
      <c r="J37" s="39" t="e">
        <f t="shared" si="119"/>
        <v>#DIV/0!</v>
      </c>
      <c r="K37" s="39" t="e">
        <f t="shared" si="119"/>
        <v>#DIV/0!</v>
      </c>
      <c r="L37" s="39">
        <f t="shared" si="119"/>
        <v>3.9100630087844364</v>
      </c>
      <c r="M37" s="39">
        <f t="shared" si="119"/>
        <v>0.91653201822788599</v>
      </c>
      <c r="N37" s="39">
        <f t="shared" si="119"/>
        <v>0.65667031592117597</v>
      </c>
      <c r="O37" s="39">
        <f t="shared" si="119"/>
        <v>1.2810265275778243</v>
      </c>
      <c r="P37" s="39">
        <f t="shared" si="119"/>
        <v>0.26390755242855946</v>
      </c>
      <c r="Q37" s="39">
        <f t="shared" si="119"/>
        <v>0.30633145970261366</v>
      </c>
      <c r="R37" s="39">
        <f t="shared" si="119"/>
        <v>-0.11423470860486984</v>
      </c>
      <c r="S37" s="39">
        <f t="shared" si="119"/>
        <v>-0.10219667829732781</v>
      </c>
      <c r="T37" s="39">
        <f t="shared" si="119"/>
        <v>0.17631258040176756</v>
      </c>
      <c r="U37" s="39">
        <f t="shared" si="119"/>
        <v>0.10816950801744096</v>
      </c>
      <c r="V37" s="39">
        <f t="shared" si="119"/>
        <v>-9.3034080759506477E-3</v>
      </c>
      <c r="W37" s="39">
        <f t="shared" si="119"/>
        <v>5.6812201294511144E-2</v>
      </c>
      <c r="X37" s="39">
        <f t="shared" si="119"/>
        <v>0.3991933941463337</v>
      </c>
      <c r="Y37" s="39">
        <f t="shared" si="119"/>
        <v>0.29860625739877689</v>
      </c>
      <c r="Z37" s="39">
        <f t="shared" si="119"/>
        <v>0.1162203520270102</v>
      </c>
      <c r="AA37" s="39">
        <f t="shared" si="119"/>
        <v>-3.4919254439569114E-2</v>
      </c>
      <c r="AB37" s="40">
        <f t="shared" si="119"/>
        <v>0.15183395716965542</v>
      </c>
      <c r="AC37" s="40">
        <f t="shared" si="119"/>
        <v>0.16355089500358955</v>
      </c>
      <c r="AD37" s="40">
        <f t="shared" si="119"/>
        <v>0.17393861647559516</v>
      </c>
      <c r="AE37" s="40">
        <f t="shared" si="119"/>
        <v>0.23351510219016447</v>
      </c>
      <c r="AM37" s="39">
        <f>+IF(AI35&lt;0,1-AM35/AI35,AM35/AI35-1)</f>
        <v>0.96963459523610807</v>
      </c>
      <c r="AN37" s="39">
        <f t="shared" ref="AN37" si="120">+IF(AJ35&lt;0,1-AN35/AJ35,AN35/AJ35-1)</f>
        <v>0.8654612727841402</v>
      </c>
      <c r="AO37" s="39">
        <f t="shared" ref="AO37" si="121">+IF(AK35&lt;0,1-AO35/AK35,AO35/AK35-1)</f>
        <v>1.1155978481192963</v>
      </c>
      <c r="AP37" s="39">
        <f t="shared" ref="AP37" si="122">+IF(AL35&lt;0,1-AP35/AL35,AP35/AL35-1)</f>
        <v>2.1739530895173966</v>
      </c>
      <c r="AQ37" s="39">
        <f t="shared" ref="AQ37" si="123">+IF(AM35&lt;0,1-AQ35/AM35,AQ35/AM35-1)</f>
        <v>1.4473640852794558</v>
      </c>
      <c r="AR37" s="39">
        <f t="shared" ref="AR37" si="124">+IF(AN35&lt;0,1-AR35/AN35,AR35/AN35-1)</f>
        <v>0.47490912204223013</v>
      </c>
      <c r="AS37" s="39">
        <f t="shared" ref="AS37" si="125">+IF(AO35&lt;0,1-AS35/AO35,AS35/AO35-1)</f>
        <v>0.39814385631459137</v>
      </c>
      <c r="AT37" s="39">
        <f t="shared" ref="AT37" si="126">+IF(AP35&lt;0,1-AT35/AP35,AT35/AP35-1)</f>
        <v>-0.25027810160423347</v>
      </c>
      <c r="AU37" s="39">
        <f t="shared" ref="AU37" si="127">+IF(AQ35&lt;0,1-AU35/AQ35,AU35/AQ35-1)</f>
        <v>0.12260336682721129</v>
      </c>
      <c r="AV37" s="39">
        <f t="shared" ref="AV37" si="128">+IF(AR35&lt;0,1-AV35/AR35,AV35/AR35-1)</f>
        <v>0.3892339544513459</v>
      </c>
      <c r="AW37" s="39">
        <f t="shared" ref="AW37" si="129">+IF(AS35&lt;0,1-AW35/AS35,AW35/AS35-1)</f>
        <v>0.14664466385519614</v>
      </c>
      <c r="AX37" s="39">
        <f t="shared" ref="AX37" si="130">+IF(AT35&lt;0,1-AX35/AT35,AX35/AT35-1)</f>
        <v>0.68427749625167378</v>
      </c>
      <c r="AY37" s="39">
        <f t="shared" ref="AY37" si="131">+IF(AU35&lt;0,1-AY35/AU35,AY35/AU35-1)</f>
        <v>-8.1473587178331641E-2</v>
      </c>
      <c r="AZ37" s="39">
        <f t="shared" ref="AZ37" si="132">+IF(AV35&lt;0,1-AZ35/AV35,AZ35/AV35-1)</f>
        <v>-3.2363817429697628E-2</v>
      </c>
      <c r="BA37" s="39">
        <f t="shared" ref="BA37" si="133">+IF(AW35&lt;0,1-BA35/AW35,BA35/AW35-1)</f>
        <v>-0.12618295001364865</v>
      </c>
      <c r="BB37" s="39">
        <f t="shared" ref="BB37" si="134">+IF(AX35&lt;0,1-BB35/AX35,BB35/AX35-1)</f>
        <v>-0.18086747497160371</v>
      </c>
      <c r="BC37" s="39">
        <f t="shared" ref="BC37" si="135">+IF(AY35&lt;0,1-BC35/AY35,BC35/AY35-1)</f>
        <v>1.8892491130154232E-2</v>
      </c>
      <c r="BD37" s="39">
        <f t="shared" ref="BD37" si="136">+IF(AZ35&lt;0,1-BD35/AZ35,BD35/AZ35-1)</f>
        <v>9.2859314809450533E-2</v>
      </c>
      <c r="BE37" s="39">
        <f t="shared" ref="BE37" si="137">+IF(BA35&lt;0,1-BE35/BA35,BE35/BA35-1)</f>
        <v>-0.12029102309108519</v>
      </c>
      <c r="BF37" s="39">
        <f t="shared" ref="BF37" si="138">+IF(BB35&lt;0,1-BF35/BB35,BF35/BB35-1)</f>
        <v>-0.37198765555516133</v>
      </c>
      <c r="BG37" s="39">
        <f t="shared" ref="BG37" si="139">+IF(BC35&lt;0,1-BG35/BC35,BG35/BC35-1)</f>
        <v>-0.31089096947350303</v>
      </c>
      <c r="BH37" s="39">
        <f t="shared" ref="BH37" si="140">+IF(BD35&lt;0,1-BH35/BD35,BH35/BD35-1)</f>
        <v>0.13062626255974275</v>
      </c>
      <c r="BI37" s="39">
        <f t="shared" ref="BI37" si="141">+IF(BE35&lt;0,1-BI35/BE35,BI35/BE35-1)</f>
        <v>0.32125476978937284</v>
      </c>
      <c r="BJ37" s="39">
        <f t="shared" ref="BJ37" si="142">+IF(BF35&lt;0,1-BJ35/BF35,BJ35/BF35-1)</f>
        <v>0.59986341182874114</v>
      </c>
      <c r="BK37" s="39">
        <f t="shared" ref="BK37" si="143">+IF(BG35&lt;0,1-BK35/BG35,BK35/BG35-1)</f>
        <v>1.0727761084587981</v>
      </c>
      <c r="BL37" s="39">
        <f t="shared" ref="BL37" si="144">+IF(BH35&lt;0,1-BL35/BH35,BL35/BH35-1)</f>
        <v>-0.13875722800073975</v>
      </c>
      <c r="BM37" s="39">
        <f t="shared" ref="BM37" si="145">+IF(BI35&lt;0,1-BM35/BI35,BM35/BI35-1)</f>
        <v>3.8206046109977576E-2</v>
      </c>
      <c r="BN37" s="39">
        <f t="shared" ref="BN37" si="146">+IF(BJ35&lt;0,1-BN35/BJ35,BN35/BJ35-1)</f>
        <v>-7.6293381519865644E-2</v>
      </c>
      <c r="BO37" s="39">
        <f t="shared" ref="BO37" si="147">+IF(BK35&lt;0,1-BO35/BK35,BO35/BK35-1)</f>
        <v>-0.33320259678670083</v>
      </c>
      <c r="BP37" s="39">
        <f t="shared" ref="BP37" si="148">+IF(BL35&lt;0,1-BP35/BL35,BP35/BL35-1)</f>
        <v>0.3096767430496965</v>
      </c>
      <c r="BQ37" s="39">
        <f t="shared" ref="BQ37" si="149">+IF(BM35&lt;0,1-BQ35/BM35,BQ35/BM35-1)</f>
        <v>5.0966185424884181E-2</v>
      </c>
      <c r="BR37" s="39">
        <f t="shared" ref="BR37" si="150">+IF(BN35&lt;0,1-BR35/BN35,BR35/BN35-1)</f>
        <v>5.0537445729881947E-2</v>
      </c>
      <c r="BS37" s="39">
        <f t="shared" ref="BS37" si="151">+IF(BO35&lt;0,1-BS35/BO35,BS35/BO35-1)</f>
        <v>0.26221378154361896</v>
      </c>
      <c r="BT37" s="39">
        <f t="shared" ref="BT37" si="152">+IF(BP35&lt;0,1-BT35/BP35,BT35/BP35-1)</f>
        <v>-0.33201352427747233</v>
      </c>
      <c r="BU37" s="39">
        <f t="shared" ref="BU37" si="153">+IF(BQ35&lt;0,1-BU35/BQ35,BU35/BQ35-1)</f>
        <v>-0.23229514194057099</v>
      </c>
      <c r="BV37" s="39">
        <f t="shared" ref="BV37" si="154">+IF(BR35&lt;0,1-BV35/BR35,BV35/BR35-1)</f>
        <v>0.67984328953069562</v>
      </c>
      <c r="BW37" s="39">
        <f t="shared" ref="BW37" si="155">+IF(BS35&lt;0,1-BW35/BS35,BW35/BS35-1)</f>
        <v>1.0815236261962342</v>
      </c>
      <c r="BX37" s="39">
        <f t="shared" ref="BX37" si="156">+IF(BT35&lt;0,1-BX35/BT35,BX35/BT35-1)</f>
        <v>0.34790994671712161</v>
      </c>
      <c r="BY37" s="39">
        <f t="shared" ref="BY37" si="157">+IF(BU35&lt;0,1-BY35/BU35,BY35/BU35-1)</f>
        <v>0.46845192891859044</v>
      </c>
      <c r="BZ37" s="39">
        <f t="shared" ref="BZ37" si="158">+IF(BV35&lt;0,1-BZ35/BV35,BZ35/BV35-1)</f>
        <v>2.3794733261728318E-3</v>
      </c>
      <c r="CA37" s="39">
        <f t="shared" ref="CA37" si="159">+IF(BW35&lt;0,1-CA35/BW35,CA35/BW35-1)</f>
        <v>-0.19652916989801139</v>
      </c>
      <c r="CB37" s="39">
        <f t="shared" ref="CB37" si="160">+IF(BX35&lt;0,1-CB35/BX35,CB35/BX35-1)</f>
        <v>0.85843614908702448</v>
      </c>
      <c r="CC37" s="39">
        <f t="shared" ref="CC37" si="161">+IF(BY35&lt;0,1-CC35/BY35,CC35/BY35-1)</f>
        <v>0.67073667389390312</v>
      </c>
      <c r="CD37" s="39">
        <f t="shared" ref="CD37" si="162">+IF(BZ35&lt;0,1-CD35/BZ35,CD35/BZ35-1)</f>
        <v>0.30259735923031927</v>
      </c>
      <c r="CE37" s="39">
        <f t="shared" ref="CE37" si="163">+IF(CA35&lt;0,1-CE35/CA35,CE35/CA35-1)</f>
        <v>0.36085412493170632</v>
      </c>
      <c r="CF37" s="39">
        <f t="shared" ref="CF37" si="164">+IF(CB35&lt;0,1-CF35/CB35,CF35/CB35-1)</f>
        <v>2.2822852478519229E-2</v>
      </c>
      <c r="CG37" s="39">
        <f t="shared" ref="CG37" si="165">+IF(CC35&lt;0,1-CG35/CC35,CG35/CC35-1)</f>
        <v>4.952435784633491E-2</v>
      </c>
      <c r="CH37" s="39">
        <f t="shared" ref="CH37:CL37" si="166">+IF(CD35&lt;0,1-CH35/CD35,CH35/CD35-1)</f>
        <v>6.1706762251666047E-2</v>
      </c>
      <c r="CI37" s="39">
        <f t="shared" si="166"/>
        <v>-5.6565784983506173E-2</v>
      </c>
      <c r="CJ37" s="39">
        <f t="shared" si="166"/>
        <v>1.4202644713627643E-2</v>
      </c>
      <c r="CK37" s="39">
        <f t="shared" si="166"/>
        <v>-8.5029246061385289E-2</v>
      </c>
      <c r="CL37" s="39">
        <f t="shared" si="166"/>
        <v>-3.5153004339083527E-4</v>
      </c>
      <c r="CM37" s="40">
        <f t="shared" ref="CM37" si="167">+CM35/CI35-1</f>
        <v>0.10170107505233328</v>
      </c>
      <c r="CN37" s="40">
        <f t="shared" ref="CN37" si="168">+CN35/CJ35-1</f>
        <v>8.1143038194496864E-2</v>
      </c>
      <c r="CO37" s="40">
        <f t="shared" ref="CO37" si="169">+CO35/CK35-1</f>
        <v>0.17873337265686584</v>
      </c>
      <c r="CP37" s="40">
        <f t="shared" ref="CP37" si="170">+CP35/CL35-1</f>
        <v>0.26301534593167841</v>
      </c>
      <c r="CQ37" s="40">
        <f t="shared" ref="CQ37" si="171">+CQ35/CM35-1</f>
        <v>6.4036626675289199E-2</v>
      </c>
      <c r="CR37" s="40">
        <f t="shared" ref="CR37" si="172">+CR35/CN35-1</f>
        <v>0.16557623404563881</v>
      </c>
      <c r="CS37" s="40">
        <f t="shared" ref="CS37" si="173">+CS35/CO35-1</f>
        <v>0.21847846508369173</v>
      </c>
      <c r="CT37" s="40">
        <f t="shared" ref="CT37" si="174">+CT35/CP35-1</f>
        <v>0.20365070081186265</v>
      </c>
      <c r="CU37" s="40">
        <f t="shared" ref="CU37" si="175">+CU35/CQ35-1</f>
        <v>0.16392086545810702</v>
      </c>
      <c r="CV37" s="40">
        <f t="shared" ref="CV37" si="176">+CV35/CR35-1</f>
        <v>0.14608190655622688</v>
      </c>
      <c r="CW37" s="40">
        <f t="shared" ref="CW37" si="177">+CW35/CS35-1</f>
        <v>0.18638808981976762</v>
      </c>
      <c r="CX37" s="40">
        <f t="shared" ref="CX37" si="178">+CX35/CT35-1</f>
        <v>0.19336367232238327</v>
      </c>
      <c r="CY37" s="40">
        <f t="shared" ref="CY37" si="179">+CY35/CU35-1</f>
        <v>0.2046864385766014</v>
      </c>
      <c r="CZ37" s="40">
        <f t="shared" ref="CZ37" si="180">+CZ35/CV35-1</f>
        <v>0.25583893028600424</v>
      </c>
      <c r="DA37" s="40">
        <f t="shared" ref="DA37" si="181">+DA35/CW35-1</f>
        <v>0.21429013587639001</v>
      </c>
      <c r="DB37" s="40">
        <f t="shared" ref="DB37" si="182">+DB35/CX35-1</f>
        <v>0.25417526315840178</v>
      </c>
      <c r="DE37" s="122"/>
      <c r="DF37" s="39" t="e">
        <v>#DIV/0!</v>
      </c>
    </row>
    <row r="38" spans="1:110" s="39" customFormat="1" x14ac:dyDescent="0.2">
      <c r="A38" s="39" t="s">
        <v>448</v>
      </c>
      <c r="AB38" s="40"/>
      <c r="AC38" s="40"/>
      <c r="AD38" s="40"/>
      <c r="AE38" s="40"/>
      <c r="AJ38" s="39">
        <f>+IF(AI35&lt;0,1-AJ35/AI35,AJ35/AI35-1)</f>
        <v>0.39327603311915271</v>
      </c>
      <c r="AK38" s="39">
        <f t="shared" ref="AK38" si="183">+IF(AJ35&lt;0,1-AK35/AJ35,AK35/AJ35-1)</f>
        <v>0.21474156346285644</v>
      </c>
      <c r="AL38" s="39">
        <f t="shared" ref="AL38" si="184">+IF(AK35&lt;0,1-AL35/AK35,AL35/AK35-1)</f>
        <v>3.4924234953817912E-2</v>
      </c>
      <c r="AM38" s="39">
        <f t="shared" ref="AM38" si="185">+IF(AL35&lt;0,1-AM35/AL35,AM35/AL35-1)</f>
        <v>0.12449116789209835</v>
      </c>
      <c r="AN38" s="39">
        <f t="shared" ref="AN38" si="186">+IF(AM35&lt;0,1-AN35/AM35,AN35/AM35-1)</f>
        <v>0.319586124435699</v>
      </c>
      <c r="AO38" s="39">
        <f t="shared" ref="AO38" si="187">+IF(AN35&lt;0,1-AO35/AN35,AO35/AN35-1)</f>
        <v>0.3776242236578784</v>
      </c>
      <c r="AP38" s="39">
        <f t="shared" ref="AP38" si="188">+IF(AO35&lt;0,1-AP35/AO35,AP35/AO35-1)</f>
        <v>0.55265849597464367</v>
      </c>
      <c r="AQ38" s="39">
        <f t="shared" ref="AQ38" si="189">+IF(AP35&lt;0,1-AQ35/AP35,AQ35/AP35-1)</f>
        <v>-0.13293006515999795</v>
      </c>
      <c r="AR38" s="39">
        <f t="shared" ref="AR38" si="190">+IF(AQ35&lt;0,1-AR35/AQ35,AR35/AQ35-1)</f>
        <v>-0.20474864203609977</v>
      </c>
      <c r="AS38" s="39">
        <f t="shared" ref="AS38" si="191">+IF(AR35&lt;0,1-AS35/AR35,AS35/AR35-1)</f>
        <v>0.30592238927265369</v>
      </c>
      <c r="AT38" s="39">
        <f t="shared" ref="AT38" si="192">+IF(AS35&lt;0,1-AT35/AS35,AT35/AS35-1)</f>
        <v>-0.16742324482202364</v>
      </c>
      <c r="AU38" s="39">
        <f t="shared" ref="AU38" si="193">+IF(AT35&lt;0,1-AU35/AT35,AU35/AT35-1)</f>
        <v>0.29831558903219779</v>
      </c>
      <c r="AV38" s="39">
        <f t="shared" ref="AV38" si="194">+IF(AU35&lt;0,1-AV35/AU35,AV35/AU35-1)</f>
        <v>-1.5867739708071871E-2</v>
      </c>
      <c r="AW38" s="39">
        <f t="shared" ref="AW38" si="195">+IF(AV35&lt;0,1-AW35/AV35,AW35/AV35-1)</f>
        <v>7.788103959775472E-2</v>
      </c>
      <c r="AX38" s="39">
        <f t="shared" ref="AX38" si="196">+IF(AW35&lt;0,1-AX35/AW35,AX35/AW35-1)</f>
        <v>0.22295104739230087</v>
      </c>
      <c r="AY38" s="39">
        <f t="shared" ref="AY38" si="197">+IF(AX35&lt;0,1-AY35/AX35,AY35/AX35-1)</f>
        <v>-0.29195921494043364</v>
      </c>
      <c r="AZ38" s="39">
        <f t="shared" ref="AZ38" si="198">+IF(AY35&lt;0,1-AZ35/AY35,AZ35/AY35-1)</f>
        <v>3.6749700607738189E-2</v>
      </c>
      <c r="BA38" s="39">
        <f t="shared" ref="BA38" si="199">+IF(AZ35&lt;0,1-BA35/AZ35,BA35/AZ35-1)</f>
        <v>-2.6627107147162432E-2</v>
      </c>
      <c r="BB38" s="39">
        <f t="shared" ref="BB38" si="200">+IF(BA35&lt;0,1-BB35/BA35,BB35/BA35-1)</f>
        <v>0.14641729576256757</v>
      </c>
      <c r="BC38" s="39">
        <f t="shared" ref="BC38" si="201">+IF(BB35&lt;0,1-BC35/BB35,BC35/BB35-1)</f>
        <v>-0.11929093612040031</v>
      </c>
      <c r="BD38" s="39">
        <f t="shared" ref="BD38" si="202">+IF(BC35&lt;0,1-BD35/BC35,BD35/BC35-1)</f>
        <v>0.11201287407499638</v>
      </c>
      <c r="BE38" s="39">
        <f t="shared" ref="BE38" si="203">+IF(BD35&lt;0,1-BE35/BD35,BE35/BD35-1)</f>
        <v>-0.21647291639570176</v>
      </c>
      <c r="BF38" s="39">
        <f t="shared" ref="BF38" si="204">+IF(BE35&lt;0,1-BF35/BE35,BF35/BE35-1)</f>
        <v>-0.18158819277513483</v>
      </c>
      <c r="BG38" s="39">
        <f t="shared" ref="BG38" si="205">+IF(BF35&lt;0,1-BG35/BF35,BG35/BF35-1)</f>
        <v>-3.3610446427654539E-2</v>
      </c>
      <c r="BH38" s="39">
        <f t="shared" ref="BH38" si="206">+IF(BG35&lt;0,1-BH35/BG35,BH35/BG35-1)</f>
        <v>0.82448771390086661</v>
      </c>
      <c r="BI38" s="39">
        <f t="shared" ref="BI38" si="207">+IF(BH35&lt;0,1-BI35/BH35,BI35/BH35-1)</f>
        <v>-8.4366840968694068E-2</v>
      </c>
      <c r="BJ38" s="39">
        <f t="shared" ref="BJ38" si="208">+IF(BI35&lt;0,1-BJ35/BI35,BJ35/BI35-1)</f>
        <v>-9.0123902474710249E-3</v>
      </c>
      <c r="BK38" s="39">
        <f t="shared" ref="BK38" si="209">+IF(BJ35&lt;0,1-BK35/BJ35,BK35/BJ35-1)</f>
        <v>0.25205012084078215</v>
      </c>
      <c r="BL38" s="39">
        <f t="shared" ref="BL38" si="210">+IF(BK35&lt;0,1-BL35/BK35,BL35/BK35-1)</f>
        <v>-0.24192157088932897</v>
      </c>
      <c r="BM38" s="39">
        <f t="shared" ref="BM38" si="211">+IF(BL35&lt;0,1-BM35/BL35,BM35/BL35-1)</f>
        <v>0.10377226100644354</v>
      </c>
      <c r="BN38" s="39">
        <f t="shared" ref="BN38" si="212">+IF(BM35&lt;0,1-BN35/BM35,BN35/BM35-1)</f>
        <v>-0.11830429288094046</v>
      </c>
      <c r="BO38" s="39">
        <f t="shared" ref="BO38" si="213">+IF(BN35&lt;0,1-BO35/BN35,BO35/BN35-1)</f>
        <v>-9.6180808314208277E-2</v>
      </c>
      <c r="BP38" s="39">
        <f t="shared" ref="BP38" si="214">+IF(BO35&lt;0,1-BP35/BO35,BP35/BO35-1)</f>
        <v>0.48896453889803015</v>
      </c>
      <c r="BQ38" s="39">
        <f t="shared" ref="BQ38" si="215">+IF(BP35&lt;0,1-BQ35/BP35,BQ35/BP35-1)</f>
        <v>-0.11426439471887029</v>
      </c>
      <c r="BR38" s="39">
        <f t="shared" ref="BR38" si="216">+IF(BQ35&lt;0,1-BR35/BQ35,BR35/BQ35-1)</f>
        <v>-0.11866397900005399</v>
      </c>
      <c r="BS38" s="39">
        <f t="shared" ref="BS38" si="217">+IF(BR35&lt;0,1-BS35/BR35,BS35/BR35-1)</f>
        <v>8.5932771274818798E-2</v>
      </c>
      <c r="BT38" s="39">
        <f t="shared" ref="BT38" si="218">+IF(BS35&lt;0,1-BT35/BS35,BT35/BS35-1)</f>
        <v>-0.21201290196818978</v>
      </c>
      <c r="BU38" s="39">
        <f t="shared" ref="BU38" si="219">+IF(BT35&lt;0,1-BU35/BT35,BU35/BT35-1)</f>
        <v>1.796002141364883E-2</v>
      </c>
      <c r="BV38" s="39">
        <f t="shared" ref="BV38" si="220">+IF(BU35&lt;0,1-BV35/BU35,BV35/BU35-1)</f>
        <v>0.92848382442284327</v>
      </c>
      <c r="BW38" s="39">
        <f t="shared" ref="BW38" si="221">+IF(BV35&lt;0,1-BW35/BV35,BW35/BV35-1)</f>
        <v>0.34559856503089748</v>
      </c>
      <c r="BX38" s="39">
        <f t="shared" ref="BX38" si="222">+IF(BW35&lt;0,1-BX35/BW35,BX35/BW35-1)</f>
        <v>-0.48973163986479551</v>
      </c>
      <c r="BY38" s="39">
        <f t="shared" ref="BY38" si="223">+IF(BX35&lt;0,1-BY35/BX35,BY35/BX35-1)</f>
        <v>0.10899497451411921</v>
      </c>
      <c r="BZ38" s="39">
        <f t="shared" ref="BZ38" si="224">+IF(BY35&lt;0,1-BZ35/BY35,BZ35/BY35-1)</f>
        <v>0.31640168954429604</v>
      </c>
      <c r="CA38" s="39">
        <f t="shared" ref="CA38" si="225">+IF(BZ35&lt;0,1-CA35/BZ35,CA35/BZ35-1)</f>
        <v>7.8582737176238648E-2</v>
      </c>
      <c r="CB38" s="39">
        <f t="shared" ref="CB38" si="226">+IF(CA35&lt;0,1-CB35/CA35,CB35/CA35-1)</f>
        <v>0.18025587324713155</v>
      </c>
      <c r="CC38" s="39">
        <f t="shared" ref="CC38" si="227">+IF(CB35&lt;0,1-CC35/CB35,CC35/CB35-1)</f>
        <v>-3.0119808017083916E-3</v>
      </c>
      <c r="CD38" s="39">
        <f t="shared" ref="CD38" si="228">+IF(CC35&lt;0,1-CD35/CC35,CD35/CC35-1)</f>
        <v>2.6338495635142678E-2</v>
      </c>
      <c r="CE38" s="39">
        <f t="shared" ref="CE38" si="229">+IF(CD35&lt;0,1-CE35/CD35,CE35/CD35-1)</f>
        <v>0.1268207758640838</v>
      </c>
      <c r="CF38" s="39">
        <f t="shared" ref="CF38" si="230">+IF(CE35&lt;0,1-CF35/CE35,CF35/CE35-1)</f>
        <v>-0.11291544272628118</v>
      </c>
      <c r="CG38" s="39">
        <f t="shared" ref="CG38" si="231">+IF(CF35&lt;0,1-CG35/CF35,CG35/CF35-1)</f>
        <v>2.3015088188550026E-2</v>
      </c>
      <c r="CH38" s="39">
        <f t="shared" ref="CH38:CL38" si="232">+IF(CG35&lt;0,1-CH35/CG35,CH35/CG35-1)</f>
        <v>3.825176903095362E-2</v>
      </c>
      <c r="CI38" s="39">
        <f t="shared" si="232"/>
        <v>1.2946247860636806E-3</v>
      </c>
      <c r="CJ38" s="39">
        <f t="shared" si="232"/>
        <v>-4.6373886221739213E-2</v>
      </c>
      <c r="CK38" s="39">
        <f t="shared" si="232"/>
        <v>-7.7079032075729859E-2</v>
      </c>
      <c r="CL38" s="39">
        <f t="shared" si="232"/>
        <v>0.13433876205748918</v>
      </c>
      <c r="CM38" s="40">
        <f t="shared" ref="CM38" si="233">+CM35/CL35-1</f>
        <v>0.10351528334636617</v>
      </c>
      <c r="CN38" s="40">
        <f t="shared" ref="CN38" si="234">+CN35/CM35-1</f>
        <v>-6.416880467974051E-2</v>
      </c>
      <c r="CO38" s="40">
        <f t="shared" ref="CO38" si="235">+CO35/CN35-1</f>
        <v>6.2292469957205832E-3</v>
      </c>
      <c r="CP38" s="40">
        <f t="shared" ref="CP38" si="236">+CP35/CO35-1</f>
        <v>0.21544642511857726</v>
      </c>
      <c r="CQ38" s="40">
        <f t="shared" ref="CQ38" si="237">+CQ35/CP35-1</f>
        <v>-7.0335381625672211E-2</v>
      </c>
      <c r="CR38" s="40">
        <f t="shared" ref="CR38" si="238">+CR35/CQ35-1</f>
        <v>2.5136328015416654E-2</v>
      </c>
      <c r="CS38" s="40">
        <f t="shared" ref="CS38" si="239">+CS35/CR35-1</f>
        <v>5.189916591389343E-2</v>
      </c>
      <c r="CT38" s="40">
        <f t="shared" ref="CT38" si="240">+CT35/CS35-1</f>
        <v>0.2006555579894993</v>
      </c>
      <c r="CU38" s="40">
        <f t="shared" ref="CU38" si="241">+CU35/CT35-1</f>
        <v>-0.10102154514247241</v>
      </c>
      <c r="CV38" s="40">
        <f t="shared" ref="CV38" si="242">+CV35/CU35-1</f>
        <v>9.4244653218187313E-3</v>
      </c>
      <c r="CW38" s="40">
        <f t="shared" ref="CW38" si="243">+CW35/CV35-1</f>
        <v>8.8893066885150862E-2</v>
      </c>
      <c r="CX38" s="40">
        <f t="shared" ref="CX38" si="244">+CX35/CW35-1</f>
        <v>0.2077150286415117</v>
      </c>
      <c r="CY38" s="40">
        <f t="shared" ref="CY38" si="245">+CY35/CX35-1</f>
        <v>-9.2491938327710854E-2</v>
      </c>
      <c r="CZ38" s="40">
        <f t="shared" ref="CZ38" si="246">+CZ35/CY35-1</f>
        <v>5.2285889622943893E-2</v>
      </c>
      <c r="DA38" s="40">
        <f t="shared" ref="DA38" si="247">+DA35/CZ35-1</f>
        <v>5.2867591739415465E-2</v>
      </c>
      <c r="DB38" s="40">
        <f t="shared" ref="DB38" si="248">+DB35/DA35-1</f>
        <v>0.24738418695432252</v>
      </c>
      <c r="DE38" s="122"/>
    </row>
    <row r="39" spans="1:110" s="23" customFormat="1" outlineLevel="1" x14ac:dyDescent="0.2">
      <c r="A39" s="23" t="s">
        <v>8</v>
      </c>
      <c r="B39" s="23">
        <f>'Annual Raw'!C14</f>
        <v>0</v>
      </c>
      <c r="C39" s="23">
        <f>'Annual Raw'!D14</f>
        <v>0</v>
      </c>
      <c r="D39" s="23">
        <f>'Annual Raw'!E14</f>
        <v>0</v>
      </c>
      <c r="E39" s="23">
        <f>'Annual Raw'!F14</f>
        <v>0</v>
      </c>
      <c r="F39" s="23">
        <f>'Annual Raw'!G14</f>
        <v>0</v>
      </c>
      <c r="G39" s="23">
        <f>'Annual Raw'!H14</f>
        <v>0</v>
      </c>
      <c r="H39" s="23">
        <f>'Annual Raw'!I14</f>
        <v>0</v>
      </c>
      <c r="I39" s="23">
        <f>'Annual Raw'!J14</f>
        <v>0</v>
      </c>
      <c r="J39" s="23">
        <f>'Annual Raw'!K14</f>
        <v>0</v>
      </c>
      <c r="K39" s="23">
        <f>'Annual Raw'!L14</f>
        <v>4.12</v>
      </c>
      <c r="L39" s="23">
        <f>'Annual Raw'!M14</f>
        <v>26.72</v>
      </c>
      <c r="M39" s="23">
        <f>'Annual Raw'!N14</f>
        <v>62.56</v>
      </c>
      <c r="N39" s="23">
        <f>'Annual Raw'!O14</f>
        <v>148.97</v>
      </c>
      <c r="O39" s="23">
        <f>'Annual Raw'!P14</f>
        <v>234.97</v>
      </c>
      <c r="P39" s="23">
        <f>'Annual Raw'!Q14</f>
        <v>327.43</v>
      </c>
      <c r="Q39" s="23">
        <f>'Annual Raw'!R14</f>
        <v>358.75</v>
      </c>
      <c r="R39" s="23">
        <f>'Annual Raw'!S14</f>
        <v>360.89</v>
      </c>
      <c r="S39" s="23">
        <f>'Annual Raw'!T14</f>
        <v>353.74</v>
      </c>
      <c r="T39" s="23">
        <f>'Annual Raw'!U14</f>
        <v>363.28</v>
      </c>
      <c r="U39" s="23">
        <f>'Annual Raw'!V14</f>
        <v>426.82</v>
      </c>
      <c r="V39" s="23">
        <f>'Annual Raw'!W14</f>
        <v>431.54</v>
      </c>
      <c r="W39" s="23">
        <f>'Annual Raw'!X14</f>
        <v>470.31</v>
      </c>
      <c r="X39" s="23">
        <f>'Annual Raw'!Y14</f>
        <v>569.99</v>
      </c>
      <c r="Y39" s="23">
        <f>'Annual Raw'!Z14</f>
        <v>643.70000000000005</v>
      </c>
      <c r="Z39" s="23">
        <f>'Annual Raw'!AA14</f>
        <v>784.4</v>
      </c>
      <c r="AA39" s="23">
        <f>'Annual Raw'!AB14</f>
        <v>855.18</v>
      </c>
      <c r="AB39" s="76">
        <f t="shared" ref="AB39:AB44" si="249">+SUM(CM39:CP39)</f>
        <v>915.04259999999999</v>
      </c>
      <c r="AC39" s="76">
        <f t="shared" ref="AC39:AC44" si="250">+SUM(CQ39:CT39)</f>
        <v>979.09558200000015</v>
      </c>
      <c r="AD39" s="76">
        <f t="shared" ref="AD39:AD44" si="251">+SUM(CU39:CX39)</f>
        <v>1047.6322727400002</v>
      </c>
      <c r="AE39" s="76">
        <f t="shared" ref="AE39:AE44" si="252">+SUM(CY39:DB39)</f>
        <v>1120.9665318318002</v>
      </c>
      <c r="AI39" s="23">
        <f>'QTR Raw'!C16</f>
        <v>30.12</v>
      </c>
      <c r="AJ39" s="23">
        <f>'QTR Raw'!D16</f>
        <v>40.020000000000003</v>
      </c>
      <c r="AK39" s="23">
        <f>'QTR Raw'!E16</f>
        <v>35.619999999999997</v>
      </c>
      <c r="AL39" s="23">
        <f>'QTR Raw'!F16</f>
        <v>36.21</v>
      </c>
      <c r="AM39" s="23">
        <f>'QTR Raw'!G16</f>
        <v>44.26</v>
      </c>
      <c r="AN39" s="23">
        <f>'QTR Raw'!H16</f>
        <v>65.319999999999993</v>
      </c>
      <c r="AO39" s="23">
        <f>'QTR Raw'!I16</f>
        <v>55.85</v>
      </c>
      <c r="AP39" s="23">
        <f>'QTR Raw'!J16</f>
        <v>82.41</v>
      </c>
      <c r="AQ39" s="23">
        <f>'QTR Raw'!K16</f>
        <v>67.52</v>
      </c>
      <c r="AR39" s="23">
        <f>'QTR Raw'!L16</f>
        <v>81.06</v>
      </c>
      <c r="AS39" s="23">
        <f>'QTR Raw'!M16</f>
        <v>82.91</v>
      </c>
      <c r="AT39" s="23">
        <f>'QTR Raw'!N16</f>
        <v>96.08</v>
      </c>
      <c r="AU39" s="23">
        <f>'QTR Raw'!O16</f>
        <v>87.88</v>
      </c>
      <c r="AV39" s="23">
        <f>'QTR Raw'!P16</f>
        <v>99.15</v>
      </c>
      <c r="AW39" s="23">
        <f>'QTR Raw'!Q16</f>
        <v>92.88</v>
      </c>
      <c r="AX39" s="23">
        <f>'QTR Raw'!R16</f>
        <v>78.84</v>
      </c>
      <c r="AY39" s="23">
        <f>'QTR Raw'!S16</f>
        <v>106.3</v>
      </c>
      <c r="AZ39" s="23">
        <f>'QTR Raw'!T16</f>
        <v>104.41</v>
      </c>
      <c r="BA39" s="23">
        <f>'QTR Raw'!U16</f>
        <v>95.59</v>
      </c>
      <c r="BB39" s="23">
        <f>'QTR Raw'!V16</f>
        <v>95.39</v>
      </c>
      <c r="BC39" s="23">
        <f>'QTR Raw'!W16</f>
        <v>98.72</v>
      </c>
      <c r="BD39" s="23">
        <f>'QTR Raw'!X16</f>
        <v>84.9</v>
      </c>
      <c r="BE39" s="23">
        <f>'QTR Raw'!Y16</f>
        <v>87.73</v>
      </c>
      <c r="BF39" s="23">
        <f>'QTR Raw'!Z16</f>
        <v>82.39</v>
      </c>
      <c r="BG39" s="23">
        <f>'QTR Raw'!AA16</f>
        <v>92.06</v>
      </c>
      <c r="BH39" s="23">
        <f>'QTR Raw'!AB16</f>
        <v>89.47</v>
      </c>
      <c r="BI39" s="23">
        <f>'QTR Raw'!AC16</f>
        <v>86.43</v>
      </c>
      <c r="BJ39" s="23">
        <f>'QTR Raw'!AD16</f>
        <v>95.32</v>
      </c>
      <c r="BK39" s="23">
        <f>'QTR Raw'!AE16</f>
        <v>96.91</v>
      </c>
      <c r="BL39" s="23">
        <f>'QTR Raw'!AF16</f>
        <v>104.99</v>
      </c>
      <c r="BM39" s="23">
        <f>'QTR Raw'!AG16</f>
        <v>107.64</v>
      </c>
      <c r="BN39" s="23">
        <f>'QTR Raw'!AH16</f>
        <v>117.28</v>
      </c>
      <c r="BO39" s="23">
        <f>'QTR Raw'!AI16</f>
        <v>106.29</v>
      </c>
      <c r="BP39" s="23">
        <f>'QTR Raw'!AJ16</f>
        <v>105.79</v>
      </c>
      <c r="BQ39" s="23">
        <f>'QTR Raw'!AK16</f>
        <v>105.65</v>
      </c>
      <c r="BR39" s="23">
        <f>'QTR Raw'!AL16</f>
        <v>113.81</v>
      </c>
      <c r="BS39" s="23">
        <f>'QTR Raw'!AM16</f>
        <v>110.05</v>
      </c>
      <c r="BT39" s="23">
        <f>'QTR Raw'!AN16</f>
        <v>114.66</v>
      </c>
      <c r="BU39" s="23">
        <f>'QTR Raw'!AO16</f>
        <v>116.03</v>
      </c>
      <c r="BV39" s="23">
        <f>'QTR Raw'!AP16</f>
        <v>129.57</v>
      </c>
      <c r="BW39" s="23">
        <f>'QTR Raw'!AQ16</f>
        <v>133.94999999999999</v>
      </c>
      <c r="BX39" s="23">
        <f>'QTR Raw'!AR16</f>
        <v>144.9</v>
      </c>
      <c r="BY39" s="23">
        <f>'QTR Raw'!AS16</f>
        <v>142</v>
      </c>
      <c r="BZ39" s="23">
        <f>'QTR Raw'!AT16</f>
        <v>149.13999999999999</v>
      </c>
      <c r="CA39" s="23">
        <f>'QTR Raw'!AU16</f>
        <v>150.78</v>
      </c>
      <c r="CB39" s="23">
        <f>'QTR Raw'!AV16</f>
        <v>152.47</v>
      </c>
      <c r="CC39" s="23">
        <f>'QTR Raw'!AW16</f>
        <v>151.04</v>
      </c>
      <c r="CD39" s="23">
        <f>'QTR Raw'!AX16</f>
        <v>189.41</v>
      </c>
      <c r="CE39" s="23">
        <f>'QTR Raw'!AY16</f>
        <v>212.91</v>
      </c>
      <c r="CF39" s="23">
        <f>'QTR Raw'!AZ16</f>
        <v>170.47</v>
      </c>
      <c r="CG39" s="23">
        <f>'QTR Raw'!BA16</f>
        <v>211.44</v>
      </c>
      <c r="CH39" s="23">
        <f>'QTR Raw'!BB16</f>
        <v>189.58</v>
      </c>
      <c r="CI39" s="23">
        <f>'QTR Raw'!BC16</f>
        <v>221.73</v>
      </c>
      <c r="CJ39" s="23">
        <f>'QTR Raw'!BD16</f>
        <v>186.86</v>
      </c>
      <c r="CK39" s="23">
        <f>'QTR Raw'!BE16</f>
        <v>216.04</v>
      </c>
      <c r="CL39" s="23">
        <f>'QTR Raw'!BF16</f>
        <v>230.55</v>
      </c>
      <c r="CM39" s="24">
        <f t="shared" ref="CM39:DB39" si="253">CI39*107%</f>
        <v>237.25110000000001</v>
      </c>
      <c r="CN39" s="24">
        <f t="shared" si="253"/>
        <v>199.94020000000003</v>
      </c>
      <c r="CO39" s="24">
        <f t="shared" si="253"/>
        <v>231.1628</v>
      </c>
      <c r="CP39" s="24">
        <f t="shared" si="253"/>
        <v>246.68850000000003</v>
      </c>
      <c r="CQ39" s="24">
        <f t="shared" si="253"/>
        <v>253.85867700000003</v>
      </c>
      <c r="CR39" s="24">
        <f t="shared" si="253"/>
        <v>213.93601400000006</v>
      </c>
      <c r="CS39" s="24">
        <f t="shared" si="253"/>
        <v>247.34419600000001</v>
      </c>
      <c r="CT39" s="24">
        <f t="shared" si="253"/>
        <v>263.95669500000002</v>
      </c>
      <c r="CU39" s="24">
        <f t="shared" si="253"/>
        <v>271.62878439000002</v>
      </c>
      <c r="CV39" s="24">
        <f t="shared" si="253"/>
        <v>228.91153498000008</v>
      </c>
      <c r="CW39" s="24">
        <f t="shared" si="253"/>
        <v>264.65828972000003</v>
      </c>
      <c r="CX39" s="24">
        <f t="shared" si="253"/>
        <v>282.43366365000003</v>
      </c>
      <c r="CY39" s="24">
        <f t="shared" si="253"/>
        <v>290.64279929730003</v>
      </c>
      <c r="CZ39" s="24">
        <f t="shared" si="253"/>
        <v>244.93534242860011</v>
      </c>
      <c r="DA39" s="24">
        <f t="shared" si="253"/>
        <v>283.18437000040007</v>
      </c>
      <c r="DB39" s="24">
        <f t="shared" si="253"/>
        <v>302.20402010550004</v>
      </c>
      <c r="DE39" s="123"/>
      <c r="DF39" s="23">
        <v>0</v>
      </c>
    </row>
    <row r="40" spans="1:110" s="23" customFormat="1" outlineLevel="1" x14ac:dyDescent="0.2">
      <c r="A40" s="23" t="s">
        <v>10</v>
      </c>
      <c r="B40" s="23">
        <f>'Annual Raw'!C17</f>
        <v>0</v>
      </c>
      <c r="C40" s="23">
        <f>'Annual Raw'!D17</f>
        <v>0</v>
      </c>
      <c r="D40" s="23">
        <f>'Annual Raw'!E17</f>
        <v>0</v>
      </c>
      <c r="E40" s="23">
        <f>'Annual Raw'!F17</f>
        <v>1E-3</v>
      </c>
      <c r="F40" s="23">
        <f>'Annual Raw'!G17</f>
        <v>0</v>
      </c>
      <c r="G40" s="23">
        <f>'Annual Raw'!H17</f>
        <v>0</v>
      </c>
      <c r="H40" s="23">
        <f>'Annual Raw'!I17</f>
        <v>0</v>
      </c>
      <c r="I40" s="23">
        <f>'Annual Raw'!J17</f>
        <v>7.1790000000000003</v>
      </c>
      <c r="J40" s="23">
        <f>'Annual Raw'!K17</f>
        <v>5.5415999999999999</v>
      </c>
      <c r="K40" s="23">
        <f>'Annual Raw'!L17</f>
        <v>1.83</v>
      </c>
      <c r="L40" s="23">
        <f>'Annual Raw'!M17</f>
        <v>68.23</v>
      </c>
      <c r="M40" s="23">
        <f>'Annual Raw'!N17</f>
        <v>171.77</v>
      </c>
      <c r="N40" s="23">
        <f>'Annual Raw'!O17</f>
        <v>233.93</v>
      </c>
      <c r="O40" s="23">
        <f>'Annual Raw'!P17</f>
        <v>294.39999999999998</v>
      </c>
      <c r="P40" s="23">
        <f>'Annual Raw'!Q17</f>
        <v>370.83</v>
      </c>
      <c r="Q40" s="23">
        <f>'Annual Raw'!R17</f>
        <v>351.26</v>
      </c>
      <c r="R40" s="23">
        <f>'Annual Raw'!S17</f>
        <v>325.62</v>
      </c>
      <c r="S40" s="23">
        <f>'Annual Raw'!T17</f>
        <v>250.77</v>
      </c>
      <c r="T40" s="23">
        <f>'Annual Raw'!U17</f>
        <v>222.92</v>
      </c>
      <c r="U40" s="23">
        <f>'Annual Raw'!V17</f>
        <v>461.03</v>
      </c>
      <c r="V40" s="23">
        <f>'Annual Raw'!W17</f>
        <v>287.58999999999997</v>
      </c>
      <c r="W40" s="23">
        <f>'Annual Raw'!X17</f>
        <v>239.77</v>
      </c>
      <c r="X40" s="23">
        <f>'Annual Raw'!Y17</f>
        <v>454.72</v>
      </c>
      <c r="Y40" s="23">
        <f>'Annual Raw'!Z17</f>
        <v>472.04</v>
      </c>
      <c r="Z40" s="23">
        <f>'Annual Raw'!AA17</f>
        <v>559.74</v>
      </c>
      <c r="AA40" s="23">
        <f>'Annual Raw'!AB17</f>
        <v>595.96</v>
      </c>
      <c r="AB40" s="76">
        <f t="shared" si="249"/>
        <v>0</v>
      </c>
      <c r="AC40" s="76">
        <f t="shared" si="250"/>
        <v>0</v>
      </c>
      <c r="AD40" s="76">
        <f t="shared" si="251"/>
        <v>0</v>
      </c>
      <c r="AE40" s="76">
        <f t="shared" si="252"/>
        <v>0</v>
      </c>
      <c r="AI40" s="23">
        <f>'QTR Raw'!C17</f>
        <v>0</v>
      </c>
      <c r="AJ40" s="23">
        <f>'QTR Raw'!D17</f>
        <v>0</v>
      </c>
      <c r="AK40" s="23">
        <f>'QTR Raw'!E17</f>
        <v>0</v>
      </c>
      <c r="AL40" s="23">
        <f>'QTR Raw'!F17</f>
        <v>0</v>
      </c>
      <c r="AM40" s="23">
        <f>'QTR Raw'!G17</f>
        <v>0</v>
      </c>
      <c r="AN40" s="23">
        <f>'QTR Raw'!H17</f>
        <v>0</v>
      </c>
      <c r="AO40" s="23">
        <f>'QTR Raw'!I17</f>
        <v>0</v>
      </c>
      <c r="AP40" s="23">
        <f>'QTR Raw'!J17</f>
        <v>0</v>
      </c>
      <c r="AQ40" s="23">
        <f>'QTR Raw'!K17</f>
        <v>0</v>
      </c>
      <c r="AR40" s="23">
        <f>'QTR Raw'!L17</f>
        <v>0</v>
      </c>
      <c r="AS40" s="23">
        <f>'QTR Raw'!M17</f>
        <v>0</v>
      </c>
      <c r="AT40" s="23">
        <f>'QTR Raw'!N17</f>
        <v>0</v>
      </c>
      <c r="AU40" s="23">
        <f>'QTR Raw'!O17</f>
        <v>0</v>
      </c>
      <c r="AV40" s="23">
        <f>'QTR Raw'!P17</f>
        <v>0</v>
      </c>
      <c r="AW40" s="23">
        <f>'QTR Raw'!Q17</f>
        <v>0</v>
      </c>
      <c r="AX40" s="23">
        <f>'QTR Raw'!R17</f>
        <v>0</v>
      </c>
      <c r="AY40" s="23">
        <f>'QTR Raw'!S17</f>
        <v>0</v>
      </c>
      <c r="AZ40" s="23">
        <f>'QTR Raw'!T17</f>
        <v>0</v>
      </c>
      <c r="BA40" s="23">
        <f>'QTR Raw'!U17</f>
        <v>0</v>
      </c>
      <c r="BB40" s="23">
        <f>'QTR Raw'!V17</f>
        <v>0</v>
      </c>
      <c r="BC40" s="23">
        <f>'QTR Raw'!W17</f>
        <v>0</v>
      </c>
      <c r="BD40" s="23">
        <f>'QTR Raw'!X17</f>
        <v>0</v>
      </c>
      <c r="BE40" s="23">
        <f>'QTR Raw'!Y17</f>
        <v>0</v>
      </c>
      <c r="BF40" s="23">
        <f>'QTR Raw'!Z17</f>
        <v>0</v>
      </c>
      <c r="BG40" s="23">
        <f>'QTR Raw'!AA17</f>
        <v>0</v>
      </c>
      <c r="BH40" s="23">
        <f>'QTR Raw'!AB17</f>
        <v>0</v>
      </c>
      <c r="BI40" s="23">
        <f>'QTR Raw'!AC17</f>
        <v>0</v>
      </c>
      <c r="BJ40" s="23">
        <f>'QTR Raw'!AD17</f>
        <v>0</v>
      </c>
      <c r="BK40" s="23">
        <f>'QTR Raw'!AE17</f>
        <v>0</v>
      </c>
      <c r="BL40" s="23">
        <f>'QTR Raw'!AF17</f>
        <v>0</v>
      </c>
      <c r="BM40" s="23">
        <f>'QTR Raw'!AG17</f>
        <v>0</v>
      </c>
      <c r="BN40" s="23">
        <f>'QTR Raw'!AH17</f>
        <v>0</v>
      </c>
      <c r="BO40" s="23">
        <f>'QTR Raw'!AI17</f>
        <v>0</v>
      </c>
      <c r="BP40" s="23">
        <f>'QTR Raw'!AJ17</f>
        <v>0</v>
      </c>
      <c r="BQ40" s="23">
        <f>'QTR Raw'!AK17</f>
        <v>0</v>
      </c>
      <c r="BR40" s="23">
        <f>'QTR Raw'!AL17</f>
        <v>0</v>
      </c>
      <c r="BS40" s="23">
        <f>'QTR Raw'!AM17</f>
        <v>0</v>
      </c>
      <c r="BT40" s="23">
        <f>'QTR Raw'!AN17</f>
        <v>0</v>
      </c>
      <c r="BU40" s="23">
        <f>'QTR Raw'!AO17</f>
        <v>0</v>
      </c>
      <c r="BV40" s="23">
        <f>'QTR Raw'!AP17</f>
        <v>0</v>
      </c>
      <c r="BW40" s="23">
        <f>'QTR Raw'!AQ17</f>
        <v>0</v>
      </c>
      <c r="BX40" s="23">
        <f>'QTR Raw'!AR17</f>
        <v>0</v>
      </c>
      <c r="BY40" s="23">
        <f>'QTR Raw'!AS17</f>
        <v>0</v>
      </c>
      <c r="BZ40" s="23">
        <f>'QTR Raw'!AT17</f>
        <v>0</v>
      </c>
      <c r="CA40" s="23">
        <f>'QTR Raw'!AU17</f>
        <v>0</v>
      </c>
      <c r="CB40" s="23">
        <f>'QTR Raw'!AV17</f>
        <v>0</v>
      </c>
      <c r="CC40" s="23">
        <f>'QTR Raw'!AW17</f>
        <v>0</v>
      </c>
      <c r="CD40" s="23">
        <f>'QTR Raw'!AX17</f>
        <v>0</v>
      </c>
      <c r="CE40" s="23">
        <f>'QTR Raw'!AY17</f>
        <v>0</v>
      </c>
      <c r="CF40" s="23">
        <f>'QTR Raw'!AZ17</f>
        <v>0</v>
      </c>
      <c r="CG40" s="23">
        <f>'QTR Raw'!BA17</f>
        <v>0</v>
      </c>
      <c r="CH40" s="23">
        <f>'QTR Raw'!BB17</f>
        <v>0</v>
      </c>
      <c r="CI40" s="23">
        <f>'QTR Raw'!BC17</f>
        <v>0</v>
      </c>
      <c r="CJ40" s="23">
        <f>'QTR Raw'!BD17</f>
        <v>0</v>
      </c>
      <c r="CK40" s="23">
        <f>'QTR Raw'!BE17</f>
        <v>0</v>
      </c>
      <c r="CL40" s="23">
        <f>'QTR Raw'!BF17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3" customFormat="1" outlineLevel="1" x14ac:dyDescent="0.2">
      <c r="A41" s="23" t="s">
        <v>12</v>
      </c>
      <c r="B41" s="23">
        <f>'Annual Raw'!C19-'Annual Raw'!C20</f>
        <v>0</v>
      </c>
      <c r="C41" s="23">
        <f>'Annual Raw'!D19-'Annual Raw'!D20</f>
        <v>0</v>
      </c>
      <c r="D41" s="23">
        <f>'Annual Raw'!E19-'Annual Raw'!E20</f>
        <v>0</v>
      </c>
      <c r="E41" s="23">
        <f>'Annual Raw'!F19-'Annual Raw'!F20</f>
        <v>0</v>
      </c>
      <c r="F41" s="23">
        <f>'Annual Raw'!G19-'Annual Raw'!G20</f>
        <v>0</v>
      </c>
      <c r="G41" s="23">
        <f>'Annual Raw'!H19-'Annual Raw'!H20</f>
        <v>0</v>
      </c>
      <c r="H41" s="23">
        <f>'Annual Raw'!I19-'Annual Raw'!I20</f>
        <v>0</v>
      </c>
      <c r="I41" s="23">
        <f>'Annual Raw'!J19-'Annual Raw'!J20</f>
        <v>0</v>
      </c>
      <c r="J41" s="23">
        <f>'Annual Raw'!K19-'Annual Raw'!K20</f>
        <v>0</v>
      </c>
      <c r="K41" s="23">
        <f>'Annual Raw'!L19-'Annual Raw'!L20</f>
        <v>1.63</v>
      </c>
      <c r="L41" s="23">
        <f>'Annual Raw'!M19-'Annual Raw'!M20</f>
        <v>14.87</v>
      </c>
      <c r="M41" s="23">
        <f>'Annual Raw'!N19-'Annual Raw'!N20</f>
        <v>195.44</v>
      </c>
      <c r="N41" s="23">
        <f>'Annual Raw'!O19-'Annual Raw'!O20</f>
        <v>171.78</v>
      </c>
      <c r="O41" s="23">
        <f>'Annual Raw'!P19-'Annual Raw'!P20</f>
        <v>108.13</v>
      </c>
      <c r="P41" s="23">
        <f>'Annual Raw'!Q19-'Annual Raw'!Q20</f>
        <v>129.44</v>
      </c>
      <c r="Q41" s="23">
        <f>'Annual Raw'!R19-'Annual Raw'!R20</f>
        <v>94.8</v>
      </c>
      <c r="R41" s="23">
        <f>'Annual Raw'!S19-'Annual Raw'!S20</f>
        <v>85.09</v>
      </c>
      <c r="S41" s="23">
        <f>'Annual Raw'!T19-'Annual Raw'!T20</f>
        <v>237.09</v>
      </c>
      <c r="T41" s="23">
        <f>'Annual Raw'!U19-'Annual Raw'!U20</f>
        <v>711.11</v>
      </c>
      <c r="U41" s="23">
        <f>'Annual Raw'!V19-'Annual Raw'!V20</f>
        <v>455.41</v>
      </c>
      <c r="V41" s="23">
        <f>'Annual Raw'!W19-'Annual Raw'!W20</f>
        <v>220.6</v>
      </c>
      <c r="W41" s="23">
        <f>'Annual Raw'!X19-'Annual Raw'!X20</f>
        <v>363.74</v>
      </c>
      <c r="X41" s="23">
        <f>'Annual Raw'!Y19-'Annual Raw'!Y20</f>
        <v>515.41</v>
      </c>
      <c r="Y41" s="23">
        <f>'Annual Raw'!Z19-'Annual Raw'!Z20</f>
        <v>762.08</v>
      </c>
      <c r="Z41" s="23">
        <f>'Annual Raw'!AA19-'Annual Raw'!AA20</f>
        <v>1063.1500000000001</v>
      </c>
      <c r="AA41" s="23">
        <f>'Annual Raw'!AB19-'Annual Raw'!AB20</f>
        <v>1262.18</v>
      </c>
      <c r="AB41" s="76">
        <f t="shared" si="249"/>
        <v>0</v>
      </c>
      <c r="AC41" s="76">
        <f t="shared" si="250"/>
        <v>0</v>
      </c>
      <c r="AD41" s="76">
        <f t="shared" si="251"/>
        <v>0</v>
      </c>
      <c r="AE41" s="76">
        <f t="shared" si="252"/>
        <v>0</v>
      </c>
      <c r="AI41" s="23">
        <f>+'QTR Raw'!C21</f>
        <v>0</v>
      </c>
      <c r="AJ41" s="23">
        <f>+'QTR Raw'!D21</f>
        <v>0</v>
      </c>
      <c r="AK41" s="23">
        <f>+'QTR Raw'!E21</f>
        <v>0</v>
      </c>
      <c r="AL41" s="23">
        <f>+'QTR Raw'!F21</f>
        <v>0</v>
      </c>
      <c r="AM41" s="23">
        <f>+'QTR Raw'!G21</f>
        <v>0</v>
      </c>
      <c r="AN41" s="23">
        <f>+'QTR Raw'!H21</f>
        <v>0</v>
      </c>
      <c r="AO41" s="23">
        <f>+'QTR Raw'!I21</f>
        <v>0</v>
      </c>
      <c r="AP41" s="23">
        <f>+'QTR Raw'!J21</f>
        <v>0</v>
      </c>
      <c r="AQ41" s="23">
        <f>+'QTR Raw'!K21</f>
        <v>0</v>
      </c>
      <c r="AR41" s="23">
        <f>+'QTR Raw'!L21</f>
        <v>0</v>
      </c>
      <c r="AS41" s="23">
        <f>+'QTR Raw'!M21</f>
        <v>0</v>
      </c>
      <c r="AT41" s="23">
        <f>+'QTR Raw'!N21</f>
        <v>0</v>
      </c>
      <c r="AU41" s="23">
        <f>+'QTR Raw'!O21</f>
        <v>0</v>
      </c>
      <c r="AV41" s="23">
        <f>+'QTR Raw'!P21</f>
        <v>0</v>
      </c>
      <c r="AW41" s="23">
        <f>+'QTR Raw'!Q21</f>
        <v>0</v>
      </c>
      <c r="AX41" s="23">
        <f>+'QTR Raw'!R21</f>
        <v>0</v>
      </c>
      <c r="AY41" s="23">
        <f>+'QTR Raw'!S21</f>
        <v>0</v>
      </c>
      <c r="AZ41" s="23">
        <f>+'QTR Raw'!T21</f>
        <v>0</v>
      </c>
      <c r="BA41" s="23">
        <f>+'QTR Raw'!U21</f>
        <v>0</v>
      </c>
      <c r="BB41" s="23">
        <f>+'QTR Raw'!V21</f>
        <v>0</v>
      </c>
      <c r="BC41" s="23">
        <f>+'QTR Raw'!W21</f>
        <v>0</v>
      </c>
      <c r="BD41" s="23">
        <f>+'QTR Raw'!X21</f>
        <v>0</v>
      </c>
      <c r="BE41" s="23">
        <f>+'QTR Raw'!Y21</f>
        <v>0</v>
      </c>
      <c r="BF41" s="23">
        <f>+'QTR Raw'!Z21</f>
        <v>0</v>
      </c>
      <c r="BG41" s="23">
        <f>+'QTR Raw'!AA21</f>
        <v>0</v>
      </c>
      <c r="BH41" s="23">
        <f>+'QTR Raw'!AB21</f>
        <v>0</v>
      </c>
      <c r="BI41" s="23">
        <f>+'QTR Raw'!AC21</f>
        <v>0</v>
      </c>
      <c r="BJ41" s="23">
        <f>+'QTR Raw'!AD21</f>
        <v>0</v>
      </c>
      <c r="BK41" s="23">
        <f>+'QTR Raw'!AE21</f>
        <v>0</v>
      </c>
      <c r="BL41" s="23">
        <f>+'QTR Raw'!AF21</f>
        <v>0</v>
      </c>
      <c r="BM41" s="23">
        <f>+'QTR Raw'!AG21</f>
        <v>0</v>
      </c>
      <c r="BN41" s="23">
        <f>+'QTR Raw'!AH21</f>
        <v>0</v>
      </c>
      <c r="BO41" s="23">
        <f>+'QTR Raw'!AI21</f>
        <v>0</v>
      </c>
      <c r="BP41" s="23">
        <f>+'QTR Raw'!AJ21</f>
        <v>0</v>
      </c>
      <c r="BQ41" s="23">
        <f>+'QTR Raw'!AK21</f>
        <v>0</v>
      </c>
      <c r="BR41" s="23">
        <f>+'QTR Raw'!AL21</f>
        <v>0</v>
      </c>
      <c r="BS41" s="23">
        <f>+'QTR Raw'!AM21</f>
        <v>0</v>
      </c>
      <c r="BT41" s="23">
        <f>+'QTR Raw'!AN21</f>
        <v>0</v>
      </c>
      <c r="BU41" s="23">
        <f>+'QTR Raw'!AO21</f>
        <v>0</v>
      </c>
      <c r="BV41" s="23">
        <f>+'QTR Raw'!AP21</f>
        <v>0</v>
      </c>
      <c r="BW41" s="23">
        <f>+'QTR Raw'!AQ21</f>
        <v>0</v>
      </c>
      <c r="BX41" s="23">
        <f>+'QTR Raw'!AR21</f>
        <v>0</v>
      </c>
      <c r="BY41" s="23">
        <f>+'QTR Raw'!AS21</f>
        <v>0</v>
      </c>
      <c r="BZ41" s="23">
        <f>+'QTR Raw'!AT21</f>
        <v>0</v>
      </c>
      <c r="CA41" s="23">
        <f>+'QTR Raw'!AU21</f>
        <v>0</v>
      </c>
      <c r="CB41" s="23">
        <f>+'QTR Raw'!AV21</f>
        <v>0</v>
      </c>
      <c r="CC41" s="23">
        <f>+'QTR Raw'!AW21</f>
        <v>0</v>
      </c>
      <c r="CD41" s="23">
        <f>+'QTR Raw'!AX21</f>
        <v>0</v>
      </c>
      <c r="CE41" s="23">
        <f>+'QTR Raw'!AY21</f>
        <v>0</v>
      </c>
      <c r="CF41" s="23">
        <f>+'QTR Raw'!AZ21</f>
        <v>0</v>
      </c>
      <c r="CG41" s="23">
        <f>+'QTR Raw'!BA21</f>
        <v>0</v>
      </c>
      <c r="CH41" s="23">
        <f>+'QTR Raw'!BB21</f>
        <v>0</v>
      </c>
      <c r="CI41" s="23">
        <f>+'QTR Raw'!BC21</f>
        <v>0</v>
      </c>
      <c r="CJ41" s="23">
        <f>+'QTR Raw'!BD21</f>
        <v>0</v>
      </c>
      <c r="CK41" s="23">
        <f>+'QTR Raw'!BE21</f>
        <v>0</v>
      </c>
      <c r="CL41" s="23">
        <f>+'QTR Raw'!BF21</f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0</v>
      </c>
    </row>
    <row r="42" spans="1:110" s="23" customFormat="1" outlineLevel="1" x14ac:dyDescent="0.2">
      <c r="A42" s="23" t="s">
        <v>9</v>
      </c>
      <c r="B42" s="23">
        <f>'Annual Raw'!C15+'Annual Raw'!C16</f>
        <v>0</v>
      </c>
      <c r="C42" s="23">
        <f>'Annual Raw'!D15+'Annual Raw'!D16</f>
        <v>0</v>
      </c>
      <c r="D42" s="23">
        <f>'Annual Raw'!E15+'Annual Raw'!E16</f>
        <v>0</v>
      </c>
      <c r="E42" s="23">
        <f>'Annual Raw'!F15+'Annual Raw'!F16</f>
        <v>0</v>
      </c>
      <c r="F42" s="23">
        <f>'Annual Raw'!G15+'Annual Raw'!G16</f>
        <v>0</v>
      </c>
      <c r="G42" s="23">
        <f>'Annual Raw'!H15+'Annual Raw'!H16</f>
        <v>0</v>
      </c>
      <c r="H42" s="23">
        <f>'Annual Raw'!I15+'Annual Raw'!I16</f>
        <v>0</v>
      </c>
      <c r="I42" s="23">
        <f>'Annual Raw'!J15+'Annual Raw'!J16</f>
        <v>0</v>
      </c>
      <c r="J42" s="23">
        <f>'Annual Raw'!K15+'Annual Raw'!K16</f>
        <v>0</v>
      </c>
      <c r="K42" s="23">
        <f>'Annual Raw'!L15+'Annual Raw'!L16</f>
        <v>0.4</v>
      </c>
      <c r="L42" s="23">
        <f>'Annual Raw'!M15+'Annual Raw'!M16</f>
        <v>17.72</v>
      </c>
      <c r="M42" s="23">
        <f>'Annual Raw'!N15+'Annual Raw'!N16</f>
        <v>59.7</v>
      </c>
      <c r="N42" s="23">
        <f>'Annual Raw'!O15+'Annual Raw'!O16</f>
        <v>127</v>
      </c>
      <c r="O42" s="23">
        <f>'Annual Raw'!P15+'Annual Raw'!P16</f>
        <v>191.54</v>
      </c>
      <c r="P42" s="23">
        <f>'Annual Raw'!Q15+'Annual Raw'!Q16</f>
        <v>327</v>
      </c>
      <c r="Q42" s="23">
        <f>'Annual Raw'!R15+'Annual Raw'!R16</f>
        <v>456.52</v>
      </c>
      <c r="R42" s="23">
        <f>'Annual Raw'!S15+'Annual Raw'!S16</f>
        <v>472.11</v>
      </c>
      <c r="S42" s="23">
        <f>'Annual Raw'!T15+'Annual Raw'!T16</f>
        <v>480.37</v>
      </c>
      <c r="T42" s="23">
        <f>'Annual Raw'!U15+'Annual Raw'!U16</f>
        <v>433.39</v>
      </c>
      <c r="U42" s="23">
        <f>'Annual Raw'!V15+'Annual Raw'!V16</f>
        <v>769.85</v>
      </c>
      <c r="V42" s="23">
        <f>'Annual Raw'!W15+'Annual Raw'!W16</f>
        <v>802.47</v>
      </c>
      <c r="W42" s="23">
        <f>'Annual Raw'!X15+'Annual Raw'!X16</f>
        <v>872.66</v>
      </c>
      <c r="X42" s="23">
        <f>'Annual Raw'!Y15+'Annual Raw'!Y16</f>
        <v>973.92</v>
      </c>
      <c r="Y42" s="23">
        <f>'Annual Raw'!Z15+'Annual Raw'!Z16</f>
        <v>1113.8399999999999</v>
      </c>
      <c r="Z42" s="23">
        <f>'Annual Raw'!AA15+'Annual Raw'!AA16</f>
        <v>1401.03</v>
      </c>
      <c r="AA42" s="23">
        <f>'Annual Raw'!AB15+'Annual Raw'!AB16</f>
        <v>1785.99</v>
      </c>
      <c r="AB42" s="76">
        <f t="shared" si="249"/>
        <v>37561.780630090791</v>
      </c>
      <c r="AC42" s="76">
        <f t="shared" si="250"/>
        <v>43781.060273111158</v>
      </c>
      <c r="AD42" s="76">
        <f t="shared" si="251"/>
        <v>51486.659944755149</v>
      </c>
      <c r="AE42" s="76">
        <f t="shared" si="252"/>
        <v>63676.837114000926</v>
      </c>
      <c r="AI42" s="23">
        <f>'QTR Raw'!C14</f>
        <v>137.37</v>
      </c>
      <c r="AJ42" s="23">
        <f>'QTR Raw'!D14</f>
        <v>179.01</v>
      </c>
      <c r="AK42" s="23">
        <f>'QTR Raw'!E14</f>
        <v>157.97999999999999</v>
      </c>
      <c r="AL42" s="23">
        <f>'QTR Raw'!F14</f>
        <v>170.59</v>
      </c>
      <c r="AM42" s="23">
        <f>'QTR Raw'!G14</f>
        <v>184.79</v>
      </c>
      <c r="AN42" s="23">
        <f>'QTR Raw'!H14</f>
        <v>184.48</v>
      </c>
      <c r="AO42" s="23">
        <f>'QTR Raw'!I14</f>
        <v>300.88</v>
      </c>
      <c r="AP42" s="23">
        <f>'QTR Raw'!J14</f>
        <v>377.33</v>
      </c>
      <c r="AQ42" s="23">
        <f>'QTR Raw'!K14</f>
        <v>322.98</v>
      </c>
      <c r="AR42" s="23">
        <f>'QTR Raw'!L14</f>
        <v>332.08</v>
      </c>
      <c r="AS42" s="23">
        <f>'QTR Raw'!M14</f>
        <v>369.16</v>
      </c>
      <c r="AT42" s="23">
        <f>'QTR Raw'!N14</f>
        <v>424.35</v>
      </c>
      <c r="AU42" s="23">
        <f>'QTR Raw'!O14</f>
        <v>422.28</v>
      </c>
      <c r="AV42" s="23">
        <f>'QTR Raw'!P14</f>
        <v>329.57</v>
      </c>
      <c r="AW42" s="23">
        <f>'QTR Raw'!Q14</f>
        <v>317.95999999999998</v>
      </c>
      <c r="AX42" s="23">
        <f>'QTR Raw'!R14</f>
        <v>385.62</v>
      </c>
      <c r="AY42" s="23">
        <f>'QTR Raw'!S14</f>
        <v>411.23</v>
      </c>
      <c r="AZ42" s="23">
        <f>'QTR Raw'!T14</f>
        <v>370.34</v>
      </c>
      <c r="BA42" s="23">
        <f>'QTR Raw'!U14</f>
        <v>330.28</v>
      </c>
      <c r="BB42" s="23">
        <f>'QTR Raw'!V14</f>
        <v>421.79</v>
      </c>
      <c r="BC42" s="23">
        <f>'QTR Raw'!W14</f>
        <v>397.71</v>
      </c>
      <c r="BD42" s="23">
        <f>'QTR Raw'!X14</f>
        <v>355.36</v>
      </c>
      <c r="BE42" s="23">
        <f>'QTR Raw'!Y14</f>
        <v>473.02</v>
      </c>
      <c r="BF42" s="23">
        <f>'QTR Raw'!Z14</f>
        <v>453.69</v>
      </c>
      <c r="BG42" s="23">
        <f>'QTR Raw'!AA14</f>
        <v>399.4</v>
      </c>
      <c r="BH42" s="23">
        <f>'QTR Raw'!AB14</f>
        <v>537.44000000000005</v>
      </c>
      <c r="BI42" s="23">
        <f>'QTR Raw'!AC14</f>
        <v>326.64999999999998</v>
      </c>
      <c r="BJ42" s="23">
        <f>'QTR Raw'!AD14</f>
        <v>544.39</v>
      </c>
      <c r="BK42" s="23">
        <f>'QTR Raw'!AE14</f>
        <v>313.27999999999997</v>
      </c>
      <c r="BL42" s="23">
        <f>'QTR Raw'!AF14</f>
        <v>534.27</v>
      </c>
      <c r="BM42" s="23">
        <f>'QTR Raw'!AG14</f>
        <v>514.62</v>
      </c>
      <c r="BN42" s="23">
        <f>'QTR Raw'!AH14</f>
        <v>945.94</v>
      </c>
      <c r="BO42" s="23">
        <f>'QTR Raw'!AI14</f>
        <v>419.07</v>
      </c>
      <c r="BP42" s="23">
        <f>'QTR Raw'!AJ14</f>
        <v>435.73</v>
      </c>
      <c r="BQ42" s="23">
        <f>'QTR Raw'!AK14</f>
        <v>539.71</v>
      </c>
      <c r="BR42" s="23">
        <f>'QTR Raw'!AL14</f>
        <v>580.46</v>
      </c>
      <c r="BS42" s="23">
        <f>'QTR Raw'!AM14</f>
        <v>452.52</v>
      </c>
      <c r="BT42" s="23">
        <f>'QTR Raw'!AN14</f>
        <v>503.71</v>
      </c>
      <c r="BU42" s="23">
        <f>'QTR Raw'!AO14</f>
        <v>484.23</v>
      </c>
      <c r="BV42" s="23">
        <f>'QTR Raw'!AP14</f>
        <v>678.48</v>
      </c>
      <c r="BW42" s="23">
        <f>'QTR Raw'!AQ14</f>
        <v>674.54</v>
      </c>
      <c r="BX42" s="23">
        <f>'QTR Raw'!AR14</f>
        <v>620.44000000000005</v>
      </c>
      <c r="BY42" s="23">
        <f>'QTR Raw'!AS14</f>
        <v>590.07000000000005</v>
      </c>
      <c r="BZ42" s="23">
        <f>'QTR Raw'!AT14</f>
        <v>578.61</v>
      </c>
      <c r="CA42" s="23">
        <f>'QTR Raw'!AU14</f>
        <v>554.79</v>
      </c>
      <c r="CB42" s="23">
        <f>'QTR Raw'!AV14</f>
        <v>875.77</v>
      </c>
      <c r="CC42" s="23">
        <f>'QTR Raw'!AW14</f>
        <v>577.16999999999996</v>
      </c>
      <c r="CD42" s="23">
        <f>'QTR Raw'!AX14</f>
        <v>844.22</v>
      </c>
      <c r="CE42" s="23">
        <f>'QTR Raw'!AY14</f>
        <v>639.46</v>
      </c>
      <c r="CF42" s="23">
        <f>'QTR Raw'!AZ14</f>
        <v>779.12</v>
      </c>
      <c r="CG42" s="23">
        <f>'QTR Raw'!BA14</f>
        <v>903.43</v>
      </c>
      <c r="CH42" s="23">
        <f>'QTR Raw'!BB14</f>
        <v>1161</v>
      </c>
      <c r="CI42" s="23">
        <f>'QTR Raw'!BC14</f>
        <v>883.33</v>
      </c>
      <c r="CJ42" s="23">
        <f>'QTR Raw'!BD14</f>
        <v>903.46</v>
      </c>
      <c r="CK42" s="23">
        <f>'QTR Raw'!BE14</f>
        <v>1197.1500000000001</v>
      </c>
      <c r="CL42" s="23">
        <f>'QTR Raw'!BF14</f>
        <v>1217.6099999999999</v>
      </c>
      <c r="CM42" s="24">
        <f t="shared" ref="CM42:DB42" si="254">CM45-CM39-CM40-CM41-CM43-CM44</f>
        <v>9314.2216056392481</v>
      </c>
      <c r="CN42" s="24">
        <f t="shared" si="254"/>
        <v>8802.9663298244905</v>
      </c>
      <c r="CO42" s="24">
        <f t="shared" si="254"/>
        <v>8836.5159421211156</v>
      </c>
      <c r="CP42" s="24">
        <f t="shared" si="254"/>
        <v>10608.076752505936</v>
      </c>
      <c r="CQ42" s="24">
        <f t="shared" si="254"/>
        <v>9930.3498604020333</v>
      </c>
      <c r="CR42" s="24">
        <f t="shared" si="254"/>
        <v>10231.679677561049</v>
      </c>
      <c r="CS42" s="24">
        <f t="shared" si="254"/>
        <v>10727.767268260124</v>
      </c>
      <c r="CT42" s="24">
        <f t="shared" si="254"/>
        <v>12891.263466887947</v>
      </c>
      <c r="CU42" s="24">
        <f t="shared" si="254"/>
        <v>11574.814098307454</v>
      </c>
      <c r="CV42" s="24">
        <f t="shared" si="254"/>
        <v>11727.3676628828</v>
      </c>
      <c r="CW42" s="24">
        <f t="shared" si="254"/>
        <v>12750.298844835717</v>
      </c>
      <c r="CX42" s="24">
        <f t="shared" si="254"/>
        <v>15434.179338729175</v>
      </c>
      <c r="CY42" s="24">
        <f t="shared" si="254"/>
        <v>13976.314493555285</v>
      </c>
      <c r="CZ42" s="24">
        <f t="shared" si="254"/>
        <v>14766.853365088009</v>
      </c>
      <c r="DA42" s="24">
        <f t="shared" si="254"/>
        <v>15521.353837968374</v>
      </c>
      <c r="DB42" s="24">
        <f t="shared" si="254"/>
        <v>19412.315417389254</v>
      </c>
      <c r="DE42" s="123"/>
      <c r="DF42" s="23">
        <v>0</v>
      </c>
    </row>
    <row r="43" spans="1:110" s="23" customFormat="1" outlineLevel="1" x14ac:dyDescent="0.2">
      <c r="A43" s="23" t="s">
        <v>7</v>
      </c>
      <c r="B43" s="23">
        <f>'Annual Raw'!C13</f>
        <v>0</v>
      </c>
      <c r="C43" s="23">
        <f>'Annual Raw'!D13</f>
        <v>0</v>
      </c>
      <c r="D43" s="23">
        <f>'Annual Raw'!E13</f>
        <v>0</v>
      </c>
      <c r="E43" s="23">
        <f>'Annual Raw'!F13</f>
        <v>0</v>
      </c>
      <c r="F43" s="23">
        <f>'Annual Raw'!G13</f>
        <v>0</v>
      </c>
      <c r="G43" s="23">
        <f>'Annual Raw'!H13</f>
        <v>0</v>
      </c>
      <c r="H43" s="23">
        <f>'Annual Raw'!I13</f>
        <v>0</v>
      </c>
      <c r="I43" s="23">
        <f>'Annual Raw'!J13</f>
        <v>0</v>
      </c>
      <c r="J43" s="23">
        <f>'Annual Raw'!K13</f>
        <v>0</v>
      </c>
      <c r="K43" s="23">
        <f>'Annual Raw'!L13</f>
        <v>174.77</v>
      </c>
      <c r="L43" s="23">
        <f>'Annual Raw'!M13</f>
        <v>724.05</v>
      </c>
      <c r="M43" s="23">
        <f>'Annual Raw'!N13</f>
        <v>2219.86</v>
      </c>
      <c r="N43" s="23">
        <f>'Annual Raw'!O13</f>
        <v>5050.75</v>
      </c>
      <c r="O43" s="23">
        <f>'Annual Raw'!P13</f>
        <v>9905.74</v>
      </c>
      <c r="P43" s="23">
        <f>'Annual Raw'!Q13</f>
        <v>12412.33</v>
      </c>
      <c r="Q43" s="23">
        <f>'Annual Raw'!R13</f>
        <v>15313.87</v>
      </c>
      <c r="R43" s="23">
        <f>'Annual Raw'!S13</f>
        <v>15400.15</v>
      </c>
      <c r="S43" s="23">
        <f>'Annual Raw'!T13</f>
        <v>13581.43</v>
      </c>
      <c r="T43" s="23">
        <f>'Annual Raw'!U13</f>
        <v>17199.650000000001</v>
      </c>
      <c r="U43" s="23">
        <f>'Annual Raw'!V13</f>
        <v>18669.310000000001</v>
      </c>
      <c r="V43" s="23">
        <f>'Annual Raw'!W13</f>
        <v>15810.76</v>
      </c>
      <c r="W43" s="23">
        <f>'Annual Raw'!X13</f>
        <v>15950.54</v>
      </c>
      <c r="X43" s="23">
        <f>'Annual Raw'!Y13</f>
        <v>26214.6</v>
      </c>
      <c r="Y43" s="23">
        <f>'Annual Raw'!Z13</f>
        <v>29178.89</v>
      </c>
      <c r="Z43" s="23">
        <f>'Annual Raw'!AA13</f>
        <v>31089.33</v>
      </c>
      <c r="AA43" s="23">
        <f>'Annual Raw'!AB13</f>
        <v>29935.1</v>
      </c>
      <c r="AB43" s="76">
        <f t="shared" si="249"/>
        <v>0</v>
      </c>
      <c r="AC43" s="76">
        <f t="shared" si="250"/>
        <v>0</v>
      </c>
      <c r="AD43" s="76">
        <f t="shared" si="251"/>
        <v>0</v>
      </c>
      <c r="AE43" s="76">
        <f t="shared" si="252"/>
        <v>0</v>
      </c>
      <c r="AI43" s="23">
        <f>'QTR Raw'!C15</f>
        <v>1189.1500000000001</v>
      </c>
      <c r="AJ43" s="23">
        <f>'QTR Raw'!D15</f>
        <v>1108.3399999999999</v>
      </c>
      <c r="AK43" s="23">
        <f>'QTR Raw'!E15</f>
        <v>1312.26</v>
      </c>
      <c r="AL43" s="23">
        <f>'QTR Raw'!F15</f>
        <v>1314.45</v>
      </c>
      <c r="AM43" s="23">
        <f>'QTR Raw'!G15</f>
        <v>1786.3</v>
      </c>
      <c r="AN43" s="23">
        <f>'QTR Raw'!H15</f>
        <v>2071.16</v>
      </c>
      <c r="AO43" s="23">
        <f>'QTR Raw'!I15</f>
        <v>2524.77</v>
      </c>
      <c r="AP43" s="23">
        <f>'QTR Raw'!J15</f>
        <v>2785.24</v>
      </c>
      <c r="AQ43" s="23">
        <f>'QTR Raw'!K15</f>
        <v>3142.45</v>
      </c>
      <c r="AR43" s="23">
        <f>'QTR Raw'!L15</f>
        <v>2506.02</v>
      </c>
      <c r="AS43" s="23">
        <f>'QTR Raw'!M15</f>
        <v>3188.22</v>
      </c>
      <c r="AT43" s="23">
        <f>'QTR Raw'!N15</f>
        <v>2777.01</v>
      </c>
      <c r="AU43" s="23">
        <f>'QTR Raw'!O15</f>
        <v>3739.63</v>
      </c>
      <c r="AV43" s="23">
        <f>'QTR Raw'!P15</f>
        <v>3522.17</v>
      </c>
      <c r="AW43" s="23">
        <f>'QTR Raw'!Q15</f>
        <v>3769.64</v>
      </c>
      <c r="AX43" s="23">
        <f>'QTR Raw'!R15</f>
        <v>3694.87</v>
      </c>
      <c r="AY43" s="23">
        <f>'QTR Raw'!S15</f>
        <v>3119.5</v>
      </c>
      <c r="AZ43" s="23">
        <f>'QTR Raw'!T15</f>
        <v>3461.67</v>
      </c>
      <c r="BA43" s="23">
        <f>'QTR Raw'!U15</f>
        <v>3679.25</v>
      </c>
      <c r="BB43" s="23">
        <f>'QTR Raw'!V15</f>
        <v>4363.1899999999996</v>
      </c>
      <c r="BC43" s="23">
        <f>'QTR Raw'!W15</f>
        <v>3404.45</v>
      </c>
      <c r="BD43" s="23">
        <f>'QTR Raw'!X15</f>
        <v>3508.85</v>
      </c>
      <c r="BE43" s="23">
        <f>'QTR Raw'!Y15</f>
        <v>3493.37</v>
      </c>
      <c r="BF43" s="23">
        <f>'QTR Raw'!Z15</f>
        <v>2125.2800000000002</v>
      </c>
      <c r="BG43" s="23">
        <f>'QTR Raw'!AA15</f>
        <v>2113.79</v>
      </c>
      <c r="BH43" s="23">
        <f>'QTR Raw'!AB15</f>
        <v>3987.43</v>
      </c>
      <c r="BI43" s="23">
        <f>'QTR Raw'!AC15</f>
        <v>4864.55</v>
      </c>
      <c r="BJ43" s="23">
        <f>'QTR Raw'!AD15</f>
        <v>4983.51</v>
      </c>
      <c r="BK43" s="23">
        <f>'QTR Raw'!AE15</f>
        <v>4707.5600000000004</v>
      </c>
      <c r="BL43" s="23">
        <f>'QTR Raw'!AF15</f>
        <v>3926.39</v>
      </c>
      <c r="BM43" s="23">
        <f>'QTR Raw'!AG15</f>
        <v>4458.29</v>
      </c>
      <c r="BN43" s="23">
        <f>'QTR Raw'!AH15</f>
        <v>4488.1499999999996</v>
      </c>
      <c r="BO43" s="23">
        <f>'QTR Raw'!AI15</f>
        <v>3288.46</v>
      </c>
      <c r="BP43" s="23">
        <f>'QTR Raw'!AJ15</f>
        <v>3161.81</v>
      </c>
      <c r="BQ43" s="23">
        <f>'QTR Raw'!AK15</f>
        <v>4592.67</v>
      </c>
      <c r="BR43" s="23">
        <f>'QTR Raw'!AL15</f>
        <v>3738.21</v>
      </c>
      <c r="BS43" s="23">
        <f>'QTR Raw'!AM15</f>
        <v>4355.8599999999997</v>
      </c>
      <c r="BT43" s="23">
        <f>'QTR Raw'!AN15</f>
        <v>3392.59</v>
      </c>
      <c r="BU43" s="23">
        <f>'QTR Raw'!AO15</f>
        <v>2896.17</v>
      </c>
      <c r="BV43" s="23">
        <f>'QTR Raw'!AP15</f>
        <v>4117.59</v>
      </c>
      <c r="BW43" s="23">
        <f>'QTR Raw'!AQ15</f>
        <v>7139.97</v>
      </c>
      <c r="BX43" s="23">
        <f>'QTR Raw'!AR15</f>
        <v>5261.33</v>
      </c>
      <c r="BY43" s="23">
        <f>'QTR Raw'!AS15</f>
        <v>5532.83</v>
      </c>
      <c r="BZ43" s="23">
        <f>'QTR Raw'!AT15</f>
        <v>7546.72</v>
      </c>
      <c r="CA43" s="23">
        <f>'QTR Raw'!AU15</f>
        <v>6762.2</v>
      </c>
      <c r="CB43" s="23">
        <f>'QTR Raw'!AV15</f>
        <v>6761.94</v>
      </c>
      <c r="CC43" s="23">
        <f>'QTR Raw'!AW15</f>
        <v>7548.98</v>
      </c>
      <c r="CD43" s="23">
        <f>'QTR Raw'!AX15</f>
        <v>7379.52</v>
      </c>
      <c r="CE43" s="23">
        <f>'QTR Raw'!AY15</f>
        <v>7898.22</v>
      </c>
      <c r="CF43" s="23">
        <f>'QTR Raw'!AZ15</f>
        <v>7032.22</v>
      </c>
      <c r="CG43" s="23">
        <f>'QTR Raw'!BA15</f>
        <v>7424.72</v>
      </c>
      <c r="CH43" s="23">
        <f>'QTR Raw'!BB15</f>
        <v>7918.09</v>
      </c>
      <c r="CI43" s="23">
        <f>'QTR Raw'!BC15</f>
        <v>7309.19</v>
      </c>
      <c r="CJ43" s="23">
        <f>'QTR Raw'!BD15</f>
        <v>7205.07</v>
      </c>
      <c r="CK43" s="23">
        <f>'QTR Raw'!BE15</f>
        <v>6758.04</v>
      </c>
      <c r="CL43" s="23">
        <f>'QTR Raw'!BF15</f>
        <v>7895.72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0</v>
      </c>
    </row>
    <row r="44" spans="1:110" s="23" customFormat="1" outlineLevel="1" x14ac:dyDescent="0.2">
      <c r="A44" s="23" t="s">
        <v>11</v>
      </c>
      <c r="B44" s="23">
        <f>'Annual Raw'!C18</f>
        <v>0</v>
      </c>
      <c r="C44" s="23">
        <f>'Annual Raw'!D18</f>
        <v>0</v>
      </c>
      <c r="D44" s="23">
        <f>'Annual Raw'!E18</f>
        <v>0</v>
      </c>
      <c r="E44" s="23">
        <f>'Annual Raw'!F18</f>
        <v>0</v>
      </c>
      <c r="F44" s="23">
        <f>'Annual Raw'!G18</f>
        <v>0</v>
      </c>
      <c r="G44" s="23">
        <f>'Annual Raw'!H18</f>
        <v>0</v>
      </c>
      <c r="H44" s="23">
        <f>'Annual Raw'!I18</f>
        <v>0</v>
      </c>
      <c r="I44" s="23">
        <f>'Annual Raw'!J18</f>
        <v>0</v>
      </c>
      <c r="J44" s="23">
        <f>'Annual Raw'!K18</f>
        <v>0</v>
      </c>
      <c r="K44" s="23">
        <f>'Annual Raw'!L18</f>
        <v>8.3000000000000007</v>
      </c>
      <c r="L44" s="23">
        <f>'Annual Raw'!M18</f>
        <v>37.950000000000003</v>
      </c>
      <c r="M44" s="23">
        <f>'Annual Raw'!N18</f>
        <v>57.65</v>
      </c>
      <c r="N44" s="23">
        <f>'Annual Raw'!O18</f>
        <v>87.32</v>
      </c>
      <c r="O44" s="23">
        <f>'Annual Raw'!P18</f>
        <v>135.82</v>
      </c>
      <c r="P44" s="23">
        <f>'Annual Raw'!Q18</f>
        <v>140.52000000000001</v>
      </c>
      <c r="Q44" s="23">
        <f>'Annual Raw'!R18</f>
        <v>154.84</v>
      </c>
      <c r="R44" s="23">
        <f>'Annual Raw'!S18</f>
        <v>0</v>
      </c>
      <c r="S44" s="23">
        <f>'Annual Raw'!T18</f>
        <v>0</v>
      </c>
      <c r="T44" s="23">
        <f>'Annual Raw'!U18</f>
        <v>0</v>
      </c>
      <c r="U44" s="23">
        <f>'Annual Raw'!V18</f>
        <v>0</v>
      </c>
      <c r="V44" s="23">
        <f>'Annual Raw'!W18</f>
        <v>0</v>
      </c>
      <c r="W44" s="23">
        <f>'Annual Raw'!X18</f>
        <v>0</v>
      </c>
      <c r="X44" s="23">
        <f>'Annual Raw'!Y18</f>
        <v>0</v>
      </c>
      <c r="Y44" s="23">
        <f>'Annual Raw'!Z18</f>
        <v>0</v>
      </c>
      <c r="Z44" s="23">
        <f>'Annual Raw'!AA18</f>
        <v>0</v>
      </c>
      <c r="AA44" s="23">
        <f>'Annual Raw'!AB18</f>
        <v>0</v>
      </c>
      <c r="AB44" s="76">
        <f t="shared" si="249"/>
        <v>0</v>
      </c>
      <c r="AC44" s="76">
        <f t="shared" si="250"/>
        <v>0</v>
      </c>
      <c r="AD44" s="76">
        <f t="shared" si="251"/>
        <v>0</v>
      </c>
      <c r="AE44" s="76">
        <f t="shared" si="252"/>
        <v>0</v>
      </c>
      <c r="AI44" s="23">
        <f>'QTR Raw'!C18</f>
        <v>0</v>
      </c>
      <c r="AJ44" s="23">
        <f>'QTR Raw'!D18</f>
        <v>0</v>
      </c>
      <c r="AK44" s="23">
        <f>'QTR Raw'!E18</f>
        <v>0</v>
      </c>
      <c r="AL44" s="23">
        <f>'QTR Raw'!F18</f>
        <v>0</v>
      </c>
      <c r="AM44" s="23">
        <f>'QTR Raw'!G18</f>
        <v>0</v>
      </c>
      <c r="AN44" s="23">
        <f>'QTR Raw'!H18</f>
        <v>0</v>
      </c>
      <c r="AO44" s="23">
        <f>'QTR Raw'!I18</f>
        <v>0</v>
      </c>
      <c r="AP44" s="23">
        <f>'QTR Raw'!J18</f>
        <v>0</v>
      </c>
      <c r="AQ44" s="23">
        <f>'QTR Raw'!K18</f>
        <v>0</v>
      </c>
      <c r="AR44" s="23">
        <f>'QTR Raw'!L18</f>
        <v>0</v>
      </c>
      <c r="AS44" s="23">
        <f>'QTR Raw'!M18</f>
        <v>0</v>
      </c>
      <c r="AT44" s="23">
        <f>'QTR Raw'!N18</f>
        <v>0</v>
      </c>
      <c r="AU44" s="23">
        <f>'QTR Raw'!O18</f>
        <v>0</v>
      </c>
      <c r="AV44" s="23">
        <f>'QTR Raw'!P18</f>
        <v>0</v>
      </c>
      <c r="AW44" s="23">
        <f>'QTR Raw'!Q18</f>
        <v>0</v>
      </c>
      <c r="AX44" s="23">
        <f>'QTR Raw'!R18</f>
        <v>0</v>
      </c>
      <c r="AY44" s="23">
        <f>'QTR Raw'!S18</f>
        <v>0</v>
      </c>
      <c r="AZ44" s="23">
        <f>'QTR Raw'!T18</f>
        <v>0</v>
      </c>
      <c r="BA44" s="23">
        <f>'QTR Raw'!U18</f>
        <v>0</v>
      </c>
      <c r="BB44" s="23">
        <f>'QTR Raw'!V18</f>
        <v>0</v>
      </c>
      <c r="BC44" s="23">
        <f>'QTR Raw'!W18</f>
        <v>0</v>
      </c>
      <c r="BD44" s="23">
        <f>'QTR Raw'!X18</f>
        <v>0</v>
      </c>
      <c r="BE44" s="23">
        <f>'QTR Raw'!Y18</f>
        <v>0</v>
      </c>
      <c r="BF44" s="23">
        <f>'QTR Raw'!Z18</f>
        <v>0</v>
      </c>
      <c r="BG44" s="23">
        <f>'QTR Raw'!AA18</f>
        <v>0</v>
      </c>
      <c r="BH44" s="23">
        <f>'QTR Raw'!AB18</f>
        <v>0</v>
      </c>
      <c r="BI44" s="23">
        <f>'QTR Raw'!AC18</f>
        <v>0</v>
      </c>
      <c r="BJ44" s="23">
        <f>'QTR Raw'!AD18</f>
        <v>0</v>
      </c>
      <c r="BK44" s="23">
        <f>'QTR Raw'!AE18</f>
        <v>0</v>
      </c>
      <c r="BL44" s="23">
        <f>'QTR Raw'!AF18</f>
        <v>0</v>
      </c>
      <c r="BM44" s="23">
        <f>'QTR Raw'!AG18</f>
        <v>0</v>
      </c>
      <c r="BN44" s="23">
        <f>'QTR Raw'!AH18</f>
        <v>0</v>
      </c>
      <c r="BO44" s="23">
        <f>'QTR Raw'!AI18</f>
        <v>0</v>
      </c>
      <c r="BP44" s="23">
        <f>'QTR Raw'!AJ18</f>
        <v>0</v>
      </c>
      <c r="BQ44" s="23">
        <f>'QTR Raw'!AK18</f>
        <v>0</v>
      </c>
      <c r="BR44" s="23">
        <f>'QTR Raw'!AL18</f>
        <v>0</v>
      </c>
      <c r="BS44" s="23">
        <f>'QTR Raw'!AM18</f>
        <v>0</v>
      </c>
      <c r="BT44" s="23">
        <f>'QTR Raw'!AN18</f>
        <v>0</v>
      </c>
      <c r="BU44" s="23">
        <f>'QTR Raw'!AO18</f>
        <v>0</v>
      </c>
      <c r="BV44" s="23">
        <f>'QTR Raw'!AP18</f>
        <v>0</v>
      </c>
      <c r="BW44" s="23">
        <f>'QTR Raw'!AQ18</f>
        <v>0</v>
      </c>
      <c r="BX44" s="23">
        <f>'QTR Raw'!AR18</f>
        <v>0</v>
      </c>
      <c r="BY44" s="23">
        <f>'QTR Raw'!AS18</f>
        <v>0</v>
      </c>
      <c r="BZ44" s="23">
        <f>'QTR Raw'!AT18</f>
        <v>0</v>
      </c>
      <c r="CA44" s="23">
        <f>'QTR Raw'!AU18</f>
        <v>0</v>
      </c>
      <c r="CB44" s="23">
        <f>'QTR Raw'!AV18</f>
        <v>0</v>
      </c>
      <c r="CC44" s="23">
        <f>'QTR Raw'!AW18</f>
        <v>0</v>
      </c>
      <c r="CD44" s="23">
        <f>'QTR Raw'!AX18</f>
        <v>0</v>
      </c>
      <c r="CE44" s="23">
        <f>'QTR Raw'!AY18</f>
        <v>0</v>
      </c>
      <c r="CF44" s="23">
        <f>'QTR Raw'!AZ18</f>
        <v>0</v>
      </c>
      <c r="CG44" s="23">
        <f>'QTR Raw'!BA18</f>
        <v>0</v>
      </c>
      <c r="CH44" s="23">
        <f>'QTR Raw'!BB18</f>
        <v>0</v>
      </c>
      <c r="CI44" s="23">
        <f>'QTR Raw'!BC18</f>
        <v>0</v>
      </c>
      <c r="CJ44" s="23">
        <f>'QTR Raw'!BD18</f>
        <v>0</v>
      </c>
      <c r="CK44" s="23">
        <f>'QTR Raw'!BE18</f>
        <v>0</v>
      </c>
      <c r="CL44" s="23">
        <f>'QTR Raw'!BF18</f>
        <v>0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0</v>
      </c>
    </row>
    <row r="45" spans="1:110" s="22" customFormat="1" x14ac:dyDescent="0.2">
      <c r="A45" s="33" t="s">
        <v>348</v>
      </c>
      <c r="B45" s="22">
        <f t="shared" ref="B45:E45" si="255">+SUM(B39:B44)</f>
        <v>0</v>
      </c>
      <c r="C45" s="22">
        <f t="shared" si="255"/>
        <v>0</v>
      </c>
      <c r="D45" s="22">
        <f t="shared" si="255"/>
        <v>0</v>
      </c>
      <c r="E45" s="22">
        <f t="shared" si="255"/>
        <v>1E-3</v>
      </c>
      <c r="F45" s="22">
        <f t="shared" ref="F45:AE45" si="256">+SUM(F39:F44)</f>
        <v>0</v>
      </c>
      <c r="G45" s="22">
        <f t="shared" si="256"/>
        <v>0</v>
      </c>
      <c r="H45" s="22">
        <f t="shared" si="256"/>
        <v>0</v>
      </c>
      <c r="I45" s="22">
        <f t="shared" si="256"/>
        <v>7.1790000000000003</v>
      </c>
      <c r="J45" s="22">
        <f t="shared" si="256"/>
        <v>5.5415999999999999</v>
      </c>
      <c r="K45" s="22">
        <f t="shared" si="256"/>
        <v>191.05</v>
      </c>
      <c r="L45" s="22">
        <f t="shared" si="256"/>
        <v>889.54</v>
      </c>
      <c r="M45" s="22">
        <f t="shared" si="256"/>
        <v>2766.98</v>
      </c>
      <c r="N45" s="22">
        <f t="shared" si="256"/>
        <v>5819.75</v>
      </c>
      <c r="O45" s="22">
        <f t="shared" si="256"/>
        <v>10870.599999999999</v>
      </c>
      <c r="P45" s="22">
        <f t="shared" si="256"/>
        <v>13707.550000000001</v>
      </c>
      <c r="Q45" s="22">
        <f t="shared" si="256"/>
        <v>16730.04</v>
      </c>
      <c r="R45" s="22">
        <f t="shared" si="256"/>
        <v>16643.86</v>
      </c>
      <c r="S45" s="22">
        <f t="shared" si="256"/>
        <v>14903.4</v>
      </c>
      <c r="T45" s="22">
        <f t="shared" si="256"/>
        <v>18930.350000000002</v>
      </c>
      <c r="U45" s="22">
        <f t="shared" si="256"/>
        <v>20782.420000000002</v>
      </c>
      <c r="V45" s="22">
        <f t="shared" si="256"/>
        <v>17552.96</v>
      </c>
      <c r="W45" s="22">
        <f t="shared" si="256"/>
        <v>17897.02</v>
      </c>
      <c r="X45" s="22">
        <f t="shared" si="256"/>
        <v>28728.639999999999</v>
      </c>
      <c r="Y45" s="22">
        <f t="shared" si="256"/>
        <v>32170.55</v>
      </c>
      <c r="Z45" s="22">
        <f t="shared" ref="Z45:AA45" si="257">+SUM(Z39:Z44)</f>
        <v>34897.65</v>
      </c>
      <c r="AA45" s="22">
        <f t="shared" ref="AA45" si="258">+SUM(AA39:AA44)</f>
        <v>34434.409999999996</v>
      </c>
      <c r="AB45" s="21">
        <f t="shared" si="256"/>
        <v>38476.823230090791</v>
      </c>
      <c r="AC45" s="21">
        <f t="shared" si="256"/>
        <v>44760.155855111159</v>
      </c>
      <c r="AD45" s="21">
        <f t="shared" si="256"/>
        <v>52534.292217495153</v>
      </c>
      <c r="AE45" s="21">
        <f t="shared" si="256"/>
        <v>64797.803645832726</v>
      </c>
      <c r="AI45" s="22">
        <f t="shared" ref="AI45:BN45" si="259">+SUM(AI39:AI44)</f>
        <v>1356.64</v>
      </c>
      <c r="AJ45" s="22">
        <f t="shared" si="259"/>
        <v>1327.37</v>
      </c>
      <c r="AK45" s="22">
        <f t="shared" si="259"/>
        <v>1505.86</v>
      </c>
      <c r="AL45" s="22">
        <f t="shared" si="259"/>
        <v>1521.25</v>
      </c>
      <c r="AM45" s="22">
        <f t="shared" si="259"/>
        <v>2015.35</v>
      </c>
      <c r="AN45" s="22">
        <f t="shared" si="259"/>
        <v>2320.96</v>
      </c>
      <c r="AO45" s="22">
        <f t="shared" si="259"/>
        <v>2881.5</v>
      </c>
      <c r="AP45" s="22">
        <f t="shared" si="259"/>
        <v>3244.9799999999996</v>
      </c>
      <c r="AQ45" s="22">
        <f t="shared" si="259"/>
        <v>3532.95</v>
      </c>
      <c r="AR45" s="22">
        <f t="shared" si="259"/>
        <v>2919.16</v>
      </c>
      <c r="AS45" s="22">
        <f t="shared" si="259"/>
        <v>3640.29</v>
      </c>
      <c r="AT45" s="22">
        <f t="shared" si="259"/>
        <v>3297.4400000000005</v>
      </c>
      <c r="AU45" s="22">
        <f t="shared" si="259"/>
        <v>4249.79</v>
      </c>
      <c r="AV45" s="22">
        <f t="shared" si="259"/>
        <v>3950.8900000000003</v>
      </c>
      <c r="AW45" s="22">
        <f t="shared" si="259"/>
        <v>4180.4799999999996</v>
      </c>
      <c r="AX45" s="22">
        <f t="shared" si="259"/>
        <v>4159.33</v>
      </c>
      <c r="AY45" s="22">
        <f t="shared" si="259"/>
        <v>3637.0299999999997</v>
      </c>
      <c r="AZ45" s="22">
        <f t="shared" si="259"/>
        <v>3936.42</v>
      </c>
      <c r="BA45" s="22">
        <f t="shared" si="259"/>
        <v>4105.12</v>
      </c>
      <c r="BB45" s="22">
        <f t="shared" si="259"/>
        <v>4880.37</v>
      </c>
      <c r="BC45" s="22">
        <f t="shared" si="259"/>
        <v>3900.8799999999997</v>
      </c>
      <c r="BD45" s="22">
        <f t="shared" si="259"/>
        <v>3949.1099999999997</v>
      </c>
      <c r="BE45" s="22">
        <f t="shared" si="259"/>
        <v>4054.12</v>
      </c>
      <c r="BF45" s="22">
        <f t="shared" si="259"/>
        <v>2661.36</v>
      </c>
      <c r="BG45" s="22">
        <f t="shared" si="259"/>
        <v>2605.25</v>
      </c>
      <c r="BH45" s="22">
        <f t="shared" si="259"/>
        <v>4614.34</v>
      </c>
      <c r="BI45" s="22">
        <f t="shared" si="259"/>
        <v>5277.63</v>
      </c>
      <c r="BJ45" s="22">
        <f t="shared" si="259"/>
        <v>5623.22</v>
      </c>
      <c r="BK45" s="22">
        <f t="shared" si="259"/>
        <v>5117.75</v>
      </c>
      <c r="BL45" s="22">
        <f t="shared" si="259"/>
        <v>4565.6499999999996</v>
      </c>
      <c r="BM45" s="22">
        <f t="shared" si="259"/>
        <v>5080.55</v>
      </c>
      <c r="BN45" s="22">
        <f t="shared" si="259"/>
        <v>5551.37</v>
      </c>
      <c r="BO45" s="22">
        <f t="shared" ref="BO45:CH45" si="260">+SUM(BO39:BO44)</f>
        <v>3813.82</v>
      </c>
      <c r="BP45" s="22">
        <f t="shared" si="260"/>
        <v>3703.33</v>
      </c>
      <c r="BQ45" s="22">
        <f t="shared" si="260"/>
        <v>5238.03</v>
      </c>
      <c r="BR45" s="22">
        <f t="shared" si="260"/>
        <v>4432.4799999999996</v>
      </c>
      <c r="BS45" s="22">
        <f t="shared" si="260"/>
        <v>4918.4299999999994</v>
      </c>
      <c r="BT45" s="22">
        <f t="shared" si="260"/>
        <v>4010.96</v>
      </c>
      <c r="BU45" s="22">
        <f t="shared" si="260"/>
        <v>3496.4300000000003</v>
      </c>
      <c r="BV45" s="22">
        <f t="shared" si="260"/>
        <v>4925.6400000000003</v>
      </c>
      <c r="BW45" s="22">
        <f t="shared" si="260"/>
        <v>7948.46</v>
      </c>
      <c r="BX45" s="22">
        <f t="shared" si="260"/>
        <v>6026.67</v>
      </c>
      <c r="BY45" s="22">
        <f t="shared" si="260"/>
        <v>6264.9</v>
      </c>
      <c r="BZ45" s="22">
        <f t="shared" si="260"/>
        <v>8274.4700000000012</v>
      </c>
      <c r="CA45" s="22">
        <f t="shared" si="260"/>
        <v>7467.7699999999995</v>
      </c>
      <c r="CB45" s="22">
        <f t="shared" si="260"/>
        <v>7790.1799999999994</v>
      </c>
      <c r="CC45" s="22">
        <f t="shared" si="260"/>
        <v>8277.1899999999987</v>
      </c>
      <c r="CD45" s="22">
        <f t="shared" si="260"/>
        <v>8413.1500000000015</v>
      </c>
      <c r="CE45" s="22">
        <f t="shared" si="260"/>
        <v>8750.59</v>
      </c>
      <c r="CF45" s="22">
        <f t="shared" si="260"/>
        <v>7981.81</v>
      </c>
      <c r="CG45" s="22">
        <f t="shared" si="260"/>
        <v>8539.59</v>
      </c>
      <c r="CH45" s="22">
        <f t="shared" si="260"/>
        <v>9268.67</v>
      </c>
      <c r="CI45" s="22">
        <f t="shared" ref="CI45:CJ45" si="261">+SUM(CI39:CI44)</f>
        <v>8414.25</v>
      </c>
      <c r="CJ45" s="22">
        <f t="shared" si="261"/>
        <v>8295.39</v>
      </c>
      <c r="CK45" s="22">
        <f t="shared" ref="CK45:CL45" si="262">+SUM(CK39:CK44)</f>
        <v>8171.23</v>
      </c>
      <c r="CL45" s="22">
        <f t="shared" si="262"/>
        <v>9343.880000000001</v>
      </c>
      <c r="CM45" s="21">
        <f t="shared" ref="CM45:DB45" si="263">CM46*CM29</f>
        <v>9551.4727056392476</v>
      </c>
      <c r="CN45" s="21">
        <f t="shared" si="263"/>
        <v>9002.9065298244914</v>
      </c>
      <c r="CO45" s="21">
        <f t="shared" si="263"/>
        <v>9067.6787421211156</v>
      </c>
      <c r="CP45" s="21">
        <f t="shared" si="263"/>
        <v>10854.765252505937</v>
      </c>
      <c r="CQ45" s="21">
        <f t="shared" si="263"/>
        <v>10184.208537402033</v>
      </c>
      <c r="CR45" s="21">
        <f t="shared" si="263"/>
        <v>10445.61569156105</v>
      </c>
      <c r="CS45" s="21">
        <f t="shared" si="263"/>
        <v>10975.111464260124</v>
      </c>
      <c r="CT45" s="21">
        <f t="shared" si="263"/>
        <v>13155.220161887948</v>
      </c>
      <c r="CU45" s="21">
        <f t="shared" si="263"/>
        <v>11846.442882697454</v>
      </c>
      <c r="CV45" s="21">
        <f t="shared" si="263"/>
        <v>11956.279197862799</v>
      </c>
      <c r="CW45" s="21">
        <f t="shared" si="263"/>
        <v>13014.957134555718</v>
      </c>
      <c r="CX45" s="21">
        <f t="shared" si="263"/>
        <v>15716.613002379174</v>
      </c>
      <c r="CY45" s="21">
        <f t="shared" si="263"/>
        <v>14266.957292852585</v>
      </c>
      <c r="CZ45" s="21">
        <f t="shared" si="263"/>
        <v>15011.788707516609</v>
      </c>
      <c r="DA45" s="21">
        <f t="shared" si="263"/>
        <v>15804.538207968773</v>
      </c>
      <c r="DB45" s="21">
        <f t="shared" si="263"/>
        <v>19714.519437494753</v>
      </c>
      <c r="DE45" s="126"/>
      <c r="DF45" s="22">
        <v>0</v>
      </c>
    </row>
    <row r="46" spans="1:110" s="44" customFormat="1" x14ac:dyDescent="0.2">
      <c r="A46" s="43" t="s">
        <v>349</v>
      </c>
      <c r="B46" s="44" t="e">
        <f t="shared" ref="B46:E46" si="264">B45/B29</f>
        <v>#DIV/0!</v>
      </c>
      <c r="C46" s="44" t="e">
        <f t="shared" si="264"/>
        <v>#DIV/0!</v>
      </c>
      <c r="D46" s="44" t="e">
        <f t="shared" si="264"/>
        <v>#DIV/0!</v>
      </c>
      <c r="E46" s="44" t="e">
        <f t="shared" si="264"/>
        <v>#DIV/0!</v>
      </c>
      <c r="F46" s="44" t="e">
        <f t="shared" ref="F46:AE46" si="265">F45/F29</f>
        <v>#DIV/0!</v>
      </c>
      <c r="G46" s="44" t="e">
        <f t="shared" si="265"/>
        <v>#DIV/0!</v>
      </c>
      <c r="H46" s="44" t="e">
        <f t="shared" si="265"/>
        <v>#DIV/0!</v>
      </c>
      <c r="I46" s="44" t="e">
        <f t="shared" si="265"/>
        <v>#DIV/0!</v>
      </c>
      <c r="J46" s="44" t="e">
        <f t="shared" si="265"/>
        <v>#DIV/0!</v>
      </c>
      <c r="K46" s="44">
        <f t="shared" si="265"/>
        <v>0.43933679804994713</v>
      </c>
      <c r="L46" s="44">
        <f t="shared" si="265"/>
        <v>0.4166092947231862</v>
      </c>
      <c r="M46" s="44">
        <f t="shared" si="265"/>
        <v>0.6761661323115421</v>
      </c>
      <c r="N46" s="44">
        <f t="shared" si="265"/>
        <v>0.85845124023506647</v>
      </c>
      <c r="O46" s="44">
        <f t="shared" si="265"/>
        <v>0.70296626336176504</v>
      </c>
      <c r="P46" s="44">
        <f t="shared" si="265"/>
        <v>0.70133497467886841</v>
      </c>
      <c r="Q46" s="44">
        <f t="shared" si="265"/>
        <v>0.65525335292691544</v>
      </c>
      <c r="R46" s="44">
        <f t="shared" si="265"/>
        <v>0.73594891293629905</v>
      </c>
      <c r="S46" s="44">
        <f t="shared" si="265"/>
        <v>0.73400288018092741</v>
      </c>
      <c r="T46" s="44">
        <f t="shared" si="265"/>
        <v>0.79258948810467855</v>
      </c>
      <c r="U46" s="44">
        <f t="shared" si="265"/>
        <v>0.78519872508852295</v>
      </c>
      <c r="V46" s="44">
        <f t="shared" si="265"/>
        <v>0.66941149012183898</v>
      </c>
      <c r="W46" s="44">
        <f t="shared" si="265"/>
        <v>0.64584113704288304</v>
      </c>
      <c r="X46" s="44">
        <f t="shared" si="265"/>
        <v>0.74093873877126781</v>
      </c>
      <c r="Y46" s="44">
        <f t="shared" si="265"/>
        <v>0.6389225689531044</v>
      </c>
      <c r="Z46" s="44">
        <f t="shared" ref="Z46:AA46" si="266">Z45/Z29</f>
        <v>0.6209204867561553</v>
      </c>
      <c r="AA46" s="44">
        <f t="shared" ref="AA46" si="267">AA45/AA29</f>
        <v>0.63484660545289751</v>
      </c>
      <c r="AB46" s="52">
        <f t="shared" si="265"/>
        <v>0.61276769368116157</v>
      </c>
      <c r="AC46" s="52">
        <f t="shared" si="265"/>
        <v>0.61246254019695412</v>
      </c>
      <c r="AD46" s="52">
        <f t="shared" si="265"/>
        <v>0.61229705894488884</v>
      </c>
      <c r="AE46" s="52">
        <f t="shared" si="265"/>
        <v>0.61225297411441992</v>
      </c>
      <c r="AI46" s="44">
        <f t="shared" ref="AI46:BN46" si="268">AI45/AI29</f>
        <v>1.2578602356911721</v>
      </c>
      <c r="AJ46" s="44">
        <f t="shared" si="268"/>
        <v>0.88332922958161686</v>
      </c>
      <c r="AK46" s="44">
        <f t="shared" si="268"/>
        <v>0.82495699525578237</v>
      </c>
      <c r="AL46" s="44">
        <f t="shared" si="268"/>
        <v>0.80526485736820652</v>
      </c>
      <c r="AM46" s="44">
        <f t="shared" si="268"/>
        <v>0.94870805108482281</v>
      </c>
      <c r="AN46" s="44">
        <f t="shared" si="268"/>
        <v>0.82796508288711879</v>
      </c>
      <c r="AO46" s="44">
        <f t="shared" si="268"/>
        <v>0.68765795370748217</v>
      </c>
      <c r="AP46" s="44">
        <f t="shared" si="268"/>
        <v>0.54114657074388517</v>
      </c>
      <c r="AQ46" s="44">
        <f t="shared" si="268"/>
        <v>0.67952453766481047</v>
      </c>
      <c r="AR46" s="44">
        <f t="shared" si="268"/>
        <v>0.70376308182635683</v>
      </c>
      <c r="AS46" s="44">
        <f t="shared" si="268"/>
        <v>0.66138389004460352</v>
      </c>
      <c r="AT46" s="44">
        <f t="shared" si="268"/>
        <v>0.70645904926771164</v>
      </c>
      <c r="AU46" s="44">
        <f t="shared" si="268"/>
        <v>0.7147958274044397</v>
      </c>
      <c r="AV46" s="44">
        <f t="shared" si="268"/>
        <v>0.68703602909594252</v>
      </c>
      <c r="AW46" s="44">
        <f t="shared" si="268"/>
        <v>0.67524135491488568</v>
      </c>
      <c r="AX46" s="44">
        <f t="shared" si="268"/>
        <v>0.54405957365542668</v>
      </c>
      <c r="AY46" s="44">
        <f t="shared" si="268"/>
        <v>0.67526851774491503</v>
      </c>
      <c r="AZ46" s="44">
        <f t="shared" si="268"/>
        <v>0.7058956440341505</v>
      </c>
      <c r="BA46" s="44">
        <f t="shared" si="268"/>
        <v>0.75579858234373565</v>
      </c>
      <c r="BB46" s="44">
        <f t="shared" si="268"/>
        <v>0.76829239495421298</v>
      </c>
      <c r="BC46" s="44">
        <f t="shared" si="268"/>
        <v>0.70370316919702125</v>
      </c>
      <c r="BD46" s="44">
        <f t="shared" si="268"/>
        <v>0.64118817025352925</v>
      </c>
      <c r="BE46" s="44">
        <f t="shared" si="268"/>
        <v>0.83685694587219217</v>
      </c>
      <c r="BF46" s="44">
        <f t="shared" si="268"/>
        <v>0.66848018567219514</v>
      </c>
      <c r="BG46" s="44">
        <f t="shared" si="268"/>
        <v>0.68027877002778303</v>
      </c>
      <c r="BH46" s="44">
        <f t="shared" si="268"/>
        <v>0.64952098893333821</v>
      </c>
      <c r="BI46" s="44">
        <f t="shared" si="268"/>
        <v>0.83704940809257355</v>
      </c>
      <c r="BJ46" s="44">
        <f t="shared" si="268"/>
        <v>0.83657456722386536</v>
      </c>
      <c r="BK46" s="44">
        <f t="shared" si="268"/>
        <v>0.65571995623195023</v>
      </c>
      <c r="BL46" s="44">
        <f t="shared" si="268"/>
        <v>0.77178655406216345</v>
      </c>
      <c r="BM46" s="44">
        <f t="shared" si="268"/>
        <v>0.77272837887577162</v>
      </c>
      <c r="BN46" s="44">
        <f t="shared" si="268"/>
        <v>0.89938160497567399</v>
      </c>
      <c r="BO46" s="44">
        <f t="shared" ref="BO46:CH46" si="269">BO45/BO29</f>
        <v>0.73288712352248253</v>
      </c>
      <c r="BP46" s="44">
        <f t="shared" si="269"/>
        <v>0.4778977469961454</v>
      </c>
      <c r="BQ46" s="44">
        <f t="shared" si="269"/>
        <v>0.75970290826183051</v>
      </c>
      <c r="BR46" s="44">
        <f t="shared" si="269"/>
        <v>0.69544370528429766</v>
      </c>
      <c r="BS46" s="44">
        <f t="shared" si="269"/>
        <v>0.74874940248384037</v>
      </c>
      <c r="BT46" s="44">
        <f t="shared" si="269"/>
        <v>0.77376988459891272</v>
      </c>
      <c r="BU46" s="44">
        <f t="shared" si="269"/>
        <v>0.65221195027682022</v>
      </c>
      <c r="BV46" s="44">
        <f t="shared" si="269"/>
        <v>0.46478035966023074</v>
      </c>
      <c r="BW46" s="44">
        <f t="shared" si="269"/>
        <v>0.57920463803262545</v>
      </c>
      <c r="BX46" s="44">
        <f t="shared" si="269"/>
        <v>0.85560289447270421</v>
      </c>
      <c r="BY46" s="44">
        <f t="shared" si="269"/>
        <v>0.80687392860500662</v>
      </c>
      <c r="BZ46" s="44">
        <f t="shared" si="269"/>
        <v>0.80789118595282605</v>
      </c>
      <c r="CA46" s="44">
        <f t="shared" si="269"/>
        <v>0.67854644115599949</v>
      </c>
      <c r="CB46" s="44">
        <f t="shared" si="269"/>
        <v>0.59967915212407752</v>
      </c>
      <c r="CC46" s="44">
        <f t="shared" si="269"/>
        <v>0.63712644633697257</v>
      </c>
      <c r="CD46" s="44">
        <f t="shared" si="269"/>
        <v>0.62955291539986347</v>
      </c>
      <c r="CE46" s="44">
        <f t="shared" si="269"/>
        <v>0.5851034025313544</v>
      </c>
      <c r="CF46" s="44">
        <f t="shared" si="269"/>
        <v>0.5983868210824298</v>
      </c>
      <c r="CG46" s="44">
        <f t="shared" si="269"/>
        <v>0.62464176464650456</v>
      </c>
      <c r="CH46" s="44">
        <f t="shared" si="269"/>
        <v>0.65100861112281738</v>
      </c>
      <c r="CI46" s="44">
        <f t="shared" ref="CI46:CJ46" si="270">CI45/CI29</f>
        <v>0.59636831417909653</v>
      </c>
      <c r="CJ46" s="44">
        <f t="shared" si="270"/>
        <v>0.61644412804194737</v>
      </c>
      <c r="CK46" s="44">
        <f t="shared" ref="CK46:CL46" si="271">CK45/CK29</f>
        <v>0.65624779142010881</v>
      </c>
      <c r="CL46" s="44">
        <f t="shared" si="271"/>
        <v>0.65695147819496336</v>
      </c>
      <c r="CM46" s="52">
        <f>AVERAGE(CI46:CL46)*0.97</f>
        <v>0.61255784012025805</v>
      </c>
      <c r="CN46" s="52">
        <f t="shared" ref="CN46:CP46" si="272">AVERAGE(CJ46:CM46)*0.97</f>
        <v>0.6164838001609898</v>
      </c>
      <c r="CO46" s="52">
        <f t="shared" si="272"/>
        <v>0.61649342064985746</v>
      </c>
      <c r="CP46" s="52">
        <f t="shared" si="272"/>
        <v>0.60685298573807167</v>
      </c>
      <c r="CQ46" s="52">
        <f>AVERAGE(CM46:CP46)</f>
        <v>0.61309701166729424</v>
      </c>
      <c r="CR46" s="52">
        <f t="shared" ref="CR46:CT46" si="273">AVERAGE(CN46:CQ46)</f>
        <v>0.61323180455405324</v>
      </c>
      <c r="CS46" s="52">
        <f t="shared" si="273"/>
        <v>0.61241880565231921</v>
      </c>
      <c r="CT46" s="52">
        <f t="shared" si="273"/>
        <v>0.61140015190293462</v>
      </c>
      <c r="CU46" s="52">
        <f t="shared" ref="CU46:DB46" si="274">AVERAGE(CQ46:CT46)</f>
        <v>0.61253694344415033</v>
      </c>
      <c r="CV46" s="52">
        <f t="shared" si="274"/>
        <v>0.6123969263883644</v>
      </c>
      <c r="CW46" s="52">
        <f t="shared" si="274"/>
        <v>0.6121882068469422</v>
      </c>
      <c r="CX46" s="52">
        <f t="shared" si="274"/>
        <v>0.61213055714559794</v>
      </c>
      <c r="CY46" s="52">
        <f t="shared" si="274"/>
        <v>0.61231315845626377</v>
      </c>
      <c r="CZ46" s="52">
        <f t="shared" si="274"/>
        <v>0.61225721220929208</v>
      </c>
      <c r="DA46" s="52">
        <f t="shared" si="274"/>
        <v>0.61222228366452403</v>
      </c>
      <c r="DB46" s="52">
        <f t="shared" si="274"/>
        <v>0.6122308028689194</v>
      </c>
      <c r="DE46" s="128"/>
      <c r="DF46" s="44" t="e">
        <v>#DIV/0!</v>
      </c>
    </row>
    <row r="47" spans="1:110" s="26" customFormat="1" x14ac:dyDescent="0.2">
      <c r="A47" s="34" t="s">
        <v>13</v>
      </c>
      <c r="B47" s="26">
        <f t="shared" ref="B47:E47" si="275">B35-B45</f>
        <v>0</v>
      </c>
      <c r="C47" s="26">
        <f t="shared" si="275"/>
        <v>0</v>
      </c>
      <c r="D47" s="26">
        <f t="shared" si="275"/>
        <v>0</v>
      </c>
      <c r="E47" s="26">
        <f t="shared" si="275"/>
        <v>-1E-3</v>
      </c>
      <c r="F47" s="26">
        <f t="shared" ref="F47:AE47" si="276">F35-F45</f>
        <v>0</v>
      </c>
      <c r="G47" s="26">
        <f t="shared" si="276"/>
        <v>0</v>
      </c>
      <c r="H47" s="26">
        <f t="shared" si="276"/>
        <v>0</v>
      </c>
      <c r="I47" s="26">
        <f t="shared" si="276"/>
        <v>-7.1790000000000003</v>
      </c>
      <c r="J47" s="26">
        <f t="shared" si="276"/>
        <v>-5.5415999999999999</v>
      </c>
      <c r="K47" s="26">
        <f t="shared" si="276"/>
        <v>243.81</v>
      </c>
      <c r="L47" s="26">
        <f t="shared" si="276"/>
        <v>1245.6500000000001</v>
      </c>
      <c r="M47" s="26">
        <f t="shared" si="276"/>
        <v>1325.1799999999998</v>
      </c>
      <c r="N47" s="26">
        <f t="shared" si="276"/>
        <v>959.60999999999967</v>
      </c>
      <c r="O47" s="26">
        <f t="shared" si="276"/>
        <v>4593.3000000000011</v>
      </c>
      <c r="P47" s="26">
        <f t="shared" si="276"/>
        <v>5837.3899999999976</v>
      </c>
      <c r="Q47" s="26">
        <f t="shared" si="276"/>
        <v>8802.1299999999974</v>
      </c>
      <c r="R47" s="26">
        <f t="shared" si="276"/>
        <v>5971.6499999999978</v>
      </c>
      <c r="S47" s="26">
        <f t="shared" si="276"/>
        <v>5400.8799999999992</v>
      </c>
      <c r="T47" s="26">
        <f t="shared" si="276"/>
        <v>4953.8299999999981</v>
      </c>
      <c r="U47" s="26">
        <f t="shared" si="276"/>
        <v>5685.2999999999993</v>
      </c>
      <c r="V47" s="26">
        <f t="shared" si="276"/>
        <v>8668.52</v>
      </c>
      <c r="W47" s="26">
        <f t="shared" si="276"/>
        <v>9814.16</v>
      </c>
      <c r="X47" s="26">
        <f t="shared" si="276"/>
        <v>10044.660000000003</v>
      </c>
      <c r="Y47" s="26">
        <f t="shared" si="276"/>
        <v>18180.7</v>
      </c>
      <c r="Z47" s="26">
        <f t="shared" ref="Z47:AA47" si="277">Z35-Z45</f>
        <v>21305.439999999995</v>
      </c>
      <c r="AA47" s="26">
        <f t="shared" ref="AA47" si="278">AA35-AA45</f>
        <v>19806.11</v>
      </c>
      <c r="AB47" s="27">
        <f t="shared" si="276"/>
        <v>23999.249560449047</v>
      </c>
      <c r="AC47" s="27">
        <f t="shared" si="276"/>
        <v>27933.934556630884</v>
      </c>
      <c r="AD47" s="27">
        <f t="shared" si="276"/>
        <v>32804.107706417126</v>
      </c>
      <c r="AE47" s="27">
        <f t="shared" si="276"/>
        <v>40468.401457057043</v>
      </c>
      <c r="AI47" s="26">
        <f t="shared" ref="AI47:BN47" si="279">AI35-AI45</f>
        <v>-278.1099999999999</v>
      </c>
      <c r="AJ47" s="26">
        <f t="shared" si="279"/>
        <v>175.32000000000016</v>
      </c>
      <c r="AK47" s="26">
        <f t="shared" si="279"/>
        <v>319.52</v>
      </c>
      <c r="AL47" s="26">
        <f t="shared" si="279"/>
        <v>367.88000000000011</v>
      </c>
      <c r="AM47" s="26">
        <f t="shared" si="279"/>
        <v>108.96000000000004</v>
      </c>
      <c r="AN47" s="26">
        <f t="shared" si="279"/>
        <v>482.24999999999955</v>
      </c>
      <c r="AO47" s="26">
        <f t="shared" si="279"/>
        <v>980.27000000000044</v>
      </c>
      <c r="AP47" s="26">
        <f t="shared" si="279"/>
        <v>2751.0300000000007</v>
      </c>
      <c r="AQ47" s="26">
        <f t="shared" si="279"/>
        <v>1666.0100000000011</v>
      </c>
      <c r="AR47" s="26">
        <f t="shared" si="279"/>
        <v>1215.3199999999997</v>
      </c>
      <c r="AS47" s="26">
        <f t="shared" si="279"/>
        <v>1759.0200000000004</v>
      </c>
      <c r="AT47" s="26">
        <f t="shared" si="279"/>
        <v>1197.8999999999996</v>
      </c>
      <c r="AU47" s="26">
        <f t="shared" si="279"/>
        <v>1586.58</v>
      </c>
      <c r="AV47" s="26">
        <f t="shared" si="279"/>
        <v>1792.87</v>
      </c>
      <c r="AW47" s="26">
        <f t="shared" si="279"/>
        <v>2010.6100000000006</v>
      </c>
      <c r="AX47" s="26">
        <f t="shared" si="279"/>
        <v>3412.0699999999997</v>
      </c>
      <c r="AY47" s="26">
        <f t="shared" si="279"/>
        <v>1723.8300000000008</v>
      </c>
      <c r="AZ47" s="26">
        <f t="shared" si="279"/>
        <v>1621.4499999999998</v>
      </c>
      <c r="BA47" s="26">
        <f t="shared" si="279"/>
        <v>1304.7600000000002</v>
      </c>
      <c r="BB47" s="26">
        <f t="shared" si="279"/>
        <v>1321.6099999999997</v>
      </c>
      <c r="BC47" s="26">
        <f t="shared" si="279"/>
        <v>1561.2599999999998</v>
      </c>
      <c r="BD47" s="26">
        <f t="shared" si="279"/>
        <v>2124.8600000000006</v>
      </c>
      <c r="BE47" s="26">
        <f t="shared" si="279"/>
        <v>705</v>
      </c>
      <c r="BF47" s="26">
        <f t="shared" si="279"/>
        <v>1233.56</v>
      </c>
      <c r="BG47" s="26">
        <f t="shared" si="279"/>
        <v>1158.7599999999998</v>
      </c>
      <c r="BH47" s="26">
        <f t="shared" si="279"/>
        <v>2253.0500000000002</v>
      </c>
      <c r="BI47" s="26">
        <f t="shared" si="279"/>
        <v>1010.3800000000001</v>
      </c>
      <c r="BJ47" s="26">
        <f t="shared" si="279"/>
        <v>608.11999999999989</v>
      </c>
      <c r="BK47" s="26">
        <f t="shared" si="279"/>
        <v>2684.2</v>
      </c>
      <c r="BL47" s="26">
        <f t="shared" si="279"/>
        <v>1348.8400000000001</v>
      </c>
      <c r="BM47" s="26">
        <f t="shared" si="279"/>
        <v>1447.6999999999998</v>
      </c>
      <c r="BN47" s="26">
        <f t="shared" si="279"/>
        <v>204.5600000000004</v>
      </c>
      <c r="BO47" s="26">
        <f t="shared" ref="BO47:CT47" si="280">BO35-BO45</f>
        <v>1388.4999999999995</v>
      </c>
      <c r="BP47" s="26">
        <f t="shared" si="280"/>
        <v>4042.74</v>
      </c>
      <c r="BQ47" s="26">
        <f t="shared" si="280"/>
        <v>1622.9400000000005</v>
      </c>
      <c r="BR47" s="26">
        <f t="shared" si="280"/>
        <v>1614.3400000000001</v>
      </c>
      <c r="BS47" s="26">
        <f t="shared" si="280"/>
        <v>1648.0100000000002</v>
      </c>
      <c r="BT47" s="26">
        <f t="shared" si="280"/>
        <v>1163.3099999999995</v>
      </c>
      <c r="BU47" s="26">
        <f t="shared" si="280"/>
        <v>1770.7700000000004</v>
      </c>
      <c r="BV47" s="26">
        <f t="shared" si="280"/>
        <v>5232.0700000000006</v>
      </c>
      <c r="BW47" s="26">
        <f t="shared" si="280"/>
        <v>5719.7399999999989</v>
      </c>
      <c r="BX47" s="26">
        <f t="shared" si="280"/>
        <v>947.78000000000065</v>
      </c>
      <c r="BY47" s="26">
        <f t="shared" si="280"/>
        <v>1469.7300000000005</v>
      </c>
      <c r="BZ47" s="26">
        <f t="shared" si="280"/>
        <v>1907.409999999998</v>
      </c>
      <c r="CA47" s="26">
        <f t="shared" si="280"/>
        <v>3514.2300000000005</v>
      </c>
      <c r="CB47" s="26">
        <f t="shared" si="280"/>
        <v>5171.3900000000003</v>
      </c>
      <c r="CC47" s="26">
        <f t="shared" si="280"/>
        <v>4645.340000000002</v>
      </c>
      <c r="CD47" s="26">
        <f t="shared" si="280"/>
        <v>4849.74</v>
      </c>
      <c r="CE47" s="26">
        <f t="shared" si="280"/>
        <v>6194.3099999999995</v>
      </c>
      <c r="CF47" s="26">
        <f t="shared" si="280"/>
        <v>5275.579999999999</v>
      </c>
      <c r="CG47" s="26">
        <f t="shared" si="280"/>
        <v>5022.92</v>
      </c>
      <c r="CH47" s="26">
        <f t="shared" si="280"/>
        <v>4812.6299999999992</v>
      </c>
      <c r="CI47" s="26">
        <f t="shared" ref="CI47:CJ47" si="281">CI35-CI45</f>
        <v>5685.2799999999988</v>
      </c>
      <c r="CJ47" s="26">
        <f t="shared" si="281"/>
        <v>5150.2900000000009</v>
      </c>
      <c r="CK47" s="26">
        <f t="shared" ref="CK47:CL47" si="282">CK35-CK45</f>
        <v>4238.0700000000015</v>
      </c>
      <c r="CL47" s="26">
        <f t="shared" si="282"/>
        <v>4732.4699999999993</v>
      </c>
      <c r="CM47" s="27">
        <f t="shared" si="280"/>
        <v>5981.9946530933757</v>
      </c>
      <c r="CN47" s="27">
        <f t="shared" si="280"/>
        <v>5533.7967959664929</v>
      </c>
      <c r="CO47" s="27">
        <f t="shared" si="280"/>
        <v>5559.577299189732</v>
      </c>
      <c r="CP47" s="27">
        <f t="shared" si="280"/>
        <v>6923.8808121994462</v>
      </c>
      <c r="CQ47" s="27">
        <f t="shared" si="280"/>
        <v>6343.9696715545415</v>
      </c>
      <c r="CR47" s="27">
        <f t="shared" si="280"/>
        <v>6498.0202263531191</v>
      </c>
      <c r="CS47" s="27">
        <f t="shared" si="280"/>
        <v>6847.8850253424753</v>
      </c>
      <c r="CT47" s="27">
        <f t="shared" si="280"/>
        <v>8244.059633380748</v>
      </c>
      <c r="CU47" s="27">
        <f t="shared" ref="CU47:DB47" si="283">CU35-CU45</f>
        <v>7391.0486027171064</v>
      </c>
      <c r="CV47" s="27">
        <f t="shared" si="283"/>
        <v>7462.5153589348356</v>
      </c>
      <c r="CW47" s="27">
        <f t="shared" si="283"/>
        <v>8130.0336256083338</v>
      </c>
      <c r="CX47" s="27">
        <f t="shared" si="283"/>
        <v>9820.5101191568538</v>
      </c>
      <c r="CY47" s="27">
        <f t="shared" si="283"/>
        <v>8908.187811859174</v>
      </c>
      <c r="CZ47" s="27">
        <f t="shared" si="283"/>
        <v>9375.0894761358159</v>
      </c>
      <c r="DA47" s="27">
        <f t="shared" si="283"/>
        <v>9871.6154952958459</v>
      </c>
      <c r="DB47" s="27">
        <f t="shared" si="283"/>
        <v>12313.508673766199</v>
      </c>
      <c r="DE47" s="121"/>
      <c r="DF47" s="26">
        <v>0</v>
      </c>
    </row>
    <row r="48" spans="1:110" s="168" customFormat="1" x14ac:dyDescent="0.2">
      <c r="A48" s="165" t="s">
        <v>14</v>
      </c>
      <c r="B48" s="166" t="e">
        <f t="shared" ref="B48:E48" si="284">B47/B29</f>
        <v>#DIV/0!</v>
      </c>
      <c r="C48" s="166" t="e">
        <f t="shared" si="284"/>
        <v>#DIV/0!</v>
      </c>
      <c r="D48" s="166" t="e">
        <f t="shared" si="284"/>
        <v>#DIV/0!</v>
      </c>
      <c r="E48" s="166" t="e">
        <f t="shared" si="284"/>
        <v>#DIV/0!</v>
      </c>
      <c r="F48" s="166" t="e">
        <f t="shared" ref="F48:AE48" si="285">F47/F29</f>
        <v>#DIV/0!</v>
      </c>
      <c r="G48" s="166" t="e">
        <f t="shared" si="285"/>
        <v>#DIV/0!</v>
      </c>
      <c r="H48" s="166" t="e">
        <f t="shared" si="285"/>
        <v>#DIV/0!</v>
      </c>
      <c r="I48" s="166" t="e">
        <f t="shared" si="285"/>
        <v>#DIV/0!</v>
      </c>
      <c r="J48" s="166" t="e">
        <f t="shared" si="285"/>
        <v>#DIV/0!</v>
      </c>
      <c r="K48" s="166">
        <f t="shared" si="285"/>
        <v>0.56066320195005293</v>
      </c>
      <c r="L48" s="166">
        <f t="shared" si="285"/>
        <v>0.5833907052768138</v>
      </c>
      <c r="M48" s="166">
        <f t="shared" si="285"/>
        <v>0.3238338676884579</v>
      </c>
      <c r="N48" s="166">
        <f t="shared" si="285"/>
        <v>0.14154875976493353</v>
      </c>
      <c r="O48" s="166">
        <f t="shared" si="285"/>
        <v>0.29703373663823496</v>
      </c>
      <c r="P48" s="166">
        <f t="shared" si="285"/>
        <v>0.29866502532113159</v>
      </c>
      <c r="Q48" s="166">
        <f t="shared" si="285"/>
        <v>0.34474664707308456</v>
      </c>
      <c r="R48" s="166">
        <f t="shared" si="285"/>
        <v>0.2640510870637009</v>
      </c>
      <c r="S48" s="166">
        <f t="shared" si="285"/>
        <v>0.26599711981907259</v>
      </c>
      <c r="T48" s="166">
        <f t="shared" si="285"/>
        <v>0.20741051189532142</v>
      </c>
      <c r="U48" s="166">
        <f t="shared" si="285"/>
        <v>0.21480127491147705</v>
      </c>
      <c r="V48" s="166">
        <f t="shared" si="285"/>
        <v>0.33058850987816096</v>
      </c>
      <c r="W48" s="166">
        <f t="shared" si="285"/>
        <v>0.35415886295711696</v>
      </c>
      <c r="X48" s="166">
        <f t="shared" si="285"/>
        <v>0.25906126122873219</v>
      </c>
      <c r="Y48" s="166">
        <f t="shared" si="285"/>
        <v>0.36107743104689555</v>
      </c>
      <c r="Z48" s="166">
        <f t="shared" ref="Z48:AA48" si="286">Z47/Z29</f>
        <v>0.3790795132438447</v>
      </c>
      <c r="AA48" s="166">
        <f t="shared" ref="AA48" si="287">AA47/AA29</f>
        <v>0.36515339454710244</v>
      </c>
      <c r="AB48" s="167">
        <f t="shared" si="285"/>
        <v>0.38220319581202322</v>
      </c>
      <c r="AC48" s="167">
        <f t="shared" si="285"/>
        <v>0.38222584773006352</v>
      </c>
      <c r="AD48" s="167">
        <f t="shared" si="285"/>
        <v>0.38233804667613863</v>
      </c>
      <c r="AE48" s="167">
        <f t="shared" si="285"/>
        <v>0.38237251504948117</v>
      </c>
      <c r="AI48" s="166">
        <f t="shared" ref="AI48:BN48" si="288">AI47/AI29</f>
        <v>-0.25786023569117211</v>
      </c>
      <c r="AJ48" s="166">
        <f t="shared" si="288"/>
        <v>0.11667077041838314</v>
      </c>
      <c r="AK48" s="166">
        <f t="shared" si="288"/>
        <v>0.17504300474421763</v>
      </c>
      <c r="AL48" s="166">
        <f t="shared" si="288"/>
        <v>0.19473514263179351</v>
      </c>
      <c r="AM48" s="166">
        <f t="shared" si="288"/>
        <v>5.1291948915177181E-2</v>
      </c>
      <c r="AN48" s="166">
        <f t="shared" si="288"/>
        <v>0.17203491711288116</v>
      </c>
      <c r="AO48" s="166">
        <f t="shared" si="288"/>
        <v>0.2339373459242873</v>
      </c>
      <c r="AP48" s="166">
        <f t="shared" si="288"/>
        <v>0.45877338242872095</v>
      </c>
      <c r="AQ48" s="166">
        <f t="shared" si="288"/>
        <v>0.32043891790004153</v>
      </c>
      <c r="AR48" s="166">
        <f t="shared" si="288"/>
        <v>0.29299433693432625</v>
      </c>
      <c r="AS48" s="166">
        <f t="shared" si="288"/>
        <v>0.31958648631462294</v>
      </c>
      <c r="AT48" s="166">
        <f t="shared" si="288"/>
        <v>0.2566437282006015</v>
      </c>
      <c r="AU48" s="166">
        <f t="shared" si="288"/>
        <v>0.26685571848099221</v>
      </c>
      <c r="AV48" s="166">
        <f t="shared" si="288"/>
        <v>0.31176931918763678</v>
      </c>
      <c r="AW48" s="166">
        <f t="shared" si="288"/>
        <v>0.32475864508511432</v>
      </c>
      <c r="AX48" s="166">
        <f t="shared" si="288"/>
        <v>0.44631451447287696</v>
      </c>
      <c r="AY48" s="166">
        <f t="shared" si="288"/>
        <v>0.32005458545687487</v>
      </c>
      <c r="AZ48" s="166">
        <f t="shared" si="288"/>
        <v>0.29076533805314808</v>
      </c>
      <c r="BA48" s="166">
        <f t="shared" si="288"/>
        <v>0.24022093344380011</v>
      </c>
      <c r="BB48" s="166">
        <f t="shared" si="288"/>
        <v>0.2080544942484765</v>
      </c>
      <c r="BC48" s="166">
        <f t="shared" si="288"/>
        <v>0.28164506725163074</v>
      </c>
      <c r="BD48" s="166">
        <f t="shared" si="288"/>
        <v>0.34499801105690009</v>
      </c>
      <c r="BE48" s="166">
        <f t="shared" si="288"/>
        <v>0.14552705564706903</v>
      </c>
      <c r="BF48" s="166">
        <f t="shared" si="288"/>
        <v>0.30984549923264532</v>
      </c>
      <c r="BG48" s="166">
        <f t="shared" si="288"/>
        <v>0.30257358317143984</v>
      </c>
      <c r="BH48" s="166">
        <f t="shared" si="288"/>
        <v>0.31714248714144549</v>
      </c>
      <c r="BI48" s="166">
        <f t="shared" si="288"/>
        <v>0.16024957811528556</v>
      </c>
      <c r="BJ48" s="166">
        <f t="shared" si="288"/>
        <v>9.0470891378992266E-2</v>
      </c>
      <c r="BK48" s="166">
        <f t="shared" si="288"/>
        <v>0.34391744546290859</v>
      </c>
      <c r="BL48" s="166">
        <f t="shared" si="288"/>
        <v>0.22801059555182915</v>
      </c>
      <c r="BM48" s="166">
        <f t="shared" si="288"/>
        <v>0.220188537480874</v>
      </c>
      <c r="BN48" s="166">
        <f t="shared" si="288"/>
        <v>3.3140918568537903E-2</v>
      </c>
      <c r="BO48" s="166">
        <f t="shared" ref="BO48:CT48" si="289">BO47/BO29</f>
        <v>0.26682270558415622</v>
      </c>
      <c r="BP48" s="166">
        <f t="shared" si="289"/>
        <v>0.52169705040900938</v>
      </c>
      <c r="BQ48" s="166">
        <f t="shared" si="289"/>
        <v>0.23538472248812162</v>
      </c>
      <c r="BR48" s="166">
        <f t="shared" si="289"/>
        <v>0.25328542738797538</v>
      </c>
      <c r="BS48" s="166">
        <f t="shared" si="289"/>
        <v>0.25088219264834388</v>
      </c>
      <c r="BT48" s="166">
        <f t="shared" si="289"/>
        <v>0.22441865400122685</v>
      </c>
      <c r="BU48" s="166">
        <f t="shared" si="289"/>
        <v>0.33031330677053028</v>
      </c>
      <c r="BV48" s="166">
        <f t="shared" si="289"/>
        <v>0.49369490591425752</v>
      </c>
      <c r="BW48" s="166">
        <f t="shared" si="289"/>
        <v>0.41679771129762599</v>
      </c>
      <c r="BX48" s="166">
        <f t="shared" si="289"/>
        <v>0.13455578475731045</v>
      </c>
      <c r="BY48" s="166">
        <f t="shared" si="289"/>
        <v>0.18929062221083129</v>
      </c>
      <c r="BZ48" s="166">
        <f t="shared" si="289"/>
        <v>0.1862330429620602</v>
      </c>
      <c r="CA48" s="166">
        <f t="shared" si="289"/>
        <v>0.3193146360832817</v>
      </c>
      <c r="CB48" s="166">
        <f t="shared" si="289"/>
        <v>0.39808769123472548</v>
      </c>
      <c r="CC48" s="166">
        <f t="shared" si="289"/>
        <v>0.35756929177981822</v>
      </c>
      <c r="CD48" s="166">
        <f t="shared" si="289"/>
        <v>0.36290425773121043</v>
      </c>
      <c r="CE48" s="166">
        <f t="shared" si="289"/>
        <v>0.41417914190174537</v>
      </c>
      <c r="CF48" s="166">
        <f t="shared" si="289"/>
        <v>0.39550397034833507</v>
      </c>
      <c r="CG48" s="166">
        <f t="shared" si="289"/>
        <v>0.3674093969942609</v>
      </c>
      <c r="CH48" s="166">
        <f t="shared" si="289"/>
        <v>0.33802730835686284</v>
      </c>
      <c r="CI48" s="166">
        <f t="shared" ref="CI48:CJ48" si="290">CI47/CI29</f>
        <v>0.40294985877958622</v>
      </c>
      <c r="CJ48" s="166">
        <f t="shared" si="290"/>
        <v>0.3827265539309378</v>
      </c>
      <c r="CK48" s="166">
        <f t="shared" ref="CK48:CL48" si="291">CK47/CK29</f>
        <v>0.34036786106667194</v>
      </c>
      <c r="CL48" s="166">
        <f t="shared" si="291"/>
        <v>0.33273149505487198</v>
      </c>
      <c r="CM48" s="167">
        <f t="shared" si="289"/>
        <v>0.38363903004678795</v>
      </c>
      <c r="CN48" s="167">
        <f t="shared" si="289"/>
        <v>0.37893274430814722</v>
      </c>
      <c r="CO48" s="167">
        <f t="shared" si="289"/>
        <v>0.37798458944334246</v>
      </c>
      <c r="CP48" s="167">
        <f t="shared" si="289"/>
        <v>0.3870906137567327</v>
      </c>
      <c r="CQ48" s="167">
        <f t="shared" si="289"/>
        <v>0.38191174438875247</v>
      </c>
      <c r="CR48" s="167">
        <f t="shared" si="289"/>
        <v>0.38147992297424371</v>
      </c>
      <c r="CS48" s="167">
        <f t="shared" si="289"/>
        <v>0.38211671764076788</v>
      </c>
      <c r="CT48" s="167">
        <f t="shared" si="289"/>
        <v>0.38314974969012411</v>
      </c>
      <c r="CU48" s="167">
        <f t="shared" ref="CU48:DB48" si="292">CU47/CU29</f>
        <v>0.38216453367347208</v>
      </c>
      <c r="CV48" s="167">
        <f t="shared" si="292"/>
        <v>0.38222773099465196</v>
      </c>
      <c r="CW48" s="167">
        <f t="shared" si="292"/>
        <v>0.3824146829997539</v>
      </c>
      <c r="CX48" s="167">
        <f t="shared" si="292"/>
        <v>0.38248917433950042</v>
      </c>
      <c r="CY48" s="167">
        <f t="shared" si="292"/>
        <v>0.38232403050184449</v>
      </c>
      <c r="CZ48" s="167">
        <f t="shared" si="292"/>
        <v>0.38236390470893766</v>
      </c>
      <c r="DA48" s="167">
        <f t="shared" si="292"/>
        <v>0.3823979481375091</v>
      </c>
      <c r="DB48" s="167">
        <f t="shared" si="292"/>
        <v>0.38239376442194795</v>
      </c>
      <c r="DE48" s="169"/>
      <c r="DF48" s="168" t="e">
        <v>#DIV/0!</v>
      </c>
    </row>
    <row r="49" spans="1:110" s="38" customFormat="1" x14ac:dyDescent="0.2">
      <c r="A49" s="39" t="s">
        <v>449</v>
      </c>
      <c r="B49" s="39"/>
      <c r="C49" s="39" t="e">
        <f t="shared" ref="C49:E49" si="293">+IF(B47&lt;0,1-C47/B47,C47/B47-1)</f>
        <v>#DIV/0!</v>
      </c>
      <c r="D49" s="39" t="e">
        <f t="shared" si="293"/>
        <v>#DIV/0!</v>
      </c>
      <c r="E49" s="39" t="e">
        <f t="shared" si="293"/>
        <v>#DIV/0!</v>
      </c>
      <c r="F49" s="39">
        <f t="shared" ref="F49:Y49" si="294">+IF(E47&lt;0,1-F47/E47,F47/E47-1)</f>
        <v>1</v>
      </c>
      <c r="G49" s="39" t="e">
        <f t="shared" si="294"/>
        <v>#DIV/0!</v>
      </c>
      <c r="H49" s="39" t="e">
        <f t="shared" si="294"/>
        <v>#DIV/0!</v>
      </c>
      <c r="I49" s="39" t="e">
        <f t="shared" si="294"/>
        <v>#DIV/0!</v>
      </c>
      <c r="J49" s="39">
        <f t="shared" si="294"/>
        <v>0.22808190555787722</v>
      </c>
      <c r="K49" s="39">
        <f t="shared" si="294"/>
        <v>44.996318752706799</v>
      </c>
      <c r="L49" s="39">
        <f t="shared" si="294"/>
        <v>4.1091013494114277</v>
      </c>
      <c r="M49" s="39">
        <f t="shared" si="294"/>
        <v>6.384618472283532E-2</v>
      </c>
      <c r="N49" s="39">
        <f t="shared" si="294"/>
        <v>-0.27586441087248537</v>
      </c>
      <c r="O49" s="39">
        <f t="shared" si="294"/>
        <v>3.7866320692781468</v>
      </c>
      <c r="P49" s="39">
        <f t="shared" si="294"/>
        <v>0.27084884505692997</v>
      </c>
      <c r="Q49" s="39">
        <f t="shared" si="294"/>
        <v>0.50788794307044771</v>
      </c>
      <c r="R49" s="39">
        <f t="shared" si="294"/>
        <v>-0.32156762056456789</v>
      </c>
      <c r="S49" s="39">
        <f t="shared" si="294"/>
        <v>-9.5579948590422847E-2</v>
      </c>
      <c r="T49" s="39">
        <f t="shared" si="294"/>
        <v>-8.2773548014397846E-2</v>
      </c>
      <c r="U49" s="39">
        <f t="shared" si="294"/>
        <v>0.14765746906938704</v>
      </c>
      <c r="V49" s="39">
        <f t="shared" si="294"/>
        <v>0.5247251684167944</v>
      </c>
      <c r="W49" s="39">
        <f t="shared" si="294"/>
        <v>0.13216096865439542</v>
      </c>
      <c r="X49" s="39">
        <f t="shared" si="294"/>
        <v>2.3486472606927489E-2</v>
      </c>
      <c r="Y49" s="39">
        <f t="shared" si="294"/>
        <v>0.80998659984509125</v>
      </c>
      <c r="Z49" s="39">
        <f t="shared" ref="Z49:AE49" si="295">+IF(Y47&lt;0,1-Z47/Y47,Z47/Y47-1)</f>
        <v>0.17187127008310976</v>
      </c>
      <c r="AA49" s="39">
        <f t="shared" si="295"/>
        <v>-7.0373106586862133E-2</v>
      </c>
      <c r="AB49" s="40">
        <f t="shared" si="295"/>
        <v>0.21170939474985473</v>
      </c>
      <c r="AC49" s="40">
        <f t="shared" si="295"/>
        <v>0.16395033462488873</v>
      </c>
      <c r="AD49" s="40">
        <f t="shared" si="295"/>
        <v>0.17434612155737916</v>
      </c>
      <c r="AE49" s="40">
        <f t="shared" si="295"/>
        <v>0.23363823272475814</v>
      </c>
      <c r="AI49" s="39"/>
      <c r="AJ49" s="39"/>
      <c r="AK49" s="39"/>
      <c r="AL49" s="39"/>
      <c r="AM49" s="39">
        <f>+IF(AI47&lt;0,1-AM47/AI47,AM47/AI47-1)</f>
        <v>1.3917874222429978</v>
      </c>
      <c r="AN49" s="39">
        <f t="shared" ref="AN49" si="296">+IF(AJ47&lt;0,1-AN47/AJ47,AN47/AJ47-1)</f>
        <v>1.7506844626967779</v>
      </c>
      <c r="AO49" s="39">
        <f t="shared" ref="AO49" si="297">+IF(AK47&lt;0,1-AO47/AK47,AO47/AK47-1)</f>
        <v>2.0679456685027557</v>
      </c>
      <c r="AP49" s="39">
        <f t="shared" ref="AP49" si="298">+IF(AL47&lt;0,1-AP47/AL47,AP47/AL47-1)</f>
        <v>6.478063498967054</v>
      </c>
      <c r="AQ49" s="39">
        <f t="shared" ref="AQ49" si="299">+IF(AM47&lt;0,1-AQ47/AM47,AQ47/AM47-1)</f>
        <v>14.290106461086642</v>
      </c>
      <c r="AR49" s="39">
        <f t="shared" ref="AR49" si="300">+IF(AN47&lt;0,1-AR47/AN47,AR47/AN47-1)</f>
        <v>1.5201036806635582</v>
      </c>
      <c r="AS49" s="39">
        <f t="shared" ref="AS49" si="301">+IF(AO47&lt;0,1-AS47/AO47,AS47/AO47-1)</f>
        <v>0.79442398522855906</v>
      </c>
      <c r="AT49" s="39">
        <f t="shared" ref="AT49" si="302">+IF(AP47&lt;0,1-AT47/AP47,AT47/AP47-1)</f>
        <v>-0.56456309091503931</v>
      </c>
      <c r="AU49" s="39">
        <f t="shared" ref="AU49" si="303">+IF(AQ47&lt;0,1-AU47/AQ47,AU47/AQ47-1)</f>
        <v>-4.7676784653154058E-2</v>
      </c>
      <c r="AV49" s="39">
        <f t="shared" ref="AV49" si="304">+IF(AR47&lt;0,1-AV47/AR47,AV47/AR47-1)</f>
        <v>0.47522463219563593</v>
      </c>
      <c r="AW49" s="39">
        <f t="shared" ref="AW49" si="305">+IF(AS47&lt;0,1-AW47/AS47,AW47/AS47-1)</f>
        <v>0.14302850450819204</v>
      </c>
      <c r="AX49" s="39">
        <f t="shared" ref="AX49" si="306">+IF(AT47&lt;0,1-AX47/AT47,AX47/AT47-1)</f>
        <v>1.8483763252358298</v>
      </c>
      <c r="AY49" s="39">
        <f t="shared" ref="AY49" si="307">+IF(AU47&lt;0,1-AY47/AU47,AY47/AU47-1)</f>
        <v>8.6506826003101667E-2</v>
      </c>
      <c r="AZ49" s="39">
        <f t="shared" ref="AZ49" si="308">+IF(AV47&lt;0,1-AZ47/AV47,AZ47/AV47-1)</f>
        <v>-9.5612063339784892E-2</v>
      </c>
      <c r="BA49" s="39">
        <f t="shared" ref="BA49" si="309">+IF(AW47&lt;0,1-BA47/AW47,BA47/AW47-1)</f>
        <v>-0.35106261283888973</v>
      </c>
      <c r="BB49" s="39">
        <f t="shared" ref="BB49" si="310">+IF(AX47&lt;0,1-BB47/AX47,BB47/AX47-1)</f>
        <v>-0.61266621142004718</v>
      </c>
      <c r="BC49" s="39">
        <f t="shared" ref="BC49" si="311">+IF(AY47&lt;0,1-BC47/AY47,BC47/AY47-1)</f>
        <v>-9.4307443309375683E-2</v>
      </c>
      <c r="BD49" s="39">
        <f t="shared" ref="BD49" si="312">+IF(AZ47&lt;0,1-BD47/AZ47,BD47/AZ47-1)</f>
        <v>0.31046902463844139</v>
      </c>
      <c r="BE49" s="39">
        <f t="shared" ref="BE49" si="313">+IF(BA47&lt;0,1-BE47/BA47,BE47/BA47-1)</f>
        <v>-0.45967074404488195</v>
      </c>
      <c r="BF49" s="39">
        <f t="shared" ref="BF49" si="314">+IF(BB47&lt;0,1-BF47/BB47,BF47/BB47-1)</f>
        <v>-6.6623285235432372E-2</v>
      </c>
      <c r="BG49" s="39">
        <f t="shared" ref="BG49" si="315">+IF(BC47&lt;0,1-BG47/BC47,BG47/BC47-1)</f>
        <v>-0.25780459372558062</v>
      </c>
      <c r="BH49" s="39">
        <f t="shared" ref="BH49" si="316">+IF(BD47&lt;0,1-BH47/BD47,BH47/BD47-1)</f>
        <v>6.0328680477772512E-2</v>
      </c>
      <c r="BI49" s="39">
        <f t="shared" ref="BI49" si="317">+IF(BE47&lt;0,1-BI47/BE47,BI47/BE47-1)</f>
        <v>0.43316312056737605</v>
      </c>
      <c r="BJ49" s="39">
        <f t="shared" ref="BJ49" si="318">+IF(BF47&lt;0,1-BJ47/BF47,BJ47/BF47-1)</f>
        <v>-0.50702033139855385</v>
      </c>
      <c r="BK49" s="39">
        <f t="shared" ref="BK49" si="319">+IF(BG47&lt;0,1-BK47/BG47,BK47/BG47-1)</f>
        <v>1.3164417135558706</v>
      </c>
      <c r="BL49" s="39">
        <f t="shared" ref="BL49" si="320">+IF(BH47&lt;0,1-BL47/BH47,BL47/BH47-1)</f>
        <v>-0.40132708994474153</v>
      </c>
      <c r="BM49" s="39">
        <f t="shared" ref="BM49" si="321">+IF(BI47&lt;0,1-BM47/BI47,BM47/BI47-1)</f>
        <v>0.43282725311268999</v>
      </c>
      <c r="BN49" s="39">
        <f t="shared" ref="BN49" si="322">+IF(BJ47&lt;0,1-BN47/BJ47,BN47/BJ47-1)</f>
        <v>-0.66361902256133587</v>
      </c>
      <c r="BO49" s="39">
        <f t="shared" ref="BO49" si="323">+IF(BK47&lt;0,1-BO47/BK47,BO47/BK47-1)</f>
        <v>-0.48271365770061858</v>
      </c>
      <c r="BP49" s="39">
        <f t="shared" ref="BP49" si="324">+IF(BL47&lt;0,1-BP47/BL47,BP47/BL47-1)</f>
        <v>1.9971975920049814</v>
      </c>
      <c r="BQ49" s="39">
        <f t="shared" ref="BQ49" si="325">+IF(BM47&lt;0,1-BQ47/BM47,BQ47/BM47-1)</f>
        <v>0.12104717828279399</v>
      </c>
      <c r="BR49" s="39">
        <f t="shared" ref="BR49" si="326">+IF(BN47&lt;0,1-BR47/BN47,BR47/BN47-1)</f>
        <v>6.8917676965193442</v>
      </c>
      <c r="BS49" s="39">
        <f t="shared" ref="BS49" si="327">+IF(BO47&lt;0,1-BS47/BO47,BS47/BO47-1)</f>
        <v>0.18689953186892394</v>
      </c>
      <c r="BT49" s="39">
        <f t="shared" ref="BT49" si="328">+IF(BP47&lt;0,1-BT47/BP47,BT47/BP47-1)</f>
        <v>-0.71224713931640427</v>
      </c>
      <c r="BU49" s="39">
        <f t="shared" ref="BU49" si="329">+IF(BQ47&lt;0,1-BU47/BQ47,BU47/BQ47-1)</f>
        <v>9.1087778969031419E-2</v>
      </c>
      <c r="BV49" s="39">
        <f t="shared" ref="BV49" si="330">+IF(BR47&lt;0,1-BV47/BR47,BV47/BR47-1)</f>
        <v>2.2409963204777186</v>
      </c>
      <c r="BW49" s="39">
        <f t="shared" ref="BW49" si="331">+IF(BS47&lt;0,1-BW47/BS47,BW47/BS47-1)</f>
        <v>2.4706949593752454</v>
      </c>
      <c r="BX49" s="39">
        <f t="shared" ref="BX49" si="332">+IF(BT47&lt;0,1-BX47/BT47,BX47/BT47-1)</f>
        <v>-0.18527305705271935</v>
      </c>
      <c r="BY49" s="39">
        <f t="shared" ref="BY49" si="333">+IF(BU47&lt;0,1-BY47/BU47,BY47/BU47-1)</f>
        <v>-0.17000513900732439</v>
      </c>
      <c r="BZ49" s="39">
        <f t="shared" ref="BZ49" si="334">+IF(BV47&lt;0,1-BZ47/BV47,BZ47/BV47-1)</f>
        <v>-0.63543874604124229</v>
      </c>
      <c r="CA49" s="39">
        <f t="shared" ref="CA49" si="335">+IF(BW47&lt;0,1-CA47/BW47,CA47/BW47-1)</f>
        <v>-0.38559619842859971</v>
      </c>
      <c r="CB49" s="39">
        <f t="shared" ref="CB49" si="336">+IF(BX47&lt;0,1-CB47/BX47,CB47/BX47-1)</f>
        <v>4.4563189769777765</v>
      </c>
      <c r="CC49" s="39">
        <f t="shared" ref="CC49" si="337">+IF(BY47&lt;0,1-CC47/BY47,CC47/BY47-1)</f>
        <v>2.1606757703795938</v>
      </c>
      <c r="CD49" s="39">
        <f t="shared" ref="CD49" si="338">+IF(BZ47&lt;0,1-CD47/BZ47,CD47/BZ47-1)</f>
        <v>1.5425786799901462</v>
      </c>
      <c r="CE49" s="39">
        <f t="shared" ref="CE49" si="339">+IF(CA47&lt;0,1-CE47/CA47,CE47/CA47-1)</f>
        <v>0.76263648082225655</v>
      </c>
      <c r="CF49" s="39">
        <f t="shared" ref="CF49" si="340">+IF(CB47&lt;0,1-CF47/CB47,CF47/CB47-1)</f>
        <v>2.0147387839632769E-2</v>
      </c>
      <c r="CG49" s="39">
        <f t="shared" ref="CG49" si="341">+IF(CC47&lt;0,1-CG47/CC47,CG47/CC47-1)</f>
        <v>8.1281456255085205E-2</v>
      </c>
      <c r="CH49" s="39">
        <f t="shared" ref="CH49:CL49" si="342">+IF(CD47&lt;0,1-CH47/CD47,CH47/CD47-1)</f>
        <v>-7.6519565997353878E-3</v>
      </c>
      <c r="CI49" s="39">
        <f t="shared" si="342"/>
        <v>-8.2177030209983126E-2</v>
      </c>
      <c r="CJ49" s="39">
        <f t="shared" si="342"/>
        <v>-2.37490474980947E-2</v>
      </c>
      <c r="CK49" s="39">
        <f t="shared" si="342"/>
        <v>-0.15625373288843913</v>
      </c>
      <c r="CL49" s="39">
        <f t="shared" si="342"/>
        <v>-1.6656173443626465E-2</v>
      </c>
      <c r="CM49" s="40">
        <f t="shared" ref="CM49" si="343">+CM47/CI47-1</f>
        <v>5.218998063303415E-2</v>
      </c>
      <c r="CN49" s="40">
        <f t="shared" ref="CN49" si="344">+CN47/CJ47-1</f>
        <v>7.4463145952265108E-2</v>
      </c>
      <c r="CO49" s="40">
        <f t="shared" ref="CO49" si="345">+CO47/CK47-1</f>
        <v>0.31181818591711075</v>
      </c>
      <c r="CP49" s="40">
        <f t="shared" ref="CP49" si="346">+CP47/CL47-1</f>
        <v>0.46305857452861754</v>
      </c>
      <c r="CQ49" s="40">
        <f t="shared" ref="CQ49" si="347">+CQ47/CM47-1</f>
        <v>6.0510755935561322E-2</v>
      </c>
      <c r="CR49" s="40">
        <f t="shared" ref="CR49" si="348">+CR47/CN47-1</f>
        <v>0.17424265218582558</v>
      </c>
      <c r="CS49" s="40">
        <f t="shared" ref="CS49" si="349">+CS47/CO47-1</f>
        <v>0.23172763985861033</v>
      </c>
      <c r="CT49" s="40">
        <f t="shared" ref="CT49" si="350">+CT47/CP47-1</f>
        <v>0.19067035626252093</v>
      </c>
      <c r="CU49" s="40">
        <f t="shared" ref="CU49" si="351">+CU47/CQ47-1</f>
        <v>0.16505106193327479</v>
      </c>
      <c r="CV49" s="40">
        <f t="shared" ref="CV49" si="352">+CV47/CR47-1</f>
        <v>0.14842907516202364</v>
      </c>
      <c r="CW49" s="40">
        <f t="shared" ref="CW49" si="353">+CW47/CS47-1</f>
        <v>0.18723278727970993</v>
      </c>
      <c r="CX49" s="40">
        <f t="shared" ref="CX49" si="354">+CX47/CT47-1</f>
        <v>0.19122259613369996</v>
      </c>
      <c r="CY49" s="40">
        <f t="shared" ref="CY49" si="355">+CY47/CU47-1</f>
        <v>0.20526711305677714</v>
      </c>
      <c r="CZ49" s="40">
        <f t="shared" ref="CZ49" si="356">+CZ47/CV47-1</f>
        <v>0.25629081150380006</v>
      </c>
      <c r="DA49" s="40">
        <f t="shared" ref="DA49" si="357">+DA47/CW47-1</f>
        <v>0.21421582614391688</v>
      </c>
      <c r="DB49" s="40">
        <f t="shared" ref="DB49" si="358">+DB47/CX47-1</f>
        <v>0.25385631951503784</v>
      </c>
      <c r="DE49" s="122"/>
      <c r="DF49" s="38" t="e">
        <v>#DIV/0!</v>
      </c>
    </row>
    <row r="50" spans="1:110" s="38" customFormat="1" x14ac:dyDescent="0.2">
      <c r="A50" s="39" t="s">
        <v>450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0"/>
      <c r="AC50" s="40"/>
      <c r="AD50" s="40"/>
      <c r="AE50" s="40"/>
      <c r="AI50" s="39"/>
      <c r="AJ50" s="39">
        <f>+IF(AI47&lt;0,1-AJ47/AI47,AJ47/AI47-1)</f>
        <v>1.6303980439394492</v>
      </c>
      <c r="AK50" s="39">
        <f t="shared" ref="AK50:AM50" si="359">+IF(AJ47&lt;0,1-AK47/AJ47,AK47/AJ47-1)</f>
        <v>0.82249600730093353</v>
      </c>
      <c r="AL50" s="39">
        <f t="shared" si="359"/>
        <v>0.15135202804206349</v>
      </c>
      <c r="AM50" s="39">
        <f t="shared" si="359"/>
        <v>-0.70381646188974667</v>
      </c>
      <c r="AN50" s="39">
        <f t="shared" ref="AN50" si="360">+IF(AM47&lt;0,1-AN47/AM47,AN47/AM47-1)</f>
        <v>3.4259361233480119</v>
      </c>
      <c r="AO50" s="39">
        <f t="shared" ref="AO50" si="361">+IF(AN47&lt;0,1-AO47/AN47,AO47/AN47-1)</f>
        <v>1.0327008812856429</v>
      </c>
      <c r="AP50" s="39">
        <f t="shared" ref="AP50" si="362">+IF(AO47&lt;0,1-AP47/AO47,AP47/AO47-1)</f>
        <v>1.8064002774745727</v>
      </c>
      <c r="AQ50" s="39">
        <f t="shared" ref="AQ50" si="363">+IF(AP47&lt;0,1-AQ47/AP47,AQ47/AP47-1)</f>
        <v>-0.3944050046709775</v>
      </c>
      <c r="AR50" s="39">
        <f t="shared" ref="AR50" si="364">+IF(AQ47&lt;0,1-AR47/AQ47,AR47/AQ47-1)</f>
        <v>-0.27052058511053423</v>
      </c>
      <c r="AS50" s="39">
        <f t="shared" ref="AS50" si="365">+IF(AR47&lt;0,1-AS47/AR47,AS47/AR47-1)</f>
        <v>0.44737188559391838</v>
      </c>
      <c r="AT50" s="39">
        <f t="shared" ref="AT50" si="366">+IF(AS47&lt;0,1-AT47/AS47,AT47/AS47-1)</f>
        <v>-0.31899580448204157</v>
      </c>
      <c r="AU50" s="39">
        <f t="shared" ref="AU50" si="367">+IF(AT47&lt;0,1-AU47/AT47,AU47/AT47-1)</f>
        <v>0.32446781868269503</v>
      </c>
      <c r="AV50" s="39">
        <f t="shared" ref="AV50" si="368">+IF(AU47&lt;0,1-AV47/AU47,AV47/AU47-1)</f>
        <v>0.13002180791387774</v>
      </c>
      <c r="AW50" s="39">
        <f t="shared" ref="AW50" si="369">+IF(AV47&lt;0,1-AW47/AV47,AW47/AV47-1)</f>
        <v>0.12144773463776004</v>
      </c>
      <c r="AX50" s="39">
        <f t="shared" ref="AX50" si="370">+IF(AW47&lt;0,1-AX47/AW47,AX47/AW47-1)</f>
        <v>0.69703224394586649</v>
      </c>
      <c r="AY50" s="39">
        <f t="shared" ref="AY50" si="371">+IF(AX47&lt;0,1-AY47/AX47,AY47/AX47-1)</f>
        <v>-0.49478469081818344</v>
      </c>
      <c r="AZ50" s="39">
        <f t="shared" ref="AZ50" si="372">+IF(AY47&lt;0,1-AZ47/AY47,AZ47/AY47-1)</f>
        <v>-5.9391007233892568E-2</v>
      </c>
      <c r="BA50" s="39">
        <f t="shared" ref="BA50" si="373">+IF(AZ47&lt;0,1-BA47/AZ47,BA47/AZ47-1)</f>
        <v>-0.19531283727527804</v>
      </c>
      <c r="BB50" s="39">
        <f t="shared" ref="BB50" si="374">+IF(BA47&lt;0,1-BB47/BA47,BB47/BA47-1)</f>
        <v>1.2914252429565121E-2</v>
      </c>
      <c r="BC50" s="39">
        <f t="shared" ref="BC50" si="375">+IF(BB47&lt;0,1-BC47/BB47,BC47/BB47-1)</f>
        <v>0.18133186038241256</v>
      </c>
      <c r="BD50" s="39">
        <f t="shared" ref="BD50" si="376">+IF(BC47&lt;0,1-BD47/BC47,BD47/BC47-1)</f>
        <v>0.36099048204655282</v>
      </c>
      <c r="BE50" s="39">
        <f t="shared" ref="BE50" si="377">+IF(BD47&lt;0,1-BE47/BD47,BE47/BD47-1)</f>
        <v>-0.66821343523808641</v>
      </c>
      <c r="BF50" s="39">
        <f t="shared" ref="BF50" si="378">+IF(BE47&lt;0,1-BF47/BE47,BF47/BE47-1)</f>
        <v>0.74973049645390066</v>
      </c>
      <c r="BG50" s="39">
        <f t="shared" ref="BG50" si="379">+IF(BF47&lt;0,1-BG47/BF47,BG47/BF47-1)</f>
        <v>-6.0637504458640135E-2</v>
      </c>
      <c r="BH50" s="39">
        <f t="shared" ref="BH50" si="380">+IF(BG47&lt;0,1-BH47/BG47,BH47/BG47-1)</f>
        <v>0.94436293969415641</v>
      </c>
      <c r="BI50" s="39">
        <f t="shared" ref="BI50" si="381">+IF(BH47&lt;0,1-BI47/BH47,BI47/BH47-1)</f>
        <v>-0.55155012094716049</v>
      </c>
      <c r="BJ50" s="39">
        <f t="shared" ref="BJ50" si="382">+IF(BI47&lt;0,1-BJ47/BI47,BJ47/BI47-1)</f>
        <v>-0.39812743720184507</v>
      </c>
      <c r="BK50" s="39">
        <f t="shared" ref="BK50" si="383">+IF(BJ47&lt;0,1-BK47/BJ47,BK47/BJ47-1)</f>
        <v>3.413931460895876</v>
      </c>
      <c r="BL50" s="39">
        <f t="shared" ref="BL50" si="384">+IF(BK47&lt;0,1-BL47/BK47,BL47/BK47-1)</f>
        <v>-0.49748900976082255</v>
      </c>
      <c r="BM50" s="39">
        <f t="shared" ref="BM50" si="385">+IF(BL47&lt;0,1-BM47/BL47,BM47/BL47-1)</f>
        <v>7.3292606980812858E-2</v>
      </c>
      <c r="BN50" s="39">
        <f t="shared" ref="BN50" si="386">+IF(BM47&lt;0,1-BN47/BM47,BN47/BM47-1)</f>
        <v>-0.85870000690750814</v>
      </c>
      <c r="BO50" s="39">
        <f t="shared" ref="BO50" si="387">+IF(BN47&lt;0,1-BO47/BN47,BO47/BN47-1)</f>
        <v>5.7877395385216897</v>
      </c>
      <c r="BP50" s="39">
        <f t="shared" ref="BP50" si="388">+IF(BO47&lt;0,1-BP47/BO47,BP47/BO47-1)</f>
        <v>1.9115880446525035</v>
      </c>
      <c r="BQ50" s="39">
        <f t="shared" ref="BQ50" si="389">+IF(BP47&lt;0,1-BQ47/BP47,BQ47/BP47-1)</f>
        <v>-0.59855444574719119</v>
      </c>
      <c r="BR50" s="39">
        <f t="shared" ref="BR50" si="390">+IF(BQ47&lt;0,1-BR47/BQ47,BR47/BQ47-1)</f>
        <v>-5.2990252258249271E-3</v>
      </c>
      <c r="BS50" s="39">
        <f t="shared" ref="BS50" si="391">+IF(BR47&lt;0,1-BS47/BR47,BS47/BR47-1)</f>
        <v>2.0856820744081128E-2</v>
      </c>
      <c r="BT50" s="39">
        <f t="shared" ref="BT50" si="392">+IF(BS47&lt;0,1-BT47/BS47,BT47/BS47-1)</f>
        <v>-0.29411229300793118</v>
      </c>
      <c r="BU50" s="39">
        <f t="shared" ref="BU50" si="393">+IF(BT47&lt;0,1-BU47/BT47,BU47/BT47-1)</f>
        <v>0.52218239334313399</v>
      </c>
      <c r="BV50" s="39">
        <f t="shared" ref="BV50" si="394">+IF(BU47&lt;0,1-BV47/BU47,BV47/BU47-1)</f>
        <v>1.9546863793716853</v>
      </c>
      <c r="BW50" s="39">
        <f t="shared" ref="BW50" si="395">+IF(BV47&lt;0,1-BW47/BV47,BW47/BV47-1)</f>
        <v>9.3207850812393245E-2</v>
      </c>
      <c r="BX50" s="39">
        <f t="shared" ref="BX50" si="396">+IF(BW47&lt;0,1-BX47/BW47,BX47/BW47-1)</f>
        <v>-0.83429666383436996</v>
      </c>
      <c r="BY50" s="39">
        <f t="shared" ref="BY50" si="397">+IF(BX47&lt;0,1-BY47/BX47,BY47/BX47-1)</f>
        <v>0.55070797020405515</v>
      </c>
      <c r="BZ50" s="39">
        <f t="shared" ref="BZ50" si="398">+IF(BY47&lt;0,1-BZ47/BY47,BZ47/BY47-1)</f>
        <v>0.29779619385873413</v>
      </c>
      <c r="CA50" s="39">
        <f t="shared" ref="CA50" si="399">+IF(BZ47&lt;0,1-CA47/BZ47,CA47/BZ47-1)</f>
        <v>0.842409340414491</v>
      </c>
      <c r="CB50" s="39">
        <f t="shared" ref="CB50" si="400">+IF(CA47&lt;0,1-CB47/CA47,CB47/CA47-1)</f>
        <v>0.47155706940069364</v>
      </c>
      <c r="CC50" s="39">
        <f t="shared" ref="CC50" si="401">+IF(CB47&lt;0,1-CC47/CB47,CC47/CB47-1)</f>
        <v>-0.10172313439906844</v>
      </c>
      <c r="CD50" s="39">
        <f t="shared" ref="CD50" si="402">+IF(CC47&lt;0,1-CD47/CC47,CD47/CC47-1)</f>
        <v>4.4001084958258829E-2</v>
      </c>
      <c r="CE50" s="39">
        <f t="shared" ref="CE50" si="403">+IF(CD47&lt;0,1-CE47/CD47,CE47/CD47-1)</f>
        <v>0.2772457904959853</v>
      </c>
      <c r="CF50" s="39">
        <f t="shared" ref="CF50" si="404">+IF(CE47&lt;0,1-CF47/CE47,CF47/CE47-1)</f>
        <v>-0.14831837605802756</v>
      </c>
      <c r="CG50" s="39">
        <f t="shared" ref="CG50" si="405">+IF(CF47&lt;0,1-CG47/CF47,CG47/CF47-1)</f>
        <v>-4.7892364441445068E-2</v>
      </c>
      <c r="CH50" s="39">
        <f t="shared" ref="CH50:CI50" si="406">+IF(CG47&lt;0,1-CH47/CG47,CH47/CG47-1)</f>
        <v>-4.1866085862406921E-2</v>
      </c>
      <c r="CI50" s="39">
        <f t="shared" si="406"/>
        <v>0.18132497200075637</v>
      </c>
      <c r="CJ50" s="39">
        <f>+IF(CI47&gt;1,CJ47/CI47-1,1-CJ47/CI47)</f>
        <v>-9.4100906199870216E-2</v>
      </c>
      <c r="CK50" s="39">
        <f>+IF(CJ47&gt;1,CK47/CJ47-1,1-CK47/CJ47)</f>
        <v>-0.17712012333286076</v>
      </c>
      <c r="CL50" s="39">
        <f>+IF(CK47&gt;1,CL47/CK47-1,1-CL47/CK47)</f>
        <v>0.11665687447352169</v>
      </c>
      <c r="CM50" s="40">
        <f t="shared" ref="CM50" si="407">+CM47/CL47-1</f>
        <v>0.26403223963244904</v>
      </c>
      <c r="CN50" s="40">
        <f t="shared" ref="CN50" si="408">+CN47/CM47-1</f>
        <v>-7.4924483072734471E-2</v>
      </c>
      <c r="CO50" s="40">
        <f t="shared" ref="CO50" si="409">+CO47/CN47-1</f>
        <v>4.6587368806223495E-3</v>
      </c>
      <c r="CP50" s="40">
        <f t="shared" ref="CP50" si="410">+CP47/CO47-1</f>
        <v>0.24539698606376992</v>
      </c>
      <c r="CQ50" s="40">
        <f t="shared" ref="CQ50" si="411">+CQ47/CP47-1</f>
        <v>-8.3755217106443736E-2</v>
      </c>
      <c r="CR50" s="40">
        <f t="shared" ref="CR50" si="412">+CR47/CQ47-1</f>
        <v>2.4282990426218287E-2</v>
      </c>
      <c r="CS50" s="40">
        <f t="shared" ref="CS50" si="413">+CS47/CR47-1</f>
        <v>5.3841752841959245E-2</v>
      </c>
      <c r="CT50" s="40">
        <f t="shared" ref="CT50" si="414">+CT47/CS47-1</f>
        <v>0.20388406097230694</v>
      </c>
      <c r="CU50" s="40">
        <f t="shared" ref="CU50" si="415">+CU47/CT47-1</f>
        <v>-0.10346977928322387</v>
      </c>
      <c r="CV50" s="40">
        <f t="shared" ref="CV50" si="416">+CV47/CU47-1</f>
        <v>9.6693662914699718E-3</v>
      </c>
      <c r="CW50" s="40">
        <f t="shared" ref="CW50" si="417">+CW47/CV47-1</f>
        <v>8.9449499875974281E-2</v>
      </c>
      <c r="CX50" s="40">
        <f t="shared" ref="CX50" si="418">+CX47/CW47-1</f>
        <v>0.20792982801741222</v>
      </c>
      <c r="CY50" s="40">
        <f t="shared" ref="CY50" si="419">+CY47/CX47-1</f>
        <v>-9.2899686088405375E-2</v>
      </c>
      <c r="CZ50" s="40">
        <f t="shared" ref="CZ50" si="420">+CZ47/CY47-1</f>
        <v>5.2412642631430639E-2</v>
      </c>
      <c r="DA50" s="40">
        <f t="shared" ref="DA50" si="421">+DA47/CZ47-1</f>
        <v>5.2962269898749303E-2</v>
      </c>
      <c r="DB50" s="40">
        <f t="shared" ref="DB50" si="422">+DB47/DA47-1</f>
        <v>0.24736510246311716</v>
      </c>
      <c r="DE50" s="122"/>
    </row>
    <row r="51" spans="1:110" s="23" customFormat="1" x14ac:dyDescent="0.2">
      <c r="A51" s="23" t="s">
        <v>15</v>
      </c>
      <c r="B51" s="23">
        <f>'Annual Raw'!C27</f>
        <v>0</v>
      </c>
      <c r="C51" s="23">
        <f>'Annual Raw'!D27</f>
        <v>0</v>
      </c>
      <c r="D51" s="23">
        <f>'Annual Raw'!E27</f>
        <v>0</v>
      </c>
      <c r="E51" s="23">
        <f>'Annual Raw'!F27</f>
        <v>0</v>
      </c>
      <c r="F51" s="23">
        <f>'Annual Raw'!G27</f>
        <v>0</v>
      </c>
      <c r="G51" s="23">
        <f>'Annual Raw'!H27</f>
        <v>0</v>
      </c>
      <c r="H51" s="23">
        <f>'Annual Raw'!I27</f>
        <v>0</v>
      </c>
      <c r="I51" s="23">
        <f>'Annual Raw'!J27</f>
        <v>0</v>
      </c>
      <c r="J51" s="23">
        <f>'Annual Raw'!K27</f>
        <v>0</v>
      </c>
      <c r="K51" s="23">
        <f>'Annual Raw'!L27</f>
        <v>35.35</v>
      </c>
      <c r="L51" s="23">
        <f>'Annual Raw'!M27</f>
        <v>188.57</v>
      </c>
      <c r="M51" s="23">
        <f>'Annual Raw'!N27</f>
        <v>590.44000000000005</v>
      </c>
      <c r="N51" s="23">
        <f>'Annual Raw'!O27</f>
        <v>1289.68</v>
      </c>
      <c r="O51" s="23">
        <f>'Annual Raw'!P27</f>
        <v>1937.47</v>
      </c>
      <c r="P51" s="23">
        <f>'Annual Raw'!Q27</f>
        <v>2060.62</v>
      </c>
      <c r="Q51" s="23">
        <f>'Annual Raw'!R27</f>
        <v>2665.82</v>
      </c>
      <c r="R51" s="23">
        <f>'Annual Raw'!S27</f>
        <v>2672.36</v>
      </c>
      <c r="S51" s="23">
        <f>'Annual Raw'!T27</f>
        <v>2698.72</v>
      </c>
      <c r="T51" s="23">
        <f>'Annual Raw'!U27</f>
        <v>2750.62</v>
      </c>
      <c r="U51" s="23">
        <f>'Annual Raw'!V27</f>
        <v>3006.5</v>
      </c>
      <c r="V51" s="23">
        <f>'Annual Raw'!W27</f>
        <v>3201.65</v>
      </c>
      <c r="W51" s="23">
        <f>'Annual Raw'!X27</f>
        <v>3117.54</v>
      </c>
      <c r="X51" s="23">
        <f>'Annual Raw'!Y27</f>
        <v>3303.68</v>
      </c>
      <c r="Y51" s="23">
        <f>'Annual Raw'!Z27</f>
        <v>3931.33</v>
      </c>
      <c r="Z51" s="23">
        <f>'Annual Raw'!AA27</f>
        <v>4308.88</v>
      </c>
      <c r="AA51" s="23">
        <f>'Annual Raw'!AB27</f>
        <v>4564.53</v>
      </c>
      <c r="AB51" s="76">
        <f>+SUM(CM51:CP51)</f>
        <v>5929.2269101744005</v>
      </c>
      <c r="AC51" s="76">
        <f>+SUM(CQ51:CT51)</f>
        <v>5961.5711200267087</v>
      </c>
      <c r="AD51" s="76">
        <f>+SUM(CU51:CX51)</f>
        <v>7151.098219501655</v>
      </c>
      <c r="AE51" s="76">
        <f>+SUM(CY51:DB51)</f>
        <v>8266.3032869798481</v>
      </c>
      <c r="AI51" s="23">
        <f>'QTR Raw'!C28</f>
        <v>241.8</v>
      </c>
      <c r="AJ51" s="23">
        <f>'QTR Raw'!D28</f>
        <v>268.3</v>
      </c>
      <c r="AK51" s="23">
        <f>'QTR Raw'!E28</f>
        <v>380.58</v>
      </c>
      <c r="AL51" s="23">
        <f>'QTR Raw'!F28</f>
        <v>399</v>
      </c>
      <c r="AM51" s="23">
        <f>'QTR Raw'!G28</f>
        <v>486.93</v>
      </c>
      <c r="AN51" s="23">
        <f>'QTR Raw'!H28</f>
        <v>582.85</v>
      </c>
      <c r="AO51" s="23">
        <f>'QTR Raw'!I28</f>
        <v>569</v>
      </c>
      <c r="AP51" s="23">
        <f>'QTR Raw'!J28</f>
        <v>579.66999999999996</v>
      </c>
      <c r="AQ51" s="23">
        <f>'QTR Raw'!K28</f>
        <v>662.65</v>
      </c>
      <c r="AR51" s="23">
        <f>'QTR Raw'!L28</f>
        <v>679.23</v>
      </c>
      <c r="AS51" s="23">
        <f>'QTR Raw'!M28</f>
        <v>740.92</v>
      </c>
      <c r="AT51" s="23">
        <f>'QTR Raw'!N28</f>
        <v>-22.18</v>
      </c>
      <c r="AU51" s="23">
        <f>'QTR Raw'!O28</f>
        <v>564.61</v>
      </c>
      <c r="AV51" s="23">
        <f>'QTR Raw'!P28</f>
        <v>593.76</v>
      </c>
      <c r="AW51" s="23">
        <f>'QTR Raw'!Q28</f>
        <v>615.45000000000005</v>
      </c>
      <c r="AX51" s="23">
        <f>'QTR Raw'!R28</f>
        <v>891.99</v>
      </c>
      <c r="AY51" s="23">
        <f>'QTR Raw'!S28</f>
        <v>598.46</v>
      </c>
      <c r="AZ51" s="23">
        <f>'QTR Raw'!T28</f>
        <v>597.65</v>
      </c>
      <c r="BA51" s="23">
        <f>'QTR Raw'!U28</f>
        <v>607.74</v>
      </c>
      <c r="BB51" s="23">
        <f>'QTR Raw'!V28</f>
        <v>868.51</v>
      </c>
      <c r="BC51" s="23">
        <f>'QTR Raw'!W28</f>
        <v>666.14</v>
      </c>
      <c r="BD51" s="23">
        <f>'QTR Raw'!X28</f>
        <v>678.24</v>
      </c>
      <c r="BE51" s="23">
        <f>'QTR Raw'!Y28</f>
        <v>672.95</v>
      </c>
      <c r="BF51" s="23">
        <f>'QTR Raw'!Z28</f>
        <v>681.39</v>
      </c>
      <c r="BG51" s="23">
        <f>'QTR Raw'!AA28</f>
        <v>679.31</v>
      </c>
      <c r="BH51" s="23">
        <f>'QTR Raw'!AB28</f>
        <v>697.46</v>
      </c>
      <c r="BI51" s="23">
        <f>'QTR Raw'!AC28</f>
        <v>682.19</v>
      </c>
      <c r="BJ51" s="23">
        <f>'QTR Raw'!AD28</f>
        <v>691.66</v>
      </c>
      <c r="BK51" s="23">
        <f>'QTR Raw'!AE28</f>
        <v>689.65</v>
      </c>
      <c r="BL51" s="23">
        <f>'QTR Raw'!AF28</f>
        <v>765.26</v>
      </c>
      <c r="BM51" s="23">
        <f>'QTR Raw'!AG28</f>
        <v>783.18</v>
      </c>
      <c r="BN51" s="23">
        <f>'QTR Raw'!AH28</f>
        <v>768.41</v>
      </c>
      <c r="BO51" s="23">
        <f>'QTR Raw'!AI28</f>
        <v>782.61</v>
      </c>
      <c r="BP51" s="23">
        <f>'QTR Raw'!AJ28</f>
        <v>827.84</v>
      </c>
      <c r="BQ51" s="23">
        <f>'QTR Raw'!AK28</f>
        <v>809.65</v>
      </c>
      <c r="BR51" s="23">
        <f>'QTR Raw'!AL28</f>
        <v>781.55</v>
      </c>
      <c r="BS51" s="23">
        <f>'QTR Raw'!AM28</f>
        <v>774.34</v>
      </c>
      <c r="BT51" s="23">
        <f>'QTR Raw'!AN28</f>
        <v>784.96</v>
      </c>
      <c r="BU51" s="23">
        <f>'QTR Raw'!AO28</f>
        <v>784.36</v>
      </c>
      <c r="BV51" s="23">
        <f>'QTR Raw'!AP28</f>
        <v>773.88</v>
      </c>
      <c r="BW51" s="23">
        <f>'QTR Raw'!AQ28</f>
        <v>816.05</v>
      </c>
      <c r="BX51" s="23">
        <f>'QTR Raw'!AR28</f>
        <v>833.03</v>
      </c>
      <c r="BY51" s="23">
        <f>'QTR Raw'!AS28</f>
        <v>837.65</v>
      </c>
      <c r="BZ51" s="23">
        <f>'QTR Raw'!AT28</f>
        <v>816.95</v>
      </c>
      <c r="CA51" s="23">
        <f>'QTR Raw'!AU28</f>
        <v>934.59</v>
      </c>
      <c r="CB51" s="23">
        <f>'QTR Raw'!AV28</f>
        <v>1004.48</v>
      </c>
      <c r="CC51" s="23">
        <f>'QTR Raw'!AW28</f>
        <v>1002.23</v>
      </c>
      <c r="CD51" s="23">
        <f>'QTR Raw'!AX28</f>
        <v>990.03</v>
      </c>
      <c r="CE51" s="23">
        <f>'QTR Raw'!AY28</f>
        <v>995.63</v>
      </c>
      <c r="CF51" s="23">
        <f>'QTR Raw'!AZ28</f>
        <v>1058.5899999999999</v>
      </c>
      <c r="CG51" s="23">
        <f>'QTR Raw'!BA28</f>
        <v>1170.01</v>
      </c>
      <c r="CH51" s="23">
        <f>'QTR Raw'!BB28</f>
        <v>1084.6500000000001</v>
      </c>
      <c r="CI51" s="23">
        <f>'QTR Raw'!BC28</f>
        <v>1088.5899999999999</v>
      </c>
      <c r="CJ51" s="23">
        <f>'QTR Raw'!BD28</f>
        <v>1193.4100000000001</v>
      </c>
      <c r="CK51" s="23">
        <f>'QTR Raw'!BE28</f>
        <v>1135.3</v>
      </c>
      <c r="CL51" s="23">
        <f>'QTR Raw'!BF28</f>
        <v>1147.23</v>
      </c>
      <c r="CM51" s="24">
        <f t="shared" ref="CM51:DB51" si="423">CM52*CL153</f>
        <v>1336.8682000000001</v>
      </c>
      <c r="CN51" s="24">
        <f t="shared" si="423"/>
        <v>1435.130836</v>
      </c>
      <c r="CO51" s="24">
        <f t="shared" si="423"/>
        <v>1531.4282192800001</v>
      </c>
      <c r="CP51" s="24">
        <f t="shared" si="423"/>
        <v>1625.7996548944002</v>
      </c>
      <c r="CQ51" s="24">
        <f t="shared" si="423"/>
        <v>1374.6269294372098</v>
      </c>
      <c r="CR51" s="24">
        <f t="shared" si="423"/>
        <v>1452.6328985662144</v>
      </c>
      <c r="CS51" s="24">
        <f t="shared" si="423"/>
        <v>1529.3907721891553</v>
      </c>
      <c r="CT51" s="24">
        <f t="shared" si="423"/>
        <v>1604.9205198341288</v>
      </c>
      <c r="CU51" s="24">
        <f t="shared" si="423"/>
        <v>1679.2417915167828</v>
      </c>
      <c r="CV51" s="24">
        <f t="shared" si="423"/>
        <v>1752.3739228525142</v>
      </c>
      <c r="CW51" s="24">
        <f t="shared" si="423"/>
        <v>1824.3359400868737</v>
      </c>
      <c r="CX51" s="24">
        <f t="shared" si="423"/>
        <v>1895.1465650454838</v>
      </c>
      <c r="CY51" s="24">
        <f t="shared" si="423"/>
        <v>1964.8242200047559</v>
      </c>
      <c r="CZ51" s="24">
        <f t="shared" si="423"/>
        <v>2033.38703248468</v>
      </c>
      <c r="DA51" s="24">
        <f t="shared" si="423"/>
        <v>2100.8528399649254</v>
      </c>
      <c r="DB51" s="24">
        <f t="shared" si="423"/>
        <v>2167.2391945254863</v>
      </c>
      <c r="DE51" s="123"/>
      <c r="DF51" s="23">
        <v>0</v>
      </c>
    </row>
    <row r="52" spans="1:110" s="46" customFormat="1" x14ac:dyDescent="0.2">
      <c r="A52" s="46" t="s">
        <v>483</v>
      </c>
      <c r="B52" s="46" t="e">
        <f t="shared" ref="B52:D52" si="424">+B51/B153</f>
        <v>#DIV/0!</v>
      </c>
      <c r="C52" s="46" t="e">
        <f t="shared" si="424"/>
        <v>#DIV/0!</v>
      </c>
      <c r="D52" s="46" t="e">
        <f t="shared" si="424"/>
        <v>#DIV/0!</v>
      </c>
      <c r="E52" s="46" t="e">
        <f t="shared" ref="E52:AE52" si="425">+E51/E153</f>
        <v>#DIV/0!</v>
      </c>
      <c r="F52" s="46" t="e">
        <f t="shared" si="425"/>
        <v>#DIV/0!</v>
      </c>
      <c r="G52" s="46">
        <f t="shared" si="425"/>
        <v>0</v>
      </c>
      <c r="H52" s="46">
        <f t="shared" si="425"/>
        <v>0</v>
      </c>
      <c r="I52" s="46">
        <f t="shared" si="425"/>
        <v>0</v>
      </c>
      <c r="J52" s="46">
        <f t="shared" si="425"/>
        <v>0</v>
      </c>
      <c r="K52" s="46">
        <f t="shared" si="425"/>
        <v>1.2683343379545912E-2</v>
      </c>
      <c r="L52" s="46">
        <f t="shared" si="425"/>
        <v>2.1557657043821822E-2</v>
      </c>
      <c r="M52" s="46">
        <f t="shared" si="425"/>
        <v>3.7359712835646756E-2</v>
      </c>
      <c r="N52" s="46">
        <f t="shared" si="425"/>
        <v>4.4336269191367073E-2</v>
      </c>
      <c r="O52" s="46">
        <f t="shared" si="425"/>
        <v>4.1794028074804597E-2</v>
      </c>
      <c r="P52" s="46">
        <f t="shared" si="425"/>
        <v>4.5717665648386502E-2</v>
      </c>
      <c r="Q52" s="46">
        <f t="shared" si="425"/>
        <v>4.6974296840157317E-2</v>
      </c>
      <c r="R52" s="46">
        <f t="shared" si="425"/>
        <v>4.9305243954279238E-2</v>
      </c>
      <c r="S52" s="46">
        <f t="shared" si="425"/>
        <v>5.1951882060264659E-2</v>
      </c>
      <c r="T52" s="46">
        <f t="shared" si="425"/>
        <v>5.4762518627502699E-2</v>
      </c>
      <c r="U52" s="46">
        <f t="shared" si="425"/>
        <v>5.4020109531544215E-2</v>
      </c>
      <c r="V52" s="46">
        <f t="shared" si="425"/>
        <v>6.0797722171889508E-2</v>
      </c>
      <c r="W52" s="46">
        <f t="shared" si="425"/>
        <v>5.8728872947577025E-2</v>
      </c>
      <c r="X52" s="46">
        <f t="shared" si="425"/>
        <v>6.5347161741781318E-2</v>
      </c>
      <c r="Y52" s="46">
        <f t="shared" si="425"/>
        <v>6.2575646348505806E-2</v>
      </c>
      <c r="Z52" s="46">
        <f t="shared" si="425"/>
        <v>6.2407523060576821E-2</v>
      </c>
      <c r="AA52" s="46">
        <f t="shared" ref="AA52" si="426">+AA51/AA153</f>
        <v>6.6052390944811412E-2</v>
      </c>
      <c r="AB52" s="110">
        <f t="shared" si="425"/>
        <v>6.9013365394806028E-2</v>
      </c>
      <c r="AC52" s="110">
        <f t="shared" si="425"/>
        <v>5.6802503607458629E-2</v>
      </c>
      <c r="AD52" s="110">
        <f t="shared" si="425"/>
        <v>5.8232981020434248E-2</v>
      </c>
      <c r="AE52" s="110">
        <f t="shared" si="425"/>
        <v>5.9241701499801638E-2</v>
      </c>
      <c r="AI52" s="46" t="e">
        <f t="shared" ref="AI52:BN52" si="427">+AI51/AH153</f>
        <v>#DIV/0!</v>
      </c>
      <c r="AJ52" s="46" t="e">
        <f t="shared" si="427"/>
        <v>#DIV/0!</v>
      </c>
      <c r="AK52" s="46">
        <f t="shared" si="427"/>
        <v>8.0994010044125528E-3</v>
      </c>
      <c r="AL52" s="46">
        <f t="shared" si="427"/>
        <v>8.4914104807415226E-3</v>
      </c>
      <c r="AM52" s="46">
        <f t="shared" si="427"/>
        <v>1.0132100382557381E-2</v>
      </c>
      <c r="AN52" s="46">
        <f t="shared" si="427"/>
        <v>1.2128015747589118E-2</v>
      </c>
      <c r="AO52" s="46">
        <f t="shared" si="427"/>
        <v>1.1280210743677134E-2</v>
      </c>
      <c r="AP52" s="46">
        <f t="shared" si="427"/>
        <v>1.1491739475900395E-2</v>
      </c>
      <c r="AQ52" s="46">
        <f t="shared" si="427"/>
        <v>1.3248386911677353E-2</v>
      </c>
      <c r="AR52" s="46">
        <f t="shared" si="427"/>
        <v>1.3579871488747617E-2</v>
      </c>
      <c r="AS52" s="46">
        <f t="shared" si="427"/>
        <v>1.49639664730566E-2</v>
      </c>
      <c r="AT52" s="46">
        <f t="shared" si="427"/>
        <v>-4.4795764235328425E-4</v>
      </c>
      <c r="AU52" s="46">
        <f t="shared" si="427"/>
        <v>1.2473690501097229E-2</v>
      </c>
      <c r="AV52" s="46">
        <f t="shared" si="427"/>
        <v>1.3117689151682559E-2</v>
      </c>
      <c r="AW52" s="46">
        <f t="shared" si="427"/>
        <v>1.2156866540735924E-2</v>
      </c>
      <c r="AX52" s="46">
        <f t="shared" si="427"/>
        <v>1.7619308450192599E-2</v>
      </c>
      <c r="AY52" s="46">
        <f t="shared" si="427"/>
        <v>1.0545437308955798E-2</v>
      </c>
      <c r="AZ52" s="46">
        <f t="shared" si="427"/>
        <v>1.0531164334621248E-2</v>
      </c>
      <c r="BA52" s="46">
        <f t="shared" si="427"/>
        <v>1.2339429954639285E-2</v>
      </c>
      <c r="BB52" s="46">
        <f t="shared" si="427"/>
        <v>1.7634051255312741E-2</v>
      </c>
      <c r="BC52" s="46">
        <f t="shared" si="427"/>
        <v>1.2290333341205365E-2</v>
      </c>
      <c r="BD52" s="46">
        <f t="shared" si="427"/>
        <v>1.2513579255620631E-2</v>
      </c>
      <c r="BE52" s="46">
        <f t="shared" si="427"/>
        <v>1.2692566959679906E-2</v>
      </c>
      <c r="BF52" s="46">
        <f t="shared" si="427"/>
        <v>1.2851754514683542E-2</v>
      </c>
      <c r="BG52" s="46">
        <f t="shared" si="427"/>
        <v>1.3077100626355601E-2</v>
      </c>
      <c r="BH52" s="46">
        <f t="shared" si="427"/>
        <v>1.3426498362835786E-2</v>
      </c>
      <c r="BI52" s="46">
        <f t="shared" si="427"/>
        <v>1.3296591426710871E-2</v>
      </c>
      <c r="BJ52" s="46">
        <f t="shared" si="427"/>
        <v>1.3481171559534499E-2</v>
      </c>
      <c r="BK52" s="46">
        <f t="shared" si="427"/>
        <v>1.3730348420158814E-2</v>
      </c>
      <c r="BL52" s="46">
        <f t="shared" si="427"/>
        <v>1.523567959401252E-2</v>
      </c>
      <c r="BM52" s="46">
        <f t="shared" si="427"/>
        <v>1.3543477020289794E-2</v>
      </c>
      <c r="BN52" s="46">
        <f t="shared" si="427"/>
        <v>1.3288060442249394E-2</v>
      </c>
      <c r="BO52" s="46">
        <f t="shared" ref="BO52:CL52" si="428">+BO51/BN153</f>
        <v>1.4061758829363655E-2</v>
      </c>
      <c r="BP52" s="46">
        <f t="shared" si="428"/>
        <v>1.4874441202259628E-2</v>
      </c>
      <c r="BQ52" s="46">
        <f t="shared" si="428"/>
        <v>1.4980405115744052E-2</v>
      </c>
      <c r="BR52" s="46">
        <f t="shared" si="428"/>
        <v>1.4460489863780355E-2</v>
      </c>
      <c r="BS52" s="46">
        <f t="shared" si="428"/>
        <v>1.4704326889754009E-2</v>
      </c>
      <c r="BT52" s="46">
        <f t="shared" si="428"/>
        <v>1.4905995344914774E-2</v>
      </c>
      <c r="BU52" s="46">
        <f t="shared" si="428"/>
        <v>1.5313642077880597E-2</v>
      </c>
      <c r="BV52" s="46">
        <f t="shared" si="428"/>
        <v>1.5109033264355953E-2</v>
      </c>
      <c r="BW52" s="46">
        <f t="shared" si="428"/>
        <v>1.5372921203535554E-2</v>
      </c>
      <c r="BX52" s="46">
        <f t="shared" si="428"/>
        <v>1.5692794007942188E-2</v>
      </c>
      <c r="BY52" s="46">
        <f t="shared" si="428"/>
        <v>1.6179367014256346E-2</v>
      </c>
      <c r="BZ52" s="46">
        <f t="shared" si="428"/>
        <v>1.5779542627943319E-2</v>
      </c>
      <c r="CA52" s="46">
        <f t="shared" si="428"/>
        <v>1.8486295250221389E-2</v>
      </c>
      <c r="CB52" s="46">
        <f t="shared" si="428"/>
        <v>1.9868727306029788E-2</v>
      </c>
      <c r="CC52" s="46">
        <f t="shared" si="428"/>
        <v>1.5510833115117209E-2</v>
      </c>
      <c r="CD52" s="46">
        <f t="shared" si="428"/>
        <v>1.5322021999899713E-2</v>
      </c>
      <c r="CE52" s="46">
        <f t="shared" si="428"/>
        <v>1.6047491148034772E-2</v>
      </c>
      <c r="CF52" s="46">
        <f t="shared" si="428"/>
        <v>1.7062275799642566E-2</v>
      </c>
      <c r="CG52" s="46">
        <f t="shared" si="428"/>
        <v>1.648922579236747E-2</v>
      </c>
      <c r="CH52" s="46">
        <f t="shared" si="428"/>
        <v>1.5286227259332295E-2</v>
      </c>
      <c r="CI52" s="46">
        <f t="shared" si="428"/>
        <v>1.5766557789614312E-2</v>
      </c>
      <c r="CJ52" s="46">
        <f t="shared" si="428"/>
        <v>1.7561600838193737E-2</v>
      </c>
      <c r="CK52" s="46">
        <f t="shared" si="428"/>
        <v>1.6556221372414939E-2</v>
      </c>
      <c r="CL52" s="46">
        <f t="shared" si="428"/>
        <v>1.6738814928146228E-2</v>
      </c>
      <c r="CM52" s="47">
        <v>0.02</v>
      </c>
      <c r="CN52" s="47">
        <f t="shared" ref="CN52" si="429">CM52</f>
        <v>0.02</v>
      </c>
      <c r="CO52" s="47">
        <f t="shared" ref="CO52" si="430">CN52</f>
        <v>0.02</v>
      </c>
      <c r="CP52" s="47">
        <f t="shared" ref="CP52" si="431">CO52</f>
        <v>0.02</v>
      </c>
      <c r="CQ52" s="47">
        <v>1.6E-2</v>
      </c>
      <c r="CR52" s="47">
        <f t="shared" ref="CR52" si="432">CQ52</f>
        <v>1.6E-2</v>
      </c>
      <c r="CS52" s="47">
        <f t="shared" ref="CS52" si="433">CR52</f>
        <v>1.6E-2</v>
      </c>
      <c r="CT52" s="47">
        <f t="shared" ref="CT52" si="434">CS52</f>
        <v>1.6E-2</v>
      </c>
      <c r="CU52" s="47">
        <f t="shared" ref="CU52" si="435">CT52</f>
        <v>1.6E-2</v>
      </c>
      <c r="CV52" s="47">
        <f t="shared" ref="CV52" si="436">CU52</f>
        <v>1.6E-2</v>
      </c>
      <c r="CW52" s="47">
        <f t="shared" ref="CW52" si="437">CV52</f>
        <v>1.6E-2</v>
      </c>
      <c r="CX52" s="47">
        <f t="shared" ref="CX52" si="438">CW52</f>
        <v>1.6E-2</v>
      </c>
      <c r="CY52" s="47">
        <f t="shared" ref="CY52" si="439">CX52</f>
        <v>1.6E-2</v>
      </c>
      <c r="CZ52" s="47">
        <f t="shared" ref="CZ52" si="440">CY52</f>
        <v>1.6E-2</v>
      </c>
      <c r="DA52" s="47">
        <f t="shared" ref="DA52" si="441">CZ52</f>
        <v>1.6E-2</v>
      </c>
      <c r="DB52" s="47">
        <f t="shared" ref="DB52" si="442">DA52</f>
        <v>1.6E-2</v>
      </c>
      <c r="DE52" s="130"/>
      <c r="DF52" s="46" t="e">
        <v>#DIV/0!</v>
      </c>
    </row>
    <row r="53" spans="1:110" s="26" customFormat="1" x14ac:dyDescent="0.2">
      <c r="A53" s="34" t="s">
        <v>16</v>
      </c>
      <c r="B53" s="26">
        <f>B47-B51</f>
        <v>0</v>
      </c>
      <c r="C53" s="26">
        <f t="shared" ref="C53:T53" si="443">C47-C51</f>
        <v>0</v>
      </c>
      <c r="D53" s="26">
        <f>D47-D51</f>
        <v>0</v>
      </c>
      <c r="E53" s="26">
        <f t="shared" si="443"/>
        <v>-1E-3</v>
      </c>
      <c r="F53" s="26">
        <f t="shared" si="443"/>
        <v>0</v>
      </c>
      <c r="G53" s="26">
        <f t="shared" si="443"/>
        <v>0</v>
      </c>
      <c r="H53" s="26">
        <f t="shared" si="443"/>
        <v>0</v>
      </c>
      <c r="I53" s="26">
        <f t="shared" si="443"/>
        <v>-7.1790000000000003</v>
      </c>
      <c r="J53" s="26">
        <f t="shared" si="443"/>
        <v>-5.5415999999999999</v>
      </c>
      <c r="K53" s="26">
        <f t="shared" si="443"/>
        <v>208.46</v>
      </c>
      <c r="L53" s="26">
        <f t="shared" si="443"/>
        <v>1057.0800000000002</v>
      </c>
      <c r="M53" s="26">
        <f t="shared" si="443"/>
        <v>734.73999999999978</v>
      </c>
      <c r="N53" s="26">
        <f t="shared" si="443"/>
        <v>-330.07000000000039</v>
      </c>
      <c r="O53" s="26">
        <f t="shared" si="443"/>
        <v>2655.8300000000008</v>
      </c>
      <c r="P53" s="26">
        <f t="shared" si="443"/>
        <v>3776.7699999999977</v>
      </c>
      <c r="Q53" s="26">
        <f t="shared" si="443"/>
        <v>6136.3099999999977</v>
      </c>
      <c r="R53" s="26">
        <f t="shared" si="443"/>
        <v>3299.2899999999977</v>
      </c>
      <c r="S53" s="26">
        <f t="shared" si="443"/>
        <v>2702.1599999999994</v>
      </c>
      <c r="T53" s="26">
        <f t="shared" si="443"/>
        <v>2203.2099999999982</v>
      </c>
      <c r="U53" s="26">
        <f t="shared" ref="U53:Z53" si="444">U47-U51</f>
        <v>2678.7999999999993</v>
      </c>
      <c r="V53" s="26">
        <f t="shared" si="444"/>
        <v>5466.8700000000008</v>
      </c>
      <c r="W53" s="26">
        <f t="shared" si="444"/>
        <v>6696.62</v>
      </c>
      <c r="X53" s="26">
        <f t="shared" si="444"/>
        <v>6740.9800000000032</v>
      </c>
      <c r="Y53" s="26">
        <f t="shared" si="444"/>
        <v>14249.37</v>
      </c>
      <c r="Z53" s="26">
        <f t="shared" si="444"/>
        <v>16996.559999999994</v>
      </c>
      <c r="AA53" s="26">
        <f t="shared" ref="AA53" si="445">AA47-AA51</f>
        <v>15241.580000000002</v>
      </c>
      <c r="AB53" s="27">
        <f t="shared" ref="AB53:AD53" si="446">AB47-AB51</f>
        <v>18070.022650274645</v>
      </c>
      <c r="AC53" s="27">
        <f t="shared" si="446"/>
        <v>21972.363436604173</v>
      </c>
      <c r="AD53" s="27">
        <f t="shared" si="446"/>
        <v>25653.009486915471</v>
      </c>
      <c r="AE53" s="27">
        <f t="shared" ref="AE53" si="447">AE47-AE51</f>
        <v>32202.098170077195</v>
      </c>
      <c r="AI53" s="26">
        <f t="shared" ref="AI53" si="448">AI47-AI51</f>
        <v>-519.90999999999985</v>
      </c>
      <c r="AJ53" s="26">
        <f t="shared" ref="AJ53" si="449">AJ47-AJ51</f>
        <v>-92.979999999999848</v>
      </c>
      <c r="AK53" s="26">
        <f t="shared" ref="AK53:AM53" si="450">AK47-AK51</f>
        <v>-61.06</v>
      </c>
      <c r="AL53" s="26">
        <f t="shared" si="450"/>
        <v>-31.119999999999891</v>
      </c>
      <c r="AM53" s="26">
        <f t="shared" si="450"/>
        <v>-377.96999999999997</v>
      </c>
      <c r="AN53" s="26">
        <f t="shared" ref="AN53:AO53" si="451">AN47-AN51</f>
        <v>-100.60000000000048</v>
      </c>
      <c r="AO53" s="26">
        <f t="shared" si="451"/>
        <v>411.27000000000044</v>
      </c>
      <c r="AP53" s="26">
        <f t="shared" ref="AP53:CD53" si="452">AP47-AP51</f>
        <v>2171.3600000000006</v>
      </c>
      <c r="AQ53" s="26">
        <f t="shared" si="452"/>
        <v>1003.3600000000012</v>
      </c>
      <c r="AR53" s="26">
        <f t="shared" si="452"/>
        <v>536.08999999999969</v>
      </c>
      <c r="AS53" s="26">
        <f t="shared" si="452"/>
        <v>1018.1000000000005</v>
      </c>
      <c r="AT53" s="26">
        <f t="shared" si="452"/>
        <v>1220.0799999999997</v>
      </c>
      <c r="AU53" s="26">
        <f t="shared" si="452"/>
        <v>1021.9699999999999</v>
      </c>
      <c r="AV53" s="26">
        <f t="shared" si="452"/>
        <v>1199.1099999999999</v>
      </c>
      <c r="AW53" s="26">
        <f t="shared" si="452"/>
        <v>1395.1600000000005</v>
      </c>
      <c r="AX53" s="26">
        <f t="shared" si="452"/>
        <v>2520.08</v>
      </c>
      <c r="AY53" s="26">
        <f t="shared" si="452"/>
        <v>1125.3700000000008</v>
      </c>
      <c r="AZ53" s="26">
        <f t="shared" si="452"/>
        <v>1023.7999999999998</v>
      </c>
      <c r="BA53" s="26">
        <f t="shared" si="452"/>
        <v>697.02000000000021</v>
      </c>
      <c r="BB53" s="26">
        <f t="shared" si="452"/>
        <v>453.09999999999968</v>
      </c>
      <c r="BC53" s="26">
        <f t="shared" si="452"/>
        <v>895.11999999999978</v>
      </c>
      <c r="BD53" s="26">
        <f t="shared" si="452"/>
        <v>1446.6200000000006</v>
      </c>
      <c r="BE53" s="26">
        <f t="shared" si="452"/>
        <v>32.049999999999955</v>
      </c>
      <c r="BF53" s="26">
        <f t="shared" si="452"/>
        <v>552.16999999999996</v>
      </c>
      <c r="BG53" s="26">
        <f t="shared" si="452"/>
        <v>479.44999999999982</v>
      </c>
      <c r="BH53" s="26">
        <f t="shared" si="452"/>
        <v>1555.5900000000001</v>
      </c>
      <c r="BI53" s="26">
        <f t="shared" si="452"/>
        <v>328.19000000000005</v>
      </c>
      <c r="BJ53" s="26">
        <f t="shared" si="452"/>
        <v>-83.540000000000077</v>
      </c>
      <c r="BK53" s="26">
        <f t="shared" si="452"/>
        <v>1994.5499999999997</v>
      </c>
      <c r="BL53" s="26">
        <f t="shared" si="452"/>
        <v>583.58000000000015</v>
      </c>
      <c r="BM53" s="26">
        <f t="shared" si="452"/>
        <v>664.51999999999987</v>
      </c>
      <c r="BN53" s="26">
        <f t="shared" si="452"/>
        <v>-563.84999999999957</v>
      </c>
      <c r="BO53" s="26">
        <f t="shared" si="452"/>
        <v>605.88999999999953</v>
      </c>
      <c r="BP53" s="26">
        <f t="shared" si="452"/>
        <v>3214.8999999999996</v>
      </c>
      <c r="BQ53" s="26">
        <f t="shared" si="452"/>
        <v>813.29000000000053</v>
      </c>
      <c r="BR53" s="26">
        <f t="shared" si="452"/>
        <v>832.79000000000019</v>
      </c>
      <c r="BS53" s="26">
        <f t="shared" si="452"/>
        <v>873.67000000000019</v>
      </c>
      <c r="BT53" s="26">
        <f t="shared" si="452"/>
        <v>378.34999999999945</v>
      </c>
      <c r="BU53" s="26">
        <f t="shared" si="452"/>
        <v>986.41000000000042</v>
      </c>
      <c r="BV53" s="26">
        <f t="shared" si="452"/>
        <v>4458.1900000000005</v>
      </c>
      <c r="BW53" s="26">
        <f t="shared" si="452"/>
        <v>4903.6899999999987</v>
      </c>
      <c r="BX53" s="26">
        <f t="shared" si="452"/>
        <v>114.75000000000068</v>
      </c>
      <c r="BY53" s="26">
        <f t="shared" si="452"/>
        <v>632.0800000000005</v>
      </c>
      <c r="BZ53" s="26">
        <f t="shared" si="452"/>
        <v>1090.459999999998</v>
      </c>
      <c r="CA53" s="26">
        <f t="shared" si="452"/>
        <v>2579.6400000000003</v>
      </c>
      <c r="CB53" s="26">
        <f t="shared" si="452"/>
        <v>4166.91</v>
      </c>
      <c r="CC53" s="26">
        <f t="shared" si="452"/>
        <v>3643.1100000000019</v>
      </c>
      <c r="CD53" s="26">
        <f t="shared" si="452"/>
        <v>3859.71</v>
      </c>
      <c r="CE53" s="26">
        <f t="shared" ref="CE53:CF53" si="453">CE47-CE51</f>
        <v>5198.6799999999994</v>
      </c>
      <c r="CF53" s="26">
        <f t="shared" si="453"/>
        <v>4216.9899999999989</v>
      </c>
      <c r="CG53" s="26">
        <f t="shared" ref="CG53:CH53" si="454">CG47-CG51</f>
        <v>3852.91</v>
      </c>
      <c r="CH53" s="26">
        <f t="shared" si="454"/>
        <v>3727.9799999999991</v>
      </c>
      <c r="CI53" s="26">
        <f t="shared" ref="CI53:CJ53" si="455">CI47-CI51</f>
        <v>4596.6899999999987</v>
      </c>
      <c r="CJ53" s="26">
        <f t="shared" si="455"/>
        <v>3956.880000000001</v>
      </c>
      <c r="CK53" s="26">
        <f t="shared" ref="CK53:CL53" si="456">CK47-CK51</f>
        <v>3102.7700000000013</v>
      </c>
      <c r="CL53" s="26">
        <f t="shared" si="456"/>
        <v>3585.2399999999993</v>
      </c>
      <c r="CM53" s="27">
        <f t="shared" ref="CM53:DB53" si="457">CM47-CM51</f>
        <v>4645.1264530933759</v>
      </c>
      <c r="CN53" s="27">
        <f t="shared" si="457"/>
        <v>4098.6659599664927</v>
      </c>
      <c r="CO53" s="27">
        <f t="shared" si="457"/>
        <v>4028.1490799097319</v>
      </c>
      <c r="CP53" s="27">
        <f t="shared" si="457"/>
        <v>5298.081157305046</v>
      </c>
      <c r="CQ53" s="27">
        <f t="shared" si="457"/>
        <v>4969.3427421173319</v>
      </c>
      <c r="CR53" s="27">
        <f t="shared" si="457"/>
        <v>5045.3873277869043</v>
      </c>
      <c r="CS53" s="27">
        <f t="shared" si="457"/>
        <v>5318.4942531533197</v>
      </c>
      <c r="CT53" s="27">
        <f t="shared" si="457"/>
        <v>6639.1391135466192</v>
      </c>
      <c r="CU53" s="27">
        <f t="shared" si="457"/>
        <v>5711.8068112003239</v>
      </c>
      <c r="CV53" s="27">
        <f t="shared" si="457"/>
        <v>5710.1414360823219</v>
      </c>
      <c r="CW53" s="27">
        <f t="shared" si="457"/>
        <v>6305.6976855214598</v>
      </c>
      <c r="CX53" s="27">
        <f t="shared" si="457"/>
        <v>7925.3635541113699</v>
      </c>
      <c r="CY53" s="27">
        <f t="shared" si="457"/>
        <v>6943.3635918544178</v>
      </c>
      <c r="CZ53" s="27">
        <f t="shared" si="457"/>
        <v>7341.7024436511356</v>
      </c>
      <c r="DA53" s="27">
        <f t="shared" si="457"/>
        <v>7770.7626553309201</v>
      </c>
      <c r="DB53" s="27">
        <f t="shared" si="457"/>
        <v>10146.269479240713</v>
      </c>
      <c r="DE53" s="121"/>
      <c r="DF53" s="26">
        <v>0</v>
      </c>
    </row>
    <row r="54" spans="1:110" s="23" customFormat="1" x14ac:dyDescent="0.2">
      <c r="A54" s="23" t="s">
        <v>17</v>
      </c>
      <c r="B54" s="23">
        <f>'Annual Raw'!C23</f>
        <v>0</v>
      </c>
      <c r="C54" s="23">
        <f>'Annual Raw'!D23</f>
        <v>0</v>
      </c>
      <c r="D54" s="23">
        <f>'Annual Raw'!E23</f>
        <v>0</v>
      </c>
      <c r="E54" s="23">
        <f>'Annual Raw'!F23</f>
        <v>0</v>
      </c>
      <c r="F54" s="23">
        <f>'Annual Raw'!G23</f>
        <v>0</v>
      </c>
      <c r="G54" s="23">
        <f>'Annual Raw'!H23</f>
        <v>0</v>
      </c>
      <c r="H54" s="23">
        <f>'Annual Raw'!I23</f>
        <v>0</v>
      </c>
      <c r="I54" s="23">
        <f>'Annual Raw'!J23</f>
        <v>0</v>
      </c>
      <c r="J54" s="23">
        <f>'Annual Raw'!K23</f>
        <v>0</v>
      </c>
      <c r="K54" s="23">
        <f>'Annual Raw'!L23</f>
        <v>31.93</v>
      </c>
      <c r="L54" s="23">
        <f>'Annual Raw'!M23</f>
        <v>19.02</v>
      </c>
      <c r="M54" s="23">
        <f>'Annual Raw'!N23</f>
        <v>150.05000000000001</v>
      </c>
      <c r="N54" s="23">
        <f>'Annual Raw'!O23</f>
        <v>190.65</v>
      </c>
      <c r="O54" s="23">
        <f>'Annual Raw'!P23</f>
        <v>231.43</v>
      </c>
      <c r="P54" s="23">
        <f>'Annual Raw'!Q23</f>
        <v>245.59</v>
      </c>
      <c r="Q54" s="23">
        <f>'Annual Raw'!R23</f>
        <v>201.58</v>
      </c>
      <c r="R54" s="23">
        <f>'Annual Raw'!S23</f>
        <v>418.96</v>
      </c>
      <c r="S54" s="23">
        <f>'Annual Raw'!T23</f>
        <v>789.15</v>
      </c>
      <c r="T54" s="23">
        <f>'Annual Raw'!U23</f>
        <v>2503.12</v>
      </c>
      <c r="U54" s="23">
        <f>'Annual Raw'!V23</f>
        <v>1621.24</v>
      </c>
      <c r="V54" s="23">
        <f>'Annual Raw'!W23</f>
        <v>1928.2</v>
      </c>
      <c r="W54" s="23">
        <f>'Annual Raw'!X23</f>
        <v>3981.46</v>
      </c>
      <c r="X54" s="23">
        <f>'Annual Raw'!Y23</f>
        <v>4409.25</v>
      </c>
      <c r="Y54" s="23">
        <f>'Annual Raw'!Z23</f>
        <v>9968.73</v>
      </c>
      <c r="Z54" s="23">
        <f>'Annual Raw'!AA23</f>
        <v>2702.74</v>
      </c>
      <c r="AA54" s="23">
        <f>'Annual Raw'!AB23</f>
        <v>3718.03</v>
      </c>
      <c r="AB54" s="76">
        <f t="shared" ref="AB54:AB55" si="458">+SUM(CM54:CP54)</f>
        <v>0</v>
      </c>
      <c r="AC54" s="76">
        <f t="shared" ref="AC54:AC55" si="459">+SUM(CQ54:CT54)</f>
        <v>0</v>
      </c>
      <c r="AD54" s="76">
        <f t="shared" ref="AD54:AD55" si="460">+SUM(CU54:CX54)</f>
        <v>0</v>
      </c>
      <c r="AE54" s="76">
        <f t="shared" ref="AE54:AE55" si="461">+SUM(CY54:DB54)</f>
        <v>0</v>
      </c>
      <c r="AI54" s="23">
        <f>'QTR Raw'!C23</f>
        <v>52.69</v>
      </c>
      <c r="AJ54" s="23">
        <f>'QTR Raw'!D23</f>
        <v>340.96</v>
      </c>
      <c r="AK54" s="23">
        <f>'QTR Raw'!E23</f>
        <v>43.61</v>
      </c>
      <c r="AL54" s="23">
        <f>'QTR Raw'!F23</f>
        <v>148.66</v>
      </c>
      <c r="AM54" s="23">
        <f>'QTR Raw'!G23</f>
        <v>34.93</v>
      </c>
      <c r="AN54" s="23">
        <f>'QTR Raw'!H23</f>
        <v>63.48</v>
      </c>
      <c r="AO54" s="23">
        <f>'QTR Raw'!I23</f>
        <v>244.7</v>
      </c>
      <c r="AP54" s="23">
        <f>'QTR Raw'!J23</f>
        <v>176.2</v>
      </c>
      <c r="AQ54" s="23">
        <f>'QTR Raw'!K23</f>
        <v>25.19</v>
      </c>
      <c r="AR54" s="23">
        <f>'QTR Raw'!L23</f>
        <v>27.5</v>
      </c>
      <c r="AS54" s="23">
        <f>'QTR Raw'!M23</f>
        <v>34.25</v>
      </c>
      <c r="AT54" s="23">
        <f>'QTR Raw'!N23</f>
        <v>162.4</v>
      </c>
      <c r="AU54" s="23">
        <f>'QTR Raw'!O23</f>
        <v>36.700000000000003</v>
      </c>
      <c r="AV54" s="23">
        <f>'QTR Raw'!P23</f>
        <v>33.24</v>
      </c>
      <c r="AW54" s="23">
        <f>'QTR Raw'!Q23</f>
        <v>19.670000000000002</v>
      </c>
      <c r="AX54" s="23">
        <f>'QTR Raw'!R23</f>
        <v>111.97</v>
      </c>
      <c r="AY54" s="23">
        <f>'QTR Raw'!S23</f>
        <v>31.77</v>
      </c>
      <c r="AZ54" s="23">
        <f>'QTR Raw'!T23</f>
        <v>93.76</v>
      </c>
      <c r="BA54" s="23">
        <f>'QTR Raw'!U23</f>
        <v>59.24</v>
      </c>
      <c r="BB54" s="23">
        <f>'QTR Raw'!V23</f>
        <v>234.19</v>
      </c>
      <c r="BC54" s="23">
        <f>'QTR Raw'!W23</f>
        <v>57.89</v>
      </c>
      <c r="BD54" s="23">
        <f>'QTR Raw'!X23</f>
        <v>255.6</v>
      </c>
      <c r="BE54" s="23">
        <f>'QTR Raw'!Y23</f>
        <v>71.88</v>
      </c>
      <c r="BF54" s="23">
        <f>'QTR Raw'!Z23</f>
        <v>179.98</v>
      </c>
      <c r="BG54" s="23">
        <f>'QTR Raw'!AA23</f>
        <v>129.72</v>
      </c>
      <c r="BH54" s="23">
        <f>'QTR Raw'!AB23</f>
        <v>553.01</v>
      </c>
      <c r="BI54" s="23">
        <f>'QTR Raw'!AC23</f>
        <v>362.07</v>
      </c>
      <c r="BJ54" s="23">
        <f>'QTR Raw'!AD23</f>
        <v>1356.17</v>
      </c>
      <c r="BK54" s="23">
        <f>'QTR Raw'!AE23</f>
        <v>209.72</v>
      </c>
      <c r="BL54" s="23">
        <f>'QTR Raw'!AF23</f>
        <v>899.53</v>
      </c>
      <c r="BM54" s="23">
        <f>'QTR Raw'!AG23</f>
        <v>109.7</v>
      </c>
      <c r="BN54" s="23">
        <f>'QTR Raw'!AH23</f>
        <v>155.13999999999999</v>
      </c>
      <c r="BO54" s="23">
        <f>'QTR Raw'!AI23</f>
        <v>152.36000000000001</v>
      </c>
      <c r="BP54" s="23">
        <f>'QTR Raw'!AJ23</f>
        <v>1043.07</v>
      </c>
      <c r="BQ54" s="23">
        <f>'QTR Raw'!AK23</f>
        <v>204.36</v>
      </c>
      <c r="BR54" s="23">
        <f>'QTR Raw'!AL23</f>
        <v>528.41</v>
      </c>
      <c r="BS54" s="23">
        <f>'QTR Raw'!AM23</f>
        <v>644.35</v>
      </c>
      <c r="BT54" s="23">
        <f>'QTR Raw'!AN23</f>
        <v>388.1</v>
      </c>
      <c r="BU54" s="23">
        <f>'QTR Raw'!AO23</f>
        <v>232.7</v>
      </c>
      <c r="BV54" s="23">
        <f>'QTR Raw'!AP23</f>
        <v>2710.14</v>
      </c>
      <c r="BW54" s="23">
        <f>'QTR Raw'!AQ23</f>
        <v>1785.94</v>
      </c>
      <c r="BX54" s="23">
        <f>'QTR Raw'!AR23</f>
        <v>1402.22</v>
      </c>
      <c r="BY54" s="23">
        <f>'QTR Raw'!AS23</f>
        <v>525.79999999999995</v>
      </c>
      <c r="BZ54" s="23">
        <f>'QTR Raw'!AT23</f>
        <v>553.26</v>
      </c>
      <c r="CA54" s="23">
        <f>'QTR Raw'!AU23</f>
        <v>7103.47</v>
      </c>
      <c r="CB54" s="23">
        <f>'QTR Raw'!AV23</f>
        <v>1945.1</v>
      </c>
      <c r="CC54" s="23">
        <f>'QTR Raw'!AW23</f>
        <v>363.83</v>
      </c>
      <c r="CD54" s="23">
        <f>'QTR Raw'!AX23</f>
        <v>517.83000000000004</v>
      </c>
      <c r="CE54" s="23">
        <f>'QTR Raw'!AY23</f>
        <v>518.32000000000005</v>
      </c>
      <c r="CF54" s="23">
        <f>'QTR Raw'!AZ23</f>
        <v>723.96</v>
      </c>
      <c r="CG54" s="23">
        <f>'QTR Raw'!BA23</f>
        <v>1162.26</v>
      </c>
      <c r="CH54" s="23">
        <f>'QTR Raw'!BB23</f>
        <v>298.2</v>
      </c>
      <c r="CI54" s="23">
        <f>'QTR Raw'!BC23</f>
        <v>464.55</v>
      </c>
      <c r="CJ54" s="23">
        <f>'QTR Raw'!BD23</f>
        <v>850.95</v>
      </c>
      <c r="CK54" s="23">
        <f>'QTR Raw'!BE23</f>
        <v>543.26</v>
      </c>
      <c r="CL54" s="23">
        <f>'QTR Raw'!BF23</f>
        <v>1766</v>
      </c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E54" s="123"/>
      <c r="DF54" s="23">
        <v>0</v>
      </c>
    </row>
    <row r="55" spans="1:110" s="23" customFormat="1" x14ac:dyDescent="0.2">
      <c r="A55" s="23" t="s">
        <v>18</v>
      </c>
      <c r="B55" s="23">
        <f>'Annual Raw'!C25</f>
        <v>0</v>
      </c>
      <c r="C55" s="23">
        <f>'Annual Raw'!D25</f>
        <v>0</v>
      </c>
      <c r="D55" s="23">
        <f>'Annual Raw'!E25</f>
        <v>0</v>
      </c>
      <c r="E55" s="23">
        <f>'Annual Raw'!F25</f>
        <v>0</v>
      </c>
      <c r="F55" s="23">
        <f>'Annual Raw'!G25</f>
        <v>0</v>
      </c>
      <c r="G55" s="23">
        <f>'Annual Raw'!H25</f>
        <v>0</v>
      </c>
      <c r="H55" s="23">
        <f>'Annual Raw'!I25</f>
        <v>0</v>
      </c>
      <c r="I55" s="23">
        <f>'Annual Raw'!J25</f>
        <v>0</v>
      </c>
      <c r="J55" s="23">
        <f>'Annual Raw'!K25</f>
        <v>0</v>
      </c>
      <c r="K55" s="23">
        <f>'Annual Raw'!L25</f>
        <v>37.67</v>
      </c>
      <c r="L55" s="23">
        <f>'Annual Raw'!M25</f>
        <v>255.03</v>
      </c>
      <c r="M55" s="23">
        <f>'Annual Raw'!N25</f>
        <v>884.45</v>
      </c>
      <c r="N55" s="23">
        <f>'Annual Raw'!O25</f>
        <v>1702.86</v>
      </c>
      <c r="O55" s="23">
        <f>'Annual Raw'!P25</f>
        <v>4162.16</v>
      </c>
      <c r="P55" s="23">
        <f>'Annual Raw'!Q25</f>
        <v>5369.16</v>
      </c>
      <c r="Q55" s="23">
        <f>'Annual Raw'!R25</f>
        <v>5963.17</v>
      </c>
      <c r="R55" s="23">
        <f>'Annual Raw'!S25</f>
        <v>5901.73</v>
      </c>
      <c r="S55" s="23">
        <f>'Annual Raw'!T25</f>
        <v>5570.23</v>
      </c>
      <c r="T55" s="23">
        <f>'Annual Raw'!U25</f>
        <v>5682.19</v>
      </c>
      <c r="U55" s="23">
        <f>'Annual Raw'!V25</f>
        <v>5561.97</v>
      </c>
      <c r="V55" s="23">
        <f>'Annual Raw'!W25</f>
        <v>5106.33</v>
      </c>
      <c r="W55" s="23">
        <f>'Annual Raw'!X25</f>
        <v>4100.95</v>
      </c>
      <c r="X55" s="23">
        <f>'Annual Raw'!Y25</f>
        <v>3475.53</v>
      </c>
      <c r="Y55" s="23">
        <f>'Annual Raw'!Z25</f>
        <v>3426.59</v>
      </c>
      <c r="Z55" s="23">
        <f>'Annual Raw'!AA25</f>
        <v>3339.79</v>
      </c>
      <c r="AA55" s="23">
        <f>'Annual Raw'!AB25</f>
        <v>3460.1</v>
      </c>
      <c r="AB55" s="76">
        <f t="shared" si="458"/>
        <v>804.55750366601535</v>
      </c>
      <c r="AC55" s="76">
        <f t="shared" si="459"/>
        <v>1308.4200387186856</v>
      </c>
      <c r="AD55" s="76">
        <f t="shared" si="460"/>
        <v>1559.6416184918728</v>
      </c>
      <c r="AE55" s="76">
        <f t="shared" si="461"/>
        <v>1647.8721019046836</v>
      </c>
      <c r="AI55" s="23">
        <f>'QTR Raw'!C25</f>
        <v>279.87</v>
      </c>
      <c r="AJ55" s="23">
        <f>'QTR Raw'!D25</f>
        <v>349.81</v>
      </c>
      <c r="AK55" s="23">
        <f>'QTR Raw'!E25</f>
        <v>530.98</v>
      </c>
      <c r="AL55" s="23">
        <f>'QTR Raw'!F25</f>
        <v>562.24</v>
      </c>
      <c r="AM55" s="23">
        <f>'QTR Raw'!G25</f>
        <v>755.13</v>
      </c>
      <c r="AN55" s="23">
        <f>'QTR Raw'!H25</f>
        <v>946.5</v>
      </c>
      <c r="AO55" s="23">
        <f>'QTR Raw'!I25</f>
        <v>1069.6400000000001</v>
      </c>
      <c r="AP55" s="23">
        <f>'QTR Raw'!J25</f>
        <v>1219.5999999999999</v>
      </c>
      <c r="AQ55" s="23">
        <f>'QTR Raw'!K25</f>
        <v>1205.45</v>
      </c>
      <c r="AR55" s="23">
        <f>'QTR Raw'!L25</f>
        <v>1362.3</v>
      </c>
      <c r="AS55" s="23">
        <f>'QTR Raw'!M25</f>
        <v>1481.03</v>
      </c>
      <c r="AT55" s="23">
        <f>'QTR Raw'!N25</f>
        <v>1324.99</v>
      </c>
      <c r="AU55" s="23">
        <f>'QTR Raw'!O25</f>
        <v>1447.31</v>
      </c>
      <c r="AV55" s="23">
        <f>'QTR Raw'!P25</f>
        <v>1650.49</v>
      </c>
      <c r="AW55" s="23">
        <f>'QTR Raw'!Q25</f>
        <v>1318.4</v>
      </c>
      <c r="AX55" s="23">
        <f>'QTR Raw'!R25</f>
        <v>1546.97</v>
      </c>
      <c r="AY55" s="23">
        <f>'QTR Raw'!S25</f>
        <v>1451.5</v>
      </c>
      <c r="AZ55" s="23">
        <f>'QTR Raw'!T25</f>
        <v>1433.7</v>
      </c>
      <c r="BA55" s="23">
        <f>'QTR Raw'!U25</f>
        <v>1430.17</v>
      </c>
      <c r="BB55" s="23">
        <f>'QTR Raw'!V25</f>
        <v>1586.36</v>
      </c>
      <c r="BC55" s="23">
        <f>'QTR Raw'!W25</f>
        <v>1406.99</v>
      </c>
      <c r="BD55" s="23">
        <f>'QTR Raw'!X25</f>
        <v>1388.84</v>
      </c>
      <c r="BE55" s="23">
        <f>'QTR Raw'!Y25</f>
        <v>1411.17</v>
      </c>
      <c r="BF55" s="23">
        <f>'QTR Raw'!Z25</f>
        <v>1363.23</v>
      </c>
      <c r="BG55" s="23">
        <f>'QTR Raw'!AA25</f>
        <v>1362.29</v>
      </c>
      <c r="BH55" s="23">
        <f>'QTR Raw'!AB25</f>
        <v>1406.72</v>
      </c>
      <c r="BI55" s="23">
        <f>'QTR Raw'!AC25</f>
        <v>1530.76</v>
      </c>
      <c r="BJ55" s="23">
        <f>'QTR Raw'!AD25</f>
        <v>1356.75</v>
      </c>
      <c r="BK55" s="23">
        <f>'QTR Raw'!AE25</f>
        <v>1321.83</v>
      </c>
      <c r="BL55" s="23">
        <f>'QTR Raw'!AF25</f>
        <v>1326.33</v>
      </c>
      <c r="BM55" s="23">
        <f>'QTR Raw'!AG25</f>
        <v>1422.77</v>
      </c>
      <c r="BN55" s="23">
        <f>'QTR Raw'!AH25</f>
        <v>1243.8900000000001</v>
      </c>
      <c r="BO55" s="23">
        <f>'QTR Raw'!AI25</f>
        <v>1391.87</v>
      </c>
      <c r="BP55" s="23">
        <f>'QTR Raw'!AJ25</f>
        <v>1364.04</v>
      </c>
      <c r="BQ55" s="23">
        <f>'QTR Raw'!AK25</f>
        <v>1223.4000000000001</v>
      </c>
      <c r="BR55" s="23">
        <f>'QTR Raw'!AL25</f>
        <v>1127.02</v>
      </c>
      <c r="BS55" s="23">
        <f>'QTR Raw'!AM25</f>
        <v>1068.31</v>
      </c>
      <c r="BT55" s="23">
        <f>'QTR Raw'!AN25</f>
        <v>976.36</v>
      </c>
      <c r="BU55" s="23">
        <f>'QTR Raw'!AO25</f>
        <v>1014.77</v>
      </c>
      <c r="BV55" s="23">
        <f>'QTR Raw'!AP25</f>
        <v>1035.3399999999999</v>
      </c>
      <c r="BW55" s="23">
        <f>'QTR Raw'!AQ25</f>
        <v>823.43</v>
      </c>
      <c r="BX55" s="23">
        <f>'QTR Raw'!AR25</f>
        <v>818.09</v>
      </c>
      <c r="BY55" s="23">
        <f>'QTR Raw'!AS25</f>
        <v>945.98</v>
      </c>
      <c r="BZ55" s="23">
        <f>'QTR Raw'!AT25</f>
        <v>746</v>
      </c>
      <c r="CA55" s="23">
        <f>'QTR Raw'!AU25</f>
        <v>883.49</v>
      </c>
      <c r="CB55" s="23">
        <f>'QTR Raw'!AV25</f>
        <v>888.44</v>
      </c>
      <c r="CC55" s="23">
        <f>'QTR Raw'!AW25</f>
        <v>796.56</v>
      </c>
      <c r="CD55" s="23">
        <f>'QTR Raw'!AX25</f>
        <v>819.6</v>
      </c>
      <c r="CE55" s="23">
        <f>'QTR Raw'!AY25</f>
        <v>811.49</v>
      </c>
      <c r="CF55" s="23">
        <f>'QTR Raw'!AZ25</f>
        <v>806.87</v>
      </c>
      <c r="CG55" s="23">
        <f>'QTR Raw'!BA25</f>
        <v>956.53</v>
      </c>
      <c r="CH55" s="23">
        <f>'QTR Raw'!BB25</f>
        <v>764.9</v>
      </c>
      <c r="CI55" s="23">
        <f>'QTR Raw'!BC25</f>
        <v>856.93</v>
      </c>
      <c r="CJ55" s="23">
        <f>'QTR Raw'!BD25</f>
        <v>841.63</v>
      </c>
      <c r="CK55" s="23">
        <f>'QTR Raw'!BE25</f>
        <v>701.01</v>
      </c>
      <c r="CL55" s="23">
        <f>'QTR Raw'!BF25</f>
        <v>967.26</v>
      </c>
      <c r="CM55" s="24">
        <f t="shared" ref="CM55:DB55" si="462">CM56*CL187</f>
        <v>180.55148000000003</v>
      </c>
      <c r="CN55" s="24">
        <f t="shared" si="462"/>
        <v>198.0483297804135</v>
      </c>
      <c r="CO55" s="24">
        <f t="shared" si="462"/>
        <v>206.54284620188474</v>
      </c>
      <c r="CP55" s="24">
        <f t="shared" si="462"/>
        <v>219.41484768371708</v>
      </c>
      <c r="CQ55" s="24">
        <f t="shared" si="462"/>
        <v>305.9135151197811</v>
      </c>
      <c r="CR55" s="24">
        <f t="shared" si="462"/>
        <v>313.65556898584731</v>
      </c>
      <c r="CS55" s="24">
        <f t="shared" si="462"/>
        <v>333.10516120603825</v>
      </c>
      <c r="CT55" s="24">
        <f t="shared" si="462"/>
        <v>355.74579340701882</v>
      </c>
      <c r="CU55" s="24">
        <f t="shared" si="462"/>
        <v>399.9383559547332</v>
      </c>
      <c r="CV55" s="24">
        <f t="shared" si="462"/>
        <v>380.01481145300556</v>
      </c>
      <c r="CW55" s="24">
        <f t="shared" si="462"/>
        <v>382.52260515672168</v>
      </c>
      <c r="CX55" s="24">
        <f t="shared" si="462"/>
        <v>397.16584592741236</v>
      </c>
      <c r="CY55" s="24">
        <f t="shared" si="462"/>
        <v>430.54737013204738</v>
      </c>
      <c r="CZ55" s="24">
        <f t="shared" si="462"/>
        <v>402.05318854302351</v>
      </c>
      <c r="DA55" s="24">
        <f t="shared" si="462"/>
        <v>406.24801166813427</v>
      </c>
      <c r="DB55" s="24">
        <f t="shared" si="462"/>
        <v>409.02353156147848</v>
      </c>
      <c r="DE55" s="123"/>
      <c r="DF55" s="23">
        <v>0</v>
      </c>
    </row>
    <row r="56" spans="1:110" s="46" customFormat="1" x14ac:dyDescent="0.2">
      <c r="A56" s="46" t="s">
        <v>482</v>
      </c>
      <c r="B56" s="46" t="e">
        <f t="shared" ref="B56:D56" si="463">+B55/B147</f>
        <v>#DIV/0!</v>
      </c>
      <c r="C56" s="46" t="e">
        <f t="shared" si="463"/>
        <v>#DIV/0!</v>
      </c>
      <c r="D56" s="46" t="e">
        <f t="shared" si="463"/>
        <v>#DIV/0!</v>
      </c>
      <c r="E56" s="46" t="e">
        <f t="shared" ref="E56:AE56" si="464">+E55/E147</f>
        <v>#DIV/0!</v>
      </c>
      <c r="F56" s="46" t="e">
        <f t="shared" si="464"/>
        <v>#DIV/0!</v>
      </c>
      <c r="G56" s="46" t="e">
        <f t="shared" si="464"/>
        <v>#DIV/0!</v>
      </c>
      <c r="H56" s="46">
        <f t="shared" si="464"/>
        <v>0</v>
      </c>
      <c r="I56" s="46">
        <f t="shared" si="464"/>
        <v>0</v>
      </c>
      <c r="J56" s="46">
        <f t="shared" si="464"/>
        <v>0</v>
      </c>
      <c r="K56" s="46">
        <f t="shared" si="464"/>
        <v>3.5586415379528602E-3</v>
      </c>
      <c r="L56" s="46">
        <f t="shared" si="464"/>
        <v>1.0408232228911728E-2</v>
      </c>
      <c r="M56" s="46">
        <f t="shared" si="464"/>
        <v>2.2913010610787366E-2</v>
      </c>
      <c r="N56" s="46">
        <f t="shared" si="464"/>
        <v>4.0742722172562355E-2</v>
      </c>
      <c r="O56" s="46">
        <f t="shared" si="464"/>
        <v>9.4272668568204515E-2</v>
      </c>
      <c r="P56" s="46">
        <f t="shared" si="464"/>
        <v>0.1200027893279597</v>
      </c>
      <c r="Q56" s="46">
        <f t="shared" si="464"/>
        <v>0.11309021242830364</v>
      </c>
      <c r="R56" s="46">
        <f t="shared" si="464"/>
        <v>0.11244738195390359</v>
      </c>
      <c r="S56" s="46">
        <f t="shared" si="464"/>
        <v>0.10542727417776272</v>
      </c>
      <c r="T56" s="46">
        <f t="shared" si="464"/>
        <v>0.10335069125513598</v>
      </c>
      <c r="U56" s="46">
        <f t="shared" si="464"/>
        <v>8.7159415148080926E-2</v>
      </c>
      <c r="V56" s="46">
        <f t="shared" si="464"/>
        <v>7.8527186012668421E-2</v>
      </c>
      <c r="W56" s="46">
        <f t="shared" si="464"/>
        <v>6.6132962902519368E-2</v>
      </c>
      <c r="X56" s="46">
        <f t="shared" si="464"/>
        <v>6.2659362630606813E-2</v>
      </c>
      <c r="Y56" s="46">
        <f t="shared" si="464"/>
        <v>8.2031061101899699E-2</v>
      </c>
      <c r="Z56" s="46">
        <f t="shared" si="464"/>
        <v>8.0687237568793813E-2</v>
      </c>
      <c r="AA56" s="46">
        <f t="shared" ref="AA56" si="465">+AA55/AA147</f>
        <v>6.4607695114268282E-2</v>
      </c>
      <c r="AB56" s="110">
        <f t="shared" si="464"/>
        <v>1.5022862315756976E-2</v>
      </c>
      <c r="AC56" s="110">
        <f t="shared" si="464"/>
        <v>2.4431086657303532E-2</v>
      </c>
      <c r="AD56" s="110">
        <f t="shared" si="464"/>
        <v>2.9121947393152468E-2</v>
      </c>
      <c r="AE56" s="110">
        <f t="shared" si="464"/>
        <v>3.0769405030827503E-2</v>
      </c>
      <c r="AI56" s="46" t="e">
        <f t="shared" ref="AI56:BN56" si="466">(AI55-AI54)/AH187</f>
        <v>#DIV/0!</v>
      </c>
      <c r="AJ56" s="46" t="e">
        <f t="shared" si="466"/>
        <v>#DIV/0!</v>
      </c>
      <c r="AK56" s="46">
        <f t="shared" si="466"/>
        <v>1.3728840678179997E-2</v>
      </c>
      <c r="AL56" s="46">
        <f t="shared" si="466"/>
        <v>1.1337557993968439E-2</v>
      </c>
      <c r="AM56" s="46">
        <f t="shared" si="466"/>
        <v>2.0076749941598457E-2</v>
      </c>
      <c r="AN56" s="46">
        <f t="shared" si="466"/>
        <v>2.386094330904354E-2</v>
      </c>
      <c r="AO56" s="46">
        <f t="shared" si="466"/>
        <v>2.107766034750775E-2</v>
      </c>
      <c r="AP56" s="46">
        <f t="shared" si="466"/>
        <v>2.6437722247822169E-2</v>
      </c>
      <c r="AQ56" s="46">
        <f t="shared" si="466"/>
        <v>3.0393363139735924E-2</v>
      </c>
      <c r="AR56" s="46">
        <f t="shared" si="466"/>
        <v>3.3999567207050128E-2</v>
      </c>
      <c r="AS56" s="46">
        <f t="shared" si="466"/>
        <v>3.5741681013686417E-2</v>
      </c>
      <c r="AT56" s="46">
        <f t="shared" si="466"/>
        <v>2.840034987257738E-2</v>
      </c>
      <c r="AU56" s="46">
        <f t="shared" si="466"/>
        <v>3.5115159031509566E-2</v>
      </c>
      <c r="AV56" s="46">
        <f t="shared" si="466"/>
        <v>4.0247996836300502E-2</v>
      </c>
      <c r="AW56" s="46">
        <f t="shared" si="466"/>
        <v>2.7219808235462776E-2</v>
      </c>
      <c r="AX56" s="46">
        <f t="shared" si="466"/>
        <v>2.9970429014015879E-2</v>
      </c>
      <c r="AY56" s="46">
        <f t="shared" si="466"/>
        <v>2.9587268719538332E-2</v>
      </c>
      <c r="AZ56" s="46">
        <f t="shared" si="466"/>
        <v>2.9196671145528003E-2</v>
      </c>
      <c r="BA56" s="46">
        <f t="shared" si="466"/>
        <v>2.8977539463568978E-2</v>
      </c>
      <c r="BB56" s="46">
        <f t="shared" si="466"/>
        <v>2.8229491432534375E-2</v>
      </c>
      <c r="BC56" s="46">
        <f t="shared" si="466"/>
        <v>2.783823736972299E-2</v>
      </c>
      <c r="BD56" s="46">
        <f t="shared" si="466"/>
        <v>2.3292768201389945E-2</v>
      </c>
      <c r="BE56" s="46">
        <f t="shared" si="466"/>
        <v>2.8719599788220054E-2</v>
      </c>
      <c r="BF56" s="46">
        <f t="shared" si="466"/>
        <v>2.4716120395303156E-2</v>
      </c>
      <c r="BG56" s="46">
        <f t="shared" si="466"/>
        <v>2.5538304452342737E-2</v>
      </c>
      <c r="BH56" s="46">
        <f t="shared" si="466"/>
        <v>1.7678976618730656E-2</v>
      </c>
      <c r="BI56" s="46">
        <f t="shared" si="466"/>
        <v>2.6811876154547117E-2</v>
      </c>
      <c r="BJ56" s="46">
        <f t="shared" si="466"/>
        <v>1.3014386143045661E-5</v>
      </c>
      <c r="BK56" s="46">
        <f t="shared" si="466"/>
        <v>2.6127205762640427E-2</v>
      </c>
      <c r="BL56" s="46">
        <f t="shared" si="466"/>
        <v>9.8389563844046186E-3</v>
      </c>
      <c r="BM56" s="46">
        <f t="shared" si="466"/>
        <v>2.7729417548554514E-2</v>
      </c>
      <c r="BN56" s="46">
        <f t="shared" si="466"/>
        <v>2.2361483347527165E-2</v>
      </c>
      <c r="BO56" s="46">
        <f t="shared" ref="BO56:CL56" si="467">(BO55-BO54)/BN187</f>
        <v>2.4600261381870575E-2</v>
      </c>
      <c r="BP56" s="46">
        <f t="shared" si="467"/>
        <v>6.3890032290736948E-3</v>
      </c>
      <c r="BQ56" s="46">
        <f t="shared" si="467"/>
        <v>2.0494660133839559E-2</v>
      </c>
      <c r="BR56" s="46">
        <f t="shared" si="467"/>
        <v>1.2264129237485195E-2</v>
      </c>
      <c r="BS56" s="46">
        <f t="shared" si="467"/>
        <v>8.3483216911829847E-3</v>
      </c>
      <c r="BT56" s="46">
        <f t="shared" si="467"/>
        <v>1.1576759478083669E-2</v>
      </c>
      <c r="BU56" s="46">
        <f t="shared" si="467"/>
        <v>1.5340372796538956E-2</v>
      </c>
      <c r="BV56" s="46">
        <f t="shared" si="467"/>
        <v>-3.2774247751587403E-2</v>
      </c>
      <c r="BW56" s="46">
        <f t="shared" si="467"/>
        <v>-2.0812035004506166E-2</v>
      </c>
      <c r="BX56" s="46">
        <f t="shared" si="467"/>
        <v>-1.3300225622776421E-2</v>
      </c>
      <c r="BY56" s="46">
        <f t="shared" si="467"/>
        <v>9.7548880653408974E-3</v>
      </c>
      <c r="BZ56" s="46">
        <f t="shared" si="467"/>
        <v>4.3660133123239117E-3</v>
      </c>
      <c r="CA56" s="46">
        <f t="shared" si="467"/>
        <v>-0.15641114234314704</v>
      </c>
      <c r="CB56" s="46">
        <f t="shared" si="467"/>
        <v>-3.3158894311734091E-2</v>
      </c>
      <c r="CC56" s="46">
        <f t="shared" si="467"/>
        <v>1.4744711336148955E-2</v>
      </c>
      <c r="CD56" s="46">
        <f t="shared" si="467"/>
        <v>1.1340132287129946E-2</v>
      </c>
      <c r="CE56" s="46">
        <f t="shared" si="467"/>
        <v>1.0910031408624718E-2</v>
      </c>
      <c r="CF56" s="46">
        <f t="shared" si="467"/>
        <v>3.3960814893307521E-3</v>
      </c>
      <c r="CG56" s="46">
        <f t="shared" si="467"/>
        <v>-6.6396557822742848E-3</v>
      </c>
      <c r="CH56" s="46">
        <f t="shared" si="467"/>
        <v>1.6485819394433922E-2</v>
      </c>
      <c r="CI56" s="46">
        <f t="shared" si="467"/>
        <v>1.1461631081415026E-2</v>
      </c>
      <c r="CJ56" s="46">
        <f t="shared" si="467"/>
        <v>-3.1424943269831219E-4</v>
      </c>
      <c r="CK56" s="46">
        <f t="shared" si="467"/>
        <v>4.2736223629514999E-3</v>
      </c>
      <c r="CL56" s="46">
        <f t="shared" si="467"/>
        <v>-2.0530430187175916E-2</v>
      </c>
      <c r="CM56" s="47">
        <v>4.0000000000000001E-3</v>
      </c>
      <c r="CN56" s="47">
        <f t="shared" ref="CN56" si="468">+CM56</f>
        <v>4.0000000000000001E-3</v>
      </c>
      <c r="CO56" s="47">
        <f t="shared" ref="CO56" si="469">+CN56</f>
        <v>4.0000000000000001E-3</v>
      </c>
      <c r="CP56" s="47">
        <f t="shared" ref="CP56" si="470">+CO56</f>
        <v>4.0000000000000001E-3</v>
      </c>
      <c r="CQ56" s="47">
        <v>5.0000000000000001E-3</v>
      </c>
      <c r="CR56" s="47">
        <f t="shared" ref="CR56" si="471">+CQ56</f>
        <v>5.0000000000000001E-3</v>
      </c>
      <c r="CS56" s="47">
        <f t="shared" ref="CS56" si="472">+CR56</f>
        <v>5.0000000000000001E-3</v>
      </c>
      <c r="CT56" s="47">
        <f t="shared" ref="CT56" si="473">+CS56</f>
        <v>5.0000000000000001E-3</v>
      </c>
      <c r="CU56" s="47">
        <f t="shared" ref="CU56" si="474">+CT56</f>
        <v>5.0000000000000001E-3</v>
      </c>
      <c r="CV56" s="47">
        <f t="shared" ref="CV56" si="475">+CU56</f>
        <v>5.0000000000000001E-3</v>
      </c>
      <c r="CW56" s="47">
        <f t="shared" ref="CW56" si="476">+CV56</f>
        <v>5.0000000000000001E-3</v>
      </c>
      <c r="CX56" s="47">
        <f t="shared" ref="CX56" si="477">+CW56</f>
        <v>5.0000000000000001E-3</v>
      </c>
      <c r="CY56" s="47">
        <f t="shared" ref="CY56" si="478">+CX56</f>
        <v>5.0000000000000001E-3</v>
      </c>
      <c r="CZ56" s="47">
        <f t="shared" ref="CZ56" si="479">+CY56</f>
        <v>5.0000000000000001E-3</v>
      </c>
      <c r="DA56" s="47">
        <f t="shared" ref="DA56" si="480">+CZ56</f>
        <v>5.0000000000000001E-3</v>
      </c>
      <c r="DB56" s="47">
        <f t="shared" ref="DB56" si="481">+DA56</f>
        <v>5.0000000000000001E-3</v>
      </c>
      <c r="DE56" s="130"/>
      <c r="DF56" s="46" t="e">
        <v>#DIV/0!</v>
      </c>
    </row>
    <row r="57" spans="1:110" s="26" customFormat="1" x14ac:dyDescent="0.2">
      <c r="A57" s="26" t="s">
        <v>20</v>
      </c>
      <c r="B57" s="26">
        <f>B53+B54-B55</f>
        <v>0</v>
      </c>
      <c r="C57" s="26">
        <f t="shared" ref="C57:T57" si="482">C53+C54-C55</f>
        <v>0</v>
      </c>
      <c r="D57" s="26">
        <f>D53+D54-D55</f>
        <v>0</v>
      </c>
      <c r="E57" s="26">
        <f t="shared" si="482"/>
        <v>-1E-3</v>
      </c>
      <c r="F57" s="26">
        <f t="shared" si="482"/>
        <v>0</v>
      </c>
      <c r="G57" s="26">
        <f t="shared" si="482"/>
        <v>0</v>
      </c>
      <c r="H57" s="26">
        <f t="shared" si="482"/>
        <v>0</v>
      </c>
      <c r="I57" s="26">
        <f t="shared" si="482"/>
        <v>-7.1790000000000003</v>
      </c>
      <c r="J57" s="26">
        <f t="shared" si="482"/>
        <v>-5.5415999999999999</v>
      </c>
      <c r="K57" s="26">
        <f t="shared" si="482"/>
        <v>202.72000000000003</v>
      </c>
      <c r="L57" s="26">
        <f t="shared" si="482"/>
        <v>821.07000000000016</v>
      </c>
      <c r="M57" s="26">
        <f t="shared" si="482"/>
        <v>0.33999999999969077</v>
      </c>
      <c r="N57" s="26">
        <f t="shared" si="482"/>
        <v>-1842.2800000000002</v>
      </c>
      <c r="O57" s="26">
        <f t="shared" si="482"/>
        <v>-1274.8999999999992</v>
      </c>
      <c r="P57" s="26">
        <f t="shared" si="482"/>
        <v>-1346.800000000002</v>
      </c>
      <c r="Q57" s="26">
        <f t="shared" si="482"/>
        <v>374.71999999999753</v>
      </c>
      <c r="R57" s="26">
        <f t="shared" si="482"/>
        <v>-2183.4800000000018</v>
      </c>
      <c r="S57" s="26">
        <f t="shared" si="482"/>
        <v>-2078.92</v>
      </c>
      <c r="T57" s="26">
        <f t="shared" si="482"/>
        <v>-975.86000000000149</v>
      </c>
      <c r="U57" s="26">
        <f t="shared" ref="U57:Z57" si="483">U53+U54-U55</f>
        <v>-1261.9300000000012</v>
      </c>
      <c r="V57" s="26">
        <f t="shared" si="483"/>
        <v>2288.7400000000007</v>
      </c>
      <c r="W57" s="26">
        <f t="shared" si="483"/>
        <v>6577.13</v>
      </c>
      <c r="X57" s="26">
        <f t="shared" si="483"/>
        <v>7674.7000000000025</v>
      </c>
      <c r="Y57" s="26">
        <f t="shared" si="483"/>
        <v>20791.509999999998</v>
      </c>
      <c r="Z57" s="26">
        <f t="shared" si="483"/>
        <v>16359.509999999995</v>
      </c>
      <c r="AA57" s="26">
        <f t="shared" ref="AA57" si="484">AA53+AA54-AA55</f>
        <v>15499.51</v>
      </c>
      <c r="AB57" s="27">
        <f t="shared" ref="AB57:AD57" si="485">AB53+AB54-AB55</f>
        <v>17265.465146608629</v>
      </c>
      <c r="AC57" s="27">
        <f t="shared" si="485"/>
        <v>20663.943397885487</v>
      </c>
      <c r="AD57" s="27">
        <f t="shared" si="485"/>
        <v>24093.367868423597</v>
      </c>
      <c r="AE57" s="27">
        <f t="shared" ref="AE57" si="486">AE53+AE54-AE55</f>
        <v>30554.226068172513</v>
      </c>
      <c r="AI57" s="26">
        <f>AI53+AI54-AI55</f>
        <v>-747.08999999999992</v>
      </c>
      <c r="AJ57" s="26">
        <f t="shared" ref="AJ57" si="487">AJ53+AJ54-AJ55</f>
        <v>-101.82999999999987</v>
      </c>
      <c r="AK57" s="26">
        <f t="shared" ref="AK57:AM57" si="488">AK53+AK54-AK55</f>
        <v>-548.43000000000006</v>
      </c>
      <c r="AL57" s="26">
        <f t="shared" si="488"/>
        <v>-444.69999999999993</v>
      </c>
      <c r="AM57" s="26">
        <f t="shared" si="488"/>
        <v>-1098.17</v>
      </c>
      <c r="AN57" s="26">
        <f t="shared" ref="AN57:AO57" si="489">AN53+AN54-AN55</f>
        <v>-983.62000000000046</v>
      </c>
      <c r="AO57" s="26">
        <f t="shared" si="489"/>
        <v>-413.66999999999962</v>
      </c>
      <c r="AP57" s="26">
        <f t="shared" ref="AP57:CD57" si="490">AP53+AP54-AP55</f>
        <v>1127.9600000000005</v>
      </c>
      <c r="AQ57" s="26">
        <f t="shared" si="490"/>
        <v>-176.89999999999895</v>
      </c>
      <c r="AR57" s="26">
        <f t="shared" si="490"/>
        <v>-798.71000000000026</v>
      </c>
      <c r="AS57" s="26">
        <f t="shared" si="490"/>
        <v>-428.67999999999961</v>
      </c>
      <c r="AT57" s="26">
        <f t="shared" si="490"/>
        <v>57.489999999999782</v>
      </c>
      <c r="AU57" s="26">
        <f t="shared" si="490"/>
        <v>-388.6400000000001</v>
      </c>
      <c r="AV57" s="26">
        <f t="shared" si="490"/>
        <v>-418.1400000000001</v>
      </c>
      <c r="AW57" s="26">
        <f t="shared" si="490"/>
        <v>96.430000000000518</v>
      </c>
      <c r="AX57" s="26">
        <f t="shared" si="490"/>
        <v>1085.0799999999997</v>
      </c>
      <c r="AY57" s="26">
        <f t="shared" si="490"/>
        <v>-294.35999999999922</v>
      </c>
      <c r="AZ57" s="26">
        <f t="shared" si="490"/>
        <v>-316.1400000000001</v>
      </c>
      <c r="BA57" s="26">
        <f t="shared" si="490"/>
        <v>-673.90999999999985</v>
      </c>
      <c r="BB57" s="26">
        <f t="shared" si="490"/>
        <v>-899.07000000000016</v>
      </c>
      <c r="BC57" s="26">
        <f t="shared" si="490"/>
        <v>-453.98000000000025</v>
      </c>
      <c r="BD57" s="26">
        <f t="shared" si="490"/>
        <v>313.38000000000056</v>
      </c>
      <c r="BE57" s="26">
        <f t="shared" si="490"/>
        <v>-1307.2400000000002</v>
      </c>
      <c r="BF57" s="26">
        <f t="shared" si="490"/>
        <v>-631.08000000000004</v>
      </c>
      <c r="BG57" s="26">
        <f t="shared" si="490"/>
        <v>-753.12000000000012</v>
      </c>
      <c r="BH57" s="26">
        <f t="shared" si="490"/>
        <v>701.88000000000034</v>
      </c>
      <c r="BI57" s="26">
        <f t="shared" si="490"/>
        <v>-840.5</v>
      </c>
      <c r="BJ57" s="26">
        <f t="shared" si="490"/>
        <v>-84.119999999999891</v>
      </c>
      <c r="BK57" s="26">
        <f t="shared" si="490"/>
        <v>882.4399999999996</v>
      </c>
      <c r="BL57" s="26">
        <f t="shared" si="490"/>
        <v>156.7800000000002</v>
      </c>
      <c r="BM57" s="26">
        <f t="shared" si="490"/>
        <v>-648.55000000000007</v>
      </c>
      <c r="BN57" s="26">
        <f t="shared" si="490"/>
        <v>-1652.5999999999997</v>
      </c>
      <c r="BO57" s="26">
        <f t="shared" si="490"/>
        <v>-633.62000000000035</v>
      </c>
      <c r="BP57" s="26">
        <f t="shared" si="490"/>
        <v>2893.9299999999994</v>
      </c>
      <c r="BQ57" s="26">
        <f t="shared" si="490"/>
        <v>-205.74999999999955</v>
      </c>
      <c r="BR57" s="26">
        <f t="shared" si="490"/>
        <v>234.18000000000029</v>
      </c>
      <c r="BS57" s="26">
        <f t="shared" si="490"/>
        <v>449.71000000000026</v>
      </c>
      <c r="BT57" s="26">
        <f t="shared" si="490"/>
        <v>-209.91000000000054</v>
      </c>
      <c r="BU57" s="26">
        <f t="shared" si="490"/>
        <v>204.34000000000037</v>
      </c>
      <c r="BV57" s="26">
        <f t="shared" si="490"/>
        <v>6132.99</v>
      </c>
      <c r="BW57" s="26">
        <f t="shared" si="490"/>
        <v>5866.1999999999989</v>
      </c>
      <c r="BX57" s="26">
        <f t="shared" si="490"/>
        <v>698.88000000000068</v>
      </c>
      <c r="BY57" s="26">
        <f t="shared" si="490"/>
        <v>211.90000000000055</v>
      </c>
      <c r="BZ57" s="26">
        <f t="shared" si="490"/>
        <v>897.71999999999798</v>
      </c>
      <c r="CA57" s="26">
        <f t="shared" si="490"/>
        <v>8799.6200000000008</v>
      </c>
      <c r="CB57" s="26">
        <f t="shared" si="490"/>
        <v>5223.57</v>
      </c>
      <c r="CC57" s="26">
        <f t="shared" si="490"/>
        <v>3210.3800000000019</v>
      </c>
      <c r="CD57" s="26">
        <f t="shared" si="490"/>
        <v>3557.94</v>
      </c>
      <c r="CE57" s="26">
        <f t="shared" ref="CE57:CF57" si="491">CE53+CE54-CE55</f>
        <v>4905.5099999999993</v>
      </c>
      <c r="CF57" s="26">
        <f t="shared" si="491"/>
        <v>4134.079999999999</v>
      </c>
      <c r="CG57" s="26">
        <f t="shared" ref="CG57:CH57" si="492">CG53+CG54-CG55</f>
        <v>4058.6400000000003</v>
      </c>
      <c r="CH57" s="26">
        <f t="shared" si="492"/>
        <v>3261.2799999999988</v>
      </c>
      <c r="CI57" s="26">
        <f t="shared" ref="CI57:CJ57" si="493">CI53+CI54-CI55</f>
        <v>4204.3099999999986</v>
      </c>
      <c r="CJ57" s="26">
        <f t="shared" si="493"/>
        <v>3966.2000000000007</v>
      </c>
      <c r="CK57" s="26">
        <f t="shared" ref="CK57:CL57" si="494">CK53+CK54-CK55</f>
        <v>2945.0200000000013</v>
      </c>
      <c r="CL57" s="26">
        <f t="shared" si="494"/>
        <v>4383.9799999999996</v>
      </c>
      <c r="CM57" s="27">
        <f t="shared" ref="CM57:DB57" si="495">CM53+CM54-CM55</f>
        <v>4464.5749730933758</v>
      </c>
      <c r="CN57" s="27">
        <f t="shared" si="495"/>
        <v>3900.6176301860792</v>
      </c>
      <c r="CO57" s="27">
        <f t="shared" si="495"/>
        <v>3821.606233707847</v>
      </c>
      <c r="CP57" s="27">
        <f t="shared" si="495"/>
        <v>5078.6663096213288</v>
      </c>
      <c r="CQ57" s="27">
        <f t="shared" si="495"/>
        <v>4663.4292269975504</v>
      </c>
      <c r="CR57" s="27">
        <f t="shared" si="495"/>
        <v>4731.7317588010574</v>
      </c>
      <c r="CS57" s="27">
        <f t="shared" si="495"/>
        <v>4985.3890919472815</v>
      </c>
      <c r="CT57" s="27">
        <f t="shared" si="495"/>
        <v>6283.3933201396003</v>
      </c>
      <c r="CU57" s="27">
        <f t="shared" si="495"/>
        <v>5311.8684552455907</v>
      </c>
      <c r="CV57" s="27">
        <f t="shared" si="495"/>
        <v>5330.1266246293162</v>
      </c>
      <c r="CW57" s="27">
        <f t="shared" si="495"/>
        <v>5923.1750803647383</v>
      </c>
      <c r="CX57" s="27">
        <f t="shared" si="495"/>
        <v>7528.1977081839577</v>
      </c>
      <c r="CY57" s="27">
        <f t="shared" si="495"/>
        <v>6512.8162217223708</v>
      </c>
      <c r="CZ57" s="27">
        <f t="shared" si="495"/>
        <v>6939.6492551081119</v>
      </c>
      <c r="DA57" s="27">
        <f t="shared" si="495"/>
        <v>7364.5146436627856</v>
      </c>
      <c r="DB57" s="27">
        <f t="shared" si="495"/>
        <v>9737.2459476792337</v>
      </c>
      <c r="DE57" s="121"/>
      <c r="DF57" s="26">
        <v>0</v>
      </c>
    </row>
    <row r="58" spans="1:110" s="23" customFormat="1" x14ac:dyDescent="0.2">
      <c r="A58" s="23" t="s">
        <v>21</v>
      </c>
      <c r="B58" s="23">
        <f>'Annual Raw'!C30</f>
        <v>0</v>
      </c>
      <c r="C58" s="23">
        <f>'Annual Raw'!D30</f>
        <v>0</v>
      </c>
      <c r="D58" s="23">
        <f>'Annual Raw'!E30</f>
        <v>0</v>
      </c>
      <c r="E58" s="23">
        <f>'Annual Raw'!F30</f>
        <v>0</v>
      </c>
      <c r="F58" s="23">
        <f>'Annual Raw'!G30</f>
        <v>0</v>
      </c>
      <c r="G58" s="23">
        <f>'Annual Raw'!H30</f>
        <v>0</v>
      </c>
      <c r="H58" s="23">
        <f>'Annual Raw'!I30</f>
        <v>0</v>
      </c>
      <c r="I58" s="23">
        <f>'Annual Raw'!J30</f>
        <v>0</v>
      </c>
      <c r="J58" s="23">
        <f>'Annual Raw'!K30</f>
        <v>0</v>
      </c>
      <c r="K58" s="23">
        <f>'Annual Raw'!L30</f>
        <v>32.72</v>
      </c>
      <c r="L58" s="23">
        <f>'Annual Raw'!M30</f>
        <v>300.02</v>
      </c>
      <c r="M58" s="23">
        <f>'Annual Raw'!N30</f>
        <v>294.83999999999997</v>
      </c>
      <c r="N58" s="23">
        <f>'Annual Raw'!O30</f>
        <v>476.79</v>
      </c>
      <c r="O58" s="23">
        <f>'Annual Raw'!P30</f>
        <v>-1078.99</v>
      </c>
      <c r="P58" s="23">
        <f>'Annual Raw'!Q30</f>
        <v>0</v>
      </c>
      <c r="Q58" s="23">
        <f>'Annual Raw'!R30</f>
        <v>-176.08</v>
      </c>
      <c r="R58" s="23">
        <f>'Annual Raw'!S30</f>
        <v>-86.07</v>
      </c>
      <c r="S58" s="23">
        <f>'Annual Raw'!T30</f>
        <v>-5.15</v>
      </c>
      <c r="T58" s="23">
        <f>'Annual Raw'!U30</f>
        <v>8.5399999999999991</v>
      </c>
      <c r="U58" s="23">
        <f>'Annual Raw'!V30</f>
        <v>9.85</v>
      </c>
      <c r="V58" s="23">
        <f>'Annual Raw'!W30</f>
        <v>1018.76</v>
      </c>
      <c r="W58" s="23">
        <f>'Annual Raw'!X30</f>
        <v>1665.55</v>
      </c>
      <c r="X58" s="23">
        <f>'Annual Raw'!Y30</f>
        <v>-3051.94</v>
      </c>
      <c r="Y58" s="23">
        <f>'Annual Raw'!Z30</f>
        <v>-37.28</v>
      </c>
      <c r="Z58" s="23">
        <f>'Annual Raw'!AA30</f>
        <v>3609.9</v>
      </c>
      <c r="AA58" s="23">
        <f>'Annual Raw'!AB30</f>
        <v>2528.4299999999998</v>
      </c>
      <c r="AB58" s="24">
        <f>+SUM(CM58:CP58)</f>
        <v>2374.1546983053859</v>
      </c>
      <c r="AC58" s="24">
        <f>+SUM(CQ58:CT58)</f>
        <v>2827.174999318358</v>
      </c>
      <c r="AD58" s="24">
        <f>+SUM(CU58:CX58)</f>
        <v>3275.4196704790975</v>
      </c>
      <c r="AE58" s="24">
        <f>+SUM(CY58:DB58)</f>
        <v>4149.6134471053629</v>
      </c>
      <c r="AI58" s="23">
        <f>'QTR Raw'!C29</f>
        <v>70.430000000000007</v>
      </c>
      <c r="AJ58" s="23">
        <f>'QTR Raw'!D29</f>
        <v>171.13</v>
      </c>
      <c r="AK58" s="23">
        <f>'QTR Raw'!E29</f>
        <v>94.41</v>
      </c>
      <c r="AL58" s="23">
        <f>'QTR Raw'!F29</f>
        <v>140.82</v>
      </c>
      <c r="AM58" s="23">
        <f>'QTR Raw'!G29</f>
        <v>100.12</v>
      </c>
      <c r="AN58" s="23">
        <f>'QTR Raw'!H29</f>
        <v>90.33</v>
      </c>
      <c r="AO58" s="23">
        <f>'QTR Raw'!I29</f>
        <v>131.15</v>
      </c>
      <c r="AP58" s="23">
        <f>'QTR Raw'!J29</f>
        <v>-1400.59</v>
      </c>
      <c r="AQ58" s="23">
        <f>'QTR Raw'!K29</f>
        <v>0</v>
      </c>
      <c r="AR58" s="23">
        <f>'QTR Raw'!L29</f>
        <v>0</v>
      </c>
      <c r="AS58" s="23">
        <f>'QTR Raw'!M29</f>
        <v>0</v>
      </c>
      <c r="AT58" s="23">
        <f>'QTR Raw'!N29</f>
        <v>0</v>
      </c>
      <c r="AU58" s="23">
        <f>'QTR Raw'!O29</f>
        <v>-222.5</v>
      </c>
      <c r="AV58" s="23">
        <f>'QTR Raw'!P29</f>
        <v>-13.4</v>
      </c>
      <c r="AW58" s="23">
        <f>'QTR Raw'!Q29</f>
        <v>-13.06</v>
      </c>
      <c r="AX58" s="23">
        <f>'QTR Raw'!R29</f>
        <v>72.89</v>
      </c>
      <c r="AY58" s="23">
        <f>'QTR Raw'!S29</f>
        <v>-61.73</v>
      </c>
      <c r="AZ58" s="23">
        <f>'QTR Raw'!T29</f>
        <v>-3.09</v>
      </c>
      <c r="BA58" s="23">
        <f>'QTR Raw'!U29</f>
        <v>-6.02</v>
      </c>
      <c r="BB58" s="23">
        <f>'QTR Raw'!V29</f>
        <v>-15.23</v>
      </c>
      <c r="BC58" s="23">
        <f>'QTR Raw'!W29</f>
        <v>-1.1399999999999999</v>
      </c>
      <c r="BD58" s="23">
        <f>'QTR Raw'!X29</f>
        <v>-3.5</v>
      </c>
      <c r="BE58" s="23">
        <f>'QTR Raw'!Y29</f>
        <v>-3.77</v>
      </c>
      <c r="BF58" s="23">
        <f>'QTR Raw'!Z29</f>
        <v>3.26</v>
      </c>
      <c r="BG58" s="23">
        <f>'QTR Raw'!AA29</f>
        <v>72.03</v>
      </c>
      <c r="BH58" s="23">
        <f>'QTR Raw'!AB29</f>
        <v>314.99</v>
      </c>
      <c r="BI58" s="23">
        <f>'QTR Raw'!AC29</f>
        <v>340.28</v>
      </c>
      <c r="BJ58" s="23">
        <f>'QTR Raw'!AD29</f>
        <v>-718.76</v>
      </c>
      <c r="BK58" s="23">
        <f>'QTR Raw'!AE29</f>
        <v>141.63999999999999</v>
      </c>
      <c r="BL58" s="23">
        <f>'QTR Raw'!AF29</f>
        <v>154.1</v>
      </c>
      <c r="BM58" s="23">
        <f>'QTR Raw'!AG29</f>
        <v>53.85</v>
      </c>
      <c r="BN58" s="23">
        <f>'QTR Raw'!AH29</f>
        <v>-339.74</v>
      </c>
      <c r="BO58" s="23">
        <f>'QTR Raw'!AI29</f>
        <v>48.84</v>
      </c>
      <c r="BP58" s="23">
        <f>'QTR Raw'!AJ29</f>
        <v>665.88</v>
      </c>
      <c r="BQ58" s="23">
        <f>'QTR Raw'!AK29</f>
        <v>82.99</v>
      </c>
      <c r="BR58" s="23">
        <f>'QTR Raw'!AL29</f>
        <v>221.05</v>
      </c>
      <c r="BS58" s="23">
        <f>'QTR Raw'!AM29</f>
        <v>171.49</v>
      </c>
      <c r="BT58" s="23">
        <f>'QTR Raw'!AN29</f>
        <v>20.69</v>
      </c>
      <c r="BU58" s="23">
        <f>'QTR Raw'!AO29</f>
        <v>-14.15</v>
      </c>
      <c r="BV58" s="23">
        <f>'QTR Raw'!AP29</f>
        <v>1487.52</v>
      </c>
      <c r="BW58" s="23">
        <f>'QTR Raw'!AQ29</f>
        <v>1086.3399999999999</v>
      </c>
      <c r="BX58" s="23">
        <f>'QTR Raw'!AR29</f>
        <v>3.35</v>
      </c>
      <c r="BY58" s="23">
        <f>'QTR Raw'!AS29</f>
        <v>203.13</v>
      </c>
      <c r="BZ58" s="23">
        <f>'QTR Raw'!AT29</f>
        <v>-4344.76</v>
      </c>
      <c r="CA58" s="23">
        <f>'QTR Raw'!AU29</f>
        <v>40.200000000000003</v>
      </c>
      <c r="CB58" s="23">
        <f>'QTR Raw'!AV29</f>
        <v>-1370.6</v>
      </c>
      <c r="CC58" s="23">
        <f>'QTR Raw'!AW29</f>
        <v>472.42</v>
      </c>
      <c r="CD58" s="23">
        <f>'QTR Raw'!AX29</f>
        <v>820.7</v>
      </c>
      <c r="CE58" s="23">
        <f>'QTR Raw'!AY29</f>
        <v>992.72</v>
      </c>
      <c r="CF58" s="23">
        <f>'QTR Raw'!AZ29</f>
        <v>836.56</v>
      </c>
      <c r="CG58" s="23">
        <f>'QTR Raw'!BA29</f>
        <v>1118.57</v>
      </c>
      <c r="CH58" s="23">
        <f>'QTR Raw'!BB29</f>
        <v>662.05</v>
      </c>
      <c r="CI58" s="23">
        <f>'QTR Raw'!BC29</f>
        <v>899.18</v>
      </c>
      <c r="CJ58" s="23">
        <f>'QTR Raw'!BD29</f>
        <v>1059.74</v>
      </c>
      <c r="CK58" s="23">
        <f>'QTR Raw'!BE29</f>
        <v>456.93</v>
      </c>
      <c r="CL58" s="23">
        <f>'QTR Raw'!BF29</f>
        <v>112.58</v>
      </c>
      <c r="CM58" s="24">
        <f t="shared" ref="CM58:DB58" si="496">+CM57*CM59</f>
        <v>731.38457267251943</v>
      </c>
      <c r="CN58" s="24">
        <f t="shared" si="496"/>
        <v>590.67750959064438</v>
      </c>
      <c r="CO58" s="24">
        <f t="shared" si="496"/>
        <v>469.22042534905711</v>
      </c>
      <c r="CP58" s="24">
        <f t="shared" si="496"/>
        <v>582.87219069316484</v>
      </c>
      <c r="CQ58" s="24">
        <f t="shared" si="496"/>
        <v>663.82171697804608</v>
      </c>
      <c r="CR58" s="24">
        <f t="shared" si="496"/>
        <v>647.38084779806934</v>
      </c>
      <c r="CS58" s="24">
        <f t="shared" si="496"/>
        <v>663.32376522302661</v>
      </c>
      <c r="CT58" s="24">
        <f t="shared" si="496"/>
        <v>852.64866931921608</v>
      </c>
      <c r="CU58" s="24">
        <f t="shared" si="496"/>
        <v>727.61373122324039</v>
      </c>
      <c r="CV58" s="24">
        <f t="shared" si="496"/>
        <v>722.96249346316336</v>
      </c>
      <c r="CW58" s="24">
        <f t="shared" si="496"/>
        <v>801.65466771166587</v>
      </c>
      <c r="CX58" s="24">
        <f t="shared" si="496"/>
        <v>1023.1887780810277</v>
      </c>
      <c r="CY58" s="24">
        <f t="shared" si="496"/>
        <v>885.53478371908341</v>
      </c>
      <c r="CZ58" s="24">
        <f t="shared" si="496"/>
        <v>941.81671149369754</v>
      </c>
      <c r="DA58" s="24">
        <f t="shared" si="496"/>
        <v>999.62161082094076</v>
      </c>
      <c r="DB58" s="24">
        <f t="shared" si="496"/>
        <v>1322.6403410716416</v>
      </c>
      <c r="DE58" s="123"/>
      <c r="DF58" s="23">
        <v>0</v>
      </c>
    </row>
    <row r="59" spans="1:110" s="90" customFormat="1" x14ac:dyDescent="0.2">
      <c r="A59" s="90" t="s">
        <v>106</v>
      </c>
      <c r="B59" s="90" t="e">
        <f t="shared" ref="B59:E59" si="497">B58/B57</f>
        <v>#DIV/0!</v>
      </c>
      <c r="C59" s="90" t="e">
        <f t="shared" si="497"/>
        <v>#DIV/0!</v>
      </c>
      <c r="D59" s="90" t="e">
        <f t="shared" si="497"/>
        <v>#DIV/0!</v>
      </c>
      <c r="E59" s="90">
        <f t="shared" si="497"/>
        <v>0</v>
      </c>
      <c r="F59" s="90" t="e">
        <f t="shared" ref="F59:T59" si="498">F58/F57</f>
        <v>#DIV/0!</v>
      </c>
      <c r="G59" s="90" t="e">
        <f t="shared" si="498"/>
        <v>#DIV/0!</v>
      </c>
      <c r="H59" s="90" t="e">
        <f t="shared" si="498"/>
        <v>#DIV/0!</v>
      </c>
      <c r="I59" s="90">
        <f t="shared" si="498"/>
        <v>0</v>
      </c>
      <c r="J59" s="90">
        <f t="shared" si="498"/>
        <v>0</v>
      </c>
      <c r="K59" s="90">
        <f t="shared" si="498"/>
        <v>0.16140489344909231</v>
      </c>
      <c r="L59" s="90">
        <f t="shared" si="498"/>
        <v>0.3654012447172591</v>
      </c>
      <c r="M59" s="90">
        <f t="shared" si="498"/>
        <v>867.17647058902389</v>
      </c>
      <c r="N59" s="90">
        <f t="shared" si="498"/>
        <v>-0.25880430770566903</v>
      </c>
      <c r="O59" s="90">
        <f t="shared" si="498"/>
        <v>0.8463330457290773</v>
      </c>
      <c r="P59" s="90">
        <f t="shared" si="498"/>
        <v>0</v>
      </c>
      <c r="Q59" s="90">
        <f t="shared" si="498"/>
        <v>-0.46989752348420466</v>
      </c>
      <c r="R59" s="90">
        <f t="shared" si="498"/>
        <v>3.9418726070309745E-2</v>
      </c>
      <c r="S59" s="90">
        <f t="shared" si="498"/>
        <v>2.4772478017432127E-3</v>
      </c>
      <c r="T59" s="90">
        <f t="shared" si="498"/>
        <v>-8.751255303014762E-3</v>
      </c>
      <c r="U59" s="90">
        <f t="shared" ref="U59:Z59" si="499">U58/U57</f>
        <v>-7.8055042672731372E-3</v>
      </c>
      <c r="V59" s="90">
        <f t="shared" si="499"/>
        <v>0.44511827468388704</v>
      </c>
      <c r="W59" s="90">
        <f t="shared" si="499"/>
        <v>0.25323355323674612</v>
      </c>
      <c r="X59" s="90">
        <f t="shared" si="499"/>
        <v>-0.39766244934655415</v>
      </c>
      <c r="Y59" s="90">
        <f t="shared" si="499"/>
        <v>-1.7930395627830786E-3</v>
      </c>
      <c r="Z59" s="90">
        <f t="shared" si="499"/>
        <v>0.22066064325887519</v>
      </c>
      <c r="AA59" s="90">
        <f t="shared" ref="AA59" si="500">AA58/AA57</f>
        <v>0.1631296731316022</v>
      </c>
      <c r="AB59" s="91">
        <f t="shared" ref="AB59:AD59" si="501">AB58/AB57</f>
        <v>0.13750887555854407</v>
      </c>
      <c r="AC59" s="91">
        <f t="shared" si="501"/>
        <v>0.1368168187882115</v>
      </c>
      <c r="AD59" s="91">
        <f t="shared" si="501"/>
        <v>0.13594694143079153</v>
      </c>
      <c r="AE59" s="91">
        <f t="shared" ref="AE59" si="502">AE58/AE57</f>
        <v>0.13581144021932534</v>
      </c>
      <c r="AI59" s="90">
        <f t="shared" ref="AI59" si="503">AI58/AI57</f>
        <v>-9.4272443748410525E-2</v>
      </c>
      <c r="AJ59" s="90">
        <f t="shared" ref="AJ59" si="504">AJ58/AJ57</f>
        <v>-1.6805460080526389</v>
      </c>
      <c r="AK59" s="90">
        <f t="shared" ref="AK59:AM59" si="505">AK58/AK57</f>
        <v>-0.17214594387615553</v>
      </c>
      <c r="AL59" s="90">
        <f t="shared" si="505"/>
        <v>-0.31666291882167757</v>
      </c>
      <c r="AM59" s="90">
        <f t="shared" si="505"/>
        <v>-9.1169855304734232E-2</v>
      </c>
      <c r="AN59" s="90">
        <f t="shared" ref="AN59:AO59" si="506">AN58/AN57</f>
        <v>-9.1834244931985887E-2</v>
      </c>
      <c r="AO59" s="90">
        <f t="shared" si="506"/>
        <v>-0.31704015277878533</v>
      </c>
      <c r="AP59" s="90">
        <f t="shared" ref="AP59:CD59" si="507">AP58/AP57</f>
        <v>-1.2417018333983469</v>
      </c>
      <c r="AQ59" s="90">
        <f t="shared" si="507"/>
        <v>0</v>
      </c>
      <c r="AR59" s="90">
        <f t="shared" si="507"/>
        <v>0</v>
      </c>
      <c r="AS59" s="90">
        <f t="shared" si="507"/>
        <v>0</v>
      </c>
      <c r="AT59" s="90">
        <f t="shared" si="507"/>
        <v>0</v>
      </c>
      <c r="AU59" s="90">
        <f t="shared" si="507"/>
        <v>0.57250926307122263</v>
      </c>
      <c r="AV59" s="90">
        <f t="shared" si="507"/>
        <v>3.2046682929162476E-2</v>
      </c>
      <c r="AW59" s="90">
        <f t="shared" si="507"/>
        <v>-0.13543503059213866</v>
      </c>
      <c r="AX59" s="90">
        <f t="shared" si="507"/>
        <v>6.7174770523832361E-2</v>
      </c>
      <c r="AY59" s="90">
        <f t="shared" si="507"/>
        <v>0.20970919961951406</v>
      </c>
      <c r="AZ59" s="90">
        <f t="shared" si="507"/>
        <v>9.7741506927310658E-3</v>
      </c>
      <c r="BA59" s="90">
        <f t="shared" si="507"/>
        <v>8.9329435681322449E-3</v>
      </c>
      <c r="BB59" s="90">
        <f t="shared" si="507"/>
        <v>1.6939726606382148E-2</v>
      </c>
      <c r="BC59" s="90">
        <f t="shared" si="507"/>
        <v>2.5111238380545382E-3</v>
      </c>
      <c r="BD59" s="90">
        <f t="shared" si="507"/>
        <v>-1.1168549364988173E-2</v>
      </c>
      <c r="BE59" s="90">
        <f t="shared" si="507"/>
        <v>2.8839386799669529E-3</v>
      </c>
      <c r="BF59" s="90">
        <f t="shared" si="507"/>
        <v>-5.1657476072764141E-3</v>
      </c>
      <c r="BG59" s="90">
        <f t="shared" si="507"/>
        <v>-9.5642128744423183E-2</v>
      </c>
      <c r="BH59" s="90">
        <f t="shared" si="507"/>
        <v>0.44878041830512316</v>
      </c>
      <c r="BI59" s="90">
        <f t="shared" si="507"/>
        <v>-0.40485425342058295</v>
      </c>
      <c r="BJ59" s="90">
        <f t="shared" si="507"/>
        <v>8.5444602948169397</v>
      </c>
      <c r="BK59" s="90">
        <f t="shared" si="507"/>
        <v>0.16050949639635562</v>
      </c>
      <c r="BL59" s="90">
        <f t="shared" si="507"/>
        <v>0.98290598290598163</v>
      </c>
      <c r="BM59" s="90">
        <f t="shared" si="507"/>
        <v>-8.303137768869015E-2</v>
      </c>
      <c r="BN59" s="90">
        <f t="shared" si="507"/>
        <v>0.20557908749848727</v>
      </c>
      <c r="BO59" s="90">
        <f t="shared" si="507"/>
        <v>-7.7080900224109045E-2</v>
      </c>
      <c r="BP59" s="90">
        <f t="shared" si="507"/>
        <v>0.23009540659241937</v>
      </c>
      <c r="BQ59" s="90">
        <f t="shared" si="507"/>
        <v>-0.40335358444714547</v>
      </c>
      <c r="BR59" s="90">
        <f t="shared" si="507"/>
        <v>0.94393201810572946</v>
      </c>
      <c r="BS59" s="90">
        <f t="shared" si="507"/>
        <v>0.38133463787774324</v>
      </c>
      <c r="BT59" s="90">
        <f t="shared" si="507"/>
        <v>-9.8566052117573952E-2</v>
      </c>
      <c r="BU59" s="90">
        <f t="shared" si="507"/>
        <v>-6.9247332876578124E-2</v>
      </c>
      <c r="BV59" s="90">
        <f t="shared" si="507"/>
        <v>0.24254401197458336</v>
      </c>
      <c r="BW59" s="90">
        <f t="shared" si="507"/>
        <v>0.18518632163922133</v>
      </c>
      <c r="BX59" s="90">
        <f t="shared" si="507"/>
        <v>4.7933836996336947E-3</v>
      </c>
      <c r="BY59" s="90">
        <f t="shared" si="507"/>
        <v>0.95861255309107818</v>
      </c>
      <c r="BZ59" s="90">
        <f t="shared" si="507"/>
        <v>-4.839771866506271</v>
      </c>
      <c r="CA59" s="90">
        <f t="shared" si="507"/>
        <v>4.5683790890970292E-3</v>
      </c>
      <c r="CB59" s="90">
        <f t="shared" si="507"/>
        <v>-0.26238760081706575</v>
      </c>
      <c r="CC59" s="90">
        <f t="shared" si="507"/>
        <v>0.14715391947370707</v>
      </c>
      <c r="CD59" s="90">
        <f t="shared" si="507"/>
        <v>0.23066718381985082</v>
      </c>
      <c r="CE59" s="90">
        <f t="shared" ref="CE59:CF59" si="508">CE58/CE57</f>
        <v>0.20236835721464236</v>
      </c>
      <c r="CF59" s="90">
        <f t="shared" si="508"/>
        <v>0.20235699357535417</v>
      </c>
      <c r="CG59" s="90">
        <f t="shared" ref="CG59:CH59" si="509">CG58/CG57</f>
        <v>0.27560217215619021</v>
      </c>
      <c r="CH59" s="90">
        <f t="shared" si="509"/>
        <v>0.20300311534121579</v>
      </c>
      <c r="CI59" s="90">
        <f t="shared" ref="CI59:CJ59" si="510">CI58/CI57</f>
        <v>0.21387100380324006</v>
      </c>
      <c r="CJ59" s="90">
        <f t="shared" si="510"/>
        <v>0.26719277898240124</v>
      </c>
      <c r="CK59" s="90">
        <f t="shared" ref="CK59:CL59" si="511">CK58/CK57</f>
        <v>0.15515344547745</v>
      </c>
      <c r="CL59" s="90">
        <f t="shared" si="511"/>
        <v>2.5679861678201087E-2</v>
      </c>
      <c r="CM59" s="91">
        <f>AVERAGE(CI59:CL59)*0.99</f>
        <v>0.1638195297604699</v>
      </c>
      <c r="CN59" s="91">
        <f t="shared" ref="CN59:CP59" si="512">AVERAGE(CJ59:CM59)*0.99</f>
        <v>0.15143178993488426</v>
      </c>
      <c r="CO59" s="91">
        <f t="shared" si="512"/>
        <v>0.12278094514562379</v>
      </c>
      <c r="CP59" s="91">
        <f t="shared" si="512"/>
        <v>0.11476875131349681</v>
      </c>
      <c r="CQ59" s="91">
        <f t="shared" ref="CQ59:CT59" si="513">AVERAGE(CM59:CP59)*1.03</f>
        <v>0.14234626165977726</v>
      </c>
      <c r="CR59" s="91">
        <f t="shared" si="513"/>
        <v>0.1368168951238489</v>
      </c>
      <c r="CS59" s="91">
        <f t="shared" si="513"/>
        <v>0.13305355971000729</v>
      </c>
      <c r="CT59" s="91">
        <f t="shared" si="513"/>
        <v>0.13569875796033606</v>
      </c>
      <c r="CU59" s="91">
        <f t="shared" ref="CU59:DB59" si="514">AVERAGE(CQ59:CT59)</f>
        <v>0.13697886861349237</v>
      </c>
      <c r="CV59" s="91">
        <f t="shared" si="514"/>
        <v>0.13563702035192116</v>
      </c>
      <c r="CW59" s="91">
        <f t="shared" si="514"/>
        <v>0.13534205165893923</v>
      </c>
      <c r="CX59" s="91">
        <f t="shared" si="514"/>
        <v>0.1359141746461722</v>
      </c>
      <c r="CY59" s="91">
        <f t="shared" si="514"/>
        <v>0.13596802881763123</v>
      </c>
      <c r="CZ59" s="91">
        <f t="shared" si="514"/>
        <v>0.13571531886866595</v>
      </c>
      <c r="DA59" s="91">
        <f t="shared" si="514"/>
        <v>0.13573489349785214</v>
      </c>
      <c r="DB59" s="91">
        <f t="shared" si="514"/>
        <v>0.13583310395758039</v>
      </c>
      <c r="DE59" s="127"/>
      <c r="DF59" s="90" t="e">
        <v>#DIV/0!</v>
      </c>
    </row>
    <row r="60" spans="1:110" s="26" customFormat="1" x14ac:dyDescent="0.2">
      <c r="A60" s="26" t="s">
        <v>22</v>
      </c>
      <c r="B60" s="26">
        <f t="shared" ref="B60:E60" si="515">B57-B58</f>
        <v>0</v>
      </c>
      <c r="C60" s="26">
        <f t="shared" si="515"/>
        <v>0</v>
      </c>
      <c r="D60" s="26">
        <f t="shared" si="515"/>
        <v>0</v>
      </c>
      <c r="E60" s="26">
        <f t="shared" si="515"/>
        <v>-1E-3</v>
      </c>
      <c r="F60" s="26">
        <f t="shared" ref="F60:T60" si="516">F57-F58</f>
        <v>0</v>
      </c>
      <c r="G60" s="26">
        <f t="shared" si="516"/>
        <v>0</v>
      </c>
      <c r="H60" s="26">
        <f t="shared" si="516"/>
        <v>0</v>
      </c>
      <c r="I60" s="26">
        <f t="shared" si="516"/>
        <v>-7.1790000000000003</v>
      </c>
      <c r="J60" s="26">
        <f t="shared" si="516"/>
        <v>-5.5415999999999999</v>
      </c>
      <c r="K60" s="26">
        <f t="shared" si="516"/>
        <v>170.00000000000003</v>
      </c>
      <c r="L60" s="26">
        <f t="shared" si="516"/>
        <v>521.05000000000018</v>
      </c>
      <c r="M60" s="26">
        <f t="shared" si="516"/>
        <v>-294.50000000000028</v>
      </c>
      <c r="N60" s="26">
        <f t="shared" si="516"/>
        <v>-2319.0700000000002</v>
      </c>
      <c r="O60" s="26">
        <f t="shared" si="516"/>
        <v>-195.90999999999917</v>
      </c>
      <c r="P60" s="26">
        <f t="shared" si="516"/>
        <v>-1346.800000000002</v>
      </c>
      <c r="Q60" s="26">
        <f t="shared" si="516"/>
        <v>550.79999999999757</v>
      </c>
      <c r="R60" s="26">
        <f t="shared" si="516"/>
        <v>-2097.4100000000017</v>
      </c>
      <c r="S60" s="26">
        <f t="shared" si="516"/>
        <v>-2073.77</v>
      </c>
      <c r="T60" s="26">
        <f t="shared" si="516"/>
        <v>-984.40000000000146</v>
      </c>
      <c r="U60" s="26">
        <f t="shared" ref="U60:Z60" si="517">U57-U58</f>
        <v>-1271.7800000000011</v>
      </c>
      <c r="V60" s="26">
        <f t="shared" si="517"/>
        <v>1269.9800000000007</v>
      </c>
      <c r="W60" s="26">
        <f t="shared" si="517"/>
        <v>4911.58</v>
      </c>
      <c r="X60" s="26">
        <f t="shared" si="517"/>
        <v>10726.640000000003</v>
      </c>
      <c r="Y60" s="26">
        <f t="shared" si="517"/>
        <v>20828.789999999997</v>
      </c>
      <c r="Z60" s="26">
        <f t="shared" si="517"/>
        <v>12749.609999999995</v>
      </c>
      <c r="AA60" s="26">
        <f t="shared" ref="AA60" si="518">AA57-AA58</f>
        <v>12971.08</v>
      </c>
      <c r="AB60" s="27">
        <f t="shared" ref="AB60:AD60" si="519">AB57-AB58</f>
        <v>14891.310448303244</v>
      </c>
      <c r="AC60" s="27">
        <f t="shared" si="519"/>
        <v>17836.768398567128</v>
      </c>
      <c r="AD60" s="27">
        <f t="shared" si="519"/>
        <v>20817.948197944497</v>
      </c>
      <c r="AE60" s="27">
        <f t="shared" ref="AE60" si="520">AE57-AE58</f>
        <v>26404.61262106715</v>
      </c>
      <c r="AI60" s="26">
        <f>AI57-AI58</f>
        <v>-817.52</v>
      </c>
      <c r="AJ60" s="26">
        <f t="shared" ref="AJ60" si="521">AJ57-AJ58</f>
        <v>-272.95999999999987</v>
      </c>
      <c r="AK60" s="26">
        <f t="shared" ref="AK60:AM60" si="522">AK57-AK58</f>
        <v>-642.84</v>
      </c>
      <c r="AL60" s="26">
        <f t="shared" si="522"/>
        <v>-585.52</v>
      </c>
      <c r="AM60" s="26">
        <f t="shared" si="522"/>
        <v>-1198.29</v>
      </c>
      <c r="AN60" s="26">
        <f t="shared" ref="AN60:AO60" si="523">AN57-AN58</f>
        <v>-1073.9500000000005</v>
      </c>
      <c r="AO60" s="26">
        <f t="shared" si="523"/>
        <v>-544.8199999999996</v>
      </c>
      <c r="AP60" s="26">
        <f t="shared" ref="AP60:CD60" si="524">AP57-AP58</f>
        <v>2528.5500000000002</v>
      </c>
      <c r="AQ60" s="26">
        <f t="shared" si="524"/>
        <v>-176.89999999999895</v>
      </c>
      <c r="AR60" s="26">
        <f t="shared" si="524"/>
        <v>-798.71000000000026</v>
      </c>
      <c r="AS60" s="26">
        <f t="shared" si="524"/>
        <v>-428.67999999999961</v>
      </c>
      <c r="AT60" s="26">
        <f t="shared" si="524"/>
        <v>57.489999999999782</v>
      </c>
      <c r="AU60" s="26">
        <f t="shared" si="524"/>
        <v>-166.1400000000001</v>
      </c>
      <c r="AV60" s="26">
        <f t="shared" si="524"/>
        <v>-404.74000000000012</v>
      </c>
      <c r="AW60" s="26">
        <f t="shared" si="524"/>
        <v>109.49000000000052</v>
      </c>
      <c r="AX60" s="26">
        <f t="shared" si="524"/>
        <v>1012.1899999999997</v>
      </c>
      <c r="AY60" s="26">
        <f t="shared" si="524"/>
        <v>-232.62999999999923</v>
      </c>
      <c r="AZ60" s="26">
        <f t="shared" si="524"/>
        <v>-313.05000000000013</v>
      </c>
      <c r="BA60" s="26">
        <f t="shared" si="524"/>
        <v>-667.88999999999987</v>
      </c>
      <c r="BB60" s="26">
        <f t="shared" si="524"/>
        <v>-883.84000000000015</v>
      </c>
      <c r="BC60" s="26">
        <f t="shared" si="524"/>
        <v>-452.84000000000026</v>
      </c>
      <c r="BD60" s="26">
        <f t="shared" si="524"/>
        <v>316.88000000000056</v>
      </c>
      <c r="BE60" s="26">
        <f t="shared" si="524"/>
        <v>-1303.4700000000003</v>
      </c>
      <c r="BF60" s="26">
        <f t="shared" si="524"/>
        <v>-634.34</v>
      </c>
      <c r="BG60" s="26">
        <f t="shared" si="524"/>
        <v>-825.15000000000009</v>
      </c>
      <c r="BH60" s="26">
        <f t="shared" si="524"/>
        <v>386.89000000000033</v>
      </c>
      <c r="BI60" s="26">
        <f t="shared" si="524"/>
        <v>-1180.78</v>
      </c>
      <c r="BJ60" s="26">
        <f t="shared" si="524"/>
        <v>634.6400000000001</v>
      </c>
      <c r="BK60" s="26">
        <f t="shared" si="524"/>
        <v>740.79999999999961</v>
      </c>
      <c r="BL60" s="26">
        <f t="shared" si="524"/>
        <v>2.6800000000002058</v>
      </c>
      <c r="BM60" s="26">
        <f t="shared" si="524"/>
        <v>-702.40000000000009</v>
      </c>
      <c r="BN60" s="26">
        <f t="shared" si="524"/>
        <v>-1312.8599999999997</v>
      </c>
      <c r="BO60" s="26">
        <f t="shared" si="524"/>
        <v>-682.46000000000038</v>
      </c>
      <c r="BP60" s="26">
        <f t="shared" si="524"/>
        <v>2228.0499999999993</v>
      </c>
      <c r="BQ60" s="26">
        <f t="shared" si="524"/>
        <v>-288.73999999999955</v>
      </c>
      <c r="BR60" s="26">
        <f t="shared" si="524"/>
        <v>13.13000000000028</v>
      </c>
      <c r="BS60" s="26">
        <f t="shared" si="524"/>
        <v>278.22000000000025</v>
      </c>
      <c r="BT60" s="26">
        <f t="shared" si="524"/>
        <v>-230.60000000000053</v>
      </c>
      <c r="BU60" s="26">
        <f t="shared" si="524"/>
        <v>218.49000000000038</v>
      </c>
      <c r="BV60" s="26">
        <f t="shared" si="524"/>
        <v>4645.4699999999993</v>
      </c>
      <c r="BW60" s="26">
        <f t="shared" si="524"/>
        <v>4779.8599999999988</v>
      </c>
      <c r="BX60" s="26">
        <f t="shared" si="524"/>
        <v>695.53000000000065</v>
      </c>
      <c r="BY60" s="26">
        <f t="shared" si="524"/>
        <v>8.7700000000005502</v>
      </c>
      <c r="BZ60" s="26">
        <f t="shared" si="524"/>
        <v>5242.4799999999977</v>
      </c>
      <c r="CA60" s="26">
        <f t="shared" si="524"/>
        <v>8759.42</v>
      </c>
      <c r="CB60" s="26">
        <f t="shared" si="524"/>
        <v>6594.17</v>
      </c>
      <c r="CC60" s="26">
        <f t="shared" si="524"/>
        <v>2737.9600000000019</v>
      </c>
      <c r="CD60" s="26">
        <f t="shared" si="524"/>
        <v>2737.24</v>
      </c>
      <c r="CE60" s="26">
        <f t="shared" ref="CE60:CF60" si="525">CE57-CE58</f>
        <v>3912.7899999999991</v>
      </c>
      <c r="CF60" s="26">
        <f t="shared" si="525"/>
        <v>3297.5199999999991</v>
      </c>
      <c r="CG60" s="26">
        <f t="shared" ref="CG60:CH60" si="526">CG57-CG58</f>
        <v>2940.0700000000006</v>
      </c>
      <c r="CH60" s="26">
        <f t="shared" si="526"/>
        <v>2599.2299999999987</v>
      </c>
      <c r="CI60" s="26">
        <f t="shared" ref="CI60:CJ60" si="527">CI57-CI58</f>
        <v>3305.1299999999987</v>
      </c>
      <c r="CJ60" s="26">
        <f t="shared" si="527"/>
        <v>2906.4600000000009</v>
      </c>
      <c r="CK60" s="26">
        <f t="shared" ref="CK60:CL60" si="528">CK57-CK58</f>
        <v>2488.0900000000015</v>
      </c>
      <c r="CL60" s="26">
        <f t="shared" si="528"/>
        <v>4271.3999999999996</v>
      </c>
      <c r="CM60" s="27">
        <f t="shared" ref="CM60:DB60" si="529">CM57-CM58</f>
        <v>3733.1904004208563</v>
      </c>
      <c r="CN60" s="27">
        <f t="shared" si="529"/>
        <v>3309.9401205954346</v>
      </c>
      <c r="CO60" s="27">
        <f t="shared" si="529"/>
        <v>3352.3858083587897</v>
      </c>
      <c r="CP60" s="27">
        <f t="shared" si="529"/>
        <v>4495.7941189281637</v>
      </c>
      <c r="CQ60" s="27">
        <f t="shared" si="529"/>
        <v>3999.6075100195044</v>
      </c>
      <c r="CR60" s="27">
        <f t="shared" si="529"/>
        <v>4084.3509110029881</v>
      </c>
      <c r="CS60" s="27">
        <f t="shared" si="529"/>
        <v>4322.0653267242551</v>
      </c>
      <c r="CT60" s="27">
        <f t="shared" si="529"/>
        <v>5430.7446508203839</v>
      </c>
      <c r="CU60" s="27">
        <f t="shared" si="529"/>
        <v>4584.2547240223503</v>
      </c>
      <c r="CV60" s="27">
        <f t="shared" si="529"/>
        <v>4607.1641311661533</v>
      </c>
      <c r="CW60" s="27">
        <f t="shared" si="529"/>
        <v>5121.5204126530725</v>
      </c>
      <c r="CX60" s="27">
        <f t="shared" si="529"/>
        <v>6505.0089301029302</v>
      </c>
      <c r="CY60" s="27">
        <f t="shared" si="529"/>
        <v>5627.2814380032869</v>
      </c>
      <c r="CZ60" s="27">
        <f t="shared" si="529"/>
        <v>5997.8325436144141</v>
      </c>
      <c r="DA60" s="27">
        <f t="shared" si="529"/>
        <v>6364.8930328418446</v>
      </c>
      <c r="DB60" s="27">
        <f t="shared" si="529"/>
        <v>8414.6056066075926</v>
      </c>
      <c r="DE60" s="121"/>
      <c r="DF60" s="26">
        <v>0</v>
      </c>
    </row>
    <row r="61" spans="1:110" s="45" customFormat="1" x14ac:dyDescent="0.2">
      <c r="A61" s="45" t="s">
        <v>107</v>
      </c>
      <c r="B61" s="45" t="e">
        <f t="shared" ref="B61:E61" si="530">+B60/B29</f>
        <v>#DIV/0!</v>
      </c>
      <c r="C61" s="45" t="e">
        <f t="shared" si="530"/>
        <v>#DIV/0!</v>
      </c>
      <c r="D61" s="45" t="e">
        <f t="shared" si="530"/>
        <v>#DIV/0!</v>
      </c>
      <c r="E61" s="45" t="e">
        <f t="shared" si="530"/>
        <v>#DIV/0!</v>
      </c>
      <c r="F61" s="45" t="e">
        <f t="shared" ref="F61:AE61" si="531">+F60/F29</f>
        <v>#DIV/0!</v>
      </c>
      <c r="G61" s="45" t="e">
        <f t="shared" si="531"/>
        <v>#DIV/0!</v>
      </c>
      <c r="H61" s="45" t="e">
        <f t="shared" si="531"/>
        <v>#DIV/0!</v>
      </c>
      <c r="I61" s="45" t="e">
        <f t="shared" si="531"/>
        <v>#DIV/0!</v>
      </c>
      <c r="J61" s="45" t="e">
        <f t="shared" si="531"/>
        <v>#DIV/0!</v>
      </c>
      <c r="K61" s="45">
        <f t="shared" si="531"/>
        <v>0.39093041438623932</v>
      </c>
      <c r="L61" s="45">
        <f t="shared" si="531"/>
        <v>0.24402980531006616</v>
      </c>
      <c r="M61" s="45">
        <f t="shared" si="531"/>
        <v>-7.1966883015326943E-2</v>
      </c>
      <c r="N61" s="45">
        <f t="shared" si="531"/>
        <v>-0.34207801326378895</v>
      </c>
      <c r="O61" s="45">
        <f t="shared" si="531"/>
        <v>-1.2668861024709108E-2</v>
      </c>
      <c r="P61" s="45">
        <f t="shared" si="531"/>
        <v>-6.8907860551119735E-2</v>
      </c>
      <c r="Q61" s="45">
        <f t="shared" si="531"/>
        <v>2.1572784451928589E-2</v>
      </c>
      <c r="R61" s="45">
        <f t="shared" si="531"/>
        <v>-9.2742104865201E-2</v>
      </c>
      <c r="S61" s="45">
        <f t="shared" si="531"/>
        <v>-0.10213462383300467</v>
      </c>
      <c r="T61" s="45">
        <f t="shared" si="531"/>
        <v>-4.1215566119498406E-2</v>
      </c>
      <c r="U61" s="45">
        <f t="shared" si="531"/>
        <v>-4.8050228731451032E-2</v>
      </c>
      <c r="V61" s="45">
        <f t="shared" si="531"/>
        <v>4.8432811572802173E-2</v>
      </c>
      <c r="W61" s="45">
        <f t="shared" si="531"/>
        <v>0.17724182081022893</v>
      </c>
      <c r="X61" s="45">
        <f t="shared" si="531"/>
        <v>0.27665016905963646</v>
      </c>
      <c r="Y61" s="45">
        <f t="shared" si="531"/>
        <v>0.41366976986668647</v>
      </c>
      <c r="Z61" s="45">
        <f t="shared" ref="Z61:AA61" si="532">+Z60/Z29</f>
        <v>0.2268489152464748</v>
      </c>
      <c r="AA61" s="45">
        <f t="shared" ref="AA61" si="533">+AA60/AA29</f>
        <v>0.23914003774300099</v>
      </c>
      <c r="AB61" s="48">
        <f t="shared" si="531"/>
        <v>0.2371535171895591</v>
      </c>
      <c r="AC61" s="48">
        <f t="shared" si="531"/>
        <v>0.24406421902670228</v>
      </c>
      <c r="AD61" s="48">
        <f t="shared" si="531"/>
        <v>0.24263710267754385</v>
      </c>
      <c r="AE61" s="48">
        <f t="shared" si="531"/>
        <v>0.24948843476158775</v>
      </c>
      <c r="AI61" s="45">
        <f t="shared" ref="AI61:BN61" si="534">+AI60/AI29</f>
        <v>-0.75799467794127173</v>
      </c>
      <c r="AJ61" s="45">
        <f t="shared" si="534"/>
        <v>-0.18164757867557504</v>
      </c>
      <c r="AK61" s="45">
        <f t="shared" si="534"/>
        <v>-0.35216776780725112</v>
      </c>
      <c r="AL61" s="45">
        <f t="shared" si="534"/>
        <v>-0.30994161333523895</v>
      </c>
      <c r="AM61" s="45">
        <f t="shared" si="534"/>
        <v>-0.56408433797327129</v>
      </c>
      <c r="AN61" s="45">
        <f t="shared" si="534"/>
        <v>-0.38311435818222705</v>
      </c>
      <c r="AO61" s="45">
        <f t="shared" si="534"/>
        <v>-0.13001902007250049</v>
      </c>
      <c r="AP61" s="45">
        <f t="shared" si="534"/>
        <v>0.42167167793159005</v>
      </c>
      <c r="AQ61" s="45">
        <f t="shared" si="534"/>
        <v>-3.4024792514160761E-2</v>
      </c>
      <c r="AR61" s="45">
        <f t="shared" si="534"/>
        <v>-0.19255628711188483</v>
      </c>
      <c r="AS61" s="45">
        <f t="shared" si="534"/>
        <v>-7.7884466892560858E-2</v>
      </c>
      <c r="AT61" s="45">
        <f t="shared" si="534"/>
        <v>1.2316927902372926E-2</v>
      </c>
      <c r="AU61" s="45">
        <f t="shared" si="534"/>
        <v>-2.7944011060540327E-2</v>
      </c>
      <c r="AV61" s="45">
        <f t="shared" si="534"/>
        <v>-7.0381853814277764E-2</v>
      </c>
      <c r="AW61" s="45">
        <f t="shared" si="534"/>
        <v>1.7685092608894479E-2</v>
      </c>
      <c r="AX61" s="45">
        <f t="shared" si="534"/>
        <v>0.13239912674836721</v>
      </c>
      <c r="AY61" s="45">
        <f t="shared" si="534"/>
        <v>-4.3191206914157725E-2</v>
      </c>
      <c r="AZ61" s="45">
        <f t="shared" si="534"/>
        <v>-5.6137462812629477E-2</v>
      </c>
      <c r="BA61" s="45">
        <f t="shared" si="534"/>
        <v>-0.12296603148301571</v>
      </c>
      <c r="BB61" s="45">
        <f t="shared" si="534"/>
        <v>-0.13913853874938412</v>
      </c>
      <c r="BC61" s="45">
        <f t="shared" si="534"/>
        <v>-8.1690527044969166E-2</v>
      </c>
      <c r="BD61" s="45">
        <f t="shared" si="534"/>
        <v>5.1449493022462968E-2</v>
      </c>
      <c r="BE61" s="45">
        <f t="shared" si="534"/>
        <v>-0.2690640442897661</v>
      </c>
      <c r="BF61" s="45">
        <f t="shared" si="534"/>
        <v>-0.15933346897048889</v>
      </c>
      <c r="BG61" s="45">
        <f t="shared" si="534"/>
        <v>-0.2154618662655888</v>
      </c>
      <c r="BH61" s="45">
        <f t="shared" si="534"/>
        <v>5.4459180599699938E-2</v>
      </c>
      <c r="BI61" s="45">
        <f t="shared" si="534"/>
        <v>-0.18727557636430539</v>
      </c>
      <c r="BJ61" s="45">
        <f t="shared" si="534"/>
        <v>9.4416310111102533E-2</v>
      </c>
      <c r="BK61" s="45">
        <f t="shared" si="534"/>
        <v>9.4916192384666781E-2</v>
      </c>
      <c r="BL61" s="45">
        <f t="shared" si="534"/>
        <v>4.53032528749851E-4</v>
      </c>
      <c r="BM61" s="45">
        <f t="shared" si="534"/>
        <v>-0.10683182201185738</v>
      </c>
      <c r="BN61" s="45">
        <f t="shared" si="534"/>
        <v>-0.21269743034752919</v>
      </c>
      <c r="BO61" s="45">
        <f t="shared" ref="BO61:CT61" si="535">+BO60/BO29</f>
        <v>-0.13114571383000606</v>
      </c>
      <c r="BP61" s="45">
        <f t="shared" si="535"/>
        <v>0.28751963103335687</v>
      </c>
      <c r="BQ61" s="45">
        <f t="shared" si="535"/>
        <v>-4.1877694043661574E-2</v>
      </c>
      <c r="BR61" s="45">
        <f t="shared" si="535"/>
        <v>2.0600602485252102E-3</v>
      </c>
      <c r="BS61" s="45">
        <f t="shared" si="535"/>
        <v>4.2354381125492134E-2</v>
      </c>
      <c r="BT61" s="45">
        <f t="shared" si="535"/>
        <v>-4.4485942365047194E-2</v>
      </c>
      <c r="BU61" s="45">
        <f t="shared" si="535"/>
        <v>4.0756368357433924E-2</v>
      </c>
      <c r="BV61" s="45">
        <f t="shared" si="535"/>
        <v>0.43834369084846064</v>
      </c>
      <c r="BW61" s="45">
        <f t="shared" si="535"/>
        <v>0.34830861338506125</v>
      </c>
      <c r="BX61" s="45">
        <f t="shared" si="535"/>
        <v>9.8743996467800715E-2</v>
      </c>
      <c r="BY61" s="45">
        <f t="shared" si="535"/>
        <v>1.1295127382506269E-3</v>
      </c>
      <c r="BZ61" s="45">
        <f t="shared" si="535"/>
        <v>0.5118579660732312</v>
      </c>
      <c r="CA61" s="45">
        <f t="shared" si="535"/>
        <v>0.79591005984258834</v>
      </c>
      <c r="CB61" s="45">
        <f t="shared" si="535"/>
        <v>0.50761166937888835</v>
      </c>
      <c r="CC61" s="45">
        <f t="shared" si="535"/>
        <v>0.21075107917213193</v>
      </c>
      <c r="CD61" s="45">
        <f t="shared" si="535"/>
        <v>0.20482666089979637</v>
      </c>
      <c r="CE61" s="45">
        <f t="shared" si="535"/>
        <v>0.26162655802530549</v>
      </c>
      <c r="CF61" s="45">
        <f t="shared" si="535"/>
        <v>0.24721116015737449</v>
      </c>
      <c r="CG61" s="45">
        <f t="shared" si="535"/>
        <v>0.21505605222080321</v>
      </c>
      <c r="CH61" s="45">
        <f t="shared" si="535"/>
        <v>0.18256352985797961</v>
      </c>
      <c r="CI61" s="45">
        <f t="shared" ref="CI61:CJ61" si="536">+CI60/CI29</f>
        <v>0.23425436684704598</v>
      </c>
      <c r="CJ61" s="45">
        <f t="shared" si="536"/>
        <v>0.21598384167456855</v>
      </c>
      <c r="CK61" s="45">
        <f t="shared" ref="CK61:CL61" si="537">+CK60/CK29</f>
        <v>0.19982347423269931</v>
      </c>
      <c r="CL61" s="45">
        <f t="shared" si="537"/>
        <v>0.30031448862378002</v>
      </c>
      <c r="CM61" s="48">
        <f t="shared" si="535"/>
        <v>0.23941805823193563</v>
      </c>
      <c r="CN61" s="48">
        <f t="shared" si="535"/>
        <v>0.22665174375522232</v>
      </c>
      <c r="CO61" s="48">
        <f t="shared" si="535"/>
        <v>0.22792203529805455</v>
      </c>
      <c r="CP61" s="48">
        <f t="shared" si="535"/>
        <v>0.25134454968571207</v>
      </c>
      <c r="CQ61" s="48">
        <f t="shared" si="535"/>
        <v>0.24077937949025568</v>
      </c>
      <c r="CR61" s="48">
        <f t="shared" si="535"/>
        <v>0.23978039720625072</v>
      </c>
      <c r="CS61" s="48">
        <f t="shared" si="535"/>
        <v>0.24117423262290374</v>
      </c>
      <c r="CT61" s="48">
        <f t="shared" si="535"/>
        <v>0.25239852040462674</v>
      </c>
      <c r="CU61" s="48">
        <f t="shared" ref="CU61:DB61" si="538">+CU60/CU29</f>
        <v>0.23703531975183639</v>
      </c>
      <c r="CV61" s="48">
        <f t="shared" si="538"/>
        <v>0.23597752332491559</v>
      </c>
      <c r="CW61" s="48">
        <f t="shared" si="538"/>
        <v>0.24090239908877922</v>
      </c>
      <c r="CX61" s="48">
        <f t="shared" si="538"/>
        <v>0.25335705218536692</v>
      </c>
      <c r="CY61" s="48">
        <f t="shared" si="538"/>
        <v>0.24151319725000464</v>
      </c>
      <c r="CZ61" s="48">
        <f t="shared" si="538"/>
        <v>0.24462216355422051</v>
      </c>
      <c r="DA61" s="48">
        <f t="shared" si="538"/>
        <v>0.24655762139776349</v>
      </c>
      <c r="DB61" s="48">
        <f t="shared" si="538"/>
        <v>0.26131404129287428</v>
      </c>
      <c r="DE61" s="129"/>
      <c r="DF61" s="45" t="e">
        <v>#DIV/0!</v>
      </c>
    </row>
    <row r="62" spans="1:110" s="39" customFormat="1" x14ac:dyDescent="0.2">
      <c r="A62" s="39" t="s">
        <v>451</v>
      </c>
      <c r="C62" s="39" t="e">
        <f t="shared" ref="C62:E62" si="539">+IF(B60&lt;0,1-C60/B60,C60/B60-1)</f>
        <v>#DIV/0!</v>
      </c>
      <c r="D62" s="39" t="e">
        <f t="shared" si="539"/>
        <v>#DIV/0!</v>
      </c>
      <c r="E62" s="39" t="e">
        <f t="shared" si="539"/>
        <v>#DIV/0!</v>
      </c>
      <c r="F62" s="39">
        <f t="shared" ref="F62:AE62" si="540">+IF(E60&lt;0,1-F60/E60,F60/E60-1)</f>
        <v>1</v>
      </c>
      <c r="G62" s="39" t="e">
        <f t="shared" si="540"/>
        <v>#DIV/0!</v>
      </c>
      <c r="H62" s="39" t="e">
        <f t="shared" si="540"/>
        <v>#DIV/0!</v>
      </c>
      <c r="I62" s="39" t="e">
        <f t="shared" si="540"/>
        <v>#DIV/0!</v>
      </c>
      <c r="J62" s="39">
        <f t="shared" si="540"/>
        <v>0.22808190555787722</v>
      </c>
      <c r="K62" s="39">
        <f t="shared" si="540"/>
        <v>31.677060776671002</v>
      </c>
      <c r="L62" s="39">
        <f t="shared" si="540"/>
        <v>2.0650000000000004</v>
      </c>
      <c r="M62" s="39">
        <f t="shared" si="540"/>
        <v>-1.5652048747720952</v>
      </c>
      <c r="N62" s="39">
        <f t="shared" si="540"/>
        <v>-6.8746010186757145</v>
      </c>
      <c r="O62" s="39">
        <f t="shared" si="540"/>
        <v>0.91552217052525398</v>
      </c>
      <c r="P62" s="39">
        <f t="shared" si="540"/>
        <v>-5.8745852687458919</v>
      </c>
      <c r="Q62" s="39">
        <f t="shared" si="540"/>
        <v>1.4089694089694065</v>
      </c>
      <c r="R62" s="39">
        <f t="shared" si="540"/>
        <v>-4.8079339143064832</v>
      </c>
      <c r="S62" s="39">
        <f t="shared" si="540"/>
        <v>1.1271043811177495E-2</v>
      </c>
      <c r="T62" s="39">
        <f t="shared" si="540"/>
        <v>0.52530897833414436</v>
      </c>
      <c r="U62" s="39">
        <f t="shared" si="540"/>
        <v>-0.29193417310036485</v>
      </c>
      <c r="V62" s="39">
        <f t="shared" si="540"/>
        <v>1.9985846608690179</v>
      </c>
      <c r="W62" s="39">
        <f t="shared" si="540"/>
        <v>2.8674467314445873</v>
      </c>
      <c r="X62" s="39">
        <f t="shared" si="540"/>
        <v>1.1839489532899807</v>
      </c>
      <c r="Y62" s="39">
        <f t="shared" si="540"/>
        <v>0.94178139659762894</v>
      </c>
      <c r="Z62" s="39">
        <f t="shared" ref="Z62:AA62" si="541">+IF(Y60&lt;0,1-Z60/Y60,Z60/Y60-1)</f>
        <v>-0.38788523001096098</v>
      </c>
      <c r="AA62" s="39">
        <f t="shared" si="541"/>
        <v>1.7370727418329235E-2</v>
      </c>
      <c r="AB62" s="40">
        <f t="shared" si="540"/>
        <v>0.14803936513407079</v>
      </c>
      <c r="AC62" s="40">
        <f t="shared" si="540"/>
        <v>0.19779709519114208</v>
      </c>
      <c r="AD62" s="40">
        <f t="shared" si="540"/>
        <v>0.16713676674844602</v>
      </c>
      <c r="AE62" s="40">
        <f t="shared" si="540"/>
        <v>0.26835807112221866</v>
      </c>
      <c r="AM62" s="39">
        <f>+IF(AI60&lt;0,1-AM60/AI60,AM60/AI60-1)</f>
        <v>-0.46576230550934539</v>
      </c>
      <c r="AN62" s="39">
        <f t="shared" ref="AN62" si="542">+IF(AJ60&lt;0,1-AN60/AJ60,AN60/AJ60-1)</f>
        <v>-2.9344592614302498</v>
      </c>
      <c r="AO62" s="39">
        <f t="shared" ref="AO62" si="543">+IF(AK60&lt;0,1-AO60/AK60,AO60/AK60-1)</f>
        <v>0.15247962167880103</v>
      </c>
      <c r="AP62" s="39">
        <f t="shared" ref="AP62" si="544">+IF(AL60&lt;0,1-AP60/AL60,AP60/AL60-1)</f>
        <v>5.3184690531493377</v>
      </c>
      <c r="AQ62" s="39">
        <f t="shared" ref="AQ62" si="545">+IF(AM60&lt;0,1-AQ60/AM60,AQ60/AM60-1)</f>
        <v>0.85237296480818592</v>
      </c>
      <c r="AR62" s="39">
        <f t="shared" ref="AR62" si="546">+IF(AN60&lt;0,1-AR60/AN60,AR60/AN60-1)</f>
        <v>0.25628753666371817</v>
      </c>
      <c r="AS62" s="39">
        <f t="shared" ref="AS62" si="547">+IF(AO60&lt;0,1-AS60/AO60,AS60/AO60-1)</f>
        <v>0.21317132263866978</v>
      </c>
      <c r="AT62" s="39">
        <f t="shared" ref="AT62" si="548">+IF(AP60&lt;0,1-AT60/AP60,AT60/AP60-1)</f>
        <v>-0.97726364912697006</v>
      </c>
      <c r="AU62" s="39">
        <f t="shared" ref="AU62" si="549">+IF(AQ60&lt;0,1-AU60/AQ60,AU60/AQ60-1)</f>
        <v>6.0825325042390688E-2</v>
      </c>
      <c r="AV62" s="39">
        <f t="shared" ref="AV62" si="550">+IF(AR60&lt;0,1-AV60/AR60,AV60/AR60-1)</f>
        <v>0.49325787832880519</v>
      </c>
      <c r="AW62" s="39">
        <f t="shared" ref="AW62" si="551">+IF(AS60&lt;0,1-AW60/AS60,AW60/AS60-1)</f>
        <v>1.2554119623028848</v>
      </c>
      <c r="AX62" s="39">
        <f t="shared" ref="AX62" si="552">+IF(AT60&lt;0,1-AX60/AT60,AX60/AT60-1)</f>
        <v>16.60636632457825</v>
      </c>
      <c r="AY62" s="39">
        <f t="shared" ref="AY62" si="553">+IF(AU60&lt;0,1-AY60/AU60,AY60/AU60-1)</f>
        <v>-0.40020464668351452</v>
      </c>
      <c r="AZ62" s="39">
        <f t="shared" ref="AZ62" si="554">+IF(AV60&lt;0,1-AZ60/AV60,AZ60/AV60-1)</f>
        <v>0.22654049513267771</v>
      </c>
      <c r="BA62" s="39">
        <f t="shared" ref="BA62" si="555">+IF(AW60&lt;0,1-BA60/AW60,BA60/AW60-1)</f>
        <v>-7.1000091332541482</v>
      </c>
      <c r="BB62" s="39">
        <f t="shared" ref="BB62" si="556">+IF(AX60&lt;0,1-BB60/AX60,BB60/AX60-1)</f>
        <v>-1.8731957438820779</v>
      </c>
      <c r="BC62" s="39">
        <f t="shared" ref="BC62" si="557">+IF(AY60&lt;0,1-BC60/AY60,BC60/AY60-1)</f>
        <v>-0.94661049735632452</v>
      </c>
      <c r="BD62" s="39">
        <f t="shared" ref="BD62" si="558">+IF(AZ60&lt;0,1-BD60/AZ60,BD60/AZ60-1)</f>
        <v>2.0122344673374872</v>
      </c>
      <c r="BE62" s="39">
        <f t="shared" ref="BE62" si="559">+IF(BA60&lt;0,1-BE60/BA60,BE60/BA60-1)</f>
        <v>-0.95162377038135104</v>
      </c>
      <c r="BF62" s="39">
        <f t="shared" ref="BF62" si="560">+IF(BB60&lt;0,1-BF60/BB60,BF60/BB60-1)</f>
        <v>0.28229091238233173</v>
      </c>
      <c r="BG62" s="39">
        <f t="shared" ref="BG62" si="561">+IF(BC60&lt;0,1-BG60/BC60,BG60/BC60-1)</f>
        <v>-0.82216676971998859</v>
      </c>
      <c r="BH62" s="39">
        <f t="shared" ref="BH62" si="562">+IF(BD60&lt;0,1-BH60/BD60,BH60/BD60-1)</f>
        <v>0.22093536985609585</v>
      </c>
      <c r="BI62" s="39">
        <f t="shared" ref="BI62" si="563">+IF(BE60&lt;0,1-BI60/BE60,BI60/BE60-1)</f>
        <v>9.4125679915916916E-2</v>
      </c>
      <c r="BJ62" s="39">
        <f t="shared" ref="BJ62" si="564">+IF(BF60&lt;0,1-BJ60/BF60,BJ60/BF60-1)</f>
        <v>2.0004729324967685</v>
      </c>
      <c r="BK62" s="39">
        <f t="shared" ref="BK62" si="565">+IF(BG60&lt;0,1-BK60/BG60,BK60/BG60-1)</f>
        <v>1.8977761619099551</v>
      </c>
      <c r="BL62" s="39">
        <f t="shared" ref="BL62" si="566">+IF(BH60&lt;0,1-BL60/BH60,BL60/BH60-1)</f>
        <v>-0.99307296647625887</v>
      </c>
      <c r="BM62" s="39">
        <f t="shared" ref="BM62" si="567">+IF(BI60&lt;0,1-BM60/BI60,BM60/BI60-1)</f>
        <v>0.4051389759311641</v>
      </c>
      <c r="BN62" s="39">
        <f t="shared" ref="BN62" si="568">+IF(BJ60&lt;0,1-BN60/BJ60,BN60/BJ60-1)</f>
        <v>-3.0686688516324208</v>
      </c>
      <c r="BO62" s="39">
        <f t="shared" ref="BO62" si="569">+IF(BK60&lt;0,1-BO60/BK60,BO60/BK60-1)</f>
        <v>-1.9212473002159838</v>
      </c>
      <c r="BP62" s="39">
        <f t="shared" ref="BP62" si="570">+IF(BL60&lt;0,1-BP60/BL60,BP60/BL60-1)</f>
        <v>830.36194029844341</v>
      </c>
      <c r="BQ62" s="39">
        <f t="shared" ref="BQ62" si="571">+IF(BM60&lt;0,1-BQ60/BM60,BQ60/BM60-1)</f>
        <v>0.58892369020501212</v>
      </c>
      <c r="BR62" s="39">
        <f t="shared" ref="BR62" si="572">+IF(BN60&lt;0,1-BR60/BN60,BR60/BN60-1)</f>
        <v>1.0100010663741756</v>
      </c>
      <c r="BS62" s="39">
        <f t="shared" ref="BS62" si="573">+IF(BO60&lt;0,1-BS60/BO60,BS60/BO60-1)</f>
        <v>1.4076722445271519</v>
      </c>
      <c r="BT62" s="39">
        <f t="shared" ref="BT62" si="574">+IF(BP60&lt;0,1-BT60/BP60,BT60/BP60-1)</f>
        <v>-1.1034985749870967</v>
      </c>
      <c r="BU62" s="39">
        <f t="shared" ref="BU62" si="575">+IF(BQ60&lt;0,1-BU60/BQ60,BU60/BQ60-1)</f>
        <v>1.7567015307889475</v>
      </c>
      <c r="BV62" s="39">
        <f t="shared" ref="BV62" si="576">+IF(BR60&lt;0,1-BV60/BR60,BV60/BR60-1)</f>
        <v>352.8057882711272</v>
      </c>
      <c r="BW62" s="39">
        <f t="shared" ref="BW62" si="577">+IF(BS60&lt;0,1-BW60/BS60,BW60/BS60-1)</f>
        <v>16.180145208827525</v>
      </c>
      <c r="BX62" s="39">
        <f t="shared" ref="BX62" si="578">+IF(BT60&lt;0,1-BX60/BT60,BX60/BT60-1)</f>
        <v>4.0161751951431004</v>
      </c>
      <c r="BY62" s="39">
        <f t="shared" ref="BY62" si="579">+IF(BU60&lt;0,1-BY60/BU60,BY60/BU60-1)</f>
        <v>-0.95986086319739794</v>
      </c>
      <c r="BZ62" s="39">
        <f t="shared" ref="BZ62" si="580">+IF(BV60&lt;0,1-BZ60/BV60,BZ60/BV60-1)</f>
        <v>0.12851444525526978</v>
      </c>
      <c r="CA62" s="39">
        <f t="shared" ref="CA62" si="581">+IF(BW60&lt;0,1-CA60/BW60,CA60/BW60-1)</f>
        <v>0.83256831790052477</v>
      </c>
      <c r="CB62" s="39">
        <f t="shared" ref="CB62" si="582">+IF(BX60&lt;0,1-CB60/BX60,CB60/BX60-1)</f>
        <v>8.4807844377668733</v>
      </c>
      <c r="CC62" s="39">
        <f t="shared" ref="CC62" si="583">+IF(BY60&lt;0,1-CC60/BY60,CC60/BY60-1)</f>
        <v>311.19612314707297</v>
      </c>
      <c r="CD62" s="39">
        <f t="shared" ref="CD62" si="584">+IF(BZ60&lt;0,1-CD60/BZ60,CD60/BZ60-1)</f>
        <v>-0.47787306770841265</v>
      </c>
      <c r="CE62" s="39">
        <f t="shared" ref="CE62" si="585">+IF(CA60&lt;0,1-CE60/CA60,CE60/CA60-1)</f>
        <v>-0.55330489918282266</v>
      </c>
      <c r="CF62" s="39">
        <f t="shared" ref="CF62" si="586">+IF(CB60&lt;0,1-CF60/CB60,CF60/CB60-1)</f>
        <v>-0.49993403263792124</v>
      </c>
      <c r="CG62" s="39">
        <f t="shared" ref="CG62" si="587">+IF(CC60&lt;0,1-CG60/CC60,CG60/CC60-1)</f>
        <v>7.381773291063376E-2</v>
      </c>
      <c r="CH62" s="39">
        <f t="shared" ref="CH62:CL62" si="588">+IF(CD60&lt;0,1-CH60/CD60,CH60/CD60-1)</f>
        <v>-5.0419400564072236E-2</v>
      </c>
      <c r="CI62" s="39">
        <f t="shared" si="588"/>
        <v>-0.15530094893924806</v>
      </c>
      <c r="CJ62" s="39">
        <f t="shared" si="588"/>
        <v>-0.11859215410368951</v>
      </c>
      <c r="CK62" s="39">
        <f t="shared" si="588"/>
        <v>-0.15373103361484552</v>
      </c>
      <c r="CL62" s="39">
        <f t="shared" si="588"/>
        <v>0.64333283318521328</v>
      </c>
      <c r="CM62" s="40">
        <f t="shared" ref="CM62" si="589">+CM60/CI60-1</f>
        <v>0.1295139375518839</v>
      </c>
      <c r="CN62" s="40">
        <f t="shared" ref="CN62" si="590">+CN60/CJ60-1</f>
        <v>0.13882183845483276</v>
      </c>
      <c r="CO62" s="40">
        <f t="shared" ref="CO62" si="591">+CO60/CK60-1</f>
        <v>0.34737320931268068</v>
      </c>
      <c r="CP62" s="40">
        <f t="shared" ref="CP62" si="592">+CP60/CL60-1</f>
        <v>5.2534091615902057E-2</v>
      </c>
      <c r="CQ62" s="40">
        <f t="shared" ref="CQ62" si="593">+CQ60/CM60-1</f>
        <v>7.1364458016557109E-2</v>
      </c>
      <c r="CR62" s="40">
        <f t="shared" ref="CR62" si="594">+CR60/CN60-1</f>
        <v>0.2339651964061038</v>
      </c>
      <c r="CS62" s="40">
        <f t="shared" ref="CS62" si="595">+CS60/CO60-1</f>
        <v>0.2892505737101263</v>
      </c>
      <c r="CT62" s="40">
        <f t="shared" ref="CT62" si="596">+CT60/CP60-1</f>
        <v>0.20796115372719082</v>
      </c>
      <c r="CU62" s="40">
        <f t="shared" ref="CU62" si="597">+CU60/CQ60-1</f>
        <v>0.14617614666895018</v>
      </c>
      <c r="CV62" s="40">
        <f t="shared" ref="CV62" si="598">+CV60/CR60-1</f>
        <v>0.12800399171254817</v>
      </c>
      <c r="CW62" s="40">
        <f t="shared" ref="CW62" si="599">+CW60/CS60-1</f>
        <v>0.18497061601212161</v>
      </c>
      <c r="CX62" s="40">
        <f t="shared" ref="CX62" si="600">+CX60/CT60-1</f>
        <v>0.19781159828979722</v>
      </c>
      <c r="CY62" s="40">
        <f t="shared" ref="CY62" si="601">+CY60/CU60-1</f>
        <v>0.22752372561569967</v>
      </c>
      <c r="CZ62" s="40">
        <f t="shared" ref="CZ62" si="602">+CZ60/CV60-1</f>
        <v>0.30184911430456429</v>
      </c>
      <c r="DA62" s="40">
        <f t="shared" ref="DA62" si="603">+DA60/CW60-1</f>
        <v>0.24277412174652935</v>
      </c>
      <c r="DB62" s="40">
        <f t="shared" ref="DB62" si="604">+DB60/CX60-1</f>
        <v>0.29355788701037899</v>
      </c>
      <c r="DE62" s="122"/>
      <c r="DF62" s="39" t="e">
        <v>#DIV/0!</v>
      </c>
    </row>
    <row r="63" spans="1:110" s="39" customFormat="1" x14ac:dyDescent="0.2">
      <c r="A63" s="39" t="s">
        <v>452</v>
      </c>
      <c r="AB63" s="40"/>
      <c r="AC63" s="40"/>
      <c r="AD63" s="40"/>
      <c r="AE63" s="40"/>
      <c r="AJ63" s="39">
        <f>+IF(AI60&lt;0,1-AJ60/AI60,AJ60/AI60-1)</f>
        <v>0.66611214404540575</v>
      </c>
      <c r="AK63" s="39">
        <f t="shared" ref="AK63:AM63" si="605">+IF(AJ60&lt;0,1-AK60/AJ60,AK60/AJ60-1)</f>
        <v>-1.3550703399765545</v>
      </c>
      <c r="AL63" s="39">
        <f t="shared" si="605"/>
        <v>8.9166822226370512E-2</v>
      </c>
      <c r="AM63" s="39">
        <f t="shared" si="605"/>
        <v>-1.0465398278453342</v>
      </c>
      <c r="AN63" s="39">
        <f t="shared" ref="AN63" si="606">+IF(AM60&lt;0,1-AN60/AM60,AN60/AM60-1)</f>
        <v>0.10376453112351725</v>
      </c>
      <c r="AO63" s="39">
        <f t="shared" ref="AO63" si="607">+IF(AN60&lt;0,1-AO60/AN60,AO60/AN60-1)</f>
        <v>0.49269519065133449</v>
      </c>
      <c r="AP63" s="39">
        <f t="shared" ref="AP63" si="608">+IF(AO60&lt;0,1-AP60/AO60,AP60/AO60-1)</f>
        <v>5.6410741162218754</v>
      </c>
      <c r="AQ63" s="39">
        <f t="shared" ref="AQ63" si="609">+IF(AP60&lt;0,1-AQ60/AP60,AQ60/AP60-1)</f>
        <v>-1.0699610448676116</v>
      </c>
      <c r="AR63" s="39">
        <f t="shared" ref="AR63" si="610">+IF(AQ60&lt;0,1-AR60/AQ60,AR60/AQ60-1)</f>
        <v>-3.5150367439231482</v>
      </c>
      <c r="AS63" s="39">
        <f t="shared" ref="AS63" si="611">+IF(AR60&lt;0,1-AS60/AR60,AS60/AR60-1)</f>
        <v>0.46328454633095939</v>
      </c>
      <c r="AT63" s="39">
        <f t="shared" ref="AT63" si="612">+IF(AS60&lt;0,1-AT60/AS60,AT60/AS60-1)</f>
        <v>1.1341093589623958</v>
      </c>
      <c r="AU63" s="39">
        <f t="shared" ref="AU63" si="613">+IF(AT60&lt;0,1-AU60/AT60,AU60/AT60-1)</f>
        <v>-3.8898938945903763</v>
      </c>
      <c r="AV63" s="39">
        <f t="shared" ref="AV63" si="614">+IF(AU60&lt;0,1-AV60/AU60,AV60/AU60-1)</f>
        <v>-1.4361381967015761</v>
      </c>
      <c r="AW63" s="39">
        <f t="shared" ref="AW63" si="615">+IF(AV60&lt;0,1-AW60/AV60,AW60/AV60-1)</f>
        <v>1.2705193457528301</v>
      </c>
      <c r="AX63" s="39">
        <f t="shared" ref="AX63" si="616">+IF(AW60&lt;0,1-AX60/AW60,AX60/AW60-1)</f>
        <v>8.2445885468992142</v>
      </c>
      <c r="AY63" s="39">
        <f t="shared" ref="AY63" si="617">+IF(AX60&lt;0,1-AY60/AX60,AY60/AX60-1)</f>
        <v>-1.2298283919027053</v>
      </c>
      <c r="AZ63" s="39">
        <f t="shared" ref="AZ63" si="618">+IF(AY60&lt;0,1-AZ60/AY60,AZ60/AY60-1)</f>
        <v>-0.34569917895370827</v>
      </c>
      <c r="BA63" s="39">
        <f t="shared" ref="BA63" si="619">+IF(AZ60&lt;0,1-BA60/AZ60,BA60/AZ60-1)</f>
        <v>-1.1334930522280775</v>
      </c>
      <c r="BB63" s="39">
        <f t="shared" ref="BB63" si="620">+IF(BA60&lt;0,1-BB60/BA60,BB60/BA60-1)</f>
        <v>-0.32333168635553799</v>
      </c>
      <c r="BC63" s="39">
        <f t="shared" ref="BC63" si="621">+IF(BB60&lt;0,1-BC60/BB60,BC60/BB60-1)</f>
        <v>0.48764482259232422</v>
      </c>
      <c r="BD63" s="39">
        <f t="shared" ref="BD63" si="622">+IF(BC60&lt;0,1-BD60/BC60,BD60/BC60-1)</f>
        <v>1.6997615051673889</v>
      </c>
      <c r="BE63" s="39">
        <f t="shared" ref="BE63" si="623">+IF(BD60&lt;0,1-BE60/BD60,BE60/BD60-1)</f>
        <v>-5.1134498863923188</v>
      </c>
      <c r="BF63" s="39">
        <f t="shared" ref="BF63" si="624">+IF(BE60&lt;0,1-BF60/BE60,BF60/BE60-1)</f>
        <v>0.51334514795123787</v>
      </c>
      <c r="BG63" s="39">
        <f t="shared" ref="BG63" si="625">+IF(BF60&lt;0,1-BG60/BF60,BG60/BF60-1)</f>
        <v>-0.30080083236119437</v>
      </c>
      <c r="BH63" s="39">
        <f t="shared" ref="BH63" si="626">+IF(BG60&lt;0,1-BH60/BG60,BH60/BG60-1)</f>
        <v>1.4688723262437136</v>
      </c>
      <c r="BI63" s="39">
        <f t="shared" ref="BI63" si="627">+IF(BH60&lt;0,1-BI60/BH60,BI60/BH60-1)</f>
        <v>-4.0519785985680663</v>
      </c>
      <c r="BJ63" s="39">
        <f t="shared" ref="BJ63" si="628">+IF(BI60&lt;0,1-BJ60/BI60,BJ60/BI60-1)</f>
        <v>1.5374752282389608</v>
      </c>
      <c r="BK63" s="39">
        <f t="shared" ref="BK63" si="629">+IF(BJ60&lt;0,1-BK60/BJ60,BK60/BJ60-1)</f>
        <v>0.16727593596369505</v>
      </c>
      <c r="BL63" s="39">
        <f t="shared" ref="BL63" si="630">+IF(BK60&lt;0,1-BL60/BK60,BL60/BK60-1)</f>
        <v>-0.99638228941684637</v>
      </c>
      <c r="BM63" s="39">
        <f t="shared" ref="BM63" si="631">+IF(BL60&lt;0,1-BM60/BL60,BM60/BL60-1)</f>
        <v>-263.08955223878587</v>
      </c>
      <c r="BN63" s="39">
        <f t="shared" ref="BN63" si="632">+IF(BM60&lt;0,1-BN60/BM60,BN60/BM60-1)</f>
        <v>-0.86910592255125207</v>
      </c>
      <c r="BO63" s="39">
        <f t="shared" ref="BO63" si="633">+IF(BN60&lt;0,1-BO60/BN60,BO60/BN60-1)</f>
        <v>0.48017305729476067</v>
      </c>
      <c r="BP63" s="39">
        <f t="shared" ref="BP63" si="634">+IF(BO60&lt;0,1-BP60/BO60,BP60/BO60-1)</f>
        <v>4.2647334642323331</v>
      </c>
      <c r="BQ63" s="39">
        <f t="shared" ref="BQ63" si="635">+IF(BP60&lt;0,1-BQ60/BP60,BQ60/BP60-1)</f>
        <v>-1.1295931419851437</v>
      </c>
      <c r="BR63" s="39">
        <f t="shared" ref="BR63" si="636">+IF(BQ60&lt;0,1-BR60/BQ60,BR60/BQ60-1)</f>
        <v>1.0454734363094835</v>
      </c>
      <c r="BS63" s="39">
        <f t="shared" ref="BS63" si="637">+IF(BR60&lt;0,1-BS60/BR60,BS60/BR60-1)</f>
        <v>20.189642041126756</v>
      </c>
      <c r="BT63" s="39">
        <f t="shared" ref="BT63" si="638">+IF(BS60&lt;0,1-BT60/BS60,BT60/BS60-1)</f>
        <v>-1.8288404859463745</v>
      </c>
      <c r="BU63" s="39">
        <f t="shared" ref="BU63" si="639">+IF(BT60&lt;0,1-BU60/BT60,BU60/BT60-1)</f>
        <v>1.9474848222029482</v>
      </c>
      <c r="BV63" s="39">
        <f t="shared" ref="BV63" si="640">+IF(BU60&lt;0,1-BV60/BU60,BV60/BU60-1)</f>
        <v>20.261705341205506</v>
      </c>
      <c r="BW63" s="39">
        <f t="shared" ref="BW63" si="641">+IF(BV60&lt;0,1-BW60/BV60,BW60/BV60-1)</f>
        <v>2.8929257965286448E-2</v>
      </c>
      <c r="BX63" s="39">
        <f t="shared" ref="BX63" si="642">+IF(BW60&lt;0,1-BX60/BW60,BX60/BW60-1)</f>
        <v>-0.85448736992296825</v>
      </c>
      <c r="BY63" s="39">
        <f t="shared" ref="BY63" si="643">+IF(BX60&lt;0,1-BY60/BX60,BY60/BX60-1)</f>
        <v>-0.98739091052866079</v>
      </c>
      <c r="BZ63" s="39">
        <f t="shared" ref="BZ63" si="644">+IF(BY60&lt;0,1-BZ60/BY60,BZ60/BY60-1)</f>
        <v>596.77423033063496</v>
      </c>
      <c r="CA63" s="39">
        <f t="shared" ref="CA63" si="645">+IF(BZ60&lt;0,1-CA60/BZ60,CA60/BZ60-1)</f>
        <v>0.67085425218598904</v>
      </c>
      <c r="CB63" s="39">
        <f t="shared" ref="CB63" si="646">+IF(CA60&lt;0,1-CB60/CA60,CB60/CA60-1)</f>
        <v>-0.24719102406323701</v>
      </c>
      <c r="CC63" s="39">
        <f t="shared" ref="CC63" si="647">+IF(CB60&lt;0,1-CC60/CB60,CC60/CB60-1)</f>
        <v>-0.58479080763765534</v>
      </c>
      <c r="CD63" s="39">
        <f t="shared" ref="CD63" si="648">+IF(CC60&lt;0,1-CD60/CC60,CD60/CC60-1)</f>
        <v>-2.6296951014703751E-4</v>
      </c>
      <c r="CE63" s="39">
        <f t="shared" ref="CE63" si="649">+IF(CD60&lt;0,1-CE60/CD60,CE60/CD60-1)</f>
        <v>0.42946544694655908</v>
      </c>
      <c r="CF63" s="39">
        <f t="shared" ref="CF63" si="650">+IF(CE60&lt;0,1-CF60/CE60,CF60/CE60-1)</f>
        <v>-0.15724585270356961</v>
      </c>
      <c r="CG63" s="39">
        <f t="shared" ref="CG63" si="651">+IF(CF60&lt;0,1-CG60/CF60,CG60/CF60-1)</f>
        <v>-0.10839964579441475</v>
      </c>
      <c r="CH63" s="39">
        <f t="shared" ref="CH63:CL63" si="652">+IF(CG60&lt;0,1-CH60/CG60,CH60/CG60-1)</f>
        <v>-0.1159292125697694</v>
      </c>
      <c r="CI63" s="39">
        <f t="shared" si="652"/>
        <v>0.27158042958876294</v>
      </c>
      <c r="CJ63" s="39">
        <f t="shared" si="652"/>
        <v>-0.12062157918145366</v>
      </c>
      <c r="CK63" s="39">
        <f t="shared" si="652"/>
        <v>-0.1439448676396714</v>
      </c>
      <c r="CL63" s="39">
        <f t="shared" si="652"/>
        <v>0.71673854241606905</v>
      </c>
      <c r="CM63" s="40">
        <f t="shared" ref="CM63" si="653">+CM60/CL60-1</f>
        <v>-0.12600309022314538</v>
      </c>
      <c r="CN63" s="40">
        <f t="shared" ref="CN63" si="654">+CN60/CM60-1</f>
        <v>-0.11337495129573549</v>
      </c>
      <c r="CO63" s="40">
        <f t="shared" ref="CO63" si="655">+CO60/CN60-1</f>
        <v>1.2823702609979337E-2</v>
      </c>
      <c r="CP63" s="40">
        <f t="shared" ref="CP63" si="656">+CP60/CO60-1</f>
        <v>0.34107300768259319</v>
      </c>
      <c r="CQ63" s="40">
        <f t="shared" ref="CQ63" si="657">+CQ60/CP60-1</f>
        <v>-0.1103668441621064</v>
      </c>
      <c r="CR63" s="40">
        <f t="shared" ref="CR63" si="658">+CR60/CQ60-1</f>
        <v>2.1187929258356331E-2</v>
      </c>
      <c r="CS63" s="40">
        <f t="shared" ref="CS63" si="659">+CS60/CR60-1</f>
        <v>5.8201271365023732E-2</v>
      </c>
      <c r="CT63" s="40">
        <f t="shared" ref="CT63" si="660">+CT60/CS60-1</f>
        <v>0.25651609596017155</v>
      </c>
      <c r="CU63" s="40">
        <f t="shared" ref="CU63" si="661">+CU60/CT60-1</f>
        <v>-0.15586995545263949</v>
      </c>
      <c r="CV63" s="40">
        <f t="shared" ref="CV63" si="662">+CV60/CU60-1</f>
        <v>4.9974114709974149E-3</v>
      </c>
      <c r="CW63" s="40">
        <f t="shared" ref="CW63" si="663">+CW60/CV60-1</f>
        <v>0.1116427083653142</v>
      </c>
      <c r="CX63" s="40">
        <f t="shared" ref="CX63" si="664">+CX60/CW60-1</f>
        <v>0.27013238374133053</v>
      </c>
      <c r="CY63" s="40">
        <f t="shared" ref="CY63" si="665">+CY60/CX60-1</f>
        <v>-0.13493102031541016</v>
      </c>
      <c r="CZ63" s="40">
        <f t="shared" ref="CZ63" si="666">+CZ60/CY60-1</f>
        <v>6.5849044461975481E-2</v>
      </c>
      <c r="DA63" s="40">
        <f t="shared" ref="DA63" si="667">+DA60/CZ60-1</f>
        <v>6.1198855846387623E-2</v>
      </c>
      <c r="DB63" s="40">
        <f t="shared" ref="DB63" si="668">+DB60/DA60-1</f>
        <v>0.32203409596823618</v>
      </c>
      <c r="DE63" s="122"/>
    </row>
    <row r="64" spans="1:110" s="75" customFormat="1" x14ac:dyDescent="0.2">
      <c r="A64" s="23" t="s">
        <v>23</v>
      </c>
      <c r="B64" s="75">
        <f>'Annual Raw'!C32</f>
        <v>0</v>
      </c>
      <c r="C64" s="75">
        <f>'Annual Raw'!D32</f>
        <v>0</v>
      </c>
      <c r="D64" s="75">
        <f>'Annual Raw'!E32</f>
        <v>0</v>
      </c>
      <c r="E64" s="75">
        <f>'Annual Raw'!F32</f>
        <v>0</v>
      </c>
      <c r="F64" s="75">
        <f>'Annual Raw'!G32</f>
        <v>0</v>
      </c>
      <c r="G64" s="75">
        <f>'Annual Raw'!H32</f>
        <v>0</v>
      </c>
      <c r="H64" s="75">
        <f>'Annual Raw'!I32</f>
        <v>0</v>
      </c>
      <c r="I64" s="75">
        <f>'Annual Raw'!J32</f>
        <v>0</v>
      </c>
      <c r="J64" s="75">
        <f>'Annual Raw'!K32</f>
        <v>0.55479999999999996</v>
      </c>
      <c r="K64" s="75">
        <f>'Annual Raw'!L32</f>
        <v>0.11</v>
      </c>
      <c r="L64" s="75">
        <f>'Annual Raw'!M32</f>
        <v>0.39</v>
      </c>
      <c r="M64" s="75">
        <f>'Annual Raw'!N32</f>
        <v>7.23</v>
      </c>
      <c r="N64" s="75">
        <f>'Annual Raw'!O32</f>
        <v>0</v>
      </c>
      <c r="O64" s="75">
        <f>'Annual Raw'!P32</f>
        <v>0</v>
      </c>
      <c r="P64" s="75">
        <f>'Annual Raw'!Q32</f>
        <v>0</v>
      </c>
      <c r="Q64" s="75">
        <f>'Annual Raw'!R32</f>
        <v>0</v>
      </c>
      <c r="R64" s="75">
        <f>'Annual Raw'!S32</f>
        <v>0</v>
      </c>
      <c r="S64" s="75">
        <f>'Annual Raw'!T32</f>
        <v>0</v>
      </c>
      <c r="T64" s="75">
        <f>'Annual Raw'!U32</f>
        <v>0</v>
      </c>
      <c r="U64" s="75">
        <f>'Annual Raw'!V32</f>
        <v>0</v>
      </c>
      <c r="V64" s="75">
        <f>'Annual Raw'!W32</f>
        <v>0</v>
      </c>
      <c r="W64" s="75">
        <f>'Annual Raw'!X32</f>
        <v>0</v>
      </c>
      <c r="X64" s="75">
        <f>'Annual Raw'!Y32</f>
        <v>0</v>
      </c>
      <c r="Y64" s="75">
        <f>'Annual Raw'!Z32</f>
        <v>0</v>
      </c>
      <c r="Z64" s="75">
        <f>'Annual Raw'!AA32</f>
        <v>189.16</v>
      </c>
      <c r="AA64" s="75">
        <f>'Annual Raw'!AB32</f>
        <v>-136.78</v>
      </c>
      <c r="AB64" s="76">
        <f t="shared" ref="AB64:AB65" si="669">+SUM(CM64:CP64)</f>
        <v>-1017.28</v>
      </c>
      <c r="AC64" s="76">
        <f t="shared" ref="AC64:AC65" si="670">+SUM(CQ64:CT64)</f>
        <v>-1017.28</v>
      </c>
      <c r="AD64" s="76">
        <f t="shared" ref="AD64:AD65" si="671">+SUM(CU64:CX64)</f>
        <v>-1017.28</v>
      </c>
      <c r="AE64" s="76">
        <f t="shared" ref="AE64:AE65" si="672">+SUM(CY64:DB64)</f>
        <v>-1017.28</v>
      </c>
      <c r="AI64" s="75">
        <f>'QTR Raw'!C34</f>
        <v>7.71</v>
      </c>
      <c r="AJ64" s="75">
        <f>'QTR Raw'!D34</f>
        <v>12.05</v>
      </c>
      <c r="AK64" s="75">
        <f>'QTR Raw'!E34</f>
        <v>0</v>
      </c>
      <c r="AL64" s="75">
        <f>'QTR Raw'!F34</f>
        <v>0</v>
      </c>
      <c r="AM64" s="75">
        <f>'QTR Raw'!G34</f>
        <v>0</v>
      </c>
      <c r="AN64" s="75">
        <f>'QTR Raw'!H34</f>
        <v>0</v>
      </c>
      <c r="AO64" s="75">
        <f>'QTR Raw'!I34</f>
        <v>0</v>
      </c>
      <c r="AP64" s="75">
        <f>'QTR Raw'!J34</f>
        <v>0</v>
      </c>
      <c r="AQ64" s="75">
        <f>'QTR Raw'!K34</f>
        <v>0</v>
      </c>
      <c r="AR64" s="75">
        <f>'QTR Raw'!L34</f>
        <v>0</v>
      </c>
      <c r="AS64" s="75">
        <f>'QTR Raw'!M34</f>
        <v>0</v>
      </c>
      <c r="AT64" s="75">
        <f>'QTR Raw'!N34</f>
        <v>0</v>
      </c>
      <c r="AU64" s="75">
        <f>'QTR Raw'!O34</f>
        <v>0</v>
      </c>
      <c r="AV64" s="75">
        <f>'QTR Raw'!P34</f>
        <v>0</v>
      </c>
      <c r="AW64" s="75">
        <f>'QTR Raw'!Q34</f>
        <v>0</v>
      </c>
      <c r="AX64" s="75">
        <f>'QTR Raw'!R34</f>
        <v>0</v>
      </c>
      <c r="AY64" s="75">
        <f>'QTR Raw'!S34</f>
        <v>0</v>
      </c>
      <c r="AZ64" s="75">
        <f>'QTR Raw'!T34</f>
        <v>0</v>
      </c>
      <c r="BA64" s="75">
        <f>'QTR Raw'!U34</f>
        <v>0</v>
      </c>
      <c r="BB64" s="75">
        <f>'QTR Raw'!V34</f>
        <v>0</v>
      </c>
      <c r="BC64" s="75">
        <f>'QTR Raw'!W34</f>
        <v>0</v>
      </c>
      <c r="BD64" s="75">
        <f>'QTR Raw'!X34</f>
        <v>0</v>
      </c>
      <c r="BE64" s="75">
        <f>'QTR Raw'!Y34</f>
        <v>0</v>
      </c>
      <c r="BF64" s="75">
        <f>'QTR Raw'!Z34</f>
        <v>0</v>
      </c>
      <c r="BG64" s="75">
        <f>'QTR Raw'!AA34</f>
        <v>0</v>
      </c>
      <c r="BH64" s="75">
        <f>'QTR Raw'!AB34</f>
        <v>0</v>
      </c>
      <c r="BI64" s="75">
        <f>'QTR Raw'!AC34</f>
        <v>0</v>
      </c>
      <c r="BJ64" s="75">
        <f>'QTR Raw'!AD34</f>
        <v>0</v>
      </c>
      <c r="BK64" s="75">
        <f>'QTR Raw'!AE34</f>
        <v>0</v>
      </c>
      <c r="BL64" s="75">
        <f>'QTR Raw'!AF34</f>
        <v>0</v>
      </c>
      <c r="BM64" s="75">
        <f>'QTR Raw'!AG34</f>
        <v>0.04</v>
      </c>
      <c r="BN64" s="75">
        <f>'QTR Raw'!AH34</f>
        <v>-0.04</v>
      </c>
      <c r="BO64" s="75">
        <f>'QTR Raw'!AI34</f>
        <v>0</v>
      </c>
      <c r="BP64" s="75">
        <f>'QTR Raw'!AJ34</f>
        <v>0</v>
      </c>
      <c r="BQ64" s="75">
        <f>'QTR Raw'!AK34</f>
        <v>0</v>
      </c>
      <c r="BR64" s="75">
        <f>'QTR Raw'!AL34</f>
        <v>0</v>
      </c>
      <c r="BS64" s="75">
        <f>'QTR Raw'!AM34</f>
        <v>0</v>
      </c>
      <c r="BT64" s="75">
        <f>'QTR Raw'!AN34</f>
        <v>0</v>
      </c>
      <c r="BU64" s="75">
        <f>'QTR Raw'!AO34</f>
        <v>0</v>
      </c>
      <c r="BV64" s="75">
        <f>'QTR Raw'!AP34</f>
        <v>0</v>
      </c>
      <c r="BW64" s="75">
        <f>'QTR Raw'!AQ34</f>
        <v>0</v>
      </c>
      <c r="BX64" s="75">
        <f>'QTR Raw'!AR34</f>
        <v>0</v>
      </c>
      <c r="BY64" s="75">
        <f>'QTR Raw'!AS34</f>
        <v>0</v>
      </c>
      <c r="BZ64" s="75">
        <f>'QTR Raw'!AT34</f>
        <v>0</v>
      </c>
      <c r="CA64" s="75">
        <f>'QTR Raw'!AU34</f>
        <v>0</v>
      </c>
      <c r="CB64" s="75">
        <f>'QTR Raw'!AV34</f>
        <v>0</v>
      </c>
      <c r="CC64" s="75">
        <f>'QTR Raw'!AW34</f>
        <v>0</v>
      </c>
      <c r="CD64" s="75">
        <f>'QTR Raw'!AX34</f>
        <v>0</v>
      </c>
      <c r="CE64" s="75">
        <f>'QTR Raw'!AY34</f>
        <v>0</v>
      </c>
      <c r="CF64" s="75">
        <f>'QTR Raw'!AZ34</f>
        <v>34.28</v>
      </c>
      <c r="CG64" s="75">
        <f>'QTR Raw'!BA34</f>
        <v>117.14</v>
      </c>
      <c r="CH64" s="75">
        <f>'QTR Raw'!BB34</f>
        <v>37.74</v>
      </c>
      <c r="CI64" s="75">
        <f>'QTR Raw'!BC34</f>
        <v>79.73</v>
      </c>
      <c r="CJ64" s="75">
        <f>'QTR Raw'!BD34</f>
        <v>46.32</v>
      </c>
      <c r="CK64" s="75">
        <f>'QTR Raw'!BE34</f>
        <v>-8.51</v>
      </c>
      <c r="CL64" s="75">
        <f>'QTR Raw'!BF34</f>
        <v>-254.32</v>
      </c>
      <c r="CM64" s="76">
        <f t="shared" ref="CM64:CM65" si="673">+CL64</f>
        <v>-254.32</v>
      </c>
      <c r="CN64" s="76">
        <f t="shared" ref="CN64:CN65" si="674">+CM64</f>
        <v>-254.32</v>
      </c>
      <c r="CO64" s="76">
        <f t="shared" ref="CO64:CO65" si="675">+CN64</f>
        <v>-254.32</v>
      </c>
      <c r="CP64" s="76">
        <f t="shared" ref="CP64:CP65" si="676">+CO64</f>
        <v>-254.32</v>
      </c>
      <c r="CQ64" s="76">
        <f t="shared" ref="CQ64:CQ65" si="677">+CP64</f>
        <v>-254.32</v>
      </c>
      <c r="CR64" s="76">
        <f t="shared" ref="CR64:CR65" si="678">+CQ64</f>
        <v>-254.32</v>
      </c>
      <c r="CS64" s="76">
        <f t="shared" ref="CS64:CS65" si="679">+CR64</f>
        <v>-254.32</v>
      </c>
      <c r="CT64" s="76">
        <f t="shared" ref="CT64:CT65" si="680">+CS64</f>
        <v>-254.32</v>
      </c>
      <c r="CU64" s="76">
        <f t="shared" ref="CU64:CU65" si="681">+CT64</f>
        <v>-254.32</v>
      </c>
      <c r="CV64" s="76">
        <f t="shared" ref="CV64:CV65" si="682">+CU64</f>
        <v>-254.32</v>
      </c>
      <c r="CW64" s="76">
        <f t="shared" ref="CW64:CW65" si="683">+CV64</f>
        <v>-254.32</v>
      </c>
      <c r="CX64" s="76">
        <f t="shared" ref="CX64:CX65" si="684">+CW64</f>
        <v>-254.32</v>
      </c>
      <c r="CY64" s="76">
        <f t="shared" ref="CY64:CY65" si="685">+CX64</f>
        <v>-254.32</v>
      </c>
      <c r="CZ64" s="76">
        <f t="shared" ref="CZ64:CZ65" si="686">+CY64</f>
        <v>-254.32</v>
      </c>
      <c r="DA64" s="76">
        <f t="shared" ref="DA64:DA65" si="687">+CZ64</f>
        <v>-254.32</v>
      </c>
      <c r="DB64" s="76">
        <f t="shared" ref="DB64:DB65" si="688">+DA64</f>
        <v>-254.32</v>
      </c>
      <c r="DE64" s="131"/>
      <c r="DF64" s="75">
        <v>0</v>
      </c>
    </row>
    <row r="65" spans="1:110" s="75" customFormat="1" x14ac:dyDescent="0.2">
      <c r="A65" s="23" t="s">
        <v>24</v>
      </c>
      <c r="B65" s="75">
        <f>'Annual Raw'!C33+'Annual Raw'!C28</f>
        <v>0</v>
      </c>
      <c r="C65" s="75">
        <f>'Annual Raw'!D33+'Annual Raw'!D28</f>
        <v>0</v>
      </c>
      <c r="D65" s="75">
        <f>'Annual Raw'!E33+'Annual Raw'!E28</f>
        <v>0</v>
      </c>
      <c r="E65" s="75">
        <f>'Annual Raw'!F33+'Annual Raw'!F28</f>
        <v>0</v>
      </c>
      <c r="F65" s="75">
        <f>'Annual Raw'!G33+'Annual Raw'!G28</f>
        <v>0</v>
      </c>
      <c r="G65" s="75">
        <f>'Annual Raw'!H33+'Annual Raw'!H28</f>
        <v>0</v>
      </c>
      <c r="H65" s="75">
        <f>'Annual Raw'!I33+'Annual Raw'!I28</f>
        <v>0</v>
      </c>
      <c r="I65" s="75">
        <f>'Annual Raw'!J33+'Annual Raw'!J28</f>
        <v>0</v>
      </c>
      <c r="J65" s="75">
        <f>'Annual Raw'!K33+'Annual Raw'!K28</f>
        <v>0</v>
      </c>
      <c r="K65" s="75">
        <f>'Annual Raw'!L33+'Annual Raw'!L28</f>
        <v>0</v>
      </c>
      <c r="L65" s="75">
        <f>'Annual Raw'!M33+'Annual Raw'!M28</f>
        <v>0</v>
      </c>
      <c r="M65" s="75">
        <f>'Annual Raw'!N33+'Annual Raw'!N28</f>
        <v>0</v>
      </c>
      <c r="N65" s="75">
        <f>'Annual Raw'!O33+'Annual Raw'!O28</f>
        <v>0</v>
      </c>
      <c r="O65" s="75">
        <f>'Annual Raw'!P33+'Annual Raw'!P28</f>
        <v>0</v>
      </c>
      <c r="P65" s="75">
        <f>'Annual Raw'!Q33+'Annual Raw'!Q28</f>
        <v>0</v>
      </c>
      <c r="Q65" s="75">
        <f>'Annual Raw'!R33+'Annual Raw'!R28</f>
        <v>0</v>
      </c>
      <c r="R65" s="75">
        <f>'Annual Raw'!S33+'Annual Raw'!S28</f>
        <v>0</v>
      </c>
      <c r="S65" s="75">
        <f>'Annual Raw'!T33+'Annual Raw'!T28</f>
        <v>-29.18</v>
      </c>
      <c r="T65" s="75">
        <f>'Annual Raw'!U33+'Annual Raw'!U28</f>
        <v>0</v>
      </c>
      <c r="U65" s="75">
        <f>'Annual Raw'!V33+'Annual Raw'!V28</f>
        <v>0</v>
      </c>
      <c r="V65" s="75">
        <f>'Annual Raw'!W33+'Annual Raw'!W28</f>
        <v>0</v>
      </c>
      <c r="W65" s="75">
        <f>'Annual Raw'!X33+'Annual Raw'!X28</f>
        <v>0</v>
      </c>
      <c r="X65" s="75">
        <f>'Annual Raw'!Y33+'Annual Raw'!Y28</f>
        <v>0</v>
      </c>
      <c r="Y65" s="75">
        <f>'Annual Raw'!Z33+'Annual Raw'!Z28</f>
        <v>0</v>
      </c>
      <c r="Z65" s="75">
        <f>'Annual Raw'!AA33+'Annual Raw'!AA28</f>
        <v>0</v>
      </c>
      <c r="AA65" s="75">
        <f>'Annual Raw'!AB33+'Annual Raw'!AB28</f>
        <v>0</v>
      </c>
      <c r="AB65" s="76">
        <f t="shared" si="669"/>
        <v>0</v>
      </c>
      <c r="AC65" s="76">
        <f t="shared" si="670"/>
        <v>0</v>
      </c>
      <c r="AD65" s="76">
        <f t="shared" si="671"/>
        <v>0</v>
      </c>
      <c r="AE65" s="76">
        <f t="shared" si="672"/>
        <v>0</v>
      </c>
      <c r="AI65" s="75">
        <f>'QTR Raw'!C35</f>
        <v>0</v>
      </c>
      <c r="AJ65" s="75">
        <f>'QTR Raw'!D35</f>
        <v>0</v>
      </c>
      <c r="AK65" s="75">
        <f>'QTR Raw'!E35</f>
        <v>0</v>
      </c>
      <c r="AL65" s="75">
        <f>'QTR Raw'!F35</f>
        <v>0</v>
      </c>
      <c r="AM65" s="75">
        <f>'QTR Raw'!G35</f>
        <v>0</v>
      </c>
      <c r="AN65" s="75">
        <f>'QTR Raw'!H35</f>
        <v>0</v>
      </c>
      <c r="AO65" s="75">
        <f>'QTR Raw'!I35</f>
        <v>0</v>
      </c>
      <c r="AP65" s="75">
        <f>'QTR Raw'!J35</f>
        <v>0</v>
      </c>
      <c r="AQ65" s="75">
        <f>'QTR Raw'!K35</f>
        <v>0</v>
      </c>
      <c r="AR65" s="75">
        <f>'QTR Raw'!L35</f>
        <v>0</v>
      </c>
      <c r="AS65" s="75">
        <f>'QTR Raw'!M35</f>
        <v>0</v>
      </c>
      <c r="AT65" s="75">
        <f>'QTR Raw'!N35</f>
        <v>0</v>
      </c>
      <c r="AU65" s="75">
        <f>'QTR Raw'!O35</f>
        <v>0</v>
      </c>
      <c r="AV65" s="75">
        <f>'QTR Raw'!P35</f>
        <v>0</v>
      </c>
      <c r="AW65" s="75">
        <f>'QTR Raw'!Q35</f>
        <v>0</v>
      </c>
      <c r="AX65" s="75">
        <f>'QTR Raw'!R35</f>
        <v>0</v>
      </c>
      <c r="AY65" s="75">
        <f>'QTR Raw'!S35</f>
        <v>0</v>
      </c>
      <c r="AZ65" s="75">
        <f>'QTR Raw'!T35</f>
        <v>0</v>
      </c>
      <c r="BA65" s="75">
        <f>'QTR Raw'!U35</f>
        <v>0</v>
      </c>
      <c r="BB65" s="75">
        <f>'QTR Raw'!V35</f>
        <v>0</v>
      </c>
      <c r="BC65" s="75">
        <f>'QTR Raw'!W35</f>
        <v>0</v>
      </c>
      <c r="BD65" s="75">
        <f>'QTR Raw'!X35</f>
        <v>0</v>
      </c>
      <c r="BE65" s="75">
        <f>'QTR Raw'!Y35</f>
        <v>-10.27</v>
      </c>
      <c r="BF65" s="75">
        <f>'QTR Raw'!Z35</f>
        <v>-18.91</v>
      </c>
      <c r="BG65" s="75">
        <f>'QTR Raw'!AA35</f>
        <v>0</v>
      </c>
      <c r="BH65" s="75">
        <f>'QTR Raw'!AB35</f>
        <v>0</v>
      </c>
      <c r="BI65" s="75">
        <f>'QTR Raw'!AC35</f>
        <v>0</v>
      </c>
      <c r="BJ65" s="75">
        <f>'QTR Raw'!AD35</f>
        <v>0</v>
      </c>
      <c r="BK65" s="75">
        <f>'QTR Raw'!AE35</f>
        <v>0</v>
      </c>
      <c r="BL65" s="75">
        <f>'QTR Raw'!AF35</f>
        <v>0</v>
      </c>
      <c r="BM65" s="75">
        <f>'QTR Raw'!AG35</f>
        <v>0</v>
      </c>
      <c r="BN65" s="75">
        <f>'QTR Raw'!AH35</f>
        <v>0</v>
      </c>
      <c r="BO65" s="75">
        <f>'QTR Raw'!AI35</f>
        <v>0</v>
      </c>
      <c r="BP65" s="75">
        <f>'QTR Raw'!AJ35</f>
        <v>0</v>
      </c>
      <c r="BQ65" s="75">
        <f>'QTR Raw'!AK35</f>
        <v>0</v>
      </c>
      <c r="BR65" s="75">
        <f>'QTR Raw'!AL35</f>
        <v>0</v>
      </c>
      <c r="BS65" s="75">
        <f>'QTR Raw'!AM35</f>
        <v>0</v>
      </c>
      <c r="BT65" s="75">
        <f>'QTR Raw'!AN35</f>
        <v>0</v>
      </c>
      <c r="BU65" s="75">
        <f>'QTR Raw'!AO35</f>
        <v>0</v>
      </c>
      <c r="BV65" s="75">
        <f>'QTR Raw'!AP35</f>
        <v>0</v>
      </c>
      <c r="BW65" s="75">
        <f>'QTR Raw'!AQ35</f>
        <v>0</v>
      </c>
      <c r="BX65" s="75">
        <f>'QTR Raw'!AR35</f>
        <v>0</v>
      </c>
      <c r="BY65" s="75">
        <f>'QTR Raw'!AS35</f>
        <v>0</v>
      </c>
      <c r="BZ65" s="75">
        <f>'QTR Raw'!AT35</f>
        <v>0</v>
      </c>
      <c r="CA65" s="75">
        <f>'QTR Raw'!AU35</f>
        <v>0</v>
      </c>
      <c r="CB65" s="75">
        <f>'QTR Raw'!AV35</f>
        <v>0</v>
      </c>
      <c r="CC65" s="75">
        <f>'QTR Raw'!AW35</f>
        <v>0</v>
      </c>
      <c r="CD65" s="75">
        <f>'QTR Raw'!AX35</f>
        <v>0</v>
      </c>
      <c r="CE65" s="75">
        <f>'QTR Raw'!AY35</f>
        <v>0</v>
      </c>
      <c r="CF65" s="75">
        <f>'QTR Raw'!AZ35</f>
        <v>0</v>
      </c>
      <c r="CG65" s="75">
        <f>'QTR Raw'!BA35</f>
        <v>0</v>
      </c>
      <c r="CH65" s="75">
        <f>'QTR Raw'!BB35</f>
        <v>0</v>
      </c>
      <c r="CI65" s="75">
        <f>'QTR Raw'!BC35</f>
        <v>0</v>
      </c>
      <c r="CJ65" s="75">
        <f>'QTR Raw'!BD35</f>
        <v>0</v>
      </c>
      <c r="CK65" s="75">
        <f>'QTR Raw'!BE35</f>
        <v>0</v>
      </c>
      <c r="CL65" s="75">
        <f>'QTR Raw'!BF35</f>
        <v>0</v>
      </c>
      <c r="CM65" s="76">
        <f t="shared" si="673"/>
        <v>0</v>
      </c>
      <c r="CN65" s="76">
        <f t="shared" si="674"/>
        <v>0</v>
      </c>
      <c r="CO65" s="76">
        <f t="shared" si="675"/>
        <v>0</v>
      </c>
      <c r="CP65" s="76">
        <f t="shared" si="676"/>
        <v>0</v>
      </c>
      <c r="CQ65" s="76">
        <f t="shared" si="677"/>
        <v>0</v>
      </c>
      <c r="CR65" s="76">
        <f t="shared" si="678"/>
        <v>0</v>
      </c>
      <c r="CS65" s="76">
        <f t="shared" si="679"/>
        <v>0</v>
      </c>
      <c r="CT65" s="76">
        <f t="shared" si="680"/>
        <v>0</v>
      </c>
      <c r="CU65" s="76">
        <f t="shared" si="681"/>
        <v>0</v>
      </c>
      <c r="CV65" s="76">
        <f t="shared" si="682"/>
        <v>0</v>
      </c>
      <c r="CW65" s="76">
        <f t="shared" si="683"/>
        <v>0</v>
      </c>
      <c r="CX65" s="76">
        <f t="shared" si="684"/>
        <v>0</v>
      </c>
      <c r="CY65" s="76">
        <f t="shared" si="685"/>
        <v>0</v>
      </c>
      <c r="CZ65" s="76">
        <f t="shared" si="686"/>
        <v>0</v>
      </c>
      <c r="DA65" s="76">
        <f t="shared" si="687"/>
        <v>0</v>
      </c>
      <c r="DB65" s="76">
        <f t="shared" si="688"/>
        <v>0</v>
      </c>
      <c r="DE65" s="131"/>
      <c r="DF65" s="75">
        <v>0</v>
      </c>
    </row>
    <row r="66" spans="1:110" s="23" customFormat="1" x14ac:dyDescent="0.2">
      <c r="A66" s="23" t="s">
        <v>19</v>
      </c>
      <c r="B66" s="75">
        <f>'Annual Raw'!C29+'Annual Raw'!C31+'Annual Raw'!C34+'Annual Raw'!C36</f>
        <v>0</v>
      </c>
      <c r="C66" s="75">
        <f>'Annual Raw'!D29+'Annual Raw'!D31+'Annual Raw'!D34+'Annual Raw'!D36</f>
        <v>0</v>
      </c>
      <c r="D66" s="75">
        <f>'Annual Raw'!E29+'Annual Raw'!E31+'Annual Raw'!E34+'Annual Raw'!E36</f>
        <v>0</v>
      </c>
      <c r="E66" s="75">
        <f>'Annual Raw'!F29+'Annual Raw'!F31+'Annual Raw'!F34+'Annual Raw'!F36</f>
        <v>0</v>
      </c>
      <c r="F66" s="75">
        <f>'Annual Raw'!G29+'Annual Raw'!G31+'Annual Raw'!G34+'Annual Raw'!G36</f>
        <v>0</v>
      </c>
      <c r="G66" s="75">
        <f>'Annual Raw'!H29+'Annual Raw'!H31+'Annual Raw'!H34+'Annual Raw'!H36</f>
        <v>0</v>
      </c>
      <c r="H66" s="75">
        <f>'Annual Raw'!I29+'Annual Raw'!I31+'Annual Raw'!I34+'Annual Raw'!I36</f>
        <v>0</v>
      </c>
      <c r="I66" s="75">
        <f>'Annual Raw'!J29+'Annual Raw'!J31+'Annual Raw'!J34+'Annual Raw'!J36</f>
        <v>0</v>
      </c>
      <c r="J66" s="75">
        <f>'Annual Raw'!K29+'Annual Raw'!K31+'Annual Raw'!K34+'Annual Raw'!K36</f>
        <v>0</v>
      </c>
      <c r="K66" s="75">
        <f>'Annual Raw'!L29+'Annual Raw'!L31+'Annual Raw'!L34+'Annual Raw'!L36</f>
        <v>0</v>
      </c>
      <c r="L66" s="75">
        <f>'Annual Raw'!M29+'Annual Raw'!M31+'Annual Raw'!M34+'Annual Raw'!M36</f>
        <v>-7.87</v>
      </c>
      <c r="M66" s="75">
        <f>'Annual Raw'!N29+'Annual Raw'!N31+'Annual Raw'!N34+'Annual Raw'!N36</f>
        <v>0</v>
      </c>
      <c r="N66" s="75">
        <f>'Annual Raw'!O29+'Annual Raw'!O31+'Annual Raw'!O34+'Annual Raw'!O36</f>
        <v>24.06</v>
      </c>
      <c r="O66" s="75">
        <f>'Annual Raw'!P29+'Annual Raw'!P31+'Annual Raw'!P34+'Annual Raw'!P36</f>
        <v>-94.64</v>
      </c>
      <c r="P66" s="75">
        <f>'Annual Raw'!Q29+'Annual Raw'!Q31+'Annual Raw'!Q34+'Annual Raw'!Q36</f>
        <v>531.16999999999996</v>
      </c>
      <c r="Q66" s="75">
        <f>'Annual Raw'!R29+'Annual Raw'!R31+'Annual Raw'!R34+'Annual Raw'!R36</f>
        <v>0</v>
      </c>
      <c r="R66" s="75">
        <f>'Annual Raw'!S29+'Annual Raw'!S31+'Annual Raw'!S34+'Annual Raw'!S36</f>
        <v>-4076.69</v>
      </c>
      <c r="S66" s="75">
        <f>'Annual Raw'!T29+'Annual Raw'!T31+'Annual Raw'!T34+'Annual Raw'!T36</f>
        <v>0</v>
      </c>
      <c r="T66" s="75">
        <f>'Annual Raw'!U29+'Annual Raw'!U31+'Annual Raw'!U34+'Annual Raw'!U36</f>
        <v>0</v>
      </c>
      <c r="U66" s="75">
        <f>'Annual Raw'!V29+'Annual Raw'!V31+'Annual Raw'!V34+'Annual Raw'!V36</f>
        <v>-1002.99</v>
      </c>
      <c r="V66" s="75">
        <f>'Annual Raw'!W29+'Annual Raw'!W31+'Annual Raw'!W34+'Annual Raw'!W36</f>
        <v>0</v>
      </c>
      <c r="W66" s="75">
        <f>'Annual Raw'!X29+'Annual Raw'!X31+'Annual Raw'!X34+'Annual Raw'!X36</f>
        <v>0</v>
      </c>
      <c r="X66" s="75">
        <f>'Annual Raw'!Y29+'Annual Raw'!Y31+'Annual Raw'!Y34+'Annual Raw'!Y36</f>
        <v>0</v>
      </c>
      <c r="Y66" s="75">
        <f>'Annual Raw'!Z29+'Annual Raw'!Z31+'Annual Raw'!Z34+'Annual Raw'!Z36</f>
        <v>0</v>
      </c>
      <c r="Z66" s="75">
        <f>'Annual Raw'!AA29+'Annual Raw'!AA31+'Annual Raw'!AA34+'Annual Raw'!AA36</f>
        <v>0</v>
      </c>
      <c r="AA66" s="75">
        <f>'Annual Raw'!AB29+'Annual Raw'!AB31+'Annual Raw'!AB34+'Annual Raw'!AB36</f>
        <v>0</v>
      </c>
      <c r="AB66" s="76">
        <f>+SUM(CM66:CP66)</f>
        <v>0</v>
      </c>
      <c r="AC66" s="76">
        <f>+SUM(CQ66:CT66)</f>
        <v>0</v>
      </c>
      <c r="AD66" s="76">
        <f>+SUM(CU66:CX66)</f>
        <v>0</v>
      </c>
      <c r="AE66" s="76">
        <f>+SUM(CY66:DB66)</f>
        <v>0</v>
      </c>
      <c r="AI66" s="75">
        <f>'QTR Raw'!C26+'QTR Raw'!C31+'QTR Raw'!C32+'QTR Raw'!C33+'QTR Raw'!C36+'QTR Raw'!C37+'QTR Raw'!C39</f>
        <v>0</v>
      </c>
      <c r="AJ66" s="75">
        <f>'QTR Raw'!D26+'QTR Raw'!D31+'QTR Raw'!D32+'QTR Raw'!D33+'QTR Raw'!D36+'QTR Raw'!D37+'QTR Raw'!D39</f>
        <v>0</v>
      </c>
      <c r="AK66" s="75">
        <f>'QTR Raw'!E26+'QTR Raw'!E31+'QTR Raw'!E32+'QTR Raw'!E33+'QTR Raw'!E36+'QTR Raw'!E37+'QTR Raw'!E39</f>
        <v>23.83</v>
      </c>
      <c r="AL66" s="75">
        <f>'QTR Raw'!F26+'QTR Raw'!F31+'QTR Raw'!F32+'QTR Raw'!F33+'QTR Raw'!F36+'QTR Raw'!F37+'QTR Raw'!F39</f>
        <v>0</v>
      </c>
      <c r="AM66" s="75">
        <f>'QTR Raw'!G26+'QTR Raw'!G31+'QTR Raw'!G32+'QTR Raw'!G33+'QTR Raw'!G36+'QTR Raw'!G37+'QTR Raw'!G39</f>
        <v>0</v>
      </c>
      <c r="AN66" s="75">
        <f>'QTR Raw'!H26+'QTR Raw'!H31+'QTR Raw'!H32+'QTR Raw'!H33+'QTR Raw'!H36+'QTR Raw'!H37+'QTR Raw'!H39</f>
        <v>2.04</v>
      </c>
      <c r="AO66" s="75">
        <f>'QTR Raw'!I26+'QTR Raw'!I31+'QTR Raw'!I32+'QTR Raw'!I33+'QTR Raw'!I36+'QTR Raw'!I37+'QTR Raw'!I39</f>
        <v>0</v>
      </c>
      <c r="AP66" s="75">
        <f>'QTR Raw'!J26+'QTR Raw'!J31+'QTR Raw'!J32+'QTR Raw'!J33+'QTR Raw'!J36+'QTR Raw'!J37+'QTR Raw'!J39</f>
        <v>0</v>
      </c>
      <c r="AQ66" s="75">
        <f>'QTR Raw'!K26+'QTR Raw'!K31+'QTR Raw'!K32+'QTR Raw'!K33+'QTR Raw'!K36+'QTR Raw'!K37+'QTR Raw'!K39</f>
        <v>-126.39</v>
      </c>
      <c r="AR66" s="75">
        <f>'QTR Raw'!L26+'QTR Raw'!L31+'QTR Raw'!L32+'QTR Raw'!L33+'QTR Raw'!L36+'QTR Raw'!L37+'QTR Raw'!L39</f>
        <v>0</v>
      </c>
      <c r="AS66" s="75">
        <f>'QTR Raw'!M26+'QTR Raw'!M31+'QTR Raw'!M32+'QTR Raw'!M33+'QTR Raw'!M36+'QTR Raw'!M37+'QTR Raw'!M39</f>
        <v>0</v>
      </c>
      <c r="AT66" s="75">
        <f>'QTR Raw'!N26+'QTR Raw'!N31+'QTR Raw'!N32+'QTR Raw'!N33+'QTR Raw'!N36+'QTR Raw'!N37+'QTR Raw'!N39</f>
        <v>657.56</v>
      </c>
      <c r="AU66" s="75">
        <f>'QTR Raw'!O26+'QTR Raw'!O31+'QTR Raw'!O32+'QTR Raw'!O33+'QTR Raw'!O36+'QTR Raw'!O37+'QTR Raw'!O39</f>
        <v>0</v>
      </c>
      <c r="AV66" s="75">
        <f>'QTR Raw'!P26+'QTR Raw'!P31+'QTR Raw'!P32+'QTR Raw'!P33+'QTR Raw'!P36+'QTR Raw'!P37+'QTR Raw'!P39</f>
        <v>0</v>
      </c>
      <c r="AW66" s="75">
        <f>'QTR Raw'!Q26+'QTR Raw'!Q31+'QTR Raw'!Q32+'QTR Raw'!Q33+'QTR Raw'!Q36+'QTR Raw'!Q37+'QTR Raw'!Q39</f>
        <v>0</v>
      </c>
      <c r="AX66" s="75">
        <f>'QTR Raw'!R26+'QTR Raw'!R31+'QTR Raw'!R32+'QTR Raw'!R33+'QTR Raw'!R36+'QTR Raw'!R37+'QTR Raw'!R39</f>
        <v>0</v>
      </c>
      <c r="AY66" s="75">
        <f>'QTR Raw'!S26+'QTR Raw'!S31+'QTR Raw'!S32+'QTR Raw'!S33+'QTR Raw'!S36+'QTR Raw'!S37+'QTR Raw'!S39</f>
        <v>0</v>
      </c>
      <c r="AZ66" s="75">
        <f>'QTR Raw'!T26+'QTR Raw'!T31+'QTR Raw'!T32+'QTR Raw'!T33+'QTR Raw'!T36+'QTR Raw'!T37+'QTR Raw'!T39</f>
        <v>0</v>
      </c>
      <c r="BA66" s="75">
        <f>'QTR Raw'!U26+'QTR Raw'!U31+'QTR Raw'!U32+'QTR Raw'!U33+'QTR Raw'!U36+'QTR Raw'!U37+'QTR Raw'!U39</f>
        <v>0</v>
      </c>
      <c r="BB66" s="75">
        <f>'QTR Raw'!V26+'QTR Raw'!V31+'QTR Raw'!V32+'QTR Raw'!V33+'QTR Raw'!V36+'QTR Raw'!V37+'QTR Raw'!V39</f>
        <v>-4076.69</v>
      </c>
      <c r="BC66" s="75">
        <f>'QTR Raw'!W26+'QTR Raw'!W31+'QTR Raw'!W32+'QTR Raw'!W33+'QTR Raw'!W36+'QTR Raw'!W37+'QTR Raw'!W39</f>
        <v>0</v>
      </c>
      <c r="BD66" s="75">
        <f>'QTR Raw'!X26+'QTR Raw'!X31+'QTR Raw'!X32+'QTR Raw'!X33+'QTR Raw'!X36+'QTR Raw'!X37+'QTR Raw'!X39</f>
        <v>0</v>
      </c>
      <c r="BE66" s="75">
        <f>'QTR Raw'!Y26+'QTR Raw'!Y31+'QTR Raw'!Y32+'QTR Raw'!Y33+'QTR Raw'!Y36+'QTR Raw'!Y37+'QTR Raw'!Y39</f>
        <v>0</v>
      </c>
      <c r="BF66" s="75">
        <f>'QTR Raw'!Z26+'QTR Raw'!Z31+'QTR Raw'!Z32+'QTR Raw'!Z33+'QTR Raw'!Z36+'QTR Raw'!Z37+'QTR Raw'!Z39</f>
        <v>0</v>
      </c>
      <c r="BG66" s="75">
        <f>'QTR Raw'!AA26+'QTR Raw'!AA31+'QTR Raw'!AA32+'QTR Raw'!AA33+'QTR Raw'!AA36+'QTR Raw'!AA37+'QTR Raw'!AA39</f>
        <v>0</v>
      </c>
      <c r="BH66" s="75">
        <f>'QTR Raw'!AB26+'QTR Raw'!AB31+'QTR Raw'!AB32+'QTR Raw'!AB33+'QTR Raw'!AB36+'QTR Raw'!AB37+'QTR Raw'!AB39</f>
        <v>0</v>
      </c>
      <c r="BI66" s="75">
        <f>'QTR Raw'!AC26+'QTR Raw'!AC31+'QTR Raw'!AC32+'QTR Raw'!AC33+'QTR Raw'!AC36+'QTR Raw'!AC37+'QTR Raw'!AC39</f>
        <v>0</v>
      </c>
      <c r="BJ66" s="75">
        <f>'QTR Raw'!AD26+'QTR Raw'!AD31+'QTR Raw'!AD32+'QTR Raw'!AD33+'QTR Raw'!AD36+'QTR Raw'!AD37+'QTR Raw'!AD39</f>
        <v>0</v>
      </c>
      <c r="BK66" s="75">
        <f>'QTR Raw'!AE26+'QTR Raw'!AE31+'QTR Raw'!AE32+'QTR Raw'!AE33+'QTR Raw'!AE36+'QTR Raw'!AE37+'QTR Raw'!AE39</f>
        <v>-1004.19</v>
      </c>
      <c r="BL66" s="75">
        <f>'QTR Raw'!AF26+'QTR Raw'!AF31+'QTR Raw'!AF32+'QTR Raw'!AF33+'QTR Raw'!AF36+'QTR Raw'!AF37+'QTR Raw'!AF39</f>
        <v>1.2</v>
      </c>
      <c r="BM66" s="75">
        <f>'QTR Raw'!AG26+'QTR Raw'!AG31+'QTR Raw'!AG32+'QTR Raw'!AG33+'QTR Raw'!AG36+'QTR Raw'!AG37+'QTR Raw'!AG39</f>
        <v>0</v>
      </c>
      <c r="BN66" s="75">
        <f>'QTR Raw'!AH26+'QTR Raw'!AH31+'QTR Raw'!AH32+'QTR Raw'!AH33+'QTR Raw'!AH36+'QTR Raw'!AH37+'QTR Raw'!AH39</f>
        <v>0</v>
      </c>
      <c r="BO66" s="75">
        <f>'QTR Raw'!AI26+'QTR Raw'!AI31+'QTR Raw'!AI32+'QTR Raw'!AI33+'QTR Raw'!AI36+'QTR Raw'!AI37+'QTR Raw'!AI39</f>
        <v>0</v>
      </c>
      <c r="BP66" s="75">
        <f>'QTR Raw'!AJ26+'QTR Raw'!AJ31+'QTR Raw'!AJ32+'QTR Raw'!AJ33+'QTR Raw'!AJ36+'QTR Raw'!AJ37+'QTR Raw'!AJ39</f>
        <v>0</v>
      </c>
      <c r="BQ66" s="75">
        <f>'QTR Raw'!AK26+'QTR Raw'!AK31+'QTR Raw'!AK32+'QTR Raw'!AK33+'QTR Raw'!AK36+'QTR Raw'!AK37+'QTR Raw'!AK39</f>
        <v>0</v>
      </c>
      <c r="BR66" s="75">
        <f>'QTR Raw'!AL26+'QTR Raw'!AL31+'QTR Raw'!AL32+'QTR Raw'!AL33+'QTR Raw'!AL36+'QTR Raw'!AL37+'QTR Raw'!AL39</f>
        <v>0</v>
      </c>
      <c r="BS66" s="75">
        <f>'QTR Raw'!AM26+'QTR Raw'!AM31+'QTR Raw'!AM32+'QTR Raw'!AM33+'QTR Raw'!AM36+'QTR Raw'!AM37+'QTR Raw'!AM39</f>
        <v>0</v>
      </c>
      <c r="BT66" s="75">
        <f>'QTR Raw'!AN26+'QTR Raw'!AN31+'QTR Raw'!AN32+'QTR Raw'!AN33+'QTR Raw'!AN36+'QTR Raw'!AN37+'QTR Raw'!AN39</f>
        <v>0</v>
      </c>
      <c r="BU66" s="75">
        <f>'QTR Raw'!AO26+'QTR Raw'!AO31+'QTR Raw'!AO32+'QTR Raw'!AO33+'QTR Raw'!AO36+'QTR Raw'!AO37+'QTR Raw'!AO39</f>
        <v>0</v>
      </c>
      <c r="BV66" s="75">
        <f>'QTR Raw'!AP26+'QTR Raw'!AP31+'QTR Raw'!AP32+'QTR Raw'!AP33+'QTR Raw'!AP36+'QTR Raw'!AP37+'QTR Raw'!AP39</f>
        <v>0</v>
      </c>
      <c r="BW66" s="75">
        <f>'QTR Raw'!AQ26+'QTR Raw'!AQ31+'QTR Raw'!AQ32+'QTR Raw'!AQ33+'QTR Raw'!AQ36+'QTR Raw'!AQ37+'QTR Raw'!AQ39</f>
        <v>0</v>
      </c>
      <c r="BX66" s="75">
        <f>'QTR Raw'!AR26+'QTR Raw'!AR31+'QTR Raw'!AR32+'QTR Raw'!AR33+'QTR Raw'!AR36+'QTR Raw'!AR37+'QTR Raw'!AR39</f>
        <v>0</v>
      </c>
      <c r="BY66" s="75">
        <f>'QTR Raw'!AS26+'QTR Raw'!AS31+'QTR Raw'!AS32+'QTR Raw'!AS33+'QTR Raw'!AS36+'QTR Raw'!AS37+'QTR Raw'!AS39</f>
        <v>0</v>
      </c>
      <c r="BZ66" s="75">
        <f>'QTR Raw'!AT26+'QTR Raw'!AT31+'QTR Raw'!AT32+'QTR Raw'!AT33+'QTR Raw'!AT36+'QTR Raw'!AT37+'QTR Raw'!AT39</f>
        <v>0</v>
      </c>
      <c r="CA66" s="75">
        <f>'QTR Raw'!AU26+'QTR Raw'!AU31+'QTR Raw'!AU32+'QTR Raw'!AU33+'QTR Raw'!AU36+'QTR Raw'!AU37+'QTR Raw'!AU39</f>
        <v>0</v>
      </c>
      <c r="CB66" s="75">
        <f>'QTR Raw'!AV26+'QTR Raw'!AV31+'QTR Raw'!AV32+'QTR Raw'!AV33+'QTR Raw'!AV36+'QTR Raw'!AV37+'QTR Raw'!AV39</f>
        <v>0</v>
      </c>
      <c r="CC66" s="75">
        <f>'QTR Raw'!AW26+'QTR Raw'!AW31+'QTR Raw'!AW32+'QTR Raw'!AW33+'QTR Raw'!AW36+'QTR Raw'!AW37+'QTR Raw'!AW39</f>
        <v>0</v>
      </c>
      <c r="CD66" s="75">
        <f>'QTR Raw'!AX26+'QTR Raw'!AX31+'QTR Raw'!AX32+'QTR Raw'!AX33+'QTR Raw'!AX36+'QTR Raw'!AX37+'QTR Raw'!AX39</f>
        <v>0</v>
      </c>
      <c r="CE66" s="75">
        <f>'QTR Raw'!AY26+'QTR Raw'!AY31+'QTR Raw'!AY32+'QTR Raw'!AY33+'QTR Raw'!AY36+'QTR Raw'!AY37+'QTR Raw'!AY39</f>
        <v>0</v>
      </c>
      <c r="CF66" s="75">
        <f>'QTR Raw'!AZ26+'QTR Raw'!AZ31+'QTR Raw'!AZ32+'QTR Raw'!AZ33+'QTR Raw'!AZ36+'QTR Raw'!AZ37+'QTR Raw'!AZ39</f>
        <v>0</v>
      </c>
      <c r="CG66" s="75">
        <f>'QTR Raw'!BA26+'QTR Raw'!BA31+'QTR Raw'!BA32+'QTR Raw'!BA33+'QTR Raw'!BA36+'QTR Raw'!BA37+'QTR Raw'!BA39</f>
        <v>0</v>
      </c>
      <c r="CH66" s="75">
        <f>'QTR Raw'!BB26+'QTR Raw'!BB31+'QTR Raw'!BB32+'QTR Raw'!BB33+'QTR Raw'!BB36+'QTR Raw'!BB37+'QTR Raw'!BB39</f>
        <v>0</v>
      </c>
      <c r="CI66" s="75">
        <f>'QTR Raw'!BC26+'QTR Raw'!BC31+'QTR Raw'!BC32+'QTR Raw'!BC33+'QTR Raw'!BC36+'QTR Raw'!BC37+'QTR Raw'!BC39</f>
        <v>0</v>
      </c>
      <c r="CJ66" s="75">
        <f>'QTR Raw'!BD26+'QTR Raw'!BD31+'QTR Raw'!BD32+'QTR Raw'!BD33+'QTR Raw'!BD36+'QTR Raw'!BD37+'QTR Raw'!BD39</f>
        <v>0</v>
      </c>
      <c r="CK66" s="75">
        <f>'QTR Raw'!BE26+'QTR Raw'!BE31+'QTR Raw'!BE32+'QTR Raw'!BE33+'QTR Raw'!BE36+'QTR Raw'!BE37+'QTR Raw'!BE39</f>
        <v>0</v>
      </c>
      <c r="CL66" s="75">
        <f>'QTR Raw'!BF26+'QTR Raw'!BF31+'QTR Raw'!BF32+'QTR Raw'!BF33+'QTR Raw'!BF36+'QTR Raw'!BF37+'QTR Raw'!BF39</f>
        <v>0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E66" s="123"/>
      <c r="DF66" s="23">
        <v>0</v>
      </c>
    </row>
    <row r="67" spans="1:110" s="26" customFormat="1" x14ac:dyDescent="0.2">
      <c r="A67" s="35" t="s">
        <v>25</v>
      </c>
      <c r="B67" s="26">
        <f>B60+B64+B65+B66</f>
        <v>0</v>
      </c>
      <c r="C67" s="26">
        <f>C60+C64+C65+C66</f>
        <v>0</v>
      </c>
      <c r="D67" s="26">
        <f>D60+D64+D65+D66</f>
        <v>0</v>
      </c>
      <c r="E67" s="26">
        <f t="shared" ref="E67:U67" si="689">E60+E64+E65+E66</f>
        <v>-1E-3</v>
      </c>
      <c r="F67" s="26">
        <f t="shared" si="689"/>
        <v>0</v>
      </c>
      <c r="G67" s="26">
        <f t="shared" si="689"/>
        <v>0</v>
      </c>
      <c r="H67" s="26">
        <f t="shared" si="689"/>
        <v>0</v>
      </c>
      <c r="I67" s="26">
        <f t="shared" si="689"/>
        <v>-7.1790000000000003</v>
      </c>
      <c r="J67" s="26">
        <f t="shared" si="689"/>
        <v>-4.9867999999999997</v>
      </c>
      <c r="K67" s="26">
        <f t="shared" si="689"/>
        <v>170.11000000000004</v>
      </c>
      <c r="L67" s="26">
        <f t="shared" si="689"/>
        <v>513.57000000000016</v>
      </c>
      <c r="M67" s="26">
        <f t="shared" si="689"/>
        <v>-287.27000000000027</v>
      </c>
      <c r="N67" s="26">
        <f t="shared" si="689"/>
        <v>-2295.0100000000002</v>
      </c>
      <c r="O67" s="26">
        <f t="shared" si="689"/>
        <v>-290.54999999999916</v>
      </c>
      <c r="P67" s="26">
        <f t="shared" si="689"/>
        <v>-815.63000000000204</v>
      </c>
      <c r="Q67" s="26">
        <f t="shared" si="689"/>
        <v>550.79999999999757</v>
      </c>
      <c r="R67" s="26">
        <f t="shared" si="689"/>
        <v>-6174.1000000000022</v>
      </c>
      <c r="S67" s="26">
        <f t="shared" si="689"/>
        <v>-2102.9499999999998</v>
      </c>
      <c r="T67" s="26">
        <f t="shared" si="689"/>
        <v>-984.40000000000146</v>
      </c>
      <c r="U67" s="26">
        <f t="shared" si="689"/>
        <v>-2274.7700000000013</v>
      </c>
      <c r="V67" s="26">
        <f t="shared" ref="V67:AA67" si="690">V60+V64+V65+V66</f>
        <v>1269.9800000000007</v>
      </c>
      <c r="W67" s="26">
        <f t="shared" si="690"/>
        <v>4911.58</v>
      </c>
      <c r="X67" s="26">
        <f t="shared" si="690"/>
        <v>10726.640000000003</v>
      </c>
      <c r="Y67" s="26">
        <f t="shared" si="690"/>
        <v>20828.789999999997</v>
      </c>
      <c r="Z67" s="26">
        <f t="shared" si="690"/>
        <v>12938.769999999995</v>
      </c>
      <c r="AA67" s="26">
        <f t="shared" si="690"/>
        <v>12834.3</v>
      </c>
      <c r="AB67" s="27">
        <f t="shared" ref="AB67:AD67" si="691">AB60+AB64+AB65+AB66</f>
        <v>13874.030448303243</v>
      </c>
      <c r="AC67" s="27">
        <f t="shared" si="691"/>
        <v>16819.488398567129</v>
      </c>
      <c r="AD67" s="27">
        <f t="shared" si="691"/>
        <v>19800.668197944498</v>
      </c>
      <c r="AE67" s="27">
        <f t="shared" ref="AE67" si="692">AE60+AE64+AE65+AE66</f>
        <v>25387.332621067151</v>
      </c>
      <c r="AI67" s="26">
        <f t="shared" ref="AI67" si="693">AI60+AI64+AI65+AI66</f>
        <v>-809.81</v>
      </c>
      <c r="AJ67" s="26">
        <f t="shared" ref="AJ67" si="694">AJ60+AJ64+AJ65+AJ66</f>
        <v>-260.90999999999985</v>
      </c>
      <c r="AK67" s="26">
        <f t="shared" ref="AK67:AM67" si="695">AK60+AK64+AK65+AK66</f>
        <v>-619.01</v>
      </c>
      <c r="AL67" s="26">
        <f t="shared" si="695"/>
        <v>-585.52</v>
      </c>
      <c r="AM67" s="26">
        <f t="shared" si="695"/>
        <v>-1198.29</v>
      </c>
      <c r="AN67" s="26">
        <f t="shared" ref="AN67:AO67" si="696">AN60+AN64+AN65+AN66</f>
        <v>-1071.9100000000005</v>
      </c>
      <c r="AO67" s="26">
        <f t="shared" si="696"/>
        <v>-544.8199999999996</v>
      </c>
      <c r="AP67" s="26">
        <f t="shared" ref="AP67:CD67" si="697">AP60+AP64+AP65+AP66</f>
        <v>2528.5500000000002</v>
      </c>
      <c r="AQ67" s="26">
        <f t="shared" si="697"/>
        <v>-303.28999999999894</v>
      </c>
      <c r="AR67" s="26">
        <f t="shared" si="697"/>
        <v>-798.71000000000026</v>
      </c>
      <c r="AS67" s="26">
        <f t="shared" si="697"/>
        <v>-428.67999999999961</v>
      </c>
      <c r="AT67" s="26">
        <f t="shared" si="697"/>
        <v>715.04999999999973</v>
      </c>
      <c r="AU67" s="26">
        <f t="shared" si="697"/>
        <v>-166.1400000000001</v>
      </c>
      <c r="AV67" s="26">
        <f t="shared" si="697"/>
        <v>-404.74000000000012</v>
      </c>
      <c r="AW67" s="26">
        <f t="shared" si="697"/>
        <v>109.49000000000052</v>
      </c>
      <c r="AX67" s="26">
        <f t="shared" si="697"/>
        <v>1012.1899999999997</v>
      </c>
      <c r="AY67" s="26">
        <f t="shared" si="697"/>
        <v>-232.62999999999923</v>
      </c>
      <c r="AZ67" s="26">
        <f t="shared" si="697"/>
        <v>-313.05000000000013</v>
      </c>
      <c r="BA67" s="26">
        <f t="shared" si="697"/>
        <v>-667.88999999999987</v>
      </c>
      <c r="BB67" s="26">
        <f t="shared" si="697"/>
        <v>-4960.5300000000007</v>
      </c>
      <c r="BC67" s="26">
        <f t="shared" si="697"/>
        <v>-452.84000000000026</v>
      </c>
      <c r="BD67" s="26">
        <f t="shared" si="697"/>
        <v>316.88000000000056</v>
      </c>
      <c r="BE67" s="26">
        <f t="shared" si="697"/>
        <v>-1313.7400000000002</v>
      </c>
      <c r="BF67" s="26">
        <f t="shared" si="697"/>
        <v>-653.25</v>
      </c>
      <c r="BG67" s="26">
        <f t="shared" si="697"/>
        <v>-825.15000000000009</v>
      </c>
      <c r="BH67" s="26">
        <f t="shared" si="697"/>
        <v>386.89000000000033</v>
      </c>
      <c r="BI67" s="26">
        <f t="shared" si="697"/>
        <v>-1180.78</v>
      </c>
      <c r="BJ67" s="26">
        <f t="shared" si="697"/>
        <v>634.6400000000001</v>
      </c>
      <c r="BK67" s="26">
        <f t="shared" si="697"/>
        <v>-263.39000000000044</v>
      </c>
      <c r="BL67" s="26">
        <f t="shared" si="697"/>
        <v>3.880000000000206</v>
      </c>
      <c r="BM67" s="26">
        <f t="shared" si="697"/>
        <v>-702.36000000000013</v>
      </c>
      <c r="BN67" s="26">
        <f t="shared" si="697"/>
        <v>-1312.8999999999996</v>
      </c>
      <c r="BO67" s="26">
        <f t="shared" si="697"/>
        <v>-682.46000000000038</v>
      </c>
      <c r="BP67" s="26">
        <f t="shared" si="697"/>
        <v>2228.0499999999993</v>
      </c>
      <c r="BQ67" s="26">
        <f t="shared" si="697"/>
        <v>-288.73999999999955</v>
      </c>
      <c r="BR67" s="26">
        <f t="shared" si="697"/>
        <v>13.13000000000028</v>
      </c>
      <c r="BS67" s="26">
        <f t="shared" si="697"/>
        <v>278.22000000000025</v>
      </c>
      <c r="BT67" s="26">
        <f t="shared" si="697"/>
        <v>-230.60000000000053</v>
      </c>
      <c r="BU67" s="26">
        <f t="shared" si="697"/>
        <v>218.49000000000038</v>
      </c>
      <c r="BV67" s="26">
        <f t="shared" si="697"/>
        <v>4645.4699999999993</v>
      </c>
      <c r="BW67" s="26">
        <f t="shared" si="697"/>
        <v>4779.8599999999988</v>
      </c>
      <c r="BX67" s="26">
        <f t="shared" si="697"/>
        <v>695.53000000000065</v>
      </c>
      <c r="BY67" s="26">
        <f t="shared" si="697"/>
        <v>8.7700000000005502</v>
      </c>
      <c r="BZ67" s="26">
        <f t="shared" si="697"/>
        <v>5242.4799999999977</v>
      </c>
      <c r="CA67" s="26">
        <f t="shared" si="697"/>
        <v>8759.42</v>
      </c>
      <c r="CB67" s="26">
        <f t="shared" si="697"/>
        <v>6594.17</v>
      </c>
      <c r="CC67" s="26">
        <f t="shared" si="697"/>
        <v>2737.9600000000019</v>
      </c>
      <c r="CD67" s="26">
        <f t="shared" si="697"/>
        <v>2737.24</v>
      </c>
      <c r="CE67" s="26">
        <f t="shared" ref="CE67:CF67" si="698">CE60+CE64+CE65+CE66</f>
        <v>3912.7899999999991</v>
      </c>
      <c r="CF67" s="26">
        <f t="shared" si="698"/>
        <v>3331.7999999999993</v>
      </c>
      <c r="CG67" s="26">
        <f t="shared" ref="CG67:CH67" si="699">CG60+CG64+CG65+CG66</f>
        <v>3057.2100000000005</v>
      </c>
      <c r="CH67" s="26">
        <f t="shared" si="699"/>
        <v>2636.9699999999984</v>
      </c>
      <c r="CI67" s="26">
        <f t="shared" ref="CI67:CJ67" si="700">CI60+CI64+CI65+CI66</f>
        <v>3384.8599999999988</v>
      </c>
      <c r="CJ67" s="26">
        <f t="shared" si="700"/>
        <v>2952.7800000000011</v>
      </c>
      <c r="CK67" s="26">
        <f t="shared" ref="CK67:CL67" si="701">CK60+CK64+CK65+CK66</f>
        <v>2479.5800000000013</v>
      </c>
      <c r="CL67" s="26">
        <f t="shared" si="701"/>
        <v>4017.0799999999995</v>
      </c>
      <c r="CM67" s="27">
        <f t="shared" ref="CM67:DB67" si="702">CM60+CM64+CM65+CM66</f>
        <v>3478.8704004208562</v>
      </c>
      <c r="CN67" s="27">
        <f t="shared" si="702"/>
        <v>3055.6201205954344</v>
      </c>
      <c r="CO67" s="27">
        <f t="shared" si="702"/>
        <v>3098.0658083587896</v>
      </c>
      <c r="CP67" s="27">
        <f t="shared" si="702"/>
        <v>4241.474118928164</v>
      </c>
      <c r="CQ67" s="27">
        <f t="shared" si="702"/>
        <v>3745.2875100195042</v>
      </c>
      <c r="CR67" s="27">
        <f t="shared" si="702"/>
        <v>3830.030911002988</v>
      </c>
      <c r="CS67" s="27">
        <f t="shared" si="702"/>
        <v>4067.7453267242549</v>
      </c>
      <c r="CT67" s="27">
        <f t="shared" si="702"/>
        <v>5176.4246508203842</v>
      </c>
      <c r="CU67" s="27">
        <f t="shared" si="702"/>
        <v>4329.9347240223506</v>
      </c>
      <c r="CV67" s="27">
        <f t="shared" si="702"/>
        <v>4352.8441311661536</v>
      </c>
      <c r="CW67" s="27">
        <f t="shared" si="702"/>
        <v>4867.2004126530728</v>
      </c>
      <c r="CX67" s="27">
        <f t="shared" si="702"/>
        <v>6250.6889301029305</v>
      </c>
      <c r="CY67" s="27">
        <f t="shared" si="702"/>
        <v>5372.9614380032872</v>
      </c>
      <c r="CZ67" s="27">
        <f t="shared" si="702"/>
        <v>5743.5125436144144</v>
      </c>
      <c r="DA67" s="27">
        <f t="shared" si="702"/>
        <v>6110.5730328418449</v>
      </c>
      <c r="DB67" s="27">
        <f t="shared" si="702"/>
        <v>8160.2856066075929</v>
      </c>
      <c r="DE67" s="121"/>
      <c r="DF67" s="26">
        <v>0</v>
      </c>
    </row>
    <row r="68" spans="1:110" s="25" customFormat="1" x14ac:dyDescent="0.2">
      <c r="A68" s="151" t="s">
        <v>486</v>
      </c>
      <c r="AB68" s="17"/>
      <c r="AC68" s="17"/>
      <c r="AD68" s="17"/>
      <c r="AE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0" s="1" customFormat="1" x14ac:dyDescent="0.2">
      <c r="AB69" s="20"/>
      <c r="AC69" s="20"/>
      <c r="AD69" s="20"/>
      <c r="AE69" s="20"/>
      <c r="BV69" s="183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22" customFormat="1" x14ac:dyDescent="0.2">
      <c r="A70" s="22" t="s">
        <v>434</v>
      </c>
      <c r="B70" s="22">
        <f>'Annual Raw'!C35</f>
        <v>0</v>
      </c>
      <c r="C70" s="22">
        <f>'Annual Raw'!D35</f>
        <v>0</v>
      </c>
      <c r="D70" s="22">
        <f>'Annual Raw'!E35</f>
        <v>0</v>
      </c>
      <c r="E70" s="22">
        <f>'Annual Raw'!F35</f>
        <v>-1E-3</v>
      </c>
      <c r="F70" s="22">
        <f>'Annual Raw'!G35</f>
        <v>0</v>
      </c>
      <c r="G70" s="22">
        <f>'Annual Raw'!H35</f>
        <v>0</v>
      </c>
      <c r="H70" s="22">
        <f>'Annual Raw'!I35</f>
        <v>0</v>
      </c>
      <c r="I70" s="22">
        <f>'Annual Raw'!J35</f>
        <v>-7.1790000000000003</v>
      </c>
      <c r="J70" s="22">
        <f>'Annual Raw'!K35</f>
        <v>-4.9867999999999997</v>
      </c>
      <c r="K70" s="22">
        <f>'Annual Raw'!L35</f>
        <v>170.11</v>
      </c>
      <c r="L70" s="22">
        <f>'Annual Raw'!M35</f>
        <v>513.57000000000005</v>
      </c>
      <c r="M70" s="22">
        <f>'Annual Raw'!N35</f>
        <v>-287.27</v>
      </c>
      <c r="N70" s="22">
        <f>'Annual Raw'!O35</f>
        <v>-2295.0100000000002</v>
      </c>
      <c r="O70" s="22">
        <f>'Annual Raw'!P35</f>
        <v>-290.55</v>
      </c>
      <c r="P70" s="22">
        <f>'Annual Raw'!Q35</f>
        <v>-815.63</v>
      </c>
      <c r="Q70" s="22">
        <f>'Annual Raw'!R35</f>
        <v>550.79999999999995</v>
      </c>
      <c r="R70" s="22">
        <f>'Annual Raw'!S35</f>
        <v>-6174.1</v>
      </c>
      <c r="S70" s="22">
        <f>'Annual Raw'!T35</f>
        <v>-2102.9499999999998</v>
      </c>
      <c r="T70" s="22">
        <f>'Annual Raw'!U35</f>
        <v>-984.4</v>
      </c>
      <c r="U70" s="22">
        <f>'Annual Raw'!V35</f>
        <v>-2274.77</v>
      </c>
      <c r="V70" s="22">
        <f>'Annual Raw'!W35</f>
        <v>1269.98</v>
      </c>
      <c r="W70" s="22">
        <f>'Annual Raw'!X35</f>
        <v>4911.58</v>
      </c>
      <c r="X70" s="22">
        <f>'Annual Raw'!Y35</f>
        <v>10726.64</v>
      </c>
      <c r="Y70" s="22">
        <f>'Annual Raw'!Z35</f>
        <v>20828.79</v>
      </c>
      <c r="Z70" s="22">
        <f>'Annual Raw'!AA35</f>
        <v>12938.77</v>
      </c>
      <c r="AA70" s="22">
        <f>'Annual Raw'!AB35</f>
        <v>12834.3</v>
      </c>
      <c r="AB70" s="21">
        <f t="shared" ref="AB70:AD70" si="703">+AB67</f>
        <v>13874.030448303243</v>
      </c>
      <c r="AC70" s="21">
        <f t="shared" si="703"/>
        <v>16819.488398567129</v>
      </c>
      <c r="AD70" s="21">
        <f t="shared" si="703"/>
        <v>19800.668197944498</v>
      </c>
      <c r="AE70" s="21">
        <f t="shared" ref="AE70" si="704">+AE67</f>
        <v>25387.332621067151</v>
      </c>
      <c r="AI70" s="22">
        <f>'QTR Raw'!C42</f>
        <v>-809.81</v>
      </c>
      <c r="AJ70" s="22">
        <f>'QTR Raw'!D42</f>
        <v>-260.91000000000003</v>
      </c>
      <c r="AK70" s="22">
        <f>'QTR Raw'!E42</f>
        <v>-619.01</v>
      </c>
      <c r="AL70" s="22">
        <f>'QTR Raw'!F42</f>
        <v>-585.52</v>
      </c>
      <c r="AM70" s="22">
        <f>'QTR Raw'!G42</f>
        <v>-1198.29</v>
      </c>
      <c r="AN70" s="22">
        <f>'QTR Raw'!H42</f>
        <v>-1071.9100000000001</v>
      </c>
      <c r="AO70" s="22">
        <f>'QTR Raw'!I42</f>
        <v>-544.82000000000005</v>
      </c>
      <c r="AP70" s="22">
        <f>'QTR Raw'!J42</f>
        <v>2528.5500000000002</v>
      </c>
      <c r="AQ70" s="22">
        <f>'QTR Raw'!K42</f>
        <v>-303.29000000000002</v>
      </c>
      <c r="AR70" s="22">
        <f>'QTR Raw'!L42</f>
        <v>-798.71</v>
      </c>
      <c r="AS70" s="22">
        <f>'QTR Raw'!M42</f>
        <v>-428.68</v>
      </c>
      <c r="AT70" s="22">
        <f>'QTR Raw'!N42</f>
        <v>715.05</v>
      </c>
      <c r="AU70" s="22">
        <f>'QTR Raw'!O42</f>
        <v>-166.14</v>
      </c>
      <c r="AV70" s="22">
        <f>'QTR Raw'!P42</f>
        <v>-404.74</v>
      </c>
      <c r="AW70" s="22">
        <f>'QTR Raw'!Q42</f>
        <v>109.49</v>
      </c>
      <c r="AX70" s="22">
        <f>'QTR Raw'!R42</f>
        <v>1012.19</v>
      </c>
      <c r="AY70" s="22">
        <f>'QTR Raw'!S42</f>
        <v>-232.63</v>
      </c>
      <c r="AZ70" s="22">
        <f>'QTR Raw'!T42</f>
        <v>-313.05</v>
      </c>
      <c r="BA70" s="22">
        <f>'QTR Raw'!U42</f>
        <v>-667.89</v>
      </c>
      <c r="BB70" s="22">
        <f>'QTR Raw'!V42</f>
        <v>-4960.53</v>
      </c>
      <c r="BC70" s="22">
        <f>'QTR Raw'!W42</f>
        <v>-452.84</v>
      </c>
      <c r="BD70" s="22">
        <f>'QTR Raw'!X42</f>
        <v>316.88</v>
      </c>
      <c r="BE70" s="22">
        <f>'QTR Raw'!Y42</f>
        <v>-1313.74</v>
      </c>
      <c r="BF70" s="22">
        <f>'QTR Raw'!Z42</f>
        <v>-653.25</v>
      </c>
      <c r="BG70" s="22">
        <f>'QTR Raw'!AA42</f>
        <v>-825.15</v>
      </c>
      <c r="BH70" s="22">
        <f>'QTR Raw'!AB42</f>
        <v>386.89</v>
      </c>
      <c r="BI70" s="22">
        <f>'QTR Raw'!AC42</f>
        <v>-1180.78</v>
      </c>
      <c r="BJ70" s="22">
        <f>'QTR Raw'!AD42</f>
        <v>634.64</v>
      </c>
      <c r="BK70" s="22">
        <f>'QTR Raw'!AE42</f>
        <v>-263.39</v>
      </c>
      <c r="BL70" s="22">
        <f>'QTR Raw'!AF42</f>
        <v>3.88</v>
      </c>
      <c r="BM70" s="22">
        <f>'QTR Raw'!AG42</f>
        <v>-702.36</v>
      </c>
      <c r="BN70" s="22">
        <f>'QTR Raw'!AH42</f>
        <v>-1312.9</v>
      </c>
      <c r="BO70" s="22">
        <f>'QTR Raw'!AI42</f>
        <v>-682.46</v>
      </c>
      <c r="BP70" s="22">
        <f>'QTR Raw'!AJ42</f>
        <v>2228.0500000000002</v>
      </c>
      <c r="BQ70" s="22">
        <f>'QTR Raw'!AK42</f>
        <v>-288.74</v>
      </c>
      <c r="BR70" s="22">
        <f>'QTR Raw'!AL42</f>
        <v>13.13</v>
      </c>
      <c r="BS70" s="22">
        <f>'QTR Raw'!AM42</f>
        <v>278.22000000000003</v>
      </c>
      <c r="BT70" s="22">
        <f>'QTR Raw'!AN42</f>
        <v>-230.6</v>
      </c>
      <c r="BU70" s="22">
        <f>'QTR Raw'!AO42</f>
        <v>218.49</v>
      </c>
      <c r="BV70" s="22">
        <f>'QTR Raw'!AP42</f>
        <v>4645.47</v>
      </c>
      <c r="BW70" s="22">
        <f>'QTR Raw'!AQ42</f>
        <v>4779.8599999999997</v>
      </c>
      <c r="BX70" s="22">
        <f>'QTR Raw'!AR42</f>
        <v>695.53</v>
      </c>
      <c r="BY70" s="22">
        <f>'QTR Raw'!AS42</f>
        <v>8.77</v>
      </c>
      <c r="BZ70" s="22">
        <f>'QTR Raw'!AT42</f>
        <v>5242.4799999999996</v>
      </c>
      <c r="CA70" s="22">
        <f>'QTR Raw'!AU42</f>
        <v>8759.42</v>
      </c>
      <c r="CB70" s="22">
        <f>'QTR Raw'!AV42</f>
        <v>6594.17</v>
      </c>
      <c r="CC70" s="22">
        <f>'QTR Raw'!AW42</f>
        <v>2737.96</v>
      </c>
      <c r="CD70" s="22">
        <f>'QTR Raw'!AX42</f>
        <v>2737.24</v>
      </c>
      <c r="CE70" s="22">
        <f>'QTR Raw'!AY42</f>
        <v>3912.79</v>
      </c>
      <c r="CF70" s="22">
        <f>'QTR Raw'!AZ42</f>
        <v>3331.8</v>
      </c>
      <c r="CG70" s="22">
        <f>'QTR Raw'!BA42</f>
        <v>3057.21</v>
      </c>
      <c r="CH70" s="22">
        <f>'QTR Raw'!BB42</f>
        <v>2636.97</v>
      </c>
      <c r="CI70" s="22">
        <f>'QTR Raw'!BC42</f>
        <v>3384.86</v>
      </c>
      <c r="CJ70" s="22">
        <f>'QTR Raw'!BD42</f>
        <v>2952.78</v>
      </c>
      <c r="CK70" s="22">
        <f>'QTR Raw'!BE42</f>
        <v>2479.58</v>
      </c>
      <c r="CL70" s="22">
        <f>'QTR Raw'!BF42</f>
        <v>4017.08</v>
      </c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  <c r="DF70" s="22">
        <v>0</v>
      </c>
    </row>
    <row r="71" spans="1:110" s="25" customFormat="1" x14ac:dyDescent="0.2">
      <c r="A71" s="36" t="s">
        <v>435</v>
      </c>
      <c r="B71" s="25">
        <f t="shared" ref="B71:V71" si="705">B70-B67</f>
        <v>0</v>
      </c>
      <c r="C71" s="25">
        <f>C70-C67</f>
        <v>0</v>
      </c>
      <c r="D71" s="25">
        <f t="shared" si="705"/>
        <v>0</v>
      </c>
      <c r="E71" s="25">
        <f t="shared" si="705"/>
        <v>0</v>
      </c>
      <c r="F71" s="25">
        <f t="shared" si="705"/>
        <v>0</v>
      </c>
      <c r="G71" s="25">
        <f t="shared" si="705"/>
        <v>0</v>
      </c>
      <c r="H71" s="25">
        <f t="shared" si="705"/>
        <v>0</v>
      </c>
      <c r="I71" s="25">
        <f t="shared" si="705"/>
        <v>0</v>
      </c>
      <c r="J71" s="25">
        <f t="shared" si="705"/>
        <v>0</v>
      </c>
      <c r="K71" s="25">
        <f t="shared" si="705"/>
        <v>0</v>
      </c>
      <c r="L71" s="25">
        <f t="shared" si="705"/>
        <v>0</v>
      </c>
      <c r="M71" s="25">
        <f t="shared" si="705"/>
        <v>0</v>
      </c>
      <c r="N71" s="25">
        <f t="shared" si="705"/>
        <v>0</v>
      </c>
      <c r="O71" s="25">
        <f t="shared" si="705"/>
        <v>-8.5265128291212022E-13</v>
      </c>
      <c r="P71" s="25">
        <f t="shared" si="705"/>
        <v>2.0463630789890885E-12</v>
      </c>
      <c r="Q71" s="25">
        <f t="shared" si="705"/>
        <v>2.3874235921539366E-12</v>
      </c>
      <c r="R71" s="25">
        <f t="shared" si="705"/>
        <v>0</v>
      </c>
      <c r="S71" s="25">
        <f t="shared" si="705"/>
        <v>0</v>
      </c>
      <c r="T71" s="25">
        <f t="shared" si="705"/>
        <v>1.4779288903810084E-12</v>
      </c>
      <c r="U71" s="25">
        <f t="shared" si="705"/>
        <v>0</v>
      </c>
      <c r="V71" s="25">
        <f t="shared" si="705"/>
        <v>0</v>
      </c>
      <c r="W71" s="25">
        <f t="shared" ref="W71" si="706">W70-W67</f>
        <v>0</v>
      </c>
      <c r="X71" s="25">
        <f t="shared" ref="X71:Y71" si="707">X70-X67</f>
        <v>0</v>
      </c>
      <c r="Y71" s="25">
        <f t="shared" si="707"/>
        <v>0</v>
      </c>
      <c r="Z71" s="25">
        <f t="shared" ref="Z71:AA71" si="708">Z70-Z67</f>
        <v>0</v>
      </c>
      <c r="AA71" s="25">
        <f t="shared" ref="AA71" si="709">AA70-AA67</f>
        <v>0</v>
      </c>
      <c r="AB71" s="17">
        <f t="shared" ref="AB71:AD71" si="710">AB70-AB67</f>
        <v>0</v>
      </c>
      <c r="AC71" s="17">
        <f t="shared" si="710"/>
        <v>0</v>
      </c>
      <c r="AD71" s="17">
        <f t="shared" si="710"/>
        <v>0</v>
      </c>
      <c r="AE71" s="17">
        <f t="shared" ref="AE71" si="711">AE70-AE67</f>
        <v>0</v>
      </c>
      <c r="AI71" s="25">
        <f t="shared" ref="AI71" si="712">AI70-AI67</f>
        <v>0</v>
      </c>
      <c r="AJ71" s="25">
        <f t="shared" ref="AJ71" si="713">AJ70-AJ67</f>
        <v>0</v>
      </c>
      <c r="AK71" s="25">
        <f t="shared" ref="AK71:AM71" si="714">AK70-AK67</f>
        <v>0</v>
      </c>
      <c r="AL71" s="25">
        <f t="shared" si="714"/>
        <v>0</v>
      </c>
      <c r="AM71" s="25">
        <f t="shared" si="714"/>
        <v>0</v>
      </c>
      <c r="AN71" s="25">
        <f t="shared" ref="AN71:AO71" si="715">AN70-AN67</f>
        <v>0</v>
      </c>
      <c r="AO71" s="25">
        <f t="shared" si="715"/>
        <v>0</v>
      </c>
      <c r="AP71" s="25">
        <f t="shared" ref="AP71:CD71" si="716">AP70-AP67</f>
        <v>0</v>
      </c>
      <c r="AQ71" s="25">
        <f t="shared" si="716"/>
        <v>-1.0800249583553523E-12</v>
      </c>
      <c r="AR71" s="25">
        <f t="shared" si="716"/>
        <v>0</v>
      </c>
      <c r="AS71" s="25">
        <f t="shared" si="716"/>
        <v>0</v>
      </c>
      <c r="AT71" s="25">
        <f t="shared" si="716"/>
        <v>0</v>
      </c>
      <c r="AU71" s="25">
        <f t="shared" si="716"/>
        <v>0</v>
      </c>
      <c r="AV71" s="25">
        <f t="shared" si="716"/>
        <v>0</v>
      </c>
      <c r="AW71" s="25">
        <f t="shared" si="716"/>
        <v>-5.2580162446247414E-13</v>
      </c>
      <c r="AX71" s="25">
        <f t="shared" si="716"/>
        <v>0</v>
      </c>
      <c r="AY71" s="25">
        <f t="shared" si="716"/>
        <v>-7.673861546209082E-13</v>
      </c>
      <c r="AZ71" s="25">
        <f t="shared" si="716"/>
        <v>0</v>
      </c>
      <c r="BA71" s="25">
        <f t="shared" si="716"/>
        <v>0</v>
      </c>
      <c r="BB71" s="25">
        <f t="shared" si="716"/>
        <v>0</v>
      </c>
      <c r="BC71" s="25">
        <f t="shared" si="716"/>
        <v>0</v>
      </c>
      <c r="BD71" s="25">
        <f t="shared" si="716"/>
        <v>-5.6843418860808015E-13</v>
      </c>
      <c r="BE71" s="25">
        <f t="shared" si="716"/>
        <v>0</v>
      </c>
      <c r="BF71" s="25">
        <f t="shared" si="716"/>
        <v>0</v>
      </c>
      <c r="BG71" s="25">
        <f t="shared" si="716"/>
        <v>0</v>
      </c>
      <c r="BH71" s="25">
        <f t="shared" si="716"/>
        <v>0</v>
      </c>
      <c r="BI71" s="25">
        <f t="shared" si="716"/>
        <v>0</v>
      </c>
      <c r="BJ71" s="25">
        <f t="shared" si="716"/>
        <v>0</v>
      </c>
      <c r="BK71" s="25">
        <f t="shared" si="716"/>
        <v>4.5474735088646412E-13</v>
      </c>
      <c r="BL71" s="25">
        <f t="shared" si="716"/>
        <v>-2.0605739337042905E-13</v>
      </c>
      <c r="BM71" s="25">
        <f t="shared" si="716"/>
        <v>0</v>
      </c>
      <c r="BN71" s="25">
        <f t="shared" si="716"/>
        <v>0</v>
      </c>
      <c r="BO71" s="25">
        <f t="shared" si="716"/>
        <v>0</v>
      </c>
      <c r="BP71" s="25">
        <f t="shared" si="716"/>
        <v>0</v>
      </c>
      <c r="BQ71" s="25">
        <f t="shared" si="716"/>
        <v>-4.5474735088646412E-13</v>
      </c>
      <c r="BR71" s="25">
        <f t="shared" si="716"/>
        <v>-2.7888802378583932E-13</v>
      </c>
      <c r="BS71" s="25">
        <f t="shared" si="716"/>
        <v>0</v>
      </c>
      <c r="BT71" s="25">
        <f t="shared" si="716"/>
        <v>5.4001247917767614E-13</v>
      </c>
      <c r="BU71" s="25">
        <f t="shared" si="716"/>
        <v>-3.694822225952521E-13</v>
      </c>
      <c r="BV71" s="25">
        <f t="shared" si="716"/>
        <v>0</v>
      </c>
      <c r="BW71" s="25">
        <f t="shared" si="716"/>
        <v>0</v>
      </c>
      <c r="BX71" s="25">
        <f t="shared" si="716"/>
        <v>0</v>
      </c>
      <c r="BY71" s="25">
        <f t="shared" si="716"/>
        <v>-5.5067062021407764E-13</v>
      </c>
      <c r="BZ71" s="25">
        <f t="shared" si="716"/>
        <v>0</v>
      </c>
      <c r="CA71" s="25">
        <f t="shared" si="716"/>
        <v>0</v>
      </c>
      <c r="CB71" s="25">
        <f t="shared" si="716"/>
        <v>0</v>
      </c>
      <c r="CC71" s="25">
        <f t="shared" si="716"/>
        <v>0</v>
      </c>
      <c r="CD71" s="25">
        <f t="shared" si="716"/>
        <v>0</v>
      </c>
      <c r="CE71" s="25">
        <f t="shared" ref="CE71:CF71" si="717">CE70-CE67</f>
        <v>0</v>
      </c>
      <c r="CF71" s="25">
        <f t="shared" si="717"/>
        <v>0</v>
      </c>
      <c r="CG71" s="25">
        <f t="shared" ref="CG71:CH71" si="718">CG70-CG67</f>
        <v>0</v>
      </c>
      <c r="CH71" s="25">
        <f t="shared" si="718"/>
        <v>0</v>
      </c>
      <c r="CI71" s="25">
        <f t="shared" ref="CI71:CJ71" si="719">CI70-CI67</f>
        <v>0</v>
      </c>
      <c r="CJ71" s="25">
        <f t="shared" si="719"/>
        <v>0</v>
      </c>
      <c r="CK71" s="25">
        <f t="shared" ref="CK71:CL71" si="720">CK70-CK67</f>
        <v>0</v>
      </c>
      <c r="CL71" s="25">
        <f t="shared" si="720"/>
        <v>0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  <c r="DF71" s="25">
        <v>0</v>
      </c>
    </row>
    <row r="72" spans="1:110" s="1" customFormat="1" x14ac:dyDescent="0.2">
      <c r="A72" s="150" t="s">
        <v>487</v>
      </c>
      <c r="AB72" s="20"/>
      <c r="AC72" s="20"/>
      <c r="AD72" s="20"/>
      <c r="AE72" s="20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</row>
    <row r="73" spans="1:110" s="38" customFormat="1" x14ac:dyDescent="0.2">
      <c r="A73" s="38" t="s">
        <v>350</v>
      </c>
      <c r="B73" s="39" t="e">
        <f t="shared" ref="B73:AE73" si="721">(B67-B66)/B139</f>
        <v>#DIV/0!</v>
      </c>
      <c r="C73" s="39" t="e">
        <f t="shared" si="721"/>
        <v>#DIV/0!</v>
      </c>
      <c r="D73" s="39" t="e">
        <f t="shared" si="721"/>
        <v>#DIV/0!</v>
      </c>
      <c r="E73" s="39">
        <f t="shared" si="721"/>
        <v>-1.0649627263045794E-3</v>
      </c>
      <c r="F73" s="39">
        <f t="shared" si="721"/>
        <v>0</v>
      </c>
      <c r="G73" s="39">
        <f t="shared" si="721"/>
        <v>0</v>
      </c>
      <c r="H73" s="39">
        <f t="shared" si="721"/>
        <v>0</v>
      </c>
      <c r="I73" s="39">
        <f t="shared" si="721"/>
        <v>-5.0066916292216719E-3</v>
      </c>
      <c r="J73" s="39">
        <f t="shared" si="721"/>
        <v>-2.178866177777706E-3</v>
      </c>
      <c r="K73" s="39">
        <f t="shared" si="721"/>
        <v>2.9440881132290996E-2</v>
      </c>
      <c r="L73" s="39">
        <f t="shared" si="721"/>
        <v>8.2935177468301313E-2</v>
      </c>
      <c r="M73" s="39">
        <f t="shared" si="721"/>
        <v>-4.7550945076481804E-2</v>
      </c>
      <c r="N73" s="39">
        <f t="shared" si="721"/>
        <v>-0.54014641042900635</v>
      </c>
      <c r="O73" s="39">
        <f t="shared" si="721"/>
        <v>-2.994013806299169E-2</v>
      </c>
      <c r="P73" s="39">
        <f t="shared" si="721"/>
        <v>-0.23526452410815077</v>
      </c>
      <c r="Q73" s="39">
        <f t="shared" si="721"/>
        <v>7.3756069342488684E-2</v>
      </c>
      <c r="R73" s="39">
        <f t="shared" si="721"/>
        <v>-0.6992392217525244</v>
      </c>
      <c r="S73" s="39">
        <f t="shared" si="721"/>
        <v>-2.364645294772469</v>
      </c>
      <c r="T73" s="39">
        <f t="shared" si="721"/>
        <v>3.421500816794699</v>
      </c>
      <c r="U73" s="39">
        <f t="shared" si="721"/>
        <v>0.59580428753466819</v>
      </c>
      <c r="V73" s="39">
        <f t="shared" si="721"/>
        <v>2.5522619023694211</v>
      </c>
      <c r="W73" s="39">
        <f t="shared" si="721"/>
        <v>0.89489545298846296</v>
      </c>
      <c r="X73" s="39">
        <f t="shared" si="721"/>
        <v>0.64383043648931093</v>
      </c>
      <c r="Y73" s="39">
        <f t="shared" si="721"/>
        <v>0.58132214793010217</v>
      </c>
      <c r="Z73" s="39">
        <f t="shared" si="721"/>
        <v>0.24279843731029557</v>
      </c>
      <c r="AA73" s="39">
        <f t="shared" ref="AA73" si="722">(AA67-AA66)/AA139</f>
        <v>0.19764269549137559</v>
      </c>
      <c r="AB73" s="40">
        <f t="shared" si="721"/>
        <v>0.17604200191804717</v>
      </c>
      <c r="AC73" s="40">
        <f t="shared" si="721"/>
        <v>0.1758801448219367</v>
      </c>
      <c r="AD73" s="40">
        <f t="shared" si="721"/>
        <v>0.17153673360965382</v>
      </c>
      <c r="AE73" s="40">
        <f t="shared" si="721"/>
        <v>0.18028420065348949</v>
      </c>
      <c r="AF73" s="39"/>
      <c r="AG73" s="39"/>
      <c r="AH73" s="39"/>
      <c r="AI73" s="39"/>
      <c r="AJ73" s="39"/>
      <c r="AK73" s="39"/>
      <c r="AL73" s="39">
        <f t="shared" ref="AL73:BQ73" si="723">(SUM(AI67:AL67)-SUM(AI66:AL66))/AL139</f>
        <v>-0.53549043767075588</v>
      </c>
      <c r="AM73" s="39">
        <f t="shared" si="723"/>
        <v>-0.8683217451988936</v>
      </c>
      <c r="AN73" s="39">
        <f t="shared" si="723"/>
        <v>-0.76677414267440025</v>
      </c>
      <c r="AO73" s="39">
        <f t="shared" si="723"/>
        <v>-0.84629925333412914</v>
      </c>
      <c r="AP73" s="39">
        <f t="shared" si="723"/>
        <v>-4.4091823962808314E-2</v>
      </c>
      <c r="AQ73" s="39">
        <f t="shared" si="723"/>
        <v>0.11744683578788821</v>
      </c>
      <c r="AR73" s="39">
        <f t="shared" si="723"/>
        <v>0.18528211725785723</v>
      </c>
      <c r="AS73" s="39">
        <f t="shared" si="723"/>
        <v>0.22429932645960379</v>
      </c>
      <c r="AT73" s="39">
        <f t="shared" si="723"/>
        <v>-0.23526452410815021</v>
      </c>
      <c r="AU73" s="39">
        <f t="shared" si="723"/>
        <v>-0.24036067414113216</v>
      </c>
      <c r="AV73" s="39">
        <f t="shared" si="723"/>
        <v>-0.18097206667422261</v>
      </c>
      <c r="AW73" s="39">
        <f t="shared" si="723"/>
        <v>-7.5991044382984305E-2</v>
      </c>
      <c r="AX73" s="39">
        <f t="shared" si="723"/>
        <v>7.3756168107286565E-2</v>
      </c>
      <c r="AY73" s="39">
        <f t="shared" si="723"/>
        <v>6.6937840176249069E-2</v>
      </c>
      <c r="AZ73" s="39">
        <f t="shared" si="723"/>
        <v>7.2482461383584593E-2</v>
      </c>
      <c r="BA73" s="39">
        <f t="shared" si="723"/>
        <v>-2.7666420291089466E-2</v>
      </c>
      <c r="BB73" s="39">
        <f t="shared" si="723"/>
        <v>-0.69923922175252384</v>
      </c>
      <c r="BC73" s="39">
        <f t="shared" si="723"/>
        <v>-0.91004115097066085</v>
      </c>
      <c r="BD73" s="39">
        <f t="shared" si="723"/>
        <v>-0.59477013620905328</v>
      </c>
      <c r="BE73" s="39">
        <f t="shared" si="723"/>
        <v>-1.5313851464421415</v>
      </c>
      <c r="BF73" s="39">
        <f t="shared" si="723"/>
        <v>-2.364645294772469</v>
      </c>
      <c r="BG73" s="39">
        <f t="shared" si="723"/>
        <v>-2.7832862941765151</v>
      </c>
      <c r="BH73" s="39">
        <f t="shared" si="723"/>
        <v>-0.44111336076938312</v>
      </c>
      <c r="BI73" s="39">
        <f t="shared" si="723"/>
        <v>-0.53191554109412664</v>
      </c>
      <c r="BJ73" s="39">
        <f t="shared" si="723"/>
        <v>-0.12764042845899204</v>
      </c>
      <c r="BK73" s="39">
        <f t="shared" si="723"/>
        <v>7.8071930083636526E-2</v>
      </c>
      <c r="BL73" s="39">
        <f t="shared" si="723"/>
        <v>2.0485170725327007E-2</v>
      </c>
      <c r="BM73" s="39">
        <f t="shared" si="723"/>
        <v>7.5664962853895693E-2</v>
      </c>
      <c r="BN73" s="39">
        <f t="shared" si="723"/>
        <v>-0.19624902012826287</v>
      </c>
      <c r="BO73" s="39">
        <f t="shared" si="723"/>
        <v>-0.46482395592947889</v>
      </c>
      <c r="BP73" s="39">
        <f t="shared" si="723"/>
        <v>-4.0520091380928797E-2</v>
      </c>
      <c r="BQ73" s="39">
        <f t="shared" si="723"/>
        <v>-4.9591676030542814E-3</v>
      </c>
      <c r="BR73" s="39">
        <f t="shared" ref="BR73:CW73" si="724">(SUM(BO67:BR67)-SUM(BO66:BR66))/BR139</f>
        <v>9.6851956783518711E-2</v>
      </c>
      <c r="BS73" s="39">
        <f t="shared" si="724"/>
        <v>0.16658140919033279</v>
      </c>
      <c r="BT73" s="39">
        <f t="shared" si="724"/>
        <v>-1.7026631417006433E-2</v>
      </c>
      <c r="BU73" s="39">
        <f t="shared" si="724"/>
        <v>2.0519241749205865E-2</v>
      </c>
      <c r="BV73" s="39">
        <f t="shared" si="724"/>
        <v>0.26260302917538164</v>
      </c>
      <c r="BW73" s="39">
        <f t="shared" si="724"/>
        <v>0.400847410713145</v>
      </c>
      <c r="BX73" s="39">
        <f t="shared" si="724"/>
        <v>0.42719591056087247</v>
      </c>
      <c r="BY73" s="39">
        <f t="shared" si="724"/>
        <v>0.41837920666126982</v>
      </c>
      <c r="BZ73" s="39">
        <f t="shared" si="724"/>
        <v>0.35904277930596334</v>
      </c>
      <c r="CA73" s="39">
        <f t="shared" si="724"/>
        <v>0.38064370515086288</v>
      </c>
      <c r="CB73" s="39">
        <f t="shared" si="724"/>
        <v>0.50864443046686536</v>
      </c>
      <c r="CC73" s="39">
        <f t="shared" si="724"/>
        <v>0.5395490768436767</v>
      </c>
      <c r="CD73" s="39">
        <f t="shared" si="724"/>
        <v>0.48276220922780683</v>
      </c>
      <c r="CE73" s="39">
        <f t="shared" si="724"/>
        <v>0.33962814257014029</v>
      </c>
      <c r="CF73" s="39">
        <f t="shared" si="724"/>
        <v>0.22732470152417297</v>
      </c>
      <c r="CG73" s="39">
        <f t="shared" si="724"/>
        <v>0.22095764740053164</v>
      </c>
      <c r="CH73" s="39">
        <f t="shared" si="724"/>
        <v>0.2427984373102956</v>
      </c>
      <c r="CI73" s="39">
        <f t="shared" si="724"/>
        <v>0.21898250428804356</v>
      </c>
      <c r="CJ73" s="39">
        <f t="shared" si="724"/>
        <v>0.20584599744844315</v>
      </c>
      <c r="CK73" s="39">
        <f t="shared" si="724"/>
        <v>0.18798880751522604</v>
      </c>
      <c r="CL73" s="39">
        <f t="shared" si="724"/>
        <v>0.19764269549137561</v>
      </c>
      <c r="CM73" s="40">
        <f t="shared" si="724"/>
        <v>0.18896687275597476</v>
      </c>
      <c r="CN73" s="40">
        <f t="shared" si="724"/>
        <v>0.18232685935670506</v>
      </c>
      <c r="CO73" s="40">
        <f t="shared" si="724"/>
        <v>0.18304599043882125</v>
      </c>
      <c r="CP73" s="40">
        <f t="shared" si="724"/>
        <v>0.1760420019180472</v>
      </c>
      <c r="CQ73" s="40">
        <f t="shared" si="724"/>
        <v>0.17128268873332184</v>
      </c>
      <c r="CR73" s="40">
        <f t="shared" si="724"/>
        <v>0.17265319418990699</v>
      </c>
      <c r="CS73" s="40">
        <f t="shared" si="724"/>
        <v>0.17560906536009965</v>
      </c>
      <c r="CT73" s="40">
        <f t="shared" si="724"/>
        <v>0.1758801448219367</v>
      </c>
      <c r="CU73" s="40">
        <f t="shared" si="724"/>
        <v>0.17411041951182382</v>
      </c>
      <c r="CV73" s="40">
        <f t="shared" si="724"/>
        <v>0.17185699091572501</v>
      </c>
      <c r="CW73" s="40">
        <f t="shared" si="724"/>
        <v>0.17151803503544191</v>
      </c>
      <c r="CX73" s="40">
        <f t="shared" ref="CX73:DB73" si="725">(SUM(CU67:CX67)-SUM(CU66:CX66))/CX139</f>
        <v>0.17153673360965388</v>
      </c>
      <c r="CY73" s="40">
        <f t="shared" si="725"/>
        <v>0.17254138933694599</v>
      </c>
      <c r="CZ73" s="40">
        <f t="shared" si="725"/>
        <v>0.17569968680568443</v>
      </c>
      <c r="DA73" s="40">
        <f t="shared" si="725"/>
        <v>0.17697926818160656</v>
      </c>
      <c r="DB73" s="40">
        <f t="shared" si="725"/>
        <v>0.18028420065348938</v>
      </c>
      <c r="DE73" s="122"/>
      <c r="DF73" s="38" t="e">
        <v>#DIV/0!</v>
      </c>
    </row>
    <row r="74" spans="1:110" s="38" customFormat="1" x14ac:dyDescent="0.2">
      <c r="A74" s="38" t="s">
        <v>351</v>
      </c>
      <c r="B74" s="39" t="e">
        <f t="shared" ref="B74:AE74" si="726">+B53/B148</f>
        <v>#DIV/0!</v>
      </c>
      <c r="C74" s="39" t="e">
        <f t="shared" si="726"/>
        <v>#DIV/0!</v>
      </c>
      <c r="D74" s="39" t="e">
        <f t="shared" si="726"/>
        <v>#DIV/0!</v>
      </c>
      <c r="E74" s="39">
        <f t="shared" si="726"/>
        <v>-1.0649627263045794E-3</v>
      </c>
      <c r="F74" s="39">
        <f t="shared" si="726"/>
        <v>0</v>
      </c>
      <c r="G74" s="39">
        <f t="shared" si="726"/>
        <v>0</v>
      </c>
      <c r="H74" s="39">
        <f t="shared" si="726"/>
        <v>0</v>
      </c>
      <c r="I74" s="39">
        <f t="shared" si="726"/>
        <v>-2.9361302710981959E-3</v>
      </c>
      <c r="J74" s="39">
        <f t="shared" si="726"/>
        <v>-7.541292988268646E-4</v>
      </c>
      <c r="K74" s="39">
        <f t="shared" si="726"/>
        <v>1.2660142051579479E-2</v>
      </c>
      <c r="L74" s="39">
        <f t="shared" si="726"/>
        <v>3.3711885649773739E-2</v>
      </c>
      <c r="M74" s="39">
        <f t="shared" si="726"/>
        <v>1.6255065189284757E-2</v>
      </c>
      <c r="N74" s="39">
        <f t="shared" si="726"/>
        <v>-7.1616019926728555E-3</v>
      </c>
      <c r="O74" s="39">
        <f t="shared" si="726"/>
        <v>5.2389827358945783E-2</v>
      </c>
      <c r="P74" s="39">
        <f t="shared" si="726"/>
        <v>7.4837050578818648E-2</v>
      </c>
      <c r="Q74" s="39">
        <f t="shared" si="726"/>
        <v>0.10193683491485808</v>
      </c>
      <c r="R74" s="39">
        <f t="shared" si="726"/>
        <v>5.9463884407611314E-2</v>
      </c>
      <c r="S74" s="39">
        <f t="shared" si="726"/>
        <v>5.0296942864045832E-2</v>
      </c>
      <c r="T74" s="39">
        <f t="shared" si="726"/>
        <v>4.0283961143121653E-2</v>
      </c>
      <c r="U74" s="39">
        <f t="shared" si="726"/>
        <v>4.3431172907560399E-2</v>
      </c>
      <c r="V74" s="39">
        <f t="shared" si="726"/>
        <v>8.34332587498266E-2</v>
      </c>
      <c r="W74" s="39">
        <f t="shared" si="726"/>
        <v>9.9210478595869081E-2</v>
      </c>
      <c r="X74" s="39">
        <f t="shared" si="726"/>
        <v>9.3458949410705025E-2</v>
      </c>
      <c r="Y74" s="39">
        <f t="shared" si="726"/>
        <v>0.18362142983888666</v>
      </c>
      <c r="Z74" s="39">
        <f t="shared" si="726"/>
        <v>0.17703193594229835</v>
      </c>
      <c r="AA74" s="39">
        <f t="shared" ref="AA74" si="727">+AA53/AA148</f>
        <v>0.12705820880168686</v>
      </c>
      <c r="AB74" s="40">
        <f t="shared" si="726"/>
        <v>0.13502070842777303</v>
      </c>
      <c r="AC74" s="40">
        <f t="shared" si="726"/>
        <v>0.14584945683584336</v>
      </c>
      <c r="AD74" s="40">
        <f t="shared" si="726"/>
        <v>0.15050021476278735</v>
      </c>
      <c r="AE74" s="40">
        <f t="shared" si="726"/>
        <v>0.16443150503039136</v>
      </c>
      <c r="AF74" s="39"/>
      <c r="AG74" s="39"/>
      <c r="AH74" s="39"/>
      <c r="AI74" s="39"/>
      <c r="AJ74" s="39"/>
      <c r="AK74" s="39"/>
      <c r="AL74" s="39">
        <f t="shared" ref="AL74:BQ74" si="728">+SUM(AI53:AL53)/AL148</f>
        <v>-1.6828972555983587E-2</v>
      </c>
      <c r="AM74" s="39">
        <f t="shared" si="728"/>
        <v>-1.3836828475958584E-2</v>
      </c>
      <c r="AN74" s="39">
        <f t="shared" si="728"/>
        <v>-1.2634505182305456E-2</v>
      </c>
      <c r="AO74" s="39">
        <f t="shared" si="728"/>
        <v>-2.2052880755578904E-3</v>
      </c>
      <c r="AP74" s="39">
        <f t="shared" si="728"/>
        <v>4.5432138218588436E-2</v>
      </c>
      <c r="AQ74" s="39">
        <f t="shared" si="728"/>
        <v>7.5754756801190065E-2</v>
      </c>
      <c r="AR74" s="39">
        <f t="shared" si="728"/>
        <v>8.6291133768548758E-2</v>
      </c>
      <c r="AS74" s="39">
        <f t="shared" si="728"/>
        <v>9.9890855176204385E-2</v>
      </c>
      <c r="AT74" s="39">
        <f t="shared" si="728"/>
        <v>8.0188914547986781E-2</v>
      </c>
      <c r="AU74" s="39">
        <f t="shared" si="728"/>
        <v>8.0869156395875053E-2</v>
      </c>
      <c r="AV74" s="39">
        <f t="shared" si="728"/>
        <v>8.3066551074474623E-2</v>
      </c>
      <c r="AW74" s="39">
        <f t="shared" si="728"/>
        <v>8.9907007430593919E-2</v>
      </c>
      <c r="AX74" s="39">
        <f t="shared" si="728"/>
        <v>0.10895243682251178</v>
      </c>
      <c r="AY74" s="39">
        <f t="shared" si="728"/>
        <v>0.11124783957341672</v>
      </c>
      <c r="AZ74" s="39">
        <f t="shared" si="728"/>
        <v>0.10547854785478551</v>
      </c>
      <c r="BA74" s="39">
        <f t="shared" si="728"/>
        <v>9.4432759726296056E-2</v>
      </c>
      <c r="BB74" s="39">
        <f t="shared" si="728"/>
        <v>6.316827994241643E-2</v>
      </c>
      <c r="BC74" s="39">
        <f t="shared" si="728"/>
        <v>5.9273817325072573E-2</v>
      </c>
      <c r="BD74" s="39">
        <f t="shared" si="728"/>
        <v>6.9218415056758603E-2</v>
      </c>
      <c r="BE74" s="39">
        <f t="shared" si="728"/>
        <v>5.7535183920295108E-2</v>
      </c>
      <c r="BF74" s="39">
        <f t="shared" si="728"/>
        <v>5.8508060065363549E-2</v>
      </c>
      <c r="BG74" s="39">
        <f t="shared" si="728"/>
        <v>5.0196242635402226E-2</v>
      </c>
      <c r="BH74" s="39">
        <f t="shared" si="728"/>
        <v>5.2138885477228475E-2</v>
      </c>
      <c r="BI74" s="39">
        <f t="shared" si="728"/>
        <v>5.9430729686805316E-2</v>
      </c>
      <c r="BJ74" s="39">
        <f t="shared" si="728"/>
        <v>4.4528595836127331E-2</v>
      </c>
      <c r="BK74" s="39">
        <f t="shared" si="728"/>
        <v>7.4505965715542272E-2</v>
      </c>
      <c r="BL74" s="39">
        <f t="shared" si="728"/>
        <v>4.8543687650765006E-2</v>
      </c>
      <c r="BM74" s="39">
        <f t="shared" si="728"/>
        <v>5.4991817662603609E-2</v>
      </c>
      <c r="BN74" s="39">
        <f t="shared" si="728"/>
        <v>4.5520199291062158E-2</v>
      </c>
      <c r="BO74" s="39">
        <f t="shared" si="728"/>
        <v>2.2180258136434702E-2</v>
      </c>
      <c r="BP74" s="39">
        <f t="shared" si="728"/>
        <v>6.231300148653339E-2</v>
      </c>
      <c r="BQ74" s="39">
        <f t="shared" si="728"/>
        <v>6.4975110511309248E-2</v>
      </c>
      <c r="BR74" s="39">
        <f t="shared" ref="BR74:CW74" si="729">+SUM(BO53:BR53)/BR148</f>
        <v>8.3433258749826586E-2</v>
      </c>
      <c r="BS74" s="39">
        <f t="shared" si="729"/>
        <v>8.714996742504684E-2</v>
      </c>
      <c r="BT74" s="39">
        <f t="shared" si="729"/>
        <v>4.388772459691849E-2</v>
      </c>
      <c r="BU74" s="39">
        <f t="shared" si="729"/>
        <v>4.6356008567172161E-2</v>
      </c>
      <c r="BV74" s="39">
        <f t="shared" si="729"/>
        <v>9.9210478595869123E-2</v>
      </c>
      <c r="BW74" s="39">
        <f t="shared" si="729"/>
        <v>0.14840607877975034</v>
      </c>
      <c r="BX74" s="39">
        <f t="shared" si="729"/>
        <v>0.15094770792054787</v>
      </c>
      <c r="BY74" s="39">
        <f t="shared" si="729"/>
        <v>0.14581742684361054</v>
      </c>
      <c r="BZ74" s="39">
        <f t="shared" si="729"/>
        <v>9.3458949410704956E-2</v>
      </c>
      <c r="CA74" s="39">
        <f t="shared" si="729"/>
        <v>5.4606091228604589E-2</v>
      </c>
      <c r="CB74" s="39">
        <f t="shared" si="729"/>
        <v>0.11645700549029334</v>
      </c>
      <c r="CC74" s="39">
        <f t="shared" si="729"/>
        <v>0.15213345728281619</v>
      </c>
      <c r="CD74" s="39">
        <f t="shared" si="729"/>
        <v>0.18362142983888669</v>
      </c>
      <c r="CE74" s="39">
        <f t="shared" si="729"/>
        <v>0.20693708176245071</v>
      </c>
      <c r="CF74" s="39">
        <f t="shared" si="729"/>
        <v>0.1773000844346499</v>
      </c>
      <c r="CG74" s="39">
        <f t="shared" si="729"/>
        <v>0.17392637214495674</v>
      </c>
      <c r="CH74" s="39">
        <f t="shared" si="729"/>
        <v>0.17703193594229838</v>
      </c>
      <c r="CI74" s="39">
        <f t="shared" si="729"/>
        <v>0.16494642999075385</v>
      </c>
      <c r="CJ74" s="39">
        <f t="shared" si="729"/>
        <v>0.15092979513740029</v>
      </c>
      <c r="CK74" s="39">
        <f t="shared" si="729"/>
        <v>0.14065019741724286</v>
      </c>
      <c r="CL74" s="39">
        <f t="shared" si="729"/>
        <v>0.12705820880168686</v>
      </c>
      <c r="CM74" s="40">
        <f t="shared" si="729"/>
        <v>0.12386966141567381</v>
      </c>
      <c r="CN74" s="40">
        <f t="shared" si="729"/>
        <v>0.12199829593501223</v>
      </c>
      <c r="CO74" s="40">
        <f t="shared" si="729"/>
        <v>0.12622254365178132</v>
      </c>
      <c r="CP74" s="40">
        <f t="shared" si="729"/>
        <v>0.13502070842777306</v>
      </c>
      <c r="CQ74" s="40">
        <f t="shared" si="729"/>
        <v>0.13370162619211012</v>
      </c>
      <c r="CR74" s="40">
        <f t="shared" si="729"/>
        <v>0.13677531132883441</v>
      </c>
      <c r="CS74" s="40">
        <f t="shared" si="729"/>
        <v>0.14182071630588156</v>
      </c>
      <c r="CT74" s="40">
        <f t="shared" si="729"/>
        <v>0.14584945683584336</v>
      </c>
      <c r="CU74" s="40">
        <f t="shared" si="729"/>
        <v>0.14656532202784281</v>
      </c>
      <c r="CV74" s="40">
        <f t="shared" si="729"/>
        <v>0.14673338500997693</v>
      </c>
      <c r="CW74" s="40">
        <f t="shared" si="729"/>
        <v>0.14839611976763203</v>
      </c>
      <c r="CX74" s="40">
        <f t="shared" ref="CX74:DB74" si="730">+SUM(CU53:CX53)/CX148</f>
        <v>0.15050021476278738</v>
      </c>
      <c r="CY74" s="40">
        <f t="shared" si="730"/>
        <v>0.15290559438496781</v>
      </c>
      <c r="CZ74" s="40">
        <f t="shared" si="730"/>
        <v>0.15705470274149624</v>
      </c>
      <c r="DA74" s="40">
        <f t="shared" si="730"/>
        <v>0.15974744706758726</v>
      </c>
      <c r="DB74" s="40">
        <f t="shared" si="730"/>
        <v>0.16443150503039133</v>
      </c>
      <c r="DE74" s="122"/>
      <c r="DF74" s="38" t="e">
        <v>#DIV/0!</v>
      </c>
    </row>
    <row r="75" spans="1:110" s="1" customFormat="1" x14ac:dyDescent="0.2">
      <c r="A75" s="150" t="s">
        <v>488</v>
      </c>
      <c r="AB75" s="20"/>
      <c r="AC75" s="20"/>
      <c r="AD75" s="20"/>
      <c r="AE75" s="20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E75" s="119"/>
    </row>
    <row r="76" spans="1:110" s="8" customFormat="1" x14ac:dyDescent="0.2">
      <c r="A76" s="12" t="s">
        <v>26</v>
      </c>
      <c r="AB76" s="58"/>
      <c r="AC76" s="58"/>
      <c r="AD76" s="58"/>
      <c r="AE76" s="58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E76" s="132"/>
    </row>
    <row r="77" spans="1:110" s="9" customFormat="1" x14ac:dyDescent="0.2">
      <c r="A77" s="9" t="s">
        <v>453</v>
      </c>
      <c r="N77" s="9">
        <f>N29-SUM(AI29:AL29)</f>
        <v>483.6299999999992</v>
      </c>
      <c r="O77" s="9">
        <f>O29-SUM(AM29:AP29)</f>
        <v>349.57999999999993</v>
      </c>
      <c r="P77" s="9">
        <f>P29-SUM(AQ29:AT29)</f>
        <v>26.249999999996362</v>
      </c>
      <c r="Q77" s="9">
        <f>Q29-SUM(AU29:AX29)</f>
        <v>0</v>
      </c>
      <c r="R77" s="9">
        <f>R29-SUM(AY29:BB29)</f>
        <v>-130.76000000000204</v>
      </c>
      <c r="S77" s="9">
        <f>S29-SUM(BC29:BF29)</f>
        <v>-223.79999999999927</v>
      </c>
      <c r="T77" s="9">
        <f>T29-SUM(BG29:BJ29)</f>
        <v>-76.479999999999563</v>
      </c>
      <c r="U77" s="9">
        <f>U29-SUM(BK29:BN29)</f>
        <v>0</v>
      </c>
      <c r="V77" s="9">
        <f>V29-SUM(BO29:BR29)</f>
        <v>0</v>
      </c>
      <c r="W77" s="9">
        <f>W29-SUM(BS29:BV29)</f>
        <v>0</v>
      </c>
      <c r="X77" s="9">
        <f>X29-SUM(BW29:BZ29)</f>
        <v>0</v>
      </c>
      <c r="Y77" s="9">
        <f>Y29-SUM(CA29:CD29)</f>
        <v>0</v>
      </c>
      <c r="Z77" s="9">
        <f>Z29-SUM(CE29:CH29)</f>
        <v>0</v>
      </c>
      <c r="AA77" s="9">
        <f>AA29-SUM(CF29:CI29)</f>
        <v>-1116.0900000000038</v>
      </c>
      <c r="AB77" s="15">
        <f>AB29-SUM(CM29:CP29)</f>
        <v>0</v>
      </c>
      <c r="AC77" s="15">
        <f>AC29-SUM(CQ29:CT29)</f>
        <v>0</v>
      </c>
      <c r="AD77" s="15">
        <f>AD29-SUM(CU29:CX29)</f>
        <v>0</v>
      </c>
      <c r="AE77" s="15">
        <f>AE29-SUM(CY29:DB29)</f>
        <v>0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0</v>
      </c>
    </row>
    <row r="78" spans="1:110" s="9" customFormat="1" x14ac:dyDescent="0.2">
      <c r="A78" s="9" t="s">
        <v>454</v>
      </c>
      <c r="N78" s="9">
        <f>N35-SUM(AI35:AL35)</f>
        <v>483.6299999999992</v>
      </c>
      <c r="O78" s="9">
        <f>O35-SUM(AM35:AP35)</f>
        <v>678.59999999999854</v>
      </c>
      <c r="P78" s="9">
        <f>P35-SUM(AQ35:AT35)</f>
        <v>316.84999999999854</v>
      </c>
      <c r="Q78" s="9">
        <f>Q35-SUM(AU35:AX35)</f>
        <v>189.54999999999563</v>
      </c>
      <c r="R78" s="9">
        <f>R35-SUM(AY35:BB35)</f>
        <v>84.919999999998254</v>
      </c>
      <c r="S78" s="9">
        <f>S35-SUM(BC35:BF35)</f>
        <v>114.12999999999738</v>
      </c>
      <c r="T78" s="9">
        <f>T35-SUM(BG35:BJ35)</f>
        <v>733.43000000000029</v>
      </c>
      <c r="U78" s="9">
        <f>U35-SUM(BK35:BN35)</f>
        <v>467.10000000000218</v>
      </c>
      <c r="V78" s="9">
        <f>V35-SUM(BO35:BR35)</f>
        <v>365.29999999999927</v>
      </c>
      <c r="W78" s="9">
        <f>W35-SUM(BS35:BV35)</f>
        <v>545.55999999999767</v>
      </c>
      <c r="X78" s="9">
        <f>X35-SUM(BW35:BZ35)</f>
        <v>214.13999999999942</v>
      </c>
      <c r="Y78" s="9">
        <f>Y35-SUM(CA35:CD35)</f>
        <v>222.26000000000204</v>
      </c>
      <c r="Z78" s="9">
        <f>Z35-SUM(CE35:CH35)</f>
        <v>356.98999999999069</v>
      </c>
      <c r="AA78" s="9">
        <f>AA35-SUM(CF35:CI35)</f>
        <v>-760.20999999999913</v>
      </c>
      <c r="AB78" s="15">
        <f>AB35-SUM(CM35:CP35)</f>
        <v>0</v>
      </c>
      <c r="AC78" s="15">
        <f>AC35-SUM(CQ35:CT35)</f>
        <v>0</v>
      </c>
      <c r="AD78" s="15">
        <f>AD35-SUM(CU35:CX35)</f>
        <v>0</v>
      </c>
      <c r="AE78" s="15">
        <f>AE35-SUM(CY35:DB35)</f>
        <v>0</v>
      </c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E78" s="133"/>
      <c r="DF78" s="9">
        <v>0</v>
      </c>
    </row>
    <row r="79" spans="1:110" s="9" customFormat="1" x14ac:dyDescent="0.2">
      <c r="A79" s="9" t="s">
        <v>455</v>
      </c>
      <c r="N79" s="9">
        <f>N47-SUM(AI47:AL47)</f>
        <v>374.99999999999932</v>
      </c>
      <c r="O79" s="9">
        <f>O47-SUM(AM47:AP47)</f>
        <v>270.79000000000087</v>
      </c>
      <c r="P79" s="9">
        <f>P47-SUM(AQ47:AT47)</f>
        <v>-0.86000000000331056</v>
      </c>
      <c r="Q79" s="9">
        <f>Q47-SUM(AU47:AX47)</f>
        <v>0</v>
      </c>
      <c r="R79" s="9">
        <f>R47-SUM(AY47:BB47)</f>
        <v>0</v>
      </c>
      <c r="S79" s="9">
        <f>S47-SUM(BC47:BF47)</f>
        <v>-223.80000000000109</v>
      </c>
      <c r="T79" s="9">
        <f>T47-SUM(BG47:BJ47)</f>
        <v>-76.480000000002292</v>
      </c>
      <c r="U79" s="9">
        <f>U47-SUM(BK47:BN47)</f>
        <v>0</v>
      </c>
      <c r="V79" s="9">
        <f>V47-SUM(BO47:BR47)</f>
        <v>0</v>
      </c>
      <c r="W79" s="9">
        <f>W47-SUM(BS47:BV47)</f>
        <v>0</v>
      </c>
      <c r="X79" s="9">
        <f>X47-SUM(BW47:BZ47)</f>
        <v>0</v>
      </c>
      <c r="Y79" s="9">
        <f>Y47-SUM(CA47:CD47)</f>
        <v>0</v>
      </c>
      <c r="Z79" s="9">
        <f>Z47-SUM(CE47:CH47)</f>
        <v>0</v>
      </c>
      <c r="AA79" s="9">
        <f>AA47-SUM(CF47:CI47)</f>
        <v>-990.29999999999563</v>
      </c>
      <c r="AB79" s="15">
        <f>AB47-SUM(CM47:CP47)</f>
        <v>0</v>
      </c>
      <c r="AC79" s="15">
        <f>AC47-SUM(CQ47:CT47)</f>
        <v>0</v>
      </c>
      <c r="AD79" s="15">
        <f>AD47-SUM(CU47:CX47)</f>
        <v>0</v>
      </c>
      <c r="AE79" s="15">
        <f>AE47-SUM(CY47:DB47)</f>
        <v>0</v>
      </c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E79" s="133"/>
      <c r="DF79" s="9">
        <v>0</v>
      </c>
    </row>
    <row r="80" spans="1:110" s="9" customFormat="1" x14ac:dyDescent="0.2">
      <c r="A80" s="9" t="s">
        <v>456</v>
      </c>
      <c r="N80" s="9">
        <f>N67-SUM(AI67:AL67)</f>
        <v>-19.760000000000218</v>
      </c>
      <c r="O80" s="9">
        <f>O67-SUM(AM67:AP67)</f>
        <v>-4.0799999999989041</v>
      </c>
      <c r="P80" s="9">
        <f>P67-SUM(AQ67:AT67)</f>
        <v>-3.0695446184836328E-12</v>
      </c>
      <c r="Q80" s="9">
        <f>Q67-SUM(AU67:AX67)</f>
        <v>-2.3874235921539366E-12</v>
      </c>
      <c r="R80" s="9">
        <f>R67-SUM(AY67:BB67)</f>
        <v>0</v>
      </c>
      <c r="S80" s="9">
        <f>S67-SUM(BC67:BF67)</f>
        <v>0</v>
      </c>
      <c r="T80" s="9">
        <f>T67-SUM(BG67:BJ67)</f>
        <v>-1.8189894035458565E-12</v>
      </c>
      <c r="U80" s="9">
        <f>U67-SUM(BK67:BN67)</f>
        <v>0</v>
      </c>
      <c r="V80" s="9">
        <f>V67-SUM(BO67:BR67)</f>
        <v>0</v>
      </c>
      <c r="W80" s="9">
        <f>W60-SUM(BS60:BV60)</f>
        <v>0</v>
      </c>
      <c r="X80" s="9">
        <f>X60-SUM(BW60:BZ60)</f>
        <v>0</v>
      </c>
      <c r="Y80" s="9">
        <f>Y60-SUM(CA60:CD60)</f>
        <v>0</v>
      </c>
      <c r="Z80" s="9">
        <f>Z60-SUM(CE60:CH60)</f>
        <v>0</v>
      </c>
      <c r="AA80" s="9">
        <f>AA60-SUM(CF60:CI60)</f>
        <v>829.13000000000102</v>
      </c>
      <c r="AB80" s="15">
        <f>AB60-SUM(CM60:CP60)</f>
        <v>0</v>
      </c>
      <c r="AC80" s="15">
        <f>AC60-SUM(CQ60:CT60)</f>
        <v>0</v>
      </c>
      <c r="AD80" s="15">
        <f>AD60-SUM(CU60:CX60)</f>
        <v>0</v>
      </c>
      <c r="AE80" s="15">
        <f>AE60-SUM(CY60:DB60)</f>
        <v>0</v>
      </c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E80" s="133"/>
      <c r="DF80" s="9">
        <v>0</v>
      </c>
    </row>
    <row r="81" spans="1:110" s="8" customFormat="1" x14ac:dyDescent="0.2">
      <c r="A81" s="149" t="s">
        <v>489</v>
      </c>
      <c r="AB81" s="58"/>
      <c r="AC81" s="58"/>
      <c r="AD81" s="58"/>
      <c r="AE81" s="58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E81" s="132"/>
    </row>
    <row r="82" spans="1:110" s="3" customFormat="1" x14ac:dyDescent="0.2">
      <c r="A82" s="3" t="s">
        <v>27</v>
      </c>
      <c r="B82" s="3">
        <f>'Annual Raw'!C104</f>
        <v>0</v>
      </c>
      <c r="C82" s="3">
        <f>'Annual Raw'!D104</f>
        <v>0</v>
      </c>
      <c r="D82" s="3">
        <f>'Annual Raw'!E104</f>
        <v>0</v>
      </c>
      <c r="E82" s="3">
        <f t="shared" ref="E82:Y82" si="731">+F82</f>
        <v>3856.94</v>
      </c>
      <c r="F82" s="3">
        <f t="shared" si="731"/>
        <v>3856.94</v>
      </c>
      <c r="G82" s="3">
        <f t="shared" si="731"/>
        <v>3856.94</v>
      </c>
      <c r="H82" s="3">
        <f t="shared" si="731"/>
        <v>3856.94</v>
      </c>
      <c r="I82" s="3">
        <f t="shared" si="731"/>
        <v>3856.94</v>
      </c>
      <c r="J82" s="3">
        <f t="shared" si="731"/>
        <v>3856.94</v>
      </c>
      <c r="K82" s="3">
        <f t="shared" si="731"/>
        <v>3856.94</v>
      </c>
      <c r="L82" s="3">
        <f t="shared" si="731"/>
        <v>3856.94</v>
      </c>
      <c r="M82" s="3">
        <f t="shared" si="731"/>
        <v>3856.94</v>
      </c>
      <c r="N82" s="3">
        <f t="shared" si="731"/>
        <v>3856.94</v>
      </c>
      <c r="O82" s="3">
        <f t="shared" si="731"/>
        <v>3856.94</v>
      </c>
      <c r="P82" s="3">
        <f t="shared" si="731"/>
        <v>3856.94</v>
      </c>
      <c r="Q82" s="3">
        <f t="shared" si="731"/>
        <v>3856.94</v>
      </c>
      <c r="R82" s="3">
        <f t="shared" si="731"/>
        <v>3856.94</v>
      </c>
      <c r="S82" s="3">
        <f t="shared" si="731"/>
        <v>3856.94</v>
      </c>
      <c r="T82" s="3">
        <f t="shared" si="731"/>
        <v>3856.94</v>
      </c>
      <c r="U82" s="3">
        <f t="shared" si="731"/>
        <v>3856.94</v>
      </c>
      <c r="V82" s="3">
        <f t="shared" si="731"/>
        <v>3856.94</v>
      </c>
      <c r="W82" s="3">
        <f t="shared" si="731"/>
        <v>3856.94</v>
      </c>
      <c r="X82" s="3">
        <f t="shared" si="731"/>
        <v>3856.94</v>
      </c>
      <c r="Y82" s="3">
        <f t="shared" si="731"/>
        <v>3856.94</v>
      </c>
      <c r="Z82" s="3">
        <f>+AA82</f>
        <v>3856.94</v>
      </c>
      <c r="AA82" s="3">
        <f>+AB82</f>
        <v>3856.94</v>
      </c>
      <c r="AB82" s="37">
        <f>+CP82</f>
        <v>3856.94</v>
      </c>
      <c r="AC82" s="37">
        <f>+CT82</f>
        <v>3856.94</v>
      </c>
      <c r="AD82" s="37">
        <f>CX82</f>
        <v>3856.94</v>
      </c>
      <c r="AE82" s="37">
        <f>DB82</f>
        <v>3856.94</v>
      </c>
      <c r="AI82" s="3">
        <f t="shared" ref="AI82:CH82" si="732">+AJ82</f>
        <v>3856.94</v>
      </c>
      <c r="AJ82" s="3">
        <f t="shared" si="732"/>
        <v>3856.94</v>
      </c>
      <c r="AK82" s="3">
        <f t="shared" si="732"/>
        <v>3856.94</v>
      </c>
      <c r="AL82" s="3">
        <f t="shared" si="732"/>
        <v>3856.94</v>
      </c>
      <c r="AM82" s="3">
        <f t="shared" si="732"/>
        <v>3856.94</v>
      </c>
      <c r="AN82" s="3">
        <f t="shared" si="732"/>
        <v>3856.94</v>
      </c>
      <c r="AO82" s="3">
        <f t="shared" si="732"/>
        <v>3856.94</v>
      </c>
      <c r="AP82" s="3">
        <f t="shared" si="732"/>
        <v>3856.94</v>
      </c>
      <c r="AQ82" s="3">
        <f t="shared" si="732"/>
        <v>3856.94</v>
      </c>
      <c r="AR82" s="3">
        <f t="shared" si="732"/>
        <v>3856.94</v>
      </c>
      <c r="AS82" s="3">
        <f t="shared" si="732"/>
        <v>3856.94</v>
      </c>
      <c r="AT82" s="3">
        <f t="shared" si="732"/>
        <v>3856.94</v>
      </c>
      <c r="AU82" s="3">
        <f t="shared" si="732"/>
        <v>3856.94</v>
      </c>
      <c r="AV82" s="3">
        <f t="shared" si="732"/>
        <v>3856.94</v>
      </c>
      <c r="AW82" s="3">
        <f t="shared" si="732"/>
        <v>3856.94</v>
      </c>
      <c r="AX82" s="3">
        <f t="shared" si="732"/>
        <v>3856.94</v>
      </c>
      <c r="AY82" s="3">
        <f t="shared" si="732"/>
        <v>3856.94</v>
      </c>
      <c r="AZ82" s="3">
        <f t="shared" si="732"/>
        <v>3856.94</v>
      </c>
      <c r="BA82" s="3">
        <f t="shared" si="732"/>
        <v>3856.94</v>
      </c>
      <c r="BB82" s="3">
        <f t="shared" si="732"/>
        <v>3856.94</v>
      </c>
      <c r="BC82" s="3">
        <f t="shared" si="732"/>
        <v>3856.94</v>
      </c>
      <c r="BD82" s="3">
        <f t="shared" si="732"/>
        <v>3856.94</v>
      </c>
      <c r="BE82" s="3">
        <f t="shared" si="732"/>
        <v>3856.94</v>
      </c>
      <c r="BF82" s="3">
        <f t="shared" si="732"/>
        <v>3856.94</v>
      </c>
      <c r="BG82" s="3">
        <f t="shared" si="732"/>
        <v>3856.94</v>
      </c>
      <c r="BH82" s="3">
        <f t="shared" si="732"/>
        <v>3856.94</v>
      </c>
      <c r="BI82" s="3">
        <f t="shared" si="732"/>
        <v>3856.94</v>
      </c>
      <c r="BJ82" s="3">
        <f t="shared" si="732"/>
        <v>3856.94</v>
      </c>
      <c r="BK82" s="3">
        <f t="shared" si="732"/>
        <v>3856.94</v>
      </c>
      <c r="BL82" s="3">
        <f t="shared" si="732"/>
        <v>3856.94</v>
      </c>
      <c r="BM82" s="3">
        <f t="shared" si="732"/>
        <v>3856.94</v>
      </c>
      <c r="BN82" s="3">
        <f t="shared" si="732"/>
        <v>3856.94</v>
      </c>
      <c r="BO82" s="3">
        <f t="shared" si="732"/>
        <v>3856.94</v>
      </c>
      <c r="BP82" s="3">
        <f t="shared" si="732"/>
        <v>3856.94</v>
      </c>
      <c r="BQ82" s="3">
        <f t="shared" si="732"/>
        <v>3856.94</v>
      </c>
      <c r="BR82" s="3">
        <f t="shared" si="732"/>
        <v>3856.94</v>
      </c>
      <c r="BS82" s="3">
        <f t="shared" si="732"/>
        <v>3856.94</v>
      </c>
      <c r="BT82" s="3">
        <f t="shared" si="732"/>
        <v>3856.94</v>
      </c>
      <c r="BU82" s="3">
        <f t="shared" si="732"/>
        <v>3856.94</v>
      </c>
      <c r="BV82" s="3">
        <f t="shared" si="732"/>
        <v>3856.94</v>
      </c>
      <c r="BW82" s="3">
        <f t="shared" si="732"/>
        <v>3856.94</v>
      </c>
      <c r="BX82" s="3">
        <f t="shared" si="732"/>
        <v>3856.94</v>
      </c>
      <c r="BY82" s="3">
        <f t="shared" si="732"/>
        <v>3856.94</v>
      </c>
      <c r="BZ82" s="3">
        <f t="shared" si="732"/>
        <v>3856.94</v>
      </c>
      <c r="CA82" s="3">
        <f t="shared" si="732"/>
        <v>3856.94</v>
      </c>
      <c r="CB82" s="3">
        <f t="shared" si="732"/>
        <v>3856.94</v>
      </c>
      <c r="CC82" s="3">
        <f t="shared" si="732"/>
        <v>3856.94</v>
      </c>
      <c r="CD82" s="3">
        <f t="shared" si="732"/>
        <v>3856.94</v>
      </c>
      <c r="CE82" s="3">
        <f t="shared" si="732"/>
        <v>3856.94</v>
      </c>
      <c r="CF82" s="3">
        <f t="shared" si="732"/>
        <v>3856.94</v>
      </c>
      <c r="CG82" s="3">
        <f t="shared" si="732"/>
        <v>3856.94</v>
      </c>
      <c r="CH82" s="3">
        <f t="shared" si="732"/>
        <v>3856.94</v>
      </c>
      <c r="CI82" s="3">
        <f>+CJ82</f>
        <v>3856.94</v>
      </c>
      <c r="CJ82" s="3">
        <f>'QTR Raw'!BD45</f>
        <v>3856.94</v>
      </c>
      <c r="CK82" s="3">
        <f>'QTR Raw'!BE45</f>
        <v>3856.94</v>
      </c>
      <c r="CL82" s="3">
        <f>'QTR Raw'!BF45</f>
        <v>3856.94</v>
      </c>
      <c r="CM82" s="37">
        <f t="shared" ref="CM82:CM83" si="733">+CL82</f>
        <v>3856.94</v>
      </c>
      <c r="CN82" s="37">
        <f t="shared" ref="CN82:CN83" si="734">+CM82</f>
        <v>3856.94</v>
      </c>
      <c r="CO82" s="37">
        <f t="shared" ref="CO82:CO83" si="735">+CN82</f>
        <v>3856.94</v>
      </c>
      <c r="CP82" s="37">
        <f t="shared" ref="CP82:CP83" si="736">+CO82</f>
        <v>3856.94</v>
      </c>
      <c r="CQ82" s="37">
        <f t="shared" ref="CQ82:CQ83" si="737">+CP82</f>
        <v>3856.94</v>
      </c>
      <c r="CR82" s="37">
        <f t="shared" ref="CR82:CR83" si="738">+CQ82</f>
        <v>3856.94</v>
      </c>
      <c r="CS82" s="37">
        <f t="shared" ref="CS82:CS83" si="739">+CR82</f>
        <v>3856.94</v>
      </c>
      <c r="CT82" s="37">
        <f t="shared" ref="CT82:CT83" si="740">+CS82</f>
        <v>3856.94</v>
      </c>
      <c r="CU82" s="37">
        <f t="shared" ref="CU82:CU83" si="741">+CT82</f>
        <v>3856.94</v>
      </c>
      <c r="CV82" s="37">
        <f t="shared" ref="CV82:CV83" si="742">+CU82</f>
        <v>3856.94</v>
      </c>
      <c r="CW82" s="37">
        <f t="shared" ref="CW82:CW83" si="743">+CV82</f>
        <v>3856.94</v>
      </c>
      <c r="CX82" s="37">
        <f t="shared" ref="CX82:CX83" si="744">+CW82</f>
        <v>3856.94</v>
      </c>
      <c r="CY82" s="37">
        <f t="shared" ref="CY82:CY83" si="745">+CX82</f>
        <v>3856.94</v>
      </c>
      <c r="CZ82" s="37">
        <f t="shared" ref="CZ82:CZ83" si="746">+CY82</f>
        <v>3856.94</v>
      </c>
      <c r="DA82" s="37">
        <f t="shared" ref="DA82:DA83" si="747">+CZ82</f>
        <v>3856.94</v>
      </c>
      <c r="DB82" s="37">
        <f t="shared" ref="DB82:DB83" si="748">+DA82</f>
        <v>3856.94</v>
      </c>
      <c r="DE82" s="134"/>
      <c r="DF82" s="3">
        <v>0</v>
      </c>
    </row>
    <row r="83" spans="1:110" s="3" customFormat="1" x14ac:dyDescent="0.2">
      <c r="A83" s="3" t="s">
        <v>28</v>
      </c>
      <c r="B83" s="3">
        <f>'Annual Raw'!C105</f>
        <v>0</v>
      </c>
      <c r="C83" s="3">
        <f>'Annual Raw'!D105</f>
        <v>0</v>
      </c>
      <c r="D83" s="3">
        <f>'Annual Raw'!E105</f>
        <v>0</v>
      </c>
      <c r="E83" s="3">
        <f t="shared" ref="E83:Y83" si="749">+F83</f>
        <v>2</v>
      </c>
      <c r="F83" s="3">
        <f t="shared" si="749"/>
        <v>2</v>
      </c>
      <c r="G83" s="3">
        <f t="shared" si="749"/>
        <v>2</v>
      </c>
      <c r="H83" s="3">
        <f t="shared" si="749"/>
        <v>2</v>
      </c>
      <c r="I83" s="3">
        <f t="shared" si="749"/>
        <v>2</v>
      </c>
      <c r="J83" s="3">
        <f t="shared" si="749"/>
        <v>2</v>
      </c>
      <c r="K83" s="3">
        <f t="shared" si="749"/>
        <v>2</v>
      </c>
      <c r="L83" s="3">
        <f t="shared" si="749"/>
        <v>2</v>
      </c>
      <c r="M83" s="3">
        <f t="shared" si="749"/>
        <v>2</v>
      </c>
      <c r="N83" s="3">
        <f t="shared" si="749"/>
        <v>2</v>
      </c>
      <c r="O83" s="3">
        <f t="shared" si="749"/>
        <v>2</v>
      </c>
      <c r="P83" s="3">
        <f t="shared" si="749"/>
        <v>2</v>
      </c>
      <c r="Q83" s="3">
        <f t="shared" si="749"/>
        <v>2</v>
      </c>
      <c r="R83" s="3">
        <f t="shared" si="749"/>
        <v>2</v>
      </c>
      <c r="S83" s="3">
        <f t="shared" si="749"/>
        <v>2</v>
      </c>
      <c r="T83" s="3">
        <f t="shared" si="749"/>
        <v>2</v>
      </c>
      <c r="U83" s="3">
        <f t="shared" si="749"/>
        <v>2</v>
      </c>
      <c r="V83" s="3">
        <f t="shared" si="749"/>
        <v>2</v>
      </c>
      <c r="W83" s="3">
        <f t="shared" si="749"/>
        <v>2</v>
      </c>
      <c r="X83" s="3">
        <f t="shared" si="749"/>
        <v>2</v>
      </c>
      <c r="Y83" s="3">
        <f t="shared" si="749"/>
        <v>2</v>
      </c>
      <c r="Z83" s="3">
        <f>+AA83</f>
        <v>2</v>
      </c>
      <c r="AA83" s="3">
        <f>+AB83</f>
        <v>2</v>
      </c>
      <c r="AB83" s="37">
        <f>+CP83</f>
        <v>2</v>
      </c>
      <c r="AC83" s="37">
        <f>+CT83</f>
        <v>2</v>
      </c>
      <c r="AD83" s="37">
        <f>CX83</f>
        <v>2</v>
      </c>
      <c r="AE83" s="37">
        <f>DB83</f>
        <v>2</v>
      </c>
      <c r="AI83" s="3">
        <f t="shared" ref="AI83:CH83" si="750">AJ83</f>
        <v>2</v>
      </c>
      <c r="AJ83" s="3">
        <f t="shared" si="750"/>
        <v>2</v>
      </c>
      <c r="AK83" s="3">
        <f t="shared" si="750"/>
        <v>2</v>
      </c>
      <c r="AL83" s="3">
        <f t="shared" si="750"/>
        <v>2</v>
      </c>
      <c r="AM83" s="3">
        <f t="shared" si="750"/>
        <v>2</v>
      </c>
      <c r="AN83" s="3">
        <f t="shared" si="750"/>
        <v>2</v>
      </c>
      <c r="AO83" s="3">
        <f t="shared" si="750"/>
        <v>2</v>
      </c>
      <c r="AP83" s="3">
        <f t="shared" si="750"/>
        <v>2</v>
      </c>
      <c r="AQ83" s="3">
        <f t="shared" si="750"/>
        <v>2</v>
      </c>
      <c r="AR83" s="3">
        <f t="shared" si="750"/>
        <v>2</v>
      </c>
      <c r="AS83" s="3">
        <f t="shared" si="750"/>
        <v>2</v>
      </c>
      <c r="AT83" s="3">
        <f t="shared" si="750"/>
        <v>2</v>
      </c>
      <c r="AU83" s="3">
        <f t="shared" si="750"/>
        <v>2</v>
      </c>
      <c r="AV83" s="3">
        <f t="shared" si="750"/>
        <v>2</v>
      </c>
      <c r="AW83" s="3">
        <f t="shared" si="750"/>
        <v>2</v>
      </c>
      <c r="AX83" s="3">
        <f t="shared" si="750"/>
        <v>2</v>
      </c>
      <c r="AY83" s="3">
        <f t="shared" si="750"/>
        <v>2</v>
      </c>
      <c r="AZ83" s="3">
        <f t="shared" si="750"/>
        <v>2</v>
      </c>
      <c r="BA83" s="3">
        <f t="shared" si="750"/>
        <v>2</v>
      </c>
      <c r="BB83" s="3">
        <f t="shared" si="750"/>
        <v>2</v>
      </c>
      <c r="BC83" s="3">
        <f t="shared" si="750"/>
        <v>2</v>
      </c>
      <c r="BD83" s="3">
        <f t="shared" si="750"/>
        <v>2</v>
      </c>
      <c r="BE83" s="3">
        <f t="shared" si="750"/>
        <v>2</v>
      </c>
      <c r="BF83" s="3">
        <f t="shared" si="750"/>
        <v>2</v>
      </c>
      <c r="BG83" s="3">
        <f t="shared" si="750"/>
        <v>2</v>
      </c>
      <c r="BH83" s="3">
        <f t="shared" si="750"/>
        <v>2</v>
      </c>
      <c r="BI83" s="3">
        <f t="shared" si="750"/>
        <v>2</v>
      </c>
      <c r="BJ83" s="3">
        <f t="shared" si="750"/>
        <v>2</v>
      </c>
      <c r="BK83" s="3">
        <f t="shared" si="750"/>
        <v>2</v>
      </c>
      <c r="BL83" s="3">
        <f t="shared" si="750"/>
        <v>2</v>
      </c>
      <c r="BM83" s="3">
        <f t="shared" si="750"/>
        <v>2</v>
      </c>
      <c r="BN83" s="3">
        <f t="shared" si="750"/>
        <v>2</v>
      </c>
      <c r="BO83" s="3">
        <f t="shared" si="750"/>
        <v>2</v>
      </c>
      <c r="BP83" s="3">
        <f t="shared" si="750"/>
        <v>2</v>
      </c>
      <c r="BQ83" s="3">
        <f t="shared" si="750"/>
        <v>2</v>
      </c>
      <c r="BR83" s="3">
        <f t="shared" si="750"/>
        <v>2</v>
      </c>
      <c r="BS83" s="3">
        <f t="shared" si="750"/>
        <v>2</v>
      </c>
      <c r="BT83" s="3">
        <f t="shared" si="750"/>
        <v>2</v>
      </c>
      <c r="BU83" s="3">
        <f t="shared" si="750"/>
        <v>2</v>
      </c>
      <c r="BV83" s="3">
        <f t="shared" si="750"/>
        <v>2</v>
      </c>
      <c r="BW83" s="3">
        <f t="shared" si="750"/>
        <v>2</v>
      </c>
      <c r="BX83" s="3">
        <f t="shared" si="750"/>
        <v>2</v>
      </c>
      <c r="BY83" s="3">
        <f t="shared" si="750"/>
        <v>2</v>
      </c>
      <c r="BZ83" s="3">
        <f t="shared" si="750"/>
        <v>2</v>
      </c>
      <c r="CA83" s="3">
        <f t="shared" si="750"/>
        <v>2</v>
      </c>
      <c r="CB83" s="3">
        <f t="shared" si="750"/>
        <v>2</v>
      </c>
      <c r="CC83" s="3">
        <f t="shared" si="750"/>
        <v>2</v>
      </c>
      <c r="CD83" s="3">
        <f t="shared" si="750"/>
        <v>2</v>
      </c>
      <c r="CE83" s="3">
        <f t="shared" si="750"/>
        <v>2</v>
      </c>
      <c r="CF83" s="3">
        <f t="shared" si="750"/>
        <v>2</v>
      </c>
      <c r="CG83" s="3">
        <f t="shared" si="750"/>
        <v>2</v>
      </c>
      <c r="CH83" s="3">
        <f t="shared" si="750"/>
        <v>2</v>
      </c>
      <c r="CI83" s="3">
        <f>CJ83</f>
        <v>2</v>
      </c>
      <c r="CJ83" s="3">
        <f>'QTR Raw'!BD46</f>
        <v>2</v>
      </c>
      <c r="CK83" s="3">
        <f>'QTR Raw'!BE46</f>
        <v>2</v>
      </c>
      <c r="CL83" s="3">
        <f>'QTR Raw'!BF46</f>
        <v>2</v>
      </c>
      <c r="CM83" s="37">
        <f t="shared" si="733"/>
        <v>2</v>
      </c>
      <c r="CN83" s="37">
        <f t="shared" si="734"/>
        <v>2</v>
      </c>
      <c r="CO83" s="37">
        <f t="shared" si="735"/>
        <v>2</v>
      </c>
      <c r="CP83" s="37">
        <f t="shared" si="736"/>
        <v>2</v>
      </c>
      <c r="CQ83" s="37">
        <f t="shared" si="737"/>
        <v>2</v>
      </c>
      <c r="CR83" s="37">
        <f t="shared" si="738"/>
        <v>2</v>
      </c>
      <c r="CS83" s="37">
        <f t="shared" si="739"/>
        <v>2</v>
      </c>
      <c r="CT83" s="37">
        <f t="shared" si="740"/>
        <v>2</v>
      </c>
      <c r="CU83" s="37">
        <f t="shared" si="741"/>
        <v>2</v>
      </c>
      <c r="CV83" s="37">
        <f t="shared" si="742"/>
        <v>2</v>
      </c>
      <c r="CW83" s="37">
        <f t="shared" si="743"/>
        <v>2</v>
      </c>
      <c r="CX83" s="37">
        <f t="shared" si="744"/>
        <v>2</v>
      </c>
      <c r="CY83" s="37">
        <f t="shared" si="745"/>
        <v>2</v>
      </c>
      <c r="CZ83" s="37">
        <f t="shared" si="746"/>
        <v>2</v>
      </c>
      <c r="DA83" s="37">
        <f t="shared" si="747"/>
        <v>2</v>
      </c>
      <c r="DB83" s="37">
        <f t="shared" si="748"/>
        <v>2</v>
      </c>
      <c r="DE83" s="134"/>
      <c r="DF83" s="3">
        <v>0</v>
      </c>
    </row>
    <row r="84" spans="1:110" s="3" customFormat="1" x14ac:dyDescent="0.2">
      <c r="A84" s="3" t="s">
        <v>29</v>
      </c>
      <c r="B84" s="3" t="e">
        <f>B82/B83</f>
        <v>#DIV/0!</v>
      </c>
      <c r="C84" s="3" t="e">
        <f t="shared" ref="C84:W84" si="751">C82/C83</f>
        <v>#DIV/0!</v>
      </c>
      <c r="D84" s="3" t="e">
        <f t="shared" si="751"/>
        <v>#DIV/0!</v>
      </c>
      <c r="E84" s="3">
        <f t="shared" si="751"/>
        <v>1928.47</v>
      </c>
      <c r="F84" s="3">
        <f t="shared" si="751"/>
        <v>1928.47</v>
      </c>
      <c r="G84" s="3">
        <f t="shared" si="751"/>
        <v>1928.47</v>
      </c>
      <c r="H84" s="3">
        <f t="shared" si="751"/>
        <v>1928.47</v>
      </c>
      <c r="I84" s="3">
        <f t="shared" si="751"/>
        <v>1928.47</v>
      </c>
      <c r="J84" s="3">
        <f t="shared" si="751"/>
        <v>1928.47</v>
      </c>
      <c r="K84" s="3">
        <f t="shared" si="751"/>
        <v>1928.47</v>
      </c>
      <c r="L84" s="3">
        <f t="shared" si="751"/>
        <v>1928.47</v>
      </c>
      <c r="M84" s="3">
        <f t="shared" si="751"/>
        <v>1928.47</v>
      </c>
      <c r="N84" s="3">
        <f t="shared" si="751"/>
        <v>1928.47</v>
      </c>
      <c r="O84" s="3">
        <f t="shared" si="751"/>
        <v>1928.47</v>
      </c>
      <c r="P84" s="3">
        <f t="shared" si="751"/>
        <v>1928.47</v>
      </c>
      <c r="Q84" s="3">
        <f t="shared" si="751"/>
        <v>1928.47</v>
      </c>
      <c r="R84" s="3">
        <f t="shared" si="751"/>
        <v>1928.47</v>
      </c>
      <c r="S84" s="3">
        <f t="shared" si="751"/>
        <v>1928.47</v>
      </c>
      <c r="T84" s="3">
        <f t="shared" si="751"/>
        <v>1928.47</v>
      </c>
      <c r="U84" s="3">
        <f t="shared" si="751"/>
        <v>1928.47</v>
      </c>
      <c r="V84" s="3">
        <f>V82/V83</f>
        <v>1928.47</v>
      </c>
      <c r="W84" s="3">
        <f t="shared" si="751"/>
        <v>1928.47</v>
      </c>
      <c r="X84" s="3">
        <f t="shared" ref="X84:Y84" si="752">X82/X83</f>
        <v>1928.47</v>
      </c>
      <c r="Y84" s="3">
        <f t="shared" si="752"/>
        <v>1928.47</v>
      </c>
      <c r="Z84" s="3">
        <f t="shared" ref="Z84:AA84" si="753">Z82/Z83</f>
        <v>1928.47</v>
      </c>
      <c r="AA84" s="3">
        <f t="shared" ref="AA84" si="754">AA82/AA83</f>
        <v>1928.47</v>
      </c>
      <c r="AB84" s="37">
        <f t="shared" ref="AB84:AD84" si="755">AB82/AB83</f>
        <v>1928.47</v>
      </c>
      <c r="AC84" s="37">
        <f t="shared" si="755"/>
        <v>1928.47</v>
      </c>
      <c r="AD84" s="37">
        <f t="shared" si="755"/>
        <v>1928.47</v>
      </c>
      <c r="AE84" s="37">
        <f t="shared" ref="AE84" si="756">AE82/AE83</f>
        <v>1928.47</v>
      </c>
      <c r="AI84" s="3">
        <f t="shared" ref="AI84" si="757">AI82/AI83</f>
        <v>1928.47</v>
      </c>
      <c r="AJ84" s="3">
        <f t="shared" ref="AJ84" si="758">AJ82/AJ83</f>
        <v>1928.47</v>
      </c>
      <c r="AK84" s="3">
        <f t="shared" ref="AK84:AM84" si="759">AK82/AK83</f>
        <v>1928.47</v>
      </c>
      <c r="AL84" s="3">
        <f t="shared" si="759"/>
        <v>1928.47</v>
      </c>
      <c r="AM84" s="3">
        <f t="shared" si="759"/>
        <v>1928.47</v>
      </c>
      <c r="AN84" s="3">
        <f t="shared" ref="AN84:AO84" si="760">AN82/AN83</f>
        <v>1928.47</v>
      </c>
      <c r="AO84" s="3">
        <f t="shared" si="760"/>
        <v>1928.47</v>
      </c>
      <c r="AP84" s="3">
        <f t="shared" ref="AP84:CD84" si="761">AP82/AP83</f>
        <v>1928.47</v>
      </c>
      <c r="AQ84" s="3">
        <f t="shared" si="761"/>
        <v>1928.47</v>
      </c>
      <c r="AR84" s="3">
        <f t="shared" si="761"/>
        <v>1928.47</v>
      </c>
      <c r="AS84" s="3">
        <f t="shared" si="761"/>
        <v>1928.47</v>
      </c>
      <c r="AT84" s="3">
        <f t="shared" si="761"/>
        <v>1928.47</v>
      </c>
      <c r="AU84" s="3">
        <f t="shared" si="761"/>
        <v>1928.47</v>
      </c>
      <c r="AV84" s="3">
        <f t="shared" si="761"/>
        <v>1928.47</v>
      </c>
      <c r="AW84" s="3">
        <f t="shared" si="761"/>
        <v>1928.47</v>
      </c>
      <c r="AX84" s="3">
        <f t="shared" si="761"/>
        <v>1928.47</v>
      </c>
      <c r="AY84" s="3">
        <f t="shared" si="761"/>
        <v>1928.47</v>
      </c>
      <c r="AZ84" s="3">
        <f t="shared" si="761"/>
        <v>1928.47</v>
      </c>
      <c r="BA84" s="3">
        <f t="shared" si="761"/>
        <v>1928.47</v>
      </c>
      <c r="BB84" s="3">
        <f t="shared" si="761"/>
        <v>1928.47</v>
      </c>
      <c r="BC84" s="3">
        <f t="shared" si="761"/>
        <v>1928.47</v>
      </c>
      <c r="BD84" s="3">
        <f t="shared" si="761"/>
        <v>1928.47</v>
      </c>
      <c r="BE84" s="3">
        <f t="shared" si="761"/>
        <v>1928.47</v>
      </c>
      <c r="BF84" s="3">
        <f t="shared" si="761"/>
        <v>1928.47</v>
      </c>
      <c r="BG84" s="3">
        <f t="shared" si="761"/>
        <v>1928.47</v>
      </c>
      <c r="BH84" s="3">
        <f t="shared" si="761"/>
        <v>1928.47</v>
      </c>
      <c r="BI84" s="3">
        <f t="shared" si="761"/>
        <v>1928.47</v>
      </c>
      <c r="BJ84" s="3">
        <f t="shared" si="761"/>
        <v>1928.47</v>
      </c>
      <c r="BK84" s="3">
        <f t="shared" si="761"/>
        <v>1928.47</v>
      </c>
      <c r="BL84" s="3">
        <f t="shared" si="761"/>
        <v>1928.47</v>
      </c>
      <c r="BM84" s="3">
        <f t="shared" si="761"/>
        <v>1928.47</v>
      </c>
      <c r="BN84" s="3">
        <f t="shared" si="761"/>
        <v>1928.47</v>
      </c>
      <c r="BO84" s="3">
        <f t="shared" si="761"/>
        <v>1928.47</v>
      </c>
      <c r="BP84" s="3">
        <f t="shared" si="761"/>
        <v>1928.47</v>
      </c>
      <c r="BQ84" s="3">
        <f t="shared" si="761"/>
        <v>1928.47</v>
      </c>
      <c r="BR84" s="3">
        <f t="shared" si="761"/>
        <v>1928.47</v>
      </c>
      <c r="BS84" s="3">
        <f t="shared" si="761"/>
        <v>1928.47</v>
      </c>
      <c r="BT84" s="3">
        <f t="shared" si="761"/>
        <v>1928.47</v>
      </c>
      <c r="BU84" s="3">
        <f t="shared" si="761"/>
        <v>1928.47</v>
      </c>
      <c r="BV84" s="3">
        <f t="shared" si="761"/>
        <v>1928.47</v>
      </c>
      <c r="BW84" s="3">
        <f t="shared" si="761"/>
        <v>1928.47</v>
      </c>
      <c r="BX84" s="3">
        <f t="shared" si="761"/>
        <v>1928.47</v>
      </c>
      <c r="BY84" s="3">
        <f t="shared" si="761"/>
        <v>1928.47</v>
      </c>
      <c r="BZ84" s="3">
        <f t="shared" si="761"/>
        <v>1928.47</v>
      </c>
      <c r="CA84" s="3">
        <f t="shared" si="761"/>
        <v>1928.47</v>
      </c>
      <c r="CB84" s="3">
        <f t="shared" si="761"/>
        <v>1928.47</v>
      </c>
      <c r="CC84" s="3">
        <f t="shared" si="761"/>
        <v>1928.47</v>
      </c>
      <c r="CD84" s="3">
        <f t="shared" si="761"/>
        <v>1928.47</v>
      </c>
      <c r="CE84" s="3">
        <f t="shared" ref="CE84:CF84" si="762">CE82/CE83</f>
        <v>1928.47</v>
      </c>
      <c r="CF84" s="3">
        <f t="shared" si="762"/>
        <v>1928.47</v>
      </c>
      <c r="CG84" s="3">
        <f t="shared" ref="CG84:CH84" si="763">CG82/CG83</f>
        <v>1928.47</v>
      </c>
      <c r="CH84" s="3">
        <f t="shared" si="763"/>
        <v>1928.47</v>
      </c>
      <c r="CI84" s="3">
        <f t="shared" ref="CI84:CJ84" si="764">CI82/CI83</f>
        <v>1928.47</v>
      </c>
      <c r="CJ84" s="3">
        <f t="shared" si="764"/>
        <v>1928.47</v>
      </c>
      <c r="CK84" s="3">
        <f t="shared" ref="CK84:CL84" si="765">CK82/CK83</f>
        <v>1928.47</v>
      </c>
      <c r="CL84" s="3">
        <f t="shared" si="765"/>
        <v>1928.47</v>
      </c>
      <c r="CM84" s="37">
        <f t="shared" ref="CM84:DB84" si="766">CM82/CM83</f>
        <v>1928.47</v>
      </c>
      <c r="CN84" s="37">
        <f t="shared" si="766"/>
        <v>1928.47</v>
      </c>
      <c r="CO84" s="37">
        <f t="shared" si="766"/>
        <v>1928.47</v>
      </c>
      <c r="CP84" s="37">
        <f t="shared" si="766"/>
        <v>1928.47</v>
      </c>
      <c r="CQ84" s="37">
        <f t="shared" si="766"/>
        <v>1928.47</v>
      </c>
      <c r="CR84" s="37">
        <f t="shared" si="766"/>
        <v>1928.47</v>
      </c>
      <c r="CS84" s="37">
        <f t="shared" si="766"/>
        <v>1928.47</v>
      </c>
      <c r="CT84" s="37">
        <f t="shared" si="766"/>
        <v>1928.47</v>
      </c>
      <c r="CU84" s="37">
        <f t="shared" si="766"/>
        <v>1928.47</v>
      </c>
      <c r="CV84" s="37">
        <f t="shared" si="766"/>
        <v>1928.47</v>
      </c>
      <c r="CW84" s="37">
        <f t="shared" si="766"/>
        <v>1928.47</v>
      </c>
      <c r="CX84" s="37">
        <f t="shared" si="766"/>
        <v>1928.47</v>
      </c>
      <c r="CY84" s="37">
        <f t="shared" si="766"/>
        <v>1928.47</v>
      </c>
      <c r="CZ84" s="37">
        <f t="shared" si="766"/>
        <v>1928.47</v>
      </c>
      <c r="DA84" s="37">
        <f t="shared" si="766"/>
        <v>1928.47</v>
      </c>
      <c r="DB84" s="37">
        <f t="shared" si="766"/>
        <v>1928.47</v>
      </c>
      <c r="DE84" s="134"/>
      <c r="DF84" s="3" t="e">
        <v>#DIV/0!</v>
      </c>
    </row>
    <row r="85" spans="1:110" s="53" customFormat="1" x14ac:dyDescent="0.2">
      <c r="A85" s="53" t="s">
        <v>30</v>
      </c>
      <c r="B85" s="53" t="e">
        <f t="shared" ref="B85:AE85" si="767">(B67-B66)/B84</f>
        <v>#DIV/0!</v>
      </c>
      <c r="C85" s="53" t="e">
        <f t="shared" si="767"/>
        <v>#DIV/0!</v>
      </c>
      <c r="D85" s="53" t="e">
        <f t="shared" si="767"/>
        <v>#DIV/0!</v>
      </c>
      <c r="E85" s="53">
        <f t="shared" si="767"/>
        <v>-5.1854579018600237E-7</v>
      </c>
      <c r="F85" s="53">
        <f t="shared" si="767"/>
        <v>0</v>
      </c>
      <c r="G85" s="53">
        <f t="shared" si="767"/>
        <v>0</v>
      </c>
      <c r="H85" s="53">
        <f t="shared" si="767"/>
        <v>0</v>
      </c>
      <c r="I85" s="53">
        <f t="shared" si="767"/>
        <v>-3.722640227745311E-3</v>
      </c>
      <c r="J85" s="53">
        <f t="shared" si="767"/>
        <v>-2.5858841464995565E-3</v>
      </c>
      <c r="K85" s="53">
        <f t="shared" si="767"/>
        <v>8.8209824368540884E-2</v>
      </c>
      <c r="L85" s="53">
        <f t="shared" si="767"/>
        <v>0.27039051683458915</v>
      </c>
      <c r="M85" s="53">
        <f t="shared" si="767"/>
        <v>-0.14896264914673304</v>
      </c>
      <c r="N85" s="53">
        <f t="shared" si="767"/>
        <v>-1.2025439856466527</v>
      </c>
      <c r="O85" s="53">
        <f t="shared" si="767"/>
        <v>-0.10158830575533929</v>
      </c>
      <c r="P85" s="53">
        <f t="shared" si="767"/>
        <v>-0.69837747022250907</v>
      </c>
      <c r="Q85" s="53">
        <f t="shared" si="767"/>
        <v>0.28561502123444882</v>
      </c>
      <c r="R85" s="53">
        <f t="shared" si="767"/>
        <v>-1.0876031257940244</v>
      </c>
      <c r="S85" s="53">
        <f t="shared" si="767"/>
        <v>-1.0904758694716536</v>
      </c>
      <c r="T85" s="53">
        <f t="shared" si="767"/>
        <v>-0.51045647585910148</v>
      </c>
      <c r="U85" s="53">
        <f t="shared" si="767"/>
        <v>-0.65947616504275475</v>
      </c>
      <c r="V85" s="53">
        <f t="shared" si="767"/>
        <v>0.65854278262041965</v>
      </c>
      <c r="W85" s="53">
        <f t="shared" si="767"/>
        <v>2.5468791321617656</v>
      </c>
      <c r="X85" s="53">
        <f t="shared" si="767"/>
        <v>5.5622540148407822</v>
      </c>
      <c r="Y85" s="53">
        <f t="shared" si="767"/>
        <v>10.800681369168302</v>
      </c>
      <c r="Z85" s="53">
        <f t="shared" si="767"/>
        <v>6.7093447136849393</v>
      </c>
      <c r="AA85" s="53">
        <f t="shared" ref="AA85" si="768">(AA67-AA66)/AA84</f>
        <v>6.6551722349842102</v>
      </c>
      <c r="AB85" s="54">
        <f t="shared" si="767"/>
        <v>7.1943200818800621</v>
      </c>
      <c r="AC85" s="54">
        <f t="shared" si="767"/>
        <v>8.7216749021592914</v>
      </c>
      <c r="AD85" s="54">
        <f t="shared" si="767"/>
        <v>10.267553136913978</v>
      </c>
      <c r="AE85" s="54">
        <f t="shared" si="767"/>
        <v>13.164494454706141</v>
      </c>
      <c r="AI85" s="53">
        <f t="shared" ref="AI85:BN85" si="769">(AI67-AI66)/AI84</f>
        <v>-0.41992356635052652</v>
      </c>
      <c r="AJ85" s="53">
        <f t="shared" si="769"/>
        <v>-0.13529378211742979</v>
      </c>
      <c r="AK85" s="53">
        <f t="shared" si="769"/>
        <v>-0.33334197576316976</v>
      </c>
      <c r="AL85" s="53">
        <f t="shared" si="769"/>
        <v>-0.30361893106970811</v>
      </c>
      <c r="AM85" s="53">
        <f t="shared" si="769"/>
        <v>-0.62136823492198479</v>
      </c>
      <c r="AN85" s="53">
        <f t="shared" si="769"/>
        <v>-0.55689225137025755</v>
      </c>
      <c r="AO85" s="53">
        <f t="shared" si="769"/>
        <v>-0.28251411740913762</v>
      </c>
      <c r="AP85" s="53">
        <f t="shared" si="769"/>
        <v>1.3111689577748165</v>
      </c>
      <c r="AQ85" s="53">
        <f t="shared" si="769"/>
        <v>-9.1730750283903276E-2</v>
      </c>
      <c r="AR85" s="53">
        <f t="shared" si="769"/>
        <v>-0.41416770807946207</v>
      </c>
      <c r="AS85" s="53">
        <f t="shared" si="769"/>
        <v>-0.2222902093369353</v>
      </c>
      <c r="AT85" s="53">
        <f t="shared" si="769"/>
        <v>2.9811197477793164E-2</v>
      </c>
      <c r="AU85" s="53">
        <f t="shared" si="769"/>
        <v>-8.6151197581502484E-2</v>
      </c>
      <c r="AV85" s="53">
        <f t="shared" si="769"/>
        <v>-0.20987622311988266</v>
      </c>
      <c r="AW85" s="53">
        <f t="shared" si="769"/>
        <v>5.6775578567465672E-2</v>
      </c>
      <c r="AX85" s="53">
        <f t="shared" si="769"/>
        <v>0.52486686336836963</v>
      </c>
      <c r="AY85" s="53">
        <f t="shared" si="769"/>
        <v>-0.12062930717096933</v>
      </c>
      <c r="AZ85" s="53">
        <f t="shared" si="769"/>
        <v>-0.16233075961772811</v>
      </c>
      <c r="BA85" s="53">
        <f t="shared" si="769"/>
        <v>-0.34633154780732905</v>
      </c>
      <c r="BB85" s="53">
        <f t="shared" si="769"/>
        <v>-0.45831151119799662</v>
      </c>
      <c r="BC85" s="53">
        <f t="shared" si="769"/>
        <v>-0.23481827562782945</v>
      </c>
      <c r="BD85" s="53">
        <f t="shared" si="769"/>
        <v>0.16431678999414073</v>
      </c>
      <c r="BE85" s="53">
        <f t="shared" si="769"/>
        <v>-0.68123434639895886</v>
      </c>
      <c r="BF85" s="53">
        <f t="shared" si="769"/>
        <v>-0.33874003743900605</v>
      </c>
      <c r="BG85" s="53">
        <f t="shared" si="769"/>
        <v>-0.42787805877197987</v>
      </c>
      <c r="BH85" s="53">
        <f t="shared" si="769"/>
        <v>0.20062018076506263</v>
      </c>
      <c r="BI85" s="53">
        <f t="shared" si="769"/>
        <v>-0.61228849813582786</v>
      </c>
      <c r="BJ85" s="53">
        <f t="shared" si="769"/>
        <v>0.3290899002836446</v>
      </c>
      <c r="BK85" s="53">
        <f t="shared" si="769"/>
        <v>0.38413872136979033</v>
      </c>
      <c r="BL85" s="53">
        <f t="shared" si="769"/>
        <v>1.3897027176985931E-3</v>
      </c>
      <c r="BM85" s="53">
        <f t="shared" si="769"/>
        <v>-0.36420582119504069</v>
      </c>
      <c r="BN85" s="53">
        <f t="shared" si="769"/>
        <v>-0.68079876793520233</v>
      </c>
      <c r="BO85" s="53">
        <f t="shared" ref="BO85:CT85" si="770">(BO67-BO66)/BO84</f>
        <v>-0.35388675997033936</v>
      </c>
      <c r="BP85" s="53">
        <f t="shared" si="770"/>
        <v>1.1553459478239223</v>
      </c>
      <c r="BQ85" s="53">
        <f t="shared" si="770"/>
        <v>-0.1497249114583061</v>
      </c>
      <c r="BR85" s="53">
        <f t="shared" si="770"/>
        <v>6.8085062251423559E-3</v>
      </c>
      <c r="BS85" s="53">
        <f t="shared" si="770"/>
        <v>0.1442698097455497</v>
      </c>
      <c r="BT85" s="53">
        <f t="shared" si="770"/>
        <v>-0.11957665921689242</v>
      </c>
      <c r="BU85" s="53">
        <f t="shared" si="770"/>
        <v>0.11329706969773985</v>
      </c>
      <c r="BV85" s="53">
        <f t="shared" si="770"/>
        <v>2.4088889119353682</v>
      </c>
      <c r="BW85" s="53">
        <f t="shared" si="770"/>
        <v>2.4785762806784648</v>
      </c>
      <c r="BX85" s="53">
        <f t="shared" si="770"/>
        <v>0.36066415344807057</v>
      </c>
      <c r="BY85" s="53">
        <f t="shared" si="770"/>
        <v>4.5476465799315262E-3</v>
      </c>
      <c r="BZ85" s="53">
        <f t="shared" si="770"/>
        <v>2.7184659341343127</v>
      </c>
      <c r="CA85" s="53">
        <f t="shared" si="770"/>
        <v>4.5421603654710729</v>
      </c>
      <c r="CB85" s="53">
        <f t="shared" si="770"/>
        <v>3.4193790932708312</v>
      </c>
      <c r="CC85" s="53">
        <f t="shared" si="770"/>
        <v>1.4197576316976681</v>
      </c>
      <c r="CD85" s="53">
        <f t="shared" si="770"/>
        <v>1.419384278728733</v>
      </c>
      <c r="CE85" s="53">
        <f t="shared" si="770"/>
        <v>2.0289607823818878</v>
      </c>
      <c r="CF85" s="53">
        <f t="shared" si="770"/>
        <v>1.7276908637417223</v>
      </c>
      <c r="CG85" s="53">
        <f t="shared" si="770"/>
        <v>1.5853033752145484</v>
      </c>
      <c r="CH85" s="53">
        <f t="shared" si="770"/>
        <v>1.3673896923467819</v>
      </c>
      <c r="CI85" s="53">
        <f t="shared" si="770"/>
        <v>1.7552049033689914</v>
      </c>
      <c r="CJ85" s="53">
        <f t="shared" si="770"/>
        <v>1.5311516383454247</v>
      </c>
      <c r="CK85" s="53">
        <f t="shared" ref="CK85:CL85" si="771">(CK67-CK66)/CK84</f>
        <v>1.2857757704294084</v>
      </c>
      <c r="CL85" s="53">
        <f t="shared" si="771"/>
        <v>2.0830399228403862</v>
      </c>
      <c r="CM85" s="54">
        <f t="shared" si="770"/>
        <v>1.8039536007409274</v>
      </c>
      <c r="CN85" s="54">
        <f t="shared" si="770"/>
        <v>1.5844789499424075</v>
      </c>
      <c r="CO85" s="54">
        <f t="shared" si="770"/>
        <v>1.6064889826436448</v>
      </c>
      <c r="CP85" s="54">
        <f t="shared" si="770"/>
        <v>2.1993985485530829</v>
      </c>
      <c r="CQ85" s="54">
        <f t="shared" si="770"/>
        <v>1.942103071356829</v>
      </c>
      <c r="CR85" s="54">
        <f t="shared" si="770"/>
        <v>1.986046405182859</v>
      </c>
      <c r="CS85" s="54">
        <f t="shared" si="770"/>
        <v>2.1093122147216472</v>
      </c>
      <c r="CT85" s="54">
        <f t="shared" si="770"/>
        <v>2.6842132108979575</v>
      </c>
      <c r="CU85" s="54">
        <f t="shared" ref="CU85:DB85" si="772">(CU67-CU66)/CU84</f>
        <v>2.2452694229219801</v>
      </c>
      <c r="CV85" s="54">
        <f t="shared" si="772"/>
        <v>2.2571489995520562</v>
      </c>
      <c r="CW85" s="54">
        <f t="shared" si="772"/>
        <v>2.5238662839728243</v>
      </c>
      <c r="CX85" s="54">
        <f t="shared" si="772"/>
        <v>3.2412684304671218</v>
      </c>
      <c r="CY85" s="54">
        <f t="shared" si="772"/>
        <v>2.7861265345083339</v>
      </c>
      <c r="CZ85" s="54">
        <f t="shared" si="772"/>
        <v>2.978274250371753</v>
      </c>
      <c r="DA85" s="54">
        <f t="shared" si="772"/>
        <v>3.1686119218042514</v>
      </c>
      <c r="DB85" s="54">
        <f t="shared" si="772"/>
        <v>4.2314817480217961</v>
      </c>
      <c r="DE85" s="132"/>
      <c r="DF85" s="53" t="e">
        <v>#DIV/0!</v>
      </c>
    </row>
    <row r="86" spans="1:110" s="3" customFormat="1" x14ac:dyDescent="0.2">
      <c r="A86" s="3" t="s">
        <v>31</v>
      </c>
      <c r="B86" s="3">
        <f>'Annual Raw'!C110</f>
        <v>0</v>
      </c>
      <c r="C86" s="3">
        <f>'Annual Raw'!D110</f>
        <v>0</v>
      </c>
      <c r="D86" s="3">
        <f>'Annual Raw'!E110</f>
        <v>0</v>
      </c>
      <c r="E86" s="3">
        <f>'Annual Raw'!F110</f>
        <v>0</v>
      </c>
      <c r="F86" s="3">
        <f>'Annual Raw'!G110</f>
        <v>0</v>
      </c>
      <c r="G86" s="3">
        <f>'Annual Raw'!H110</f>
        <v>0</v>
      </c>
      <c r="H86" s="3">
        <f>'Annual Raw'!I110</f>
        <v>0</v>
      </c>
      <c r="I86" s="3">
        <f>'Annual Raw'!J110</f>
        <v>0</v>
      </c>
      <c r="J86" s="3">
        <f>'Annual Raw'!K110</f>
        <v>0</v>
      </c>
      <c r="K86" s="3">
        <f>'Annual Raw'!L110</f>
        <v>0</v>
      </c>
      <c r="L86" s="3">
        <f>'Annual Raw'!M110</f>
        <v>0</v>
      </c>
      <c r="M86" s="3">
        <f>'Annual Raw'!N110</f>
        <v>0</v>
      </c>
      <c r="N86" s="3">
        <f>'Annual Raw'!O110</f>
        <v>0</v>
      </c>
      <c r="O86" s="3">
        <f>'Annual Raw'!P110</f>
        <v>0</v>
      </c>
      <c r="P86" s="3">
        <f>'Annual Raw'!Q110</f>
        <v>0</v>
      </c>
      <c r="Q86" s="3">
        <f>'Annual Raw'!R110</f>
        <v>0</v>
      </c>
      <c r="R86" s="3">
        <f>'Annual Raw'!S110</f>
        <v>0</v>
      </c>
      <c r="S86" s="3">
        <f>'Annual Raw'!T110</f>
        <v>0</v>
      </c>
      <c r="T86" s="3">
        <f>'Annual Raw'!U110</f>
        <v>0</v>
      </c>
      <c r="U86" s="3">
        <f>'Annual Raw'!V110</f>
        <v>0</v>
      </c>
      <c r="V86" s="3">
        <f>'Annual Raw'!W110</f>
        <v>0</v>
      </c>
      <c r="W86" s="3">
        <f>'Annual Raw'!X110</f>
        <v>0</v>
      </c>
      <c r="X86" s="3">
        <f>'Annual Raw'!Y110</f>
        <v>0</v>
      </c>
      <c r="Y86" s="3">
        <f>'Annual Raw'!Z110</f>
        <v>0</v>
      </c>
      <c r="Z86" s="3">
        <f>'Annual Raw'!AA110</f>
        <v>0</v>
      </c>
      <c r="AA86" s="3">
        <f>'Annual Raw'!AB110</f>
        <v>0</v>
      </c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  <c r="DF86" s="3">
        <v>0</v>
      </c>
    </row>
    <row r="87" spans="1:110" s="3" customFormat="1" x14ac:dyDescent="0.2">
      <c r="A87" s="3" t="s">
        <v>32</v>
      </c>
      <c r="B87" s="3" t="e">
        <f>B86/B85</f>
        <v>#DIV/0!</v>
      </c>
      <c r="C87" s="3" t="e">
        <f t="shared" ref="C87:U87" si="773">C86/C85</f>
        <v>#DIV/0!</v>
      </c>
      <c r="D87" s="3" t="e">
        <f t="shared" si="773"/>
        <v>#DIV/0!</v>
      </c>
      <c r="E87" s="3">
        <f t="shared" si="773"/>
        <v>0</v>
      </c>
      <c r="F87" s="3" t="e">
        <f t="shared" si="773"/>
        <v>#DIV/0!</v>
      </c>
      <c r="G87" s="3" t="e">
        <f t="shared" si="773"/>
        <v>#DIV/0!</v>
      </c>
      <c r="H87" s="3" t="e">
        <f t="shared" si="773"/>
        <v>#DIV/0!</v>
      </c>
      <c r="I87" s="3">
        <f t="shared" si="773"/>
        <v>0</v>
      </c>
      <c r="J87" s="3">
        <f t="shared" si="773"/>
        <v>0</v>
      </c>
      <c r="K87" s="3">
        <f t="shared" si="773"/>
        <v>0</v>
      </c>
      <c r="L87" s="3">
        <f t="shared" si="773"/>
        <v>0</v>
      </c>
      <c r="M87" s="3">
        <f t="shared" si="773"/>
        <v>0</v>
      </c>
      <c r="N87" s="3">
        <f t="shared" si="773"/>
        <v>0</v>
      </c>
      <c r="O87" s="3">
        <f t="shared" si="773"/>
        <v>0</v>
      </c>
      <c r="P87" s="3">
        <f t="shared" si="773"/>
        <v>0</v>
      </c>
      <c r="Q87" s="3">
        <f t="shared" si="773"/>
        <v>0</v>
      </c>
      <c r="R87" s="3">
        <f t="shared" si="773"/>
        <v>0</v>
      </c>
      <c r="S87" s="3">
        <f t="shared" si="773"/>
        <v>0</v>
      </c>
      <c r="T87" s="3">
        <f t="shared" si="773"/>
        <v>0</v>
      </c>
      <c r="U87" s="3">
        <f t="shared" si="773"/>
        <v>0</v>
      </c>
      <c r="V87" s="3">
        <f>V86/V85</f>
        <v>0</v>
      </c>
      <c r="W87" s="3">
        <f t="shared" ref="W87" si="774">W86/W85</f>
        <v>0</v>
      </c>
      <c r="X87" s="3">
        <f t="shared" ref="X87:Y87" si="775">X86/X85</f>
        <v>0</v>
      </c>
      <c r="Y87" s="3">
        <f t="shared" si="775"/>
        <v>0</v>
      </c>
      <c r="Z87" s="3">
        <f t="shared" ref="Z87:AA87" si="776">Z86/Z85</f>
        <v>0</v>
      </c>
      <c r="AA87" s="3">
        <f t="shared" ref="AA87" si="777">AA86/AA85</f>
        <v>0</v>
      </c>
      <c r="AB87" s="37">
        <f t="shared" ref="AB87:AD87" si="778">AB86/AB85</f>
        <v>0</v>
      </c>
      <c r="AC87" s="37">
        <f t="shared" si="778"/>
        <v>0</v>
      </c>
      <c r="AD87" s="37">
        <f t="shared" si="778"/>
        <v>0</v>
      </c>
      <c r="AE87" s="37">
        <f t="shared" ref="AE87" si="779">AE86/AE85</f>
        <v>0</v>
      </c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  <c r="DF87" s="3" t="e">
        <v>#DIV/0!</v>
      </c>
    </row>
    <row r="88" spans="1:110" s="3" customFormat="1" x14ac:dyDescent="0.2">
      <c r="A88" s="3" t="s">
        <v>33</v>
      </c>
      <c r="B88" s="3" t="e">
        <f>+B85</f>
        <v>#DIV/0!</v>
      </c>
      <c r="C88" s="3" t="e">
        <f t="shared" ref="C88:U88" si="780">+C85</f>
        <v>#DIV/0!</v>
      </c>
      <c r="D88" s="3" t="e">
        <f t="shared" si="780"/>
        <v>#DIV/0!</v>
      </c>
      <c r="E88" s="3">
        <f t="shared" si="780"/>
        <v>-5.1854579018600237E-7</v>
      </c>
      <c r="F88" s="3">
        <f t="shared" si="780"/>
        <v>0</v>
      </c>
      <c r="G88" s="3">
        <f t="shared" si="780"/>
        <v>0</v>
      </c>
      <c r="H88" s="3">
        <f t="shared" si="780"/>
        <v>0</v>
      </c>
      <c r="I88" s="3">
        <f t="shared" si="780"/>
        <v>-3.722640227745311E-3</v>
      </c>
      <c r="J88" s="3">
        <f t="shared" si="780"/>
        <v>-2.5858841464995565E-3</v>
      </c>
      <c r="K88" s="3">
        <f t="shared" si="780"/>
        <v>8.8209824368540884E-2</v>
      </c>
      <c r="L88" s="3">
        <f t="shared" si="780"/>
        <v>0.27039051683458915</v>
      </c>
      <c r="M88" s="3">
        <f t="shared" si="780"/>
        <v>-0.14896264914673304</v>
      </c>
      <c r="N88" s="3">
        <f t="shared" si="780"/>
        <v>-1.2025439856466527</v>
      </c>
      <c r="O88" s="3">
        <f t="shared" si="780"/>
        <v>-0.10158830575533929</v>
      </c>
      <c r="P88" s="3">
        <f t="shared" si="780"/>
        <v>-0.69837747022250907</v>
      </c>
      <c r="Q88" s="3">
        <f t="shared" si="780"/>
        <v>0.28561502123444882</v>
      </c>
      <c r="R88" s="3">
        <f t="shared" si="780"/>
        <v>-1.0876031257940244</v>
      </c>
      <c r="S88" s="3">
        <f t="shared" si="780"/>
        <v>-1.0904758694716536</v>
      </c>
      <c r="T88" s="3">
        <f>+T85</f>
        <v>-0.51045647585910148</v>
      </c>
      <c r="U88" s="3">
        <f t="shared" si="780"/>
        <v>-0.65947616504275475</v>
      </c>
      <c r="V88" s="3">
        <f>+V85</f>
        <v>0.65854278262041965</v>
      </c>
      <c r="W88" s="3">
        <f t="shared" ref="W88" si="781">+W85</f>
        <v>2.5468791321617656</v>
      </c>
      <c r="X88" s="3">
        <f t="shared" ref="X88:Y88" si="782">+X85</f>
        <v>5.5622540148407822</v>
      </c>
      <c r="Y88" s="3">
        <f t="shared" si="782"/>
        <v>10.800681369168302</v>
      </c>
      <c r="Z88" s="3">
        <f t="shared" ref="Z88:AA88" si="783">+Z85</f>
        <v>6.7093447136849393</v>
      </c>
      <c r="AA88" s="3">
        <f t="shared" ref="AA88" si="784">+AA85</f>
        <v>6.6551722349842102</v>
      </c>
      <c r="AB88" s="37">
        <f t="shared" ref="AB88:AD88" si="785">+AB85</f>
        <v>7.1943200818800621</v>
      </c>
      <c r="AC88" s="37">
        <f t="shared" si="785"/>
        <v>8.7216749021592914</v>
      </c>
      <c r="AD88" s="37">
        <f t="shared" si="785"/>
        <v>10.267553136913978</v>
      </c>
      <c r="AE88" s="37">
        <f t="shared" ref="AE88" si="786">+AE85</f>
        <v>13.164494454706141</v>
      </c>
      <c r="AL88" s="3">
        <f>SUM(AI85:AL85)</f>
        <v>-1.1921782553008342</v>
      </c>
      <c r="AM88" s="3">
        <f t="shared" ref="AM88" si="787">SUM(AJ85:AM85)</f>
        <v>-1.3936229238722926</v>
      </c>
      <c r="AN88" s="3">
        <f t="shared" ref="AN88" si="788">SUM(AK85:AN85)</f>
        <v>-1.8152213931251202</v>
      </c>
      <c r="AO88" s="3">
        <f t="shared" ref="AO88" si="789">SUM(AL85:AO85)</f>
        <v>-1.7643935347710882</v>
      </c>
      <c r="AP88" s="3">
        <f t="shared" ref="AP88" si="790">SUM(AM85:AP85)</f>
        <v>-0.14960564592656356</v>
      </c>
      <c r="AQ88" s="3">
        <f t="shared" ref="AQ88" si="791">SUM(AN85:AQ85)</f>
        <v>0.38003183871151808</v>
      </c>
      <c r="AR88" s="3">
        <f t="shared" ref="AR88" si="792">SUM(AO85:AR85)</f>
        <v>0.52275638200231334</v>
      </c>
      <c r="AS88" s="3">
        <f t="shared" ref="AS88" si="793">SUM(AP85:AS85)</f>
        <v>0.58298029007451568</v>
      </c>
      <c r="AT88" s="3">
        <f t="shared" ref="AT88" si="794">SUM(AQ85:AT85)</f>
        <v>-0.69837747022250751</v>
      </c>
      <c r="AU88" s="3">
        <f t="shared" ref="AU88" si="795">SUM(AR85:AU85)</f>
        <v>-0.69279791752010667</v>
      </c>
      <c r="AV88" s="3">
        <f t="shared" ref="AV88" si="796">SUM(AS85:AV85)</f>
        <v>-0.48850643256052728</v>
      </c>
      <c r="AW88" s="3">
        <f t="shared" ref="AW88" si="797">SUM(AT85:AW85)</f>
        <v>-0.20944064465612627</v>
      </c>
      <c r="AX88" s="3">
        <f t="shared" ref="AX88" si="798">SUM(AU85:AX85)</f>
        <v>0.28561502123445015</v>
      </c>
      <c r="AY88" s="3">
        <f t="shared" ref="AY88" si="799">SUM(AV85:AY85)</f>
        <v>0.25113691164498331</v>
      </c>
      <c r="AZ88" s="3">
        <f t="shared" ref="AZ88" si="800">SUM(AW85:AZ85)</f>
        <v>0.2986823751471378</v>
      </c>
      <c r="BA88" s="3">
        <f t="shared" ref="BA88" si="801">SUM(AX85:BA85)</f>
        <v>-0.10442475122765685</v>
      </c>
      <c r="BB88" s="3">
        <f t="shared" ref="BB88" si="802">SUM(AY85:BB85)</f>
        <v>-1.0876031257940233</v>
      </c>
      <c r="BC88" s="3">
        <f t="shared" ref="BC88" si="803">SUM(AZ85:BC85)</f>
        <v>-1.2017920942508833</v>
      </c>
      <c r="BD88" s="3">
        <f t="shared" ref="BD88" si="804">SUM(BA85:BD85)</f>
        <v>-0.87514454463901448</v>
      </c>
      <c r="BE88" s="3">
        <f t="shared" ref="BE88" si="805">SUM(BB85:BE85)</f>
        <v>-1.2100473432306442</v>
      </c>
      <c r="BF88" s="3">
        <f t="shared" ref="BF88" si="806">SUM(BC85:BF85)</f>
        <v>-1.0904758694716536</v>
      </c>
      <c r="BG88" s="3">
        <f t="shared" ref="BG88" si="807">SUM(BD85:BG85)</f>
        <v>-1.2835356526158039</v>
      </c>
      <c r="BH88" s="3">
        <f t="shared" ref="BH88" si="808">SUM(BE85:BH85)</f>
        <v>-1.2472322618448821</v>
      </c>
      <c r="BI88" s="3">
        <f t="shared" ref="BI88" si="809">SUM(BF85:BI85)</f>
        <v>-1.178286413581751</v>
      </c>
      <c r="BJ88" s="3">
        <f t="shared" ref="BJ88" si="810">SUM(BG85:BJ85)</f>
        <v>-0.51045647585910048</v>
      </c>
      <c r="BK88" s="3">
        <f t="shared" ref="BK88" si="811">SUM(BH85:BK85)</f>
        <v>0.30156030428266967</v>
      </c>
      <c r="BL88" s="3">
        <f t="shared" ref="BL88" si="812">SUM(BI85:BL85)</f>
        <v>0.10232982623530565</v>
      </c>
      <c r="BM88" s="3">
        <f t="shared" ref="BM88" si="813">SUM(BJ85:BM85)</f>
        <v>0.35041250317609279</v>
      </c>
      <c r="BN88" s="3">
        <f t="shared" ref="BN88" si="814">SUM(BK85:BN85)</f>
        <v>-0.65947616504275408</v>
      </c>
      <c r="BO88" s="3">
        <f t="shared" ref="BO88" si="815">SUM(BL85:BO85)</f>
        <v>-1.3975016463828838</v>
      </c>
      <c r="BP88" s="3">
        <f t="shared" ref="BP88" si="816">SUM(BM85:BP85)</f>
        <v>-0.24354540127666024</v>
      </c>
      <c r="BQ88" s="3">
        <f t="shared" ref="BQ88" si="817">SUM(BN85:BQ85)</f>
        <v>-2.906449153992538E-2</v>
      </c>
      <c r="BR88" s="3">
        <f t="shared" ref="BR88" si="818">SUM(BO85:BR85)</f>
        <v>0.65854278262041921</v>
      </c>
      <c r="BS88" s="3">
        <f t="shared" ref="BS88" si="819">SUM(BP85:BS85)</f>
        <v>1.1566993523363083</v>
      </c>
      <c r="BT88" s="3">
        <f t="shared" ref="BT88" si="820">SUM(BQ85:BT85)</f>
        <v>-0.11822325470450645</v>
      </c>
      <c r="BU88" s="3">
        <f t="shared" ref="BU88" si="821">SUM(BR85:BU85)</f>
        <v>0.14479872645153952</v>
      </c>
      <c r="BV88" s="3">
        <f t="shared" ref="BV88" si="822">SUM(BS85:BV85)</f>
        <v>2.5468791321617652</v>
      </c>
      <c r="BW88" s="3">
        <f t="shared" ref="BW88" si="823">SUM(BT85:BW85)</f>
        <v>4.8811856030946803</v>
      </c>
      <c r="BX88" s="3">
        <f t="shared" ref="BX88" si="824">SUM(BU85:BX85)</f>
        <v>5.3614264157596434</v>
      </c>
      <c r="BY88" s="3">
        <f t="shared" ref="BY88" si="825">SUM(BV85:BY85)</f>
        <v>5.2526769926418346</v>
      </c>
      <c r="BZ88" s="3">
        <f t="shared" ref="BZ88" si="826">SUM(BW85:BZ85)</f>
        <v>5.5622540148407795</v>
      </c>
      <c r="CA88" s="3">
        <f t="shared" ref="CA88" si="827">SUM(BX85:CA85)</f>
        <v>7.6258380996333877</v>
      </c>
      <c r="CB88" s="3">
        <f t="shared" ref="CB88" si="828">SUM(BY85:CB85)</f>
        <v>10.684553039456148</v>
      </c>
      <c r="CC88" s="3">
        <f t="shared" ref="CC88" si="829">SUM(BZ85:CC85)</f>
        <v>12.099763024573885</v>
      </c>
      <c r="CD88" s="3">
        <f t="shared" ref="CD88" si="830">SUM(CA85:CD85)</f>
        <v>10.800681369168306</v>
      </c>
      <c r="CE88" s="3">
        <f t="shared" ref="CE88" si="831">SUM(CB85:CE85)</f>
        <v>8.2874817860791197</v>
      </c>
      <c r="CF88" s="3">
        <f t="shared" ref="CF88" si="832">SUM(CC85:CF85)</f>
        <v>6.5957935565500119</v>
      </c>
      <c r="CG88" s="3">
        <f t="shared" ref="CG88" si="833">SUM(CD85:CG85)</f>
        <v>6.7613393000668918</v>
      </c>
      <c r="CH88" s="3">
        <f t="shared" ref="CH88:CL88" si="834">SUM(CE85:CH85)</f>
        <v>6.7093447136849402</v>
      </c>
      <c r="CI88" s="3">
        <f t="shared" si="834"/>
        <v>6.4355888346720436</v>
      </c>
      <c r="CJ88" s="3">
        <f t="shared" si="834"/>
        <v>6.2390496092757468</v>
      </c>
      <c r="CK88" s="3">
        <f t="shared" si="834"/>
        <v>5.9395220044906063</v>
      </c>
      <c r="CL88" s="3">
        <f t="shared" si="834"/>
        <v>6.6551722349842102</v>
      </c>
      <c r="CM88" s="37">
        <f t="shared" ref="CM88" si="835">SUM(CJ85:CM85)</f>
        <v>6.7039209323561462</v>
      </c>
      <c r="CN88" s="37">
        <f t="shared" ref="CN88" si="836">SUM(CK85:CN85)</f>
        <v>6.7572482439531294</v>
      </c>
      <c r="CO88" s="37">
        <f t="shared" ref="CO88" si="837">SUM(CL85:CO85)</f>
        <v>7.0779614561673654</v>
      </c>
      <c r="CP88" s="37">
        <f t="shared" ref="CP88" si="838">SUM(CM85:CP85)</f>
        <v>7.194320081880063</v>
      </c>
      <c r="CQ88" s="37">
        <f t="shared" ref="CQ88" si="839">SUM(CN85:CQ85)</f>
        <v>7.3324695524959651</v>
      </c>
      <c r="CR88" s="37">
        <f t="shared" ref="CR88" si="840">SUM(CO85:CR85)</f>
        <v>7.7340370077364158</v>
      </c>
      <c r="CS88" s="37">
        <f t="shared" ref="CS88" si="841">SUM(CP85:CS85)</f>
        <v>8.2368602398144173</v>
      </c>
      <c r="CT88" s="37">
        <f t="shared" ref="CT88" si="842">SUM(CQ85:CT85)</f>
        <v>8.7216749021592932</v>
      </c>
      <c r="CU88" s="37">
        <f t="shared" ref="CU88" si="843">SUM(CR85:CU85)</f>
        <v>9.0248412537244445</v>
      </c>
      <c r="CV88" s="37">
        <f t="shared" ref="CV88" si="844">SUM(CS85:CV85)</f>
        <v>9.2959438480936409</v>
      </c>
      <c r="CW88" s="37">
        <f t="shared" ref="CW88" si="845">SUM(CT85:CW85)</f>
        <v>9.7104979173448172</v>
      </c>
      <c r="CX88" s="37">
        <f t="shared" ref="CX88" si="846">SUM(CU85:CX85)</f>
        <v>10.267553136913982</v>
      </c>
      <c r="CY88" s="37">
        <f t="shared" ref="CY88" si="847">SUM(CV85:CY85)</f>
        <v>10.808410248500335</v>
      </c>
      <c r="CZ88" s="37">
        <f t="shared" ref="CZ88" si="848">SUM(CW85:CZ85)</f>
        <v>11.529535499320032</v>
      </c>
      <c r="DA88" s="37">
        <f t="shared" ref="DA88" si="849">SUM(CX85:DA85)</f>
        <v>12.174281137151459</v>
      </c>
      <c r="DB88" s="37">
        <f t="shared" ref="DB88" si="850">SUM(CY85:DB85)</f>
        <v>13.164494454706134</v>
      </c>
      <c r="DE88" s="134"/>
      <c r="DF88" s="3" t="e">
        <v>#DIV/0!</v>
      </c>
    </row>
    <row r="89" spans="1:110" s="97" customFormat="1" x14ac:dyDescent="0.2">
      <c r="A89" s="97" t="s">
        <v>425</v>
      </c>
      <c r="C89" s="101" t="e">
        <f t="shared" ref="C89:AA89" si="851">+C88/B88-1</f>
        <v>#DIV/0!</v>
      </c>
      <c r="D89" s="101" t="e">
        <f t="shared" si="851"/>
        <v>#DIV/0!</v>
      </c>
      <c r="E89" s="101" t="e">
        <f t="shared" si="851"/>
        <v>#DIV/0!</v>
      </c>
      <c r="F89" s="101">
        <f t="shared" si="851"/>
        <v>-1</v>
      </c>
      <c r="G89" s="101" t="e">
        <f t="shared" si="851"/>
        <v>#DIV/0!</v>
      </c>
      <c r="H89" s="101" t="e">
        <f t="shared" si="851"/>
        <v>#DIV/0!</v>
      </c>
      <c r="I89" s="101" t="e">
        <f t="shared" si="851"/>
        <v>#DIV/0!</v>
      </c>
      <c r="J89" s="101">
        <f t="shared" si="851"/>
        <v>-0.30536286390862244</v>
      </c>
      <c r="K89" s="101">
        <f t="shared" si="851"/>
        <v>-35.112055827384303</v>
      </c>
      <c r="L89" s="101">
        <f t="shared" si="851"/>
        <v>2.0653106813238495</v>
      </c>
      <c r="M89" s="101">
        <f t="shared" si="851"/>
        <v>-1.5509166922368829</v>
      </c>
      <c r="N89" s="101">
        <f t="shared" si="851"/>
        <v>7.0727886657151746</v>
      </c>
      <c r="O89" s="101">
        <f t="shared" si="851"/>
        <v>-0.91552217052525409</v>
      </c>
      <c r="P89" s="101">
        <f t="shared" si="851"/>
        <v>5.8745852687458919</v>
      </c>
      <c r="Q89" s="101">
        <f t="shared" si="851"/>
        <v>-1.4089694089694065</v>
      </c>
      <c r="R89" s="101">
        <f t="shared" si="851"/>
        <v>-4.807933914306485</v>
      </c>
      <c r="S89" s="101">
        <f t="shared" si="851"/>
        <v>2.6413529066791064E-3</v>
      </c>
      <c r="T89" s="101">
        <f t="shared" si="851"/>
        <v>-0.53189567036781593</v>
      </c>
      <c r="U89" s="101">
        <f t="shared" si="851"/>
        <v>0.29193417310036507</v>
      </c>
      <c r="V89" s="101">
        <f t="shared" si="851"/>
        <v>-1.9985846608690179</v>
      </c>
      <c r="W89" s="101">
        <f t="shared" si="851"/>
        <v>2.8674467314445877</v>
      </c>
      <c r="X89" s="101">
        <f t="shared" si="851"/>
        <v>1.1839489532899807</v>
      </c>
      <c r="Y89" s="101">
        <f t="shared" si="851"/>
        <v>0.94178139659762894</v>
      </c>
      <c r="Z89" s="101">
        <f t="shared" si="851"/>
        <v>-0.37880356948243288</v>
      </c>
      <c r="AA89" s="101">
        <f t="shared" si="851"/>
        <v>-8.0741832492574606E-3</v>
      </c>
      <c r="AB89" s="174">
        <f t="shared" ref="AB89" si="852">+AB88/AA88-1</f>
        <v>8.1011854818980655E-2</v>
      </c>
      <c r="AC89" s="174">
        <f t="shared" ref="AC89" si="853">+AC88/AB88-1</f>
        <v>0.21230009269758421</v>
      </c>
      <c r="AD89" s="174">
        <f t="shared" ref="AD89" si="854">+AD88/AC88-1</f>
        <v>0.17724556946876824</v>
      </c>
      <c r="AE89" s="174">
        <f t="shared" ref="AE89" si="855">+AE88/AD88-1</f>
        <v>0.28214524718426426</v>
      </c>
      <c r="AL89" s="176"/>
      <c r="AM89" s="176"/>
      <c r="AN89" s="176"/>
      <c r="AO89" s="176"/>
      <c r="AP89" s="176">
        <f t="shared" ref="AP89:CL89" si="856">+IF(AL88&lt;0,1-AP88/AL88,AP88/AL88-1)</f>
        <v>0.87451067383475123</v>
      </c>
      <c r="AQ89" s="176">
        <f t="shared" si="856"/>
        <v>1.2726934468439779</v>
      </c>
      <c r="AR89" s="176">
        <f t="shared" si="856"/>
        <v>1.2879849168713937</v>
      </c>
      <c r="AS89" s="176">
        <f t="shared" si="856"/>
        <v>1.330413979979898</v>
      </c>
      <c r="AT89" s="176">
        <f t="shared" si="856"/>
        <v>-3.6681224220997501</v>
      </c>
      <c r="AU89" s="176">
        <f t="shared" si="856"/>
        <v>-2.8229996725248307</v>
      </c>
      <c r="AV89" s="176">
        <f t="shared" si="856"/>
        <v>-1.9344820061103825</v>
      </c>
      <c r="AW89" s="176">
        <f t="shared" si="856"/>
        <v>-1.3592585345026946</v>
      </c>
      <c r="AX89" s="176">
        <f t="shared" si="856"/>
        <v>1.4089694089694094</v>
      </c>
      <c r="AY89" s="176">
        <f t="shared" si="856"/>
        <v>1.3624966318373708</v>
      </c>
      <c r="AZ89" s="176">
        <f t="shared" si="856"/>
        <v>1.6114195335803081</v>
      </c>
      <c r="BA89" s="176">
        <f t="shared" si="856"/>
        <v>0.50141124040604246</v>
      </c>
      <c r="BB89" s="176">
        <f t="shared" si="856"/>
        <v>-4.8079339143064628</v>
      </c>
      <c r="BC89" s="176">
        <f t="shared" si="856"/>
        <v>-5.7854060415849276</v>
      </c>
      <c r="BD89" s="176">
        <f t="shared" si="856"/>
        <v>-3.9300173611111071</v>
      </c>
      <c r="BE89" s="176">
        <f t="shared" si="856"/>
        <v>-10.587744562518658</v>
      </c>
      <c r="BF89" s="176">
        <f t="shared" si="856"/>
        <v>-2.6413529066799946E-3</v>
      </c>
      <c r="BG89" s="176">
        <f t="shared" si="856"/>
        <v>-6.8018053002648626E-2</v>
      </c>
      <c r="BH89" s="176">
        <f t="shared" si="856"/>
        <v>-0.42517286942507182</v>
      </c>
      <c r="BI89" s="176">
        <f t="shared" si="856"/>
        <v>2.6247675205910759E-2</v>
      </c>
      <c r="BJ89" s="176">
        <f t="shared" si="856"/>
        <v>0.53189567036781682</v>
      </c>
      <c r="BK89" s="176">
        <f t="shared" si="856"/>
        <v>1.23494501587712</v>
      </c>
      <c r="BL89" s="176">
        <f t="shared" si="856"/>
        <v>1.0820455254131587</v>
      </c>
      <c r="BM89" s="176">
        <f t="shared" si="856"/>
        <v>1.2973916181473315</v>
      </c>
      <c r="BN89" s="176">
        <f t="shared" si="856"/>
        <v>-0.2919341731003664</v>
      </c>
      <c r="BO89" s="176">
        <f t="shared" si="856"/>
        <v>-5.6342360931992088</v>
      </c>
      <c r="BP89" s="176">
        <f t="shared" si="856"/>
        <v>-3.3800040539171037</v>
      </c>
      <c r="BQ89" s="176">
        <f t="shared" si="856"/>
        <v>-1.0829436486326505</v>
      </c>
      <c r="BR89" s="176">
        <f t="shared" si="856"/>
        <v>1.9985846608690181</v>
      </c>
      <c r="BS89" s="176">
        <f t="shared" si="856"/>
        <v>1.8276908691522205</v>
      </c>
      <c r="BT89" s="176">
        <f t="shared" si="856"/>
        <v>0.51457406263972771</v>
      </c>
      <c r="BU89" s="176">
        <f t="shared" si="856"/>
        <v>5.9819803746654934</v>
      </c>
      <c r="BV89" s="176">
        <f t="shared" si="856"/>
        <v>2.8674467314445895</v>
      </c>
      <c r="BW89" s="176">
        <f t="shared" si="856"/>
        <v>3.2199259412012573</v>
      </c>
      <c r="BX89" s="176">
        <f t="shared" si="856"/>
        <v>46.350015351550589</v>
      </c>
      <c r="BY89" s="176">
        <f t="shared" si="856"/>
        <v>35.27571264861762</v>
      </c>
      <c r="BZ89" s="176">
        <f t="shared" si="856"/>
        <v>1.1839489532899798</v>
      </c>
      <c r="CA89" s="176">
        <f t="shared" si="856"/>
        <v>0.56229218057157926</v>
      </c>
      <c r="CB89" s="176">
        <f t="shared" si="856"/>
        <v>0.99285641747305187</v>
      </c>
      <c r="CC89" s="176">
        <f t="shared" si="856"/>
        <v>1.3035421826858435</v>
      </c>
      <c r="CD89" s="176">
        <f t="shared" si="856"/>
        <v>0.94178139659763049</v>
      </c>
      <c r="CE89" s="176">
        <f t="shared" si="856"/>
        <v>8.6763405910432301E-2</v>
      </c>
      <c r="CF89" s="176">
        <f t="shared" si="856"/>
        <v>-0.38267950636840653</v>
      </c>
      <c r="CG89" s="176">
        <f t="shared" si="856"/>
        <v>-0.44120068415100189</v>
      </c>
      <c r="CH89" s="176">
        <f t="shared" si="856"/>
        <v>-0.37880356948243299</v>
      </c>
      <c r="CI89" s="176">
        <f t="shared" si="856"/>
        <v>-0.22345665416939908</v>
      </c>
      <c r="CJ89" s="176">
        <f t="shared" si="856"/>
        <v>-5.4086584762798928E-2</v>
      </c>
      <c r="CK89" s="176">
        <f t="shared" si="856"/>
        <v>-0.12154652489753848</v>
      </c>
      <c r="CL89" s="176">
        <f t="shared" si="856"/>
        <v>-8.0741832492575716E-3</v>
      </c>
      <c r="CM89" s="102">
        <f t="shared" ref="CM89:DB89" si="857">+IF(CI88&lt;0,1-CM88/CI88,CM88/CI88-1)</f>
        <v>4.1695034374857887E-2</v>
      </c>
      <c r="CN89" s="102">
        <f t="shared" si="857"/>
        <v>8.3057303135875671E-2</v>
      </c>
      <c r="CO89" s="102">
        <f t="shared" si="857"/>
        <v>0.19167189730352652</v>
      </c>
      <c r="CP89" s="102">
        <f t="shared" si="857"/>
        <v>8.1011854818980877E-2</v>
      </c>
      <c r="CQ89" s="102">
        <f t="shared" si="857"/>
        <v>9.3758358202907788E-2</v>
      </c>
      <c r="CR89" s="102">
        <f t="shared" si="857"/>
        <v>0.14455422215061975</v>
      </c>
      <c r="CS89" s="102">
        <f t="shared" si="857"/>
        <v>0.16373341262507846</v>
      </c>
      <c r="CT89" s="102">
        <f t="shared" si="857"/>
        <v>0.21230009269758443</v>
      </c>
      <c r="CU89" s="102">
        <f t="shared" si="857"/>
        <v>0.23080514540321517</v>
      </c>
      <c r="CV89" s="102">
        <f t="shared" si="857"/>
        <v>0.20195233599151874</v>
      </c>
      <c r="CW89" s="102">
        <f t="shared" si="857"/>
        <v>0.17890769475573887</v>
      </c>
      <c r="CX89" s="102">
        <f t="shared" si="857"/>
        <v>0.17724556946876846</v>
      </c>
      <c r="CY89" s="102">
        <f t="shared" si="857"/>
        <v>0.1976288495977514</v>
      </c>
      <c r="CZ89" s="102">
        <f t="shared" si="857"/>
        <v>0.24027594053125045</v>
      </c>
      <c r="DA89" s="102">
        <f t="shared" si="857"/>
        <v>0.25372367522018102</v>
      </c>
      <c r="DB89" s="102">
        <f t="shared" si="857"/>
        <v>0.28214524718426315</v>
      </c>
      <c r="DE89" s="135"/>
      <c r="DF89" s="97" t="e">
        <v>#DIV/0!</v>
      </c>
    </row>
    <row r="90" spans="1:110" s="144" customFormat="1" x14ac:dyDescent="0.2">
      <c r="A90" s="144" t="s">
        <v>424</v>
      </c>
      <c r="AB90" s="145"/>
      <c r="AC90" s="145"/>
      <c r="AD90" s="145"/>
      <c r="AE90" s="145"/>
      <c r="CM90" s="145"/>
      <c r="CN90" s="145"/>
      <c r="CO90" s="145"/>
      <c r="CP90" s="145">
        <v>9.3000000000000007</v>
      </c>
      <c r="CQ90" s="145"/>
      <c r="CR90" s="145"/>
      <c r="CS90" s="145"/>
      <c r="CT90" s="145">
        <v>8.1</v>
      </c>
      <c r="CU90" s="145"/>
      <c r="CV90" s="145"/>
      <c r="CW90" s="145"/>
      <c r="CX90" s="145"/>
      <c r="CY90" s="145"/>
      <c r="CZ90" s="145"/>
      <c r="DA90" s="145"/>
      <c r="DB90" s="145"/>
      <c r="DE90" s="146"/>
    </row>
    <row r="91" spans="1:110" s="144" customFormat="1" x14ac:dyDescent="0.2">
      <c r="A91" s="144" t="s">
        <v>436</v>
      </c>
      <c r="AB91" s="145"/>
      <c r="AC91" s="145"/>
      <c r="AD91" s="145"/>
      <c r="AE91" s="145"/>
      <c r="CM91" s="145"/>
      <c r="CN91" s="145"/>
      <c r="CO91" s="145"/>
      <c r="CP91" s="145">
        <f>+CP90/CP88-1</f>
        <v>0.29268643793364113</v>
      </c>
      <c r="CQ91" s="145"/>
      <c r="CR91" s="145"/>
      <c r="CS91" s="145"/>
      <c r="CT91" s="145">
        <f>+CT90/CT88-1</f>
        <v>-7.1279302328200789E-2</v>
      </c>
      <c r="CU91" s="145"/>
      <c r="CV91" s="145"/>
      <c r="CW91" s="145"/>
      <c r="CX91" s="145"/>
      <c r="CY91" s="145"/>
      <c r="CZ91" s="145"/>
      <c r="DA91" s="145"/>
      <c r="DB91" s="145"/>
      <c r="DE91" s="146"/>
    </row>
    <row r="92" spans="1:110" s="3" customFormat="1" x14ac:dyDescent="0.2">
      <c r="A92" s="3" t="s">
        <v>34</v>
      </c>
      <c r="B92" s="3">
        <f>'Annual Raw'!C112</f>
        <v>0</v>
      </c>
      <c r="C92" s="3">
        <f>'Annual Raw'!D112</f>
        <v>0</v>
      </c>
      <c r="D92" s="3">
        <f>'Annual Raw'!E112</f>
        <v>0</v>
      </c>
      <c r="E92" s="3">
        <f>'Annual Raw'!F112</f>
        <v>0</v>
      </c>
      <c r="F92" s="3">
        <f>'Annual Raw'!G112</f>
        <v>0</v>
      </c>
      <c r="G92" s="3">
        <f>'Annual Raw'!H112</f>
        <v>0</v>
      </c>
      <c r="H92" s="3">
        <f>'Annual Raw'!I112</f>
        <v>0</v>
      </c>
      <c r="I92" s="3">
        <f>'Annual Raw'!J112</f>
        <v>0</v>
      </c>
      <c r="J92" s="3">
        <f>'Annual Raw'!K112</f>
        <v>0</v>
      </c>
      <c r="K92" s="3">
        <f>'Annual Raw'!L112</f>
        <v>73.5</v>
      </c>
      <c r="L92" s="3">
        <f>'Annual Raw'!M112</f>
        <v>73.5</v>
      </c>
      <c r="M92" s="3">
        <f>'Annual Raw'!N112</f>
        <v>73.5</v>
      </c>
      <c r="N92" s="3">
        <f>'Annual Raw'!O112</f>
        <v>70</v>
      </c>
      <c r="O92" s="3">
        <f>'Annual Raw'!P112</f>
        <v>75</v>
      </c>
      <c r="P92" s="3">
        <f>'Annual Raw'!Q112</f>
        <v>75</v>
      </c>
      <c r="Q92" s="3">
        <f>'Annual Raw'!R112</f>
        <v>63.13</v>
      </c>
      <c r="R92" s="3">
        <f>'Annual Raw'!S112</f>
        <v>68.08</v>
      </c>
      <c r="S92" s="3">
        <f>'Annual Raw'!T112</f>
        <v>73.069999999999993</v>
      </c>
      <c r="T92" s="3">
        <f>'Annual Raw'!U112</f>
        <v>74.97</v>
      </c>
      <c r="U92" s="3">
        <f>'Annual Raw'!V112</f>
        <v>74.97</v>
      </c>
      <c r="V92" s="3">
        <f>'Annual Raw'!W112</f>
        <v>74.97</v>
      </c>
      <c r="W92" s="3">
        <f>'Annual Raw'!X112</f>
        <v>74.97</v>
      </c>
      <c r="X92" s="3">
        <f>'Annual Raw'!Y112</f>
        <v>74.97</v>
      </c>
      <c r="Y92" s="3">
        <f>'Annual Raw'!Z112</f>
        <v>71.75</v>
      </c>
      <c r="Z92" s="3">
        <f>'Annual Raw'!AA112</f>
        <v>74.959999999999994</v>
      </c>
      <c r="AA92" s="3">
        <f>'Annual Raw'!AB112</f>
        <v>74.959999999999994</v>
      </c>
      <c r="AB92" s="37"/>
      <c r="AC92" s="37"/>
      <c r="AD92" s="37"/>
      <c r="AE92" s="37"/>
      <c r="AI92" s="3">
        <f>'QTR Raw'!C49</f>
        <v>76.63</v>
      </c>
      <c r="AJ92" s="3">
        <f>'QTR Raw'!D49</f>
        <v>76.63</v>
      </c>
      <c r="AK92" s="3">
        <f>'QTR Raw'!E49</f>
        <v>68.319999999999993</v>
      </c>
      <c r="AL92" s="3">
        <f>'QTR Raw'!F49</f>
        <v>70</v>
      </c>
      <c r="AM92" s="3">
        <f>'QTR Raw'!G49</f>
        <v>75</v>
      </c>
      <c r="AN92" s="3">
        <f>'QTR Raw'!H49</f>
        <v>75</v>
      </c>
      <c r="AO92" s="3">
        <f>'QTR Raw'!I49</f>
        <v>75</v>
      </c>
      <c r="AP92" s="3">
        <f>'QTR Raw'!J49</f>
        <v>75</v>
      </c>
      <c r="AQ92" s="3">
        <f>'QTR Raw'!K49</f>
        <v>75</v>
      </c>
      <c r="AR92" s="3">
        <f>'QTR Raw'!L49</f>
        <v>75</v>
      </c>
      <c r="AS92" s="3">
        <f>'QTR Raw'!M49</f>
        <v>75</v>
      </c>
      <c r="AT92" s="3">
        <f>'QTR Raw'!N49</f>
        <v>75</v>
      </c>
      <c r="AU92" s="3">
        <f>'QTR Raw'!O49</f>
        <v>58.13</v>
      </c>
      <c r="AV92" s="3">
        <f>'QTR Raw'!P49</f>
        <v>58.13</v>
      </c>
      <c r="AW92" s="3">
        <f>'QTR Raw'!Q49</f>
        <v>58.13</v>
      </c>
      <c r="AX92" s="3">
        <f>'QTR Raw'!R49</f>
        <v>63.13</v>
      </c>
      <c r="AY92" s="3">
        <f>'QTR Raw'!S49</f>
        <v>63.13</v>
      </c>
      <c r="AZ92" s="3">
        <f>'QTR Raw'!T49</f>
        <v>64.03</v>
      </c>
      <c r="BA92" s="3">
        <f>'QTR Raw'!U49</f>
        <v>64.89</v>
      </c>
      <c r="BB92" s="3">
        <f>'QTR Raw'!V49</f>
        <v>68.08</v>
      </c>
      <c r="BC92" s="3">
        <f>'QTR Raw'!W49</f>
        <v>68.08</v>
      </c>
      <c r="BD92" s="3">
        <f>'QTR Raw'!X49</f>
        <v>69.47</v>
      </c>
      <c r="BE92" s="3">
        <f>'QTR Raw'!Y49</f>
        <v>71.55</v>
      </c>
      <c r="BF92" s="3">
        <f>'QTR Raw'!Z49</f>
        <v>73.069999999999993</v>
      </c>
      <c r="BG92" s="3">
        <f>'QTR Raw'!AA49</f>
        <v>74.97</v>
      </c>
      <c r="BH92" s="3">
        <f>'QTR Raw'!AB49</f>
        <v>74.97</v>
      </c>
      <c r="BI92" s="3">
        <f>'QTR Raw'!AC49</f>
        <v>74.97</v>
      </c>
      <c r="BJ92" s="3">
        <f>'QTR Raw'!AD49</f>
        <v>74.97</v>
      </c>
      <c r="BK92" s="3">
        <f>'QTR Raw'!AE49</f>
        <v>74.97</v>
      </c>
      <c r="BL92" s="3">
        <f>'QTR Raw'!AF49</f>
        <v>74.97</v>
      </c>
      <c r="BM92" s="3">
        <f>'QTR Raw'!AG49</f>
        <v>74.97</v>
      </c>
      <c r="BN92" s="3">
        <f>'QTR Raw'!AH49</f>
        <v>74.97</v>
      </c>
      <c r="BO92" s="3">
        <f>'QTR Raw'!AI49</f>
        <v>74.97</v>
      </c>
      <c r="BP92" s="3">
        <f>'QTR Raw'!AJ49</f>
        <v>74.97</v>
      </c>
      <c r="BQ92" s="3">
        <f>'QTR Raw'!AK49</f>
        <v>74.97</v>
      </c>
      <c r="BR92" s="3">
        <f>'QTR Raw'!AL49</f>
        <v>74.97</v>
      </c>
      <c r="BS92" s="3">
        <f>'QTR Raw'!AM49</f>
        <v>74.97</v>
      </c>
      <c r="BT92" s="3">
        <f>'QTR Raw'!AN49</f>
        <v>74.97</v>
      </c>
      <c r="BU92" s="3">
        <f>'QTR Raw'!AO49</f>
        <v>74.97</v>
      </c>
      <c r="BV92" s="3">
        <f>'QTR Raw'!AP49</f>
        <v>74.97</v>
      </c>
      <c r="BW92" s="3">
        <f>'QTR Raw'!AQ49</f>
        <v>74.97</v>
      </c>
      <c r="BX92" s="3">
        <f>'QTR Raw'!AR49</f>
        <v>74.97</v>
      </c>
      <c r="BY92" s="3">
        <f>'QTR Raw'!AS49</f>
        <v>74.97</v>
      </c>
      <c r="BZ92" s="3">
        <f>'QTR Raw'!AT49</f>
        <v>74.97</v>
      </c>
      <c r="CA92" s="3">
        <f>'QTR Raw'!AU49</f>
        <v>74.97</v>
      </c>
      <c r="CB92" s="3">
        <f>'QTR Raw'!AV49</f>
        <v>70.02</v>
      </c>
      <c r="CC92" s="3">
        <f>'QTR Raw'!AW49</f>
        <v>71.75</v>
      </c>
      <c r="CD92" s="3">
        <f>'QTR Raw'!AX49</f>
        <v>71.75</v>
      </c>
      <c r="CE92" s="3">
        <f>'QTR Raw'!AY49</f>
        <v>72.709999999999994</v>
      </c>
      <c r="CF92" s="3">
        <f>'QTR Raw'!AZ49</f>
        <v>74.959999999999994</v>
      </c>
      <c r="CG92" s="3">
        <f>'QTR Raw'!BA49</f>
        <v>74.959999999999994</v>
      </c>
      <c r="CH92" s="3">
        <f>'QTR Raw'!BB49</f>
        <v>74.959999999999994</v>
      </c>
      <c r="CI92" s="3">
        <f>'QTR Raw'!BC49</f>
        <v>74.959999999999994</v>
      </c>
      <c r="CJ92" s="3">
        <f>'QTR Raw'!BD49</f>
        <v>74.959999999999994</v>
      </c>
      <c r="CK92" s="3">
        <f>'QTR Raw'!BE49</f>
        <v>74.959999999999994</v>
      </c>
      <c r="CL92" s="3">
        <f>'QTR Raw'!BF49</f>
        <v>74.959999999999994</v>
      </c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  <c r="DF92" s="3">
        <v>0</v>
      </c>
    </row>
    <row r="93" spans="1:110" s="3" customFormat="1" x14ac:dyDescent="0.2">
      <c r="A93" s="3" t="s">
        <v>35</v>
      </c>
      <c r="B93" s="3">
        <f>'Annual Raw'!C113</f>
        <v>0</v>
      </c>
      <c r="C93" s="3">
        <f>'Annual Raw'!D113</f>
        <v>0</v>
      </c>
      <c r="D93" s="3">
        <f>'Annual Raw'!E113</f>
        <v>0</v>
      </c>
      <c r="E93" s="3">
        <f>'Annual Raw'!F113</f>
        <v>0</v>
      </c>
      <c r="F93" s="3">
        <f>'Annual Raw'!G113</f>
        <v>0</v>
      </c>
      <c r="G93" s="3">
        <f>'Annual Raw'!H113</f>
        <v>0</v>
      </c>
      <c r="H93" s="3">
        <f>'Annual Raw'!I113</f>
        <v>0</v>
      </c>
      <c r="I93" s="3">
        <f>'Annual Raw'!J113</f>
        <v>0</v>
      </c>
      <c r="J93" s="3">
        <f>'Annual Raw'!K113</f>
        <v>0</v>
      </c>
      <c r="K93" s="3">
        <f>'Annual Raw'!L113</f>
        <v>55.3</v>
      </c>
      <c r="L93" s="3">
        <f>'Annual Raw'!M113</f>
        <v>53.56</v>
      </c>
      <c r="M93" s="3">
        <f>'Annual Raw'!N113</f>
        <v>20.39</v>
      </c>
      <c r="N93" s="3">
        <f>'Annual Raw'!O113</f>
        <v>24.79</v>
      </c>
      <c r="O93" s="3">
        <f>'Annual Raw'!P113</f>
        <v>19.28</v>
      </c>
      <c r="P93" s="3">
        <f>'Annual Raw'!Q113</f>
        <v>42.03</v>
      </c>
      <c r="Q93" s="3">
        <f>'Annual Raw'!R113</f>
        <v>43.66</v>
      </c>
      <c r="R93" s="3">
        <f>'Annual Raw'!S113</f>
        <v>31.62</v>
      </c>
      <c r="S93" s="3">
        <f>'Annual Raw'!T113</f>
        <v>31.92</v>
      </c>
      <c r="T93" s="3">
        <f>'Annual Raw'!U113</f>
        <v>30.2</v>
      </c>
      <c r="U93" s="3">
        <f>'Annual Raw'!V113</f>
        <v>32.46</v>
      </c>
      <c r="V93" s="3">
        <f>'Annual Raw'!W113</f>
        <v>29.11</v>
      </c>
      <c r="W93" s="3">
        <f>'Annual Raw'!X113</f>
        <v>27.37</v>
      </c>
      <c r="X93" s="3">
        <f>'Annual Raw'!Y113</f>
        <v>25.15</v>
      </c>
      <c r="Y93" s="3">
        <f>'Annual Raw'!Z113</f>
        <v>16.100000000000001</v>
      </c>
      <c r="Z93" s="3">
        <f>'Annual Raw'!AA113</f>
        <v>1.81</v>
      </c>
      <c r="AA93" s="3">
        <f>'Annual Raw'!AB113</f>
        <v>1.81</v>
      </c>
      <c r="AB93" s="37"/>
      <c r="AC93" s="37"/>
      <c r="AD93" s="37"/>
      <c r="AE93" s="37"/>
      <c r="AI93" s="3">
        <f>'QTR Raw'!C50</f>
        <v>19.559999999999999</v>
      </c>
      <c r="AJ93" s="3">
        <f>'QTR Raw'!D50</f>
        <v>23.8</v>
      </c>
      <c r="AK93" s="3">
        <f>'QTR Raw'!E50</f>
        <v>26.66</v>
      </c>
      <c r="AL93" s="3">
        <f>'QTR Raw'!F50</f>
        <v>24.79</v>
      </c>
      <c r="AM93" s="3">
        <f>'QTR Raw'!G50</f>
        <v>13.65</v>
      </c>
      <c r="AN93" s="3">
        <f>'QTR Raw'!H50</f>
        <v>13.65</v>
      </c>
      <c r="AO93" s="3">
        <f>'QTR Raw'!I50</f>
        <v>13.65</v>
      </c>
      <c r="AP93" s="3">
        <f>'QTR Raw'!J50</f>
        <v>19.28</v>
      </c>
      <c r="AQ93" s="3">
        <f>'QTR Raw'!K50</f>
        <v>31.96</v>
      </c>
      <c r="AR93" s="3">
        <f>'QTR Raw'!L50</f>
        <v>39.85</v>
      </c>
      <c r="AS93" s="3">
        <f>'QTR Raw'!M50</f>
        <v>39.85</v>
      </c>
      <c r="AT93" s="3">
        <f>'QTR Raw'!N50</f>
        <v>42.03</v>
      </c>
      <c r="AU93" s="3">
        <f>'QTR Raw'!O50</f>
        <v>44.41</v>
      </c>
      <c r="AV93" s="3">
        <f>'QTR Raw'!P50</f>
        <v>53.81</v>
      </c>
      <c r="AW93" s="3">
        <f>'QTR Raw'!Q50</f>
        <v>53.84</v>
      </c>
      <c r="AX93" s="3">
        <f>'QTR Raw'!R50</f>
        <v>43.66</v>
      </c>
      <c r="AY93" s="3">
        <f>'QTR Raw'!S50</f>
        <v>43.66</v>
      </c>
      <c r="AZ93" s="3">
        <f>'QTR Raw'!T50</f>
        <v>46.72</v>
      </c>
      <c r="BA93" s="3">
        <f>'QTR Raw'!U50</f>
        <v>45</v>
      </c>
      <c r="BB93" s="3">
        <f>'QTR Raw'!V50</f>
        <v>31.62</v>
      </c>
      <c r="BC93" s="3">
        <f>'QTR Raw'!W50</f>
        <v>35.15</v>
      </c>
      <c r="BD93" s="3">
        <f>'QTR Raw'!X50</f>
        <v>33.11</v>
      </c>
      <c r="BE93" s="3">
        <f>'QTR Raw'!Y50</f>
        <v>31.99</v>
      </c>
      <c r="BF93" s="3">
        <f>'QTR Raw'!Z50</f>
        <v>31.92</v>
      </c>
      <c r="BG93" s="3">
        <f>'QTR Raw'!AA50</f>
        <v>32.049999999999997</v>
      </c>
      <c r="BH93" s="3">
        <f>'QTR Raw'!AB50</f>
        <v>32.049999999999997</v>
      </c>
      <c r="BI93" s="3">
        <f>'QTR Raw'!AC50</f>
        <v>29.34</v>
      </c>
      <c r="BJ93" s="3">
        <f>'QTR Raw'!AD50</f>
        <v>30.2</v>
      </c>
      <c r="BK93" s="3">
        <f>'QTR Raw'!AE50</f>
        <v>29.32</v>
      </c>
      <c r="BL93" s="3">
        <f>'QTR Raw'!AF50</f>
        <v>29.32</v>
      </c>
      <c r="BM93" s="3">
        <f>'QTR Raw'!AG50</f>
        <v>29.9</v>
      </c>
      <c r="BN93" s="3">
        <f>'QTR Raw'!AH50</f>
        <v>32.46</v>
      </c>
      <c r="BO93" s="3">
        <f>'QTR Raw'!AI50</f>
        <v>31.64</v>
      </c>
      <c r="BP93" s="3">
        <f>'QTR Raw'!AJ50</f>
        <v>30.05</v>
      </c>
      <c r="BQ93" s="3">
        <f>'QTR Raw'!AK50</f>
        <v>29.21</v>
      </c>
      <c r="BR93" s="3">
        <f>'QTR Raw'!AL50</f>
        <v>29.11</v>
      </c>
      <c r="BS93" s="3">
        <f>'QTR Raw'!AM50</f>
        <v>28.6</v>
      </c>
      <c r="BT93" s="3">
        <f>'QTR Raw'!AN50</f>
        <v>27.37</v>
      </c>
      <c r="BU93" s="3">
        <f>'QTR Raw'!AO50</f>
        <v>27.37</v>
      </c>
      <c r="BV93" s="3">
        <f>'QTR Raw'!AP50</f>
        <v>27.37</v>
      </c>
      <c r="BW93" s="3">
        <f>'QTR Raw'!AQ50</f>
        <v>25.33</v>
      </c>
      <c r="BX93" s="3">
        <f>'QTR Raw'!AR50</f>
        <v>25.01</v>
      </c>
      <c r="BY93" s="3">
        <f>'QTR Raw'!AS50</f>
        <v>25.01</v>
      </c>
      <c r="BZ93" s="3">
        <f>'QTR Raw'!AT50</f>
        <v>25.15</v>
      </c>
      <c r="CA93" s="3">
        <f>'QTR Raw'!AU50</f>
        <v>25.06</v>
      </c>
      <c r="CB93" s="3">
        <f>'QTR Raw'!AV50</f>
        <v>16.239999999999998</v>
      </c>
      <c r="CC93" s="3">
        <f>'QTR Raw'!AW50</f>
        <v>15.85</v>
      </c>
      <c r="CD93" s="3">
        <f>'QTR Raw'!AX50</f>
        <v>16.100000000000001</v>
      </c>
      <c r="CE93" s="3">
        <f>'QTR Raw'!AY50</f>
        <v>0.45</v>
      </c>
      <c r="CF93" s="3">
        <f>'QTR Raw'!AZ50</f>
        <v>1.46</v>
      </c>
      <c r="CG93" s="3">
        <f>'QTR Raw'!BA50</f>
        <v>1.81</v>
      </c>
      <c r="CH93" s="3">
        <f>'QTR Raw'!BB50</f>
        <v>1.81</v>
      </c>
      <c r="CI93" s="3">
        <f>'QTR Raw'!BC50</f>
        <v>1.81</v>
      </c>
      <c r="CJ93" s="3">
        <f>'QTR Raw'!BD50</f>
        <v>1.81</v>
      </c>
      <c r="CK93" s="3">
        <f>'QTR Raw'!BE50</f>
        <v>1.81</v>
      </c>
      <c r="CL93" s="3">
        <f>'QTR Raw'!BF50</f>
        <v>1.81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  <c r="DF93" s="3">
        <v>0</v>
      </c>
    </row>
    <row r="94" spans="1:110" s="3" customFormat="1" x14ac:dyDescent="0.2">
      <c r="AB94" s="37"/>
      <c r="AC94" s="37"/>
      <c r="AD94" s="37"/>
      <c r="AE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13" customFormat="1" x14ac:dyDescent="0.2">
      <c r="A95" s="13" t="s">
        <v>36</v>
      </c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457</v>
      </c>
      <c r="B96" s="13">
        <f>'Annual Raw'!C106</f>
        <v>0</v>
      </c>
      <c r="C96" s="13">
        <f>'Annual Raw'!D106</f>
        <v>0</v>
      </c>
      <c r="D96" s="13">
        <f>'Annual Raw'!E106</f>
        <v>0</v>
      </c>
      <c r="E96" s="13">
        <f>'Annual Raw'!F106</f>
        <v>0</v>
      </c>
      <c r="F96" s="13">
        <f>'Annual Raw'!G106</f>
        <v>0</v>
      </c>
      <c r="G96" s="13">
        <f>'Annual Raw'!H106</f>
        <v>0</v>
      </c>
      <c r="H96" s="13">
        <f>'Annual Raw'!I106</f>
        <v>0</v>
      </c>
      <c r="I96" s="13">
        <f>'Annual Raw'!J106</f>
        <v>0</v>
      </c>
      <c r="J96" s="13">
        <f>'Annual Raw'!K106</f>
        <v>0</v>
      </c>
      <c r="K96" s="13">
        <f>'Annual Raw'!L106</f>
        <v>23.19</v>
      </c>
      <c r="L96" s="13">
        <f>'Annual Raw'!M106</f>
        <v>22.56</v>
      </c>
      <c r="M96" s="13">
        <f>'Annual Raw'!N106</f>
        <v>13.66</v>
      </c>
      <c r="N96" s="13">
        <f>'Annual Raw'!O106</f>
        <v>8.1300000000000008</v>
      </c>
      <c r="O96" s="13">
        <f>'Annual Raw'!P106</f>
        <v>9.73</v>
      </c>
      <c r="P96" s="13">
        <f>'Annual Raw'!Q106</f>
        <v>9.4600000000000009</v>
      </c>
      <c r="Q96" s="13">
        <f>'Annual Raw'!R106</f>
        <v>6.93</v>
      </c>
      <c r="R96" s="13">
        <f>'Annual Raw'!S106</f>
        <v>7.99</v>
      </c>
      <c r="S96" s="13">
        <f>'Annual Raw'!T106</f>
        <v>4.75</v>
      </c>
      <c r="T96" s="13">
        <f>'Annual Raw'!U106</f>
        <v>9.64</v>
      </c>
      <c r="U96" s="13">
        <f>'Annual Raw'!V106</f>
        <v>5.55</v>
      </c>
      <c r="V96" s="13">
        <f>'Annual Raw'!W106</f>
        <v>17.010000000000002</v>
      </c>
      <c r="W96" s="13">
        <f>'Annual Raw'!X106</f>
        <v>37.01</v>
      </c>
      <c r="X96" s="13">
        <f>'Annual Raw'!Y106</f>
        <v>38.32</v>
      </c>
      <c r="Y96" s="13">
        <f>'Annual Raw'!Z106</f>
        <v>106.74</v>
      </c>
      <c r="Z96" s="13">
        <f>'Annual Raw'!AA106</f>
        <v>101.84</v>
      </c>
      <c r="AA96" s="13">
        <f>'Annual Raw'!AB106</f>
        <v>150.5</v>
      </c>
      <c r="AB96" s="37">
        <f>+CP96</f>
        <v>181</v>
      </c>
      <c r="AC96" s="37">
        <f>+CT96</f>
        <v>181</v>
      </c>
      <c r="AD96" s="37">
        <f>+CX96</f>
        <v>181</v>
      </c>
      <c r="AE96" s="37">
        <f>+DB96</f>
        <v>181</v>
      </c>
      <c r="AJ96" s="13">
        <f>'QTR Share Price'!HP21</f>
        <v>10.57</v>
      </c>
      <c r="AK96" s="13">
        <f>'QTR Share Price'!HQ21</f>
        <v>12.34</v>
      </c>
      <c r="AL96" s="13">
        <f>'QTR Share Price'!HR21</f>
        <v>8.1300000000000008</v>
      </c>
      <c r="AM96" s="13">
        <f>'QTR Share Price'!HS21</f>
        <v>8.2899999999999991</v>
      </c>
      <c r="AN96" s="13">
        <f>'QTR Share Price'!HT21</f>
        <v>6.45</v>
      </c>
      <c r="AO96" s="13">
        <f>'QTR Share Price'!HU21</f>
        <v>7.8</v>
      </c>
      <c r="AP96" s="13">
        <f>'QTR Share Price'!HV21</f>
        <v>9.73</v>
      </c>
      <c r="AQ96" s="13">
        <f>'QTR Share Price'!HW21</f>
        <v>12.51</v>
      </c>
      <c r="AR96" s="13">
        <f>'QTR Share Price'!HX21</f>
        <v>8.68</v>
      </c>
      <c r="AS96" s="13">
        <f>'QTR Share Price'!HY21</f>
        <v>8.8699999999999992</v>
      </c>
      <c r="AT96" s="13">
        <f>'QTR Share Price'!HZ21</f>
        <v>9.4600000000000009</v>
      </c>
      <c r="AU96" s="13">
        <f>'QTR Share Price'!IA21</f>
        <v>5.85</v>
      </c>
      <c r="AV96" s="13">
        <f>'QTR Share Price'!IB21</f>
        <v>4.9400000000000004</v>
      </c>
      <c r="AW96" s="13">
        <f>'QTR Share Price'!IC21</f>
        <v>6.45</v>
      </c>
      <c r="AX96" s="13">
        <f>'QTR Share Price'!ID21</f>
        <v>6.93</v>
      </c>
      <c r="AY96" s="13">
        <f>'QTR Share Price'!IE21</f>
        <v>6.07</v>
      </c>
      <c r="AZ96" s="13">
        <f>'QTR Share Price'!IF21</f>
        <v>4.99</v>
      </c>
      <c r="BA96" s="13">
        <f>'QTR Share Price'!IG21</f>
        <v>6.02</v>
      </c>
      <c r="BB96" s="13">
        <f>'QTR Share Price'!IH21</f>
        <v>7.99</v>
      </c>
      <c r="BC96" s="13">
        <f>'QTR Share Price'!II21</f>
        <v>5.94</v>
      </c>
      <c r="BD96" s="13">
        <f>'QTR Share Price'!IJ21</f>
        <v>5.91</v>
      </c>
      <c r="BE96" s="13">
        <f>'QTR Share Price'!IK21</f>
        <v>8.33</v>
      </c>
      <c r="BF96" s="13">
        <f>'QTR Share Price'!IL21</f>
        <v>4.75</v>
      </c>
      <c r="BG96" s="13">
        <f>'QTR Share Price'!IM21</f>
        <v>3.23</v>
      </c>
      <c r="BH96" s="13">
        <f>'QTR Share Price'!IN21</f>
        <v>4.7699999999999996</v>
      </c>
      <c r="BI96" s="13">
        <f>'QTR Share Price'!IO21</f>
        <v>10.18</v>
      </c>
      <c r="BJ96" s="13">
        <f>'QTR Share Price'!IP21</f>
        <v>9.64</v>
      </c>
      <c r="BK96" s="13">
        <f>'QTR Share Price'!IQ21</f>
        <v>10.26</v>
      </c>
      <c r="BL96" s="13">
        <f>'QTR Share Price'!IR21</f>
        <v>12.86</v>
      </c>
      <c r="BM96" s="13">
        <f>'QTR Share Price'!IS21</f>
        <v>12.36</v>
      </c>
      <c r="BN96" s="13">
        <f>'QTR Share Price'!IT21</f>
        <v>5.55</v>
      </c>
      <c r="BO96" s="13">
        <f>'QTR Share Price'!IU21</f>
        <v>7.2</v>
      </c>
      <c r="BP96" s="13">
        <f>'QTR Share Price'!IV21</f>
        <v>7.37</v>
      </c>
      <c r="BQ96" s="13">
        <f>'QTR Share Price'!IW21</f>
        <v>9.94</v>
      </c>
      <c r="BR96" s="13">
        <f>'QTR Share Price'!IX21</f>
        <v>17.010000000000002</v>
      </c>
      <c r="BS96" s="13">
        <f>'QTR Share Price'!IY21</f>
        <v>22.68</v>
      </c>
      <c r="BT96" s="13">
        <f>'QTR Share Price'!IZ21</f>
        <v>19.43</v>
      </c>
      <c r="BU96" s="13">
        <f>'QTR Share Price'!JA21</f>
        <v>19.95</v>
      </c>
      <c r="BV96" s="13">
        <f>'QTR Share Price'!JB21</f>
        <v>37.01</v>
      </c>
      <c r="BW96" s="13">
        <f>'QTR Share Price'!JC21</f>
        <v>52.51</v>
      </c>
      <c r="BX96" s="13">
        <f>'QTR Share Price'!JD21</f>
        <v>74.760000000000005</v>
      </c>
      <c r="BY96" s="13">
        <f>'QTR Share Price'!JE21</f>
        <v>59.88</v>
      </c>
      <c r="BZ96" s="13">
        <f>'QTR Share Price'!JF21</f>
        <v>38.32</v>
      </c>
      <c r="CA96" s="13">
        <f>'QTR Share Price'!JG21</f>
        <v>49.99</v>
      </c>
      <c r="CB96" s="13">
        <f>'QTR Share Price'!JH21</f>
        <v>75.430000000000007</v>
      </c>
      <c r="CC96" s="13">
        <f>'QTR Share Price'!JI21</f>
        <v>104.97</v>
      </c>
      <c r="CD96" s="13">
        <f>'QTR Share Price'!JJ21</f>
        <v>106.74</v>
      </c>
      <c r="CE96" s="13">
        <f>'QTR Share Price'!JK21</f>
        <v>143.63999999999999</v>
      </c>
      <c r="CF96" s="13">
        <f>'QTR Share Price'!JL21</f>
        <v>131.21</v>
      </c>
      <c r="CG96" s="13">
        <f>'QTR Share Price'!JM21</f>
        <v>105.83</v>
      </c>
      <c r="CH96" s="13">
        <f>'QTR Share Price'!JN21</f>
        <v>101.84</v>
      </c>
      <c r="CI96" s="13">
        <f>'QTR Share Price'!JO21</f>
        <v>117.16</v>
      </c>
      <c r="CJ96" s="13">
        <f>'QTR Share Price'!JP21</f>
        <v>144.65</v>
      </c>
      <c r="CK96" s="13">
        <f>'QTR Share Price'!JQ21</f>
        <v>143</v>
      </c>
      <c r="CL96" s="13">
        <f>'QTR Share Price'!JR21</f>
        <v>150.5</v>
      </c>
      <c r="CM96" s="37">
        <v>181</v>
      </c>
      <c r="CN96" s="37">
        <f t="shared" ref="CN96" si="858">+CM96</f>
        <v>181</v>
      </c>
      <c r="CO96" s="37">
        <f t="shared" ref="CO96" si="859">+CN96</f>
        <v>181</v>
      </c>
      <c r="CP96" s="37">
        <f t="shared" ref="CP96" si="860">+CO96</f>
        <v>181</v>
      </c>
      <c r="CQ96" s="37">
        <f t="shared" ref="CQ96" si="861">+CP96</f>
        <v>181</v>
      </c>
      <c r="CR96" s="37">
        <f t="shared" ref="CR96" si="862">+CQ96</f>
        <v>181</v>
      </c>
      <c r="CS96" s="37">
        <f t="shared" ref="CS96" si="863">+CR96</f>
        <v>181</v>
      </c>
      <c r="CT96" s="37">
        <f t="shared" ref="CT96" si="864">+CS96</f>
        <v>181</v>
      </c>
      <c r="CU96" s="37">
        <f t="shared" ref="CU96" si="865">+CT96</f>
        <v>181</v>
      </c>
      <c r="CV96" s="37">
        <f t="shared" ref="CV96" si="866">+CU96</f>
        <v>181</v>
      </c>
      <c r="CW96" s="37">
        <f t="shared" ref="CW96" si="867">+CV96</f>
        <v>181</v>
      </c>
      <c r="CX96" s="37">
        <f t="shared" ref="CX96" si="868">+CW96</f>
        <v>181</v>
      </c>
      <c r="CY96" s="37">
        <f t="shared" ref="CY96" si="869">+CX96</f>
        <v>181</v>
      </c>
      <c r="CZ96" s="37">
        <f t="shared" ref="CZ96" si="870">+CY96</f>
        <v>181</v>
      </c>
      <c r="DA96" s="37">
        <f t="shared" ref="DA96" si="871">+CZ96</f>
        <v>181</v>
      </c>
      <c r="DB96" s="37">
        <f t="shared" ref="DB96" si="872">+DA96</f>
        <v>181</v>
      </c>
      <c r="DE96" s="134"/>
      <c r="DF96" s="13">
        <v>0</v>
      </c>
    </row>
    <row r="97" spans="1:110" s="13" customFormat="1" x14ac:dyDescent="0.2">
      <c r="A97" s="13" t="s">
        <v>458</v>
      </c>
      <c r="B97" s="13">
        <f>'Annual Raw'!C107</f>
        <v>0</v>
      </c>
      <c r="C97" s="13">
        <f>'Annual Raw'!D107</f>
        <v>0</v>
      </c>
      <c r="D97" s="13">
        <f>'Annual Raw'!E107</f>
        <v>0</v>
      </c>
      <c r="E97" s="13">
        <f>'Annual Raw'!F107</f>
        <v>0</v>
      </c>
      <c r="F97" s="13">
        <f>'Annual Raw'!G107</f>
        <v>0</v>
      </c>
      <c r="G97" s="13">
        <f>'Annual Raw'!H107</f>
        <v>0</v>
      </c>
      <c r="H97" s="13">
        <f>'Annual Raw'!I107</f>
        <v>0</v>
      </c>
      <c r="I97" s="13">
        <f>'Annual Raw'!J107</f>
        <v>0</v>
      </c>
      <c r="J97" s="13">
        <f>'Annual Raw'!K107</f>
        <v>0</v>
      </c>
      <c r="K97" s="13">
        <f>'Annual Raw'!L107</f>
        <v>23.56</v>
      </c>
      <c r="L97" s="13">
        <f>'Annual Raw'!M107</f>
        <v>28.91</v>
      </c>
      <c r="M97" s="13">
        <f>'Annual Raw'!N107</f>
        <v>24.3</v>
      </c>
      <c r="N97" s="13">
        <f>'Annual Raw'!O107</f>
        <v>14.77</v>
      </c>
      <c r="O97" s="13">
        <f>'Annual Raw'!P107</f>
        <v>12.48</v>
      </c>
      <c r="P97" s="13">
        <f>'Annual Raw'!Q107</f>
        <v>13.7</v>
      </c>
      <c r="Q97" s="13">
        <f>'Annual Raw'!R107</f>
        <v>10.09</v>
      </c>
      <c r="R97" s="13">
        <f>'Annual Raw'!S107</f>
        <v>8.26</v>
      </c>
      <c r="S97" s="13">
        <f>'Annual Raw'!T107</f>
        <v>9.5500000000000007</v>
      </c>
      <c r="T97" s="13">
        <f>'Annual Raw'!U107</f>
        <v>11.64</v>
      </c>
      <c r="U97" s="13">
        <f>'Annual Raw'!V107</f>
        <v>14.75</v>
      </c>
      <c r="V97" s="13">
        <f>'Annual Raw'!W107</f>
        <v>21.8</v>
      </c>
      <c r="W97" s="13">
        <f>'Annual Raw'!X107</f>
        <v>37.520000000000003</v>
      </c>
      <c r="X97" s="13">
        <f>'Annual Raw'!Y107</f>
        <v>86.56</v>
      </c>
      <c r="Y97" s="13">
        <f>'Annual Raw'!Z107</f>
        <v>117.86</v>
      </c>
      <c r="Z97" s="13">
        <f>'Annual Raw'!AA107</f>
        <v>179.35</v>
      </c>
      <c r="AA97" s="13">
        <f>'Annual Raw'!AB107</f>
        <v>182.75</v>
      </c>
      <c r="AB97" s="37">
        <f>+MAX(CM97:CP97)</f>
        <v>191.87871271112411</v>
      </c>
      <c r="AC97" s="37">
        <f>+MAX(CQ97:CT97)</f>
        <v>232.82864926202498</v>
      </c>
      <c r="AD97" s="37">
        <f>+MAX(CU97:CX97)</f>
        <v>281.03678063660021</v>
      </c>
      <c r="AE97" s="37">
        <f>+MAX(CY97:DB97)</f>
        <v>342.8466071541464</v>
      </c>
      <c r="AJ97" s="13">
        <f>'QTR Share Price'!HP19</f>
        <v>10.8</v>
      </c>
      <c r="AK97" s="13">
        <f>'QTR Share Price'!HQ19</f>
        <v>14</v>
      </c>
      <c r="AL97" s="13">
        <f>'QTR Share Price'!HR19</f>
        <v>13.68</v>
      </c>
      <c r="AM97" s="13">
        <f>'QTR Share Price'!HS19</f>
        <v>12.48</v>
      </c>
      <c r="AN97" s="13">
        <f>'QTR Share Price'!HT19</f>
        <v>9.06</v>
      </c>
      <c r="AO97" s="13">
        <f>'QTR Share Price'!HU19</f>
        <v>8.58</v>
      </c>
      <c r="AP97" s="13">
        <f>'QTR Share Price'!HV19</f>
        <v>10.4</v>
      </c>
      <c r="AQ97" s="13">
        <f>'QTR Share Price'!HW19</f>
        <v>13.7</v>
      </c>
      <c r="AR97" s="13">
        <f>'QTR Share Price'!HX19</f>
        <v>13.39</v>
      </c>
      <c r="AS97" s="13">
        <f>'QTR Share Price'!HY19</f>
        <v>10.02</v>
      </c>
      <c r="AT97" s="13">
        <f>'QTR Share Price'!HZ19</f>
        <v>12</v>
      </c>
      <c r="AU97" s="13">
        <f>'QTR Share Price'!IA19</f>
        <v>10.09</v>
      </c>
      <c r="AV97" s="13">
        <f>'QTR Share Price'!IB19</f>
        <v>6.23</v>
      </c>
      <c r="AW97" s="13">
        <f>'QTR Share Price'!IC19</f>
        <v>6.51</v>
      </c>
      <c r="AX97" s="13">
        <f>'QTR Share Price'!ID19</f>
        <v>7.15</v>
      </c>
      <c r="AY97" s="13">
        <f>'QTR Share Price'!IE19</f>
        <v>7.22</v>
      </c>
      <c r="AZ97" s="13">
        <f>'QTR Share Price'!IF19</f>
        <v>6.19</v>
      </c>
      <c r="BA97" s="13">
        <f>'QTR Share Price'!IG19</f>
        <v>6.79</v>
      </c>
      <c r="BB97" s="13">
        <f>'QTR Share Price'!IH19</f>
        <v>8.26</v>
      </c>
      <c r="BC97" s="13">
        <f>'QTR Share Price'!II19</f>
        <v>9.26</v>
      </c>
      <c r="BD97" s="13">
        <f>'QTR Share Price'!IJ19</f>
        <v>7.09</v>
      </c>
      <c r="BE97" s="13">
        <f>'QTR Share Price'!IK19</f>
        <v>8.42</v>
      </c>
      <c r="BF97" s="13">
        <f>'QTR Share Price'!IL19</f>
        <v>9.5500000000000007</v>
      </c>
      <c r="BG97" s="13">
        <f>'QTR Share Price'!IM19</f>
        <v>5.38</v>
      </c>
      <c r="BH97" s="13">
        <f>'QTR Share Price'!IN19</f>
        <v>7.21</v>
      </c>
      <c r="BI97" s="13">
        <f>'QTR Share Price'!IO19</f>
        <v>11.64</v>
      </c>
      <c r="BJ97" s="13">
        <f>'QTR Share Price'!IP19</f>
        <v>10.65</v>
      </c>
      <c r="BK97" s="13">
        <f>'QTR Share Price'!IQ19</f>
        <v>11.16</v>
      </c>
      <c r="BL97" s="13">
        <f>'QTR Share Price'!IR19</f>
        <v>13.97</v>
      </c>
      <c r="BM97" s="13">
        <f>'QTR Share Price'!IS19</f>
        <v>14.75</v>
      </c>
      <c r="BN97" s="13">
        <f>'QTR Share Price'!IT19</f>
        <v>13.19</v>
      </c>
      <c r="BO97" s="13">
        <f>'QTR Share Price'!IU19</f>
        <v>8.44</v>
      </c>
      <c r="BP97" s="13">
        <f>'QTR Share Price'!IV19</f>
        <v>8.31</v>
      </c>
      <c r="BQ97" s="13">
        <f>'QTR Share Price'!IW19</f>
        <v>12.8</v>
      </c>
      <c r="BR97" s="13">
        <f>'QTR Share Price'!IX19</f>
        <v>21.8</v>
      </c>
      <c r="BS97" s="13">
        <f>'QTR Share Price'!IY19</f>
        <v>33.409999999999997</v>
      </c>
      <c r="BT97" s="13">
        <f>'QTR Share Price'!IZ19</f>
        <v>22.9</v>
      </c>
      <c r="BU97" s="13">
        <f>'QTR Share Price'!JA19</f>
        <v>27.11</v>
      </c>
      <c r="BV97" s="13">
        <f>'QTR Share Price'!JB19</f>
        <v>37.520000000000003</v>
      </c>
      <c r="BW97" s="13">
        <f>'QTR Share Price'!JC19</f>
        <v>68.95</v>
      </c>
      <c r="BX97" s="13">
        <f>'QTR Share Price'!JD19</f>
        <v>86.56</v>
      </c>
      <c r="BY97" s="13">
        <f>'QTR Share Price'!JE19</f>
        <v>76.59</v>
      </c>
      <c r="BZ97" s="13">
        <f>'QTR Share Price'!JF19</f>
        <v>60.98</v>
      </c>
      <c r="CA97" s="13">
        <f>'QTR Share Price'!JG19</f>
        <v>57.2</v>
      </c>
      <c r="CB97" s="13">
        <f>'QTR Share Price'!JH19</f>
        <v>82</v>
      </c>
      <c r="CC97" s="13">
        <f>'QTR Share Price'!JI19</f>
        <v>117.86</v>
      </c>
      <c r="CD97" s="13">
        <f>'QTR Share Price'!JJ19</f>
        <v>116.98</v>
      </c>
      <c r="CE97" s="13">
        <f>'QTR Share Price'!JK19</f>
        <v>179.35</v>
      </c>
      <c r="CF97" s="13">
        <f>'QTR Share Price'!JL19</f>
        <v>150.43</v>
      </c>
      <c r="CG97" s="13">
        <f>'QTR Share Price'!JM19</f>
        <v>132.12</v>
      </c>
      <c r="CH97" s="13">
        <f>'QTR Share Price'!JN19</f>
        <v>119.98</v>
      </c>
      <c r="CI97" s="13">
        <f>'QTR Share Price'!JO19</f>
        <v>122</v>
      </c>
      <c r="CJ97" s="13">
        <f>'QTR Share Price'!JP19</f>
        <v>182.75</v>
      </c>
      <c r="CK97" s="13">
        <f>'QTR Share Price'!JQ19</f>
        <v>174.5</v>
      </c>
      <c r="CL97" s="13">
        <f>'QTR Share Price'!JR19</f>
        <v>158.1</v>
      </c>
      <c r="CM97" s="37">
        <f t="shared" ref="CM97:DB97" si="873">+CM114*CM111</f>
        <v>166.56990816784756</v>
      </c>
      <c r="CN97" s="37">
        <f t="shared" si="873"/>
        <v>174.00934075324648</v>
      </c>
      <c r="CO97" s="37">
        <f t="shared" si="873"/>
        <v>181.5521146638736</v>
      </c>
      <c r="CP97" s="37">
        <f t="shared" si="873"/>
        <v>191.87871271112411</v>
      </c>
      <c r="CQ97" s="37">
        <f t="shared" si="873"/>
        <v>200.99725914165919</v>
      </c>
      <c r="CR97" s="37">
        <f t="shared" si="873"/>
        <v>210.32212795318159</v>
      </c>
      <c r="CS97" s="37">
        <f t="shared" si="873"/>
        <v>220.22575338383217</v>
      </c>
      <c r="CT97" s="37">
        <f t="shared" si="873"/>
        <v>232.82864926202498</v>
      </c>
      <c r="CU97" s="37">
        <f t="shared" si="873"/>
        <v>243.37061986282893</v>
      </c>
      <c r="CV97" s="37">
        <f t="shared" si="873"/>
        <v>253.96836735450654</v>
      </c>
      <c r="CW97" s="37">
        <f t="shared" si="873"/>
        <v>265.81840365499477</v>
      </c>
      <c r="CX97" s="37">
        <f t="shared" si="873"/>
        <v>281.03678063660021</v>
      </c>
      <c r="CY97" s="37">
        <f t="shared" si="873"/>
        <v>294.11817911691401</v>
      </c>
      <c r="CZ97" s="37">
        <f t="shared" si="873"/>
        <v>308.10174797863698</v>
      </c>
      <c r="DA97" s="37">
        <f t="shared" si="873"/>
        <v>322.97898871598517</v>
      </c>
      <c r="DB97" s="37">
        <f t="shared" si="873"/>
        <v>342.8466071541464</v>
      </c>
      <c r="DE97" s="134"/>
      <c r="DF97" s="13">
        <v>0</v>
      </c>
    </row>
    <row r="98" spans="1:110" s="13" customFormat="1" x14ac:dyDescent="0.2">
      <c r="A98" s="13" t="s">
        <v>459</v>
      </c>
      <c r="B98" s="13">
        <f>'Annual Raw'!C108</f>
        <v>0</v>
      </c>
      <c r="C98" s="13">
        <f>'Annual Raw'!D108</f>
        <v>0</v>
      </c>
      <c r="D98" s="13">
        <f>'Annual Raw'!E108</f>
        <v>0</v>
      </c>
      <c r="E98" s="13">
        <f>'Annual Raw'!F108</f>
        <v>0</v>
      </c>
      <c r="F98" s="13">
        <f>'Annual Raw'!G108</f>
        <v>0</v>
      </c>
      <c r="G98" s="13">
        <f>'Annual Raw'!H108</f>
        <v>0</v>
      </c>
      <c r="H98" s="13">
        <f>'Annual Raw'!I108</f>
        <v>0</v>
      </c>
      <c r="I98" s="13">
        <f>'Annual Raw'!J108</f>
        <v>0</v>
      </c>
      <c r="J98" s="13">
        <f>'Annual Raw'!K108</f>
        <v>0</v>
      </c>
      <c r="K98" s="13">
        <f>'Annual Raw'!L108</f>
        <v>18.05</v>
      </c>
      <c r="L98" s="13">
        <f>'Annual Raw'!M108</f>
        <v>21.5</v>
      </c>
      <c r="M98" s="13">
        <f>'Annual Raw'!N108</f>
        <v>11.88</v>
      </c>
      <c r="N98" s="13">
        <f>'Annual Raw'!O108</f>
        <v>7.36</v>
      </c>
      <c r="O98" s="13">
        <f>'Annual Raw'!P108</f>
        <v>5.89</v>
      </c>
      <c r="P98" s="13">
        <f>'Annual Raw'!Q108</f>
        <v>7.76</v>
      </c>
      <c r="Q98" s="13">
        <f>'Annual Raw'!R108</f>
        <v>3.93</v>
      </c>
      <c r="R98" s="13">
        <f>'Annual Raw'!S108</f>
        <v>4.67</v>
      </c>
      <c r="S98" s="13">
        <f>'Annual Raw'!T108</f>
        <v>4.63</v>
      </c>
      <c r="T98" s="13">
        <f>'Annual Raw'!U108</f>
        <v>3.04</v>
      </c>
      <c r="U98" s="13">
        <f>'Annual Raw'!V108</f>
        <v>4.8600000000000003</v>
      </c>
      <c r="V98" s="13">
        <f>'Annual Raw'!W108</f>
        <v>5.2</v>
      </c>
      <c r="W98" s="13">
        <f>'Annual Raw'!X108</f>
        <v>13.99</v>
      </c>
      <c r="X98" s="13">
        <f>'Annual Raw'!Y108</f>
        <v>26.51</v>
      </c>
      <c r="Y98" s="13">
        <f>'Annual Raw'!Z108</f>
        <v>37.020000000000003</v>
      </c>
      <c r="Z98" s="13">
        <f>'Annual Raw'!AA108</f>
        <v>86.17</v>
      </c>
      <c r="AA98" s="13">
        <f>'Annual Raw'!AB108</f>
        <v>94.41</v>
      </c>
      <c r="AB98" s="37">
        <f>+MIN(CM98:CP98)</f>
        <v>135.22610824379021</v>
      </c>
      <c r="AC98" s="37">
        <f>+MIN(CQ98:CT98)</f>
        <v>163.17519424941148</v>
      </c>
      <c r="AD98" s="37">
        <f>+MIN(CU98:CX98)</f>
        <v>197.57507311444712</v>
      </c>
      <c r="AE98" s="37">
        <f>+MIN(CY98:DB98)</f>
        <v>238.77336046588178</v>
      </c>
      <c r="AJ98" s="13">
        <f>+'QTR Share Price'!HP20</f>
        <v>7.36</v>
      </c>
      <c r="AK98" s="13">
        <f>+'QTR Share Price'!HQ20</f>
        <v>9.23</v>
      </c>
      <c r="AL98" s="13">
        <f>+'QTR Share Price'!HR20</f>
        <v>7.66</v>
      </c>
      <c r="AM98" s="13">
        <f>+'QTR Share Price'!HS20</f>
        <v>7.8</v>
      </c>
      <c r="AN98" s="13">
        <f>+'QTR Share Price'!HT20</f>
        <v>5.89</v>
      </c>
      <c r="AO98" s="13">
        <f>+'QTR Share Price'!HU20</f>
        <v>6.36</v>
      </c>
      <c r="AP98" s="13">
        <f>+'QTR Share Price'!HV20</f>
        <v>6.38</v>
      </c>
      <c r="AQ98" s="13">
        <f>+'QTR Share Price'!HW20</f>
        <v>8.92</v>
      </c>
      <c r="AR98" s="13">
        <f>+'QTR Share Price'!HX20</f>
        <v>8.41</v>
      </c>
      <c r="AS98" s="13">
        <f>+'QTR Share Price'!HY20</f>
        <v>7.76</v>
      </c>
      <c r="AT98" s="13">
        <f>+'QTR Share Price'!HZ20</f>
        <v>8.66</v>
      </c>
      <c r="AU98" s="13">
        <f>+'QTR Share Price'!IA20</f>
        <v>5.3</v>
      </c>
      <c r="AV98" s="13">
        <f>+'QTR Share Price'!IB20</f>
        <v>3.93</v>
      </c>
      <c r="AW98" s="13">
        <f>+'QTR Share Price'!IC20</f>
        <v>4.84</v>
      </c>
      <c r="AX98" s="13">
        <f>+'QTR Share Price'!ID20</f>
        <v>4.49</v>
      </c>
      <c r="AY98" s="13">
        <f>+'QTR Share Price'!IE20</f>
        <v>5.43</v>
      </c>
      <c r="AZ98" s="13">
        <f>+'QTR Share Price'!IF20</f>
        <v>4.9400000000000004</v>
      </c>
      <c r="BA98" s="13">
        <f>+'QTR Share Price'!IG20</f>
        <v>4.67</v>
      </c>
      <c r="BB98" s="13">
        <f>+'QTR Share Price'!IH20</f>
        <v>5.84</v>
      </c>
      <c r="BC98" s="13">
        <f>+'QTR Share Price'!II20</f>
        <v>5.18</v>
      </c>
      <c r="BD98" s="13">
        <f>+'QTR Share Price'!IJ20</f>
        <v>5.18</v>
      </c>
      <c r="BE98" s="13">
        <f>+'QTR Share Price'!IK20</f>
        <v>5.75</v>
      </c>
      <c r="BF98" s="13">
        <f>+'QTR Share Price'!IL20</f>
        <v>4.63</v>
      </c>
      <c r="BG98" s="13">
        <f>+'QTR Share Price'!IM20</f>
        <v>3.08</v>
      </c>
      <c r="BH98" s="13">
        <f>+'QTR Share Price'!IN20</f>
        <v>3.04</v>
      </c>
      <c r="BI98" s="13">
        <f>+'QTR Share Price'!IO20</f>
        <v>4.22</v>
      </c>
      <c r="BJ98" s="13">
        <f>+'QTR Share Price'!IP20</f>
        <v>6.67</v>
      </c>
      <c r="BK98" s="13">
        <f>+'QTR Share Price'!IQ20</f>
        <v>7.45</v>
      </c>
      <c r="BL98" s="13">
        <f>+'QTR Share Price'!IR20</f>
        <v>10.16</v>
      </c>
      <c r="BM98" s="13">
        <f>+'QTR Share Price'!IS20</f>
        <v>11.68</v>
      </c>
      <c r="BN98" s="13">
        <f>+'QTR Share Price'!IT20</f>
        <v>4.8600000000000003</v>
      </c>
      <c r="BO98" s="13">
        <f>+'QTR Share Price'!IU20</f>
        <v>5.2</v>
      </c>
      <c r="BP98" s="13">
        <f>+'QTR Share Price'!IV20</f>
        <v>6.87</v>
      </c>
      <c r="BQ98" s="13">
        <f>+'QTR Share Price'!IW20</f>
        <v>6.9</v>
      </c>
      <c r="BR98" s="13">
        <f>+'QTR Share Price'!IX20</f>
        <v>9.68</v>
      </c>
      <c r="BS98" s="13">
        <f>+'QTR Share Price'!IY20</f>
        <v>16.27</v>
      </c>
      <c r="BT98" s="13">
        <f>+'QTR Share Price'!IZ20</f>
        <v>13.99</v>
      </c>
      <c r="BU98" s="13">
        <f>+'QTR Share Price'!JA20</f>
        <v>18.72</v>
      </c>
      <c r="BV98" s="13">
        <f>+'QTR Share Price'!JB20</f>
        <v>19.600000000000001</v>
      </c>
      <c r="BW98" s="13">
        <f>+'QTR Share Price'!JC20</f>
        <v>37.520000000000003</v>
      </c>
      <c r="BX98" s="13">
        <f>+'QTR Share Price'!JD20</f>
        <v>51.04</v>
      </c>
      <c r="BY98" s="13">
        <f>+'QTR Share Price'!JE20</f>
        <v>49.83</v>
      </c>
      <c r="BZ98" s="13">
        <f>+'QTR Share Price'!JF20</f>
        <v>26.51</v>
      </c>
      <c r="CA98" s="13">
        <f>+'QTR Share Price'!JG20</f>
        <v>37.020000000000003</v>
      </c>
      <c r="CB98" s="13">
        <f>+'QTR Share Price'!JH20</f>
        <v>47.14</v>
      </c>
      <c r="CC98" s="13">
        <f>+'QTR Share Price'!JI20</f>
        <v>57.86</v>
      </c>
      <c r="CD98" s="13">
        <f>+'QTR Share Price'!JJ20</f>
        <v>100.34</v>
      </c>
      <c r="CE98" s="13">
        <f>+'QTR Share Price'!JK20</f>
        <v>108.88</v>
      </c>
      <c r="CF98" s="13">
        <f>+'QTR Share Price'!JL20</f>
        <v>123.8</v>
      </c>
      <c r="CG98" s="13">
        <f>+'QTR Share Price'!JM20</f>
        <v>86.17</v>
      </c>
      <c r="CH98" s="13">
        <f>+'QTR Share Price'!JN20</f>
        <v>89.07</v>
      </c>
      <c r="CI98" s="13">
        <f>+'QTR Share Price'!JO20</f>
        <v>94.41</v>
      </c>
      <c r="CJ98" s="13">
        <f>+'QTR Share Price'!JP20</f>
        <v>110.47</v>
      </c>
      <c r="CK98" s="13">
        <f>+'QTR Share Price'!JQ20</f>
        <v>135</v>
      </c>
      <c r="CL98" s="13">
        <f>+'QTR Share Price'!JR20</f>
        <v>128.35</v>
      </c>
      <c r="CM98" s="37">
        <f t="shared" ref="CM98:DB98" si="874">+CM115*CM111</f>
        <v>135.22610824379021</v>
      </c>
      <c r="CN98" s="37">
        <f t="shared" si="874"/>
        <v>141.26564760075385</v>
      </c>
      <c r="CO98" s="37">
        <f t="shared" si="874"/>
        <v>147.38908233465006</v>
      </c>
      <c r="CP98" s="37">
        <f t="shared" si="874"/>
        <v>155.77250332999859</v>
      </c>
      <c r="CQ98" s="37">
        <f t="shared" si="874"/>
        <v>163.17519424941148</v>
      </c>
      <c r="CR98" s="37">
        <f t="shared" si="874"/>
        <v>170.74538344586247</v>
      </c>
      <c r="CS98" s="37">
        <f t="shared" si="874"/>
        <v>178.78542344601428</v>
      </c>
      <c r="CT98" s="37">
        <f t="shared" si="874"/>
        <v>189.01680665895574</v>
      </c>
      <c r="CU98" s="37">
        <f t="shared" si="874"/>
        <v>197.57507311444712</v>
      </c>
      <c r="CV98" s="37">
        <f t="shared" si="874"/>
        <v>206.17862080930368</v>
      </c>
      <c r="CW98" s="37">
        <f t="shared" si="874"/>
        <v>215.79881156937748</v>
      </c>
      <c r="CX98" s="37">
        <f t="shared" si="874"/>
        <v>228.15351546304638</v>
      </c>
      <c r="CY98" s="37">
        <f t="shared" si="874"/>
        <v>238.77336046588178</v>
      </c>
      <c r="CZ98" s="37">
        <f t="shared" si="874"/>
        <v>250.12561260631279</v>
      </c>
      <c r="DA98" s="37">
        <f t="shared" si="874"/>
        <v>262.20337255975136</v>
      </c>
      <c r="DB98" s="37">
        <f t="shared" si="874"/>
        <v>278.3324606466457</v>
      </c>
      <c r="DE98" s="134"/>
      <c r="DF98" s="13">
        <v>0</v>
      </c>
    </row>
    <row r="99" spans="1:110" s="14" customFormat="1" x14ac:dyDescent="0.2">
      <c r="AB99" s="16"/>
      <c r="AC99" s="16"/>
      <c r="AD99" s="16"/>
      <c r="AE99" s="16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51" customFormat="1" x14ac:dyDescent="0.2">
      <c r="A100" s="51" t="s">
        <v>346</v>
      </c>
      <c r="AB100" s="48">
        <f t="shared" ref="AB100:AD100" si="875">+AB97/AB96-1</f>
        <v>6.0103385144332E-2</v>
      </c>
      <c r="AC100" s="48">
        <f t="shared" si="875"/>
        <v>0.28634612851947505</v>
      </c>
      <c r="AD100" s="48">
        <f t="shared" si="875"/>
        <v>0.55268939578232157</v>
      </c>
      <c r="AE100" s="48">
        <f t="shared" ref="AE100" si="876">+AE97/AE96-1</f>
        <v>0.89418015002290829</v>
      </c>
      <c r="CM100" s="48">
        <f t="shared" ref="CM100:DB100" si="877">+CM97/CM96-1</f>
        <v>-7.9724264266035627E-2</v>
      </c>
      <c r="CN100" s="48">
        <f t="shared" si="877"/>
        <v>-3.8622426777643826E-2</v>
      </c>
      <c r="CO100" s="48">
        <f t="shared" si="877"/>
        <v>3.0503572589701822E-3</v>
      </c>
      <c r="CP100" s="48">
        <f t="shared" si="877"/>
        <v>6.0103385144332E-2</v>
      </c>
      <c r="CQ100" s="48">
        <f t="shared" si="877"/>
        <v>0.11048209470529935</v>
      </c>
      <c r="CR100" s="48">
        <f t="shared" si="877"/>
        <v>0.16200070692365531</v>
      </c>
      <c r="CS100" s="48">
        <f t="shared" si="877"/>
        <v>0.21671686952393454</v>
      </c>
      <c r="CT100" s="48">
        <f t="shared" si="877"/>
        <v>0.28634612851947505</v>
      </c>
      <c r="CU100" s="48">
        <f t="shared" si="877"/>
        <v>0.34458906001562939</v>
      </c>
      <c r="CV100" s="48">
        <f t="shared" si="877"/>
        <v>0.40314015112987045</v>
      </c>
      <c r="CW100" s="48">
        <f t="shared" si="877"/>
        <v>0.4686099649447224</v>
      </c>
      <c r="CX100" s="48">
        <f t="shared" si="877"/>
        <v>0.55268939578232157</v>
      </c>
      <c r="CY100" s="48">
        <f t="shared" si="877"/>
        <v>0.62496231556306081</v>
      </c>
      <c r="CZ100" s="48">
        <f t="shared" si="877"/>
        <v>0.70221960209191692</v>
      </c>
      <c r="DA100" s="48">
        <f t="shared" si="877"/>
        <v>0.78441430229826059</v>
      </c>
      <c r="DB100" s="48">
        <f t="shared" si="877"/>
        <v>0.89418015002290829</v>
      </c>
      <c r="DE100" s="129"/>
    </row>
    <row r="101" spans="1:110" s="51" customFormat="1" x14ac:dyDescent="0.2">
      <c r="A101" s="51" t="s">
        <v>347</v>
      </c>
      <c r="AB101" s="48">
        <f t="shared" ref="AB101:AD101" si="878">+AB98/AB96-1</f>
        <v>-0.25289442959231934</v>
      </c>
      <c r="AC101" s="48">
        <f t="shared" si="878"/>
        <v>-9.8479589782257015E-2</v>
      </c>
      <c r="AD101" s="48">
        <f t="shared" si="878"/>
        <v>9.1574989582580812E-2</v>
      </c>
      <c r="AE101" s="48">
        <f t="shared" ref="AE101" si="879">+AE98/AE96-1</f>
        <v>0.31918983682807611</v>
      </c>
      <c r="CM101" s="48">
        <f t="shared" ref="CM101:DB101" si="880">+CM98/CM96-1</f>
        <v>-0.25289442959231934</v>
      </c>
      <c r="CN101" s="48">
        <f t="shared" si="880"/>
        <v>-0.21952680883561404</v>
      </c>
      <c r="CO101" s="48">
        <f t="shared" si="880"/>
        <v>-0.18569567770911577</v>
      </c>
      <c r="CP101" s="48">
        <f t="shared" si="880"/>
        <v>-0.13937843464089184</v>
      </c>
      <c r="CQ101" s="48">
        <f t="shared" si="880"/>
        <v>-9.8479589782257015E-2</v>
      </c>
      <c r="CR101" s="48">
        <f t="shared" si="880"/>
        <v>-5.6655340078107908E-2</v>
      </c>
      <c r="CS101" s="48">
        <f t="shared" si="880"/>
        <v>-1.2235229580031648E-2</v>
      </c>
      <c r="CT101" s="48">
        <f t="shared" si="880"/>
        <v>4.4291749496992994E-2</v>
      </c>
      <c r="CU101" s="48">
        <f t="shared" si="880"/>
        <v>9.1574989582580812E-2</v>
      </c>
      <c r="CV101" s="48">
        <f t="shared" si="880"/>
        <v>0.13910840226134624</v>
      </c>
      <c r="CW101" s="48">
        <f t="shared" si="880"/>
        <v>0.19225862745512412</v>
      </c>
      <c r="CX101" s="48">
        <f t="shared" si="880"/>
        <v>0.26051666001683071</v>
      </c>
      <c r="CY101" s="48">
        <f t="shared" si="880"/>
        <v>0.31918983682807611</v>
      </c>
      <c r="CZ101" s="48">
        <f t="shared" si="880"/>
        <v>0.38190946191333031</v>
      </c>
      <c r="DA101" s="48">
        <f t="shared" si="880"/>
        <v>0.44863741745718988</v>
      </c>
      <c r="DB101" s="48">
        <f t="shared" si="880"/>
        <v>0.53774840136268343</v>
      </c>
      <c r="DE101" s="129"/>
    </row>
    <row r="102" spans="1:110" s="14" customFormat="1" x14ac:dyDescent="0.2">
      <c r="AB102" s="16"/>
      <c r="AC102" s="16"/>
      <c r="AD102" s="16"/>
      <c r="AE102" s="16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E102" s="134"/>
    </row>
    <row r="103" spans="1:110" s="13" customFormat="1" x14ac:dyDescent="0.2">
      <c r="A103" s="13" t="s">
        <v>40</v>
      </c>
      <c r="AB103" s="37"/>
      <c r="AC103" s="37"/>
      <c r="AD103" s="37"/>
      <c r="AE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0" s="13" customFormat="1" x14ac:dyDescent="0.2">
      <c r="A104" s="13" t="s">
        <v>460</v>
      </c>
      <c r="B104" s="13" t="e">
        <f t="shared" ref="B104:D104" si="881">+B96/B88</f>
        <v>#DIV/0!</v>
      </c>
      <c r="C104" s="13" t="e">
        <f t="shared" si="881"/>
        <v>#DIV/0!</v>
      </c>
      <c r="D104" s="13" t="e">
        <f t="shared" si="881"/>
        <v>#DIV/0!</v>
      </c>
      <c r="E104" s="13">
        <f t="shared" ref="E104:AE104" si="882">+E96/E88</f>
        <v>0</v>
      </c>
      <c r="F104" s="13" t="e">
        <f t="shared" si="882"/>
        <v>#DIV/0!</v>
      </c>
      <c r="G104" s="13" t="e">
        <f t="shared" si="882"/>
        <v>#DIV/0!</v>
      </c>
      <c r="H104" s="13" t="e">
        <f t="shared" si="882"/>
        <v>#DIV/0!</v>
      </c>
      <c r="I104" s="13">
        <f t="shared" si="882"/>
        <v>0</v>
      </c>
      <c r="J104" s="13">
        <f t="shared" si="882"/>
        <v>0</v>
      </c>
      <c r="K104" s="13">
        <f t="shared" si="882"/>
        <v>262.89588677914287</v>
      </c>
      <c r="L104" s="13">
        <f t="shared" si="882"/>
        <v>83.434878797177021</v>
      </c>
      <c r="M104" s="13">
        <f t="shared" si="882"/>
        <v>-91.70083962822423</v>
      </c>
      <c r="N104" s="13">
        <f t="shared" si="882"/>
        <v>-6.7606674658375985</v>
      </c>
      <c r="O104" s="13">
        <f t="shared" si="882"/>
        <v>-95.778740748303207</v>
      </c>
      <c r="P104" s="13">
        <f t="shared" si="882"/>
        <v>-13.545683249183229</v>
      </c>
      <c r="Q104" s="13">
        <f t="shared" si="882"/>
        <v>24.263429738562198</v>
      </c>
      <c r="R104" s="13">
        <f t="shared" si="882"/>
        <v>-7.3464297872137463</v>
      </c>
      <c r="S104" s="13">
        <f t="shared" si="882"/>
        <v>-4.3558964787560335</v>
      </c>
      <c r="T104" s="13">
        <f t="shared" si="882"/>
        <v>-18.885057700121877</v>
      </c>
      <c r="U104" s="13">
        <f t="shared" si="882"/>
        <v>-8.4157704162669553</v>
      </c>
      <c r="V104" s="13">
        <f t="shared" si="882"/>
        <v>25.829756925305897</v>
      </c>
      <c r="W104" s="13">
        <f t="shared" si="882"/>
        <v>14.531510165771502</v>
      </c>
      <c r="X104" s="13">
        <f t="shared" si="882"/>
        <v>6.8892934227306943</v>
      </c>
      <c r="Y104" s="13">
        <f t="shared" si="882"/>
        <v>9.8827098357609842</v>
      </c>
      <c r="Z104" s="13">
        <f t="shared" ref="Z104:AA104" si="883">+Z96/Z88</f>
        <v>15.178829579627745</v>
      </c>
      <c r="AA104" s="13">
        <f t="shared" ref="AA104" si="884">+AA96/AA88</f>
        <v>22.613990244890644</v>
      </c>
      <c r="AB104" s="37">
        <f t="shared" si="882"/>
        <v>25.158736050106352</v>
      </c>
      <c r="AC104" s="37">
        <f t="shared" si="882"/>
        <v>20.752894602295765</v>
      </c>
      <c r="AD104" s="37">
        <f t="shared" si="882"/>
        <v>17.628348018893377</v>
      </c>
      <c r="AE104" s="37">
        <f t="shared" si="882"/>
        <v>13.749103744374686</v>
      </c>
      <c r="AL104" s="13">
        <f t="shared" ref="AL104:BQ104" si="885">+AL96/AL88</f>
        <v>-6.8194499973902616</v>
      </c>
      <c r="AM104" s="13">
        <f t="shared" si="885"/>
        <v>-5.9485244236407739</v>
      </c>
      <c r="AN104" s="13">
        <f t="shared" si="885"/>
        <v>-3.5532855796149225</v>
      </c>
      <c r="AO104" s="13">
        <f t="shared" si="885"/>
        <v>-4.420782465070622</v>
      </c>
      <c r="AP104" s="13">
        <f t="shared" si="885"/>
        <v>-65.037652421059931</v>
      </c>
      <c r="AQ104" s="13">
        <f t="shared" si="885"/>
        <v>32.918294536622582</v>
      </c>
      <c r="AR104" s="13">
        <f t="shared" si="885"/>
        <v>16.604292742927409</v>
      </c>
      <c r="AS104" s="13">
        <f t="shared" si="885"/>
        <v>15.214922615765019</v>
      </c>
      <c r="AT104" s="13">
        <f t="shared" si="885"/>
        <v>-13.545683249183259</v>
      </c>
      <c r="AU104" s="13">
        <f t="shared" si="885"/>
        <v>-8.4440207628514106</v>
      </c>
      <c r="AV104" s="13">
        <f t="shared" si="885"/>
        <v>-10.112456399206003</v>
      </c>
      <c r="AW104" s="13">
        <f t="shared" si="885"/>
        <v>-30.796314681851957</v>
      </c>
      <c r="AX104" s="13">
        <f t="shared" si="885"/>
        <v>24.263429738562088</v>
      </c>
      <c r="AY104" s="13">
        <f t="shared" si="885"/>
        <v>24.170083004687033</v>
      </c>
      <c r="AZ104" s="13">
        <f t="shared" si="885"/>
        <v>16.706710590277755</v>
      </c>
      <c r="BA104" s="13">
        <f t="shared" si="885"/>
        <v>-57.649167742576388</v>
      </c>
      <c r="BB104" s="13">
        <f t="shared" si="885"/>
        <v>-7.3464297872137543</v>
      </c>
      <c r="BC104" s="13">
        <f t="shared" si="885"/>
        <v>-4.9426186346338037</v>
      </c>
      <c r="BD104" s="13">
        <f t="shared" si="885"/>
        <v>-6.7531701319555122</v>
      </c>
      <c r="BE104" s="13">
        <f t="shared" si="885"/>
        <v>-6.8840281717904972</v>
      </c>
      <c r="BF104" s="13">
        <f t="shared" si="885"/>
        <v>-4.3558964787560335</v>
      </c>
      <c r="BG104" s="13">
        <f t="shared" si="885"/>
        <v>-2.5164863893085982</v>
      </c>
      <c r="BH104" s="13">
        <f t="shared" si="885"/>
        <v>-3.8244681010289989</v>
      </c>
      <c r="BI104" s="13">
        <f t="shared" si="885"/>
        <v>-8.6396650955643892</v>
      </c>
      <c r="BJ104" s="13">
        <f t="shared" si="885"/>
        <v>-18.885057700121912</v>
      </c>
      <c r="BK104" s="13">
        <f t="shared" si="885"/>
        <v>34.023045653856073</v>
      </c>
      <c r="BL104" s="13">
        <f t="shared" si="885"/>
        <v>125.67205938988555</v>
      </c>
      <c r="BM104" s="13">
        <f t="shared" si="885"/>
        <v>35.272713981295148</v>
      </c>
      <c r="BN104" s="13">
        <f t="shared" si="885"/>
        <v>-8.4157704162669642</v>
      </c>
      <c r="BO104" s="13">
        <f t="shared" si="885"/>
        <v>-5.1520511754927574</v>
      </c>
      <c r="BP104" s="13">
        <f t="shared" si="885"/>
        <v>-30.261298145506355</v>
      </c>
      <c r="BQ104" s="13">
        <f t="shared" si="885"/>
        <v>-341.99806958073208</v>
      </c>
      <c r="BR104" s="13">
        <f t="shared" ref="BR104:DB104" si="886">+BR96/BR88</f>
        <v>25.829756925305915</v>
      </c>
      <c r="BS104" s="13">
        <f t="shared" si="886"/>
        <v>19.607515085221412</v>
      </c>
      <c r="BT104" s="13">
        <f t="shared" si="886"/>
        <v>-164.350068424054</v>
      </c>
      <c r="BU104" s="13">
        <f t="shared" si="886"/>
        <v>137.77745487752449</v>
      </c>
      <c r="BV104" s="13">
        <f t="shared" si="886"/>
        <v>14.531510165771504</v>
      </c>
      <c r="BW104" s="13">
        <f t="shared" si="886"/>
        <v>10.757632319227641</v>
      </c>
      <c r="BX104" s="13">
        <f t="shared" si="886"/>
        <v>13.944050370671272</v>
      </c>
      <c r="BY104" s="13">
        <f t="shared" si="886"/>
        <v>11.399901437663569</v>
      </c>
      <c r="BZ104" s="13">
        <f t="shared" si="886"/>
        <v>6.8892934227306979</v>
      </c>
      <c r="CA104" s="13">
        <f t="shared" si="886"/>
        <v>6.5553450449470301</v>
      </c>
      <c r="CB104" s="13">
        <f t="shared" si="886"/>
        <v>7.0597244191170629</v>
      </c>
      <c r="CC104" s="13">
        <f t="shared" si="886"/>
        <v>8.6753765166154313</v>
      </c>
      <c r="CD104" s="13">
        <f t="shared" si="886"/>
        <v>9.8827098357609806</v>
      </c>
      <c r="CE104" s="13">
        <f t="shared" si="886"/>
        <v>17.332164788739444</v>
      </c>
      <c r="CF104" s="13">
        <f t="shared" si="886"/>
        <v>19.892981621551929</v>
      </c>
      <c r="CG104" s="13">
        <f t="shared" si="886"/>
        <v>15.652224404557392</v>
      </c>
      <c r="CH104" s="13">
        <f t="shared" si="886"/>
        <v>15.178829579627743</v>
      </c>
      <c r="CI104" s="13">
        <f t="shared" ref="CI104:CJ104" si="887">+CI96/CI88</f>
        <v>18.205016356668853</v>
      </c>
      <c r="CJ104" s="13">
        <f t="shared" si="887"/>
        <v>23.184620905232958</v>
      </c>
      <c r="CK104" s="13">
        <f t="shared" ref="CK104:CL104" si="888">+CK96/CK88</f>
        <v>24.076011485753249</v>
      </c>
      <c r="CL104" s="13">
        <f t="shared" si="888"/>
        <v>22.613990244890644</v>
      </c>
      <c r="CM104" s="37">
        <f t="shared" si="886"/>
        <v>26.999125112948807</v>
      </c>
      <c r="CN104" s="37">
        <f t="shared" si="886"/>
        <v>26.78605157979386</v>
      </c>
      <c r="CO104" s="37">
        <f t="shared" si="886"/>
        <v>25.572334791719737</v>
      </c>
      <c r="CP104" s="37">
        <f t="shared" si="886"/>
        <v>25.158736050106349</v>
      </c>
      <c r="CQ104" s="37">
        <f t="shared" si="886"/>
        <v>24.684725753602045</v>
      </c>
      <c r="CR104" s="37">
        <f t="shared" si="886"/>
        <v>23.403042915225818</v>
      </c>
      <c r="CS104" s="37">
        <f t="shared" si="886"/>
        <v>21.974392514893282</v>
      </c>
      <c r="CT104" s="37">
        <f t="shared" si="886"/>
        <v>20.752894602295761</v>
      </c>
      <c r="CU104" s="37">
        <f t="shared" si="886"/>
        <v>20.055754435049309</v>
      </c>
      <c r="CV104" s="37">
        <f t="shared" si="886"/>
        <v>19.470857715767984</v>
      </c>
      <c r="CW104" s="37">
        <f t="shared" si="886"/>
        <v>18.639620907255352</v>
      </c>
      <c r="CX104" s="37">
        <f t="shared" si="886"/>
        <v>17.628348018893369</v>
      </c>
      <c r="CY104" s="37">
        <f t="shared" si="886"/>
        <v>16.746218531547107</v>
      </c>
      <c r="CZ104" s="37">
        <f t="shared" si="886"/>
        <v>15.698811110879072</v>
      </c>
      <c r="DA104" s="37">
        <f t="shared" si="886"/>
        <v>14.86740760796579</v>
      </c>
      <c r="DB104" s="37">
        <f t="shared" si="886"/>
        <v>13.749103744374695</v>
      </c>
      <c r="DE104" s="134"/>
      <c r="DF104" s="13" t="e">
        <v>#DIV/0!</v>
      </c>
    </row>
    <row r="105" spans="1:110" s="13" customFormat="1" x14ac:dyDescent="0.2">
      <c r="A105" s="13" t="s">
        <v>461</v>
      </c>
      <c r="B105" s="13" t="e">
        <f t="shared" ref="B105:D105" si="889">+B97/B88</f>
        <v>#DIV/0!</v>
      </c>
      <c r="C105" s="13" t="e">
        <f t="shared" si="889"/>
        <v>#DIV/0!</v>
      </c>
      <c r="D105" s="13" t="e">
        <f t="shared" si="889"/>
        <v>#DIV/0!</v>
      </c>
      <c r="E105" s="13">
        <f t="shared" ref="E105:AE105" si="890">+E97/E88</f>
        <v>0</v>
      </c>
      <c r="F105" s="13" t="e">
        <f t="shared" si="890"/>
        <v>#DIV/0!</v>
      </c>
      <c r="G105" s="13" t="e">
        <f t="shared" si="890"/>
        <v>#DIV/0!</v>
      </c>
      <c r="H105" s="13" t="e">
        <f t="shared" si="890"/>
        <v>#DIV/0!</v>
      </c>
      <c r="I105" s="13">
        <f t="shared" si="890"/>
        <v>0</v>
      </c>
      <c r="J105" s="13">
        <f t="shared" si="890"/>
        <v>0</v>
      </c>
      <c r="K105" s="13">
        <f t="shared" si="890"/>
        <v>267.09043089765436</v>
      </c>
      <c r="L105" s="13">
        <f t="shared" si="890"/>
        <v>106.91943023166613</v>
      </c>
      <c r="M105" s="13">
        <f t="shared" si="890"/>
        <v>-163.12814077348821</v>
      </c>
      <c r="N105" s="13">
        <f t="shared" si="890"/>
        <v>-12.28229501481197</v>
      </c>
      <c r="O105" s="13">
        <f t="shared" si="890"/>
        <v>-122.84878566688838</v>
      </c>
      <c r="P105" s="13">
        <f t="shared" si="890"/>
        <v>-19.616898574398544</v>
      </c>
      <c r="Q105" s="13">
        <f t="shared" si="890"/>
        <v>35.327273602033564</v>
      </c>
      <c r="R105" s="13">
        <f t="shared" si="890"/>
        <v>-7.5946821079331093</v>
      </c>
      <c r="S105" s="13">
        <f t="shared" si="890"/>
        <v>-8.7576444993937095</v>
      </c>
      <c r="T105" s="13">
        <f t="shared" si="890"/>
        <v>-22.803119463632637</v>
      </c>
      <c r="U105" s="13">
        <f t="shared" si="890"/>
        <v>-22.366236691880648</v>
      </c>
      <c r="V105" s="13">
        <f t="shared" si="890"/>
        <v>33.103392179404381</v>
      </c>
      <c r="W105" s="13">
        <f t="shared" si="890"/>
        <v>14.731755239658115</v>
      </c>
      <c r="X105" s="13">
        <f t="shared" si="890"/>
        <v>15.562036499779984</v>
      </c>
      <c r="Y105" s="13">
        <f t="shared" si="890"/>
        <v>10.912274510425236</v>
      </c>
      <c r="Z105" s="13">
        <f t="shared" ref="Z105:AA105" si="891">+Z97/Z88</f>
        <v>26.731373577241122</v>
      </c>
      <c r="AA105" s="13">
        <f t="shared" ref="AA105" si="892">+AA97/AA88</f>
        <v>27.459845297367213</v>
      </c>
      <c r="AB105" s="60">
        <f t="shared" si="890"/>
        <v>26.670861252670488</v>
      </c>
      <c r="AC105" s="60">
        <f t="shared" si="890"/>
        <v>26.695405627235868</v>
      </c>
      <c r="AD105" s="60">
        <f t="shared" si="890"/>
        <v>27.371349034096042</v>
      </c>
      <c r="AE105" s="60">
        <f t="shared" si="890"/>
        <v>26.043279393200173</v>
      </c>
      <c r="AL105" s="13">
        <f t="shared" ref="AL105:BQ105" si="893">+AL97/AL88</f>
        <v>-11.474794091549665</v>
      </c>
      <c r="AM105" s="13">
        <f t="shared" si="893"/>
        <v>-8.9550765750346031</v>
      </c>
      <c r="AN105" s="13">
        <f t="shared" si="893"/>
        <v>-4.9911267211335195</v>
      </c>
      <c r="AO105" s="13">
        <f t="shared" si="893"/>
        <v>-4.8628607115776843</v>
      </c>
      <c r="AP105" s="13">
        <f t="shared" si="893"/>
        <v>-69.516093029704336</v>
      </c>
      <c r="AQ105" s="13">
        <f t="shared" si="893"/>
        <v>36.049611123239757</v>
      </c>
      <c r="AR105" s="13">
        <f t="shared" si="893"/>
        <v>25.614225786612675</v>
      </c>
      <c r="AS105" s="13">
        <f t="shared" si="893"/>
        <v>17.187545051856311</v>
      </c>
      <c r="AT105" s="13">
        <f t="shared" si="893"/>
        <v>-17.182684882684896</v>
      </c>
      <c r="AU105" s="13">
        <f t="shared" si="893"/>
        <v>-14.564131537977904</v>
      </c>
      <c r="AV105" s="13">
        <f t="shared" si="893"/>
        <v>-12.7531585763266</v>
      </c>
      <c r="AW105" s="13">
        <f t="shared" si="893"/>
        <v>-31.082792027729649</v>
      </c>
      <c r="AX105" s="13">
        <f t="shared" si="893"/>
        <v>25.033697349310092</v>
      </c>
      <c r="AY105" s="13">
        <f t="shared" si="893"/>
        <v>28.749258532757885</v>
      </c>
      <c r="AZ105" s="13">
        <f t="shared" si="893"/>
        <v>20.724356423611081</v>
      </c>
      <c r="BA105" s="13">
        <f t="shared" si="893"/>
        <v>-65.022898500347793</v>
      </c>
      <c r="BB105" s="13">
        <f t="shared" si="893"/>
        <v>-7.5946821079331173</v>
      </c>
      <c r="BC105" s="13">
        <f t="shared" si="893"/>
        <v>-7.7051596896816532</v>
      </c>
      <c r="BD105" s="13">
        <f t="shared" si="893"/>
        <v>-8.1015188215845306</v>
      </c>
      <c r="BE105" s="13">
        <f t="shared" si="893"/>
        <v>-6.9584054269478974</v>
      </c>
      <c r="BF105" s="13">
        <f t="shared" si="893"/>
        <v>-8.7576444993937095</v>
      </c>
      <c r="BG105" s="13">
        <f t="shared" si="893"/>
        <v>-4.191546989003176</v>
      </c>
      <c r="BH105" s="13">
        <f t="shared" si="893"/>
        <v>-5.7807997921214014</v>
      </c>
      <c r="BI105" s="13">
        <f t="shared" si="893"/>
        <v>-9.8787526240048624</v>
      </c>
      <c r="BJ105" s="13">
        <f t="shared" si="893"/>
        <v>-20.86367889069485</v>
      </c>
      <c r="BK105" s="13">
        <f t="shared" si="893"/>
        <v>37.007523342790819</v>
      </c>
      <c r="BL105" s="13">
        <f t="shared" si="893"/>
        <v>136.51933667781503</v>
      </c>
      <c r="BM105" s="13">
        <f t="shared" si="893"/>
        <v>42.093246862791545</v>
      </c>
      <c r="BN105" s="13">
        <f t="shared" si="893"/>
        <v>-20.000722845146171</v>
      </c>
      <c r="BO105" s="13">
        <f t="shared" si="893"/>
        <v>-6.0393488779387319</v>
      </c>
      <c r="BP105" s="13">
        <f t="shared" si="893"/>
        <v>-34.120948112504458</v>
      </c>
      <c r="BQ105" s="13">
        <f t="shared" si="893"/>
        <v>-440.399928635148</v>
      </c>
      <c r="BR105" s="13">
        <f t="shared" ref="BR105:CH105" si="894">+BR97/BR88</f>
        <v>33.103392179404409</v>
      </c>
      <c r="BS105" s="13">
        <f t="shared" si="894"/>
        <v>28.883910008696969</v>
      </c>
      <c r="BT105" s="13">
        <f t="shared" si="894"/>
        <v>-193.70131584718663</v>
      </c>
      <c r="BU105" s="13">
        <f t="shared" si="894"/>
        <v>187.22540359547315</v>
      </c>
      <c r="BV105" s="13">
        <f t="shared" si="894"/>
        <v>14.731755239658117</v>
      </c>
      <c r="BW105" s="13">
        <f t="shared" si="894"/>
        <v>14.125666509440981</v>
      </c>
      <c r="BX105" s="13">
        <f t="shared" si="894"/>
        <v>16.144957197502745</v>
      </c>
      <c r="BY105" s="13">
        <f t="shared" si="894"/>
        <v>14.581136458093733</v>
      </c>
      <c r="BZ105" s="13">
        <f t="shared" si="894"/>
        <v>10.963181443583453</v>
      </c>
      <c r="CA105" s="13">
        <f t="shared" si="894"/>
        <v>7.5008148943982818</v>
      </c>
      <c r="CB105" s="13">
        <f t="shared" si="894"/>
        <v>7.6746308148959184</v>
      </c>
      <c r="CC105" s="13">
        <f t="shared" si="894"/>
        <v>9.7406866366418488</v>
      </c>
      <c r="CD105" s="13">
        <f t="shared" si="894"/>
        <v>10.830798169264753</v>
      </c>
      <c r="CE105" s="13">
        <f t="shared" si="894"/>
        <v>21.641073202871201</v>
      </c>
      <c r="CF105" s="13">
        <f t="shared" si="894"/>
        <v>22.80696002842814</v>
      </c>
      <c r="CG105" s="13">
        <f t="shared" si="894"/>
        <v>19.540507307286429</v>
      </c>
      <c r="CH105" s="13">
        <f t="shared" si="894"/>
        <v>17.882521337035907</v>
      </c>
      <c r="CI105" s="13">
        <f t="shared" ref="CI105:CJ105" si="895">+CI97/CI88</f>
        <v>18.957084290829634</v>
      </c>
      <c r="CJ105" s="13">
        <f t="shared" si="895"/>
        <v>29.291320224205482</v>
      </c>
      <c r="CK105" s="13">
        <f t="shared" ref="CK105:CL105" si="896">+CK97/CK88</f>
        <v>29.379468561286309</v>
      </c>
      <c r="CL105" s="13">
        <f t="shared" si="896"/>
        <v>23.755959187489772</v>
      </c>
      <c r="CM105" s="60">
        <f t="shared" ref="CM105:CM106" si="897">+CL105</f>
        <v>23.755959187489772</v>
      </c>
      <c r="CN105" s="60">
        <f t="shared" ref="CN105:CN106" si="898">+CM105</f>
        <v>23.755959187489772</v>
      </c>
      <c r="CO105" s="60">
        <f t="shared" ref="CO105:CO106" si="899">+CN105</f>
        <v>23.755959187489772</v>
      </c>
      <c r="CP105" s="60">
        <f t="shared" ref="CP105:CP106" si="900">+CO105</f>
        <v>23.755959187489772</v>
      </c>
      <c r="CQ105" s="60">
        <f t="shared" ref="CQ105:CQ106" si="901">+CP105</f>
        <v>23.755959187489772</v>
      </c>
      <c r="CR105" s="60">
        <f t="shared" ref="CR105:CR106" si="902">+CQ105</f>
        <v>23.755959187489772</v>
      </c>
      <c r="CS105" s="60">
        <f t="shared" ref="CS105:CS106" si="903">+CR105</f>
        <v>23.755959187489772</v>
      </c>
      <c r="CT105" s="60">
        <f t="shared" ref="CT105:CT106" si="904">+CS105</f>
        <v>23.755959187489772</v>
      </c>
      <c r="CU105" s="60">
        <f t="shared" ref="CU105:CU106" si="905">+CT105</f>
        <v>23.755959187489772</v>
      </c>
      <c r="CV105" s="60">
        <f t="shared" ref="CV105:CV106" si="906">+CU105</f>
        <v>23.755959187489772</v>
      </c>
      <c r="CW105" s="60">
        <f t="shared" ref="CW105:CW106" si="907">+CV105</f>
        <v>23.755959187489772</v>
      </c>
      <c r="CX105" s="60">
        <f t="shared" ref="CX105:CX106" si="908">+CW105</f>
        <v>23.755959187489772</v>
      </c>
      <c r="CY105" s="60">
        <f t="shared" ref="CY105:CY106" si="909">+CX105</f>
        <v>23.755959187489772</v>
      </c>
      <c r="CZ105" s="60">
        <f t="shared" ref="CZ105:CZ106" si="910">+CY105</f>
        <v>23.755959187489772</v>
      </c>
      <c r="DA105" s="60">
        <f t="shared" ref="DA105:DA106" si="911">+CZ105</f>
        <v>23.755959187489772</v>
      </c>
      <c r="DB105" s="60">
        <f t="shared" ref="DB105:DB106" si="912">+DA105</f>
        <v>23.755959187489772</v>
      </c>
      <c r="DE105" s="136"/>
      <c r="DF105" s="13" t="e">
        <v>#DIV/0!</v>
      </c>
    </row>
    <row r="106" spans="1:110" s="13" customFormat="1" x14ac:dyDescent="0.2">
      <c r="A106" s="13" t="s">
        <v>462</v>
      </c>
      <c r="B106" s="13" t="e">
        <f t="shared" ref="B106:D106" si="913">+B98/B88</f>
        <v>#DIV/0!</v>
      </c>
      <c r="C106" s="13" t="e">
        <f t="shared" si="913"/>
        <v>#DIV/0!</v>
      </c>
      <c r="D106" s="13" t="e">
        <f t="shared" si="913"/>
        <v>#DIV/0!</v>
      </c>
      <c r="E106" s="13">
        <f t="shared" ref="E106:AE106" si="914">+E98/E88</f>
        <v>0</v>
      </c>
      <c r="F106" s="13" t="e">
        <f t="shared" si="914"/>
        <v>#DIV/0!</v>
      </c>
      <c r="G106" s="13" t="e">
        <f t="shared" si="914"/>
        <v>#DIV/0!</v>
      </c>
      <c r="H106" s="13" t="e">
        <f t="shared" si="914"/>
        <v>#DIV/0!</v>
      </c>
      <c r="I106" s="13">
        <f t="shared" si="914"/>
        <v>0</v>
      </c>
      <c r="J106" s="13">
        <f t="shared" si="914"/>
        <v>0</v>
      </c>
      <c r="K106" s="13">
        <f t="shared" si="914"/>
        <v>204.62573334900944</v>
      </c>
      <c r="L106" s="13">
        <f t="shared" si="914"/>
        <v>79.514622967167824</v>
      </c>
      <c r="M106" s="13">
        <f t="shared" si="914"/>
        <v>-79.751535489260903</v>
      </c>
      <c r="N106" s="13">
        <f t="shared" si="914"/>
        <v>-6.1203582470559317</v>
      </c>
      <c r="O106" s="13">
        <f t="shared" si="914"/>
        <v>-57.979114389260616</v>
      </c>
      <c r="P106" s="13">
        <f t="shared" si="914"/>
        <v>-11.11146955746954</v>
      </c>
      <c r="Q106" s="13">
        <f t="shared" si="914"/>
        <v>13.759780501089388</v>
      </c>
      <c r="R106" s="13">
        <f t="shared" si="914"/>
        <v>-4.293845695405281</v>
      </c>
      <c r="S106" s="13">
        <f t="shared" si="914"/>
        <v>-4.2458527782400912</v>
      </c>
      <c r="T106" s="13">
        <f t="shared" si="914"/>
        <v>-5.9554538805363588</v>
      </c>
      <c r="U106" s="13">
        <f t="shared" si="914"/>
        <v>-7.36948544559593</v>
      </c>
      <c r="V106" s="13">
        <f t="shared" si="914"/>
        <v>7.8962219877478343</v>
      </c>
      <c r="W106" s="13">
        <f t="shared" si="914"/>
        <v>5.4929972228895796</v>
      </c>
      <c r="X106" s="13">
        <f t="shared" si="914"/>
        <v>4.7660534612889016</v>
      </c>
      <c r="Y106" s="13">
        <f t="shared" si="914"/>
        <v>3.4275615338192962</v>
      </c>
      <c r="Z106" s="13">
        <f t="shared" ref="Z106:AA106" si="915">+Z98/Z88</f>
        <v>12.84328107694936</v>
      </c>
      <c r="AA106" s="13">
        <f t="shared" ref="AA106" si="916">+AA98/AA88</f>
        <v>14.185958930366283</v>
      </c>
      <c r="AB106" s="60">
        <f t="shared" si="914"/>
        <v>18.796231847450986</v>
      </c>
      <c r="AC106" s="60">
        <f t="shared" si="914"/>
        <v>18.70915805506726</v>
      </c>
      <c r="AD106" s="60">
        <f t="shared" si="914"/>
        <v>19.242663805081644</v>
      </c>
      <c r="AE106" s="60">
        <f t="shared" si="914"/>
        <v>18.137677925073934</v>
      </c>
      <c r="AL106" s="13">
        <f t="shared" ref="AL106:BQ106" si="917">+AL98/AL88</f>
        <v>-6.4252136506776631</v>
      </c>
      <c r="AM106" s="13">
        <f t="shared" si="917"/>
        <v>-5.5969228593966269</v>
      </c>
      <c r="AN106" s="13">
        <f t="shared" si="917"/>
        <v>-3.2447832657258751</v>
      </c>
      <c r="AO106" s="13">
        <f t="shared" si="917"/>
        <v>-3.6046380099806616</v>
      </c>
      <c r="AP106" s="13">
        <f t="shared" si="917"/>
        <v>-42.645449377837849</v>
      </c>
      <c r="AQ106" s="13">
        <f t="shared" si="917"/>
        <v>23.471717607248078</v>
      </c>
      <c r="AR106" s="13">
        <f t="shared" si="917"/>
        <v>16.087799765900865</v>
      </c>
      <c r="AS106" s="13">
        <f t="shared" si="917"/>
        <v>13.310913133972553</v>
      </c>
      <c r="AT106" s="13">
        <f t="shared" si="917"/>
        <v>-12.400170923670933</v>
      </c>
      <c r="AU106" s="13">
        <f t="shared" si="917"/>
        <v>-7.650138468908116</v>
      </c>
      <c r="AV106" s="13">
        <f t="shared" si="917"/>
        <v>-8.0449298884371654</v>
      </c>
      <c r="AW106" s="13">
        <f t="shared" si="917"/>
        <v>-23.109172567467205</v>
      </c>
      <c r="AX106" s="13">
        <f t="shared" si="917"/>
        <v>15.720461692084239</v>
      </c>
      <c r="AY106" s="13">
        <f t="shared" si="917"/>
        <v>21.621672276021513</v>
      </c>
      <c r="AZ106" s="13">
        <f t="shared" si="917"/>
        <v>16.539308680555532</v>
      </c>
      <c r="BA106" s="13">
        <f t="shared" si="917"/>
        <v>-44.72119823219797</v>
      </c>
      <c r="BB106" s="13">
        <f t="shared" si="917"/>
        <v>-5.3696057518558602</v>
      </c>
      <c r="BC106" s="13">
        <f t="shared" si="917"/>
        <v>-4.3102297184180305</v>
      </c>
      <c r="BD106" s="13">
        <f t="shared" si="917"/>
        <v>-5.919022213795186</v>
      </c>
      <c r="BE106" s="13">
        <f t="shared" si="917"/>
        <v>-4.7518801906116881</v>
      </c>
      <c r="BF106" s="13">
        <f t="shared" si="917"/>
        <v>-4.2458527782400912</v>
      </c>
      <c r="BG106" s="13">
        <f t="shared" si="917"/>
        <v>-2.3996216963066512</v>
      </c>
      <c r="BH106" s="13">
        <f t="shared" si="917"/>
        <v>-2.4373968610331569</v>
      </c>
      <c r="BI106" s="13">
        <f t="shared" si="917"/>
        <v>-3.5814721712457485</v>
      </c>
      <c r="BJ106" s="13">
        <f t="shared" si="917"/>
        <v>-13.066735981308417</v>
      </c>
      <c r="BK106" s="13">
        <f t="shared" si="917"/>
        <v>24.704843091737601</v>
      </c>
      <c r="BL106" s="13">
        <f t="shared" si="917"/>
        <v>99.286790311138191</v>
      </c>
      <c r="BM106" s="13">
        <f t="shared" si="917"/>
        <v>33.332143956434251</v>
      </c>
      <c r="BN106" s="13">
        <f t="shared" si="917"/>
        <v>-7.3694854455959371</v>
      </c>
      <c r="BO106" s="13">
        <f t="shared" si="917"/>
        <v>-3.7209258489669916</v>
      </c>
      <c r="BP106" s="13">
        <f t="shared" si="917"/>
        <v>-28.208292843911625</v>
      </c>
      <c r="BQ106" s="13">
        <f t="shared" si="917"/>
        <v>-237.40308652988449</v>
      </c>
      <c r="BR106" s="13">
        <f t="shared" ref="BR106:CH106" si="918">+BR98/BR88</f>
        <v>14.699120931038285</v>
      </c>
      <c r="BS106" s="13">
        <f t="shared" si="918"/>
        <v>14.06588493988326</v>
      </c>
      <c r="BT106" s="13">
        <f t="shared" si="918"/>
        <v>-118.33543269441665</v>
      </c>
      <c r="BU106" s="13">
        <f t="shared" si="918"/>
        <v>129.28290502793277</v>
      </c>
      <c r="BV106" s="13">
        <f t="shared" si="918"/>
        <v>7.6956930356423001</v>
      </c>
      <c r="BW106" s="13">
        <f t="shared" si="918"/>
        <v>7.6866571056450415</v>
      </c>
      <c r="BX106" s="13">
        <f t="shared" si="918"/>
        <v>9.5198546136846129</v>
      </c>
      <c r="BY106" s="13">
        <f t="shared" si="918"/>
        <v>9.4865913266328583</v>
      </c>
      <c r="BZ106" s="13">
        <f t="shared" si="918"/>
        <v>4.7660534612889043</v>
      </c>
      <c r="CA106" s="13">
        <f t="shared" si="918"/>
        <v>4.8545483809549719</v>
      </c>
      <c r="CB106" s="13">
        <f t="shared" si="918"/>
        <v>4.411976787977971</v>
      </c>
      <c r="CC106" s="13">
        <f t="shared" si="918"/>
        <v>4.7819118343466602</v>
      </c>
      <c r="CD106" s="13">
        <f t="shared" si="918"/>
        <v>9.290154627321126</v>
      </c>
      <c r="CE106" s="13">
        <f t="shared" si="918"/>
        <v>13.137887094109931</v>
      </c>
      <c r="CF106" s="13">
        <f t="shared" si="918"/>
        <v>18.769538333573113</v>
      </c>
      <c r="CG106" s="13">
        <f t="shared" si="918"/>
        <v>12.744516459800723</v>
      </c>
      <c r="CH106" s="13">
        <f t="shared" si="918"/>
        <v>13.275514048089581</v>
      </c>
      <c r="CI106" s="13">
        <f t="shared" ref="CI106:CJ106" si="919">+CI98/CI88</f>
        <v>14.669986294239557</v>
      </c>
      <c r="CJ106" s="13">
        <f t="shared" si="919"/>
        <v>17.706222408579915</v>
      </c>
      <c r="CK106" s="13">
        <f t="shared" ref="CK106:CL106" si="920">+CK98/CK88</f>
        <v>22.729101752284535</v>
      </c>
      <c r="CL106" s="13">
        <f t="shared" si="920"/>
        <v>19.285751813499761</v>
      </c>
      <c r="CM106" s="60">
        <f t="shared" si="897"/>
        <v>19.285751813499761</v>
      </c>
      <c r="CN106" s="60">
        <f t="shared" si="898"/>
        <v>19.285751813499761</v>
      </c>
      <c r="CO106" s="60">
        <f t="shared" si="899"/>
        <v>19.285751813499761</v>
      </c>
      <c r="CP106" s="60">
        <f t="shared" si="900"/>
        <v>19.285751813499761</v>
      </c>
      <c r="CQ106" s="60">
        <f t="shared" si="901"/>
        <v>19.285751813499761</v>
      </c>
      <c r="CR106" s="60">
        <f t="shared" si="902"/>
        <v>19.285751813499761</v>
      </c>
      <c r="CS106" s="60">
        <f t="shared" si="903"/>
        <v>19.285751813499761</v>
      </c>
      <c r="CT106" s="60">
        <f t="shared" si="904"/>
        <v>19.285751813499761</v>
      </c>
      <c r="CU106" s="60">
        <f t="shared" si="905"/>
        <v>19.285751813499761</v>
      </c>
      <c r="CV106" s="60">
        <f t="shared" si="906"/>
        <v>19.285751813499761</v>
      </c>
      <c r="CW106" s="60">
        <f t="shared" si="907"/>
        <v>19.285751813499761</v>
      </c>
      <c r="CX106" s="60">
        <f t="shared" si="908"/>
        <v>19.285751813499761</v>
      </c>
      <c r="CY106" s="60">
        <f t="shared" si="909"/>
        <v>19.285751813499761</v>
      </c>
      <c r="CZ106" s="60">
        <f t="shared" si="910"/>
        <v>19.285751813499761</v>
      </c>
      <c r="DA106" s="60">
        <f t="shared" si="911"/>
        <v>19.285751813499761</v>
      </c>
      <c r="DB106" s="60">
        <f t="shared" si="912"/>
        <v>19.285751813499761</v>
      </c>
      <c r="DE106" s="136"/>
      <c r="DF106" s="13" t="e">
        <v>#DIV/0!</v>
      </c>
    </row>
    <row r="107" spans="1:110" s="13" customFormat="1" x14ac:dyDescent="0.2">
      <c r="AB107" s="60"/>
      <c r="AC107" s="60"/>
      <c r="AD107" s="60"/>
      <c r="AE107" s="60"/>
      <c r="CM107" s="60"/>
      <c r="CN107" s="60"/>
      <c r="CO107" s="60"/>
      <c r="CP107" s="60"/>
      <c r="CQ107" s="60"/>
      <c r="CR107" s="60"/>
      <c r="CS107" s="60"/>
      <c r="CT107" s="60"/>
      <c r="CU107" s="60"/>
      <c r="CV107" s="60"/>
      <c r="CW107" s="60"/>
      <c r="CX107" s="60"/>
      <c r="CY107" s="60"/>
      <c r="CZ107" s="60"/>
      <c r="DA107" s="60"/>
      <c r="DB107" s="60"/>
      <c r="DE107" s="136"/>
    </row>
    <row r="108" spans="1:110" s="13" customFormat="1" x14ac:dyDescent="0.2">
      <c r="A108" s="13" t="s">
        <v>463</v>
      </c>
      <c r="B108" s="13" t="e">
        <f t="shared" ref="B108:AD108" si="921">+B97/C88</f>
        <v>#DIV/0!</v>
      </c>
      <c r="C108" s="13" t="e">
        <f t="shared" si="921"/>
        <v>#DIV/0!</v>
      </c>
      <c r="D108" s="13">
        <f t="shared" si="921"/>
        <v>0</v>
      </c>
      <c r="E108" s="13" t="e">
        <f t="shared" si="921"/>
        <v>#DIV/0!</v>
      </c>
      <c r="F108" s="13" t="e">
        <f t="shared" si="921"/>
        <v>#DIV/0!</v>
      </c>
      <c r="G108" s="13" t="e">
        <f t="shared" si="921"/>
        <v>#DIV/0!</v>
      </c>
      <c r="H108" s="13">
        <f t="shared" si="921"/>
        <v>0</v>
      </c>
      <c r="I108" s="13">
        <f t="shared" si="921"/>
        <v>0</v>
      </c>
      <c r="J108" s="13">
        <f t="shared" si="921"/>
        <v>0</v>
      </c>
      <c r="K108" s="13">
        <f t="shared" si="921"/>
        <v>87.133233353789478</v>
      </c>
      <c r="L108" s="13">
        <f t="shared" si="921"/>
        <v>-194.07549587496067</v>
      </c>
      <c r="M108" s="13">
        <f t="shared" si="921"/>
        <v>-20.207161060252599</v>
      </c>
      <c r="N108" s="13">
        <f t="shared" si="921"/>
        <v>-145.39075034454657</v>
      </c>
      <c r="O108" s="13">
        <f t="shared" si="921"/>
        <v>-17.86999227799225</v>
      </c>
      <c r="P108" s="13">
        <f t="shared" si="921"/>
        <v>47.966664851125849</v>
      </c>
      <c r="Q108" s="13">
        <f t="shared" si="921"/>
        <v>-9.277281170586571</v>
      </c>
      <c r="R108" s="13">
        <f t="shared" si="921"/>
        <v>-7.5746747188473336</v>
      </c>
      <c r="S108" s="13">
        <f t="shared" si="921"/>
        <v>-18.708744920763891</v>
      </c>
      <c r="T108" s="13">
        <f t="shared" si="921"/>
        <v>-17.650372548711239</v>
      </c>
      <c r="U108" s="13">
        <f t="shared" si="921"/>
        <v>22.397937369092414</v>
      </c>
      <c r="V108" s="13">
        <f t="shared" si="921"/>
        <v>8.5594953151531694</v>
      </c>
      <c r="W108" s="13">
        <f t="shared" si="921"/>
        <v>6.7454668377050018</v>
      </c>
      <c r="X108" s="13">
        <f t="shared" si="921"/>
        <v>8.0143091941490621</v>
      </c>
      <c r="Y108" s="13">
        <f t="shared" si="921"/>
        <v>17.566544130547193</v>
      </c>
      <c r="Z108" s="13">
        <f t="shared" ref="Z108:AA108" si="922">+Z97/AA88</f>
        <v>26.948964454625497</v>
      </c>
      <c r="AA108" s="13">
        <f t="shared" si="922"/>
        <v>25.401983498104617</v>
      </c>
      <c r="AB108" s="37">
        <f t="shared" si="921"/>
        <v>22.000213819437278</v>
      </c>
      <c r="AC108" s="37">
        <f t="shared" si="921"/>
        <v>22.676157226297452</v>
      </c>
      <c r="AD108" s="37">
        <f t="shared" si="921"/>
        <v>21.34808758540159</v>
      </c>
      <c r="AE108" s="37"/>
      <c r="AL108" s="13">
        <f t="shared" ref="AL108:BQ108" si="923">+AL97/AP88</f>
        <v>-91.440399292918784</v>
      </c>
      <c r="AM108" s="13">
        <f t="shared" si="923"/>
        <v>32.839353782338115</v>
      </c>
      <c r="AN108" s="13">
        <f t="shared" si="923"/>
        <v>17.331208784668473</v>
      </c>
      <c r="AO108" s="13">
        <f t="shared" si="923"/>
        <v>14.717478697098519</v>
      </c>
      <c r="AP108" s="13">
        <f t="shared" si="923"/>
        <v>-14.891660231660243</v>
      </c>
      <c r="AQ108" s="13">
        <f t="shared" si="923"/>
        <v>-19.774886230951168</v>
      </c>
      <c r="AR108" s="13">
        <f t="shared" si="923"/>
        <v>-27.410079187321536</v>
      </c>
      <c r="AS108" s="13">
        <f t="shared" si="923"/>
        <v>-47.841716761574666</v>
      </c>
      <c r="AT108" s="13">
        <f t="shared" si="923"/>
        <v>42.014596949891065</v>
      </c>
      <c r="AU108" s="13">
        <f t="shared" si="923"/>
        <v>40.177287894117327</v>
      </c>
      <c r="AV108" s="13">
        <f t="shared" si="923"/>
        <v>20.85827795138886</v>
      </c>
      <c r="AW108" s="13">
        <f t="shared" si="923"/>
        <v>-62.341541861158191</v>
      </c>
      <c r="AX108" s="13">
        <f t="shared" si="923"/>
        <v>-6.5740892338646235</v>
      </c>
      <c r="AY108" s="13">
        <f t="shared" si="923"/>
        <v>-6.0076947040498414</v>
      </c>
      <c r="AZ108" s="13">
        <f t="shared" si="923"/>
        <v>-7.0731172786471443</v>
      </c>
      <c r="BA108" s="13">
        <f t="shared" si="923"/>
        <v>-5.6113506946527583</v>
      </c>
      <c r="BB108" s="13">
        <f t="shared" si="923"/>
        <v>-7.5746747188473336</v>
      </c>
      <c r="BC108" s="13">
        <f t="shared" si="923"/>
        <v>-7.2144470479868801</v>
      </c>
      <c r="BD108" s="13">
        <f t="shared" si="923"/>
        <v>-5.6845867581332508</v>
      </c>
      <c r="BE108" s="13">
        <f t="shared" si="923"/>
        <v>-7.1459705407320389</v>
      </c>
      <c r="BF108" s="13">
        <f t="shared" si="923"/>
        <v>-18.708744920763927</v>
      </c>
      <c r="BG108" s="13">
        <f t="shared" si="923"/>
        <v>17.840544407187689</v>
      </c>
      <c r="BH108" s="13">
        <f t="shared" si="923"/>
        <v>70.458440762136462</v>
      </c>
      <c r="BI108" s="13">
        <f t="shared" si="923"/>
        <v>33.217992778501262</v>
      </c>
      <c r="BJ108" s="13">
        <f t="shared" si="923"/>
        <v>-16.149181069052826</v>
      </c>
      <c r="BK108" s="13">
        <f t="shared" si="923"/>
        <v>-7.9856793220137741</v>
      </c>
      <c r="BL108" s="13">
        <f t="shared" si="923"/>
        <v>-57.360968126556827</v>
      </c>
      <c r="BM108" s="13">
        <f t="shared" si="923"/>
        <v>-507.49210526315881</v>
      </c>
      <c r="BN108" s="13">
        <f t="shared" si="923"/>
        <v>20.029070772768076</v>
      </c>
      <c r="BO108" s="13">
        <f t="shared" si="923"/>
        <v>7.2966237795092015</v>
      </c>
      <c r="BP108" s="13">
        <f t="shared" si="923"/>
        <v>-70.290739506118825</v>
      </c>
      <c r="BQ108" s="13">
        <f t="shared" si="923"/>
        <v>88.398567540466857</v>
      </c>
      <c r="BR108" s="13">
        <f t="shared" ref="BR108:CL108" si="924">+BR97/BV88</f>
        <v>8.5594953151531694</v>
      </c>
      <c r="BS108" s="13">
        <f t="shared" si="924"/>
        <v>6.8446485580917056</v>
      </c>
      <c r="BT108" s="13">
        <f t="shared" si="924"/>
        <v>4.27125138427464</v>
      </c>
      <c r="BU108" s="13">
        <f t="shared" si="924"/>
        <v>5.1611778218947784</v>
      </c>
      <c r="BV108" s="13">
        <f t="shared" si="924"/>
        <v>6.7454668377050053</v>
      </c>
      <c r="BW108" s="13">
        <f t="shared" si="924"/>
        <v>9.0416291428105158</v>
      </c>
      <c r="BX108" s="13">
        <f t="shared" si="924"/>
        <v>8.1014151626511062</v>
      </c>
      <c r="BY108" s="13">
        <f t="shared" si="924"/>
        <v>6.329876035129808</v>
      </c>
      <c r="BZ108" s="13">
        <f t="shared" si="924"/>
        <v>5.6459400954160071</v>
      </c>
      <c r="CA108" s="13">
        <f t="shared" si="924"/>
        <v>6.9019759531878044</v>
      </c>
      <c r="CB108" s="13">
        <f t="shared" si="924"/>
        <v>12.43216593984649</v>
      </c>
      <c r="CC108" s="13">
        <f t="shared" si="924"/>
        <v>17.43145769933983</v>
      </c>
      <c r="CD108" s="13">
        <f t="shared" si="924"/>
        <v>17.435383780683949</v>
      </c>
      <c r="CE108" s="13">
        <f t="shared" si="924"/>
        <v>27.868467766887665</v>
      </c>
      <c r="CF108" s="13">
        <f t="shared" si="924"/>
        <v>24.111044056510156</v>
      </c>
      <c r="CG108" s="13">
        <f t="shared" si="924"/>
        <v>22.244214248235799</v>
      </c>
      <c r="CH108" s="13">
        <f t="shared" si="924"/>
        <v>18.028083385926774</v>
      </c>
      <c r="CI108" s="13">
        <f t="shared" si="924"/>
        <v>18.198305324750024</v>
      </c>
      <c r="CJ108" s="13">
        <f t="shared" si="924"/>
        <v>27.045032741476948</v>
      </c>
      <c r="CK108" s="13">
        <f t="shared" si="924"/>
        <v>24.653991277099966</v>
      </c>
      <c r="CL108" s="13">
        <f t="shared" si="924"/>
        <v>21.975669444871897</v>
      </c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E108" s="134"/>
      <c r="DF108" s="13" t="e">
        <v>#DIV/0!</v>
      </c>
    </row>
    <row r="109" spans="1:110" s="98" customFormat="1" x14ac:dyDescent="0.2">
      <c r="A109" s="98" t="s">
        <v>426</v>
      </c>
      <c r="AB109" s="99"/>
      <c r="AC109" s="99"/>
      <c r="AD109" s="99"/>
      <c r="AE109" s="99"/>
      <c r="AL109" s="175"/>
      <c r="AM109" s="175"/>
      <c r="AN109" s="175"/>
      <c r="AO109" s="175">
        <f t="shared" ref="AO109:CI109" si="925">+CORREL(AL88:AO88,AL105:AO105)</f>
        <v>-0.99528580615430595</v>
      </c>
      <c r="AP109" s="175">
        <f t="shared" si="925"/>
        <v>-0.98294001900256245</v>
      </c>
      <c r="AQ109" s="175">
        <f t="shared" si="925"/>
        <v>3.7259614640342227E-2</v>
      </c>
      <c r="AR109" s="175">
        <f t="shared" si="925"/>
        <v>0.28679700321831186</v>
      </c>
      <c r="AS109" s="175">
        <f t="shared" si="925"/>
        <v>0.91458142763398442</v>
      </c>
      <c r="AT109" s="175">
        <f t="shared" si="925"/>
        <v>0.8863951581580426</v>
      </c>
      <c r="AU109" s="175">
        <f t="shared" si="925"/>
        <v>0.98047862006868514</v>
      </c>
      <c r="AV109" s="175">
        <f t="shared" si="925"/>
        <v>0.99570201807153247</v>
      </c>
      <c r="AW109" s="175">
        <f t="shared" si="925"/>
        <v>-0.80763021986264005</v>
      </c>
      <c r="AX109" s="175">
        <f t="shared" si="925"/>
        <v>0.68822174443934625</v>
      </c>
      <c r="AY109" s="175">
        <f t="shared" si="925"/>
        <v>0.83879311678542845</v>
      </c>
      <c r="AZ109" s="175">
        <f t="shared" si="925"/>
        <v>0.98072741730922464</v>
      </c>
      <c r="BA109" s="175">
        <f t="shared" si="925"/>
        <v>0.98466790420837091</v>
      </c>
      <c r="BB109" s="175">
        <f t="shared" si="925"/>
        <v>0.30181169390679108</v>
      </c>
      <c r="BC109" s="175">
        <f t="shared" si="925"/>
        <v>-9.0048805272857028E-3</v>
      </c>
      <c r="BD109" s="175">
        <f t="shared" si="925"/>
        <v>-0.96348751294995993</v>
      </c>
      <c r="BE109" s="175">
        <f t="shared" si="925"/>
        <v>-0.77925762151706701</v>
      </c>
      <c r="BF109" s="175">
        <f t="shared" si="925"/>
        <v>-0.50362085675914259</v>
      </c>
      <c r="BG109" s="175">
        <f t="shared" si="925"/>
        <v>-0.72685190785000164</v>
      </c>
      <c r="BH109" s="175">
        <f t="shared" si="925"/>
        <v>-0.9646718288766587</v>
      </c>
      <c r="BI109" s="175">
        <f t="shared" si="925"/>
        <v>-0.81763789890843031</v>
      </c>
      <c r="BJ109" s="175">
        <f t="shared" si="925"/>
        <v>-0.97900940669557024</v>
      </c>
      <c r="BK109" s="175">
        <f t="shared" si="925"/>
        <v>0.74560802973078744</v>
      </c>
      <c r="BL109" s="175">
        <f t="shared" si="925"/>
        <v>0.64904361562723811</v>
      </c>
      <c r="BM109" s="175">
        <f t="shared" si="925"/>
        <v>0.49978854454251043</v>
      </c>
      <c r="BN109" s="175">
        <f t="shared" si="925"/>
        <v>0.53211441514473246</v>
      </c>
      <c r="BO109" s="175">
        <f t="shared" si="925"/>
        <v>0.66402418089890425</v>
      </c>
      <c r="BP109" s="175">
        <f t="shared" si="925"/>
        <v>0.49152509660530191</v>
      </c>
      <c r="BQ109" s="175">
        <f t="shared" si="925"/>
        <v>-0.65322479697884983</v>
      </c>
      <c r="BR109" s="175">
        <f t="shared" si="925"/>
        <v>-0.1092088169802463</v>
      </c>
      <c r="BS109" s="175">
        <f t="shared" si="925"/>
        <v>0.53853262963586168</v>
      </c>
      <c r="BT109" s="175">
        <f t="shared" si="925"/>
        <v>0.81023465594196442</v>
      </c>
      <c r="BU109" s="175">
        <f t="shared" si="925"/>
        <v>0.29964661592209746</v>
      </c>
      <c r="BV109" s="175">
        <f t="shared" si="925"/>
        <v>0.1523215751695762</v>
      </c>
      <c r="BW109" s="175">
        <f t="shared" si="925"/>
        <v>0.10481414571661669</v>
      </c>
      <c r="BX109" s="175">
        <f t="shared" si="925"/>
        <v>-0.85668550712065539</v>
      </c>
      <c r="BY109" s="175">
        <f t="shared" si="925"/>
        <v>0.24992076342861883</v>
      </c>
      <c r="BZ109" s="175">
        <f t="shared" si="925"/>
        <v>-0.40319537665191774</v>
      </c>
      <c r="CA109" s="175">
        <f t="shared" si="925"/>
        <v>-0.87295847978246355</v>
      </c>
      <c r="CB109" s="175">
        <f t="shared" si="925"/>
        <v>-0.78727685765227462</v>
      </c>
      <c r="CC109" s="175">
        <f t="shared" si="925"/>
        <v>-0.31207389114097289</v>
      </c>
      <c r="CD109" s="175">
        <f t="shared" si="925"/>
        <v>0.62325346892325073</v>
      </c>
      <c r="CE109" s="175">
        <f t="shared" si="925"/>
        <v>-0.87363975429722207</v>
      </c>
      <c r="CF109" s="175">
        <f t="shared" si="925"/>
        <v>-0.9647785745563412</v>
      </c>
      <c r="CG109" s="175">
        <f t="shared" si="925"/>
        <v>-0.88406705497192939</v>
      </c>
      <c r="CH109" s="175">
        <f t="shared" si="925"/>
        <v>0.2917036878241247</v>
      </c>
      <c r="CI109" s="175">
        <f t="shared" si="925"/>
        <v>-0.13646681430703883</v>
      </c>
      <c r="CJ109" s="175">
        <f>+CORREL(CG88:CJ88,CG105:CJ105)</f>
        <v>-0.80583965574847249</v>
      </c>
      <c r="CK109" s="175">
        <f>+CORREL(CH88:CK88,CH105:CK105)</f>
        <v>-0.88379884687481869</v>
      </c>
      <c r="CL109" s="175">
        <f>+CORREL(CI88:CL88,CI105:CL105)</f>
        <v>-0.68489956845968136</v>
      </c>
      <c r="CM109" s="99"/>
      <c r="CN109" s="99"/>
      <c r="CO109" s="99"/>
      <c r="CP109" s="99"/>
      <c r="CQ109" s="99"/>
      <c r="CR109" s="99"/>
      <c r="CS109" s="99"/>
      <c r="CT109" s="99"/>
      <c r="CU109" s="99"/>
      <c r="CV109" s="99"/>
      <c r="CW109" s="99"/>
      <c r="CX109" s="99"/>
      <c r="CY109" s="99"/>
      <c r="CZ109" s="99"/>
      <c r="DA109" s="99"/>
      <c r="DB109" s="99"/>
      <c r="DE109" s="137"/>
    </row>
    <row r="110" spans="1:110" s="4" customFormat="1" x14ac:dyDescent="0.2">
      <c r="A110" s="3"/>
      <c r="AB110" s="17"/>
      <c r="AC110" s="17"/>
      <c r="AD110" s="17"/>
      <c r="AE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E110" s="119"/>
    </row>
    <row r="111" spans="1:110" s="162" customFormat="1" x14ac:dyDescent="0.2">
      <c r="A111" s="49" t="s">
        <v>505</v>
      </c>
      <c r="E111" s="162">
        <f t="shared" ref="E111:AE111" si="926">+E$139/E$84</f>
        <v>4.8691449698465619E-4</v>
      </c>
      <c r="F111" s="162">
        <f t="shared" si="926"/>
        <v>4.9261850067670225E-4</v>
      </c>
      <c r="G111" s="162">
        <f t="shared" si="926"/>
        <v>5.6002945340088246E-3</v>
      </c>
      <c r="H111" s="162">
        <f t="shared" si="926"/>
        <v>0.14555061784730899</v>
      </c>
      <c r="I111" s="162">
        <f t="shared" si="926"/>
        <v>0.74353295617769533</v>
      </c>
      <c r="J111" s="162">
        <f t="shared" si="926"/>
        <v>1.1868026466577131</v>
      </c>
      <c r="K111" s="162">
        <f t="shared" si="926"/>
        <v>2.9961679466105258</v>
      </c>
      <c r="L111" s="162">
        <f t="shared" si="926"/>
        <v>3.2602633175522562</v>
      </c>
      <c r="M111" s="162">
        <f t="shared" si="926"/>
        <v>3.1326958677085979</v>
      </c>
      <c r="N111" s="162">
        <f t="shared" si="926"/>
        <v>2.2263296810424844</v>
      </c>
      <c r="O111" s="162">
        <f t="shared" si="926"/>
        <v>3.3930473380451858</v>
      </c>
      <c r="P111" s="162">
        <f t="shared" si="926"/>
        <v>2.9684776014145928</v>
      </c>
      <c r="Q111" s="162">
        <f t="shared" si="926"/>
        <v>3.87242736469844</v>
      </c>
      <c r="R111" s="162">
        <f t="shared" si="926"/>
        <v>1.5554092104103252</v>
      </c>
      <c r="S111" s="162">
        <f t="shared" si="926"/>
        <v>0.46115832758611747</v>
      </c>
      <c r="T111" s="162">
        <f t="shared" si="926"/>
        <v>-0.14919080929441453</v>
      </c>
      <c r="U111" s="162">
        <f t="shared" si="926"/>
        <v>-1.1068671018994332</v>
      </c>
      <c r="V111" s="162">
        <f t="shared" si="926"/>
        <v>0.25802319973865301</v>
      </c>
      <c r="W111" s="162">
        <f t="shared" si="926"/>
        <v>2.8460074566884632</v>
      </c>
      <c r="X111" s="162">
        <f t="shared" si="926"/>
        <v>8.6393151047203229</v>
      </c>
      <c r="Y111" s="162">
        <f t="shared" si="926"/>
        <v>18.579511218738169</v>
      </c>
      <c r="Z111" s="162">
        <f t="shared" si="926"/>
        <v>27.6333933117964</v>
      </c>
      <c r="AA111" s="162">
        <f t="shared" si="926"/>
        <v>33.672745751813615</v>
      </c>
      <c r="AB111" s="21">
        <f t="shared" si="926"/>
        <v>40.867065833693673</v>
      </c>
      <c r="AC111" s="21">
        <f t="shared" si="926"/>
        <v>49.588740735852966</v>
      </c>
      <c r="AD111" s="21">
        <f t="shared" si="926"/>
        <v>59.856293872766948</v>
      </c>
      <c r="AE111" s="21">
        <f t="shared" si="926"/>
        <v>73.020788327473085</v>
      </c>
      <c r="AL111" s="162">
        <f t="shared" ref="AL111:BQ111" si="927">+AL$139/AL$84</f>
        <v>2.2263296810424844</v>
      </c>
      <c r="AM111" s="162">
        <f t="shared" si="927"/>
        <v>1.6049614461204995</v>
      </c>
      <c r="AN111" s="162">
        <f t="shared" si="927"/>
        <v>2.367348208683568</v>
      </c>
      <c r="AO111" s="162">
        <f t="shared" si="927"/>
        <v>2.0848340912744301</v>
      </c>
      <c r="AP111" s="162">
        <f t="shared" si="927"/>
        <v>3.3930473380451858</v>
      </c>
      <c r="AQ111" s="162">
        <f t="shared" si="927"/>
        <v>3.2357775853396737</v>
      </c>
      <c r="AR111" s="162">
        <f t="shared" si="927"/>
        <v>2.8214076444020391</v>
      </c>
      <c r="AS111" s="162">
        <f t="shared" si="927"/>
        <v>2.5991174350651036</v>
      </c>
      <c r="AT111" s="162">
        <f t="shared" si="927"/>
        <v>2.9684776014145928</v>
      </c>
      <c r="AU111" s="162">
        <f t="shared" si="927"/>
        <v>2.88232640383309</v>
      </c>
      <c r="AV111" s="162">
        <f t="shared" si="927"/>
        <v>2.6993471508501563</v>
      </c>
      <c r="AW111" s="162">
        <f t="shared" si="927"/>
        <v>2.7561227294176214</v>
      </c>
      <c r="AX111" s="162">
        <f t="shared" si="927"/>
        <v>3.8724221792405378</v>
      </c>
      <c r="AY111" s="162">
        <f t="shared" si="927"/>
        <v>3.7517928720695686</v>
      </c>
      <c r="AZ111" s="162">
        <f t="shared" si="927"/>
        <v>4.120753758160614</v>
      </c>
      <c r="BA111" s="162">
        <f t="shared" si="927"/>
        <v>3.7744222103532854</v>
      </c>
      <c r="BB111" s="162">
        <f t="shared" si="927"/>
        <v>1.5554092104103252</v>
      </c>
      <c r="BC111" s="162">
        <f t="shared" si="927"/>
        <v>1.3205909347824958</v>
      </c>
      <c r="BD111" s="162">
        <f t="shared" si="927"/>
        <v>1.4713996069422912</v>
      </c>
      <c r="BE111" s="162">
        <f t="shared" si="927"/>
        <v>0.79016526054333225</v>
      </c>
      <c r="BF111" s="162">
        <f t="shared" si="927"/>
        <v>0.46115832758611747</v>
      </c>
      <c r="BG111" s="162">
        <f>+BG$139/BG$84</f>
        <v>0.46115832758611747</v>
      </c>
      <c r="BH111" s="162">
        <f t="shared" si="927"/>
        <v>2.8274642592314114</v>
      </c>
      <c r="BI111" s="162">
        <f t="shared" si="927"/>
        <v>2.2151757610955838</v>
      </c>
      <c r="BJ111" s="162">
        <f t="shared" si="927"/>
        <v>3.9991755121936041</v>
      </c>
      <c r="BK111" s="162">
        <f t="shared" si="927"/>
        <v>3.8625957365165129</v>
      </c>
      <c r="BL111" s="162">
        <f t="shared" si="927"/>
        <v>4.9953123460567186</v>
      </c>
      <c r="BM111" s="162">
        <f t="shared" si="927"/>
        <v>4.6311065248616785</v>
      </c>
      <c r="BN111" s="162">
        <f t="shared" si="927"/>
        <v>3.3604048805529776</v>
      </c>
      <c r="BO111" s="162">
        <f t="shared" si="927"/>
        <v>3.0065181205826379</v>
      </c>
      <c r="BP111" s="162">
        <f t="shared" si="927"/>
        <v>6.0104849958775617</v>
      </c>
      <c r="BQ111" s="162">
        <f t="shared" si="927"/>
        <v>5.8607600844192556</v>
      </c>
      <c r="BR111" s="162">
        <f t="shared" ref="BR111:DB111" si="928">+BR$139/BR$84</f>
        <v>6.7994783429350729</v>
      </c>
      <c r="BS111" s="162">
        <f t="shared" si="928"/>
        <v>6.9437481526806222</v>
      </c>
      <c r="BT111" s="162">
        <f t="shared" si="928"/>
        <v>6.9434318397486097</v>
      </c>
      <c r="BU111" s="162">
        <f t="shared" si="928"/>
        <v>7.056728909446349</v>
      </c>
      <c r="BV111" s="162">
        <f t="shared" si="928"/>
        <v>9.698590073996483</v>
      </c>
      <c r="BW111" s="162">
        <f t="shared" si="928"/>
        <v>12.177166354674949</v>
      </c>
      <c r="BX111" s="162">
        <f t="shared" si="928"/>
        <v>12.550275607087483</v>
      </c>
      <c r="BY111" s="162">
        <f t="shared" si="928"/>
        <v>12.554823253667415</v>
      </c>
      <c r="BZ111" s="162">
        <f t="shared" si="928"/>
        <v>15.491897722028343</v>
      </c>
      <c r="CA111" s="162">
        <f t="shared" si="928"/>
        <v>20.034058087499417</v>
      </c>
      <c r="CB111" s="162">
        <f t="shared" si="928"/>
        <v>21.005937349297628</v>
      </c>
      <c r="CC111" s="162">
        <f t="shared" si="928"/>
        <v>22.425694980995296</v>
      </c>
      <c r="CD111" s="162">
        <f t="shared" si="928"/>
        <v>22.372673673948778</v>
      </c>
      <c r="CE111" s="162">
        <f t="shared" si="928"/>
        <v>24.401634456330665</v>
      </c>
      <c r="CF111" s="162">
        <f t="shared" si="928"/>
        <v>29.01485633688883</v>
      </c>
      <c r="CG111" s="162">
        <f t="shared" si="928"/>
        <v>30.600159712103377</v>
      </c>
      <c r="CH111" s="162">
        <f t="shared" si="928"/>
        <v>27.6333933117964</v>
      </c>
      <c r="CI111" s="162">
        <f t="shared" si="928"/>
        <v>29.388598215165391</v>
      </c>
      <c r="CJ111" s="162">
        <f t="shared" si="928"/>
        <v>30.309307378388048</v>
      </c>
      <c r="CK111" s="162">
        <f t="shared" si="928"/>
        <v>31.595083148817459</v>
      </c>
      <c r="CL111" s="162">
        <f t="shared" si="928"/>
        <v>33.672745751813615</v>
      </c>
      <c r="CM111" s="21">
        <f t="shared" si="928"/>
        <v>35.47669935255454</v>
      </c>
      <c r="CN111" s="21">
        <f t="shared" si="928"/>
        <v>37.061178302496948</v>
      </c>
      <c r="CO111" s="21">
        <f t="shared" si="928"/>
        <v>38.667667285140595</v>
      </c>
      <c r="CP111" s="21">
        <f t="shared" si="928"/>
        <v>40.867065833693673</v>
      </c>
      <c r="CQ111" s="21">
        <f t="shared" si="928"/>
        <v>42.809168905050505</v>
      </c>
      <c r="CR111" s="21">
        <f t="shared" si="928"/>
        <v>44.795215310233367</v>
      </c>
      <c r="CS111" s="21">
        <f t="shared" si="928"/>
        <v>46.904527524955014</v>
      </c>
      <c r="CT111" s="21">
        <f t="shared" si="928"/>
        <v>49.588740735852966</v>
      </c>
      <c r="CU111" s="21">
        <f t="shared" si="928"/>
        <v>51.834010158774944</v>
      </c>
      <c r="CV111" s="21">
        <f t="shared" si="928"/>
        <v>54.091159158327002</v>
      </c>
      <c r="CW111" s="21">
        <f t="shared" si="928"/>
        <v>56.615025442299824</v>
      </c>
      <c r="CX111" s="21">
        <f t="shared" si="928"/>
        <v>59.856293872766948</v>
      </c>
      <c r="CY111" s="21">
        <f t="shared" si="928"/>
        <v>62.642420407275281</v>
      </c>
      <c r="CZ111" s="21">
        <f t="shared" si="928"/>
        <v>65.620694657647036</v>
      </c>
      <c r="DA111" s="21">
        <f t="shared" si="928"/>
        <v>68.789306579451278</v>
      </c>
      <c r="DB111" s="21">
        <f t="shared" si="928"/>
        <v>73.020788327473085</v>
      </c>
      <c r="DE111" s="22"/>
      <c r="DF111" s="162" t="e">
        <v>#DIV/0!</v>
      </c>
    </row>
    <row r="112" spans="1:110" s="162" customFormat="1" x14ac:dyDescent="0.2">
      <c r="A112" s="49" t="s">
        <v>501</v>
      </c>
      <c r="AB112" s="21"/>
      <c r="AC112" s="21"/>
      <c r="AD112" s="21"/>
      <c r="AE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E112" s="22"/>
    </row>
    <row r="113" spans="1:110" s="162" customFormat="1" x14ac:dyDescent="0.2">
      <c r="A113" s="49" t="s">
        <v>502</v>
      </c>
      <c r="E113" s="162">
        <f t="shared" ref="E113:AE115" si="929">+E96/E$111</f>
        <v>0</v>
      </c>
      <c r="F113" s="162">
        <f t="shared" si="929"/>
        <v>0</v>
      </c>
      <c r="G113" s="162">
        <f t="shared" si="929"/>
        <v>0</v>
      </c>
      <c r="H113" s="162">
        <f t="shared" si="929"/>
        <v>0</v>
      </c>
      <c r="I113" s="162">
        <f t="shared" si="929"/>
        <v>0</v>
      </c>
      <c r="J113" s="162">
        <f t="shared" si="929"/>
        <v>0</v>
      </c>
      <c r="K113" s="162">
        <f t="shared" si="929"/>
        <v>7.739886552832977</v>
      </c>
      <c r="L113" s="162">
        <f t="shared" si="929"/>
        <v>6.9196864800900864</v>
      </c>
      <c r="M113" s="162">
        <f t="shared" si="929"/>
        <v>4.3604615886289562</v>
      </c>
      <c r="N113" s="162">
        <f t="shared" si="929"/>
        <v>3.6517502637763459</v>
      </c>
      <c r="O113" s="162">
        <f t="shared" si="929"/>
        <v>2.867628721503686</v>
      </c>
      <c r="P113" s="162">
        <f t="shared" si="929"/>
        <v>3.1868187233388423</v>
      </c>
      <c r="Q113" s="162">
        <f t="shared" si="929"/>
        <v>1.7895752062839956</v>
      </c>
      <c r="R113" s="162">
        <f t="shared" si="929"/>
        <v>5.1369118470709045</v>
      </c>
      <c r="S113" s="162">
        <f t="shared" si="929"/>
        <v>10.300150113006421</v>
      </c>
      <c r="T113" s="162">
        <f t="shared" si="929"/>
        <v>-64.61524034618202</v>
      </c>
      <c r="U113" s="162">
        <f t="shared" si="929"/>
        <v>-5.0141520969192719</v>
      </c>
      <c r="V113" s="162">
        <f t="shared" si="929"/>
        <v>65.924304547920968</v>
      </c>
      <c r="W113" s="162">
        <f t="shared" si="929"/>
        <v>13.004182372404543</v>
      </c>
      <c r="X113" s="162">
        <f t="shared" si="929"/>
        <v>4.4355367914596417</v>
      </c>
      <c r="Y113" s="162">
        <f t="shared" si="929"/>
        <v>5.7450381090945219</v>
      </c>
      <c r="Z113" s="162">
        <f t="shared" si="929"/>
        <v>3.6853961021329074</v>
      </c>
      <c r="AA113" s="162">
        <f t="shared" ref="AA113" si="930">+AA96/AA$111</f>
        <v>4.4694899878158605</v>
      </c>
      <c r="AB113" s="21">
        <f t="shared" si="929"/>
        <v>4.4289942599884649</v>
      </c>
      <c r="AC113" s="21">
        <f t="shared" si="929"/>
        <v>3.6500221081261675</v>
      </c>
      <c r="AD113" s="21">
        <f t="shared" si="929"/>
        <v>3.023909238095182</v>
      </c>
      <c r="AE113" s="21">
        <f t="shared" si="929"/>
        <v>2.4787461782564897</v>
      </c>
      <c r="AL113" s="162">
        <f t="shared" ref="AL113:CI115" si="931">+AL96/AL$111</f>
        <v>3.6517502637763459</v>
      </c>
      <c r="AM113" s="162">
        <f t="shared" si="931"/>
        <v>5.1652331088940011</v>
      </c>
      <c r="AN113" s="162">
        <f t="shared" si="931"/>
        <v>2.7245675039865418</v>
      </c>
      <c r="AO113" s="162">
        <f t="shared" si="931"/>
        <v>3.7413048993418792</v>
      </c>
      <c r="AP113" s="162">
        <f t="shared" si="931"/>
        <v>2.867628721503686</v>
      </c>
      <c r="AQ113" s="162">
        <f t="shared" si="931"/>
        <v>3.8661495328600499</v>
      </c>
      <c r="AR113" s="162">
        <f t="shared" si="931"/>
        <v>3.0764785149788638</v>
      </c>
      <c r="AS113" s="162">
        <f t="shared" si="931"/>
        <v>3.4126968948510865</v>
      </c>
      <c r="AT113" s="162">
        <f t="shared" si="931"/>
        <v>3.1868187233388423</v>
      </c>
      <c r="AU113" s="162">
        <f t="shared" si="931"/>
        <v>2.0296105230206822</v>
      </c>
      <c r="AV113" s="162">
        <f t="shared" si="931"/>
        <v>1.8300721337172778</v>
      </c>
      <c r="AW113" s="162">
        <f t="shared" si="931"/>
        <v>2.3402441158209628</v>
      </c>
      <c r="AX113" s="162">
        <f t="shared" si="931"/>
        <v>1.7895776026567218</v>
      </c>
      <c r="AY113" s="162">
        <f t="shared" si="931"/>
        <v>1.617893153214415</v>
      </c>
      <c r="AZ113" s="162">
        <f t="shared" si="931"/>
        <v>1.2109435052065312</v>
      </c>
      <c r="BA113" s="162">
        <f t="shared" si="931"/>
        <v>1.5949461041976352</v>
      </c>
      <c r="BB113" s="162">
        <f t="shared" si="931"/>
        <v>5.1369118470709045</v>
      </c>
      <c r="BC113" s="162">
        <f t="shared" si="931"/>
        <v>4.4979863510711828</v>
      </c>
      <c r="BD113" s="162">
        <f t="shared" si="931"/>
        <v>4.0165839192260924</v>
      </c>
      <c r="BE113" s="162">
        <f t="shared" si="931"/>
        <v>10.542098489969222</v>
      </c>
      <c r="BF113" s="162">
        <f t="shared" si="931"/>
        <v>10.300150113006421</v>
      </c>
      <c r="BG113" s="162">
        <f t="shared" si="931"/>
        <v>7.004102076844366</v>
      </c>
      <c r="BH113" s="162">
        <f t="shared" si="931"/>
        <v>1.6870239772002023</v>
      </c>
      <c r="BI113" s="162">
        <f t="shared" si="931"/>
        <v>4.5955721341791707</v>
      </c>
      <c r="BJ113" s="162">
        <f t="shared" si="931"/>
        <v>2.4104968563163474</v>
      </c>
      <c r="BK113" s="162">
        <f t="shared" si="931"/>
        <v>2.6562448415202247</v>
      </c>
      <c r="BL113" s="162">
        <f t="shared" si="931"/>
        <v>2.5744135920052402</v>
      </c>
      <c r="BM113" s="162">
        <f t="shared" si="931"/>
        <v>2.6689085931507841</v>
      </c>
      <c r="BN113" s="162">
        <f t="shared" si="931"/>
        <v>1.6515866978168148</v>
      </c>
      <c r="BO113" s="162">
        <f t="shared" si="931"/>
        <v>2.3947968085436653</v>
      </c>
      <c r="BP113" s="162">
        <f t="shared" si="931"/>
        <v>1.2261905661614487</v>
      </c>
      <c r="BQ113" s="162">
        <f t="shared" si="931"/>
        <v>1.6960257469718549</v>
      </c>
      <c r="BR113" s="162">
        <f t="shared" si="931"/>
        <v>2.5016625014585223</v>
      </c>
      <c r="BS113" s="162">
        <f t="shared" si="931"/>
        <v>3.2662474936168913</v>
      </c>
      <c r="BT113" s="162">
        <f t="shared" si="931"/>
        <v>2.7983280384161549</v>
      </c>
      <c r="BU113" s="162">
        <f t="shared" si="931"/>
        <v>2.8270889042222285</v>
      </c>
      <c r="BV113" s="162">
        <f t="shared" si="931"/>
        <v>3.8160185880244493</v>
      </c>
      <c r="BW113" s="162">
        <f t="shared" si="931"/>
        <v>4.3121690605664451</v>
      </c>
      <c r="BX113" s="162">
        <f t="shared" si="931"/>
        <v>5.9568412950055842</v>
      </c>
      <c r="BY113" s="162">
        <f t="shared" si="931"/>
        <v>4.769481719506353</v>
      </c>
      <c r="BZ113" s="162">
        <f t="shared" si="931"/>
        <v>2.4735510579515232</v>
      </c>
      <c r="CA113" s="162">
        <f t="shared" si="931"/>
        <v>2.4952508264509872</v>
      </c>
      <c r="CB113" s="162">
        <f t="shared" si="931"/>
        <v>3.5908895064148205</v>
      </c>
      <c r="CC113" s="162">
        <f t="shared" si="931"/>
        <v>4.6807913908111676</v>
      </c>
      <c r="CD113" s="162">
        <f t="shared" si="931"/>
        <v>4.7709988334693474</v>
      </c>
      <c r="CE113" s="162">
        <f t="shared" si="931"/>
        <v>5.8864909339191653</v>
      </c>
      <c r="CF113" s="162">
        <f t="shared" si="931"/>
        <v>4.5221661095451502</v>
      </c>
      <c r="CG113" s="162">
        <f t="shared" si="931"/>
        <v>3.4584786810161887</v>
      </c>
      <c r="CH113" s="162">
        <f t="shared" si="931"/>
        <v>3.6853961021329074</v>
      </c>
      <c r="CI113" s="162">
        <f t="shared" si="931"/>
        <v>3.9865800723881395</v>
      </c>
      <c r="CJ113" s="162">
        <f>+CJ96/CJ$111</f>
        <v>4.7724614157017067</v>
      </c>
      <c r="CK113" s="162">
        <f>+CK96/CK$111</f>
        <v>4.5260206889296386</v>
      </c>
      <c r="CL113" s="162">
        <f>+CL96/CL$111</f>
        <v>4.4694899878158605</v>
      </c>
      <c r="CM113" s="21">
        <f t="shared" ref="CM113:DB113" si="932">+CM96/CM$111</f>
        <v>5.1019402397412401</v>
      </c>
      <c r="CN113" s="21">
        <f t="shared" si="932"/>
        <v>4.8838166591105212</v>
      </c>
      <c r="CO113" s="21">
        <f t="shared" si="932"/>
        <v>4.6809133497834656</v>
      </c>
      <c r="CP113" s="21">
        <f t="shared" si="932"/>
        <v>4.4289942599884649</v>
      </c>
      <c r="CQ113" s="21">
        <f t="shared" si="932"/>
        <v>4.2280661977216321</v>
      </c>
      <c r="CR113" s="21">
        <f t="shared" si="932"/>
        <v>4.0406101130772099</v>
      </c>
      <c r="CS113" s="21">
        <f t="shared" si="932"/>
        <v>3.8589025313963781</v>
      </c>
      <c r="CT113" s="21">
        <f t="shared" si="932"/>
        <v>3.6500221081261675</v>
      </c>
      <c r="CU113" s="21">
        <f t="shared" si="932"/>
        <v>3.4919158183125569</v>
      </c>
      <c r="CV113" s="21">
        <f t="shared" si="932"/>
        <v>3.3462030175801134</v>
      </c>
      <c r="CW113" s="21">
        <f t="shared" si="932"/>
        <v>3.197031151817979</v>
      </c>
      <c r="CX113" s="21">
        <f t="shared" si="932"/>
        <v>3.023909238095182</v>
      </c>
      <c r="CY113" s="21">
        <f t="shared" si="932"/>
        <v>2.8894158115732496</v>
      </c>
      <c r="CZ113" s="21">
        <f t="shared" si="932"/>
        <v>2.7582761954030515</v>
      </c>
      <c r="DA113" s="21">
        <f t="shared" si="932"/>
        <v>2.631222918215435</v>
      </c>
      <c r="DB113" s="21">
        <f t="shared" si="932"/>
        <v>2.4787461782564897</v>
      </c>
      <c r="DE113" s="22"/>
      <c r="DF113" s="162" t="e">
        <v>#DIV/0!</v>
      </c>
    </row>
    <row r="114" spans="1:110" s="162" customFormat="1" x14ac:dyDescent="0.2">
      <c r="A114" s="49" t="s">
        <v>503</v>
      </c>
      <c r="E114" s="162">
        <f t="shared" si="929"/>
        <v>0</v>
      </c>
      <c r="F114" s="162">
        <f t="shared" si="929"/>
        <v>0</v>
      </c>
      <c r="G114" s="162">
        <f t="shared" si="929"/>
        <v>0</v>
      </c>
      <c r="H114" s="162">
        <f t="shared" si="929"/>
        <v>0</v>
      </c>
      <c r="I114" s="162">
        <f t="shared" si="929"/>
        <v>0</v>
      </c>
      <c r="J114" s="162">
        <f t="shared" si="929"/>
        <v>0</v>
      </c>
      <c r="K114" s="162">
        <f t="shared" si="929"/>
        <v>7.863377627630225</v>
      </c>
      <c r="L114" s="162">
        <f t="shared" si="929"/>
        <v>8.8673819210728908</v>
      </c>
      <c r="M114" s="162">
        <f t="shared" si="929"/>
        <v>7.7568972623487298</v>
      </c>
      <c r="N114" s="162">
        <f t="shared" si="929"/>
        <v>6.6342375640807658</v>
      </c>
      <c r="O114" s="162">
        <f t="shared" si="929"/>
        <v>3.6781096037375125</v>
      </c>
      <c r="P114" s="162">
        <f t="shared" si="929"/>
        <v>4.6151603075837349</v>
      </c>
      <c r="Q114" s="162">
        <f t="shared" si="929"/>
        <v>2.6056008414726572</v>
      </c>
      <c r="R114" s="162">
        <f t="shared" si="929"/>
        <v>5.3104996066089694</v>
      </c>
      <c r="S114" s="162">
        <f t="shared" si="929"/>
        <v>20.708722858781332</v>
      </c>
      <c r="T114" s="162">
        <f t="shared" si="929"/>
        <v>-78.020891870286164</v>
      </c>
      <c r="U114" s="162">
        <f t="shared" si="929"/>
        <v>-13.325899717037704</v>
      </c>
      <c r="V114" s="162">
        <f t="shared" si="929"/>
        <v>84.48852669868765</v>
      </c>
      <c r="W114" s="162">
        <f t="shared" si="929"/>
        <v>13.183380778509012</v>
      </c>
      <c r="X114" s="162">
        <f t="shared" si="929"/>
        <v>10.019312752315935</v>
      </c>
      <c r="Y114" s="162">
        <f t="shared" si="929"/>
        <v>6.343546857203302</v>
      </c>
      <c r="Z114" s="162">
        <f t="shared" si="929"/>
        <v>6.4903357317118706</v>
      </c>
      <c r="AA114" s="162">
        <f t="shared" ref="AA114" si="933">+AA97/AA$111</f>
        <v>5.4272378423478305</v>
      </c>
      <c r="AB114" s="21">
        <f t="shared" si="929"/>
        <v>4.6951918077985884</v>
      </c>
      <c r="AC114" s="21">
        <f t="shared" si="929"/>
        <v>4.6951918077985884</v>
      </c>
      <c r="AD114" s="21">
        <f t="shared" si="929"/>
        <v>4.6951918077985884</v>
      </c>
      <c r="AE114" s="21">
        <f t="shared" si="929"/>
        <v>4.6951918077985884</v>
      </c>
      <c r="AL114" s="162">
        <f t="shared" si="931"/>
        <v>6.1446425102657329</v>
      </c>
      <c r="AM114" s="162">
        <f t="shared" si="931"/>
        <v>7.7758877200237801</v>
      </c>
      <c r="AN114" s="162">
        <f t="shared" si="931"/>
        <v>3.8270669125764449</v>
      </c>
      <c r="AO114" s="162">
        <f t="shared" si="931"/>
        <v>4.1154353892760671</v>
      </c>
      <c r="AP114" s="162">
        <f t="shared" si="931"/>
        <v>3.0650913364479271</v>
      </c>
      <c r="AQ114" s="162">
        <f t="shared" si="931"/>
        <v>4.2339127578083682</v>
      </c>
      <c r="AR114" s="162">
        <f t="shared" si="931"/>
        <v>4.7458579856643999</v>
      </c>
      <c r="AS114" s="162">
        <f t="shared" si="931"/>
        <v>3.8551547786254665</v>
      </c>
      <c r="AT114" s="162">
        <f t="shared" si="931"/>
        <v>4.0424761818251689</v>
      </c>
      <c r="AU114" s="162">
        <f t="shared" si="931"/>
        <v>3.5006444747484928</v>
      </c>
      <c r="AV114" s="162">
        <f t="shared" si="931"/>
        <v>2.3079654641819114</v>
      </c>
      <c r="AW114" s="162">
        <f t="shared" si="931"/>
        <v>2.362013828526274</v>
      </c>
      <c r="AX114" s="162">
        <f t="shared" si="931"/>
        <v>1.8463895900426497</v>
      </c>
      <c r="AY114" s="162">
        <f t="shared" si="931"/>
        <v>1.9244132728514127</v>
      </c>
      <c r="AZ114" s="162">
        <f t="shared" si="931"/>
        <v>1.5021523641740337</v>
      </c>
      <c r="BA114" s="162">
        <f t="shared" si="931"/>
        <v>1.7989508384554724</v>
      </c>
      <c r="BB114" s="162">
        <f t="shared" si="931"/>
        <v>5.3104996066089694</v>
      </c>
      <c r="BC114" s="162">
        <f t="shared" si="931"/>
        <v>7.0120123924106306</v>
      </c>
      <c r="BD114" s="162">
        <f t="shared" si="931"/>
        <v>4.8185414530140429</v>
      </c>
      <c r="BE114" s="162">
        <f t="shared" si="931"/>
        <v>10.655998713750403</v>
      </c>
      <c r="BF114" s="162">
        <f t="shared" si="931"/>
        <v>20.708722858781332</v>
      </c>
      <c r="BG114" s="162">
        <f t="shared" si="931"/>
        <v>11.666275285889379</v>
      </c>
      <c r="BH114" s="162">
        <f t="shared" si="931"/>
        <v>2.5499880242376225</v>
      </c>
      <c r="BI114" s="162">
        <f t="shared" si="931"/>
        <v>5.2546620473325687</v>
      </c>
      <c r="BJ114" s="162">
        <f t="shared" si="931"/>
        <v>2.6630489128391179</v>
      </c>
      <c r="BK114" s="162">
        <f t="shared" si="931"/>
        <v>2.8892487749869109</v>
      </c>
      <c r="BL114" s="162">
        <f t="shared" si="931"/>
        <v>2.7966219191534374</v>
      </c>
      <c r="BM114" s="162">
        <f t="shared" si="931"/>
        <v>3.1849839602729828</v>
      </c>
      <c r="BN114" s="162">
        <f t="shared" si="931"/>
        <v>3.9251222602168983</v>
      </c>
      <c r="BO114" s="162">
        <f t="shared" si="931"/>
        <v>2.807234036681741</v>
      </c>
      <c r="BP114" s="162">
        <f t="shared" si="931"/>
        <v>1.3825839355226104</v>
      </c>
      <c r="BQ114" s="162">
        <f t="shared" si="931"/>
        <v>2.1840170584748235</v>
      </c>
      <c r="BR114" s="162">
        <f t="shared" si="931"/>
        <v>3.2061283087475472</v>
      </c>
      <c r="BS114" s="162">
        <f t="shared" si="931"/>
        <v>4.811522432175499</v>
      </c>
      <c r="BT114" s="162">
        <f t="shared" si="931"/>
        <v>3.2980809099191939</v>
      </c>
      <c r="BU114" s="162">
        <f t="shared" si="931"/>
        <v>3.8417233179681509</v>
      </c>
      <c r="BV114" s="162">
        <f t="shared" si="931"/>
        <v>3.8686035510045218</v>
      </c>
      <c r="BW114" s="162">
        <f t="shared" si="931"/>
        <v>5.6622368449068068</v>
      </c>
      <c r="BX114" s="162">
        <f t="shared" si="931"/>
        <v>6.8970596909534967</v>
      </c>
      <c r="BY114" s="162">
        <f t="shared" si="931"/>
        <v>6.1004443035569729</v>
      </c>
      <c r="BZ114" s="162">
        <f t="shared" si="931"/>
        <v>3.9362511355397674</v>
      </c>
      <c r="CA114" s="162">
        <f t="shared" si="931"/>
        <v>2.8551379730545401</v>
      </c>
      <c r="CB114" s="162">
        <f t="shared" si="931"/>
        <v>3.9036582198861893</v>
      </c>
      <c r="CC114" s="162">
        <f t="shared" si="931"/>
        <v>5.2555784826236476</v>
      </c>
      <c r="CD114" s="162">
        <f t="shared" si="931"/>
        <v>5.2287000518947373</v>
      </c>
      <c r="CE114" s="162">
        <f t="shared" si="931"/>
        <v>7.3499174951155837</v>
      </c>
      <c r="CF114" s="162">
        <f t="shared" si="931"/>
        <v>5.1845853811361708</v>
      </c>
      <c r="CG114" s="162">
        <f t="shared" si="931"/>
        <v>4.317624523630907</v>
      </c>
      <c r="CH114" s="162">
        <f t="shared" si="931"/>
        <v>4.3418482358003363</v>
      </c>
      <c r="CI114" s="162">
        <f t="shared" si="931"/>
        <v>4.1512697920054036</v>
      </c>
      <c r="CJ114" s="162">
        <f t="shared" ref="CJ114:CK115" si="934">+CJ97/CJ$111</f>
        <v>6.0295010281333346</v>
      </c>
      <c r="CK114" s="162">
        <f t="shared" si="934"/>
        <v>5.5230112602672863</v>
      </c>
      <c r="CL114" s="162">
        <f t="shared" ref="CL114" si="935">+CL97/CL$111</f>
        <v>4.6951918077985884</v>
      </c>
      <c r="CM114" s="94">
        <f t="shared" ref="CM114:DB114" si="936">+CL114</f>
        <v>4.6951918077985884</v>
      </c>
      <c r="CN114" s="94">
        <f t="shared" si="936"/>
        <v>4.6951918077985884</v>
      </c>
      <c r="CO114" s="94">
        <f t="shared" si="936"/>
        <v>4.6951918077985884</v>
      </c>
      <c r="CP114" s="94">
        <f t="shared" si="936"/>
        <v>4.6951918077985884</v>
      </c>
      <c r="CQ114" s="94">
        <f t="shared" si="936"/>
        <v>4.6951918077985884</v>
      </c>
      <c r="CR114" s="94">
        <f t="shared" si="936"/>
        <v>4.6951918077985884</v>
      </c>
      <c r="CS114" s="94">
        <f t="shared" si="936"/>
        <v>4.6951918077985884</v>
      </c>
      <c r="CT114" s="94">
        <f t="shared" si="936"/>
        <v>4.6951918077985884</v>
      </c>
      <c r="CU114" s="94">
        <f t="shared" si="936"/>
        <v>4.6951918077985884</v>
      </c>
      <c r="CV114" s="94">
        <f t="shared" si="936"/>
        <v>4.6951918077985884</v>
      </c>
      <c r="CW114" s="94">
        <f t="shared" si="936"/>
        <v>4.6951918077985884</v>
      </c>
      <c r="CX114" s="94">
        <f t="shared" si="936"/>
        <v>4.6951918077985884</v>
      </c>
      <c r="CY114" s="94">
        <f t="shared" si="936"/>
        <v>4.6951918077985884</v>
      </c>
      <c r="CZ114" s="94">
        <f t="shared" si="936"/>
        <v>4.6951918077985884</v>
      </c>
      <c r="DA114" s="94">
        <f t="shared" si="936"/>
        <v>4.6951918077985884</v>
      </c>
      <c r="DB114" s="94">
        <f t="shared" si="936"/>
        <v>4.6951918077985884</v>
      </c>
      <c r="DC114" s="94"/>
      <c r="DE114" s="22"/>
      <c r="DF114" s="162" t="e">
        <v>#DIV/0!</v>
      </c>
    </row>
    <row r="115" spans="1:110" s="162" customFormat="1" x14ac:dyDescent="0.2">
      <c r="A115" s="49" t="s">
        <v>504</v>
      </c>
      <c r="E115" s="162">
        <f t="shared" si="929"/>
        <v>0</v>
      </c>
      <c r="F115" s="162">
        <f t="shared" si="929"/>
        <v>0</v>
      </c>
      <c r="G115" s="162">
        <f t="shared" si="929"/>
        <v>0</v>
      </c>
      <c r="H115" s="162">
        <f t="shared" si="929"/>
        <v>0</v>
      </c>
      <c r="I115" s="162">
        <f t="shared" si="929"/>
        <v>0</v>
      </c>
      <c r="J115" s="162">
        <f t="shared" si="929"/>
        <v>0</v>
      </c>
      <c r="K115" s="162">
        <f t="shared" si="929"/>
        <v>6.02436189213606</v>
      </c>
      <c r="L115" s="162">
        <f t="shared" si="929"/>
        <v>6.5945593671071308</v>
      </c>
      <c r="M115" s="162">
        <f t="shared" si="929"/>
        <v>3.7922608838149348</v>
      </c>
      <c r="N115" s="162">
        <f t="shared" si="929"/>
        <v>3.3058895376868271</v>
      </c>
      <c r="O115" s="162">
        <f t="shared" si="929"/>
        <v>1.7359026895844509</v>
      </c>
      <c r="P115" s="162">
        <f t="shared" si="929"/>
        <v>2.6141345975802759</v>
      </c>
      <c r="Q115" s="162">
        <f t="shared" si="929"/>
        <v>1.0148673247757725</v>
      </c>
      <c r="R115" s="162">
        <f t="shared" si="929"/>
        <v>3.0024253223806161</v>
      </c>
      <c r="S115" s="162">
        <f t="shared" si="929"/>
        <v>10.039935794362048</v>
      </c>
      <c r="T115" s="162">
        <f t="shared" si="929"/>
        <v>-20.37659031663831</v>
      </c>
      <c r="U115" s="162">
        <f t="shared" si="929"/>
        <v>-4.3907710254103893</v>
      </c>
      <c r="V115" s="162">
        <f t="shared" si="929"/>
        <v>20.153226551980541</v>
      </c>
      <c r="W115" s="162">
        <f t="shared" si="929"/>
        <v>4.9156582380421385</v>
      </c>
      <c r="X115" s="162">
        <f t="shared" si="929"/>
        <v>3.0685302803130248</v>
      </c>
      <c r="Y115" s="162">
        <f t="shared" si="929"/>
        <v>1.9925174330024287</v>
      </c>
      <c r="Z115" s="162">
        <f t="shared" si="929"/>
        <v>3.1183285754201946</v>
      </c>
      <c r="AA115" s="162">
        <f t="shared" ref="AA115" si="937">+AA98/AA$111</f>
        <v>2.8037511611275439</v>
      </c>
      <c r="AB115" s="21">
        <f t="shared" si="929"/>
        <v>3.3089262829410262</v>
      </c>
      <c r="AC115" s="21">
        <f t="shared" si="929"/>
        <v>3.2905694282217333</v>
      </c>
      <c r="AD115" s="21">
        <f t="shared" si="929"/>
        <v>3.3008236950724177</v>
      </c>
      <c r="AE115" s="21">
        <f t="shared" si="929"/>
        <v>3.2699367664323957</v>
      </c>
      <c r="AL115" s="162">
        <f t="shared" si="931"/>
        <v>3.4406404699294968</v>
      </c>
      <c r="AM115" s="162">
        <f t="shared" si="931"/>
        <v>4.8599298250148628</v>
      </c>
      <c r="AN115" s="162">
        <f t="shared" si="931"/>
        <v>2.4880159067411984</v>
      </c>
      <c r="AO115" s="162">
        <f t="shared" si="931"/>
        <v>3.0506024563864558</v>
      </c>
      <c r="AP115" s="162">
        <f t="shared" si="931"/>
        <v>1.8803156467824784</v>
      </c>
      <c r="AQ115" s="162">
        <f t="shared" si="931"/>
        <v>2.7566789634781492</v>
      </c>
      <c r="AR115" s="162">
        <f t="shared" si="931"/>
        <v>2.9807816026465721</v>
      </c>
      <c r="AS115" s="162">
        <f t="shared" si="931"/>
        <v>2.9856288505123372</v>
      </c>
      <c r="AT115" s="162">
        <f t="shared" si="931"/>
        <v>2.9173203112171637</v>
      </c>
      <c r="AU115" s="162">
        <f t="shared" si="931"/>
        <v>1.8387924396597632</v>
      </c>
      <c r="AV115" s="162">
        <f t="shared" si="931"/>
        <v>1.4559075881596968</v>
      </c>
      <c r="AW115" s="162">
        <f t="shared" si="931"/>
        <v>1.7560901582284434</v>
      </c>
      <c r="AX115" s="162">
        <f t="shared" si="931"/>
        <v>1.1594810152855239</v>
      </c>
      <c r="AY115" s="162">
        <f t="shared" si="931"/>
        <v>1.4473080431555638</v>
      </c>
      <c r="AZ115" s="162">
        <f t="shared" si="931"/>
        <v>1.198809802749552</v>
      </c>
      <c r="BA115" s="162">
        <f t="shared" si="931"/>
        <v>1.2372754662131158</v>
      </c>
      <c r="BB115" s="162">
        <f t="shared" si="931"/>
        <v>3.7546389470455668</v>
      </c>
      <c r="BC115" s="162">
        <f t="shared" si="931"/>
        <v>3.9224864138970914</v>
      </c>
      <c r="BD115" s="162">
        <f t="shared" si="931"/>
        <v>3.5204576483233772</v>
      </c>
      <c r="BE115" s="162">
        <f t="shared" si="931"/>
        <v>7.2769587415753936</v>
      </c>
      <c r="BF115" s="162">
        <f t="shared" si="931"/>
        <v>10.039935794362048</v>
      </c>
      <c r="BG115" s="162">
        <f t="shared" si="931"/>
        <v>6.6788341785389003</v>
      </c>
      <c r="BH115" s="162">
        <f t="shared" si="931"/>
        <v>1.0751683208990808</v>
      </c>
      <c r="BI115" s="162">
        <f t="shared" si="931"/>
        <v>1.9050407078817384</v>
      </c>
      <c r="BJ115" s="162">
        <f t="shared" si="931"/>
        <v>1.667843779214734</v>
      </c>
      <c r="BK115" s="162">
        <f t="shared" si="931"/>
        <v>1.9287547825853484</v>
      </c>
      <c r="BL115" s="162">
        <f t="shared" si="931"/>
        <v>2.033906850293409</v>
      </c>
      <c r="BM115" s="162">
        <f t="shared" si="931"/>
        <v>2.522075434304301</v>
      </c>
      <c r="BN115" s="162">
        <f t="shared" si="931"/>
        <v>1.4462542975476973</v>
      </c>
      <c r="BO115" s="162">
        <f t="shared" si="931"/>
        <v>1.7295754728370918</v>
      </c>
      <c r="BP115" s="162">
        <f t="shared" si="931"/>
        <v>1.1430026037352989</v>
      </c>
      <c r="BQ115" s="162">
        <f t="shared" si="931"/>
        <v>1.1773216955840846</v>
      </c>
      <c r="BR115" s="162">
        <f t="shared" si="931"/>
        <v>1.4236386251686355</v>
      </c>
      <c r="BS115" s="162">
        <f t="shared" si="931"/>
        <v>2.343114934794833</v>
      </c>
      <c r="BT115" s="162">
        <f t="shared" si="931"/>
        <v>2.0148537960598047</v>
      </c>
      <c r="BU115" s="162">
        <f t="shared" si="931"/>
        <v>2.6527871823077751</v>
      </c>
      <c r="BV115" s="162">
        <f t="shared" si="931"/>
        <v>2.020912302763556</v>
      </c>
      <c r="BW115" s="162">
        <f t="shared" si="931"/>
        <v>3.0811765978376129</v>
      </c>
      <c r="BX115" s="162">
        <f t="shared" si="931"/>
        <v>4.0668429601001206</v>
      </c>
      <c r="BY115" s="162">
        <f t="shared" si="931"/>
        <v>3.9689925531563381</v>
      </c>
      <c r="BZ115" s="162">
        <f t="shared" si="931"/>
        <v>1.7112170810619751</v>
      </c>
      <c r="CA115" s="162">
        <f t="shared" si="931"/>
        <v>1.8478532825608232</v>
      </c>
      <c r="CB115" s="162">
        <f t="shared" si="931"/>
        <v>2.2441274205540851</v>
      </c>
      <c r="CC115" s="162">
        <f t="shared" si="931"/>
        <v>2.5800761157695931</v>
      </c>
      <c r="CD115" s="162">
        <f t="shared" si="931"/>
        <v>4.4849355719534785</v>
      </c>
      <c r="CE115" s="162">
        <f t="shared" si="931"/>
        <v>4.4619961910687742</v>
      </c>
      <c r="CF115" s="162">
        <f t="shared" si="931"/>
        <v>4.2667796994260314</v>
      </c>
      <c r="CG115" s="162">
        <f t="shared" si="931"/>
        <v>2.8159983742149199</v>
      </c>
      <c r="CH115" s="162">
        <f t="shared" si="931"/>
        <v>3.2232740653670269</v>
      </c>
      <c r="CI115" s="162">
        <f t="shared" si="931"/>
        <v>3.2124703365838534</v>
      </c>
      <c r="CJ115" s="162">
        <f t="shared" si="934"/>
        <v>3.6447550127381092</v>
      </c>
      <c r="CK115" s="162">
        <f t="shared" si="934"/>
        <v>4.2728167343042038</v>
      </c>
      <c r="CL115" s="162">
        <f t="shared" ref="CL115" si="938">+CL98/CL$111</f>
        <v>3.8116879729977784</v>
      </c>
      <c r="CM115" s="94">
        <f t="shared" ref="CM115:DB115" si="939">+CL115</f>
        <v>3.8116879729977784</v>
      </c>
      <c r="CN115" s="94">
        <f t="shared" si="939"/>
        <v>3.8116879729977784</v>
      </c>
      <c r="CO115" s="94">
        <f t="shared" si="939"/>
        <v>3.8116879729977784</v>
      </c>
      <c r="CP115" s="94">
        <f t="shared" si="939"/>
        <v>3.8116879729977784</v>
      </c>
      <c r="CQ115" s="94">
        <f t="shared" si="939"/>
        <v>3.8116879729977784</v>
      </c>
      <c r="CR115" s="94">
        <f t="shared" si="939"/>
        <v>3.8116879729977784</v>
      </c>
      <c r="CS115" s="94">
        <f t="shared" si="939"/>
        <v>3.8116879729977784</v>
      </c>
      <c r="CT115" s="94">
        <f t="shared" si="939"/>
        <v>3.8116879729977784</v>
      </c>
      <c r="CU115" s="94">
        <f t="shared" si="939"/>
        <v>3.8116879729977784</v>
      </c>
      <c r="CV115" s="94">
        <f t="shared" si="939"/>
        <v>3.8116879729977784</v>
      </c>
      <c r="CW115" s="94">
        <f t="shared" si="939"/>
        <v>3.8116879729977784</v>
      </c>
      <c r="CX115" s="94">
        <f t="shared" si="939"/>
        <v>3.8116879729977784</v>
      </c>
      <c r="CY115" s="94">
        <f t="shared" si="939"/>
        <v>3.8116879729977784</v>
      </c>
      <c r="CZ115" s="94">
        <f t="shared" si="939"/>
        <v>3.8116879729977784</v>
      </c>
      <c r="DA115" s="94">
        <f t="shared" si="939"/>
        <v>3.8116879729977784</v>
      </c>
      <c r="DB115" s="94">
        <f t="shared" si="939"/>
        <v>3.8116879729977784</v>
      </c>
      <c r="DC115" s="94"/>
      <c r="DE115" s="22"/>
      <c r="DF115" s="162" t="e">
        <v>#DIV/0!</v>
      </c>
    </row>
    <row r="116" spans="1:110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0" s="177" customFormat="1" x14ac:dyDescent="0.2">
      <c r="A117" s="177" t="s">
        <v>510</v>
      </c>
      <c r="E117" s="177">
        <f t="shared" ref="E117:Y117" si="940">+E29</f>
        <v>0</v>
      </c>
      <c r="F117" s="177">
        <f t="shared" si="940"/>
        <v>0</v>
      </c>
      <c r="G117" s="177">
        <f t="shared" si="940"/>
        <v>0</v>
      </c>
      <c r="H117" s="177">
        <f t="shared" si="940"/>
        <v>0</v>
      </c>
      <c r="I117" s="177">
        <f t="shared" si="940"/>
        <v>0</v>
      </c>
      <c r="J117" s="177">
        <f t="shared" si="940"/>
        <v>0</v>
      </c>
      <c r="K117" s="177">
        <f t="shared" si="940"/>
        <v>434.86</v>
      </c>
      <c r="L117" s="177">
        <f t="shared" si="940"/>
        <v>2135.19</v>
      </c>
      <c r="M117" s="177">
        <f t="shared" si="940"/>
        <v>4092.16</v>
      </c>
      <c r="N117" s="177">
        <f t="shared" si="940"/>
        <v>6779.36</v>
      </c>
      <c r="O117" s="177">
        <f t="shared" si="940"/>
        <v>15463.9</v>
      </c>
      <c r="P117" s="177">
        <f t="shared" si="940"/>
        <v>19544.939999999999</v>
      </c>
      <c r="Q117" s="177">
        <f t="shared" si="940"/>
        <v>25532.17</v>
      </c>
      <c r="R117" s="177">
        <f t="shared" si="940"/>
        <v>22615.51</v>
      </c>
      <c r="S117" s="177">
        <f t="shared" si="940"/>
        <v>20304.28</v>
      </c>
      <c r="T117" s="177">
        <f t="shared" si="940"/>
        <v>23884.18</v>
      </c>
      <c r="U117" s="177">
        <f t="shared" si="940"/>
        <v>26467.72</v>
      </c>
      <c r="V117" s="177">
        <f t="shared" si="940"/>
        <v>26221.48</v>
      </c>
      <c r="W117" s="177">
        <f t="shared" si="940"/>
        <v>27711.18</v>
      </c>
      <c r="X117" s="177">
        <f t="shared" si="940"/>
        <v>38773.300000000003</v>
      </c>
      <c r="Y117" s="177">
        <f t="shared" si="940"/>
        <v>50351.25</v>
      </c>
      <c r="Z117" s="177">
        <f>+Z29</f>
        <v>56203.09</v>
      </c>
      <c r="AA117" s="177">
        <f>+AA29</f>
        <v>54240.52</v>
      </c>
      <c r="AB117" s="178">
        <f t="shared" ref="AB117:AE117" si="941">+AB29</f>
        <v>62791.859993374987</v>
      </c>
      <c r="AC117" s="178">
        <f t="shared" si="941"/>
        <v>73082.275106518849</v>
      </c>
      <c r="AD117" s="178">
        <f t="shared" si="941"/>
        <v>85798.700892051187</v>
      </c>
      <c r="AE117" s="178">
        <f t="shared" si="941"/>
        <v>105835.01654615579</v>
      </c>
      <c r="AL117" s="177">
        <f t="shared" ref="AL117:BQ117" si="942">+SUM(AI27:AL27)</f>
        <v>6779.35</v>
      </c>
      <c r="AM117" s="177">
        <f t="shared" si="942"/>
        <v>7812.93</v>
      </c>
      <c r="AN117" s="177">
        <f t="shared" si="942"/>
        <v>9354.7899999999991</v>
      </c>
      <c r="AO117" s="177">
        <f t="shared" si="942"/>
        <v>11660.720000000001</v>
      </c>
      <c r="AP117" s="177">
        <f t="shared" si="942"/>
        <v>15768.08</v>
      </c>
      <c r="AQ117" s="177">
        <f t="shared" si="942"/>
        <v>18456.75</v>
      </c>
      <c r="AR117" s="177">
        <f t="shared" si="942"/>
        <v>19560.13</v>
      </c>
      <c r="AS117" s="177">
        <f t="shared" si="942"/>
        <v>20873.87</v>
      </c>
      <c r="AT117" s="177">
        <f t="shared" si="942"/>
        <v>19544.940000000002</v>
      </c>
      <c r="AU117" s="177">
        <f t="shared" si="942"/>
        <v>20265</v>
      </c>
      <c r="AV117" s="177">
        <f t="shared" si="942"/>
        <v>21867.7</v>
      </c>
      <c r="AW117" s="177">
        <f t="shared" si="942"/>
        <v>22554.74</v>
      </c>
      <c r="AX117" s="177">
        <f t="shared" si="942"/>
        <v>25532.17</v>
      </c>
      <c r="AY117" s="177">
        <f t="shared" si="942"/>
        <v>24972.76</v>
      </c>
      <c r="AZ117" s="177">
        <f t="shared" si="942"/>
        <v>24798.620000000003</v>
      </c>
      <c r="BA117" s="177">
        <f t="shared" si="942"/>
        <v>24039.03</v>
      </c>
      <c r="BB117" s="177">
        <f t="shared" si="942"/>
        <v>22746.27</v>
      </c>
      <c r="BC117" s="177">
        <f t="shared" si="942"/>
        <v>22903.58</v>
      </c>
      <c r="BD117" s="177">
        <f t="shared" si="942"/>
        <v>23486.14</v>
      </c>
      <c r="BE117" s="177">
        <f t="shared" si="942"/>
        <v>22899.1</v>
      </c>
      <c r="BF117" s="177">
        <f t="shared" si="942"/>
        <v>20528.079999999998</v>
      </c>
      <c r="BG117" s="177">
        <f t="shared" si="942"/>
        <v>18814.400000000001</v>
      </c>
      <c r="BH117" s="177">
        <f t="shared" si="942"/>
        <v>19759.57</v>
      </c>
      <c r="BI117" s="177">
        <f t="shared" si="942"/>
        <v>21220.15</v>
      </c>
      <c r="BJ117" s="177">
        <f t="shared" si="942"/>
        <v>23960.66</v>
      </c>
      <c r="BK117" s="177">
        <f t="shared" si="942"/>
        <v>27935.759999999998</v>
      </c>
      <c r="BL117" s="177">
        <f t="shared" si="942"/>
        <v>26747.23</v>
      </c>
      <c r="BM117" s="177">
        <f t="shared" si="942"/>
        <v>27017.01</v>
      </c>
      <c r="BN117" s="177">
        <f t="shared" si="942"/>
        <v>26467.72</v>
      </c>
      <c r="BO117" s="177">
        <f t="shared" si="942"/>
        <v>23866.769999999997</v>
      </c>
      <c r="BP117" s="177">
        <f t="shared" si="942"/>
        <v>25700.29</v>
      </c>
      <c r="BQ117" s="177">
        <f t="shared" si="942"/>
        <v>26020.31</v>
      </c>
      <c r="BR117" s="177">
        <f t="shared" ref="BR117:CW117" si="943">+SUM(BO27:BR27)</f>
        <v>26221.480000000003</v>
      </c>
      <c r="BS117" s="177">
        <f t="shared" si="943"/>
        <v>27586.510000000002</v>
      </c>
      <c r="BT117" s="177">
        <f t="shared" si="943"/>
        <v>25020.959999999999</v>
      </c>
      <c r="BU117" s="177">
        <f t="shared" si="943"/>
        <v>23487</v>
      </c>
      <c r="BV117" s="177">
        <f t="shared" si="943"/>
        <v>27711.18</v>
      </c>
      <c r="BW117" s="177">
        <f t="shared" si="943"/>
        <v>34865.379999999997</v>
      </c>
      <c r="BX117" s="177">
        <f t="shared" si="943"/>
        <v>36725.490000000005</v>
      </c>
      <c r="BY117" s="177">
        <f t="shared" si="943"/>
        <v>39129.020000000004</v>
      </c>
      <c r="BZ117" s="177">
        <f t="shared" si="943"/>
        <v>38773.300000000003</v>
      </c>
      <c r="CA117" s="177">
        <f t="shared" si="943"/>
        <v>36055.78</v>
      </c>
      <c r="CB117" s="177">
        <f t="shared" si="943"/>
        <v>42002.590000000004</v>
      </c>
      <c r="CC117" s="177">
        <f t="shared" si="943"/>
        <v>47229.62</v>
      </c>
      <c r="CD117" s="177">
        <f t="shared" si="943"/>
        <v>50351.250000000007</v>
      </c>
      <c r="CE117" s="177">
        <f t="shared" si="943"/>
        <v>54301.34</v>
      </c>
      <c r="CF117" s="177">
        <f t="shared" si="943"/>
        <v>54649.64</v>
      </c>
      <c r="CG117" s="177">
        <f t="shared" si="943"/>
        <v>55329.38</v>
      </c>
      <c r="CH117" s="177">
        <f t="shared" si="943"/>
        <v>56203.090000000004</v>
      </c>
      <c r="CI117" s="177">
        <f t="shared" si="943"/>
        <v>55356.61</v>
      </c>
      <c r="CJ117" s="177">
        <f t="shared" si="943"/>
        <v>55474.570000000007</v>
      </c>
      <c r="CK117" s="177">
        <f t="shared" si="943"/>
        <v>54254.83</v>
      </c>
      <c r="CL117" s="177">
        <f t="shared" si="943"/>
        <v>54240.520000000004</v>
      </c>
      <c r="CM117" s="178">
        <f t="shared" si="943"/>
        <v>55724.138682487333</v>
      </c>
      <c r="CN117" s="178">
        <f t="shared" si="943"/>
        <v>56870.937135717504</v>
      </c>
      <c r="CO117" s="178">
        <f t="shared" si="943"/>
        <v>59127.973233585195</v>
      </c>
      <c r="CP117" s="178">
        <f t="shared" si="943"/>
        <v>62791.859993374987</v>
      </c>
      <c r="CQ117" s="178">
        <f t="shared" si="943"/>
        <v>63810.179513236668</v>
      </c>
      <c r="CR117" s="178">
        <f t="shared" si="943"/>
        <v>66240.255903216865</v>
      </c>
      <c r="CS117" s="178">
        <f t="shared" si="943"/>
        <v>69452.704771998368</v>
      </c>
      <c r="CT117" s="178">
        <f t="shared" si="943"/>
        <v>73082.275106518849</v>
      </c>
      <c r="CU117" s="178">
        <f t="shared" si="943"/>
        <v>75811.151635256421</v>
      </c>
      <c r="CV117" s="178">
        <f t="shared" si="943"/>
        <v>78301.178147796221</v>
      </c>
      <c r="CW117" s="178">
        <f t="shared" si="943"/>
        <v>81639.985056069752</v>
      </c>
      <c r="CX117" s="178">
        <f t="shared" ref="CX117:DB117" si="944">+SUM(CU27:CX27)</f>
        <v>85798.700892051187</v>
      </c>
      <c r="CY117" s="178">
        <f t="shared" si="944"/>
        <v>89758.835294587305</v>
      </c>
      <c r="CZ117" s="178">
        <f t="shared" si="944"/>
        <v>94753.855675179133</v>
      </c>
      <c r="DA117" s="178">
        <f t="shared" si="944"/>
        <v>99309.156394903184</v>
      </c>
      <c r="DB117" s="178">
        <f t="shared" si="944"/>
        <v>105835.01654615579</v>
      </c>
      <c r="DE117" s="179"/>
      <c r="DF117" s="177">
        <v>0</v>
      </c>
    </row>
    <row r="118" spans="1:110" s="163" customFormat="1" x14ac:dyDescent="0.2">
      <c r="A118" s="163" t="s">
        <v>511</v>
      </c>
      <c r="E118" s="163">
        <f t="shared" ref="E118:AE118" si="945">+E117/E84</f>
        <v>0</v>
      </c>
      <c r="F118" s="163">
        <f t="shared" si="945"/>
        <v>0</v>
      </c>
      <c r="G118" s="163">
        <f t="shared" si="945"/>
        <v>0</v>
      </c>
      <c r="H118" s="163">
        <f t="shared" si="945"/>
        <v>0</v>
      </c>
      <c r="I118" s="163">
        <f t="shared" si="945"/>
        <v>0</v>
      </c>
      <c r="J118" s="163">
        <f t="shared" si="945"/>
        <v>0</v>
      </c>
      <c r="K118" s="163">
        <f t="shared" si="945"/>
        <v>0.225494822320285</v>
      </c>
      <c r="L118" s="163">
        <f t="shared" si="945"/>
        <v>1.1071937857472505</v>
      </c>
      <c r="M118" s="163">
        <f t="shared" si="945"/>
        <v>2.1219723407675515</v>
      </c>
      <c r="N118" s="163">
        <f t="shared" si="945"/>
        <v>3.5154085881553767</v>
      </c>
      <c r="O118" s="163">
        <f t="shared" si="945"/>
        <v>8.0187402448573213</v>
      </c>
      <c r="P118" s="163">
        <f t="shared" si="945"/>
        <v>10.134946356438004</v>
      </c>
      <c r="Q118" s="163">
        <f t="shared" si="945"/>
        <v>13.239599267813343</v>
      </c>
      <c r="R118" s="163">
        <f t="shared" si="945"/>
        <v>11.727177503409438</v>
      </c>
      <c r="S118" s="163">
        <f t="shared" si="945"/>
        <v>10.528698916757843</v>
      </c>
      <c r="T118" s="163">
        <f t="shared" si="945"/>
        <v>12.385040991044715</v>
      </c>
      <c r="U118" s="163">
        <f t="shared" si="945"/>
        <v>13.724724781821859</v>
      </c>
      <c r="V118" s="163">
        <f t="shared" si="945"/>
        <v>13.597038066446457</v>
      </c>
      <c r="W118" s="163">
        <f t="shared" si="945"/>
        <v>14.369515730086546</v>
      </c>
      <c r="X118" s="163">
        <f t="shared" si="945"/>
        <v>20.105731486618929</v>
      </c>
      <c r="Y118" s="163">
        <f t="shared" si="945"/>
        <v>26.109428718102951</v>
      </c>
      <c r="Z118" s="163">
        <f t="shared" ref="Z118:AA118" si="946">+Z117/Z84</f>
        <v>29.143875714945008</v>
      </c>
      <c r="AA118" s="163">
        <f t="shared" ref="AA118" si="947">+AA117/AA84</f>
        <v>28.126193303499665</v>
      </c>
      <c r="AB118" s="94">
        <f t="shared" si="945"/>
        <v>32.560454657513461</v>
      </c>
      <c r="AC118" s="94">
        <f t="shared" si="945"/>
        <v>37.89650609370063</v>
      </c>
      <c r="AD118" s="94">
        <f t="shared" si="945"/>
        <v>44.490555151001146</v>
      </c>
      <c r="AE118" s="94">
        <f t="shared" si="945"/>
        <v>54.88030228427499</v>
      </c>
      <c r="AL118" s="163">
        <f t="shared" ref="AL118:BQ118" si="948">+AL117/AL84</f>
        <v>3.5154034026974754</v>
      </c>
      <c r="AM118" s="163">
        <f t="shared" si="948"/>
        <v>4.0513619605179239</v>
      </c>
      <c r="AN118" s="163">
        <f t="shared" si="948"/>
        <v>4.8508869725741128</v>
      </c>
      <c r="AO118" s="163">
        <f t="shared" si="948"/>
        <v>6.046617266537722</v>
      </c>
      <c r="AP118" s="163">
        <f t="shared" si="948"/>
        <v>8.1764715033160993</v>
      </c>
      <c r="AQ118" s="163">
        <f t="shared" si="948"/>
        <v>9.5706700130154996</v>
      </c>
      <c r="AR118" s="163">
        <f t="shared" si="948"/>
        <v>10.142823066990932</v>
      </c>
      <c r="AS118" s="163">
        <f t="shared" si="948"/>
        <v>10.824057413389889</v>
      </c>
      <c r="AT118" s="163">
        <f t="shared" si="948"/>
        <v>10.134946356438006</v>
      </c>
      <c r="AU118" s="163">
        <f t="shared" si="948"/>
        <v>10.508330438119337</v>
      </c>
      <c r="AV118" s="163">
        <f t="shared" si="948"/>
        <v>11.339403776050444</v>
      </c>
      <c r="AW118" s="163">
        <f t="shared" si="948"/>
        <v>11.695665475739835</v>
      </c>
      <c r="AX118" s="163">
        <f t="shared" si="948"/>
        <v>13.239599267813343</v>
      </c>
      <c r="AY118" s="163">
        <f t="shared" si="948"/>
        <v>12.949519567325392</v>
      </c>
      <c r="AZ118" s="163">
        <f t="shared" si="948"/>
        <v>12.859220003422404</v>
      </c>
      <c r="BA118" s="163">
        <f t="shared" si="948"/>
        <v>12.465337806655016</v>
      </c>
      <c r="BB118" s="163">
        <f t="shared" si="948"/>
        <v>11.79498255093416</v>
      </c>
      <c r="BC118" s="163">
        <f t="shared" si="948"/>
        <v>11.876554989188321</v>
      </c>
      <c r="BD118" s="163">
        <f t="shared" si="948"/>
        <v>12.178639024719077</v>
      </c>
      <c r="BE118" s="163">
        <f t="shared" si="948"/>
        <v>11.874231904048287</v>
      </c>
      <c r="BF118" s="163">
        <f t="shared" si="948"/>
        <v>10.644749464601471</v>
      </c>
      <c r="BG118" s="163">
        <f t="shared" si="948"/>
        <v>9.756127914875524</v>
      </c>
      <c r="BH118" s="163">
        <f t="shared" si="948"/>
        <v>10.246241839385627</v>
      </c>
      <c r="BI118" s="163">
        <f t="shared" si="948"/>
        <v>11.003619449615499</v>
      </c>
      <c r="BJ118" s="163">
        <f t="shared" si="948"/>
        <v>12.424699373078139</v>
      </c>
      <c r="BK118" s="163">
        <f t="shared" si="948"/>
        <v>14.485970743646517</v>
      </c>
      <c r="BL118" s="163">
        <f t="shared" si="948"/>
        <v>13.869663515636748</v>
      </c>
      <c r="BM118" s="163">
        <f t="shared" si="948"/>
        <v>14.009556798913128</v>
      </c>
      <c r="BN118" s="163">
        <f t="shared" si="948"/>
        <v>13.724724781821859</v>
      </c>
      <c r="BO118" s="163">
        <f t="shared" si="948"/>
        <v>12.376013108837574</v>
      </c>
      <c r="BP118" s="163">
        <f t="shared" si="948"/>
        <v>13.326777186059415</v>
      </c>
      <c r="BQ118" s="163">
        <f t="shared" si="948"/>
        <v>13.49272220983474</v>
      </c>
      <c r="BR118" s="163">
        <f t="shared" ref="BR118:CW118" si="949">+BR117/BR84</f>
        <v>13.597038066446459</v>
      </c>
      <c r="BS118" s="163">
        <f t="shared" si="949"/>
        <v>14.304868626424057</v>
      </c>
      <c r="BT118" s="163">
        <f t="shared" si="949"/>
        <v>12.974513474412356</v>
      </c>
      <c r="BU118" s="163">
        <f t="shared" si="949"/>
        <v>12.179084974098638</v>
      </c>
      <c r="BV118" s="163">
        <f t="shared" si="949"/>
        <v>14.369515730086546</v>
      </c>
      <c r="BW118" s="163">
        <f t="shared" si="949"/>
        <v>18.079296022235241</v>
      </c>
      <c r="BX118" s="163">
        <f t="shared" si="949"/>
        <v>19.043848232018131</v>
      </c>
      <c r="BY118" s="163">
        <f t="shared" si="949"/>
        <v>20.290188595103892</v>
      </c>
      <c r="BZ118" s="163">
        <f t="shared" si="949"/>
        <v>20.105731486618929</v>
      </c>
      <c r="CA118" s="163">
        <f t="shared" si="949"/>
        <v>18.696572930872659</v>
      </c>
      <c r="CB118" s="163">
        <f t="shared" si="949"/>
        <v>21.780266221408684</v>
      </c>
      <c r="CC118" s="163">
        <f t="shared" si="949"/>
        <v>24.490720623084623</v>
      </c>
      <c r="CD118" s="163">
        <f t="shared" si="949"/>
        <v>26.109428718102954</v>
      </c>
      <c r="CE118" s="163">
        <f t="shared" si="949"/>
        <v>28.157731258458774</v>
      </c>
      <c r="CF118" s="163">
        <f t="shared" si="949"/>
        <v>28.338340757180561</v>
      </c>
      <c r="CG118" s="163">
        <f t="shared" si="949"/>
        <v>28.690817072601593</v>
      </c>
      <c r="CH118" s="163">
        <f t="shared" si="949"/>
        <v>29.143875714945011</v>
      </c>
      <c r="CI118" s="163">
        <f t="shared" si="949"/>
        <v>28.704937074468361</v>
      </c>
      <c r="CJ118" s="163">
        <f t="shared" si="949"/>
        <v>28.766104735878706</v>
      </c>
      <c r="CK118" s="163">
        <f t="shared" ref="CK118:CL118" si="950">+CK117/CK84</f>
        <v>28.133613693757226</v>
      </c>
      <c r="CL118" s="163">
        <f t="shared" si="950"/>
        <v>28.126193303499669</v>
      </c>
      <c r="CM118" s="50">
        <f t="shared" si="949"/>
        <v>28.895517525544776</v>
      </c>
      <c r="CN118" s="50">
        <f t="shared" si="949"/>
        <v>29.490185035659099</v>
      </c>
      <c r="CO118" s="50">
        <f t="shared" si="949"/>
        <v>30.660561602506231</v>
      </c>
      <c r="CP118" s="50">
        <f t="shared" si="949"/>
        <v>32.560454657513461</v>
      </c>
      <c r="CQ118" s="50">
        <f t="shared" si="949"/>
        <v>33.088499957601968</v>
      </c>
      <c r="CR118" s="50">
        <f t="shared" si="949"/>
        <v>34.348605839456596</v>
      </c>
      <c r="CS118" s="50">
        <f t="shared" si="949"/>
        <v>36.014407676551031</v>
      </c>
      <c r="CT118" s="50">
        <f t="shared" si="949"/>
        <v>37.89650609370063</v>
      </c>
      <c r="CU118" s="50">
        <f t="shared" si="949"/>
        <v>39.311553529614883</v>
      </c>
      <c r="CV118" s="50">
        <f t="shared" si="949"/>
        <v>40.60274629514393</v>
      </c>
      <c r="CW118" s="50">
        <f t="shared" si="949"/>
        <v>42.334070561673116</v>
      </c>
      <c r="CX118" s="50">
        <f t="shared" ref="CX118:DB118" si="951">+CX117/CX84</f>
        <v>44.490555151001146</v>
      </c>
      <c r="CY118" s="50">
        <f t="shared" si="951"/>
        <v>46.544066174007014</v>
      </c>
      <c r="CZ118" s="50">
        <f t="shared" si="951"/>
        <v>49.134212964256186</v>
      </c>
      <c r="DA118" s="50">
        <f t="shared" si="951"/>
        <v>51.496344975500364</v>
      </c>
      <c r="DB118" s="50">
        <f t="shared" si="951"/>
        <v>54.88030228427499</v>
      </c>
      <c r="DE118" s="164"/>
      <c r="DF118" s="163" t="e">
        <v>#DIV/0!</v>
      </c>
    </row>
    <row r="119" spans="1:110" s="163" customFormat="1" x14ac:dyDescent="0.2">
      <c r="AB119" s="94"/>
      <c r="AC119" s="94"/>
      <c r="AD119" s="94"/>
      <c r="AE119" s="94"/>
      <c r="CM119" s="94"/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E119" s="164"/>
    </row>
    <row r="120" spans="1:110" s="163" customFormat="1" x14ac:dyDescent="0.2">
      <c r="A120" s="163" t="s">
        <v>506</v>
      </c>
      <c r="AB120" s="94"/>
      <c r="AC120" s="94"/>
      <c r="AD120" s="94"/>
      <c r="AE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E120" s="164"/>
    </row>
    <row r="121" spans="1:110" s="163" customFormat="1" x14ac:dyDescent="0.2">
      <c r="A121" s="163" t="s">
        <v>507</v>
      </c>
      <c r="E121" s="163" t="e">
        <f t="shared" ref="E121:AE123" si="952">+E96/E$118</f>
        <v>#DIV/0!</v>
      </c>
      <c r="F121" s="163" t="e">
        <f t="shared" si="952"/>
        <v>#DIV/0!</v>
      </c>
      <c r="G121" s="163" t="e">
        <f t="shared" si="952"/>
        <v>#DIV/0!</v>
      </c>
      <c r="H121" s="163" t="e">
        <f t="shared" si="952"/>
        <v>#DIV/0!</v>
      </c>
      <c r="I121" s="163" t="e">
        <f t="shared" si="952"/>
        <v>#DIV/0!</v>
      </c>
      <c r="J121" s="163" t="e">
        <f t="shared" si="952"/>
        <v>#DIV/0!</v>
      </c>
      <c r="K121" s="163">
        <f t="shared" si="952"/>
        <v>102.84049878121694</v>
      </c>
      <c r="L121" s="163">
        <f t="shared" si="952"/>
        <v>20.3758369044441</v>
      </c>
      <c r="M121" s="163">
        <f t="shared" si="952"/>
        <v>6.4374071883797308</v>
      </c>
      <c r="N121" s="163">
        <f t="shared" si="952"/>
        <v>2.3126756950508609</v>
      </c>
      <c r="O121" s="163">
        <f t="shared" si="952"/>
        <v>1.2134075556618966</v>
      </c>
      <c r="P121" s="163">
        <f t="shared" si="952"/>
        <v>0.93340405240435653</v>
      </c>
      <c r="Q121" s="163">
        <f t="shared" si="952"/>
        <v>0.52342973981451635</v>
      </c>
      <c r="R121" s="163">
        <f t="shared" si="952"/>
        <v>0.6813233617106137</v>
      </c>
      <c r="S121" s="163">
        <f t="shared" si="952"/>
        <v>0.45114786143611108</v>
      </c>
      <c r="T121" s="163">
        <f t="shared" si="952"/>
        <v>0.77835834430991557</v>
      </c>
      <c r="U121" s="163">
        <f t="shared" si="952"/>
        <v>0.40437969345300612</v>
      </c>
      <c r="V121" s="163">
        <f t="shared" si="952"/>
        <v>1.2510077501346226</v>
      </c>
      <c r="W121" s="163">
        <f t="shared" si="952"/>
        <v>2.5755913209036927</v>
      </c>
      <c r="X121" s="163">
        <f t="shared" si="952"/>
        <v>1.905924190099888</v>
      </c>
      <c r="Y121" s="163">
        <f t="shared" si="952"/>
        <v>4.0881783034184851</v>
      </c>
      <c r="Z121" s="163">
        <f>+Z96/Z$118</f>
        <v>3.4943876715675244</v>
      </c>
      <c r="AA121" s="163">
        <f>+AA96/AA$118</f>
        <v>5.3508840807573383</v>
      </c>
      <c r="AB121" s="50">
        <f t="shared" ref="AB121:AE121" si="953">+AB96/AB$118</f>
        <v>5.5588904363850302</v>
      </c>
      <c r="AC121" s="50">
        <f t="shared" si="953"/>
        <v>4.7761658964673481</v>
      </c>
      <c r="AD121" s="50">
        <f t="shared" si="953"/>
        <v>4.0682791973641415</v>
      </c>
      <c r="AE121" s="50">
        <f t="shared" si="953"/>
        <v>3.298086790091578</v>
      </c>
      <c r="AL121" s="163">
        <f t="shared" ref="AL121:BQ121" si="954">+AL96/AL118</f>
        <v>2.3126791064040062</v>
      </c>
      <c r="AM121" s="163">
        <f t="shared" si="954"/>
        <v>2.0462254621505629</v>
      </c>
      <c r="AN121" s="163">
        <f t="shared" si="954"/>
        <v>1.3296537388867096</v>
      </c>
      <c r="AO121" s="163">
        <f t="shared" si="954"/>
        <v>1.2899774627981804</v>
      </c>
      <c r="AP121" s="163">
        <f t="shared" si="954"/>
        <v>1.1899998668195495</v>
      </c>
      <c r="AQ121" s="163">
        <f t="shared" si="954"/>
        <v>1.3071185176155065</v>
      </c>
      <c r="AR121" s="163">
        <f t="shared" si="954"/>
        <v>0.85577752295102316</v>
      </c>
      <c r="AS121" s="163">
        <f t="shared" si="954"/>
        <v>0.81947089351423563</v>
      </c>
      <c r="AT121" s="163">
        <f t="shared" si="954"/>
        <v>0.93340405240435642</v>
      </c>
      <c r="AU121" s="163">
        <f t="shared" si="954"/>
        <v>0.55670118430792004</v>
      </c>
      <c r="AV121" s="163">
        <f t="shared" si="954"/>
        <v>0.43564900744019719</v>
      </c>
      <c r="AW121" s="163">
        <f t="shared" si="954"/>
        <v>0.55148636162509523</v>
      </c>
      <c r="AX121" s="163">
        <f t="shared" si="954"/>
        <v>0.52342973981451635</v>
      </c>
      <c r="AY121" s="163">
        <f t="shared" si="954"/>
        <v>0.46874325865463012</v>
      </c>
      <c r="AZ121" s="163">
        <f t="shared" si="954"/>
        <v>0.38804841962980191</v>
      </c>
      <c r="BA121" s="163">
        <f t="shared" si="954"/>
        <v>0.48293917849430695</v>
      </c>
      <c r="BB121" s="163">
        <f t="shared" si="954"/>
        <v>0.67740668250223013</v>
      </c>
      <c r="BC121" s="163">
        <f t="shared" si="954"/>
        <v>0.50014503409510658</v>
      </c>
      <c r="BD121" s="163">
        <f t="shared" si="954"/>
        <v>0.48527589889185713</v>
      </c>
      <c r="BE121" s="163">
        <f t="shared" si="954"/>
        <v>0.70151905970103634</v>
      </c>
      <c r="BF121" s="163">
        <f t="shared" si="954"/>
        <v>0.44622938433599246</v>
      </c>
      <c r="BG121" s="163">
        <f t="shared" si="954"/>
        <v>0.33107396993791988</v>
      </c>
      <c r="BH121" s="163">
        <f t="shared" si="954"/>
        <v>0.46553654254621935</v>
      </c>
      <c r="BI121" s="163">
        <f t="shared" si="954"/>
        <v>0.92515013324599482</v>
      </c>
      <c r="BJ121" s="163">
        <f t="shared" si="954"/>
        <v>0.7758739033065033</v>
      </c>
      <c r="BK121" s="163">
        <f t="shared" si="954"/>
        <v>0.7082714842911022</v>
      </c>
      <c r="BL121" s="163">
        <f t="shared" si="954"/>
        <v>0.92720345994706732</v>
      </c>
      <c r="BM121" s="163">
        <f t="shared" si="954"/>
        <v>0.88225489053007711</v>
      </c>
      <c r="BN121" s="163">
        <f t="shared" si="954"/>
        <v>0.40437969345300612</v>
      </c>
      <c r="BO121" s="163">
        <f t="shared" si="954"/>
        <v>0.58177055378670861</v>
      </c>
      <c r="BP121" s="163">
        <f t="shared" si="954"/>
        <v>0.55302192698992891</v>
      </c>
      <c r="BQ121" s="163">
        <f t="shared" si="954"/>
        <v>0.73669344446703355</v>
      </c>
      <c r="BR121" s="163">
        <f t="shared" ref="BR121:DB121" si="955">+BR96/BR118</f>
        <v>1.2510077501346224</v>
      </c>
      <c r="BS121" s="163">
        <f t="shared" si="955"/>
        <v>1.5854741901023361</v>
      </c>
      <c r="BT121" s="163">
        <f t="shared" si="955"/>
        <v>1.4975513369590936</v>
      </c>
      <c r="BU121" s="163">
        <f t="shared" si="955"/>
        <v>1.6380540937539916</v>
      </c>
      <c r="BV121" s="163">
        <f t="shared" si="955"/>
        <v>2.5755913209036927</v>
      </c>
      <c r="BW121" s="163">
        <f t="shared" si="955"/>
        <v>2.9044272484625155</v>
      </c>
      <c r="BX121" s="163">
        <f t="shared" si="955"/>
        <v>3.9256771577452061</v>
      </c>
      <c r="BY121" s="163">
        <f t="shared" si="955"/>
        <v>2.9511800602212883</v>
      </c>
      <c r="BZ121" s="163">
        <f t="shared" si="955"/>
        <v>1.905924190099888</v>
      </c>
      <c r="CA121" s="163">
        <f t="shared" si="955"/>
        <v>2.673752039201482</v>
      </c>
      <c r="CB121" s="163">
        <f t="shared" si="955"/>
        <v>3.4632267224473536</v>
      </c>
      <c r="CC121" s="163">
        <f t="shared" si="955"/>
        <v>4.2861131616134109</v>
      </c>
      <c r="CD121" s="163">
        <f t="shared" si="955"/>
        <v>4.0881783034184842</v>
      </c>
      <c r="CE121" s="163">
        <f t="shared" si="955"/>
        <v>5.1012632616432674</v>
      </c>
      <c r="CF121" s="163">
        <f t="shared" si="955"/>
        <v>4.6301228827856882</v>
      </c>
      <c r="CG121" s="163">
        <f t="shared" si="955"/>
        <v>3.6886366718730632</v>
      </c>
      <c r="CH121" s="163">
        <f t="shared" si="955"/>
        <v>3.4943876715675239</v>
      </c>
      <c r="CI121" s="163">
        <f t="shared" si="955"/>
        <v>4.0815278464486893</v>
      </c>
      <c r="CJ121" s="163">
        <f t="shared" si="955"/>
        <v>5.0284875664651381</v>
      </c>
      <c r="CK121" s="163">
        <f t="shared" ref="CK121:CL121" si="956">+CK96/CK118</f>
        <v>5.0828877355251141</v>
      </c>
      <c r="CL121" s="163">
        <f t="shared" si="956"/>
        <v>5.3508840807573375</v>
      </c>
      <c r="CM121" s="50">
        <f t="shared" si="955"/>
        <v>6.2639473350836807</v>
      </c>
      <c r="CN121" s="50">
        <f t="shared" si="955"/>
        <v>6.1376352769959723</v>
      </c>
      <c r="CO121" s="50">
        <f t="shared" si="955"/>
        <v>5.9033491410413319</v>
      </c>
      <c r="CP121" s="50">
        <f t="shared" si="955"/>
        <v>5.5588904363850302</v>
      </c>
      <c r="CQ121" s="50">
        <f t="shared" si="955"/>
        <v>5.4701784678037626</v>
      </c>
      <c r="CR121" s="50">
        <f t="shared" si="955"/>
        <v>5.269500626778961</v>
      </c>
      <c r="CS121" s="50">
        <f t="shared" si="955"/>
        <v>5.0257663995359572</v>
      </c>
      <c r="CT121" s="50">
        <f t="shared" si="955"/>
        <v>4.7761658964673481</v>
      </c>
      <c r="CU121" s="50">
        <f t="shared" si="955"/>
        <v>4.6042443950643124</v>
      </c>
      <c r="CV121" s="50">
        <f t="shared" si="955"/>
        <v>4.4578265392271632</v>
      </c>
      <c r="CW121" s="50">
        <f t="shared" si="955"/>
        <v>4.275516093740988</v>
      </c>
      <c r="CX121" s="50">
        <f t="shared" si="955"/>
        <v>4.0682791973641415</v>
      </c>
      <c r="CY121" s="50">
        <f t="shared" si="955"/>
        <v>3.8887878709033208</v>
      </c>
      <c r="CZ121" s="50">
        <f t="shared" si="955"/>
        <v>3.6837875093607915</v>
      </c>
      <c r="DA121" s="50">
        <f t="shared" si="955"/>
        <v>3.5148125577866085</v>
      </c>
      <c r="DB121" s="50">
        <f t="shared" si="955"/>
        <v>3.298086790091578</v>
      </c>
      <c r="DE121" s="106"/>
      <c r="DF121" s="163" t="e">
        <v>#DIV/0!</v>
      </c>
    </row>
    <row r="122" spans="1:110" s="163" customFormat="1" x14ac:dyDescent="0.2">
      <c r="A122" s="163" t="s">
        <v>508</v>
      </c>
      <c r="E122" s="163" t="e">
        <f t="shared" si="952"/>
        <v>#DIV/0!</v>
      </c>
      <c r="F122" s="163" t="e">
        <f t="shared" si="952"/>
        <v>#DIV/0!</v>
      </c>
      <c r="G122" s="163" t="e">
        <f t="shared" si="952"/>
        <v>#DIV/0!</v>
      </c>
      <c r="H122" s="163" t="e">
        <f t="shared" si="952"/>
        <v>#DIV/0!</v>
      </c>
      <c r="I122" s="163" t="e">
        <f t="shared" si="952"/>
        <v>#DIV/0!</v>
      </c>
      <c r="J122" s="163" t="e">
        <f t="shared" si="952"/>
        <v>#DIV/0!</v>
      </c>
      <c r="K122" s="163">
        <f t="shared" si="952"/>
        <v>104.48133468242652</v>
      </c>
      <c r="L122" s="163">
        <f t="shared" si="952"/>
        <v>26.111056955118748</v>
      </c>
      <c r="M122" s="163">
        <f t="shared" si="952"/>
        <v>11.451610152095714</v>
      </c>
      <c r="N122" s="163">
        <f t="shared" si="952"/>
        <v>4.2015030769866186</v>
      </c>
      <c r="O122" s="163">
        <f t="shared" si="952"/>
        <v>1.5563541926680853</v>
      </c>
      <c r="P122" s="163">
        <f t="shared" si="952"/>
        <v>1.3517585114101145</v>
      </c>
      <c r="Q122" s="163">
        <f t="shared" si="952"/>
        <v>0.76210765869097696</v>
      </c>
      <c r="R122" s="163">
        <f t="shared" si="952"/>
        <v>0.70434680447179832</v>
      </c>
      <c r="S122" s="163">
        <f t="shared" si="952"/>
        <v>0.90704464772944438</v>
      </c>
      <c r="T122" s="163">
        <f t="shared" si="952"/>
        <v>0.939843477984172</v>
      </c>
      <c r="U122" s="163">
        <f t="shared" si="952"/>
        <v>1.0747027889066381</v>
      </c>
      <c r="V122" s="163">
        <f t="shared" si="952"/>
        <v>1.6032903558456657</v>
      </c>
      <c r="W122" s="163">
        <f t="shared" si="952"/>
        <v>2.611083122407635</v>
      </c>
      <c r="X122" s="163">
        <f t="shared" si="952"/>
        <v>4.3052400285763648</v>
      </c>
      <c r="Y122" s="163">
        <f t="shared" si="952"/>
        <v>4.5140780854497162</v>
      </c>
      <c r="Z122" s="163">
        <f t="shared" ref="Z122:AA123" si="957">+Z97/Z$118</f>
        <v>6.1539515798864439</v>
      </c>
      <c r="AA122" s="163">
        <f t="shared" ref="AA122" si="958">+AA97/AA$118</f>
        <v>6.4975020980624816</v>
      </c>
      <c r="AB122" s="94">
        <f t="shared" si="952"/>
        <v>5.8929985692582241</v>
      </c>
      <c r="AC122" s="94">
        <f t="shared" si="952"/>
        <v>6.1438025100875215</v>
      </c>
      <c r="AD122" s="94">
        <f t="shared" si="952"/>
        <v>6.3167739688291169</v>
      </c>
      <c r="AE122" s="94">
        <f t="shared" si="952"/>
        <v>6.2471705308442376</v>
      </c>
      <c r="AL122" s="163">
        <f t="shared" ref="AL122:BQ122" si="959">+AL97/AL118</f>
        <v>3.8914452860524973</v>
      </c>
      <c r="AM122" s="163">
        <f t="shared" si="959"/>
        <v>3.0804455690758781</v>
      </c>
      <c r="AN122" s="163">
        <f t="shared" si="959"/>
        <v>1.8676996704362152</v>
      </c>
      <c r="AO122" s="163">
        <f t="shared" si="959"/>
        <v>1.4189752090779986</v>
      </c>
      <c r="AP122" s="163">
        <f t="shared" si="959"/>
        <v>1.2719423036920159</v>
      </c>
      <c r="AQ122" s="163">
        <f t="shared" si="959"/>
        <v>1.4314567299226568</v>
      </c>
      <c r="AR122" s="163">
        <f t="shared" si="959"/>
        <v>1.3201452802205302</v>
      </c>
      <c r="AS122" s="163">
        <f t="shared" si="959"/>
        <v>0.92571571059894497</v>
      </c>
      <c r="AT122" s="163">
        <f t="shared" si="959"/>
        <v>1.1840220537898811</v>
      </c>
      <c r="AU122" s="163">
        <f t="shared" si="959"/>
        <v>0.96019058968665194</v>
      </c>
      <c r="AV122" s="163">
        <f t="shared" si="959"/>
        <v>0.54941160250049159</v>
      </c>
      <c r="AW122" s="163">
        <f t="shared" si="959"/>
        <v>0.55661646731463099</v>
      </c>
      <c r="AX122" s="163">
        <f t="shared" si="959"/>
        <v>0.54004655695148518</v>
      </c>
      <c r="AY122" s="163">
        <f t="shared" si="959"/>
        <v>0.55754964209002122</v>
      </c>
      <c r="AZ122" s="163">
        <f t="shared" si="959"/>
        <v>0.48136667685540563</v>
      </c>
      <c r="BA122" s="163">
        <f t="shared" si="959"/>
        <v>0.5447104687668346</v>
      </c>
      <c r="BB122" s="163">
        <f t="shared" si="959"/>
        <v>0.70029777189842557</v>
      </c>
      <c r="BC122" s="163">
        <f t="shared" si="959"/>
        <v>0.77968737638395391</v>
      </c>
      <c r="BD122" s="163">
        <f t="shared" si="959"/>
        <v>0.58216685670782853</v>
      </c>
      <c r="BE122" s="163">
        <f t="shared" si="959"/>
        <v>0.70909849732085539</v>
      </c>
      <c r="BF122" s="163">
        <f t="shared" si="959"/>
        <v>0.89715592008604805</v>
      </c>
      <c r="BG122" s="163">
        <f t="shared" si="959"/>
        <v>0.55144828429288195</v>
      </c>
      <c r="BH122" s="163">
        <f t="shared" si="959"/>
        <v>0.70367263558872994</v>
      </c>
      <c r="BI122" s="163">
        <f t="shared" si="959"/>
        <v>1.0578337476408037</v>
      </c>
      <c r="BJ122" s="163">
        <f t="shared" si="959"/>
        <v>0.8571635964952552</v>
      </c>
      <c r="BK122" s="163">
        <f t="shared" si="959"/>
        <v>0.7704005618604971</v>
      </c>
      <c r="BL122" s="163">
        <f t="shared" si="959"/>
        <v>1.0072342407045516</v>
      </c>
      <c r="BM122" s="163">
        <f t="shared" si="959"/>
        <v>1.052852721304097</v>
      </c>
      <c r="BN122" s="163">
        <f t="shared" si="959"/>
        <v>0.96103930750363076</v>
      </c>
      <c r="BO122" s="163">
        <f t="shared" si="959"/>
        <v>0.68196437138330834</v>
      </c>
      <c r="BP122" s="163">
        <f t="shared" si="959"/>
        <v>0.62355660967249793</v>
      </c>
      <c r="BQ122" s="163">
        <f t="shared" si="959"/>
        <v>0.94865956631569726</v>
      </c>
      <c r="BR122" s="163">
        <f t="shared" ref="BR122:CJ122" si="960">+BR97/BR118</f>
        <v>1.6032903558456655</v>
      </c>
      <c r="BS122" s="163">
        <f t="shared" si="960"/>
        <v>2.3355684608165364</v>
      </c>
      <c r="BT122" s="163">
        <f t="shared" si="960"/>
        <v>1.7649987450521483</v>
      </c>
      <c r="BU122" s="163">
        <f t="shared" si="960"/>
        <v>2.2259471920636948</v>
      </c>
      <c r="BV122" s="163">
        <f t="shared" si="960"/>
        <v>2.611083122407635</v>
      </c>
      <c r="BW122" s="163">
        <f t="shared" si="960"/>
        <v>3.8137546901826402</v>
      </c>
      <c r="BX122" s="163">
        <f t="shared" si="960"/>
        <v>4.5452998230928978</v>
      </c>
      <c r="BY122" s="163">
        <f t="shared" si="960"/>
        <v>3.7747308084894535</v>
      </c>
      <c r="BZ122" s="163">
        <f t="shared" si="960"/>
        <v>3.0329659997988299</v>
      </c>
      <c r="CA122" s="163">
        <f t="shared" si="960"/>
        <v>3.0593842096884334</v>
      </c>
      <c r="CB122" s="163">
        <f t="shared" si="960"/>
        <v>3.7648759278892081</v>
      </c>
      <c r="CC122" s="163">
        <f t="shared" si="960"/>
        <v>4.8124349550134005</v>
      </c>
      <c r="CD122" s="163">
        <f t="shared" si="960"/>
        <v>4.4803737861522803</v>
      </c>
      <c r="CE122" s="163">
        <f t="shared" si="960"/>
        <v>6.3694762320782514</v>
      </c>
      <c r="CF122" s="163">
        <f t="shared" si="960"/>
        <v>5.3083559580630366</v>
      </c>
      <c r="CG122" s="163">
        <f t="shared" si="960"/>
        <v>4.6049577349321469</v>
      </c>
      <c r="CH122" s="163">
        <f t="shared" si="960"/>
        <v>4.1168168974339308</v>
      </c>
      <c r="CI122" s="163">
        <f t="shared" si="960"/>
        <v>4.250139956185901</v>
      </c>
      <c r="CJ122" s="163">
        <f t="shared" si="960"/>
        <v>6.3529630333322089</v>
      </c>
      <c r="CK122" s="163">
        <f t="shared" ref="CK122:CL122" si="961">+CK97/CK118</f>
        <v>6.2025448241198067</v>
      </c>
      <c r="CL122" s="163">
        <f t="shared" si="961"/>
        <v>5.6210948383238204</v>
      </c>
      <c r="CM122" s="94">
        <f t="shared" ref="CM122:DB122" si="962">+CL122</f>
        <v>5.6210948383238204</v>
      </c>
      <c r="CN122" s="94">
        <f t="shared" si="962"/>
        <v>5.6210948383238204</v>
      </c>
      <c r="CO122" s="94">
        <f t="shared" si="962"/>
        <v>5.6210948383238204</v>
      </c>
      <c r="CP122" s="94">
        <f t="shared" si="962"/>
        <v>5.6210948383238204</v>
      </c>
      <c r="CQ122" s="94">
        <f t="shared" si="962"/>
        <v>5.6210948383238204</v>
      </c>
      <c r="CR122" s="94">
        <f t="shared" si="962"/>
        <v>5.6210948383238204</v>
      </c>
      <c r="CS122" s="94">
        <f t="shared" si="962"/>
        <v>5.6210948383238204</v>
      </c>
      <c r="CT122" s="94">
        <f t="shared" si="962"/>
        <v>5.6210948383238204</v>
      </c>
      <c r="CU122" s="94">
        <f t="shared" si="962"/>
        <v>5.6210948383238204</v>
      </c>
      <c r="CV122" s="94">
        <f t="shared" si="962"/>
        <v>5.6210948383238204</v>
      </c>
      <c r="CW122" s="94">
        <f t="shared" si="962"/>
        <v>5.6210948383238204</v>
      </c>
      <c r="CX122" s="94">
        <f t="shared" si="962"/>
        <v>5.6210948383238204</v>
      </c>
      <c r="CY122" s="94">
        <f t="shared" si="962"/>
        <v>5.6210948383238204</v>
      </c>
      <c r="CZ122" s="94">
        <f t="shared" si="962"/>
        <v>5.6210948383238204</v>
      </c>
      <c r="DA122" s="94">
        <f t="shared" si="962"/>
        <v>5.6210948383238204</v>
      </c>
      <c r="DB122" s="94">
        <f t="shared" si="962"/>
        <v>5.6210948383238204</v>
      </c>
      <c r="DE122" s="164"/>
      <c r="DF122" s="163" t="e">
        <v>#DIV/0!</v>
      </c>
    </row>
    <row r="123" spans="1:110" s="163" customFormat="1" x14ac:dyDescent="0.2">
      <c r="A123" s="163" t="s">
        <v>509</v>
      </c>
      <c r="E123" s="163" t="e">
        <f t="shared" si="952"/>
        <v>#DIV/0!</v>
      </c>
      <c r="F123" s="163" t="e">
        <f t="shared" si="952"/>
        <v>#DIV/0!</v>
      </c>
      <c r="G123" s="163" t="e">
        <f t="shared" si="952"/>
        <v>#DIV/0!</v>
      </c>
      <c r="H123" s="163" t="e">
        <f t="shared" si="952"/>
        <v>#DIV/0!</v>
      </c>
      <c r="I123" s="163" t="e">
        <f t="shared" si="952"/>
        <v>#DIV/0!</v>
      </c>
      <c r="J123" s="163" t="e">
        <f t="shared" si="952"/>
        <v>#DIV/0!</v>
      </c>
      <c r="K123" s="163">
        <f t="shared" si="952"/>
        <v>80.046183829278391</v>
      </c>
      <c r="L123" s="163">
        <f t="shared" si="952"/>
        <v>19.41846158889841</v>
      </c>
      <c r="M123" s="163">
        <f t="shared" si="952"/>
        <v>5.598564963246794</v>
      </c>
      <c r="N123" s="163">
        <f t="shared" si="952"/>
        <v>2.0936399896155393</v>
      </c>
      <c r="O123" s="163">
        <f t="shared" si="952"/>
        <v>0.73452934253325486</v>
      </c>
      <c r="P123" s="163">
        <f t="shared" si="952"/>
        <v>0.76566759478412327</v>
      </c>
      <c r="Q123" s="163">
        <f t="shared" si="952"/>
        <v>0.2968367788558513</v>
      </c>
      <c r="R123" s="163">
        <f t="shared" si="952"/>
        <v>0.39822028775826857</v>
      </c>
      <c r="S123" s="163">
        <f t="shared" si="952"/>
        <v>0.4397504417787777</v>
      </c>
      <c r="T123" s="163">
        <f t="shared" si="952"/>
        <v>0.24545740318486964</v>
      </c>
      <c r="U123" s="163">
        <f t="shared" si="952"/>
        <v>0.35410546129398379</v>
      </c>
      <c r="V123" s="163">
        <f t="shared" si="952"/>
        <v>0.38243623166960833</v>
      </c>
      <c r="W123" s="163">
        <f t="shared" si="952"/>
        <v>0.97358882949047998</v>
      </c>
      <c r="X123" s="163">
        <f t="shared" si="952"/>
        <v>1.3185294958128402</v>
      </c>
      <c r="Y123" s="163">
        <f t="shared" si="952"/>
        <v>1.4178785908989351</v>
      </c>
      <c r="Z123" s="163">
        <f t="shared" si="957"/>
        <v>2.9567103854965984</v>
      </c>
      <c r="AA123" s="163">
        <f t="shared" ref="AA123" si="963">+AA98/AA$118</f>
        <v>3.356657581822593</v>
      </c>
      <c r="AB123" s="94">
        <f t="shared" si="952"/>
        <v>4.1530780103092395</v>
      </c>
      <c r="AC123" s="94">
        <f t="shared" si="952"/>
        <v>4.305811038251238</v>
      </c>
      <c r="AD123" s="94">
        <f t="shared" si="952"/>
        <v>4.4408318224817922</v>
      </c>
      <c r="AE123" s="94">
        <f t="shared" si="952"/>
        <v>4.3508025744657424</v>
      </c>
      <c r="AL123" s="163">
        <f t="shared" ref="AL123:BQ123" si="964">+AL98/AL118</f>
        <v>2.1789817902896296</v>
      </c>
      <c r="AM123" s="163">
        <f t="shared" si="964"/>
        <v>1.9252784806724237</v>
      </c>
      <c r="AN123" s="163">
        <f t="shared" si="964"/>
        <v>1.2142109336500337</v>
      </c>
      <c r="AO123" s="163">
        <f t="shared" si="964"/>
        <v>1.0518277773585165</v>
      </c>
      <c r="AP123" s="163">
        <f t="shared" si="964"/>
        <v>0.78028768245721747</v>
      </c>
      <c r="AQ123" s="163">
        <f t="shared" si="964"/>
        <v>0.93201416284015326</v>
      </c>
      <c r="AR123" s="163">
        <f t="shared" si="964"/>
        <v>0.82915771520945913</v>
      </c>
      <c r="AS123" s="163">
        <f t="shared" si="964"/>
        <v>0.71692154832812505</v>
      </c>
      <c r="AT123" s="163">
        <f t="shared" si="964"/>
        <v>0.85446924881836428</v>
      </c>
      <c r="AU123" s="163">
        <f t="shared" si="964"/>
        <v>0.50436175672341477</v>
      </c>
      <c r="AV123" s="163">
        <f t="shared" si="964"/>
        <v>0.34657906867205973</v>
      </c>
      <c r="AW123" s="163">
        <f t="shared" si="964"/>
        <v>0.41382852562255207</v>
      </c>
      <c r="AX123" s="163">
        <f t="shared" si="964"/>
        <v>0.33913413156813543</v>
      </c>
      <c r="AY123" s="163">
        <f t="shared" si="964"/>
        <v>0.41932057569928194</v>
      </c>
      <c r="AZ123" s="163">
        <f t="shared" si="964"/>
        <v>0.38416015891206845</v>
      </c>
      <c r="BA123" s="163">
        <f t="shared" si="964"/>
        <v>0.37463886438013516</v>
      </c>
      <c r="BB123" s="163">
        <f t="shared" si="964"/>
        <v>0.49512578545845098</v>
      </c>
      <c r="BC123" s="163">
        <f t="shared" si="964"/>
        <v>0.43615341357115345</v>
      </c>
      <c r="BD123" s="163">
        <f t="shared" si="964"/>
        <v>0.42533488261587471</v>
      </c>
      <c r="BE123" s="163">
        <f t="shared" si="964"/>
        <v>0.48424184793288821</v>
      </c>
      <c r="BF123" s="163">
        <f t="shared" si="964"/>
        <v>0.43495622094224107</v>
      </c>
      <c r="BG123" s="163">
        <f t="shared" si="964"/>
        <v>0.31569901777362019</v>
      </c>
      <c r="BH123" s="163">
        <f t="shared" si="964"/>
        <v>0.29669414870870164</v>
      </c>
      <c r="BI123" s="163">
        <f t="shared" si="964"/>
        <v>0.38351017311376212</v>
      </c>
      <c r="BJ123" s="163">
        <f t="shared" si="964"/>
        <v>0.53683391442472783</v>
      </c>
      <c r="BK123" s="163">
        <f t="shared" si="964"/>
        <v>0.51429069765776914</v>
      </c>
      <c r="BL123" s="163">
        <f t="shared" si="964"/>
        <v>0.73253399323967383</v>
      </c>
      <c r="BM123" s="163">
        <f t="shared" si="964"/>
        <v>0.83371659558182054</v>
      </c>
      <c r="BN123" s="163">
        <f t="shared" si="964"/>
        <v>0.35410546129398379</v>
      </c>
      <c r="BO123" s="163">
        <f t="shared" si="964"/>
        <v>0.42016762217928955</v>
      </c>
      <c r="BP123" s="163">
        <f t="shared" si="964"/>
        <v>0.51550347875451985</v>
      </c>
      <c r="BQ123" s="163">
        <f t="shared" si="964"/>
        <v>0.51138679746705551</v>
      </c>
      <c r="BR123" s="163">
        <f t="shared" ref="BR123:CJ123" si="965">+BR98/BR118</f>
        <v>0.71191975433880916</v>
      </c>
      <c r="BS123" s="163">
        <f t="shared" si="965"/>
        <v>1.1373750032171521</v>
      </c>
      <c r="BT123" s="163">
        <f t="shared" si="965"/>
        <v>1.0782677922829502</v>
      </c>
      <c r="BU123" s="163">
        <f t="shared" si="965"/>
        <v>1.5370612849661514</v>
      </c>
      <c r="BV123" s="163">
        <f t="shared" si="965"/>
        <v>1.3639986460338391</v>
      </c>
      <c r="BW123" s="163">
        <f t="shared" si="965"/>
        <v>2.0753020446070005</v>
      </c>
      <c r="BX123" s="163">
        <f t="shared" si="965"/>
        <v>2.6801305796056085</v>
      </c>
      <c r="BY123" s="163">
        <f t="shared" si="965"/>
        <v>2.4558667735609014</v>
      </c>
      <c r="BZ123" s="163">
        <f t="shared" si="965"/>
        <v>1.3185294958128402</v>
      </c>
      <c r="CA123" s="163">
        <f t="shared" si="965"/>
        <v>1.9800420182284231</v>
      </c>
      <c r="CB123" s="163">
        <f t="shared" si="965"/>
        <v>2.1643445273255764</v>
      </c>
      <c r="CC123" s="163">
        <f t="shared" si="965"/>
        <v>2.362527460521596</v>
      </c>
      <c r="CD123" s="163">
        <f t="shared" si="965"/>
        <v>3.8430561267098629</v>
      </c>
      <c r="CE123" s="163">
        <f t="shared" si="965"/>
        <v>3.8667888048434902</v>
      </c>
      <c r="CF123" s="163">
        <f t="shared" si="965"/>
        <v>4.3686396836282917</v>
      </c>
      <c r="CG123" s="163">
        <f t="shared" si="965"/>
        <v>3.0034000001445889</v>
      </c>
      <c r="CH123" s="163">
        <f t="shared" si="965"/>
        <v>3.0562167115722634</v>
      </c>
      <c r="CI123" s="163">
        <f t="shared" si="965"/>
        <v>3.2889812562582859</v>
      </c>
      <c r="CJ123" s="163">
        <f t="shared" si="965"/>
        <v>3.8402835912022386</v>
      </c>
      <c r="CK123" s="163">
        <f t="shared" ref="CK123:CL123" si="966">+CK98/CK118</f>
        <v>4.7985303796915408</v>
      </c>
      <c r="CL123" s="163">
        <f t="shared" si="966"/>
        <v>4.5633619386392308</v>
      </c>
      <c r="CM123" s="94">
        <f t="shared" ref="CM123:DB123" si="967">+CL123</f>
        <v>4.5633619386392308</v>
      </c>
      <c r="CN123" s="94">
        <f t="shared" si="967"/>
        <v>4.5633619386392308</v>
      </c>
      <c r="CO123" s="94">
        <f t="shared" si="967"/>
        <v>4.5633619386392308</v>
      </c>
      <c r="CP123" s="94">
        <f t="shared" si="967"/>
        <v>4.5633619386392308</v>
      </c>
      <c r="CQ123" s="94">
        <f t="shared" si="967"/>
        <v>4.5633619386392308</v>
      </c>
      <c r="CR123" s="94">
        <f t="shared" si="967"/>
        <v>4.5633619386392308</v>
      </c>
      <c r="CS123" s="94">
        <f t="shared" si="967"/>
        <v>4.5633619386392308</v>
      </c>
      <c r="CT123" s="94">
        <f t="shared" si="967"/>
        <v>4.5633619386392308</v>
      </c>
      <c r="CU123" s="94">
        <f t="shared" si="967"/>
        <v>4.5633619386392308</v>
      </c>
      <c r="CV123" s="94">
        <f t="shared" si="967"/>
        <v>4.5633619386392308</v>
      </c>
      <c r="CW123" s="94">
        <f t="shared" si="967"/>
        <v>4.5633619386392308</v>
      </c>
      <c r="CX123" s="94">
        <f t="shared" si="967"/>
        <v>4.5633619386392308</v>
      </c>
      <c r="CY123" s="94">
        <f t="shared" si="967"/>
        <v>4.5633619386392308</v>
      </c>
      <c r="CZ123" s="94">
        <f t="shared" si="967"/>
        <v>4.5633619386392308</v>
      </c>
      <c r="DA123" s="94">
        <f t="shared" si="967"/>
        <v>4.5633619386392308</v>
      </c>
      <c r="DB123" s="94">
        <f t="shared" si="967"/>
        <v>4.5633619386392308</v>
      </c>
      <c r="DE123" s="164"/>
      <c r="DF123" s="163" t="e">
        <v>#DIV/0!</v>
      </c>
    </row>
    <row r="124" spans="1:110" s="4" customFormat="1" x14ac:dyDescent="0.2">
      <c r="A124" s="3"/>
      <c r="AB124" s="17"/>
      <c r="AC124" s="17"/>
      <c r="AD124" s="17"/>
      <c r="AE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E124" s="119"/>
    </row>
    <row r="125" spans="1:110" s="4" customFormat="1" x14ac:dyDescent="0.2">
      <c r="A125" s="3"/>
      <c r="AB125" s="17"/>
      <c r="AC125" s="17"/>
      <c r="AD125" s="17"/>
      <c r="AE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E125" s="119"/>
    </row>
    <row r="126" spans="1:110" s="162" customFormat="1" x14ac:dyDescent="0.2">
      <c r="A126" s="49" t="s">
        <v>340</v>
      </c>
      <c r="B126" s="162" t="e">
        <f t="shared" ref="B126:AE126" si="968">+B97*B84</f>
        <v>#DIV/0!</v>
      </c>
      <c r="C126" s="162" t="e">
        <f t="shared" si="968"/>
        <v>#DIV/0!</v>
      </c>
      <c r="D126" s="162" t="e">
        <f t="shared" si="968"/>
        <v>#DIV/0!</v>
      </c>
      <c r="E126" s="162">
        <f t="shared" si="968"/>
        <v>0</v>
      </c>
      <c r="F126" s="162">
        <f t="shared" si="968"/>
        <v>0</v>
      </c>
      <c r="G126" s="162">
        <f t="shared" si="968"/>
        <v>0</v>
      </c>
      <c r="H126" s="162">
        <f t="shared" si="968"/>
        <v>0</v>
      </c>
      <c r="I126" s="162">
        <f t="shared" si="968"/>
        <v>0</v>
      </c>
      <c r="J126" s="162">
        <f t="shared" si="968"/>
        <v>0</v>
      </c>
      <c r="K126" s="162">
        <f t="shared" si="968"/>
        <v>45434.753199999999</v>
      </c>
      <c r="L126" s="162">
        <f t="shared" si="968"/>
        <v>55752.0677</v>
      </c>
      <c r="M126" s="162">
        <f t="shared" si="968"/>
        <v>46861.821000000004</v>
      </c>
      <c r="N126" s="162">
        <f t="shared" si="968"/>
        <v>28483.501899999999</v>
      </c>
      <c r="O126" s="162">
        <f t="shared" si="968"/>
        <v>24067.3056</v>
      </c>
      <c r="P126" s="162">
        <f t="shared" si="968"/>
        <v>26420.039000000001</v>
      </c>
      <c r="Q126" s="162">
        <f t="shared" si="968"/>
        <v>19458.262299999999</v>
      </c>
      <c r="R126" s="162">
        <f t="shared" si="968"/>
        <v>15929.162200000001</v>
      </c>
      <c r="S126" s="162">
        <f t="shared" si="968"/>
        <v>18416.888500000001</v>
      </c>
      <c r="T126" s="162">
        <f t="shared" si="968"/>
        <v>22447.390800000001</v>
      </c>
      <c r="U126" s="162">
        <f t="shared" si="968"/>
        <v>28444.932499999999</v>
      </c>
      <c r="V126" s="162">
        <f t="shared" si="968"/>
        <v>42040.646000000001</v>
      </c>
      <c r="W126" s="162">
        <f t="shared" si="968"/>
        <v>72356.194400000008</v>
      </c>
      <c r="X126" s="162">
        <f t="shared" si="968"/>
        <v>166928.36319999999</v>
      </c>
      <c r="Y126" s="162">
        <f t="shared" si="968"/>
        <v>227289.4742</v>
      </c>
      <c r="Z126" s="162">
        <f t="shared" si="968"/>
        <v>345871.09450000001</v>
      </c>
      <c r="AA126" s="162">
        <f t="shared" ref="AA126" si="969">+AA97*AA84</f>
        <v>352427.89250000002</v>
      </c>
      <c r="AB126" s="21">
        <f t="shared" si="968"/>
        <v>370032.34110202151</v>
      </c>
      <c r="AC126" s="21">
        <f t="shared" si="968"/>
        <v>449003.0652423373</v>
      </c>
      <c r="AD126" s="21">
        <f t="shared" si="968"/>
        <v>541971.0003542644</v>
      </c>
      <c r="AE126" s="21">
        <f t="shared" si="968"/>
        <v>661169.39649855671</v>
      </c>
      <c r="AL126" s="162">
        <f t="shared" ref="AL126:BQ126" si="970">+AL97*AL84</f>
        <v>26381.4696</v>
      </c>
      <c r="AM126" s="162">
        <f t="shared" si="970"/>
        <v>24067.3056</v>
      </c>
      <c r="AN126" s="162">
        <f t="shared" si="970"/>
        <v>17471.938200000001</v>
      </c>
      <c r="AO126" s="162">
        <f t="shared" si="970"/>
        <v>16546.2726</v>
      </c>
      <c r="AP126" s="162">
        <f t="shared" si="970"/>
        <v>20056.088</v>
      </c>
      <c r="AQ126" s="162">
        <f t="shared" si="970"/>
        <v>26420.039000000001</v>
      </c>
      <c r="AR126" s="162">
        <f t="shared" si="970"/>
        <v>25822.213300000003</v>
      </c>
      <c r="AS126" s="162">
        <f t="shared" si="970"/>
        <v>19323.269400000001</v>
      </c>
      <c r="AT126" s="162">
        <f t="shared" si="970"/>
        <v>23141.64</v>
      </c>
      <c r="AU126" s="162">
        <f t="shared" si="970"/>
        <v>19458.262299999999</v>
      </c>
      <c r="AV126" s="162">
        <f t="shared" si="970"/>
        <v>12014.368100000002</v>
      </c>
      <c r="AW126" s="162">
        <f t="shared" si="970"/>
        <v>12554.3397</v>
      </c>
      <c r="AX126" s="162">
        <f t="shared" si="970"/>
        <v>13788.560500000001</v>
      </c>
      <c r="AY126" s="162">
        <f t="shared" si="970"/>
        <v>13923.553399999999</v>
      </c>
      <c r="AZ126" s="162">
        <f t="shared" si="970"/>
        <v>11937.229300000001</v>
      </c>
      <c r="BA126" s="162">
        <f t="shared" si="970"/>
        <v>13094.311299999999</v>
      </c>
      <c r="BB126" s="162">
        <f t="shared" si="970"/>
        <v>15929.162200000001</v>
      </c>
      <c r="BC126" s="162">
        <f t="shared" si="970"/>
        <v>17857.6322</v>
      </c>
      <c r="BD126" s="162">
        <f t="shared" si="970"/>
        <v>13672.8523</v>
      </c>
      <c r="BE126" s="162">
        <f t="shared" si="970"/>
        <v>16237.7174</v>
      </c>
      <c r="BF126" s="162">
        <f t="shared" si="970"/>
        <v>18416.888500000001</v>
      </c>
      <c r="BG126" s="162">
        <f t="shared" si="970"/>
        <v>10375.168599999999</v>
      </c>
      <c r="BH126" s="162">
        <f t="shared" si="970"/>
        <v>13904.268700000001</v>
      </c>
      <c r="BI126" s="162">
        <f t="shared" si="970"/>
        <v>22447.390800000001</v>
      </c>
      <c r="BJ126" s="162">
        <f t="shared" si="970"/>
        <v>20538.2055</v>
      </c>
      <c r="BK126" s="162">
        <f t="shared" si="970"/>
        <v>21521.725200000001</v>
      </c>
      <c r="BL126" s="162">
        <f t="shared" si="970"/>
        <v>26940.725900000001</v>
      </c>
      <c r="BM126" s="162">
        <f t="shared" si="970"/>
        <v>28444.932499999999</v>
      </c>
      <c r="BN126" s="162">
        <f t="shared" si="970"/>
        <v>25436.5193</v>
      </c>
      <c r="BO126" s="162">
        <f t="shared" si="970"/>
        <v>16276.2868</v>
      </c>
      <c r="BP126" s="162">
        <f t="shared" si="970"/>
        <v>16025.585700000001</v>
      </c>
      <c r="BQ126" s="162">
        <f t="shared" si="970"/>
        <v>24684.416000000001</v>
      </c>
      <c r="BR126" s="162">
        <f t="shared" ref="BR126:CJ126" si="971">+BR97*BR84</f>
        <v>42040.646000000001</v>
      </c>
      <c r="BS126" s="162">
        <f t="shared" si="971"/>
        <v>64430.182699999998</v>
      </c>
      <c r="BT126" s="162">
        <f t="shared" si="971"/>
        <v>44161.962999999996</v>
      </c>
      <c r="BU126" s="162">
        <f t="shared" si="971"/>
        <v>52280.8217</v>
      </c>
      <c r="BV126" s="162">
        <f t="shared" si="971"/>
        <v>72356.194400000008</v>
      </c>
      <c r="BW126" s="162">
        <f t="shared" si="971"/>
        <v>132968.00650000002</v>
      </c>
      <c r="BX126" s="162">
        <f t="shared" si="971"/>
        <v>166928.36319999999</v>
      </c>
      <c r="BY126" s="162">
        <f t="shared" si="971"/>
        <v>147701.51730000001</v>
      </c>
      <c r="BZ126" s="162">
        <f t="shared" si="971"/>
        <v>117598.10059999999</v>
      </c>
      <c r="CA126" s="162">
        <f t="shared" si="971"/>
        <v>110308.48400000001</v>
      </c>
      <c r="CB126" s="162">
        <f t="shared" si="971"/>
        <v>158134.54</v>
      </c>
      <c r="CC126" s="162">
        <f t="shared" si="971"/>
        <v>227289.4742</v>
      </c>
      <c r="CD126" s="162">
        <f t="shared" si="971"/>
        <v>225592.42060000001</v>
      </c>
      <c r="CE126" s="162">
        <f t="shared" si="971"/>
        <v>345871.09450000001</v>
      </c>
      <c r="CF126" s="162">
        <f t="shared" si="971"/>
        <v>290099.74210000003</v>
      </c>
      <c r="CG126" s="162">
        <f t="shared" si="971"/>
        <v>254789.45640000002</v>
      </c>
      <c r="CH126" s="162">
        <f t="shared" si="971"/>
        <v>231377.83060000002</v>
      </c>
      <c r="CI126" s="162">
        <f t="shared" si="971"/>
        <v>235273.34</v>
      </c>
      <c r="CJ126" s="162">
        <f t="shared" si="971"/>
        <v>352427.89250000002</v>
      </c>
      <c r="CK126" s="162">
        <f t="shared" ref="CK126:CL126" si="972">+CK97*CK84</f>
        <v>336518.01500000001</v>
      </c>
      <c r="CL126" s="162">
        <f t="shared" si="972"/>
        <v>304891.10700000002</v>
      </c>
      <c r="CM126" s="21">
        <f t="shared" ref="CM126:DB126" si="973">+CM97*CM84</f>
        <v>321225.07080444897</v>
      </c>
      <c r="CN126" s="21">
        <f t="shared" si="973"/>
        <v>335571.79336241324</v>
      </c>
      <c r="CO126" s="21">
        <f t="shared" si="973"/>
        <v>350117.80656584032</v>
      </c>
      <c r="CP126" s="21">
        <f t="shared" si="973"/>
        <v>370032.34110202151</v>
      </c>
      <c r="CQ126" s="21">
        <f t="shared" si="973"/>
        <v>387617.1843369155</v>
      </c>
      <c r="CR126" s="21">
        <f t="shared" si="973"/>
        <v>405599.91409387212</v>
      </c>
      <c r="CS126" s="21">
        <f t="shared" si="973"/>
        <v>424698.75862811884</v>
      </c>
      <c r="CT126" s="21">
        <f t="shared" si="973"/>
        <v>449003.0652423373</v>
      </c>
      <c r="CU126" s="21">
        <f t="shared" si="973"/>
        <v>469332.93928686972</v>
      </c>
      <c r="CV126" s="21">
        <f t="shared" si="973"/>
        <v>489770.37739214522</v>
      </c>
      <c r="CW126" s="21">
        <f t="shared" si="973"/>
        <v>512622.81689654774</v>
      </c>
      <c r="CX126" s="21">
        <f t="shared" si="973"/>
        <v>541971.0003542644</v>
      </c>
      <c r="CY126" s="21">
        <f t="shared" si="973"/>
        <v>567198.08488159522</v>
      </c>
      <c r="CZ126" s="21">
        <f t="shared" si="973"/>
        <v>594164.97792436206</v>
      </c>
      <c r="DA126" s="21">
        <f t="shared" si="973"/>
        <v>622855.29036911589</v>
      </c>
      <c r="DB126" s="21">
        <f t="shared" si="973"/>
        <v>661169.39649855671</v>
      </c>
      <c r="DE126" s="22"/>
      <c r="DF126" s="162" t="e">
        <v>#DIV/0!</v>
      </c>
    </row>
    <row r="127" spans="1:110" s="162" customFormat="1" x14ac:dyDescent="0.2">
      <c r="A127" s="49" t="s">
        <v>341</v>
      </c>
      <c r="B127" s="162" t="e">
        <f t="shared" ref="B127:AE127" si="974">+B98*B84</f>
        <v>#DIV/0!</v>
      </c>
      <c r="C127" s="162" t="e">
        <f t="shared" si="974"/>
        <v>#DIV/0!</v>
      </c>
      <c r="D127" s="162" t="e">
        <f t="shared" si="974"/>
        <v>#DIV/0!</v>
      </c>
      <c r="E127" s="162">
        <f t="shared" si="974"/>
        <v>0</v>
      </c>
      <c r="F127" s="162">
        <f t="shared" si="974"/>
        <v>0</v>
      </c>
      <c r="G127" s="162">
        <f t="shared" si="974"/>
        <v>0</v>
      </c>
      <c r="H127" s="162">
        <f t="shared" si="974"/>
        <v>0</v>
      </c>
      <c r="I127" s="162">
        <f t="shared" si="974"/>
        <v>0</v>
      </c>
      <c r="J127" s="162">
        <f t="shared" si="974"/>
        <v>0</v>
      </c>
      <c r="K127" s="162">
        <f t="shared" si="974"/>
        <v>34808.883500000004</v>
      </c>
      <c r="L127" s="162">
        <f t="shared" si="974"/>
        <v>41462.105000000003</v>
      </c>
      <c r="M127" s="162">
        <f t="shared" si="974"/>
        <v>22910.223600000001</v>
      </c>
      <c r="N127" s="162">
        <f t="shared" si="974"/>
        <v>14193.539200000001</v>
      </c>
      <c r="O127" s="162">
        <f t="shared" si="974"/>
        <v>11358.6883</v>
      </c>
      <c r="P127" s="162">
        <f t="shared" si="974"/>
        <v>14964.9272</v>
      </c>
      <c r="Q127" s="162">
        <f t="shared" si="974"/>
        <v>7578.8871000000008</v>
      </c>
      <c r="R127" s="162">
        <f t="shared" si="974"/>
        <v>9005.9549000000006</v>
      </c>
      <c r="S127" s="162">
        <f t="shared" si="974"/>
        <v>8928.8161</v>
      </c>
      <c r="T127" s="162">
        <f t="shared" si="974"/>
        <v>5862.5488000000005</v>
      </c>
      <c r="U127" s="162">
        <f t="shared" si="974"/>
        <v>9372.3642</v>
      </c>
      <c r="V127" s="162">
        <f t="shared" si="974"/>
        <v>10028.044</v>
      </c>
      <c r="W127" s="162">
        <f t="shared" si="974"/>
        <v>26979.295300000002</v>
      </c>
      <c r="X127" s="162">
        <f t="shared" si="974"/>
        <v>51123.739700000006</v>
      </c>
      <c r="Y127" s="162">
        <f t="shared" si="974"/>
        <v>71391.959400000007</v>
      </c>
      <c r="Z127" s="162">
        <f t="shared" si="974"/>
        <v>166176.2599</v>
      </c>
      <c r="AA127" s="162">
        <f t="shared" ref="AA127" si="975">+AA98*AA84</f>
        <v>182066.85269999999</v>
      </c>
      <c r="AB127" s="21">
        <f t="shared" si="974"/>
        <v>260779.49296490211</v>
      </c>
      <c r="AC127" s="21">
        <f t="shared" si="974"/>
        <v>314678.46685416257</v>
      </c>
      <c r="AD127" s="21">
        <f t="shared" si="974"/>
        <v>381017.60124901787</v>
      </c>
      <c r="AE127" s="21">
        <f t="shared" si="974"/>
        <v>460467.26245763904</v>
      </c>
      <c r="AL127" s="162">
        <f t="shared" ref="AL127:BQ127" si="976">+AL98*AL84</f>
        <v>14772.0802</v>
      </c>
      <c r="AM127" s="162">
        <f t="shared" si="976"/>
        <v>15042.066000000001</v>
      </c>
      <c r="AN127" s="162">
        <f t="shared" si="976"/>
        <v>11358.6883</v>
      </c>
      <c r="AO127" s="162">
        <f t="shared" si="976"/>
        <v>12265.0692</v>
      </c>
      <c r="AP127" s="162">
        <f t="shared" si="976"/>
        <v>12303.6386</v>
      </c>
      <c r="AQ127" s="162">
        <f t="shared" si="976"/>
        <v>17201.952399999998</v>
      </c>
      <c r="AR127" s="162">
        <f t="shared" si="976"/>
        <v>16218.432700000001</v>
      </c>
      <c r="AS127" s="162">
        <f t="shared" si="976"/>
        <v>14964.9272</v>
      </c>
      <c r="AT127" s="162">
        <f t="shared" si="976"/>
        <v>16700.550200000001</v>
      </c>
      <c r="AU127" s="162">
        <f t="shared" si="976"/>
        <v>10220.891</v>
      </c>
      <c r="AV127" s="162">
        <f t="shared" si="976"/>
        <v>7578.8871000000008</v>
      </c>
      <c r="AW127" s="162">
        <f t="shared" si="976"/>
        <v>9333.7947999999997</v>
      </c>
      <c r="AX127" s="162">
        <f t="shared" si="976"/>
        <v>8658.8302999999996</v>
      </c>
      <c r="AY127" s="162">
        <f t="shared" si="976"/>
        <v>10471.5921</v>
      </c>
      <c r="AZ127" s="162">
        <f t="shared" si="976"/>
        <v>9526.6418000000012</v>
      </c>
      <c r="BA127" s="162">
        <f t="shared" si="976"/>
        <v>9005.9549000000006</v>
      </c>
      <c r="BB127" s="162">
        <f t="shared" si="976"/>
        <v>11262.264799999999</v>
      </c>
      <c r="BC127" s="162">
        <f t="shared" si="976"/>
        <v>9989.4745999999996</v>
      </c>
      <c r="BD127" s="162">
        <f t="shared" si="976"/>
        <v>9989.4745999999996</v>
      </c>
      <c r="BE127" s="162">
        <f t="shared" si="976"/>
        <v>11088.702499999999</v>
      </c>
      <c r="BF127" s="162">
        <f t="shared" si="976"/>
        <v>8928.8161</v>
      </c>
      <c r="BG127" s="162">
        <f t="shared" si="976"/>
        <v>5939.6876000000002</v>
      </c>
      <c r="BH127" s="162">
        <f t="shared" si="976"/>
        <v>5862.5488000000005</v>
      </c>
      <c r="BI127" s="162">
        <f t="shared" si="976"/>
        <v>8138.1433999999999</v>
      </c>
      <c r="BJ127" s="162">
        <f t="shared" si="976"/>
        <v>12862.894899999999</v>
      </c>
      <c r="BK127" s="162">
        <f t="shared" si="976"/>
        <v>14367.101500000001</v>
      </c>
      <c r="BL127" s="162">
        <f t="shared" si="976"/>
        <v>19593.2552</v>
      </c>
      <c r="BM127" s="162">
        <f t="shared" si="976"/>
        <v>22524.529599999998</v>
      </c>
      <c r="BN127" s="162">
        <f t="shared" si="976"/>
        <v>9372.3642</v>
      </c>
      <c r="BO127" s="162">
        <f t="shared" si="976"/>
        <v>10028.044</v>
      </c>
      <c r="BP127" s="162">
        <f t="shared" si="976"/>
        <v>13248.588900000001</v>
      </c>
      <c r="BQ127" s="162">
        <f t="shared" si="976"/>
        <v>13306.443000000001</v>
      </c>
      <c r="BR127" s="162">
        <f t="shared" ref="BR127:CJ127" si="977">+BR98*BR84</f>
        <v>18667.589599999999</v>
      </c>
      <c r="BS127" s="162">
        <f t="shared" si="977"/>
        <v>31376.206900000001</v>
      </c>
      <c r="BT127" s="162">
        <f t="shared" si="977"/>
        <v>26979.295300000002</v>
      </c>
      <c r="BU127" s="162">
        <f t="shared" si="977"/>
        <v>36100.958399999996</v>
      </c>
      <c r="BV127" s="162">
        <f t="shared" si="977"/>
        <v>37798.012000000002</v>
      </c>
      <c r="BW127" s="162">
        <f t="shared" si="977"/>
        <v>72356.194400000008</v>
      </c>
      <c r="BX127" s="162">
        <f t="shared" si="977"/>
        <v>98429.108800000002</v>
      </c>
      <c r="BY127" s="162">
        <f t="shared" si="977"/>
        <v>96095.660099999994</v>
      </c>
      <c r="BZ127" s="162">
        <f t="shared" si="977"/>
        <v>51123.739700000006</v>
      </c>
      <c r="CA127" s="162">
        <f t="shared" si="977"/>
        <v>71391.959400000007</v>
      </c>
      <c r="CB127" s="162">
        <f t="shared" si="977"/>
        <v>90908.075800000006</v>
      </c>
      <c r="CC127" s="162">
        <f t="shared" si="977"/>
        <v>111581.2742</v>
      </c>
      <c r="CD127" s="162">
        <f t="shared" si="977"/>
        <v>193502.67980000001</v>
      </c>
      <c r="CE127" s="162">
        <f t="shared" si="977"/>
        <v>209971.81359999999</v>
      </c>
      <c r="CF127" s="162">
        <f t="shared" si="977"/>
        <v>238744.58600000001</v>
      </c>
      <c r="CG127" s="162">
        <f t="shared" si="977"/>
        <v>166176.2599</v>
      </c>
      <c r="CH127" s="162">
        <f t="shared" si="977"/>
        <v>171768.8229</v>
      </c>
      <c r="CI127" s="162">
        <f t="shared" si="977"/>
        <v>182066.85269999999</v>
      </c>
      <c r="CJ127" s="162">
        <f t="shared" si="977"/>
        <v>213038.0809</v>
      </c>
      <c r="CK127" s="162">
        <f t="shared" ref="CK127:CL127" si="978">+CK98*CK84</f>
        <v>260343.45</v>
      </c>
      <c r="CL127" s="162">
        <f t="shared" si="978"/>
        <v>247519.12450000001</v>
      </c>
      <c r="CM127" s="21">
        <f t="shared" ref="CM127:DB127" si="979">+CM98*CM84</f>
        <v>260779.49296490211</v>
      </c>
      <c r="CN127" s="21">
        <f t="shared" si="979"/>
        <v>272426.56342862576</v>
      </c>
      <c r="CO127" s="21">
        <f t="shared" si="979"/>
        <v>284235.42360990262</v>
      </c>
      <c r="CP127" s="21">
        <f t="shared" si="979"/>
        <v>300402.59949680237</v>
      </c>
      <c r="CQ127" s="21">
        <f t="shared" si="979"/>
        <v>314678.46685416257</v>
      </c>
      <c r="CR127" s="21">
        <f t="shared" si="979"/>
        <v>329277.34961384238</v>
      </c>
      <c r="CS127" s="21">
        <f t="shared" si="979"/>
        <v>344782.32555293513</v>
      </c>
      <c r="CT127" s="21">
        <f t="shared" si="979"/>
        <v>364513.24113759637</v>
      </c>
      <c r="CU127" s="21">
        <f t="shared" si="979"/>
        <v>381017.60124901787</v>
      </c>
      <c r="CV127" s="21">
        <f t="shared" si="979"/>
        <v>397609.28487211786</v>
      </c>
      <c r="CW127" s="21">
        <f t="shared" si="979"/>
        <v>416161.53414719738</v>
      </c>
      <c r="CX127" s="21">
        <f t="shared" si="979"/>
        <v>439987.20996502106</v>
      </c>
      <c r="CY127" s="21">
        <f t="shared" si="979"/>
        <v>460467.26245763904</v>
      </c>
      <c r="CZ127" s="21">
        <f t="shared" si="979"/>
        <v>482359.74014289601</v>
      </c>
      <c r="DA127" s="21">
        <f t="shared" si="979"/>
        <v>505651.33788030373</v>
      </c>
      <c r="DB127" s="21">
        <f t="shared" si="979"/>
        <v>536755.80038323684</v>
      </c>
      <c r="DE127" s="22"/>
      <c r="DF127" s="162" t="e">
        <v>#DIV/0!</v>
      </c>
    </row>
    <row r="128" spans="1:110" s="162" customFormat="1" x14ac:dyDescent="0.2">
      <c r="A128" s="49" t="s">
        <v>80</v>
      </c>
      <c r="B128" s="162">
        <f>+B187</f>
        <v>0</v>
      </c>
      <c r="C128" s="162">
        <f t="shared" ref="C128:W128" si="980">+C187</f>
        <v>0</v>
      </c>
      <c r="D128" s="162">
        <f t="shared" si="980"/>
        <v>0</v>
      </c>
      <c r="E128" s="162">
        <f t="shared" si="980"/>
        <v>-7.0000000000000001E-3</v>
      </c>
      <c r="F128" s="162">
        <f t="shared" si="980"/>
        <v>-5.9962000000000001E-3</v>
      </c>
      <c r="G128" s="162">
        <f t="shared" si="980"/>
        <v>-0.26700000000000002</v>
      </c>
      <c r="H128" s="162">
        <f t="shared" si="980"/>
        <v>7.0754000000000019</v>
      </c>
      <c r="I128" s="162">
        <f t="shared" si="980"/>
        <v>765.83799999999997</v>
      </c>
      <c r="J128" s="162">
        <f t="shared" si="980"/>
        <v>4431.1395999999995</v>
      </c>
      <c r="K128" s="162">
        <f t="shared" si="980"/>
        <v>9420.11</v>
      </c>
      <c r="L128" s="162">
        <f t="shared" si="980"/>
        <v>23538.400000000001</v>
      </c>
      <c r="M128" s="162">
        <f t="shared" si="980"/>
        <v>35350.54</v>
      </c>
      <c r="N128" s="162">
        <f t="shared" si="980"/>
        <v>40064.990000000013</v>
      </c>
      <c r="O128" s="162">
        <f t="shared" si="980"/>
        <v>43214.289999999994</v>
      </c>
      <c r="P128" s="162">
        <f t="shared" si="980"/>
        <v>43528.42</v>
      </c>
      <c r="Q128" s="162">
        <f t="shared" si="980"/>
        <v>51860.570000000007</v>
      </c>
      <c r="R128" s="162">
        <f t="shared" si="980"/>
        <v>51715.880000000005</v>
      </c>
      <c r="S128" s="162">
        <f t="shared" si="980"/>
        <v>51978.2</v>
      </c>
      <c r="T128" s="162">
        <f t="shared" si="980"/>
        <v>54061.110000000008</v>
      </c>
      <c r="U128" s="162">
        <f t="shared" si="980"/>
        <v>61831.659999999996</v>
      </c>
      <c r="V128" s="162">
        <f t="shared" si="980"/>
        <v>63398.86</v>
      </c>
      <c r="W128" s="162">
        <f t="shared" si="980"/>
        <v>59462.760000000009</v>
      </c>
      <c r="X128" s="162">
        <f t="shared" ref="X128:Y128" si="981">+X187</f>
        <v>52981.860000000008</v>
      </c>
      <c r="Y128" s="162">
        <f t="shared" si="981"/>
        <v>34186.6</v>
      </c>
      <c r="Z128" s="162">
        <f t="shared" ref="Z128:AA128" si="982">+Z187</f>
        <v>34234.22</v>
      </c>
      <c r="AA128" s="162">
        <f t="shared" ref="AA128" si="983">+AA187</f>
        <v>45137.87</v>
      </c>
      <c r="AB128" s="21">
        <f t="shared" ref="AB128:AD128" si="984">+AB187</f>
        <v>61182.703023956215</v>
      </c>
      <c r="AC128" s="21">
        <f t="shared" si="984"/>
        <v>79987.671190946639</v>
      </c>
      <c r="AD128" s="21">
        <f t="shared" si="984"/>
        <v>86109.474026409473</v>
      </c>
      <c r="AE128" s="21">
        <f t="shared" ref="AE128" si="985">+AE187</f>
        <v>90124.889321641822</v>
      </c>
      <c r="AL128" s="162">
        <f t="shared" ref="AL128:AM128" si="986">+AL187</f>
        <v>35872.340000000004</v>
      </c>
      <c r="AM128" s="162">
        <f t="shared" si="986"/>
        <v>37006.919155007861</v>
      </c>
      <c r="AN128" s="162">
        <f t="shared" ref="AN128:AO128" si="987">+AN187</f>
        <v>39138.120000000003</v>
      </c>
      <c r="AO128" s="162">
        <f t="shared" si="987"/>
        <v>39466.334891461796</v>
      </c>
      <c r="AP128" s="162">
        <f t="shared" ref="AP128:CD128" si="988">+AP187</f>
        <v>38832.82</v>
      </c>
      <c r="AQ128" s="162">
        <f t="shared" si="988"/>
        <v>39259.323269362576</v>
      </c>
      <c r="AR128" s="162">
        <f t="shared" si="988"/>
        <v>40478.790000000008</v>
      </c>
      <c r="AS128" s="162">
        <f t="shared" si="988"/>
        <v>40935.763299260121</v>
      </c>
      <c r="AT128" s="162">
        <f t="shared" si="988"/>
        <v>40170.97</v>
      </c>
      <c r="AU128" s="162">
        <f t="shared" si="988"/>
        <v>40182.124009246807</v>
      </c>
      <c r="AV128" s="162">
        <f t="shared" si="988"/>
        <v>47712.68</v>
      </c>
      <c r="AW128" s="162">
        <f t="shared" si="988"/>
        <v>47880.529148545465</v>
      </c>
      <c r="AX128" s="162">
        <f t="shared" si="988"/>
        <v>47984.490000000005</v>
      </c>
      <c r="AY128" s="162">
        <f t="shared" si="988"/>
        <v>45893.588119042673</v>
      </c>
      <c r="AZ128" s="162">
        <f t="shared" si="988"/>
        <v>47310.09</v>
      </c>
      <c r="BA128" s="162">
        <f t="shared" si="988"/>
        <v>47899.198015364505</v>
      </c>
      <c r="BB128" s="162">
        <f t="shared" si="988"/>
        <v>48462.12</v>
      </c>
      <c r="BC128" s="162">
        <f t="shared" si="988"/>
        <v>48652.01036656418</v>
      </c>
      <c r="BD128" s="162">
        <f t="shared" si="988"/>
        <v>46633.31</v>
      </c>
      <c r="BE128" s="162">
        <f t="shared" si="988"/>
        <v>47873.613701317576</v>
      </c>
      <c r="BF128" s="162">
        <f t="shared" si="988"/>
        <v>48263.58</v>
      </c>
      <c r="BG128" s="162">
        <f t="shared" si="988"/>
        <v>48289.559877323722</v>
      </c>
      <c r="BH128" s="162">
        <f t="shared" si="988"/>
        <v>43588.52</v>
      </c>
      <c r="BI128" s="162">
        <f t="shared" si="988"/>
        <v>44566.066630031164</v>
      </c>
      <c r="BJ128" s="162">
        <f t="shared" si="988"/>
        <v>42565.21</v>
      </c>
      <c r="BK128" s="162">
        <f t="shared" si="988"/>
        <v>43378.584407235052</v>
      </c>
      <c r="BL128" s="162">
        <f t="shared" si="988"/>
        <v>47352.959999999999</v>
      </c>
      <c r="BM128" s="162">
        <f t="shared" si="988"/>
        <v>48688.630493754739</v>
      </c>
      <c r="BN128" s="162">
        <f t="shared" si="988"/>
        <v>50386.049999999996</v>
      </c>
      <c r="BO128" s="162">
        <f t="shared" si="988"/>
        <v>50237.88351513099</v>
      </c>
      <c r="BP128" s="162">
        <f t="shared" si="988"/>
        <v>49722.220000000008</v>
      </c>
      <c r="BQ128" s="162">
        <f t="shared" si="988"/>
        <v>48809.824848416814</v>
      </c>
      <c r="BR128" s="162">
        <f t="shared" si="988"/>
        <v>50783.86</v>
      </c>
      <c r="BS128" s="162">
        <f t="shared" si="988"/>
        <v>50813.874220471946</v>
      </c>
      <c r="BT128" s="162">
        <f t="shared" si="988"/>
        <v>50981.159999999996</v>
      </c>
      <c r="BU128" s="162">
        <f t="shared" si="988"/>
        <v>51101.096589436806</v>
      </c>
      <c r="BV128" s="162">
        <f t="shared" si="988"/>
        <v>46247.76</v>
      </c>
      <c r="BW128" s="162">
        <f t="shared" si="988"/>
        <v>43918.803828386699</v>
      </c>
      <c r="BX128" s="162">
        <f t="shared" si="988"/>
        <v>43073.789999999994</v>
      </c>
      <c r="BY128" s="162">
        <f t="shared" si="988"/>
        <v>44145.536491140396</v>
      </c>
      <c r="BZ128" s="162">
        <f t="shared" si="988"/>
        <v>39766.86</v>
      </c>
      <c r="CA128" s="162">
        <f t="shared" si="988"/>
        <v>31866.563162996499</v>
      </c>
      <c r="CB128" s="162">
        <f t="shared" si="988"/>
        <v>29348.15</v>
      </c>
      <c r="CC128" s="162">
        <f t="shared" si="988"/>
        <v>26610.800681971094</v>
      </c>
      <c r="CD128" s="162">
        <f t="shared" si="988"/>
        <v>26871.599999999999</v>
      </c>
      <c r="CE128" s="162">
        <f t="shared" ref="CE128:CF128" si="989">+CE187</f>
        <v>24413.430673107494</v>
      </c>
      <c r="CF128" s="162">
        <f t="shared" si="989"/>
        <v>30985.040000000001</v>
      </c>
      <c r="CG128" s="162">
        <f t="shared" ref="CG128:CH128" si="990">+CG187</f>
        <v>28309.178260048819</v>
      </c>
      <c r="CH128" s="162">
        <f t="shared" si="990"/>
        <v>34234.22</v>
      </c>
      <c r="CI128" s="162">
        <f t="shared" ref="CI128:CJ128" si="991">+CI187</f>
        <v>29657.969212461547</v>
      </c>
      <c r="CJ128" s="162">
        <f t="shared" si="991"/>
        <v>36912.480000000003</v>
      </c>
      <c r="CK128" s="162">
        <f t="shared" ref="CK128:CL128" si="992">+CK187</f>
        <v>38905.176010336269</v>
      </c>
      <c r="CL128" s="162">
        <f t="shared" si="992"/>
        <v>45137.87</v>
      </c>
      <c r="CM128" s="21">
        <f t="shared" ref="CM128:DB128" si="993">+CM187</f>
        <v>49512.08244510337</v>
      </c>
      <c r="CN128" s="21">
        <f t="shared" si="993"/>
        <v>51635.711550471184</v>
      </c>
      <c r="CO128" s="21">
        <f t="shared" si="993"/>
        <v>54853.711920929272</v>
      </c>
      <c r="CP128" s="21">
        <f t="shared" si="993"/>
        <v>61182.703023956215</v>
      </c>
      <c r="CQ128" s="21">
        <f t="shared" si="993"/>
        <v>62731.113797169455</v>
      </c>
      <c r="CR128" s="21">
        <f t="shared" si="993"/>
        <v>66621.032241207649</v>
      </c>
      <c r="CS128" s="21">
        <f t="shared" si="993"/>
        <v>71149.158681403758</v>
      </c>
      <c r="CT128" s="21">
        <f t="shared" si="993"/>
        <v>79987.671190946639</v>
      </c>
      <c r="CU128" s="21">
        <f t="shared" si="993"/>
        <v>76002.962290601106</v>
      </c>
      <c r="CV128" s="21">
        <f t="shared" si="993"/>
        <v>76504.521031344339</v>
      </c>
      <c r="CW128" s="21">
        <f t="shared" si="993"/>
        <v>79433.169185482475</v>
      </c>
      <c r="CX128" s="21">
        <f t="shared" si="993"/>
        <v>86109.474026409473</v>
      </c>
      <c r="CY128" s="21">
        <f t="shared" si="993"/>
        <v>80410.6377086047</v>
      </c>
      <c r="CZ128" s="21">
        <f t="shared" si="993"/>
        <v>81249.602333626855</v>
      </c>
      <c r="DA128" s="21">
        <f t="shared" si="993"/>
        <v>81804.70631229569</v>
      </c>
      <c r="DB128" s="21">
        <f t="shared" si="993"/>
        <v>90124.889321641822</v>
      </c>
      <c r="DE128" s="22"/>
      <c r="DF128" s="162">
        <v>0</v>
      </c>
    </row>
    <row r="129" spans="1:110" s="162" customFormat="1" x14ac:dyDescent="0.2">
      <c r="A129" s="49" t="s">
        <v>342</v>
      </c>
      <c r="B129" s="162" t="e">
        <f>+B126+B128</f>
        <v>#DIV/0!</v>
      </c>
      <c r="C129" s="162" t="e">
        <f t="shared" ref="C129:W129" si="994">+C126+C128</f>
        <v>#DIV/0!</v>
      </c>
      <c r="D129" s="162" t="e">
        <f t="shared" si="994"/>
        <v>#DIV/0!</v>
      </c>
      <c r="E129" s="162">
        <f t="shared" si="994"/>
        <v>-7.0000000000000001E-3</v>
      </c>
      <c r="F129" s="162">
        <f t="shared" si="994"/>
        <v>-5.9962000000000001E-3</v>
      </c>
      <c r="G129" s="162">
        <f t="shared" si="994"/>
        <v>-0.26700000000000002</v>
      </c>
      <c r="H129" s="162">
        <f t="shared" si="994"/>
        <v>7.0754000000000019</v>
      </c>
      <c r="I129" s="162">
        <f t="shared" si="994"/>
        <v>765.83799999999997</v>
      </c>
      <c r="J129" s="162">
        <f t="shared" si="994"/>
        <v>4431.1395999999995</v>
      </c>
      <c r="K129" s="162">
        <f t="shared" si="994"/>
        <v>54854.8632</v>
      </c>
      <c r="L129" s="162">
        <f t="shared" si="994"/>
        <v>79290.467700000008</v>
      </c>
      <c r="M129" s="162">
        <f t="shared" si="994"/>
        <v>82212.361000000004</v>
      </c>
      <c r="N129" s="162">
        <f t="shared" si="994"/>
        <v>68548.491900000008</v>
      </c>
      <c r="O129" s="162">
        <f t="shared" si="994"/>
        <v>67281.595600000001</v>
      </c>
      <c r="P129" s="162">
        <f t="shared" si="994"/>
        <v>69948.459000000003</v>
      </c>
      <c r="Q129" s="162">
        <f t="shared" si="994"/>
        <v>71318.832300000009</v>
      </c>
      <c r="R129" s="162">
        <f t="shared" si="994"/>
        <v>67645.042200000011</v>
      </c>
      <c r="S129" s="162">
        <f t="shared" si="994"/>
        <v>70395.088499999998</v>
      </c>
      <c r="T129" s="162">
        <f t="shared" si="994"/>
        <v>76508.500800000009</v>
      </c>
      <c r="U129" s="162">
        <f t="shared" si="994"/>
        <v>90276.592499999999</v>
      </c>
      <c r="V129" s="162">
        <f t="shared" si="994"/>
        <v>105439.50599999999</v>
      </c>
      <c r="W129" s="162">
        <f t="shared" si="994"/>
        <v>131818.95440000002</v>
      </c>
      <c r="X129" s="162">
        <f t="shared" ref="X129:Y129" si="995">+X126+X128</f>
        <v>219910.22320000001</v>
      </c>
      <c r="Y129" s="162">
        <f t="shared" si="995"/>
        <v>261476.0742</v>
      </c>
      <c r="Z129" s="162">
        <f t="shared" ref="Z129:AA129" si="996">+Z126+Z128</f>
        <v>380105.31449999998</v>
      </c>
      <c r="AA129" s="162">
        <f t="shared" ref="AA129" si="997">+AA126+AA128</f>
        <v>397565.76250000001</v>
      </c>
      <c r="AB129" s="21">
        <f t="shared" ref="AB129:AD129" si="998">+AB126+AB128</f>
        <v>431215.04412597773</v>
      </c>
      <c r="AC129" s="21">
        <f t="shared" si="998"/>
        <v>528990.73643328389</v>
      </c>
      <c r="AD129" s="21">
        <f t="shared" si="998"/>
        <v>628080.47438067384</v>
      </c>
      <c r="AE129" s="21">
        <f t="shared" ref="AE129" si="999">+AE126+AE128</f>
        <v>751294.28582019848</v>
      </c>
      <c r="AL129" s="162">
        <f t="shared" ref="AL129" si="1000">+AL126+AL128</f>
        <v>62253.809600000008</v>
      </c>
      <c r="AM129" s="162">
        <f t="shared" ref="AM129:AO129" si="1001">+AM126+AM128</f>
        <v>61074.224755007861</v>
      </c>
      <c r="AN129" s="162">
        <f t="shared" si="1001"/>
        <v>56610.058199999999</v>
      </c>
      <c r="AO129" s="162">
        <f t="shared" si="1001"/>
        <v>56012.607491461793</v>
      </c>
      <c r="AP129" s="162">
        <f t="shared" ref="AP129:CD129" si="1002">+AP126+AP128</f>
        <v>58888.907999999996</v>
      </c>
      <c r="AQ129" s="162">
        <f t="shared" si="1002"/>
        <v>65679.36226936258</v>
      </c>
      <c r="AR129" s="162">
        <f t="shared" si="1002"/>
        <v>66301.003300000011</v>
      </c>
      <c r="AS129" s="162">
        <f t="shared" si="1002"/>
        <v>60259.032699260119</v>
      </c>
      <c r="AT129" s="162">
        <f t="shared" si="1002"/>
        <v>63312.61</v>
      </c>
      <c r="AU129" s="162">
        <f t="shared" si="1002"/>
        <v>59640.386309246809</v>
      </c>
      <c r="AV129" s="162">
        <f t="shared" si="1002"/>
        <v>59727.0481</v>
      </c>
      <c r="AW129" s="162">
        <f t="shared" si="1002"/>
        <v>60434.868848545462</v>
      </c>
      <c r="AX129" s="162">
        <f t="shared" si="1002"/>
        <v>61773.050500000005</v>
      </c>
      <c r="AY129" s="162">
        <f t="shared" si="1002"/>
        <v>59817.141519042671</v>
      </c>
      <c r="AZ129" s="162">
        <f t="shared" si="1002"/>
        <v>59247.319299999996</v>
      </c>
      <c r="BA129" s="162">
        <f t="shared" si="1002"/>
        <v>60993.509315364507</v>
      </c>
      <c r="BB129" s="162">
        <f t="shared" si="1002"/>
        <v>64391.282200000001</v>
      </c>
      <c r="BC129" s="162">
        <f t="shared" si="1002"/>
        <v>66509.642566564173</v>
      </c>
      <c r="BD129" s="162">
        <f t="shared" si="1002"/>
        <v>60306.162299999996</v>
      </c>
      <c r="BE129" s="162">
        <f t="shared" si="1002"/>
        <v>64111.331101317577</v>
      </c>
      <c r="BF129" s="162">
        <f t="shared" si="1002"/>
        <v>66680.468500000003</v>
      </c>
      <c r="BG129" s="162">
        <f t="shared" si="1002"/>
        <v>58664.728477323719</v>
      </c>
      <c r="BH129" s="162">
        <f t="shared" si="1002"/>
        <v>57492.788699999997</v>
      </c>
      <c r="BI129" s="162">
        <f t="shared" si="1002"/>
        <v>67013.457430031165</v>
      </c>
      <c r="BJ129" s="162">
        <f t="shared" si="1002"/>
        <v>63103.415500000003</v>
      </c>
      <c r="BK129" s="162">
        <f t="shared" si="1002"/>
        <v>64900.309607235053</v>
      </c>
      <c r="BL129" s="162">
        <f t="shared" si="1002"/>
        <v>74293.685899999997</v>
      </c>
      <c r="BM129" s="162">
        <f t="shared" si="1002"/>
        <v>77133.562993754735</v>
      </c>
      <c r="BN129" s="162">
        <f t="shared" si="1002"/>
        <v>75822.569300000003</v>
      </c>
      <c r="BO129" s="162">
        <f t="shared" si="1002"/>
        <v>66514.170315130992</v>
      </c>
      <c r="BP129" s="162">
        <f t="shared" si="1002"/>
        <v>65747.805700000012</v>
      </c>
      <c r="BQ129" s="162">
        <f t="shared" si="1002"/>
        <v>73494.240848416812</v>
      </c>
      <c r="BR129" s="162">
        <f t="shared" si="1002"/>
        <v>92824.505999999994</v>
      </c>
      <c r="BS129" s="162">
        <f t="shared" si="1002"/>
        <v>115244.05692047195</v>
      </c>
      <c r="BT129" s="162">
        <f t="shared" si="1002"/>
        <v>95143.122999999992</v>
      </c>
      <c r="BU129" s="162">
        <f t="shared" si="1002"/>
        <v>103381.91828943681</v>
      </c>
      <c r="BV129" s="162">
        <f t="shared" si="1002"/>
        <v>118603.95440000002</v>
      </c>
      <c r="BW129" s="162">
        <f t="shared" si="1002"/>
        <v>176886.81032838672</v>
      </c>
      <c r="BX129" s="162">
        <f t="shared" si="1002"/>
        <v>210002.1532</v>
      </c>
      <c r="BY129" s="162">
        <f t="shared" si="1002"/>
        <v>191847.05379114041</v>
      </c>
      <c r="BZ129" s="162">
        <f t="shared" si="1002"/>
        <v>157364.96059999999</v>
      </c>
      <c r="CA129" s="162">
        <f t="shared" si="1002"/>
        <v>142175.04716299652</v>
      </c>
      <c r="CB129" s="162">
        <f t="shared" si="1002"/>
        <v>187482.69</v>
      </c>
      <c r="CC129" s="162">
        <f t="shared" si="1002"/>
        <v>253900.2748819711</v>
      </c>
      <c r="CD129" s="162">
        <f t="shared" si="1002"/>
        <v>252464.02060000002</v>
      </c>
      <c r="CE129" s="162">
        <f t="shared" ref="CE129:CF129" si="1003">+CE126+CE128</f>
        <v>370284.52517310751</v>
      </c>
      <c r="CF129" s="162">
        <f t="shared" si="1003"/>
        <v>321084.78210000001</v>
      </c>
      <c r="CG129" s="162">
        <f t="shared" ref="CG129:CH129" si="1004">+CG126+CG128</f>
        <v>283098.63466004882</v>
      </c>
      <c r="CH129" s="162">
        <f t="shared" si="1004"/>
        <v>265612.05060000002</v>
      </c>
      <c r="CI129" s="162">
        <f t="shared" ref="CI129:CJ129" si="1005">+CI126+CI128</f>
        <v>264931.30921246152</v>
      </c>
      <c r="CJ129" s="162">
        <f t="shared" si="1005"/>
        <v>389340.3725</v>
      </c>
      <c r="CK129" s="162">
        <f t="shared" ref="CK129:CL129" si="1006">+CK126+CK128</f>
        <v>375423.19101033628</v>
      </c>
      <c r="CL129" s="162">
        <f t="shared" si="1006"/>
        <v>350028.97700000001</v>
      </c>
      <c r="CM129" s="21">
        <f t="shared" ref="CM129:DB129" si="1007">+CM126+CM128</f>
        <v>370737.15324955236</v>
      </c>
      <c r="CN129" s="21">
        <f t="shared" si="1007"/>
        <v>387207.50491288444</v>
      </c>
      <c r="CO129" s="21">
        <f t="shared" si="1007"/>
        <v>404971.51848676958</v>
      </c>
      <c r="CP129" s="21">
        <f t="shared" si="1007"/>
        <v>431215.04412597773</v>
      </c>
      <c r="CQ129" s="21">
        <f t="shared" si="1007"/>
        <v>450348.29813408497</v>
      </c>
      <c r="CR129" s="21">
        <f t="shared" si="1007"/>
        <v>472220.94633507979</v>
      </c>
      <c r="CS129" s="21">
        <f t="shared" si="1007"/>
        <v>495847.91730952263</v>
      </c>
      <c r="CT129" s="21">
        <f t="shared" si="1007"/>
        <v>528990.73643328389</v>
      </c>
      <c r="CU129" s="21">
        <f t="shared" si="1007"/>
        <v>545335.90157747082</v>
      </c>
      <c r="CV129" s="21">
        <f t="shared" si="1007"/>
        <v>566274.89842348953</v>
      </c>
      <c r="CW129" s="21">
        <f t="shared" si="1007"/>
        <v>592055.98608203023</v>
      </c>
      <c r="CX129" s="21">
        <f t="shared" si="1007"/>
        <v>628080.47438067384</v>
      </c>
      <c r="CY129" s="21">
        <f t="shared" si="1007"/>
        <v>647608.7225901999</v>
      </c>
      <c r="CZ129" s="21">
        <f t="shared" si="1007"/>
        <v>675414.58025798888</v>
      </c>
      <c r="DA129" s="21">
        <f t="shared" si="1007"/>
        <v>704659.99668141152</v>
      </c>
      <c r="DB129" s="21">
        <f t="shared" si="1007"/>
        <v>751294.28582019848</v>
      </c>
      <c r="DE129" s="22"/>
      <c r="DF129" s="162" t="e">
        <v>#DIV/0!</v>
      </c>
    </row>
    <row r="130" spans="1:110" s="162" customFormat="1" x14ac:dyDescent="0.2">
      <c r="A130" s="49" t="s">
        <v>345</v>
      </c>
      <c r="B130" s="162" t="e">
        <f>+B127+B128</f>
        <v>#DIV/0!</v>
      </c>
      <c r="C130" s="162" t="e">
        <f t="shared" ref="C130:W130" si="1008">+C127+C128</f>
        <v>#DIV/0!</v>
      </c>
      <c r="D130" s="162" t="e">
        <f t="shared" si="1008"/>
        <v>#DIV/0!</v>
      </c>
      <c r="E130" s="162">
        <f t="shared" si="1008"/>
        <v>-7.0000000000000001E-3</v>
      </c>
      <c r="F130" s="162">
        <f t="shared" si="1008"/>
        <v>-5.9962000000000001E-3</v>
      </c>
      <c r="G130" s="162">
        <f t="shared" si="1008"/>
        <v>-0.26700000000000002</v>
      </c>
      <c r="H130" s="162">
        <f t="shared" si="1008"/>
        <v>7.0754000000000019</v>
      </c>
      <c r="I130" s="162">
        <f t="shared" si="1008"/>
        <v>765.83799999999997</v>
      </c>
      <c r="J130" s="162">
        <f t="shared" si="1008"/>
        <v>4431.1395999999995</v>
      </c>
      <c r="K130" s="162">
        <f t="shared" si="1008"/>
        <v>44228.993500000004</v>
      </c>
      <c r="L130" s="162">
        <f t="shared" si="1008"/>
        <v>65000.505000000005</v>
      </c>
      <c r="M130" s="162">
        <f t="shared" si="1008"/>
        <v>58260.763600000006</v>
      </c>
      <c r="N130" s="162">
        <f t="shared" si="1008"/>
        <v>54258.529200000012</v>
      </c>
      <c r="O130" s="162">
        <f t="shared" si="1008"/>
        <v>54572.978299999995</v>
      </c>
      <c r="P130" s="162">
        <f t="shared" si="1008"/>
        <v>58493.347199999997</v>
      </c>
      <c r="Q130" s="162">
        <f t="shared" si="1008"/>
        <v>59439.457100000007</v>
      </c>
      <c r="R130" s="162">
        <f t="shared" si="1008"/>
        <v>60721.834900000002</v>
      </c>
      <c r="S130" s="162">
        <f t="shared" si="1008"/>
        <v>60907.016099999993</v>
      </c>
      <c r="T130" s="162">
        <f t="shared" si="1008"/>
        <v>59923.658800000005</v>
      </c>
      <c r="U130" s="162">
        <f t="shared" si="1008"/>
        <v>71204.0242</v>
      </c>
      <c r="V130" s="162">
        <f t="shared" si="1008"/>
        <v>73426.903999999995</v>
      </c>
      <c r="W130" s="162">
        <f t="shared" si="1008"/>
        <v>86442.055300000007</v>
      </c>
      <c r="X130" s="162">
        <f t="shared" ref="X130:Y130" si="1009">+X127+X128</f>
        <v>104105.59970000002</v>
      </c>
      <c r="Y130" s="162">
        <f t="shared" si="1009"/>
        <v>105578.5594</v>
      </c>
      <c r="Z130" s="162">
        <f t="shared" ref="Z130:AA130" si="1010">+Z127+Z128</f>
        <v>200410.47990000001</v>
      </c>
      <c r="AA130" s="162">
        <f t="shared" ref="AA130" si="1011">+AA127+AA128</f>
        <v>227204.72269999998</v>
      </c>
      <c r="AB130" s="21">
        <f t="shared" ref="AB130:AD130" si="1012">+AB127+AB128</f>
        <v>321962.19598885835</v>
      </c>
      <c r="AC130" s="21">
        <f t="shared" si="1012"/>
        <v>394666.13804510923</v>
      </c>
      <c r="AD130" s="21">
        <f t="shared" si="1012"/>
        <v>467127.07527542731</v>
      </c>
      <c r="AE130" s="21">
        <f t="shared" ref="AE130" si="1013">+AE127+AE128</f>
        <v>550592.15177928086</v>
      </c>
      <c r="AL130" s="162">
        <f t="shared" ref="AL130:AM130" si="1014">+AL127+AL128</f>
        <v>50644.420200000008</v>
      </c>
      <c r="AM130" s="162">
        <f t="shared" si="1014"/>
        <v>52048.98515500786</v>
      </c>
      <c r="AN130" s="162">
        <f t="shared" ref="AN130:AO130" si="1015">+AN127+AN128</f>
        <v>50496.808300000004</v>
      </c>
      <c r="AO130" s="162">
        <f t="shared" si="1015"/>
        <v>51731.404091461794</v>
      </c>
      <c r="AP130" s="162">
        <f t="shared" ref="AP130:CD130" si="1016">+AP127+AP128</f>
        <v>51136.458599999998</v>
      </c>
      <c r="AQ130" s="162">
        <f t="shared" si="1016"/>
        <v>56461.275669362571</v>
      </c>
      <c r="AR130" s="162">
        <f t="shared" si="1016"/>
        <v>56697.222700000013</v>
      </c>
      <c r="AS130" s="162">
        <f t="shared" si="1016"/>
        <v>55900.690499260119</v>
      </c>
      <c r="AT130" s="162">
        <f t="shared" si="1016"/>
        <v>56871.520199999999</v>
      </c>
      <c r="AU130" s="162">
        <f t="shared" si="1016"/>
        <v>50403.01500924681</v>
      </c>
      <c r="AV130" s="162">
        <f t="shared" si="1016"/>
        <v>55291.5671</v>
      </c>
      <c r="AW130" s="162">
        <f t="shared" si="1016"/>
        <v>57214.323948545469</v>
      </c>
      <c r="AX130" s="162">
        <f t="shared" si="1016"/>
        <v>56643.320300000007</v>
      </c>
      <c r="AY130" s="162">
        <f t="shared" si="1016"/>
        <v>56365.180219042675</v>
      </c>
      <c r="AZ130" s="162">
        <f t="shared" si="1016"/>
        <v>56836.731799999994</v>
      </c>
      <c r="BA130" s="162">
        <f t="shared" si="1016"/>
        <v>56905.15291536451</v>
      </c>
      <c r="BB130" s="162">
        <f t="shared" si="1016"/>
        <v>59724.3848</v>
      </c>
      <c r="BC130" s="162">
        <f t="shared" si="1016"/>
        <v>58641.484966564181</v>
      </c>
      <c r="BD130" s="162">
        <f t="shared" si="1016"/>
        <v>56622.784599999999</v>
      </c>
      <c r="BE130" s="162">
        <f t="shared" si="1016"/>
        <v>58962.316201317575</v>
      </c>
      <c r="BF130" s="162">
        <f t="shared" si="1016"/>
        <v>57192.396099999998</v>
      </c>
      <c r="BG130" s="162">
        <f t="shared" si="1016"/>
        <v>54229.247477323719</v>
      </c>
      <c r="BH130" s="162">
        <f t="shared" si="1016"/>
        <v>49451.068799999994</v>
      </c>
      <c r="BI130" s="162">
        <f t="shared" si="1016"/>
        <v>52704.210030031165</v>
      </c>
      <c r="BJ130" s="162">
        <f t="shared" si="1016"/>
        <v>55428.104899999998</v>
      </c>
      <c r="BK130" s="162">
        <f t="shared" si="1016"/>
        <v>57745.685907235049</v>
      </c>
      <c r="BL130" s="162">
        <f t="shared" si="1016"/>
        <v>66946.215200000006</v>
      </c>
      <c r="BM130" s="162">
        <f t="shared" si="1016"/>
        <v>71213.160093754734</v>
      </c>
      <c r="BN130" s="162">
        <f t="shared" si="1016"/>
        <v>59758.414199999999</v>
      </c>
      <c r="BO130" s="162">
        <f t="shared" si="1016"/>
        <v>60265.927515130992</v>
      </c>
      <c r="BP130" s="162">
        <f t="shared" si="1016"/>
        <v>62970.808900000011</v>
      </c>
      <c r="BQ130" s="162">
        <f t="shared" si="1016"/>
        <v>62116.267848416814</v>
      </c>
      <c r="BR130" s="162">
        <f t="shared" si="1016"/>
        <v>69451.449599999993</v>
      </c>
      <c r="BS130" s="162">
        <f t="shared" si="1016"/>
        <v>82190.08112047195</v>
      </c>
      <c r="BT130" s="162">
        <f t="shared" si="1016"/>
        <v>77960.455300000001</v>
      </c>
      <c r="BU130" s="162">
        <f t="shared" si="1016"/>
        <v>87202.054989436801</v>
      </c>
      <c r="BV130" s="162">
        <f t="shared" si="1016"/>
        <v>84045.771999999997</v>
      </c>
      <c r="BW130" s="162">
        <f t="shared" si="1016"/>
        <v>116274.99822838671</v>
      </c>
      <c r="BX130" s="162">
        <f t="shared" si="1016"/>
        <v>141502.8988</v>
      </c>
      <c r="BY130" s="162">
        <f t="shared" si="1016"/>
        <v>140241.19659114038</v>
      </c>
      <c r="BZ130" s="162">
        <f t="shared" si="1016"/>
        <v>90890.599700000006</v>
      </c>
      <c r="CA130" s="162">
        <f t="shared" si="1016"/>
        <v>103258.52256299651</v>
      </c>
      <c r="CB130" s="162">
        <f t="shared" si="1016"/>
        <v>120256.22580000001</v>
      </c>
      <c r="CC130" s="162">
        <f t="shared" si="1016"/>
        <v>138192.07488197109</v>
      </c>
      <c r="CD130" s="162">
        <f t="shared" si="1016"/>
        <v>220374.27980000002</v>
      </c>
      <c r="CE130" s="162">
        <f t="shared" ref="CE130:CF130" si="1017">+CE127+CE128</f>
        <v>234385.2442731075</v>
      </c>
      <c r="CF130" s="162">
        <f t="shared" si="1017"/>
        <v>269729.62599999999</v>
      </c>
      <c r="CG130" s="162">
        <f t="shared" ref="CG130:CH130" si="1018">+CG127+CG128</f>
        <v>194485.43816004883</v>
      </c>
      <c r="CH130" s="162">
        <f t="shared" si="1018"/>
        <v>206003.0429</v>
      </c>
      <c r="CI130" s="162">
        <f t="shared" ref="CI130:CJ130" si="1019">+CI127+CI128</f>
        <v>211724.82191246154</v>
      </c>
      <c r="CJ130" s="162">
        <f t="shared" si="1019"/>
        <v>249950.56090000001</v>
      </c>
      <c r="CK130" s="162">
        <f t="shared" ref="CK130:CL130" si="1020">+CK127+CK128</f>
        <v>299248.62601033627</v>
      </c>
      <c r="CL130" s="162">
        <f t="shared" si="1020"/>
        <v>292656.99450000003</v>
      </c>
      <c r="CM130" s="21">
        <f t="shared" ref="CM130:DB130" si="1021">+CM127+CM128</f>
        <v>310291.57541000546</v>
      </c>
      <c r="CN130" s="21">
        <f t="shared" si="1021"/>
        <v>324062.27497909695</v>
      </c>
      <c r="CO130" s="21">
        <f t="shared" si="1021"/>
        <v>339089.13553083187</v>
      </c>
      <c r="CP130" s="21">
        <f t="shared" si="1021"/>
        <v>361585.30252075859</v>
      </c>
      <c r="CQ130" s="21">
        <f t="shared" si="1021"/>
        <v>377409.58065133204</v>
      </c>
      <c r="CR130" s="21">
        <f t="shared" si="1021"/>
        <v>395898.38185505004</v>
      </c>
      <c r="CS130" s="21">
        <f t="shared" si="1021"/>
        <v>415931.48423433886</v>
      </c>
      <c r="CT130" s="21">
        <f t="shared" si="1021"/>
        <v>444500.91232854303</v>
      </c>
      <c r="CU130" s="21">
        <f t="shared" si="1021"/>
        <v>457020.56353961898</v>
      </c>
      <c r="CV130" s="21">
        <f t="shared" si="1021"/>
        <v>474113.80590346223</v>
      </c>
      <c r="CW130" s="21">
        <f t="shared" si="1021"/>
        <v>495594.70333267987</v>
      </c>
      <c r="CX130" s="21">
        <f t="shared" si="1021"/>
        <v>526096.68399143056</v>
      </c>
      <c r="CY130" s="21">
        <f t="shared" si="1021"/>
        <v>540877.90016624378</v>
      </c>
      <c r="CZ130" s="21">
        <f t="shared" si="1021"/>
        <v>563609.3424765229</v>
      </c>
      <c r="DA130" s="21">
        <f t="shared" si="1021"/>
        <v>587456.04419259937</v>
      </c>
      <c r="DB130" s="21">
        <f t="shared" si="1021"/>
        <v>626880.68970487872</v>
      </c>
      <c r="DE130" s="22"/>
      <c r="DF130" s="162" t="e">
        <v>#DIV/0!</v>
      </c>
    </row>
    <row r="131" spans="1:110" s="162" customFormat="1" x14ac:dyDescent="0.2">
      <c r="A131" s="49" t="s">
        <v>13</v>
      </c>
      <c r="B131" s="162">
        <f t="shared" ref="B131:AE131" si="1022">+B47</f>
        <v>0</v>
      </c>
      <c r="C131" s="162">
        <f t="shared" si="1022"/>
        <v>0</v>
      </c>
      <c r="D131" s="162">
        <f t="shared" si="1022"/>
        <v>0</v>
      </c>
      <c r="E131" s="162">
        <f t="shared" si="1022"/>
        <v>-1E-3</v>
      </c>
      <c r="F131" s="162">
        <f t="shared" si="1022"/>
        <v>0</v>
      </c>
      <c r="G131" s="162">
        <f t="shared" si="1022"/>
        <v>0</v>
      </c>
      <c r="H131" s="162">
        <f t="shared" si="1022"/>
        <v>0</v>
      </c>
      <c r="I131" s="162">
        <f t="shared" si="1022"/>
        <v>-7.1790000000000003</v>
      </c>
      <c r="J131" s="162">
        <f t="shared" si="1022"/>
        <v>-5.5415999999999999</v>
      </c>
      <c r="K131" s="162">
        <f t="shared" si="1022"/>
        <v>243.81</v>
      </c>
      <c r="L131" s="162">
        <f t="shared" si="1022"/>
        <v>1245.6500000000001</v>
      </c>
      <c r="M131" s="162">
        <f t="shared" si="1022"/>
        <v>1325.1799999999998</v>
      </c>
      <c r="N131" s="162">
        <f t="shared" si="1022"/>
        <v>959.60999999999967</v>
      </c>
      <c r="O131" s="162">
        <f t="shared" si="1022"/>
        <v>4593.3000000000011</v>
      </c>
      <c r="P131" s="162">
        <f t="shared" si="1022"/>
        <v>5837.3899999999976</v>
      </c>
      <c r="Q131" s="162">
        <f t="shared" si="1022"/>
        <v>8802.1299999999974</v>
      </c>
      <c r="R131" s="162">
        <f t="shared" si="1022"/>
        <v>5971.6499999999978</v>
      </c>
      <c r="S131" s="162">
        <f t="shared" si="1022"/>
        <v>5400.8799999999992</v>
      </c>
      <c r="T131" s="162">
        <f t="shared" si="1022"/>
        <v>4953.8299999999981</v>
      </c>
      <c r="U131" s="162">
        <f t="shared" si="1022"/>
        <v>5685.2999999999993</v>
      </c>
      <c r="V131" s="162">
        <f t="shared" si="1022"/>
        <v>8668.52</v>
      </c>
      <c r="W131" s="162">
        <f t="shared" si="1022"/>
        <v>9814.16</v>
      </c>
      <c r="X131" s="162">
        <f t="shared" si="1022"/>
        <v>10044.660000000003</v>
      </c>
      <c r="Y131" s="162">
        <f t="shared" si="1022"/>
        <v>18180.7</v>
      </c>
      <c r="Z131" s="162">
        <f t="shared" si="1022"/>
        <v>21305.439999999995</v>
      </c>
      <c r="AA131" s="162">
        <f t="shared" ref="AA131" si="1023">+AA47</f>
        <v>19806.11</v>
      </c>
      <c r="AB131" s="21">
        <f t="shared" si="1022"/>
        <v>23999.249560449047</v>
      </c>
      <c r="AC131" s="21">
        <f t="shared" si="1022"/>
        <v>27933.934556630884</v>
      </c>
      <c r="AD131" s="21">
        <f t="shared" si="1022"/>
        <v>32804.107706417126</v>
      </c>
      <c r="AE131" s="21">
        <f t="shared" si="1022"/>
        <v>40468.401457057043</v>
      </c>
      <c r="AL131" s="162">
        <f t="shared" ref="AL131:BQ131" si="1024">+SUM(AI47:AL47)</f>
        <v>584.61000000000035</v>
      </c>
      <c r="AM131" s="162">
        <f t="shared" si="1024"/>
        <v>971.68000000000029</v>
      </c>
      <c r="AN131" s="162">
        <f t="shared" si="1024"/>
        <v>1278.6099999999997</v>
      </c>
      <c r="AO131" s="162">
        <f t="shared" si="1024"/>
        <v>1939.3600000000001</v>
      </c>
      <c r="AP131" s="162">
        <f t="shared" si="1024"/>
        <v>4322.51</v>
      </c>
      <c r="AQ131" s="162">
        <f t="shared" si="1024"/>
        <v>5879.5600000000022</v>
      </c>
      <c r="AR131" s="162">
        <f t="shared" si="1024"/>
        <v>6612.6300000000019</v>
      </c>
      <c r="AS131" s="162">
        <f t="shared" si="1024"/>
        <v>7391.3800000000019</v>
      </c>
      <c r="AT131" s="162">
        <f t="shared" si="1024"/>
        <v>5838.2500000000009</v>
      </c>
      <c r="AU131" s="162">
        <f t="shared" si="1024"/>
        <v>5758.82</v>
      </c>
      <c r="AV131" s="162">
        <f t="shared" si="1024"/>
        <v>6336.37</v>
      </c>
      <c r="AW131" s="162">
        <f t="shared" si="1024"/>
        <v>6587.96</v>
      </c>
      <c r="AX131" s="162">
        <f t="shared" si="1024"/>
        <v>8802.130000000001</v>
      </c>
      <c r="AY131" s="162">
        <f t="shared" si="1024"/>
        <v>8939.380000000001</v>
      </c>
      <c r="AZ131" s="162">
        <f t="shared" si="1024"/>
        <v>8767.9600000000009</v>
      </c>
      <c r="BA131" s="162">
        <f t="shared" si="1024"/>
        <v>8062.1100000000006</v>
      </c>
      <c r="BB131" s="162">
        <f t="shared" si="1024"/>
        <v>5971.6500000000005</v>
      </c>
      <c r="BC131" s="162">
        <f t="shared" si="1024"/>
        <v>5809.08</v>
      </c>
      <c r="BD131" s="162">
        <f t="shared" si="1024"/>
        <v>6312.49</v>
      </c>
      <c r="BE131" s="162">
        <f t="shared" si="1024"/>
        <v>5712.73</v>
      </c>
      <c r="BF131" s="162">
        <f t="shared" si="1024"/>
        <v>5624.68</v>
      </c>
      <c r="BG131" s="162">
        <f t="shared" si="1024"/>
        <v>5222.18</v>
      </c>
      <c r="BH131" s="162">
        <f t="shared" si="1024"/>
        <v>5350.37</v>
      </c>
      <c r="BI131" s="162">
        <f t="shared" si="1024"/>
        <v>5655.75</v>
      </c>
      <c r="BJ131" s="162">
        <f t="shared" si="1024"/>
        <v>5030.3100000000004</v>
      </c>
      <c r="BK131" s="162">
        <f t="shared" si="1024"/>
        <v>6555.75</v>
      </c>
      <c r="BL131" s="162">
        <f t="shared" si="1024"/>
        <v>5651.54</v>
      </c>
      <c r="BM131" s="162">
        <f t="shared" si="1024"/>
        <v>6088.86</v>
      </c>
      <c r="BN131" s="162">
        <f t="shared" si="1024"/>
        <v>5685.3</v>
      </c>
      <c r="BO131" s="162">
        <f t="shared" si="1024"/>
        <v>4389.6000000000004</v>
      </c>
      <c r="BP131" s="162">
        <f t="shared" si="1024"/>
        <v>7083.5</v>
      </c>
      <c r="BQ131" s="162">
        <f t="shared" si="1024"/>
        <v>7258.74</v>
      </c>
      <c r="BR131" s="162">
        <f t="shared" ref="BR131:CW131" si="1025">+SUM(BO47:BR47)</f>
        <v>8668.52</v>
      </c>
      <c r="BS131" s="162">
        <f t="shared" si="1025"/>
        <v>8928.0300000000007</v>
      </c>
      <c r="BT131" s="162">
        <f t="shared" si="1025"/>
        <v>6048.6</v>
      </c>
      <c r="BU131" s="162">
        <f t="shared" si="1025"/>
        <v>6196.43</v>
      </c>
      <c r="BV131" s="162">
        <f t="shared" si="1025"/>
        <v>9814.16</v>
      </c>
      <c r="BW131" s="162">
        <f t="shared" si="1025"/>
        <v>13885.89</v>
      </c>
      <c r="BX131" s="162">
        <f t="shared" si="1025"/>
        <v>13670.36</v>
      </c>
      <c r="BY131" s="162">
        <f t="shared" si="1025"/>
        <v>13369.32</v>
      </c>
      <c r="BZ131" s="162">
        <f t="shared" si="1025"/>
        <v>10044.659999999998</v>
      </c>
      <c r="CA131" s="162">
        <f t="shared" si="1025"/>
        <v>7839.15</v>
      </c>
      <c r="CB131" s="162">
        <f t="shared" si="1025"/>
        <v>12062.759999999998</v>
      </c>
      <c r="CC131" s="162">
        <f t="shared" si="1025"/>
        <v>15238.37</v>
      </c>
      <c r="CD131" s="162">
        <f t="shared" si="1025"/>
        <v>18180.700000000004</v>
      </c>
      <c r="CE131" s="162">
        <f t="shared" si="1025"/>
        <v>20860.780000000002</v>
      </c>
      <c r="CF131" s="162">
        <f t="shared" si="1025"/>
        <v>20964.97</v>
      </c>
      <c r="CG131" s="162">
        <f t="shared" si="1025"/>
        <v>21342.549999999996</v>
      </c>
      <c r="CH131" s="162">
        <f t="shared" si="1025"/>
        <v>21305.439999999995</v>
      </c>
      <c r="CI131" s="162">
        <f t="shared" si="1025"/>
        <v>20796.409999999996</v>
      </c>
      <c r="CJ131" s="162">
        <f t="shared" si="1025"/>
        <v>20671.12</v>
      </c>
      <c r="CK131" s="162">
        <f t="shared" si="1025"/>
        <v>19886.27</v>
      </c>
      <c r="CL131" s="162">
        <f t="shared" si="1025"/>
        <v>19806.11</v>
      </c>
      <c r="CM131" s="21">
        <f t="shared" si="1025"/>
        <v>20102.824653093376</v>
      </c>
      <c r="CN131" s="21">
        <f t="shared" si="1025"/>
        <v>20486.331449059871</v>
      </c>
      <c r="CO131" s="21">
        <f t="shared" si="1025"/>
        <v>21807.8387482496</v>
      </c>
      <c r="CP131" s="21">
        <f t="shared" si="1025"/>
        <v>23999.249560449047</v>
      </c>
      <c r="CQ131" s="21">
        <f t="shared" si="1025"/>
        <v>24361.224578910216</v>
      </c>
      <c r="CR131" s="21">
        <f t="shared" si="1025"/>
        <v>25325.448009296837</v>
      </c>
      <c r="CS131" s="21">
        <f t="shared" si="1025"/>
        <v>26613.75573544958</v>
      </c>
      <c r="CT131" s="21">
        <f t="shared" si="1025"/>
        <v>27933.934556630884</v>
      </c>
      <c r="CU131" s="21">
        <f t="shared" si="1025"/>
        <v>28981.013487793447</v>
      </c>
      <c r="CV131" s="21">
        <f t="shared" si="1025"/>
        <v>29945.508620375163</v>
      </c>
      <c r="CW131" s="21">
        <f t="shared" si="1025"/>
        <v>31227.65722064102</v>
      </c>
      <c r="CX131" s="21">
        <f t="shared" ref="CX131:DB131" si="1026">+SUM(CU47:CX47)</f>
        <v>32804.107706417126</v>
      </c>
      <c r="CY131" s="21">
        <f t="shared" si="1026"/>
        <v>34321.246915559197</v>
      </c>
      <c r="CZ131" s="21">
        <f t="shared" si="1026"/>
        <v>36233.821032760177</v>
      </c>
      <c r="DA131" s="21">
        <f t="shared" si="1026"/>
        <v>37975.402902447691</v>
      </c>
      <c r="DB131" s="21">
        <f t="shared" si="1026"/>
        <v>40468.401457057036</v>
      </c>
      <c r="DE131" s="22"/>
      <c r="DF131" s="162">
        <v>0</v>
      </c>
    </row>
    <row r="132" spans="1:110" s="162" customFormat="1" x14ac:dyDescent="0.2">
      <c r="A132" s="49" t="s">
        <v>343</v>
      </c>
      <c r="B132" s="162" t="e">
        <f>+B129/B131</f>
        <v>#DIV/0!</v>
      </c>
      <c r="C132" s="162" t="e">
        <f t="shared" ref="C132:W132" si="1027">+C129/C131</f>
        <v>#DIV/0!</v>
      </c>
      <c r="D132" s="162" t="e">
        <f t="shared" si="1027"/>
        <v>#DIV/0!</v>
      </c>
      <c r="E132" s="162">
        <f t="shared" si="1027"/>
        <v>7</v>
      </c>
      <c r="F132" s="162" t="e">
        <f t="shared" si="1027"/>
        <v>#DIV/0!</v>
      </c>
      <c r="G132" s="162" t="e">
        <f t="shared" si="1027"/>
        <v>#DIV/0!</v>
      </c>
      <c r="H132" s="162" t="e">
        <f t="shared" si="1027"/>
        <v>#DIV/0!</v>
      </c>
      <c r="I132" s="162">
        <f t="shared" si="1027"/>
        <v>-106.67753168965037</v>
      </c>
      <c r="J132" s="162">
        <f t="shared" si="1027"/>
        <v>-799.61375775949182</v>
      </c>
      <c r="K132" s="162">
        <f t="shared" si="1027"/>
        <v>224.99021040974529</v>
      </c>
      <c r="L132" s="162">
        <f t="shared" si="1027"/>
        <v>63.653889696142578</v>
      </c>
      <c r="M132" s="162">
        <f t="shared" si="1027"/>
        <v>62.038637015348868</v>
      </c>
      <c r="N132" s="162">
        <f t="shared" si="1027"/>
        <v>71.433699002719891</v>
      </c>
      <c r="O132" s="162">
        <f t="shared" si="1027"/>
        <v>14.647768619511023</v>
      </c>
      <c r="P132" s="162">
        <f t="shared" si="1027"/>
        <v>11.982831196819133</v>
      </c>
      <c r="Q132" s="162">
        <f t="shared" si="1027"/>
        <v>8.1024515997832385</v>
      </c>
      <c r="R132" s="162">
        <f t="shared" si="1027"/>
        <v>11.327697068649375</v>
      </c>
      <c r="S132" s="162">
        <f t="shared" si="1027"/>
        <v>13.03400344018012</v>
      </c>
      <c r="T132" s="162">
        <f t="shared" si="1027"/>
        <v>15.444312945740981</v>
      </c>
      <c r="U132" s="162">
        <f t="shared" si="1027"/>
        <v>15.878949659648569</v>
      </c>
      <c r="V132" s="162">
        <f t="shared" si="1027"/>
        <v>12.163495729374795</v>
      </c>
      <c r="W132" s="162">
        <f t="shared" si="1027"/>
        <v>13.431506557871485</v>
      </c>
      <c r="X132" s="162">
        <f t="shared" ref="X132:Y132" si="1028">+X129/X131</f>
        <v>21.893247078547201</v>
      </c>
      <c r="Y132" s="162">
        <f t="shared" si="1028"/>
        <v>14.382068578217559</v>
      </c>
      <c r="Z132" s="162">
        <f t="shared" ref="Z132:AA132" si="1029">+Z129/Z131</f>
        <v>17.840763415353077</v>
      </c>
      <c r="AA132" s="162">
        <f t="shared" ref="AA132" si="1030">+AA129/AA131</f>
        <v>20.072884705780186</v>
      </c>
      <c r="AB132" s="21">
        <f t="shared" ref="AB132:AD132" si="1031">+AB129/AB131</f>
        <v>17.967855329802624</v>
      </c>
      <c r="AC132" s="21">
        <f t="shared" si="1031"/>
        <v>18.937208267630648</v>
      </c>
      <c r="AD132" s="21">
        <f t="shared" si="1031"/>
        <v>19.146397152506879</v>
      </c>
      <c r="AE132" s="21">
        <f t="shared" ref="AE132" si="1032">+AE129/AE131</f>
        <v>18.564960778533166</v>
      </c>
      <c r="AL132" s="162">
        <f t="shared" ref="AL132" si="1033">+AL129/AL131</f>
        <v>106.48776038726668</v>
      </c>
      <c r="AM132" s="162">
        <f t="shared" ref="AM132:AO132" si="1034">+AM129/AM131</f>
        <v>62.854257322377578</v>
      </c>
      <c r="AN132" s="162">
        <f t="shared" si="1034"/>
        <v>44.274687512220311</v>
      </c>
      <c r="AO132" s="162">
        <f t="shared" si="1034"/>
        <v>28.882006172893011</v>
      </c>
      <c r="AP132" s="162">
        <f t="shared" ref="AP132:CD132" si="1035">+AP129/AP131</f>
        <v>13.623776000518216</v>
      </c>
      <c r="AQ132" s="162">
        <f t="shared" si="1035"/>
        <v>11.170795479485294</v>
      </c>
      <c r="AR132" s="162">
        <f t="shared" si="1035"/>
        <v>10.026419639387051</v>
      </c>
      <c r="AS132" s="162">
        <f t="shared" si="1035"/>
        <v>8.1526092149585203</v>
      </c>
      <c r="AT132" s="162">
        <f t="shared" si="1035"/>
        <v>10.844449963602106</v>
      </c>
      <c r="AU132" s="162">
        <f t="shared" si="1035"/>
        <v>10.356355348708036</v>
      </c>
      <c r="AV132" s="162">
        <f t="shared" si="1035"/>
        <v>9.4260669910374553</v>
      </c>
      <c r="AW132" s="162">
        <f t="shared" si="1035"/>
        <v>9.1735330585713122</v>
      </c>
      <c r="AX132" s="162">
        <f t="shared" si="1035"/>
        <v>7.0179661627356102</v>
      </c>
      <c r="AY132" s="162">
        <f t="shared" si="1035"/>
        <v>6.69141948536058</v>
      </c>
      <c r="AZ132" s="162">
        <f t="shared" si="1035"/>
        <v>6.757252462374371</v>
      </c>
      <c r="BA132" s="162">
        <f t="shared" si="1035"/>
        <v>7.5654523834783332</v>
      </c>
      <c r="BB132" s="162">
        <f t="shared" si="1035"/>
        <v>10.782829234801101</v>
      </c>
      <c r="BC132" s="162">
        <f t="shared" si="1035"/>
        <v>11.449255745585218</v>
      </c>
      <c r="BD132" s="162">
        <f t="shared" si="1035"/>
        <v>9.5534665876698419</v>
      </c>
      <c r="BE132" s="162">
        <f t="shared" si="1035"/>
        <v>11.222538278776973</v>
      </c>
      <c r="BF132" s="162">
        <f t="shared" si="1035"/>
        <v>11.854979927747001</v>
      </c>
      <c r="BG132" s="162">
        <f t="shared" si="1035"/>
        <v>11.233762236714115</v>
      </c>
      <c r="BH132" s="162">
        <f t="shared" si="1035"/>
        <v>10.745572493117297</v>
      </c>
      <c r="BI132" s="162">
        <f t="shared" si="1035"/>
        <v>11.848730483142141</v>
      </c>
      <c r="BJ132" s="162">
        <f t="shared" si="1035"/>
        <v>12.544637507429959</v>
      </c>
      <c r="BK132" s="162">
        <f t="shared" si="1035"/>
        <v>9.8997535914632273</v>
      </c>
      <c r="BL132" s="162">
        <f t="shared" si="1035"/>
        <v>13.145741850893739</v>
      </c>
      <c r="BM132" s="162">
        <f t="shared" si="1035"/>
        <v>12.6679810331909</v>
      </c>
      <c r="BN132" s="162">
        <f t="shared" si="1035"/>
        <v>13.336599528608868</v>
      </c>
      <c r="BO132" s="162">
        <f t="shared" si="1035"/>
        <v>15.152672297050071</v>
      </c>
      <c r="BP132" s="162">
        <f t="shared" si="1035"/>
        <v>9.2818247617703129</v>
      </c>
      <c r="BQ132" s="162">
        <f t="shared" si="1035"/>
        <v>10.124930889991488</v>
      </c>
      <c r="BR132" s="162">
        <f t="shared" si="1035"/>
        <v>10.708230009274939</v>
      </c>
      <c r="BS132" s="162">
        <f t="shared" si="1035"/>
        <v>12.908117123315215</v>
      </c>
      <c r="BT132" s="162">
        <f t="shared" si="1035"/>
        <v>15.729775981218792</v>
      </c>
      <c r="BU132" s="162">
        <f t="shared" si="1035"/>
        <v>16.684109767952968</v>
      </c>
      <c r="BV132" s="162">
        <f t="shared" si="1035"/>
        <v>12.084982759604491</v>
      </c>
      <c r="BW132" s="162">
        <f t="shared" si="1035"/>
        <v>12.738600862342041</v>
      </c>
      <c r="BX132" s="162">
        <f t="shared" si="1035"/>
        <v>15.36185976082561</v>
      </c>
      <c r="BY132" s="162">
        <f t="shared" si="1035"/>
        <v>14.349798927031474</v>
      </c>
      <c r="BZ132" s="162">
        <f t="shared" si="1035"/>
        <v>15.666529339967706</v>
      </c>
      <c r="CA132" s="162">
        <f t="shared" si="1035"/>
        <v>18.136538676131536</v>
      </c>
      <c r="CB132" s="162">
        <f t="shared" si="1035"/>
        <v>15.542271420470939</v>
      </c>
      <c r="CC132" s="162">
        <f t="shared" si="1035"/>
        <v>16.661905104152943</v>
      </c>
      <c r="CD132" s="162">
        <f t="shared" si="1035"/>
        <v>13.886375145071419</v>
      </c>
      <c r="CE132" s="162">
        <f t="shared" ref="CE132:CF132" si="1036">+CE129/CE131</f>
        <v>17.750272289583968</v>
      </c>
      <c r="CF132" s="162">
        <f t="shared" si="1036"/>
        <v>15.315298905746108</v>
      </c>
      <c r="CG132" s="162">
        <f t="shared" ref="CG132:CH132" si="1037">+CG129/CG131</f>
        <v>13.264517813478188</v>
      </c>
      <c r="CH132" s="162">
        <f t="shared" si="1037"/>
        <v>12.466865298252468</v>
      </c>
      <c r="CI132" s="162">
        <f t="shared" ref="CI132:CJ132" si="1038">+CI129/CI131</f>
        <v>12.739280924566383</v>
      </c>
      <c r="CJ132" s="162">
        <f t="shared" si="1038"/>
        <v>18.83499164534868</v>
      </c>
      <c r="CK132" s="162">
        <f t="shared" ref="CK132:CL132" si="1039">+CK129/CK131</f>
        <v>18.878512210200117</v>
      </c>
      <c r="CL132" s="162">
        <f t="shared" si="1039"/>
        <v>17.672777592369222</v>
      </c>
      <c r="CM132" s="21">
        <f t="shared" ref="CM132:DB132" si="1040">+CM129/CM131</f>
        <v>18.442042829662956</v>
      </c>
      <c r="CN132" s="21">
        <f t="shared" si="1040"/>
        <v>18.900773224122254</v>
      </c>
      <c r="CO132" s="21">
        <f t="shared" si="1040"/>
        <v>18.569997841683165</v>
      </c>
      <c r="CP132" s="21">
        <f t="shared" si="1040"/>
        <v>17.967855329802624</v>
      </c>
      <c r="CQ132" s="21">
        <f t="shared" si="1040"/>
        <v>18.486275050555403</v>
      </c>
      <c r="CR132" s="21">
        <f t="shared" si="1040"/>
        <v>18.646104351707027</v>
      </c>
      <c r="CS132" s="21">
        <f t="shared" si="1040"/>
        <v>18.631264307015943</v>
      </c>
      <c r="CT132" s="21">
        <f t="shared" si="1040"/>
        <v>18.937208267630648</v>
      </c>
      <c r="CU132" s="21">
        <f t="shared" si="1040"/>
        <v>18.817005892742902</v>
      </c>
      <c r="CV132" s="21">
        <f t="shared" si="1040"/>
        <v>18.910178003728799</v>
      </c>
      <c r="CW132" s="21">
        <f t="shared" si="1040"/>
        <v>18.959346898770555</v>
      </c>
      <c r="CX132" s="21">
        <f t="shared" si="1040"/>
        <v>19.146397152506879</v>
      </c>
      <c r="CY132" s="21">
        <f t="shared" si="1040"/>
        <v>18.869032473776848</v>
      </c>
      <c r="CZ132" s="21">
        <f t="shared" si="1040"/>
        <v>18.640445887485193</v>
      </c>
      <c r="DA132" s="21">
        <f t="shared" si="1040"/>
        <v>18.555695076930782</v>
      </c>
      <c r="DB132" s="21">
        <f t="shared" si="1040"/>
        <v>18.56496077853317</v>
      </c>
      <c r="DE132" s="22"/>
      <c r="DF132" s="162" t="e">
        <v>#DIV/0!</v>
      </c>
    </row>
    <row r="133" spans="1:110" s="162" customFormat="1" x14ac:dyDescent="0.2">
      <c r="A133" s="49" t="s">
        <v>344</v>
      </c>
      <c r="B133" s="162" t="e">
        <f>+B130/B131</f>
        <v>#DIV/0!</v>
      </c>
      <c r="C133" s="162" t="e">
        <f t="shared" ref="C133:W133" si="1041">+C130/C131</f>
        <v>#DIV/0!</v>
      </c>
      <c r="D133" s="162" t="e">
        <f t="shared" si="1041"/>
        <v>#DIV/0!</v>
      </c>
      <c r="E133" s="162">
        <f t="shared" si="1041"/>
        <v>7</v>
      </c>
      <c r="F133" s="162" t="e">
        <f t="shared" si="1041"/>
        <v>#DIV/0!</v>
      </c>
      <c r="G133" s="162" t="e">
        <f t="shared" si="1041"/>
        <v>#DIV/0!</v>
      </c>
      <c r="H133" s="162" t="e">
        <f t="shared" si="1041"/>
        <v>#DIV/0!</v>
      </c>
      <c r="I133" s="162">
        <f t="shared" si="1041"/>
        <v>-106.67753168965037</v>
      </c>
      <c r="J133" s="162">
        <f t="shared" si="1041"/>
        <v>-799.61375775949182</v>
      </c>
      <c r="K133" s="162">
        <f t="shared" si="1041"/>
        <v>181.40762684057259</v>
      </c>
      <c r="L133" s="162">
        <f t="shared" si="1041"/>
        <v>52.181997350780719</v>
      </c>
      <c r="M133" s="162">
        <f t="shared" si="1041"/>
        <v>43.964415098326278</v>
      </c>
      <c r="N133" s="162">
        <f t="shared" si="1041"/>
        <v>56.542271547816334</v>
      </c>
      <c r="O133" s="162">
        <f t="shared" si="1041"/>
        <v>11.88099586354037</v>
      </c>
      <c r="P133" s="162">
        <f t="shared" si="1041"/>
        <v>10.020462432696808</v>
      </c>
      <c r="Q133" s="162">
        <f t="shared" si="1041"/>
        <v>6.7528492648938414</v>
      </c>
      <c r="R133" s="162">
        <f t="shared" si="1041"/>
        <v>10.168351276447886</v>
      </c>
      <c r="S133" s="162">
        <f t="shared" si="1041"/>
        <v>11.277239283227919</v>
      </c>
      <c r="T133" s="162">
        <f t="shared" si="1041"/>
        <v>12.096430196433875</v>
      </c>
      <c r="U133" s="162">
        <f t="shared" si="1041"/>
        <v>12.524233408966987</v>
      </c>
      <c r="V133" s="162">
        <f t="shared" si="1041"/>
        <v>8.4705236880113315</v>
      </c>
      <c r="W133" s="162">
        <f t="shared" si="1041"/>
        <v>8.8078913834704142</v>
      </c>
      <c r="X133" s="162">
        <f t="shared" ref="X133:Y133" si="1042">+X130/X131</f>
        <v>10.364273126218308</v>
      </c>
      <c r="Y133" s="162">
        <f t="shared" si="1042"/>
        <v>5.8071779084413686</v>
      </c>
      <c r="Z133" s="162">
        <f t="shared" ref="Z133:AA133" si="1043">+Z130/Z131</f>
        <v>9.406540296750503</v>
      </c>
      <c r="AA133" s="162">
        <f t="shared" ref="AA133" si="1044">+AA130/AA131</f>
        <v>11.471446068915096</v>
      </c>
      <c r="AB133" s="21">
        <f t="shared" ref="AB133:AD133" si="1045">+AB130/AB131</f>
        <v>13.415510979953915</v>
      </c>
      <c r="AC133" s="21">
        <f t="shared" si="1045"/>
        <v>14.128555261164397</v>
      </c>
      <c r="AD133" s="21">
        <f t="shared" si="1045"/>
        <v>14.239895791588568</v>
      </c>
      <c r="AE133" s="21">
        <f t="shared" ref="AE133" si="1046">+AE130/AE131</f>
        <v>13.605483091877018</v>
      </c>
      <c r="AL133" s="162">
        <f t="shared" ref="AL133:AM133" si="1047">+AL130/AL131</f>
        <v>86.629411402473409</v>
      </c>
      <c r="AM133" s="162">
        <f t="shared" si="1047"/>
        <v>53.565973525242718</v>
      </c>
      <c r="AN133" s="162">
        <f t="shared" ref="AN133:AO133" si="1048">+AN130/AN131</f>
        <v>39.493518977639795</v>
      </c>
      <c r="AO133" s="162">
        <f t="shared" si="1048"/>
        <v>26.674472037920651</v>
      </c>
      <c r="AP133" s="162">
        <f t="shared" ref="AP133:CD133" si="1049">+AP130/AP131</f>
        <v>11.830269588734323</v>
      </c>
      <c r="AQ133" s="162">
        <f t="shared" si="1049"/>
        <v>9.6029763569659217</v>
      </c>
      <c r="AR133" s="162">
        <f t="shared" si="1049"/>
        <v>8.574080615428354</v>
      </c>
      <c r="AS133" s="162">
        <f t="shared" si="1049"/>
        <v>7.5629571878675028</v>
      </c>
      <c r="AT133" s="162">
        <f t="shared" si="1049"/>
        <v>9.7411930287329227</v>
      </c>
      <c r="AU133" s="162">
        <f t="shared" si="1049"/>
        <v>8.7523164483777602</v>
      </c>
      <c r="AV133" s="162">
        <f t="shared" si="1049"/>
        <v>8.7260635190179876</v>
      </c>
      <c r="AW133" s="162">
        <f t="shared" si="1049"/>
        <v>8.6846799234581677</v>
      </c>
      <c r="AX133" s="162">
        <f t="shared" si="1049"/>
        <v>6.4351833363060988</v>
      </c>
      <c r="AY133" s="162">
        <f t="shared" si="1049"/>
        <v>6.3052672801740917</v>
      </c>
      <c r="AZ133" s="162">
        <f t="shared" si="1049"/>
        <v>6.4823210644209128</v>
      </c>
      <c r="BA133" s="162">
        <f t="shared" si="1049"/>
        <v>7.0583448892863663</v>
      </c>
      <c r="BB133" s="162">
        <f t="shared" si="1049"/>
        <v>10.001320372091465</v>
      </c>
      <c r="BC133" s="162">
        <f t="shared" si="1049"/>
        <v>10.094797277118611</v>
      </c>
      <c r="BD133" s="162">
        <f t="shared" si="1049"/>
        <v>8.9699602850855999</v>
      </c>
      <c r="BE133" s="162">
        <f t="shared" si="1049"/>
        <v>10.321215286092215</v>
      </c>
      <c r="BF133" s="162">
        <f t="shared" si="1049"/>
        <v>10.168115537239451</v>
      </c>
      <c r="BG133" s="162">
        <f t="shared" si="1049"/>
        <v>10.384407944062387</v>
      </c>
      <c r="BH133" s="162">
        <f t="shared" si="1049"/>
        <v>9.2425512254292688</v>
      </c>
      <c r="BI133" s="162">
        <f t="shared" si="1049"/>
        <v>9.3186951385812957</v>
      </c>
      <c r="BJ133" s="162">
        <f t="shared" si="1049"/>
        <v>11.018824863676393</v>
      </c>
      <c r="BK133" s="162">
        <f t="shared" si="1049"/>
        <v>8.8084026857697513</v>
      </c>
      <c r="BL133" s="162">
        <f t="shared" si="1049"/>
        <v>11.845658917746315</v>
      </c>
      <c r="BM133" s="162">
        <f t="shared" si="1049"/>
        <v>11.695647476498841</v>
      </c>
      <c r="BN133" s="162">
        <f t="shared" si="1049"/>
        <v>10.511039734050973</v>
      </c>
      <c r="BO133" s="162">
        <f t="shared" si="1049"/>
        <v>13.729252668837931</v>
      </c>
      <c r="BP133" s="162">
        <f t="shared" si="1049"/>
        <v>8.8897873791204933</v>
      </c>
      <c r="BQ133" s="162">
        <f t="shared" si="1049"/>
        <v>8.5574449351287978</v>
      </c>
      <c r="BR133" s="162">
        <f t="shared" si="1049"/>
        <v>8.0119154826890853</v>
      </c>
      <c r="BS133" s="162">
        <f t="shared" si="1049"/>
        <v>9.2058473280748316</v>
      </c>
      <c r="BT133" s="162">
        <f t="shared" si="1049"/>
        <v>12.889008249842938</v>
      </c>
      <c r="BU133" s="162">
        <f t="shared" si="1049"/>
        <v>14.072950874848388</v>
      </c>
      <c r="BV133" s="162">
        <f t="shared" si="1049"/>
        <v>8.5637254742127702</v>
      </c>
      <c r="BW133" s="162">
        <f t="shared" si="1049"/>
        <v>8.3736079018620142</v>
      </c>
      <c r="BX133" s="162">
        <f t="shared" si="1049"/>
        <v>10.351073329451454</v>
      </c>
      <c r="BY133" s="162">
        <f t="shared" si="1049"/>
        <v>10.489777833961666</v>
      </c>
      <c r="BZ133" s="162">
        <f t="shared" si="1049"/>
        <v>9.0486487048839912</v>
      </c>
      <c r="CA133" s="162">
        <f t="shared" si="1049"/>
        <v>13.172158022616804</v>
      </c>
      <c r="CB133" s="162">
        <f t="shared" si="1049"/>
        <v>9.9692131651462876</v>
      </c>
      <c r="CC133" s="162">
        <f t="shared" si="1049"/>
        <v>9.068691394287649</v>
      </c>
      <c r="CD133" s="162">
        <f t="shared" si="1049"/>
        <v>12.121330850847325</v>
      </c>
      <c r="CE133" s="162">
        <f t="shared" ref="CE133:CF133" si="1050">+CE130/CE131</f>
        <v>11.235689378494355</v>
      </c>
      <c r="CF133" s="162">
        <f t="shared" si="1050"/>
        <v>12.865729166318863</v>
      </c>
      <c r="CG133" s="162">
        <f t="shared" ref="CG133:CH133" si="1051">+CG130/CG131</f>
        <v>9.112567999608709</v>
      </c>
      <c r="CH133" s="162">
        <f t="shared" si="1051"/>
        <v>9.6690348990680342</v>
      </c>
      <c r="CI133" s="162">
        <f t="shared" ref="CI133:CJ133" si="1052">+CI130/CI131</f>
        <v>10.180835149550408</v>
      </c>
      <c r="CJ133" s="162">
        <f t="shared" si="1052"/>
        <v>12.09177639624752</v>
      </c>
      <c r="CK133" s="162">
        <f t="shared" ref="CK133:CL133" si="1053">+CK130/CK131</f>
        <v>15.048001762539494</v>
      </c>
      <c r="CL133" s="162">
        <f t="shared" si="1053"/>
        <v>14.77609659342496</v>
      </c>
      <c r="CM133" s="21">
        <f t="shared" ref="CM133:DB133" si="1054">+CM130/CM131</f>
        <v>15.435222699525388</v>
      </c>
      <c r="CN133" s="21">
        <f t="shared" si="1054"/>
        <v>15.818462948570929</v>
      </c>
      <c r="CO133" s="21">
        <f t="shared" si="1054"/>
        <v>15.548956475939129</v>
      </c>
      <c r="CP133" s="21">
        <f t="shared" si="1054"/>
        <v>15.066525376554024</v>
      </c>
      <c r="CQ133" s="21">
        <f t="shared" si="1054"/>
        <v>15.492225336572766</v>
      </c>
      <c r="CR133" s="21">
        <f t="shared" si="1054"/>
        <v>15.632433499684501</v>
      </c>
      <c r="CS133" s="21">
        <f t="shared" si="1054"/>
        <v>15.628439983024164</v>
      </c>
      <c r="CT133" s="21">
        <f t="shared" si="1054"/>
        <v>15.912577994603648</v>
      </c>
      <c r="CU133" s="21">
        <f t="shared" si="1054"/>
        <v>15.769654285282746</v>
      </c>
      <c r="CV133" s="21">
        <f t="shared" si="1054"/>
        <v>15.832551449163612</v>
      </c>
      <c r="CW133" s="21">
        <f t="shared" si="1054"/>
        <v>15.870377333497151</v>
      </c>
      <c r="CX133" s="21">
        <f t="shared" si="1054"/>
        <v>16.037524589901153</v>
      </c>
      <c r="CY133" s="21">
        <f t="shared" si="1054"/>
        <v>15.759273009426769</v>
      </c>
      <c r="CZ133" s="21">
        <f t="shared" si="1054"/>
        <v>15.554786285634776</v>
      </c>
      <c r="DA133" s="21">
        <f t="shared" si="1054"/>
        <v>15.469382792374143</v>
      </c>
      <c r="DB133" s="21">
        <f t="shared" si="1054"/>
        <v>15.490621500582174</v>
      </c>
      <c r="DE133" s="22"/>
      <c r="DF133" s="162" t="e">
        <v>#DIV/0!</v>
      </c>
    </row>
    <row r="134" spans="1:110" s="10" customFormat="1" x14ac:dyDescent="0.2">
      <c r="A134" s="149" t="s">
        <v>490</v>
      </c>
      <c r="AB134" s="20"/>
      <c r="AC134" s="20"/>
      <c r="AD134" s="20"/>
      <c r="AE134" s="20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E134" s="126"/>
    </row>
    <row r="135" spans="1:110" x14ac:dyDescent="0.2">
      <c r="A135" s="152" t="s">
        <v>491</v>
      </c>
      <c r="AA135" s="2"/>
      <c r="CL135" s="2"/>
    </row>
    <row r="136" spans="1:110" s="23" customFormat="1" outlineLevel="1" x14ac:dyDescent="0.2">
      <c r="A136" s="23" t="s">
        <v>41</v>
      </c>
      <c r="B136" s="23">
        <f>'Annual Raw'!C41</f>
        <v>0</v>
      </c>
      <c r="C136" s="23">
        <f>'Annual Raw'!D41</f>
        <v>0</v>
      </c>
      <c r="D136" s="23">
        <f>'Annual Raw'!E41</f>
        <v>0</v>
      </c>
      <c r="E136" s="23">
        <f>'Annual Raw'!F41</f>
        <v>0.95</v>
      </c>
      <c r="F136" s="23">
        <f>'Annual Raw'!G41</f>
        <v>0.95</v>
      </c>
      <c r="G136" s="23">
        <f>'Annual Raw'!H41</f>
        <v>0.95</v>
      </c>
      <c r="H136" s="23">
        <f>'Annual Raw'!I41</f>
        <v>260.69</v>
      </c>
      <c r="I136" s="23">
        <f>'Annual Raw'!J41</f>
        <v>702.08299999999997</v>
      </c>
      <c r="J136" s="23">
        <f>'Annual Raw'!K41</f>
        <v>1841.9762000000001</v>
      </c>
      <c r="K136" s="23">
        <f>'Annual Raw'!L41</f>
        <v>2180.04</v>
      </c>
      <c r="L136" s="23">
        <f>'Annual Raw'!M41</f>
        <v>2180.04</v>
      </c>
      <c r="M136" s="23">
        <f>'Annual Raw'!N41</f>
        <v>2180.04</v>
      </c>
      <c r="N136" s="23">
        <f>'Annual Raw'!O41</f>
        <v>2393.27</v>
      </c>
      <c r="O136" s="23">
        <f>'Annual Raw'!P41</f>
        <v>2871.92</v>
      </c>
      <c r="P136" s="23">
        <f>'Annual Raw'!Q41</f>
        <v>2871.92</v>
      </c>
      <c r="Q136" s="23">
        <f>'Annual Raw'!R41</f>
        <v>3333.94</v>
      </c>
      <c r="R136" s="23">
        <f>'Annual Raw'!S41</f>
        <v>3856.94</v>
      </c>
      <c r="S136" s="23">
        <f>'Annual Raw'!T41</f>
        <v>3856.94</v>
      </c>
      <c r="T136" s="23">
        <f>'Annual Raw'!U41</f>
        <v>3856.94</v>
      </c>
      <c r="U136" s="23">
        <f>'Annual Raw'!V41</f>
        <v>3856.94</v>
      </c>
      <c r="V136" s="23">
        <f>'Annual Raw'!W41</f>
        <v>3856.94</v>
      </c>
      <c r="W136" s="23">
        <f>'Annual Raw'!X41</f>
        <v>3856.94</v>
      </c>
      <c r="X136" s="23">
        <f>'Annual Raw'!Y41</f>
        <v>3856.94</v>
      </c>
      <c r="Y136" s="23">
        <f>'Annual Raw'!Z41</f>
        <v>3856.94</v>
      </c>
      <c r="Z136" s="23">
        <f>'Annual Raw'!AA41</f>
        <v>3856.94</v>
      </c>
      <c r="AA136" s="23">
        <f>'Annual Raw'!AB41</f>
        <v>3856.94</v>
      </c>
      <c r="AB136" s="24">
        <f>+CP136</f>
        <v>3856.94</v>
      </c>
      <c r="AC136" s="24">
        <f>+CT136</f>
        <v>3856.94</v>
      </c>
      <c r="AD136" s="24">
        <f>+CX136</f>
        <v>3856.94</v>
      </c>
      <c r="AE136" s="24">
        <f>+DB136</f>
        <v>3856.94</v>
      </c>
      <c r="AJ136" s="23">
        <f>+'QTR Raw'!D56</f>
        <v>2180.04</v>
      </c>
      <c r="AK136" s="23">
        <f t="shared" ref="AK136:CE136" si="1055">+AJ136</f>
        <v>2180.04</v>
      </c>
      <c r="AL136" s="23">
        <f>+'QTR Raw'!F56</f>
        <v>2393.27</v>
      </c>
      <c r="AM136" s="23">
        <f t="shared" si="1055"/>
        <v>2393.27</v>
      </c>
      <c r="AN136" s="23">
        <f>+'QTR Raw'!H56</f>
        <v>2871.92</v>
      </c>
      <c r="AO136" s="23">
        <f t="shared" si="1055"/>
        <v>2871.92</v>
      </c>
      <c r="AP136" s="23">
        <f>+'QTR Raw'!J56</f>
        <v>2871.92</v>
      </c>
      <c r="AQ136" s="23">
        <f t="shared" si="1055"/>
        <v>2871.92</v>
      </c>
      <c r="AR136" s="23">
        <f>+'QTR Raw'!L56</f>
        <v>2871.92</v>
      </c>
      <c r="AS136" s="23">
        <f t="shared" si="1055"/>
        <v>2871.92</v>
      </c>
      <c r="AT136" s="23">
        <f>+'QTR Raw'!N56</f>
        <v>2871.92</v>
      </c>
      <c r="AU136" s="23">
        <f t="shared" si="1055"/>
        <v>2871.92</v>
      </c>
      <c r="AV136" s="23">
        <f>+'QTR Raw'!P56</f>
        <v>2935.84</v>
      </c>
      <c r="AW136" s="23">
        <f t="shared" si="1055"/>
        <v>2935.84</v>
      </c>
      <c r="AX136" s="23">
        <f>+'QTR Raw'!R56</f>
        <v>3333.94</v>
      </c>
      <c r="AY136" s="23">
        <f t="shared" si="1055"/>
        <v>3333.94</v>
      </c>
      <c r="AZ136" s="23">
        <f>+'QTR Raw'!T56</f>
        <v>3417.45</v>
      </c>
      <c r="BA136" s="23">
        <f t="shared" si="1055"/>
        <v>3417.45</v>
      </c>
      <c r="BB136" s="23">
        <f>+'QTR Raw'!V56</f>
        <v>3856.94</v>
      </c>
      <c r="BC136" s="23">
        <f t="shared" si="1055"/>
        <v>3856.94</v>
      </c>
      <c r="BD136" s="23">
        <f>+'QTR Raw'!X56</f>
        <v>3856.94</v>
      </c>
      <c r="BE136" s="23">
        <f t="shared" si="1055"/>
        <v>3856.94</v>
      </c>
      <c r="BF136" s="23">
        <f>+'QTR Raw'!Z56</f>
        <v>3856.94</v>
      </c>
      <c r="BG136" s="23">
        <f t="shared" si="1055"/>
        <v>3856.94</v>
      </c>
      <c r="BH136" s="23">
        <f>+'QTR Raw'!AB56</f>
        <v>8856.94</v>
      </c>
      <c r="BI136" s="23">
        <f t="shared" si="1055"/>
        <v>8856.94</v>
      </c>
      <c r="BJ136" s="23">
        <f>+'QTR Raw'!AD56</f>
        <v>3856.94</v>
      </c>
      <c r="BK136" s="23">
        <f t="shared" si="1055"/>
        <v>3856.94</v>
      </c>
      <c r="BL136" s="23">
        <f>+'QTR Raw'!AF56</f>
        <v>3856.94</v>
      </c>
      <c r="BM136" s="23">
        <f t="shared" si="1055"/>
        <v>3856.94</v>
      </c>
      <c r="BN136" s="23">
        <f>+'QTR Raw'!AH56</f>
        <v>3856.94</v>
      </c>
      <c r="BO136" s="23">
        <f t="shared" si="1055"/>
        <v>3856.94</v>
      </c>
      <c r="BP136" s="23">
        <f>+'QTR Raw'!AJ56</f>
        <v>3856.94</v>
      </c>
      <c r="BQ136" s="23">
        <f t="shared" si="1055"/>
        <v>3856.94</v>
      </c>
      <c r="BR136" s="23">
        <f>+'QTR Raw'!AL56</f>
        <v>3856.94</v>
      </c>
      <c r="BS136" s="23">
        <f t="shared" si="1055"/>
        <v>3856.94</v>
      </c>
      <c r="BT136" s="23">
        <f>+'QTR Raw'!AN56</f>
        <v>3856.94</v>
      </c>
      <c r="BU136" s="23">
        <f t="shared" si="1055"/>
        <v>3856.94</v>
      </c>
      <c r="BV136" s="23">
        <f>+'QTR Raw'!AP56</f>
        <v>3856.94</v>
      </c>
      <c r="BW136" s="23">
        <f t="shared" si="1055"/>
        <v>3856.94</v>
      </c>
      <c r="BX136" s="23">
        <f>+'QTR Raw'!AR56</f>
        <v>3856.94</v>
      </c>
      <c r="BY136" s="23">
        <f t="shared" si="1055"/>
        <v>3856.94</v>
      </c>
      <c r="BZ136" s="23">
        <f>+'QTR Raw'!AT56</f>
        <v>3856.94</v>
      </c>
      <c r="CA136" s="23">
        <f t="shared" si="1055"/>
        <v>3856.94</v>
      </c>
      <c r="CB136" s="23">
        <f>+'QTR Raw'!AV56</f>
        <v>3856.94</v>
      </c>
      <c r="CC136" s="23">
        <f t="shared" si="1055"/>
        <v>3856.94</v>
      </c>
      <c r="CD136" s="23">
        <f>+'QTR Raw'!AX56</f>
        <v>3856.94</v>
      </c>
      <c r="CE136" s="23">
        <f t="shared" si="1055"/>
        <v>3856.94</v>
      </c>
      <c r="CF136" s="23">
        <f>+'QTR Raw'!AZ56</f>
        <v>3856.94</v>
      </c>
      <c r="CG136" s="23">
        <f t="shared" ref="CG136:CG137" si="1056">+CF136</f>
        <v>3856.94</v>
      </c>
      <c r="CH136" s="23">
        <f>Z136</f>
        <v>3856.94</v>
      </c>
      <c r="CI136" s="23">
        <f>CH136</f>
        <v>3856.94</v>
      </c>
      <c r="CJ136" s="23">
        <f>+'QTR Raw'!BD56</f>
        <v>3856.94</v>
      </c>
      <c r="CK136" s="24">
        <f t="shared" ref="CK136:DB136" si="1057">CJ136</f>
        <v>3856.94</v>
      </c>
      <c r="CL136" s="23">
        <f>+'QTR Raw'!BF56</f>
        <v>3856.94</v>
      </c>
      <c r="CM136" s="24">
        <f t="shared" si="1057"/>
        <v>3856.94</v>
      </c>
      <c r="CN136" s="24">
        <f t="shared" si="1057"/>
        <v>3856.94</v>
      </c>
      <c r="CO136" s="24">
        <f t="shared" si="1057"/>
        <v>3856.94</v>
      </c>
      <c r="CP136" s="24">
        <f t="shared" si="1057"/>
        <v>3856.94</v>
      </c>
      <c r="CQ136" s="24">
        <f t="shared" si="1057"/>
        <v>3856.94</v>
      </c>
      <c r="CR136" s="24">
        <f t="shared" si="1057"/>
        <v>3856.94</v>
      </c>
      <c r="CS136" s="24">
        <f t="shared" si="1057"/>
        <v>3856.94</v>
      </c>
      <c r="CT136" s="24">
        <f t="shared" si="1057"/>
        <v>3856.94</v>
      </c>
      <c r="CU136" s="24">
        <f t="shared" si="1057"/>
        <v>3856.94</v>
      </c>
      <c r="CV136" s="24">
        <f t="shared" si="1057"/>
        <v>3856.94</v>
      </c>
      <c r="CW136" s="24">
        <f t="shared" si="1057"/>
        <v>3856.94</v>
      </c>
      <c r="CX136" s="24">
        <f t="shared" si="1057"/>
        <v>3856.94</v>
      </c>
      <c r="CY136" s="24">
        <f t="shared" si="1057"/>
        <v>3856.94</v>
      </c>
      <c r="CZ136" s="24">
        <f t="shared" si="1057"/>
        <v>3856.94</v>
      </c>
      <c r="DA136" s="24">
        <f t="shared" si="1057"/>
        <v>3856.94</v>
      </c>
      <c r="DB136" s="24">
        <f t="shared" si="1057"/>
        <v>3856.94</v>
      </c>
      <c r="DE136" s="123"/>
      <c r="DF136" s="23">
        <v>0</v>
      </c>
    </row>
    <row r="137" spans="1:110" s="23" customFormat="1" outlineLevel="1" x14ac:dyDescent="0.2">
      <c r="A137" s="23" t="s">
        <v>42</v>
      </c>
      <c r="B137" s="23">
        <f>'Annual Raw'!C42</f>
        <v>0</v>
      </c>
      <c r="C137" s="23">
        <f>'Annual Raw'!D42</f>
        <v>0</v>
      </c>
      <c r="D137" s="23">
        <f>'Annual Raw'!E42</f>
        <v>0</v>
      </c>
      <c r="E137" s="23">
        <f>'Annual Raw'!F42</f>
        <v>0</v>
      </c>
      <c r="F137" s="23">
        <f>'Annual Raw'!G42</f>
        <v>0</v>
      </c>
      <c r="G137" s="23">
        <f>'Annual Raw'!H42</f>
        <v>9.85</v>
      </c>
      <c r="H137" s="23">
        <f>'Annual Raw'!I42</f>
        <v>20</v>
      </c>
      <c r="I137" s="23">
        <f>'Annual Raw'!J42</f>
        <v>41.06</v>
      </c>
      <c r="J137" s="23">
        <f>'Annual Raw'!K42</f>
        <v>5.9900000000000002E-2</v>
      </c>
      <c r="K137" s="23">
        <f>'Annual Raw'!L42</f>
        <v>0</v>
      </c>
      <c r="L137" s="23">
        <f>'Annual Raw'!M42</f>
        <v>0</v>
      </c>
      <c r="M137" s="23">
        <f>'Annual Raw'!N42</f>
        <v>0</v>
      </c>
      <c r="N137" s="23">
        <f>'Annual Raw'!O42</f>
        <v>0</v>
      </c>
      <c r="O137" s="23">
        <f>'Annual Raw'!P42</f>
        <v>0</v>
      </c>
      <c r="P137" s="23">
        <f>'Annual Raw'!Q42</f>
        <v>0</v>
      </c>
      <c r="Q137" s="23">
        <f>'Annual Raw'!R42</f>
        <v>0</v>
      </c>
      <c r="R137" s="23">
        <f>'Annual Raw'!S42</f>
        <v>0</v>
      </c>
      <c r="S137" s="23">
        <f>'Annual Raw'!T42</f>
        <v>0</v>
      </c>
      <c r="T137" s="23">
        <f>'Annual Raw'!U42</f>
        <v>0</v>
      </c>
      <c r="U137" s="23">
        <f>'Annual Raw'!V42</f>
        <v>0</v>
      </c>
      <c r="V137" s="23">
        <f>'Annual Raw'!W42</f>
        <v>0</v>
      </c>
      <c r="W137" s="23">
        <f>'Annual Raw'!X42</f>
        <v>0</v>
      </c>
      <c r="X137" s="23">
        <f>'Annual Raw'!Y42</f>
        <v>0</v>
      </c>
      <c r="Y137" s="23">
        <f>'Annual Raw'!Z42</f>
        <v>0</v>
      </c>
      <c r="Z137" s="23">
        <f>'Annual Raw'!AA42</f>
        <v>0</v>
      </c>
      <c r="AA137" s="23">
        <f>'Annual Raw'!AB42</f>
        <v>0</v>
      </c>
      <c r="AB137" s="24">
        <f t="shared" ref="AB137:AB138" si="1058">+CP137</f>
        <v>0</v>
      </c>
      <c r="AC137" s="24">
        <f t="shared" ref="AC137:AC138" si="1059">+CT137</f>
        <v>0</v>
      </c>
      <c r="AD137" s="24">
        <f t="shared" ref="AD137:AD138" si="1060">+CX137</f>
        <v>0</v>
      </c>
      <c r="AE137" s="24">
        <f t="shared" ref="AE137:AE138" si="1061">+DB137</f>
        <v>0</v>
      </c>
      <c r="AJ137" s="23">
        <f>+'QTR Raw'!D57</f>
        <v>0</v>
      </c>
      <c r="AK137" s="23">
        <f t="shared" ref="AK137:CE137" si="1062">+AJ137</f>
        <v>0</v>
      </c>
      <c r="AL137" s="23">
        <f>+'QTR Raw'!F57</f>
        <v>0</v>
      </c>
      <c r="AM137" s="23">
        <f t="shared" si="1062"/>
        <v>0</v>
      </c>
      <c r="AN137" s="23">
        <f>+'QTR Raw'!H57</f>
        <v>0</v>
      </c>
      <c r="AO137" s="23">
        <f t="shared" si="1062"/>
        <v>0</v>
      </c>
      <c r="AP137" s="23">
        <f>+'QTR Raw'!J57</f>
        <v>0</v>
      </c>
      <c r="AQ137" s="23">
        <f t="shared" si="1062"/>
        <v>0</v>
      </c>
      <c r="AR137" s="23">
        <f>+'QTR Raw'!L57</f>
        <v>0</v>
      </c>
      <c r="AS137" s="23">
        <f t="shared" si="1062"/>
        <v>0</v>
      </c>
      <c r="AT137" s="23">
        <f>+'QTR Raw'!N57</f>
        <v>0</v>
      </c>
      <c r="AU137" s="23">
        <f t="shared" si="1062"/>
        <v>0</v>
      </c>
      <c r="AV137" s="23">
        <f>+'QTR Raw'!P57</f>
        <v>0</v>
      </c>
      <c r="AW137" s="23">
        <f t="shared" si="1062"/>
        <v>0</v>
      </c>
      <c r="AX137" s="23">
        <f>+'QTR Raw'!R57</f>
        <v>0</v>
      </c>
      <c r="AY137" s="23">
        <f t="shared" si="1062"/>
        <v>0</v>
      </c>
      <c r="AZ137" s="23">
        <f>+'QTR Raw'!T57</f>
        <v>0</v>
      </c>
      <c r="BA137" s="23">
        <f t="shared" si="1062"/>
        <v>0</v>
      </c>
      <c r="BB137" s="23">
        <f>+'QTR Raw'!V57</f>
        <v>0</v>
      </c>
      <c r="BC137" s="23">
        <f t="shared" si="1062"/>
        <v>0</v>
      </c>
      <c r="BD137" s="23">
        <f>+'QTR Raw'!X57</f>
        <v>0</v>
      </c>
      <c r="BE137" s="23">
        <f t="shared" si="1062"/>
        <v>0</v>
      </c>
      <c r="BF137" s="23">
        <f>+'QTR Raw'!Z57</f>
        <v>0</v>
      </c>
      <c r="BG137" s="23">
        <f t="shared" si="1062"/>
        <v>0</v>
      </c>
      <c r="BH137" s="23">
        <f>+'QTR Raw'!AB57</f>
        <v>0</v>
      </c>
      <c r="BI137" s="23">
        <f t="shared" si="1062"/>
        <v>0</v>
      </c>
      <c r="BJ137" s="23">
        <f>+'QTR Raw'!AD57</f>
        <v>0</v>
      </c>
      <c r="BK137" s="23">
        <f t="shared" si="1062"/>
        <v>0</v>
      </c>
      <c r="BL137" s="23">
        <f>+'QTR Raw'!AF57</f>
        <v>0</v>
      </c>
      <c r="BM137" s="23">
        <f t="shared" si="1062"/>
        <v>0</v>
      </c>
      <c r="BN137" s="23">
        <f>+'QTR Raw'!AH57</f>
        <v>0</v>
      </c>
      <c r="BO137" s="23">
        <f t="shared" si="1062"/>
        <v>0</v>
      </c>
      <c r="BP137" s="23">
        <f>+'QTR Raw'!AJ57</f>
        <v>0</v>
      </c>
      <c r="BQ137" s="23">
        <f t="shared" si="1062"/>
        <v>0</v>
      </c>
      <c r="BR137" s="23">
        <f>+'QTR Raw'!AL57</f>
        <v>0</v>
      </c>
      <c r="BS137" s="23">
        <f t="shared" si="1062"/>
        <v>0</v>
      </c>
      <c r="BT137" s="23">
        <f>+'QTR Raw'!AN57</f>
        <v>0</v>
      </c>
      <c r="BU137" s="23">
        <f t="shared" si="1062"/>
        <v>0</v>
      </c>
      <c r="BV137" s="23">
        <f>+'QTR Raw'!AP57</f>
        <v>0</v>
      </c>
      <c r="BW137" s="23">
        <f t="shared" si="1062"/>
        <v>0</v>
      </c>
      <c r="BX137" s="23">
        <f>+'QTR Raw'!AR57</f>
        <v>0</v>
      </c>
      <c r="BY137" s="23">
        <f t="shared" si="1062"/>
        <v>0</v>
      </c>
      <c r="BZ137" s="23">
        <f>+'QTR Raw'!AT57</f>
        <v>0</v>
      </c>
      <c r="CA137" s="23">
        <f t="shared" si="1062"/>
        <v>0</v>
      </c>
      <c r="CB137" s="23">
        <f>+'QTR Raw'!AV57</f>
        <v>0</v>
      </c>
      <c r="CC137" s="23">
        <f t="shared" si="1062"/>
        <v>0</v>
      </c>
      <c r="CD137" s="23">
        <f>+'QTR Raw'!AX57</f>
        <v>0</v>
      </c>
      <c r="CE137" s="23">
        <f t="shared" si="1062"/>
        <v>0</v>
      </c>
      <c r="CF137" s="23">
        <f>+'QTR Raw'!AZ57</f>
        <v>0</v>
      </c>
      <c r="CG137" s="23">
        <f t="shared" si="1056"/>
        <v>0</v>
      </c>
      <c r="CH137" s="23">
        <f t="shared" ref="CH137:CH138" si="1063">Z137</f>
        <v>0</v>
      </c>
      <c r="CI137" s="23">
        <f>CH137</f>
        <v>0</v>
      </c>
      <c r="CJ137" s="23">
        <f>+'QTR Raw'!BD57</f>
        <v>0</v>
      </c>
      <c r="CK137" s="24">
        <f t="shared" ref="CK137:DB137" si="1064">CJ137</f>
        <v>0</v>
      </c>
      <c r="CL137" s="23">
        <f>+'QTR Raw'!BF57</f>
        <v>0</v>
      </c>
      <c r="CM137" s="24">
        <f t="shared" si="1064"/>
        <v>0</v>
      </c>
      <c r="CN137" s="24">
        <f t="shared" si="1064"/>
        <v>0</v>
      </c>
      <c r="CO137" s="24">
        <f t="shared" si="1064"/>
        <v>0</v>
      </c>
      <c r="CP137" s="24">
        <f t="shared" si="1064"/>
        <v>0</v>
      </c>
      <c r="CQ137" s="24">
        <f t="shared" si="1064"/>
        <v>0</v>
      </c>
      <c r="CR137" s="24">
        <f t="shared" si="1064"/>
        <v>0</v>
      </c>
      <c r="CS137" s="24">
        <f t="shared" si="1064"/>
        <v>0</v>
      </c>
      <c r="CT137" s="24">
        <f t="shared" si="1064"/>
        <v>0</v>
      </c>
      <c r="CU137" s="24">
        <f t="shared" si="1064"/>
        <v>0</v>
      </c>
      <c r="CV137" s="24">
        <f t="shared" si="1064"/>
        <v>0</v>
      </c>
      <c r="CW137" s="24">
        <f t="shared" si="1064"/>
        <v>0</v>
      </c>
      <c r="CX137" s="24">
        <f t="shared" si="1064"/>
        <v>0</v>
      </c>
      <c r="CY137" s="24">
        <f t="shared" si="1064"/>
        <v>0</v>
      </c>
      <c r="CZ137" s="24">
        <f t="shared" si="1064"/>
        <v>0</v>
      </c>
      <c r="DA137" s="24">
        <f t="shared" si="1064"/>
        <v>0</v>
      </c>
      <c r="DB137" s="24">
        <f t="shared" si="1064"/>
        <v>0</v>
      </c>
      <c r="DE137" s="123"/>
      <c r="DF137" s="23">
        <v>0</v>
      </c>
    </row>
    <row r="138" spans="1:110" s="23" customFormat="1" outlineLevel="1" x14ac:dyDescent="0.2">
      <c r="A138" s="23" t="s">
        <v>43</v>
      </c>
      <c r="B138" s="23">
        <f>'Annual Raw'!C43</f>
        <v>0</v>
      </c>
      <c r="C138" s="23">
        <f>'Annual Raw'!D43</f>
        <v>0</v>
      </c>
      <c r="D138" s="23">
        <f>'Annual Raw'!E43</f>
        <v>0</v>
      </c>
      <c r="E138" s="23">
        <f>'Annual Raw'!F43</f>
        <v>-1.0999999999999999E-2</v>
      </c>
      <c r="F138" s="23">
        <f>'Annual Raw'!G43</f>
        <v>0</v>
      </c>
      <c r="G138" s="23">
        <f>'Annual Raw'!H43</f>
        <v>0</v>
      </c>
      <c r="H138" s="23">
        <f>'Annual Raw'!I43</f>
        <v>0</v>
      </c>
      <c r="I138" s="23">
        <f>'Annual Raw'!J43</f>
        <v>690.73800000000006</v>
      </c>
      <c r="J138" s="23">
        <f>'Annual Raw'!K43</f>
        <v>446.67720000000003</v>
      </c>
      <c r="K138" s="23">
        <f>'Annual Raw'!L43</f>
        <v>3597.98</v>
      </c>
      <c r="L138" s="23">
        <f>'Annual Raw'!M43</f>
        <v>4107.28</v>
      </c>
      <c r="M138" s="23">
        <f>'Annual Raw'!N43</f>
        <v>3861.27</v>
      </c>
      <c r="N138" s="23">
        <f>'Annual Raw'!O43</f>
        <v>1900.14</v>
      </c>
      <c r="O138" s="23">
        <f>'Annual Raw'!P43</f>
        <v>3671.47</v>
      </c>
      <c r="P138" s="23">
        <f>'Annual Raw'!Q43</f>
        <v>2852.7</v>
      </c>
      <c r="Q138" s="23">
        <f>'Annual Raw'!R43</f>
        <v>4133.92</v>
      </c>
      <c r="R138" s="23">
        <f>'Annual Raw'!S43</f>
        <v>-857.38</v>
      </c>
      <c r="S138" s="23">
        <f>'Annual Raw'!T43</f>
        <v>-2967.61</v>
      </c>
      <c r="T138" s="23">
        <f>'Annual Raw'!U43</f>
        <v>-4144.6499999999996</v>
      </c>
      <c r="U138" s="23">
        <f>'Annual Raw'!V43</f>
        <v>-5991.5</v>
      </c>
      <c r="V138" s="23">
        <f>'Annual Raw'!W43</f>
        <v>-3359.35</v>
      </c>
      <c r="W138" s="23">
        <f>'Annual Raw'!X43</f>
        <v>1631.5</v>
      </c>
      <c r="X138" s="23">
        <f>'Annual Raw'!Y43</f>
        <v>12803.72</v>
      </c>
      <c r="Y138" s="23">
        <f>'Annual Raw'!Z43</f>
        <v>31973.09</v>
      </c>
      <c r="Z138" s="23">
        <f>'Annual Raw'!AA43</f>
        <v>49433.23</v>
      </c>
      <c r="AA138" s="23">
        <f>'Annual Raw'!AB43</f>
        <v>61079.94</v>
      </c>
      <c r="AB138" s="24">
        <f t="shared" si="1058"/>
        <v>74953.97044830324</v>
      </c>
      <c r="AC138" s="24">
        <f t="shared" si="1059"/>
        <v>91773.458846870373</v>
      </c>
      <c r="AD138" s="24">
        <f t="shared" si="1060"/>
        <v>111574.12704481487</v>
      </c>
      <c r="AE138" s="24">
        <f t="shared" si="1061"/>
        <v>136961.45966588202</v>
      </c>
      <c r="AJ138" s="23">
        <f>+'QTR Raw'!D58</f>
        <v>2801.66</v>
      </c>
      <c r="AK138" s="23">
        <f>+AJ138+AK67</f>
        <v>2182.6499999999996</v>
      </c>
      <c r="AL138" s="23">
        <f>+'QTR Raw'!F58</f>
        <v>1900.14</v>
      </c>
      <c r="AM138" s="23">
        <f>+AL138+AM67</f>
        <v>701.85000000000014</v>
      </c>
      <c r="AN138" s="23">
        <f>+'QTR Raw'!H58</f>
        <v>1693.44</v>
      </c>
      <c r="AO138" s="23">
        <f>+AN138+AO67</f>
        <v>1148.6200000000003</v>
      </c>
      <c r="AP138" s="23">
        <f>+'QTR Raw'!J58</f>
        <v>3671.47</v>
      </c>
      <c r="AQ138" s="23">
        <f>+AP138+AQ67</f>
        <v>3368.1800000000007</v>
      </c>
      <c r="AR138" s="23">
        <f>+'QTR Raw'!L58</f>
        <v>2569.08</v>
      </c>
      <c r="AS138" s="23">
        <f>+AR138+AS67</f>
        <v>2140.4000000000005</v>
      </c>
      <c r="AT138" s="23">
        <f>+'QTR Raw'!N58</f>
        <v>2852.7</v>
      </c>
      <c r="AU138" s="23">
        <f>+AT138+AU67</f>
        <v>2686.5599999999995</v>
      </c>
      <c r="AV138" s="23">
        <f>+'QTR Raw'!P58</f>
        <v>2269.77</v>
      </c>
      <c r="AW138" s="23">
        <f>+AV138+AW67</f>
        <v>2379.2600000000007</v>
      </c>
      <c r="AX138" s="23">
        <f>+'QTR Raw'!R58</f>
        <v>4133.91</v>
      </c>
      <c r="AY138" s="23">
        <f>+AX138+AY67</f>
        <v>3901.2800000000007</v>
      </c>
      <c r="AZ138" s="23">
        <f>+'QTR Raw'!T58</f>
        <v>4529.3</v>
      </c>
      <c r="BA138" s="23">
        <f>+AZ138+BA67</f>
        <v>3861.4100000000003</v>
      </c>
      <c r="BB138" s="23">
        <f>+'QTR Raw'!V58</f>
        <v>-857.38</v>
      </c>
      <c r="BC138" s="23">
        <f>+BB138+BC67</f>
        <v>-1310.2200000000003</v>
      </c>
      <c r="BD138" s="23">
        <f>+'QTR Raw'!X58</f>
        <v>-1019.39</v>
      </c>
      <c r="BE138" s="23">
        <f>+BD138+BE67</f>
        <v>-2333.13</v>
      </c>
      <c r="BF138" s="23">
        <f>+'QTR Raw'!Z58</f>
        <v>-2967.61</v>
      </c>
      <c r="BG138" s="23">
        <f>+BF138</f>
        <v>-2967.61</v>
      </c>
      <c r="BH138" s="23">
        <f>+'QTR Raw'!AB58</f>
        <v>-3404.26</v>
      </c>
      <c r="BI138" s="23">
        <f>+BH138+BI67</f>
        <v>-4585.04</v>
      </c>
      <c r="BJ138" s="23">
        <f>+'QTR Raw'!AD58</f>
        <v>3855.35</v>
      </c>
      <c r="BK138" s="23">
        <f>+BJ138+BK67</f>
        <v>3591.9599999999996</v>
      </c>
      <c r="BL138" s="23">
        <f>+'QTR Raw'!AF58</f>
        <v>5776.37</v>
      </c>
      <c r="BM138" s="23">
        <f>+BL138+BM67</f>
        <v>5074.01</v>
      </c>
      <c r="BN138" s="23">
        <f>+'QTR Raw'!AH58</f>
        <v>2623.5</v>
      </c>
      <c r="BO138" s="23">
        <f>+BN138+BO67</f>
        <v>1941.0399999999995</v>
      </c>
      <c r="BP138" s="23">
        <f>+'QTR Raw'!AJ58</f>
        <v>7734.1</v>
      </c>
      <c r="BQ138" s="23">
        <f>+BP138+BQ67</f>
        <v>7445.3600000000006</v>
      </c>
      <c r="BR138" s="23">
        <f>+'QTR Raw'!AL58</f>
        <v>9255.65</v>
      </c>
      <c r="BS138" s="23">
        <f>+BR138+BS67</f>
        <v>9533.869999999999</v>
      </c>
      <c r="BT138" s="23">
        <f>+'QTR Raw'!AN58</f>
        <v>9533.26</v>
      </c>
      <c r="BU138" s="23">
        <f>+BT138+BU67</f>
        <v>9751.75</v>
      </c>
      <c r="BV138" s="23">
        <f>+'QTR Raw'!AP58</f>
        <v>14846.5</v>
      </c>
      <c r="BW138" s="23">
        <f>+BV138+BW67</f>
        <v>19626.36</v>
      </c>
      <c r="BX138" s="23">
        <f>+'QTR Raw'!AR58</f>
        <v>20345.89</v>
      </c>
      <c r="BY138" s="23">
        <f>+BX138+BY67</f>
        <v>20354.66</v>
      </c>
      <c r="BZ138" s="23">
        <f>+'QTR Raw'!AT58</f>
        <v>26018.720000000001</v>
      </c>
      <c r="CA138" s="23">
        <f>+BZ138+CA67</f>
        <v>34778.14</v>
      </c>
      <c r="CB138" s="23">
        <f>+'QTR Raw'!AV58</f>
        <v>36652.379999999997</v>
      </c>
      <c r="CC138" s="23">
        <f>+CB138+CC67</f>
        <v>39390.339999999997</v>
      </c>
      <c r="CD138" s="23">
        <f>+'QTR Raw'!AX58</f>
        <v>39288.089999999997</v>
      </c>
      <c r="CE138" s="23">
        <f>+CD138+CE67</f>
        <v>43200.88</v>
      </c>
      <c r="CF138" s="23">
        <f>+'QTR Raw'!AZ58</f>
        <v>52097.34</v>
      </c>
      <c r="CG138" s="23">
        <f>+CF138+CG67</f>
        <v>55154.549999999996</v>
      </c>
      <c r="CH138" s="23">
        <f t="shared" si="1063"/>
        <v>49433.23</v>
      </c>
      <c r="CI138" s="23">
        <f>CH138+CI67</f>
        <v>52818.090000000004</v>
      </c>
      <c r="CJ138" s="23">
        <f>+'QTR Raw'!BD58</f>
        <v>54593.65</v>
      </c>
      <c r="CK138" s="24">
        <f t="shared" ref="CK138:DB138" si="1065">CJ138+CK67</f>
        <v>57073.23</v>
      </c>
      <c r="CL138" s="23">
        <f>+'QTR Raw'!BF58</f>
        <v>61079.94</v>
      </c>
      <c r="CM138" s="24">
        <f t="shared" si="1065"/>
        <v>64558.810400420858</v>
      </c>
      <c r="CN138" s="24">
        <f t="shared" si="1065"/>
        <v>67614.430521016286</v>
      </c>
      <c r="CO138" s="24">
        <f t="shared" si="1065"/>
        <v>70712.496329375077</v>
      </c>
      <c r="CP138" s="24">
        <f t="shared" si="1065"/>
        <v>74953.97044830324</v>
      </c>
      <c r="CQ138" s="24">
        <f t="shared" si="1065"/>
        <v>78699.257958322749</v>
      </c>
      <c r="CR138" s="24">
        <f t="shared" si="1065"/>
        <v>82529.288869325741</v>
      </c>
      <c r="CS138" s="24">
        <f t="shared" si="1065"/>
        <v>86597.034196049994</v>
      </c>
      <c r="CT138" s="24">
        <f t="shared" si="1065"/>
        <v>91773.458846870373</v>
      </c>
      <c r="CU138" s="24">
        <f t="shared" si="1065"/>
        <v>96103.393570892717</v>
      </c>
      <c r="CV138" s="24">
        <f t="shared" si="1065"/>
        <v>100456.23770205888</v>
      </c>
      <c r="CW138" s="24">
        <f t="shared" si="1065"/>
        <v>105323.43811471194</v>
      </c>
      <c r="CX138" s="24">
        <f t="shared" si="1065"/>
        <v>111574.12704481487</v>
      </c>
      <c r="CY138" s="24">
        <f t="shared" si="1065"/>
        <v>116947.08848281816</v>
      </c>
      <c r="CZ138" s="24">
        <f t="shared" si="1065"/>
        <v>122690.60102643257</v>
      </c>
      <c r="DA138" s="24">
        <f t="shared" si="1065"/>
        <v>128801.17405927442</v>
      </c>
      <c r="DB138" s="24">
        <f t="shared" si="1065"/>
        <v>136961.45966588202</v>
      </c>
      <c r="DE138" s="123"/>
      <c r="DF138" s="23">
        <v>0</v>
      </c>
    </row>
    <row r="139" spans="1:110" s="22" customFormat="1" x14ac:dyDescent="0.2">
      <c r="A139" s="22" t="s">
        <v>44</v>
      </c>
      <c r="B139" s="22">
        <f>B136+B137+B138</f>
        <v>0</v>
      </c>
      <c r="C139" s="22">
        <f t="shared" ref="C139:V139" si="1066">C136+C137+C138</f>
        <v>0</v>
      </c>
      <c r="D139" s="22">
        <f t="shared" si="1066"/>
        <v>0</v>
      </c>
      <c r="E139" s="22">
        <f t="shared" si="1066"/>
        <v>0.93899999999999995</v>
      </c>
      <c r="F139" s="22">
        <f t="shared" si="1066"/>
        <v>0.95</v>
      </c>
      <c r="G139" s="22">
        <f t="shared" si="1066"/>
        <v>10.799999999999999</v>
      </c>
      <c r="H139" s="22">
        <f t="shared" si="1066"/>
        <v>280.69</v>
      </c>
      <c r="I139" s="22">
        <f t="shared" si="1066"/>
        <v>1433.8810000000001</v>
      </c>
      <c r="J139" s="22">
        <f t="shared" si="1066"/>
        <v>2288.7132999999999</v>
      </c>
      <c r="K139" s="22">
        <f t="shared" si="1066"/>
        <v>5778.02</v>
      </c>
      <c r="L139" s="22">
        <f t="shared" si="1066"/>
        <v>6287.32</v>
      </c>
      <c r="M139" s="22">
        <f>M136+M137+M138</f>
        <v>6041.3099999999995</v>
      </c>
      <c r="N139" s="22">
        <f t="shared" si="1066"/>
        <v>4293.41</v>
      </c>
      <c r="O139" s="22">
        <f t="shared" si="1066"/>
        <v>6543.3899999999994</v>
      </c>
      <c r="P139" s="22">
        <f t="shared" si="1066"/>
        <v>5724.62</v>
      </c>
      <c r="Q139" s="22">
        <f t="shared" si="1066"/>
        <v>7467.8600000000006</v>
      </c>
      <c r="R139" s="22">
        <f t="shared" si="1066"/>
        <v>2999.56</v>
      </c>
      <c r="S139" s="22">
        <f t="shared" si="1066"/>
        <v>889.32999999999993</v>
      </c>
      <c r="T139" s="22">
        <f t="shared" si="1066"/>
        <v>-287.70999999999958</v>
      </c>
      <c r="U139" s="22">
        <f t="shared" si="1066"/>
        <v>-2134.56</v>
      </c>
      <c r="V139" s="22">
        <f t="shared" si="1066"/>
        <v>497.59000000000015</v>
      </c>
      <c r="W139" s="22">
        <f t="shared" ref="W139" si="1067">W136+W137+W138</f>
        <v>5488.4400000000005</v>
      </c>
      <c r="X139" s="22">
        <f t="shared" ref="X139:Y139" si="1068">X136+X137+X138</f>
        <v>16660.66</v>
      </c>
      <c r="Y139" s="22">
        <f t="shared" si="1068"/>
        <v>35830.03</v>
      </c>
      <c r="Z139" s="22">
        <f t="shared" ref="Z139:AA139" si="1069">Z136+Z137+Z138</f>
        <v>53290.170000000006</v>
      </c>
      <c r="AA139" s="22">
        <f t="shared" ref="AA139" si="1070">AA136+AA137+AA138</f>
        <v>64936.880000000005</v>
      </c>
      <c r="AB139" s="21">
        <f t="shared" ref="AB139:AD139" si="1071">AB136+AB137+AB138</f>
        <v>78810.910448303242</v>
      </c>
      <c r="AC139" s="21">
        <f t="shared" si="1071"/>
        <v>95630.398846870376</v>
      </c>
      <c r="AD139" s="21">
        <f t="shared" si="1071"/>
        <v>115431.06704481487</v>
      </c>
      <c r="AE139" s="21">
        <f t="shared" ref="AE139" si="1072">AE136+AE137+AE138</f>
        <v>140818.39966588203</v>
      </c>
      <c r="AJ139" s="22">
        <f t="shared" ref="AJ139" si="1073">AJ136+AJ137+AJ138</f>
        <v>4981.7</v>
      </c>
      <c r="AK139" s="22">
        <f t="shared" ref="AK139" si="1074">AK136+AK137+AK138</f>
        <v>4362.6899999999996</v>
      </c>
      <c r="AL139" s="22">
        <f t="shared" ref="AL139:AM139" si="1075">AL136+AL137+AL138</f>
        <v>4293.41</v>
      </c>
      <c r="AM139" s="22">
        <f t="shared" si="1075"/>
        <v>3095.12</v>
      </c>
      <c r="AN139" s="22">
        <f t="shared" ref="AN139:AO139" si="1076">AN136+AN137+AN138</f>
        <v>4565.3600000000006</v>
      </c>
      <c r="AO139" s="22">
        <f t="shared" si="1076"/>
        <v>4020.5400000000004</v>
      </c>
      <c r="AP139" s="22">
        <f t="shared" ref="AP139:CE139" si="1077">AP136+AP137+AP138</f>
        <v>6543.3899999999994</v>
      </c>
      <c r="AQ139" s="22">
        <f t="shared" si="1077"/>
        <v>6240.1</v>
      </c>
      <c r="AR139" s="22">
        <f t="shared" si="1077"/>
        <v>5441</v>
      </c>
      <c r="AS139" s="22">
        <f t="shared" si="1077"/>
        <v>5012.3200000000006</v>
      </c>
      <c r="AT139" s="22">
        <f t="shared" si="1077"/>
        <v>5724.62</v>
      </c>
      <c r="AU139" s="22">
        <f t="shared" si="1077"/>
        <v>5558.48</v>
      </c>
      <c r="AV139" s="22">
        <f t="shared" si="1077"/>
        <v>5205.6100000000006</v>
      </c>
      <c r="AW139" s="22">
        <f t="shared" si="1077"/>
        <v>5315.1</v>
      </c>
      <c r="AX139" s="22">
        <f t="shared" si="1077"/>
        <v>7467.85</v>
      </c>
      <c r="AY139" s="22">
        <f t="shared" si="1077"/>
        <v>7235.2200000000012</v>
      </c>
      <c r="AZ139" s="22">
        <f t="shared" si="1077"/>
        <v>7946.75</v>
      </c>
      <c r="BA139" s="22">
        <f t="shared" si="1077"/>
        <v>7278.8600000000006</v>
      </c>
      <c r="BB139" s="22">
        <f t="shared" si="1077"/>
        <v>2999.56</v>
      </c>
      <c r="BC139" s="22">
        <f t="shared" si="1077"/>
        <v>2546.7199999999998</v>
      </c>
      <c r="BD139" s="22">
        <f t="shared" si="1077"/>
        <v>2837.55</v>
      </c>
      <c r="BE139" s="22">
        <f t="shared" si="1077"/>
        <v>1523.81</v>
      </c>
      <c r="BF139" s="22">
        <f t="shared" si="1077"/>
        <v>889.32999999999993</v>
      </c>
      <c r="BG139" s="22">
        <f t="shared" si="1077"/>
        <v>889.32999999999993</v>
      </c>
      <c r="BH139" s="22">
        <f t="shared" si="1077"/>
        <v>5452.68</v>
      </c>
      <c r="BI139" s="22">
        <f t="shared" si="1077"/>
        <v>4271.9000000000005</v>
      </c>
      <c r="BJ139" s="22">
        <f t="shared" si="1077"/>
        <v>7712.29</v>
      </c>
      <c r="BK139" s="22">
        <f t="shared" si="1077"/>
        <v>7448.9</v>
      </c>
      <c r="BL139" s="22">
        <f t="shared" si="1077"/>
        <v>9633.31</v>
      </c>
      <c r="BM139" s="22">
        <f t="shared" si="1077"/>
        <v>8930.9500000000007</v>
      </c>
      <c r="BN139" s="22">
        <f t="shared" si="1077"/>
        <v>6480.4400000000005</v>
      </c>
      <c r="BO139" s="22">
        <f t="shared" si="1077"/>
        <v>5797.98</v>
      </c>
      <c r="BP139" s="22">
        <f t="shared" si="1077"/>
        <v>11591.04</v>
      </c>
      <c r="BQ139" s="22">
        <f t="shared" si="1077"/>
        <v>11302.300000000001</v>
      </c>
      <c r="BR139" s="22">
        <f t="shared" si="1077"/>
        <v>13112.59</v>
      </c>
      <c r="BS139" s="22">
        <f t="shared" si="1077"/>
        <v>13390.81</v>
      </c>
      <c r="BT139" s="22">
        <f t="shared" si="1077"/>
        <v>13390.2</v>
      </c>
      <c r="BU139" s="22">
        <f t="shared" si="1077"/>
        <v>13608.69</v>
      </c>
      <c r="BV139" s="22">
        <f t="shared" si="1077"/>
        <v>18703.439999999999</v>
      </c>
      <c r="BW139" s="22">
        <f t="shared" si="1077"/>
        <v>23483.3</v>
      </c>
      <c r="BX139" s="22">
        <f t="shared" si="1077"/>
        <v>24202.829999999998</v>
      </c>
      <c r="BY139" s="22">
        <f t="shared" si="1077"/>
        <v>24211.599999999999</v>
      </c>
      <c r="BZ139" s="22">
        <f t="shared" si="1077"/>
        <v>29875.66</v>
      </c>
      <c r="CA139" s="22">
        <f t="shared" si="1077"/>
        <v>38635.08</v>
      </c>
      <c r="CB139" s="22">
        <f t="shared" si="1077"/>
        <v>40509.32</v>
      </c>
      <c r="CC139" s="22">
        <f t="shared" si="1077"/>
        <v>43247.28</v>
      </c>
      <c r="CD139" s="22">
        <f t="shared" si="1077"/>
        <v>43145.03</v>
      </c>
      <c r="CE139" s="22">
        <f t="shared" si="1077"/>
        <v>47057.82</v>
      </c>
      <c r="CF139" s="22">
        <f t="shared" ref="CF139:CG139" si="1078">CF136+CF137+CF138</f>
        <v>55954.28</v>
      </c>
      <c r="CG139" s="22">
        <f t="shared" si="1078"/>
        <v>59011.49</v>
      </c>
      <c r="CH139" s="22">
        <f t="shared" ref="CH139:CI139" si="1079">CH136+CH137+CH138</f>
        <v>53290.170000000006</v>
      </c>
      <c r="CI139" s="22">
        <f t="shared" si="1079"/>
        <v>56675.030000000006</v>
      </c>
      <c r="CJ139" s="22">
        <f t="shared" ref="CJ139:DB139" si="1080">CJ136+CJ137+CJ138</f>
        <v>58450.590000000004</v>
      </c>
      <c r="CK139" s="21">
        <f t="shared" si="1080"/>
        <v>60930.170000000006</v>
      </c>
      <c r="CL139" s="22">
        <f t="shared" ref="CL139" si="1081">CL136+CL137+CL138</f>
        <v>64936.880000000005</v>
      </c>
      <c r="CM139" s="21">
        <f t="shared" si="1080"/>
        <v>68415.75040042086</v>
      </c>
      <c r="CN139" s="21">
        <f t="shared" si="1080"/>
        <v>71471.370521016288</v>
      </c>
      <c r="CO139" s="21">
        <f t="shared" si="1080"/>
        <v>74569.436329375079</v>
      </c>
      <c r="CP139" s="21">
        <f t="shared" si="1080"/>
        <v>78810.910448303242</v>
      </c>
      <c r="CQ139" s="21">
        <f t="shared" si="1080"/>
        <v>82556.197958322751</v>
      </c>
      <c r="CR139" s="21">
        <f t="shared" si="1080"/>
        <v>86386.228869325743</v>
      </c>
      <c r="CS139" s="21">
        <f t="shared" si="1080"/>
        <v>90453.974196049996</v>
      </c>
      <c r="CT139" s="21">
        <f t="shared" si="1080"/>
        <v>95630.398846870376</v>
      </c>
      <c r="CU139" s="21">
        <f t="shared" si="1080"/>
        <v>99960.333570892719</v>
      </c>
      <c r="CV139" s="21">
        <f t="shared" si="1080"/>
        <v>104313.17770205888</v>
      </c>
      <c r="CW139" s="21">
        <f t="shared" si="1080"/>
        <v>109180.37811471194</v>
      </c>
      <c r="CX139" s="21">
        <f t="shared" si="1080"/>
        <v>115431.06704481487</v>
      </c>
      <c r="CY139" s="21">
        <f t="shared" si="1080"/>
        <v>120804.02848281816</v>
      </c>
      <c r="CZ139" s="21">
        <f t="shared" si="1080"/>
        <v>126547.54102643258</v>
      </c>
      <c r="DA139" s="21">
        <f t="shared" si="1080"/>
        <v>132658.11405927441</v>
      </c>
      <c r="DB139" s="21">
        <f t="shared" si="1080"/>
        <v>140818.39966588203</v>
      </c>
      <c r="DE139" s="126"/>
      <c r="DF139" s="22">
        <v>0</v>
      </c>
    </row>
    <row r="140" spans="1:110" s="22" customFormat="1" x14ac:dyDescent="0.2">
      <c r="AB140" s="21"/>
      <c r="AC140" s="21"/>
      <c r="AD140" s="21"/>
      <c r="AE140" s="21"/>
      <c r="CK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E140" s="126"/>
    </row>
    <row r="141" spans="1:110" s="23" customFormat="1" x14ac:dyDescent="0.2">
      <c r="A141" s="23" t="s">
        <v>23</v>
      </c>
      <c r="B141" s="23">
        <f>'Annual Raw'!C45</f>
        <v>0</v>
      </c>
      <c r="C141" s="23">
        <f>'Annual Raw'!D45</f>
        <v>0</v>
      </c>
      <c r="D141" s="23">
        <f>'Annual Raw'!E45</f>
        <v>0</v>
      </c>
      <c r="E141" s="23">
        <f>'Annual Raw'!F45</f>
        <v>0</v>
      </c>
      <c r="F141" s="23">
        <f>'Annual Raw'!G45</f>
        <v>0</v>
      </c>
      <c r="G141" s="23">
        <f>'Annual Raw'!H45</f>
        <v>0</v>
      </c>
      <c r="H141" s="23">
        <f>'Annual Raw'!I45</f>
        <v>0</v>
      </c>
      <c r="I141" s="23">
        <f>'Annual Raw'!J45</f>
        <v>0</v>
      </c>
      <c r="J141" s="23">
        <f>'Annual Raw'!K45</f>
        <v>69.9422</v>
      </c>
      <c r="K141" s="23">
        <f>'Annual Raw'!L45</f>
        <v>102.33</v>
      </c>
      <c r="L141" s="23">
        <f>'Annual Raw'!M45</f>
        <v>566.26</v>
      </c>
      <c r="M141" s="23">
        <f>'Annual Raw'!N45</f>
        <v>559.03</v>
      </c>
      <c r="N141" s="23">
        <f>'Annual Raw'!O45</f>
        <v>0</v>
      </c>
      <c r="O141" s="23">
        <f>'Annual Raw'!P45</f>
        <v>0</v>
      </c>
      <c r="P141" s="23">
        <f>'Annual Raw'!Q45</f>
        <v>0</v>
      </c>
      <c r="Q141" s="23">
        <f>'Annual Raw'!R45</f>
        <v>0</v>
      </c>
      <c r="R141" s="23">
        <f>'Annual Raw'!S45</f>
        <v>0</v>
      </c>
      <c r="S141" s="23">
        <f>'Annual Raw'!T45</f>
        <v>0</v>
      </c>
      <c r="T141" s="23">
        <f>'Annual Raw'!U45</f>
        <v>0</v>
      </c>
      <c r="U141" s="23">
        <f>'Annual Raw'!V45</f>
        <v>0</v>
      </c>
      <c r="V141" s="23">
        <f>'Annual Raw'!W45</f>
        <v>0.01</v>
      </c>
      <c r="W141" s="23">
        <f>'Annual Raw'!X45</f>
        <v>0</v>
      </c>
      <c r="X141" s="23">
        <f>'Annual Raw'!Y45</f>
        <v>0</v>
      </c>
      <c r="Y141" s="23">
        <f>'Annual Raw'!Z45</f>
        <v>0</v>
      </c>
      <c r="Z141" s="23">
        <f>'Annual Raw'!AA45</f>
        <v>1326.47</v>
      </c>
      <c r="AA141" s="23">
        <f>'Annual Raw'!AB45</f>
        <v>1465.04</v>
      </c>
      <c r="AB141" s="24">
        <f>+CP141</f>
        <v>1465.04</v>
      </c>
      <c r="AC141" s="24">
        <f>+CT141</f>
        <v>1465.04</v>
      </c>
      <c r="AD141" s="24">
        <f>+CX141</f>
        <v>1465.04</v>
      </c>
      <c r="AE141" s="24">
        <f>+DB141</f>
        <v>1465.04</v>
      </c>
      <c r="AJ141" s="23">
        <f>+'QTR Raw'!D60</f>
        <v>539.27</v>
      </c>
      <c r="AK141" s="23">
        <f t="shared" ref="AK141:CE141" si="1082">+AJ141</f>
        <v>539.27</v>
      </c>
      <c r="AL141" s="23">
        <f>+'QTR Raw'!F60</f>
        <v>0</v>
      </c>
      <c r="AM141" s="23">
        <f t="shared" si="1082"/>
        <v>0</v>
      </c>
      <c r="AN141" s="23">
        <f>+'QTR Raw'!H60</f>
        <v>0</v>
      </c>
      <c r="AO141" s="23">
        <f t="shared" si="1082"/>
        <v>0</v>
      </c>
      <c r="AP141" s="23">
        <f>+'QTR Raw'!J60</f>
        <v>0</v>
      </c>
      <c r="AQ141" s="23">
        <f t="shared" si="1082"/>
        <v>0</v>
      </c>
      <c r="AR141" s="23">
        <f>+'QTR Raw'!L60</f>
        <v>0</v>
      </c>
      <c r="AS141" s="23">
        <f t="shared" si="1082"/>
        <v>0</v>
      </c>
      <c r="AT141" s="23">
        <f>+'QTR Raw'!N60</f>
        <v>0</v>
      </c>
      <c r="AU141" s="23">
        <f t="shared" si="1082"/>
        <v>0</v>
      </c>
      <c r="AV141" s="23">
        <f>+'QTR Raw'!P60</f>
        <v>0</v>
      </c>
      <c r="AW141" s="23">
        <f t="shared" si="1082"/>
        <v>0</v>
      </c>
      <c r="AX141" s="23">
        <f>+'QTR Raw'!R60</f>
        <v>0</v>
      </c>
      <c r="AY141" s="23">
        <f t="shared" si="1082"/>
        <v>0</v>
      </c>
      <c r="AZ141" s="23">
        <f>+'QTR Raw'!T60</f>
        <v>0</v>
      </c>
      <c r="BA141" s="23">
        <f t="shared" si="1082"/>
        <v>0</v>
      </c>
      <c r="BB141" s="23">
        <f>+'QTR Raw'!V60</f>
        <v>0</v>
      </c>
      <c r="BC141" s="23">
        <f t="shared" si="1082"/>
        <v>0</v>
      </c>
      <c r="BD141" s="23">
        <f>+'QTR Raw'!X60</f>
        <v>0</v>
      </c>
      <c r="BE141" s="23">
        <f t="shared" si="1082"/>
        <v>0</v>
      </c>
      <c r="BF141" s="23">
        <f>+'QTR Raw'!Z60</f>
        <v>0</v>
      </c>
      <c r="BG141" s="23">
        <f t="shared" si="1082"/>
        <v>0</v>
      </c>
      <c r="BH141" s="22">
        <f>+'QTR Raw'!AB60</f>
        <v>0</v>
      </c>
      <c r="BI141" s="23">
        <f t="shared" si="1082"/>
        <v>0</v>
      </c>
      <c r="BJ141" s="23">
        <f>+'QTR Raw'!AD60</f>
        <v>0</v>
      </c>
      <c r="BK141" s="23">
        <f t="shared" si="1082"/>
        <v>0</v>
      </c>
      <c r="BL141" s="23">
        <f>+'QTR Raw'!AF60</f>
        <v>0</v>
      </c>
      <c r="BM141" s="23">
        <f t="shared" si="1082"/>
        <v>0</v>
      </c>
      <c r="BN141" s="23">
        <f>+'QTR Raw'!AH60</f>
        <v>0.01</v>
      </c>
      <c r="BO141" s="23">
        <f t="shared" si="1082"/>
        <v>0.01</v>
      </c>
      <c r="BP141" s="23">
        <f>+'QTR Raw'!AJ60</f>
        <v>0.01</v>
      </c>
      <c r="BQ141" s="23">
        <f t="shared" si="1082"/>
        <v>0.01</v>
      </c>
      <c r="BR141" s="23">
        <f>+'QTR Raw'!AL60</f>
        <v>0.01</v>
      </c>
      <c r="BS141" s="23">
        <f t="shared" si="1082"/>
        <v>0.01</v>
      </c>
      <c r="BT141" s="23">
        <f>+'QTR Raw'!AN60</f>
        <v>0</v>
      </c>
      <c r="BU141" s="23">
        <f t="shared" si="1082"/>
        <v>0</v>
      </c>
      <c r="BV141" s="23">
        <f>+'QTR Raw'!AP60</f>
        <v>0</v>
      </c>
      <c r="BW141" s="23">
        <f t="shared" si="1082"/>
        <v>0</v>
      </c>
      <c r="BX141" s="23">
        <f>+'QTR Raw'!AR60</f>
        <v>0</v>
      </c>
      <c r="BY141" s="23">
        <f t="shared" si="1082"/>
        <v>0</v>
      </c>
      <c r="BZ141" s="23">
        <f>+'QTR Raw'!AT60</f>
        <v>0</v>
      </c>
      <c r="CA141" s="23">
        <f t="shared" si="1082"/>
        <v>0</v>
      </c>
      <c r="CB141" s="23">
        <f>+'QTR Raw'!AV60</f>
        <v>0</v>
      </c>
      <c r="CC141" s="23">
        <f t="shared" si="1082"/>
        <v>0</v>
      </c>
      <c r="CD141" s="23">
        <f>+'QTR Raw'!AX60</f>
        <v>0</v>
      </c>
      <c r="CE141" s="23">
        <f t="shared" si="1082"/>
        <v>0</v>
      </c>
      <c r="CF141" s="23">
        <f>+'QTR Raw'!AZ60</f>
        <v>2041.33</v>
      </c>
      <c r="CG141" s="23">
        <f t="shared" ref="CG141:CI141" si="1083">+CF141</f>
        <v>2041.33</v>
      </c>
      <c r="CH141" s="23">
        <f t="shared" ref="CH141:CH146" si="1084">Z141</f>
        <v>1326.47</v>
      </c>
      <c r="CI141" s="23">
        <f t="shared" si="1083"/>
        <v>1326.47</v>
      </c>
      <c r="CJ141" s="23">
        <f>+'QTR Raw'!BD60</f>
        <v>1196.1500000000001</v>
      </c>
      <c r="CK141" s="24">
        <f t="shared" ref="CK141" si="1085">+CJ141</f>
        <v>1196.1500000000001</v>
      </c>
      <c r="CL141" s="23">
        <f>+'QTR Raw'!BF60</f>
        <v>1465.04</v>
      </c>
      <c r="CM141" s="24">
        <f t="shared" ref="CM141" si="1086">+CL141</f>
        <v>1465.04</v>
      </c>
      <c r="CN141" s="24">
        <f t="shared" ref="CN141" si="1087">+CM141</f>
        <v>1465.04</v>
      </c>
      <c r="CO141" s="24">
        <f t="shared" ref="CO141" si="1088">+CN141</f>
        <v>1465.04</v>
      </c>
      <c r="CP141" s="24">
        <f t="shared" ref="CP141" si="1089">+CO141</f>
        <v>1465.04</v>
      </c>
      <c r="CQ141" s="24">
        <f t="shared" ref="CQ141" si="1090">+CP141</f>
        <v>1465.04</v>
      </c>
      <c r="CR141" s="24">
        <f t="shared" ref="CR141" si="1091">+CQ141</f>
        <v>1465.04</v>
      </c>
      <c r="CS141" s="24">
        <f t="shared" ref="CS141" si="1092">+CR141</f>
        <v>1465.04</v>
      </c>
      <c r="CT141" s="24">
        <f t="shared" ref="CT141" si="1093">+CS141</f>
        <v>1465.04</v>
      </c>
      <c r="CU141" s="24">
        <f t="shared" ref="CU141" si="1094">+CT141</f>
        <v>1465.04</v>
      </c>
      <c r="CV141" s="24">
        <f t="shared" ref="CV141" si="1095">+CU141</f>
        <v>1465.04</v>
      </c>
      <c r="CW141" s="24">
        <f t="shared" ref="CW141" si="1096">+CV141</f>
        <v>1465.04</v>
      </c>
      <c r="CX141" s="24">
        <f t="shared" ref="CX141" si="1097">+CW141</f>
        <v>1465.04</v>
      </c>
      <c r="CY141" s="24">
        <f t="shared" ref="CY141" si="1098">+CX141</f>
        <v>1465.04</v>
      </c>
      <c r="CZ141" s="24">
        <f t="shared" ref="CZ141" si="1099">+CY141</f>
        <v>1465.04</v>
      </c>
      <c r="DA141" s="24">
        <f t="shared" ref="DA141" si="1100">+CZ141</f>
        <v>1465.04</v>
      </c>
      <c r="DB141" s="24">
        <f t="shared" ref="DB141" si="1101">+DA141</f>
        <v>1465.04</v>
      </c>
      <c r="DE141" s="123"/>
      <c r="DF141" s="23">
        <v>0</v>
      </c>
    </row>
    <row r="142" spans="1:110" s="23" customFormat="1" x14ac:dyDescent="0.2">
      <c r="AB142" s="24"/>
      <c r="AC142" s="24"/>
      <c r="AD142" s="24"/>
      <c r="AE142" s="24"/>
      <c r="BH142" s="22"/>
      <c r="CK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45</v>
      </c>
      <c r="B143" s="23">
        <f>'Annual Raw'!C47</f>
        <v>0</v>
      </c>
      <c r="C143" s="23">
        <f>'Annual Raw'!D47</f>
        <v>0</v>
      </c>
      <c r="D143" s="23">
        <f>'Annual Raw'!E47</f>
        <v>0</v>
      </c>
      <c r="E143" s="23">
        <f>'Annual Raw'!F47</f>
        <v>0</v>
      </c>
      <c r="F143" s="23">
        <f>'Annual Raw'!G47</f>
        <v>0</v>
      </c>
      <c r="G143" s="23">
        <f>'Annual Raw'!H47</f>
        <v>0</v>
      </c>
      <c r="H143" s="23">
        <f>'Annual Raw'!I47</f>
        <v>56.78</v>
      </c>
      <c r="I143" s="23">
        <f>'Annual Raw'!J47</f>
        <v>1011.174</v>
      </c>
      <c r="J143" s="23">
        <f>'Annual Raw'!K47</f>
        <v>4089.6864999999998</v>
      </c>
      <c r="K143" s="23">
        <f>'Annual Raw'!L47</f>
        <v>10022</v>
      </c>
      <c r="L143" s="23">
        <f>'Annual Raw'!M47</f>
        <v>18825.099999999999</v>
      </c>
      <c r="M143" s="23">
        <f>'Annual Raw'!N47</f>
        <v>27062.59</v>
      </c>
      <c r="N143" s="23">
        <f>'Annual Raw'!O47</f>
        <v>27763.83</v>
      </c>
      <c r="O143" s="23">
        <f>'Annual Raw'!P47</f>
        <v>29651.37</v>
      </c>
      <c r="P143" s="23">
        <f>'Annual Raw'!Q47</f>
        <v>28433.38</v>
      </c>
      <c r="Q143" s="23">
        <f>'Annual Raw'!R47</f>
        <v>31790.45</v>
      </c>
      <c r="R143" s="23">
        <f>'Annual Raw'!S47</f>
        <v>32466.13</v>
      </c>
      <c r="S143" s="23">
        <f>'Annual Raw'!T47</f>
        <v>29847.25</v>
      </c>
      <c r="T143" s="23">
        <f>'Annual Raw'!U47</f>
        <v>27695.63</v>
      </c>
      <c r="U143" s="23">
        <f>'Annual Raw'!V47</f>
        <v>31643.8</v>
      </c>
      <c r="V143" s="23">
        <f>'Annual Raw'!W47</f>
        <v>30980.87</v>
      </c>
      <c r="W143" s="23">
        <f>'Annual Raw'!X47</f>
        <v>31043.24</v>
      </c>
      <c r="X143" s="23">
        <f>'Annual Raw'!Y47</f>
        <v>26743.52</v>
      </c>
      <c r="Y143" s="23">
        <f>'Annual Raw'!Z47</f>
        <v>26410.52</v>
      </c>
      <c r="Z143" s="23">
        <f>'Annual Raw'!AA47</f>
        <v>27129.02</v>
      </c>
      <c r="AA143" s="23">
        <f>'Annual Raw'!AB47</f>
        <v>42567.88</v>
      </c>
      <c r="AB143" s="24">
        <f t="shared" ref="AB143:AB146" si="1102">+CP143</f>
        <v>0</v>
      </c>
      <c r="AC143" s="24">
        <f t="shared" ref="AC143:AC146" si="1103">+CT143</f>
        <v>0</v>
      </c>
      <c r="AD143" s="24">
        <f t="shared" ref="AD143:AD146" si="1104">+CX143</f>
        <v>0</v>
      </c>
      <c r="AE143" s="24">
        <f t="shared" ref="AE143:AE146" si="1105">+DB143</f>
        <v>0</v>
      </c>
      <c r="AJ143" s="23">
        <f>+'QTR Raw'!D62</f>
        <v>0</v>
      </c>
      <c r="AK143" s="23">
        <f t="shared" ref="AK143:CC146" si="1106">+AJ143</f>
        <v>0</v>
      </c>
      <c r="AL143" s="23">
        <f>+'QTR Raw'!F62</f>
        <v>0</v>
      </c>
      <c r="AM143" s="23">
        <f t="shared" si="1106"/>
        <v>0</v>
      </c>
      <c r="AN143" s="23">
        <f>+'QTR Raw'!H62</f>
        <v>0</v>
      </c>
      <c r="AO143" s="23">
        <f t="shared" si="1106"/>
        <v>0</v>
      </c>
      <c r="AP143" s="23">
        <f>+'QTR Raw'!J62</f>
        <v>0</v>
      </c>
      <c r="AQ143" s="23">
        <f t="shared" si="1106"/>
        <v>0</v>
      </c>
      <c r="AR143" s="23">
        <f>+'QTR Raw'!L62</f>
        <v>0</v>
      </c>
      <c r="AS143" s="23">
        <f t="shared" si="1106"/>
        <v>0</v>
      </c>
      <c r="AT143" s="23">
        <f>+'QTR Raw'!N62</f>
        <v>0</v>
      </c>
      <c r="AU143" s="23">
        <f t="shared" si="1106"/>
        <v>0</v>
      </c>
      <c r="AV143" s="23">
        <f>+'QTR Raw'!P62</f>
        <v>0</v>
      </c>
      <c r="AW143" s="23">
        <f t="shared" si="1106"/>
        <v>0</v>
      </c>
      <c r="AX143" s="23">
        <f>+'QTR Raw'!R62</f>
        <v>0</v>
      </c>
      <c r="AY143" s="23">
        <f t="shared" si="1106"/>
        <v>0</v>
      </c>
      <c r="AZ143" s="23">
        <f>+'QTR Raw'!T62</f>
        <v>0</v>
      </c>
      <c r="BA143" s="23">
        <f t="shared" si="1106"/>
        <v>0</v>
      </c>
      <c r="BB143" s="23">
        <f>+'QTR Raw'!V62</f>
        <v>0</v>
      </c>
      <c r="BC143" s="23">
        <f t="shared" si="1106"/>
        <v>0</v>
      </c>
      <c r="BD143" s="23">
        <f>+'QTR Raw'!X62</f>
        <v>0</v>
      </c>
      <c r="BE143" s="23">
        <f t="shared" si="1106"/>
        <v>0</v>
      </c>
      <c r="BF143" s="23">
        <f>+'QTR Raw'!Z62</f>
        <v>0</v>
      </c>
      <c r="BG143" s="23">
        <f t="shared" si="1106"/>
        <v>0</v>
      </c>
      <c r="BH143" s="22">
        <f>+'QTR Raw'!AB62</f>
        <v>0</v>
      </c>
      <c r="BI143" s="23">
        <f t="shared" si="1106"/>
        <v>0</v>
      </c>
      <c r="BJ143" s="23">
        <f>+'QTR Raw'!AD62</f>
        <v>0</v>
      </c>
      <c r="BK143" s="23">
        <f t="shared" si="1106"/>
        <v>0</v>
      </c>
      <c r="BL143" s="23">
        <f>+'QTR Raw'!AF62</f>
        <v>0</v>
      </c>
      <c r="BM143" s="23">
        <f t="shared" si="1106"/>
        <v>0</v>
      </c>
      <c r="BN143" s="23">
        <f>+'QTR Raw'!AH62</f>
        <v>0</v>
      </c>
      <c r="BO143" s="23">
        <f t="shared" si="1106"/>
        <v>0</v>
      </c>
      <c r="BP143" s="23">
        <f>+'QTR Raw'!AJ62</f>
        <v>0</v>
      </c>
      <c r="BQ143" s="23">
        <f t="shared" si="1106"/>
        <v>0</v>
      </c>
      <c r="BR143" s="23">
        <f>+'QTR Raw'!AL62</f>
        <v>0</v>
      </c>
      <c r="BS143" s="23">
        <f t="shared" si="1106"/>
        <v>0</v>
      </c>
      <c r="BT143" s="23">
        <f>+'QTR Raw'!AN62</f>
        <v>0</v>
      </c>
      <c r="BU143" s="23">
        <f t="shared" si="1106"/>
        <v>0</v>
      </c>
      <c r="BV143" s="23">
        <f>+'QTR Raw'!AP62</f>
        <v>0</v>
      </c>
      <c r="BW143" s="23">
        <f t="shared" si="1106"/>
        <v>0</v>
      </c>
      <c r="BX143" s="23">
        <f>+'QTR Raw'!AR62</f>
        <v>0</v>
      </c>
      <c r="BY143" s="23">
        <f t="shared" si="1106"/>
        <v>0</v>
      </c>
      <c r="BZ143" s="23">
        <f>+'QTR Raw'!AT62</f>
        <v>0</v>
      </c>
      <c r="CA143" s="23">
        <f t="shared" si="1106"/>
        <v>0</v>
      </c>
      <c r="CB143" s="23">
        <f>+'QTR Raw'!AV62</f>
        <v>0</v>
      </c>
      <c r="CC143" s="23">
        <f t="shared" si="1106"/>
        <v>0</v>
      </c>
      <c r="CD143" s="23">
        <f>+'QTR Raw'!AX62</f>
        <v>0</v>
      </c>
      <c r="CE143" s="23">
        <f t="shared" ref="CE143:CE146" si="1107">+CD143</f>
        <v>0</v>
      </c>
      <c r="CF143" s="23">
        <f>+'QTR Raw'!AZ62</f>
        <v>0</v>
      </c>
      <c r="CG143" s="23">
        <f t="shared" ref="CG143:CI146" si="1108">+CF143</f>
        <v>0</v>
      </c>
      <c r="CH143" s="23">
        <f t="shared" si="1084"/>
        <v>27129.02</v>
      </c>
      <c r="CI143" s="23">
        <f t="shared" si="1108"/>
        <v>27129.02</v>
      </c>
      <c r="CJ143" s="23">
        <f>+'QTR Raw'!BD62</f>
        <v>0</v>
      </c>
      <c r="CK143" s="24">
        <f t="shared" ref="CK143:CK146" si="1109">+CJ143</f>
        <v>0</v>
      </c>
      <c r="CL143" s="23">
        <f>+'QTR Raw'!BF62</f>
        <v>0</v>
      </c>
      <c r="CM143" s="24">
        <f t="shared" ref="CM143:CM146" si="1110">+CL143</f>
        <v>0</v>
      </c>
      <c r="CN143" s="24">
        <f t="shared" ref="CN143:CN146" si="1111">+CM143</f>
        <v>0</v>
      </c>
      <c r="CO143" s="24">
        <f t="shared" ref="CO143:CO146" si="1112">+CN143</f>
        <v>0</v>
      </c>
      <c r="CP143" s="24">
        <f t="shared" ref="CP143:CP146" si="1113">+CO143</f>
        <v>0</v>
      </c>
      <c r="CQ143" s="24">
        <f t="shared" ref="CQ143:CQ146" si="1114">+CP143</f>
        <v>0</v>
      </c>
      <c r="CR143" s="24">
        <f t="shared" ref="CR143:CR146" si="1115">+CQ143</f>
        <v>0</v>
      </c>
      <c r="CS143" s="24">
        <f t="shared" ref="CS143:CS146" si="1116">+CR143</f>
        <v>0</v>
      </c>
      <c r="CT143" s="24">
        <f t="shared" ref="CT143:CT146" si="1117">+CS143</f>
        <v>0</v>
      </c>
      <c r="CU143" s="24">
        <f t="shared" ref="CU143:CU146" si="1118">+CT143</f>
        <v>0</v>
      </c>
      <c r="CV143" s="24">
        <f t="shared" ref="CV143:CV146" si="1119">+CU143</f>
        <v>0</v>
      </c>
      <c r="CW143" s="24">
        <f t="shared" ref="CW143:CW146" si="1120">+CV143</f>
        <v>0</v>
      </c>
      <c r="CX143" s="24">
        <f t="shared" ref="CX143:CX146" si="1121">+CW143</f>
        <v>0</v>
      </c>
      <c r="CY143" s="24">
        <f t="shared" ref="CY143:CY146" si="1122">+CX143</f>
        <v>0</v>
      </c>
      <c r="CZ143" s="24">
        <f t="shared" ref="CZ143:CZ146" si="1123">+CY143</f>
        <v>0</v>
      </c>
      <c r="DA143" s="24">
        <f t="shared" ref="DA143:DA146" si="1124">+CZ143</f>
        <v>0</v>
      </c>
      <c r="DB143" s="24">
        <f t="shared" ref="DB143:DB146" si="1125">+DA143</f>
        <v>0</v>
      </c>
      <c r="DE143" s="123"/>
      <c r="DF143" s="23">
        <v>0</v>
      </c>
    </row>
    <row r="144" spans="1:110" s="23" customFormat="1" outlineLevel="1" x14ac:dyDescent="0.2">
      <c r="A144" s="23" t="s">
        <v>46</v>
      </c>
      <c r="B144" s="23">
        <f>'Annual Raw'!C48</f>
        <v>0</v>
      </c>
      <c r="C144" s="23">
        <f>'Annual Raw'!D48</f>
        <v>0</v>
      </c>
      <c r="D144" s="23">
        <f>'Annual Raw'!E48</f>
        <v>0</v>
      </c>
      <c r="E144" s="23">
        <f>'Annual Raw'!F48</f>
        <v>0</v>
      </c>
      <c r="F144" s="23">
        <f>'Annual Raw'!G48</f>
        <v>0</v>
      </c>
      <c r="G144" s="23">
        <f>'Annual Raw'!H48</f>
        <v>0</v>
      </c>
      <c r="H144" s="23">
        <f>'Annual Raw'!I48</f>
        <v>0</v>
      </c>
      <c r="I144" s="23">
        <f>'Annual Raw'!J48</f>
        <v>0</v>
      </c>
      <c r="J144" s="23">
        <f>'Annual Raw'!K48</f>
        <v>900</v>
      </c>
      <c r="K144" s="23">
        <f>'Annual Raw'!L48</f>
        <v>563.5</v>
      </c>
      <c r="L144" s="23">
        <f>'Annual Raw'!M48</f>
        <v>2862.72</v>
      </c>
      <c r="M144" s="23">
        <f>'Annual Raw'!N48</f>
        <v>2522.2399999999998</v>
      </c>
      <c r="N144" s="23">
        <f>'Annual Raw'!O48</f>
        <v>5427.77</v>
      </c>
      <c r="O144" s="23">
        <f>'Annual Raw'!P48</f>
        <v>3480.11</v>
      </c>
      <c r="P144" s="23">
        <f>'Annual Raw'!Q48</f>
        <v>6656.28</v>
      </c>
      <c r="Q144" s="23">
        <f>'Annual Raw'!R48</f>
        <v>3627.1</v>
      </c>
      <c r="R144" s="23">
        <f>'Annual Raw'!S48</f>
        <v>4184.4799999999996</v>
      </c>
      <c r="S144" s="23">
        <f>'Annual Raw'!T48</f>
        <v>4712.6000000000004</v>
      </c>
      <c r="T144" s="23">
        <f>'Annual Raw'!U48</f>
        <v>16714.64</v>
      </c>
      <c r="U144" s="23">
        <f>'Annual Raw'!V48</f>
        <v>21537.54</v>
      </c>
      <c r="V144" s="23">
        <f>'Annual Raw'!W48</f>
        <v>21591.13</v>
      </c>
      <c r="W144" s="23">
        <f>'Annual Raw'!X48</f>
        <v>20043.080000000002</v>
      </c>
      <c r="X144" s="23">
        <f>'Annual Raw'!Y48</f>
        <v>20174.080000000002</v>
      </c>
      <c r="Y144" s="23">
        <f>'Annual Raw'!Z48</f>
        <v>7499.49</v>
      </c>
      <c r="Z144" s="23">
        <f>'Annual Raw'!AA48</f>
        <v>3574.86</v>
      </c>
      <c r="AA144" s="23">
        <f>'Annual Raw'!AB48</f>
        <v>261.72000000000003</v>
      </c>
      <c r="AB144" s="24">
        <f t="shared" si="1102"/>
        <v>42829.599999999999</v>
      </c>
      <c r="AC144" s="24">
        <f t="shared" si="1103"/>
        <v>42829.599999999999</v>
      </c>
      <c r="AD144" s="24">
        <f t="shared" si="1104"/>
        <v>42829.599999999999</v>
      </c>
      <c r="AE144" s="24">
        <f t="shared" si="1105"/>
        <v>42829.599999999999</v>
      </c>
      <c r="AJ144" s="23">
        <f>+'QTR Raw'!D63</f>
        <v>33663.15</v>
      </c>
      <c r="AK144" s="23">
        <f t="shared" si="1106"/>
        <v>33663.15</v>
      </c>
      <c r="AL144" s="23">
        <f>+'QTR Raw'!F63</f>
        <v>33191.599999999999</v>
      </c>
      <c r="AM144" s="23">
        <f t="shared" si="1106"/>
        <v>33191.599999999999</v>
      </c>
      <c r="AN144" s="23">
        <f>+'QTR Raw'!H63</f>
        <v>34852.28</v>
      </c>
      <c r="AO144" s="23">
        <f t="shared" si="1106"/>
        <v>34852.28</v>
      </c>
      <c r="AP144" s="23">
        <f>+'QTR Raw'!J63</f>
        <v>33131.480000000003</v>
      </c>
      <c r="AQ144" s="23">
        <f t="shared" si="1106"/>
        <v>33131.480000000003</v>
      </c>
      <c r="AR144" s="23">
        <f>+'QTR Raw'!L63</f>
        <v>33766.050000000003</v>
      </c>
      <c r="AS144" s="23">
        <f t="shared" si="1106"/>
        <v>33766.050000000003</v>
      </c>
      <c r="AT144" s="23">
        <f>+'QTR Raw'!N63</f>
        <v>35089.660000000003</v>
      </c>
      <c r="AU144" s="23">
        <f t="shared" si="1106"/>
        <v>35089.660000000003</v>
      </c>
      <c r="AV144" s="23">
        <f>+'QTR Raw'!P63</f>
        <v>34077.58</v>
      </c>
      <c r="AW144" s="23">
        <f t="shared" si="1106"/>
        <v>34077.58</v>
      </c>
      <c r="AX144" s="23">
        <f>+'QTR Raw'!R63</f>
        <v>35417.550000000003</v>
      </c>
      <c r="AY144" s="23">
        <f t="shared" si="1106"/>
        <v>35417.550000000003</v>
      </c>
      <c r="AZ144" s="23">
        <f>+'QTR Raw'!T63</f>
        <v>36212.43</v>
      </c>
      <c r="BA144" s="23">
        <f t="shared" si="1106"/>
        <v>36212.43</v>
      </c>
      <c r="BB144" s="23">
        <f>+'QTR Raw'!V63</f>
        <v>36650.61</v>
      </c>
      <c r="BC144" s="23">
        <f t="shared" si="1106"/>
        <v>36650.61</v>
      </c>
      <c r="BD144" s="23">
        <f>+'QTR Raw'!X63</f>
        <v>38179.69</v>
      </c>
      <c r="BE144" s="23">
        <f t="shared" si="1106"/>
        <v>38179.69</v>
      </c>
      <c r="BF144" s="23">
        <f>+'QTR Raw'!Z63</f>
        <v>34559.85</v>
      </c>
      <c r="BG144" s="23">
        <f t="shared" si="1106"/>
        <v>34559.85</v>
      </c>
      <c r="BH144" s="23">
        <f>+'QTR Raw'!AB63</f>
        <v>32732.26</v>
      </c>
      <c r="BI144" s="23">
        <f t="shared" si="1106"/>
        <v>32732.26</v>
      </c>
      <c r="BJ144" s="23">
        <f>+'QTR Raw'!AD63</f>
        <v>36410.269999999997</v>
      </c>
      <c r="BK144" s="23">
        <f t="shared" si="1106"/>
        <v>36410.269999999997</v>
      </c>
      <c r="BL144" s="23">
        <f>+'QTR Raw'!AF63</f>
        <v>40537.65</v>
      </c>
      <c r="BM144" s="23">
        <f t="shared" si="1106"/>
        <v>40537.65</v>
      </c>
      <c r="BN144" s="23">
        <f>+'QTR Raw'!AH63</f>
        <v>44566.34</v>
      </c>
      <c r="BO144" s="23">
        <f t="shared" si="1106"/>
        <v>44566.34</v>
      </c>
      <c r="BP144" s="23">
        <f>+'QTR Raw'!AJ63</f>
        <v>41114.050000000003</v>
      </c>
      <c r="BQ144" s="23">
        <f t="shared" si="1106"/>
        <v>41114.050000000003</v>
      </c>
      <c r="BR144" s="23">
        <f>+'QTR Raw'!AL63</f>
        <v>39957</v>
      </c>
      <c r="BS144" s="23">
        <f t="shared" si="1106"/>
        <v>39957</v>
      </c>
      <c r="BT144" s="23">
        <f>+'QTR Raw'!AN63</f>
        <v>40105.65</v>
      </c>
      <c r="BU144" s="23">
        <f t="shared" si="1106"/>
        <v>40105.65</v>
      </c>
      <c r="BV144" s="23">
        <f>+'QTR Raw'!AP63</f>
        <v>37871.32</v>
      </c>
      <c r="BW144" s="23">
        <f t="shared" si="1106"/>
        <v>37871.32</v>
      </c>
      <c r="BX144" s="23">
        <f>+'QTR Raw'!AR63</f>
        <v>34623.769999999997</v>
      </c>
      <c r="BY144" s="23">
        <f t="shared" si="1106"/>
        <v>34623.769999999997</v>
      </c>
      <c r="BZ144" s="23">
        <f>+'QTR Raw'!AT63</f>
        <v>33702.6</v>
      </c>
      <c r="CA144" s="23">
        <f t="shared" si="1106"/>
        <v>33702.6</v>
      </c>
      <c r="CB144" s="23">
        <f>+'QTR Raw'!AV63</f>
        <v>25079.93</v>
      </c>
      <c r="CC144" s="23">
        <f t="shared" si="1106"/>
        <v>25079.93</v>
      </c>
      <c r="CD144" s="23">
        <f>+'QTR Raw'!AX63</f>
        <v>26595.01</v>
      </c>
      <c r="CE144" s="23">
        <f t="shared" si="1107"/>
        <v>26595.01</v>
      </c>
      <c r="CF144" s="23">
        <f>+'QTR Raw'!AZ63</f>
        <v>28855.02</v>
      </c>
      <c r="CG144" s="23">
        <f t="shared" si="1108"/>
        <v>28855.02</v>
      </c>
      <c r="CH144" s="23">
        <f t="shared" si="1084"/>
        <v>3574.86</v>
      </c>
      <c r="CI144" s="23">
        <f t="shared" si="1108"/>
        <v>3574.86</v>
      </c>
      <c r="CJ144" s="23">
        <f>+'QTR Raw'!BD63</f>
        <v>36109.82</v>
      </c>
      <c r="CK144" s="24">
        <f t="shared" si="1109"/>
        <v>36109.82</v>
      </c>
      <c r="CL144" s="23">
        <f>+'QTR Raw'!BF63</f>
        <v>42829.599999999999</v>
      </c>
      <c r="CM144" s="24">
        <f t="shared" si="1110"/>
        <v>42829.599999999999</v>
      </c>
      <c r="CN144" s="24">
        <f t="shared" si="1111"/>
        <v>42829.599999999999</v>
      </c>
      <c r="CO144" s="24">
        <f t="shared" si="1112"/>
        <v>42829.599999999999</v>
      </c>
      <c r="CP144" s="24">
        <f t="shared" si="1113"/>
        <v>42829.599999999999</v>
      </c>
      <c r="CQ144" s="24">
        <f t="shared" si="1114"/>
        <v>42829.599999999999</v>
      </c>
      <c r="CR144" s="24">
        <f t="shared" si="1115"/>
        <v>42829.599999999999</v>
      </c>
      <c r="CS144" s="24">
        <f t="shared" si="1116"/>
        <v>42829.599999999999</v>
      </c>
      <c r="CT144" s="24">
        <f t="shared" si="1117"/>
        <v>42829.599999999999</v>
      </c>
      <c r="CU144" s="24">
        <f t="shared" si="1118"/>
        <v>42829.599999999999</v>
      </c>
      <c r="CV144" s="24">
        <f t="shared" si="1119"/>
        <v>42829.599999999999</v>
      </c>
      <c r="CW144" s="24">
        <f t="shared" si="1120"/>
        <v>42829.599999999999</v>
      </c>
      <c r="CX144" s="24">
        <f t="shared" si="1121"/>
        <v>42829.599999999999</v>
      </c>
      <c r="CY144" s="24">
        <f t="shared" si="1122"/>
        <v>42829.599999999999</v>
      </c>
      <c r="CZ144" s="24">
        <f t="shared" si="1123"/>
        <v>42829.599999999999</v>
      </c>
      <c r="DA144" s="24">
        <f t="shared" si="1124"/>
        <v>42829.599999999999</v>
      </c>
      <c r="DB144" s="24">
        <f t="shared" si="1125"/>
        <v>42829.599999999999</v>
      </c>
      <c r="DD144" s="23">
        <f>100000/16</f>
        <v>6250</v>
      </c>
      <c r="DE144" s="123"/>
      <c r="DF144" s="23">
        <v>0</v>
      </c>
    </row>
    <row r="145" spans="1:110" s="23" customFormat="1" outlineLevel="1" x14ac:dyDescent="0.2">
      <c r="A145" s="23" t="s">
        <v>47</v>
      </c>
      <c r="B145" s="23">
        <f>'Annual Raw'!C87+'Annual Raw'!C88+'Annual Raw'!C89+'Annual Raw'!C90</f>
        <v>0</v>
      </c>
      <c r="C145" s="23">
        <f>'Annual Raw'!D87+'Annual Raw'!D88+'Annual Raw'!D89+'Annual Raw'!D90</f>
        <v>0</v>
      </c>
      <c r="D145" s="23">
        <f>'Annual Raw'!E87+'Annual Raw'!E88+'Annual Raw'!E89+'Annual Raw'!E90</f>
        <v>0</v>
      </c>
      <c r="E145" s="23">
        <f>'Annual Raw'!F87+'Annual Raw'!F88+'Annual Raw'!F89+'Annual Raw'!F90</f>
        <v>0</v>
      </c>
      <c r="F145" s="23">
        <f>'Annual Raw'!G87+'Annual Raw'!G88+'Annual Raw'!G89+'Annual Raw'!G90</f>
        <v>0</v>
      </c>
      <c r="G145" s="23">
        <f>'Annual Raw'!H87+'Annual Raw'!H88+'Annual Raw'!H89+'Annual Raw'!H90</f>
        <v>0</v>
      </c>
      <c r="H145" s="23">
        <f>'Annual Raw'!I87+'Annual Raw'!I88+'Annual Raw'!I89+'Annual Raw'!I90</f>
        <v>0</v>
      </c>
      <c r="I145" s="23">
        <f>'Annual Raw'!J87+'Annual Raw'!J88+'Annual Raw'!J89+'Annual Raw'!J90</f>
        <v>0</v>
      </c>
      <c r="J145" s="23">
        <f>'Annual Raw'!K87+'Annual Raw'!K88+'Annual Raw'!K89+'Annual Raw'!K90</f>
        <v>0</v>
      </c>
      <c r="K145" s="23">
        <f>'Annual Raw'!L87+'Annual Raw'!L88+'Annual Raw'!L89+'Annual Raw'!L90</f>
        <v>0</v>
      </c>
      <c r="L145" s="23">
        <f>'Annual Raw'!M87+'Annual Raw'!M88+'Annual Raw'!M89+'Annual Raw'!M90</f>
        <v>810.18</v>
      </c>
      <c r="M145" s="23">
        <f>'Annual Raw'!N87+'Annual Raw'!N88+'Annual Raw'!N89+'Annual Raw'!N90</f>
        <v>2595.0100000000002</v>
      </c>
      <c r="N145" s="23">
        <f>'Annual Raw'!O87+'Annual Raw'!O88+'Annual Raw'!O89+'Annual Raw'!O90</f>
        <v>4192.6499999999996</v>
      </c>
      <c r="O145" s="23">
        <f>'Annual Raw'!P87+'Annual Raw'!P88+'Annual Raw'!P89+'Annual Raw'!P90</f>
        <v>4381.47</v>
      </c>
      <c r="P145" s="23">
        <f>'Annual Raw'!Q87+'Annual Raw'!Q88+'Annual Raw'!Q89+'Annual Raw'!Q90</f>
        <v>3357.45</v>
      </c>
      <c r="Q145" s="23">
        <f>'Annual Raw'!R87+'Annual Raw'!R88+'Annual Raw'!R89+'Annual Raw'!R90</f>
        <v>3876.08</v>
      </c>
      <c r="R145" s="23">
        <f>'Annual Raw'!S87+'Annual Raw'!S88+'Annual Raw'!S89+'Annual Raw'!S90</f>
        <v>3253.7599999999998</v>
      </c>
      <c r="S145" s="23">
        <f>'Annual Raw'!T87+'Annual Raw'!T88+'Annual Raw'!T89+'Annual Raw'!T90</f>
        <v>3714.62</v>
      </c>
      <c r="T145" s="23">
        <f>'Annual Raw'!U87+'Annual Raw'!U88+'Annual Raw'!U89+'Annual Raw'!U90</f>
        <v>3495.9</v>
      </c>
      <c r="U145" s="23">
        <f>'Annual Raw'!V87+'Annual Raw'!V88+'Annual Raw'!V89+'Annual Raw'!V90</f>
        <v>2830.61</v>
      </c>
      <c r="V145" s="23">
        <f>'Annual Raw'!W87+'Annual Raw'!W88+'Annual Raw'!W89+'Annual Raw'!W90</f>
        <v>2770.95</v>
      </c>
      <c r="W145" s="23">
        <f>'Annual Raw'!X87+'Annual Raw'!X88+'Annual Raw'!X89+'Annual Raw'!X90</f>
        <v>3683.99</v>
      </c>
      <c r="X145" s="23">
        <f>'Annual Raw'!Y87+'Annual Raw'!Y88+'Annual Raw'!Y89+'Annual Raw'!Y90</f>
        <v>2877.87</v>
      </c>
      <c r="Y145" s="23">
        <f>'Annual Raw'!Z87+'Annual Raw'!Z88+'Annual Raw'!Z89+'Annual Raw'!Z90</f>
        <v>1464.9</v>
      </c>
      <c r="Z145" s="23">
        <f>'Annual Raw'!AA87+'Annual Raw'!AA88+'Annual Raw'!AA89+'Annual Raw'!AA90</f>
        <v>1600.56</v>
      </c>
      <c r="AA145" s="23">
        <f>'Annual Raw'!AB87+'Annual Raw'!AB88+'Annual Raw'!AB89+'Annual Raw'!AB90</f>
        <v>1660.3</v>
      </c>
      <c r="AB145" s="24">
        <f t="shared" si="1102"/>
        <v>0</v>
      </c>
      <c r="AC145" s="24">
        <f t="shared" si="1103"/>
        <v>0</v>
      </c>
      <c r="AD145" s="24">
        <f t="shared" si="1104"/>
        <v>0</v>
      </c>
      <c r="AE145" s="24">
        <f t="shared" si="1105"/>
        <v>0</v>
      </c>
      <c r="AJ145" s="23">
        <f>+'QTR Raw'!D90</f>
        <v>0</v>
      </c>
      <c r="AK145" s="23">
        <f t="shared" si="1106"/>
        <v>0</v>
      </c>
      <c r="AL145" s="23">
        <f>+'QTR Raw'!F90</f>
        <v>0</v>
      </c>
      <c r="AM145" s="23">
        <f t="shared" si="1106"/>
        <v>0</v>
      </c>
      <c r="AN145" s="23">
        <f>+'QTR Raw'!H90</f>
        <v>0</v>
      </c>
      <c r="AO145" s="23">
        <f t="shared" si="1106"/>
        <v>0</v>
      </c>
      <c r="AP145" s="23">
        <f>+'QTR Raw'!J90</f>
        <v>0</v>
      </c>
      <c r="AQ145" s="23">
        <f t="shared" si="1106"/>
        <v>0</v>
      </c>
      <c r="AR145" s="23">
        <f>+'QTR Raw'!L90</f>
        <v>0</v>
      </c>
      <c r="AS145" s="23">
        <f t="shared" si="1106"/>
        <v>0</v>
      </c>
      <c r="AT145" s="23">
        <f>+'QTR Raw'!N90</f>
        <v>0</v>
      </c>
      <c r="AU145" s="23">
        <f t="shared" si="1106"/>
        <v>0</v>
      </c>
      <c r="AV145" s="23">
        <f>+'QTR Raw'!P90</f>
        <v>0</v>
      </c>
      <c r="AW145" s="23">
        <f t="shared" si="1106"/>
        <v>0</v>
      </c>
      <c r="AX145" s="23">
        <f>+'QTR Raw'!R90</f>
        <v>0</v>
      </c>
      <c r="AY145" s="23">
        <f t="shared" si="1106"/>
        <v>0</v>
      </c>
      <c r="AZ145" s="23">
        <f>+'QTR Raw'!T90</f>
        <v>0</v>
      </c>
      <c r="BA145" s="23">
        <f t="shared" si="1106"/>
        <v>0</v>
      </c>
      <c r="BB145" s="23">
        <f>+'QTR Raw'!V90</f>
        <v>0</v>
      </c>
      <c r="BC145" s="23">
        <f t="shared" si="1106"/>
        <v>0</v>
      </c>
      <c r="BD145" s="23">
        <f>+'QTR Raw'!X90</f>
        <v>0</v>
      </c>
      <c r="BE145" s="23">
        <f t="shared" si="1106"/>
        <v>0</v>
      </c>
      <c r="BF145" s="23">
        <f>+'QTR Raw'!Z90</f>
        <v>0</v>
      </c>
      <c r="BG145" s="23">
        <f t="shared" si="1106"/>
        <v>0</v>
      </c>
      <c r="BH145" s="22">
        <f>+'QTR Raw'!AB90</f>
        <v>0</v>
      </c>
      <c r="BI145" s="23">
        <f t="shared" si="1106"/>
        <v>0</v>
      </c>
      <c r="BJ145" s="23">
        <f>+'QTR Raw'!AD90</f>
        <v>0</v>
      </c>
      <c r="BK145" s="23">
        <f t="shared" si="1106"/>
        <v>0</v>
      </c>
      <c r="BL145" s="23">
        <f>+'QTR Raw'!AF90</f>
        <v>0</v>
      </c>
      <c r="BM145" s="23">
        <f t="shared" si="1106"/>
        <v>0</v>
      </c>
      <c r="BN145" s="23">
        <f>+'QTR Raw'!AH90</f>
        <v>0</v>
      </c>
      <c r="BO145" s="23">
        <f t="shared" si="1106"/>
        <v>0</v>
      </c>
      <c r="BP145" s="23">
        <f>+'QTR Raw'!AJ90</f>
        <v>0</v>
      </c>
      <c r="BQ145" s="23">
        <f t="shared" si="1106"/>
        <v>0</v>
      </c>
      <c r="BR145" s="23">
        <f>+'QTR Raw'!AL90</f>
        <v>0</v>
      </c>
      <c r="BS145" s="23">
        <f t="shared" si="1106"/>
        <v>0</v>
      </c>
      <c r="BT145" s="23">
        <f>+'QTR Raw'!AN90</f>
        <v>0</v>
      </c>
      <c r="BU145" s="23">
        <f t="shared" si="1106"/>
        <v>0</v>
      </c>
      <c r="BV145" s="23">
        <f>+'QTR Raw'!AP90</f>
        <v>0</v>
      </c>
      <c r="BW145" s="23">
        <f t="shared" si="1106"/>
        <v>0</v>
      </c>
      <c r="BX145" s="23">
        <f>+'QTR Raw'!AR90</f>
        <v>0</v>
      </c>
      <c r="BY145" s="23">
        <f t="shared" si="1106"/>
        <v>0</v>
      </c>
      <c r="BZ145" s="23">
        <f>+'QTR Raw'!AT90</f>
        <v>0</v>
      </c>
      <c r="CA145" s="23">
        <f t="shared" si="1106"/>
        <v>0</v>
      </c>
      <c r="CB145" s="23">
        <f>+'QTR Raw'!AV90</f>
        <v>0</v>
      </c>
      <c r="CC145" s="23">
        <f t="shared" si="1106"/>
        <v>0</v>
      </c>
      <c r="CD145" s="23">
        <f>+'QTR Raw'!AX90</f>
        <v>0</v>
      </c>
      <c r="CE145" s="23">
        <f t="shared" si="1107"/>
        <v>0</v>
      </c>
      <c r="CF145" s="23">
        <f>+'QTR Raw'!AZ90</f>
        <v>0</v>
      </c>
      <c r="CG145" s="23">
        <f t="shared" si="1108"/>
        <v>0</v>
      </c>
      <c r="CH145" s="23">
        <f>+Z145</f>
        <v>1600.56</v>
      </c>
      <c r="CI145" s="23">
        <f t="shared" si="1108"/>
        <v>1600.56</v>
      </c>
      <c r="CJ145" s="23">
        <f>+'QTR Raw'!BD90</f>
        <v>0</v>
      </c>
      <c r="CK145" s="24">
        <f t="shared" si="1109"/>
        <v>0</v>
      </c>
      <c r="CL145" s="23">
        <f>+'QTR Raw'!BF90</f>
        <v>0</v>
      </c>
      <c r="CM145" s="24">
        <f t="shared" si="1110"/>
        <v>0</v>
      </c>
      <c r="CN145" s="24">
        <f t="shared" si="1111"/>
        <v>0</v>
      </c>
      <c r="CO145" s="24">
        <f t="shared" si="1112"/>
        <v>0</v>
      </c>
      <c r="CP145" s="24">
        <f t="shared" si="1113"/>
        <v>0</v>
      </c>
      <c r="CQ145" s="24">
        <f t="shared" si="1114"/>
        <v>0</v>
      </c>
      <c r="CR145" s="24">
        <f t="shared" si="1115"/>
        <v>0</v>
      </c>
      <c r="CS145" s="24">
        <f t="shared" si="1116"/>
        <v>0</v>
      </c>
      <c r="CT145" s="24">
        <f t="shared" si="1117"/>
        <v>0</v>
      </c>
      <c r="CU145" s="24">
        <f t="shared" si="1118"/>
        <v>0</v>
      </c>
      <c r="CV145" s="24">
        <f t="shared" si="1119"/>
        <v>0</v>
      </c>
      <c r="CW145" s="24">
        <f t="shared" si="1120"/>
        <v>0</v>
      </c>
      <c r="CX145" s="24">
        <f t="shared" si="1121"/>
        <v>0</v>
      </c>
      <c r="CY145" s="24">
        <f t="shared" si="1122"/>
        <v>0</v>
      </c>
      <c r="CZ145" s="24">
        <f t="shared" si="1123"/>
        <v>0</v>
      </c>
      <c r="DA145" s="24">
        <f t="shared" si="1124"/>
        <v>0</v>
      </c>
      <c r="DB145" s="24">
        <f t="shared" si="1125"/>
        <v>0</v>
      </c>
      <c r="DE145" s="123"/>
      <c r="DF145" s="23">
        <v>0</v>
      </c>
    </row>
    <row r="146" spans="1:110" s="23" customFormat="1" outlineLevel="1" x14ac:dyDescent="0.2">
      <c r="A146" s="23" t="s">
        <v>48</v>
      </c>
      <c r="B146" s="23">
        <f>'Annual Raw'!C56</f>
        <v>0</v>
      </c>
      <c r="C146" s="23">
        <f>'Annual Raw'!D56</f>
        <v>0</v>
      </c>
      <c r="D146" s="23">
        <f>'Annual Raw'!E56</f>
        <v>0</v>
      </c>
      <c r="E146" s="23">
        <f>'Annual Raw'!F56</f>
        <v>0</v>
      </c>
      <c r="F146" s="23">
        <f>'Annual Raw'!G56</f>
        <v>0</v>
      </c>
      <c r="G146" s="23">
        <f>'Annual Raw'!H56</f>
        <v>0</v>
      </c>
      <c r="H146" s="23">
        <f>'Annual Raw'!I56</f>
        <v>0</v>
      </c>
      <c r="I146" s="23">
        <f>'Annual Raw'!J56</f>
        <v>0</v>
      </c>
      <c r="J146" s="23">
        <f>'Annual Raw'!K56</f>
        <v>0</v>
      </c>
      <c r="K146" s="23">
        <f>'Annual Raw'!L56</f>
        <v>0</v>
      </c>
      <c r="L146" s="23">
        <f>'Annual Raw'!M56</f>
        <v>2004.72</v>
      </c>
      <c r="M146" s="23">
        <f>'Annual Raw'!N56</f>
        <v>6420.5</v>
      </c>
      <c r="N146" s="23">
        <f>'Annual Raw'!O56</f>
        <v>4411.1899999999996</v>
      </c>
      <c r="O146" s="23">
        <f>'Annual Raw'!P56</f>
        <v>6637.28</v>
      </c>
      <c r="P146" s="23">
        <f>'Annual Raw'!Q56</f>
        <v>6294.85</v>
      </c>
      <c r="Q146" s="23">
        <f>'Annual Raw'!R56</f>
        <v>13435.69</v>
      </c>
      <c r="R146" s="23">
        <f>'Annual Raw'!S56</f>
        <v>12580</v>
      </c>
      <c r="S146" s="23">
        <f>'Annual Raw'!T56</f>
        <v>14560.34</v>
      </c>
      <c r="T146" s="23">
        <f>'Annual Raw'!U56</f>
        <v>7073.53</v>
      </c>
      <c r="U146" s="23">
        <f>'Annual Raw'!V56</f>
        <v>7801.81</v>
      </c>
      <c r="V146" s="23">
        <f>'Annual Raw'!W56</f>
        <v>9683.32</v>
      </c>
      <c r="W146" s="23">
        <f>'Annual Raw'!X56</f>
        <v>7240.37</v>
      </c>
      <c r="X146" s="23">
        <f>'Annual Raw'!Y56</f>
        <v>5671.58</v>
      </c>
      <c r="Y146" s="23">
        <f>'Annual Raw'!Z56</f>
        <v>6396.95</v>
      </c>
      <c r="Z146" s="23">
        <f>'Annual Raw'!AA56</f>
        <v>9087.36</v>
      </c>
      <c r="AA146" s="23">
        <f>'Annual Raw'!AB56</f>
        <v>9065.64</v>
      </c>
      <c r="AB146" s="24">
        <f t="shared" si="1102"/>
        <v>10725.94</v>
      </c>
      <c r="AC146" s="24">
        <f t="shared" si="1103"/>
        <v>10725.94</v>
      </c>
      <c r="AD146" s="24">
        <f t="shared" si="1104"/>
        <v>10725.94</v>
      </c>
      <c r="AE146" s="24">
        <f t="shared" si="1105"/>
        <v>10725.94</v>
      </c>
      <c r="AJ146" s="23">
        <f>+'QTR Raw'!D88</f>
        <v>4334.04</v>
      </c>
      <c r="AK146" s="23">
        <f t="shared" si="1106"/>
        <v>4334.04</v>
      </c>
      <c r="AL146" s="23">
        <f>+'QTR Raw'!F88</f>
        <v>4411.1899999999996</v>
      </c>
      <c r="AM146" s="23">
        <f t="shared" si="1106"/>
        <v>4411.1899999999996</v>
      </c>
      <c r="AN146" s="23">
        <f>+'QTR Raw'!H88</f>
        <v>5756.27</v>
      </c>
      <c r="AO146" s="23">
        <f t="shared" si="1106"/>
        <v>5756.27</v>
      </c>
      <c r="AP146" s="23">
        <f>+'QTR Raw'!J88</f>
        <v>6637.28</v>
      </c>
      <c r="AQ146" s="23">
        <f t="shared" si="1106"/>
        <v>6637.28</v>
      </c>
      <c r="AR146" s="23">
        <f>+'QTR Raw'!L88</f>
        <v>8562.4</v>
      </c>
      <c r="AS146" s="23">
        <f t="shared" si="1106"/>
        <v>8562.4</v>
      </c>
      <c r="AT146" s="23">
        <f>+'QTR Raw'!N88</f>
        <v>6294.85</v>
      </c>
      <c r="AU146" s="23">
        <f t="shared" si="1106"/>
        <v>6294.85</v>
      </c>
      <c r="AV146" s="23">
        <f>+'QTR Raw'!P88</f>
        <v>14399.79</v>
      </c>
      <c r="AW146" s="23">
        <f t="shared" si="1106"/>
        <v>14399.79</v>
      </c>
      <c r="AX146" s="23">
        <f>+'QTR Raw'!R88</f>
        <v>13435.69</v>
      </c>
      <c r="AY146" s="23">
        <f t="shared" si="1106"/>
        <v>13435.69</v>
      </c>
      <c r="AZ146" s="23">
        <f>+'QTR Raw'!T88</f>
        <v>13335.07</v>
      </c>
      <c r="BA146" s="23">
        <f t="shared" si="1106"/>
        <v>13335.07</v>
      </c>
      <c r="BB146" s="23">
        <f>+'QTR Raw'!V88</f>
        <v>12580</v>
      </c>
      <c r="BC146" s="23">
        <f t="shared" si="1106"/>
        <v>12580</v>
      </c>
      <c r="BD146" s="23">
        <f>+'QTR Raw'!X88</f>
        <v>9429.74</v>
      </c>
      <c r="BE146" s="23">
        <f t="shared" si="1106"/>
        <v>9429.74</v>
      </c>
      <c r="BF146" s="23">
        <f>+'QTR Raw'!Z88</f>
        <v>14560.34</v>
      </c>
      <c r="BG146" s="23">
        <f t="shared" si="1106"/>
        <v>14560.34</v>
      </c>
      <c r="BH146" s="23">
        <f>+'QTR Raw'!AB88</f>
        <v>12051.27</v>
      </c>
      <c r="BI146" s="23">
        <f t="shared" si="1106"/>
        <v>12051.27</v>
      </c>
      <c r="BJ146" s="23">
        <f>+'QTR Raw'!AD88</f>
        <v>7073.53</v>
      </c>
      <c r="BK146" s="23">
        <f t="shared" si="1106"/>
        <v>7073.53</v>
      </c>
      <c r="BL146" s="23">
        <f>+'QTR Raw'!AF88</f>
        <v>7978.31</v>
      </c>
      <c r="BM146" s="23">
        <f t="shared" si="1106"/>
        <v>7978.31</v>
      </c>
      <c r="BN146" s="23">
        <f>+'QTR Raw'!AH88</f>
        <v>7801.81</v>
      </c>
      <c r="BO146" s="23">
        <f t="shared" si="1106"/>
        <v>7801.81</v>
      </c>
      <c r="BP146" s="23">
        <f>+'QTR Raw'!AJ88</f>
        <v>10226.549999999999</v>
      </c>
      <c r="BQ146" s="23">
        <f t="shared" si="1106"/>
        <v>10226.549999999999</v>
      </c>
      <c r="BR146" s="23">
        <f>+'QTR Raw'!AL88</f>
        <v>12454.27</v>
      </c>
      <c r="BS146" s="23">
        <f t="shared" si="1106"/>
        <v>12454.27</v>
      </c>
      <c r="BT146" s="23">
        <f>+'QTR Raw'!AN88</f>
        <v>12538.56</v>
      </c>
      <c r="BU146" s="23">
        <f t="shared" si="1106"/>
        <v>12538.56</v>
      </c>
      <c r="BV146" s="23">
        <f>+'QTR Raw'!AP88</f>
        <v>10924.36</v>
      </c>
      <c r="BW146" s="23">
        <f t="shared" si="1106"/>
        <v>10924.36</v>
      </c>
      <c r="BX146" s="23">
        <f>+'QTR Raw'!AR88</f>
        <v>10489.06</v>
      </c>
      <c r="BY146" s="23">
        <f t="shared" si="1106"/>
        <v>10489.06</v>
      </c>
      <c r="BZ146" s="23">
        <f>+'QTR Raw'!AT88</f>
        <v>8549.4500000000007</v>
      </c>
      <c r="CA146" s="23">
        <f t="shared" si="1106"/>
        <v>8549.4500000000007</v>
      </c>
      <c r="CB146" s="23">
        <f>+'QTR Raw'!AV88</f>
        <v>7133.64</v>
      </c>
      <c r="CC146" s="23">
        <f t="shared" si="1106"/>
        <v>7133.64</v>
      </c>
      <c r="CD146" s="23">
        <f>+'QTR Raw'!AX88</f>
        <v>7861.85</v>
      </c>
      <c r="CE146" s="23">
        <f t="shared" si="1107"/>
        <v>7861.85</v>
      </c>
      <c r="CF146" s="23">
        <f>+'QTR Raw'!AZ88</f>
        <v>8572.2800000000007</v>
      </c>
      <c r="CG146" s="23">
        <f t="shared" si="1108"/>
        <v>8572.2800000000007</v>
      </c>
      <c r="CH146" s="23">
        <f t="shared" si="1084"/>
        <v>9087.36</v>
      </c>
      <c r="CI146" s="23">
        <f t="shared" si="1108"/>
        <v>9087.36</v>
      </c>
      <c r="CJ146" s="23">
        <f>+'QTR Raw'!BD88</f>
        <v>11143.87</v>
      </c>
      <c r="CK146" s="24">
        <f t="shared" si="1109"/>
        <v>11143.87</v>
      </c>
      <c r="CL146" s="23">
        <f>+'QTR Raw'!BF88</f>
        <v>10725.94</v>
      </c>
      <c r="CM146" s="24">
        <f t="shared" si="1110"/>
        <v>10725.94</v>
      </c>
      <c r="CN146" s="24">
        <f t="shared" si="1111"/>
        <v>10725.94</v>
      </c>
      <c r="CO146" s="24">
        <f t="shared" si="1112"/>
        <v>10725.94</v>
      </c>
      <c r="CP146" s="24">
        <f t="shared" si="1113"/>
        <v>10725.94</v>
      </c>
      <c r="CQ146" s="24">
        <f t="shared" si="1114"/>
        <v>10725.94</v>
      </c>
      <c r="CR146" s="24">
        <f t="shared" si="1115"/>
        <v>10725.94</v>
      </c>
      <c r="CS146" s="24">
        <f t="shared" si="1116"/>
        <v>10725.94</v>
      </c>
      <c r="CT146" s="24">
        <f t="shared" si="1117"/>
        <v>10725.94</v>
      </c>
      <c r="CU146" s="24">
        <f t="shared" si="1118"/>
        <v>10725.94</v>
      </c>
      <c r="CV146" s="24">
        <f t="shared" si="1119"/>
        <v>10725.94</v>
      </c>
      <c r="CW146" s="24">
        <f t="shared" si="1120"/>
        <v>10725.94</v>
      </c>
      <c r="CX146" s="24">
        <f t="shared" si="1121"/>
        <v>10725.94</v>
      </c>
      <c r="CY146" s="24">
        <f t="shared" si="1122"/>
        <v>10725.94</v>
      </c>
      <c r="CZ146" s="24">
        <f t="shared" si="1123"/>
        <v>10725.94</v>
      </c>
      <c r="DA146" s="24">
        <f t="shared" si="1124"/>
        <v>10725.94</v>
      </c>
      <c r="DB146" s="24">
        <f t="shared" si="1125"/>
        <v>10725.94</v>
      </c>
      <c r="DE146" s="123"/>
      <c r="DF146" s="23">
        <v>0</v>
      </c>
    </row>
    <row r="147" spans="1:110" s="22" customFormat="1" x14ac:dyDescent="0.2">
      <c r="A147" s="22" t="s">
        <v>49</v>
      </c>
      <c r="B147" s="22">
        <f>SUM(B143:B146)</f>
        <v>0</v>
      </c>
      <c r="C147" s="22">
        <f t="shared" ref="C147:V147" si="1126">SUM(C143:C146)</f>
        <v>0</v>
      </c>
      <c r="D147" s="22">
        <f t="shared" si="1126"/>
        <v>0</v>
      </c>
      <c r="E147" s="22">
        <f t="shared" si="1126"/>
        <v>0</v>
      </c>
      <c r="F147" s="22">
        <f t="shared" si="1126"/>
        <v>0</v>
      </c>
      <c r="G147" s="22">
        <f t="shared" si="1126"/>
        <v>0</v>
      </c>
      <c r="H147" s="22">
        <f t="shared" si="1126"/>
        <v>56.78</v>
      </c>
      <c r="I147" s="22">
        <f t="shared" si="1126"/>
        <v>1011.174</v>
      </c>
      <c r="J147" s="22">
        <f t="shared" si="1126"/>
        <v>4989.6864999999998</v>
      </c>
      <c r="K147" s="22">
        <f t="shared" si="1126"/>
        <v>10585.5</v>
      </c>
      <c r="L147" s="22">
        <f t="shared" si="1126"/>
        <v>24502.720000000001</v>
      </c>
      <c r="M147" s="22">
        <f t="shared" si="1126"/>
        <v>38600.340000000004</v>
      </c>
      <c r="N147" s="22">
        <f t="shared" si="1126"/>
        <v>41795.44000000001</v>
      </c>
      <c r="O147" s="22">
        <f t="shared" si="1126"/>
        <v>44150.229999999996</v>
      </c>
      <c r="P147" s="22">
        <f t="shared" si="1126"/>
        <v>44741.96</v>
      </c>
      <c r="Q147" s="22">
        <f t="shared" si="1126"/>
        <v>52729.320000000007</v>
      </c>
      <c r="R147" s="22">
        <f t="shared" si="1126"/>
        <v>52484.37</v>
      </c>
      <c r="S147" s="22">
        <f t="shared" si="1126"/>
        <v>52834.81</v>
      </c>
      <c r="T147" s="22">
        <f t="shared" si="1126"/>
        <v>54979.700000000004</v>
      </c>
      <c r="U147" s="22">
        <f t="shared" si="1126"/>
        <v>63813.759999999995</v>
      </c>
      <c r="V147" s="22">
        <f t="shared" si="1126"/>
        <v>65026.27</v>
      </c>
      <c r="W147" s="22">
        <f t="shared" ref="W147" si="1127">SUM(W143:W146)</f>
        <v>62010.680000000008</v>
      </c>
      <c r="X147" s="22">
        <f t="shared" ref="X147:Y147" si="1128">SUM(X143:X146)</f>
        <v>55467.05000000001</v>
      </c>
      <c r="Y147" s="22">
        <f t="shared" si="1128"/>
        <v>41771.86</v>
      </c>
      <c r="Z147" s="22">
        <f t="shared" ref="Z147:AA147" si="1129">SUM(Z143:Z146)</f>
        <v>41391.800000000003</v>
      </c>
      <c r="AA147" s="22">
        <f t="shared" ref="AA147" si="1130">SUM(AA143:AA146)</f>
        <v>53555.54</v>
      </c>
      <c r="AB147" s="21">
        <f t="shared" ref="AB147:AD147" si="1131">SUM(AB143:AB146)</f>
        <v>53555.54</v>
      </c>
      <c r="AC147" s="21">
        <f t="shared" si="1131"/>
        <v>53555.54</v>
      </c>
      <c r="AD147" s="21">
        <f t="shared" si="1131"/>
        <v>53555.54</v>
      </c>
      <c r="AE147" s="21">
        <f t="shared" ref="AE147" si="1132">SUM(AE143:AE146)</f>
        <v>53555.54</v>
      </c>
      <c r="AJ147" s="22">
        <f t="shared" ref="AJ147" si="1133">SUM(AJ143:AJ146)</f>
        <v>37997.19</v>
      </c>
      <c r="AK147" s="22">
        <f t="shared" ref="AK147" si="1134">SUM(AK143:AK146)</f>
        <v>37997.19</v>
      </c>
      <c r="AL147" s="22">
        <f t="shared" ref="AL147:AM147" si="1135">SUM(AL143:AL146)</f>
        <v>37602.79</v>
      </c>
      <c r="AM147" s="22">
        <f t="shared" si="1135"/>
        <v>37602.79</v>
      </c>
      <c r="AN147" s="22">
        <f t="shared" ref="AN147:AO147" si="1136">SUM(AN143:AN146)</f>
        <v>40608.550000000003</v>
      </c>
      <c r="AO147" s="22">
        <f t="shared" si="1136"/>
        <v>40608.550000000003</v>
      </c>
      <c r="AP147" s="22">
        <f t="shared" ref="AP147:CE147" si="1137">SUM(AP143:AP146)</f>
        <v>39768.76</v>
      </c>
      <c r="AQ147" s="22">
        <f t="shared" si="1137"/>
        <v>39768.76</v>
      </c>
      <c r="AR147" s="22">
        <f t="shared" si="1137"/>
        <v>42328.450000000004</v>
      </c>
      <c r="AS147" s="22">
        <f t="shared" si="1137"/>
        <v>42328.450000000004</v>
      </c>
      <c r="AT147" s="22">
        <f t="shared" si="1137"/>
        <v>41384.51</v>
      </c>
      <c r="AU147" s="22">
        <f t="shared" si="1137"/>
        <v>41384.51</v>
      </c>
      <c r="AV147" s="22">
        <f t="shared" si="1137"/>
        <v>48477.37</v>
      </c>
      <c r="AW147" s="22">
        <f t="shared" si="1137"/>
        <v>48477.37</v>
      </c>
      <c r="AX147" s="22">
        <f t="shared" si="1137"/>
        <v>48853.240000000005</v>
      </c>
      <c r="AY147" s="22">
        <f t="shared" si="1137"/>
        <v>48853.240000000005</v>
      </c>
      <c r="AZ147" s="22">
        <f t="shared" si="1137"/>
        <v>49547.5</v>
      </c>
      <c r="BA147" s="22">
        <f t="shared" si="1137"/>
        <v>49547.5</v>
      </c>
      <c r="BB147" s="22">
        <f t="shared" si="1137"/>
        <v>49230.61</v>
      </c>
      <c r="BC147" s="22">
        <f t="shared" si="1137"/>
        <v>49230.61</v>
      </c>
      <c r="BD147" s="22">
        <f t="shared" si="1137"/>
        <v>47609.43</v>
      </c>
      <c r="BE147" s="22">
        <f t="shared" si="1137"/>
        <v>47609.43</v>
      </c>
      <c r="BF147" s="22">
        <f t="shared" si="1137"/>
        <v>49120.19</v>
      </c>
      <c r="BG147" s="22">
        <f t="shared" si="1137"/>
        <v>49120.19</v>
      </c>
      <c r="BH147" s="22">
        <f t="shared" ref="BH147" si="1138">SUM(BH143:BH146)</f>
        <v>44783.53</v>
      </c>
      <c r="BI147" s="22">
        <f t="shared" si="1137"/>
        <v>44783.53</v>
      </c>
      <c r="BJ147" s="22">
        <f t="shared" si="1137"/>
        <v>43483.799999999996</v>
      </c>
      <c r="BK147" s="22">
        <f t="shared" si="1137"/>
        <v>43483.799999999996</v>
      </c>
      <c r="BL147" s="22">
        <f t="shared" si="1137"/>
        <v>48515.96</v>
      </c>
      <c r="BM147" s="22">
        <f t="shared" si="1137"/>
        <v>48515.96</v>
      </c>
      <c r="BN147" s="22">
        <f t="shared" si="1137"/>
        <v>52368.149999999994</v>
      </c>
      <c r="BO147" s="22">
        <f t="shared" si="1137"/>
        <v>52368.149999999994</v>
      </c>
      <c r="BP147" s="22">
        <f t="shared" si="1137"/>
        <v>51340.600000000006</v>
      </c>
      <c r="BQ147" s="22">
        <f t="shared" si="1137"/>
        <v>51340.600000000006</v>
      </c>
      <c r="BR147" s="22">
        <f t="shared" si="1137"/>
        <v>52411.270000000004</v>
      </c>
      <c r="BS147" s="22">
        <f t="shared" si="1137"/>
        <v>52411.270000000004</v>
      </c>
      <c r="BT147" s="22">
        <f t="shared" si="1137"/>
        <v>52644.21</v>
      </c>
      <c r="BU147" s="22">
        <f t="shared" si="1137"/>
        <v>52644.21</v>
      </c>
      <c r="BV147" s="22">
        <f t="shared" si="1137"/>
        <v>48795.68</v>
      </c>
      <c r="BW147" s="22">
        <f t="shared" si="1137"/>
        <v>48795.68</v>
      </c>
      <c r="BX147" s="22">
        <f t="shared" si="1137"/>
        <v>45112.829999999994</v>
      </c>
      <c r="BY147" s="22">
        <f t="shared" si="1137"/>
        <v>45112.829999999994</v>
      </c>
      <c r="BZ147" s="22">
        <f t="shared" si="1137"/>
        <v>42252.05</v>
      </c>
      <c r="CA147" s="22">
        <f t="shared" si="1137"/>
        <v>42252.05</v>
      </c>
      <c r="CB147" s="22">
        <f t="shared" si="1137"/>
        <v>32213.57</v>
      </c>
      <c r="CC147" s="22">
        <f t="shared" si="1137"/>
        <v>32213.57</v>
      </c>
      <c r="CD147" s="22">
        <f t="shared" si="1137"/>
        <v>34456.86</v>
      </c>
      <c r="CE147" s="22">
        <f t="shared" si="1137"/>
        <v>34456.86</v>
      </c>
      <c r="CF147" s="22">
        <f t="shared" ref="CF147:CG147" si="1139">SUM(CF143:CF146)</f>
        <v>37427.300000000003</v>
      </c>
      <c r="CG147" s="22">
        <f t="shared" si="1139"/>
        <v>37427.300000000003</v>
      </c>
      <c r="CH147" s="22">
        <f t="shared" ref="CH147:CI147" si="1140">SUM(CH143:CH146)</f>
        <v>41391.800000000003</v>
      </c>
      <c r="CI147" s="22">
        <f t="shared" si="1140"/>
        <v>41391.800000000003</v>
      </c>
      <c r="CJ147" s="22">
        <f t="shared" ref="CJ147:DB147" si="1141">SUM(CJ143:CJ146)</f>
        <v>47253.69</v>
      </c>
      <c r="CK147" s="21">
        <f t="shared" si="1141"/>
        <v>47253.69</v>
      </c>
      <c r="CL147" s="22">
        <f t="shared" ref="CL147" si="1142">SUM(CL143:CL146)</f>
        <v>53555.54</v>
      </c>
      <c r="CM147" s="21">
        <f t="shared" si="1141"/>
        <v>53555.54</v>
      </c>
      <c r="CN147" s="21">
        <f t="shared" si="1141"/>
        <v>53555.54</v>
      </c>
      <c r="CO147" s="21">
        <f t="shared" si="1141"/>
        <v>53555.54</v>
      </c>
      <c r="CP147" s="21">
        <f t="shared" si="1141"/>
        <v>53555.54</v>
      </c>
      <c r="CQ147" s="21">
        <f t="shared" si="1141"/>
        <v>53555.54</v>
      </c>
      <c r="CR147" s="21">
        <f t="shared" si="1141"/>
        <v>53555.54</v>
      </c>
      <c r="CS147" s="21">
        <f t="shared" si="1141"/>
        <v>53555.54</v>
      </c>
      <c r="CT147" s="21">
        <f t="shared" si="1141"/>
        <v>53555.54</v>
      </c>
      <c r="CU147" s="21">
        <f t="shared" si="1141"/>
        <v>53555.54</v>
      </c>
      <c r="CV147" s="21">
        <f t="shared" si="1141"/>
        <v>53555.54</v>
      </c>
      <c r="CW147" s="21">
        <f t="shared" si="1141"/>
        <v>53555.54</v>
      </c>
      <c r="CX147" s="21">
        <f t="shared" si="1141"/>
        <v>53555.54</v>
      </c>
      <c r="CY147" s="21">
        <f t="shared" si="1141"/>
        <v>53555.54</v>
      </c>
      <c r="CZ147" s="21">
        <f t="shared" si="1141"/>
        <v>53555.54</v>
      </c>
      <c r="DA147" s="21">
        <f t="shared" si="1141"/>
        <v>53555.54</v>
      </c>
      <c r="DB147" s="21">
        <f t="shared" si="1141"/>
        <v>53555.54</v>
      </c>
      <c r="DE147" s="126"/>
      <c r="DF147" s="22">
        <v>0</v>
      </c>
    </row>
    <row r="148" spans="1:110" s="26" customFormat="1" x14ac:dyDescent="0.2">
      <c r="A148" s="26" t="s">
        <v>437</v>
      </c>
      <c r="B148" s="26">
        <f>B147+B139+B141</f>
        <v>0</v>
      </c>
      <c r="C148" s="26">
        <f t="shared" ref="C148:V148" si="1143">C147+C139+C141</f>
        <v>0</v>
      </c>
      <c r="D148" s="26">
        <f>D147+D139+D141</f>
        <v>0</v>
      </c>
      <c r="E148" s="26">
        <f t="shared" si="1143"/>
        <v>0.93899999999999995</v>
      </c>
      <c r="F148" s="26">
        <f t="shared" si="1143"/>
        <v>0.95</v>
      </c>
      <c r="G148" s="26">
        <f t="shared" si="1143"/>
        <v>10.799999999999999</v>
      </c>
      <c r="H148" s="26">
        <f t="shared" si="1143"/>
        <v>337.47</v>
      </c>
      <c r="I148" s="26">
        <f t="shared" si="1143"/>
        <v>2445.0550000000003</v>
      </c>
      <c r="J148" s="26">
        <f t="shared" si="1143"/>
        <v>7348.3419999999996</v>
      </c>
      <c r="K148" s="26">
        <f t="shared" si="1143"/>
        <v>16465.850000000002</v>
      </c>
      <c r="L148" s="26">
        <f t="shared" si="1143"/>
        <v>31356.3</v>
      </c>
      <c r="M148" s="26">
        <f t="shared" si="1143"/>
        <v>45200.68</v>
      </c>
      <c r="N148" s="26">
        <f t="shared" si="1143"/>
        <v>46088.850000000006</v>
      </c>
      <c r="O148" s="26">
        <f t="shared" si="1143"/>
        <v>50693.619999999995</v>
      </c>
      <c r="P148" s="26">
        <f t="shared" si="1143"/>
        <v>50466.58</v>
      </c>
      <c r="Q148" s="26">
        <f t="shared" si="1143"/>
        <v>60197.180000000008</v>
      </c>
      <c r="R148" s="26">
        <f t="shared" si="1143"/>
        <v>55483.93</v>
      </c>
      <c r="S148" s="26">
        <f t="shared" si="1143"/>
        <v>53724.14</v>
      </c>
      <c r="T148" s="26">
        <f t="shared" si="1143"/>
        <v>54691.990000000005</v>
      </c>
      <c r="U148" s="26">
        <f t="shared" si="1143"/>
        <v>61679.199999999997</v>
      </c>
      <c r="V148" s="26">
        <f t="shared" si="1143"/>
        <v>65523.87</v>
      </c>
      <c r="W148" s="26">
        <f t="shared" ref="W148" si="1144">W147+W139+W141</f>
        <v>67499.12000000001</v>
      </c>
      <c r="X148" s="26">
        <f t="shared" ref="X148:Y148" si="1145">X147+X139+X141</f>
        <v>72127.710000000006</v>
      </c>
      <c r="Y148" s="26">
        <f t="shared" si="1145"/>
        <v>77601.89</v>
      </c>
      <c r="Z148" s="26">
        <f t="shared" ref="Z148:AA148" si="1146">Z147+Z139+Z141</f>
        <v>96008.44</v>
      </c>
      <c r="AA148" s="26">
        <f t="shared" ref="AA148" si="1147">AA147+AA139+AA141</f>
        <v>119957.46</v>
      </c>
      <c r="AB148" s="27">
        <f t="shared" ref="AB148:AD148" si="1148">AB147+AB139+AB141</f>
        <v>133831.49044830326</v>
      </c>
      <c r="AC148" s="27">
        <f t="shared" si="1148"/>
        <v>150650.97884687039</v>
      </c>
      <c r="AD148" s="27">
        <f t="shared" si="1148"/>
        <v>170451.64704481489</v>
      </c>
      <c r="AE148" s="27">
        <f t="shared" ref="AE148" si="1149">AE147+AE139+AE141</f>
        <v>195838.97966588204</v>
      </c>
      <c r="AJ148" s="26">
        <f t="shared" ref="AJ148" si="1150">AJ147+AJ139+AJ141</f>
        <v>43518.159999999996</v>
      </c>
      <c r="AK148" s="26">
        <f t="shared" ref="AK148" si="1151">AK147+AK139+AK141</f>
        <v>42899.15</v>
      </c>
      <c r="AL148" s="26">
        <f t="shared" ref="AL148" si="1152">AL147+AL139+AL141</f>
        <v>41896.199999999997</v>
      </c>
      <c r="AM148" s="26">
        <f t="shared" ref="AM148:AO148" si="1153">AM147+AM139+AM141</f>
        <v>40697.910000000003</v>
      </c>
      <c r="AN148" s="26">
        <f t="shared" si="1153"/>
        <v>45173.91</v>
      </c>
      <c r="AO148" s="26">
        <f t="shared" si="1153"/>
        <v>44629.090000000004</v>
      </c>
      <c r="AP148" s="26">
        <f t="shared" ref="AP148:CE148" si="1154">AP147+AP139+AP141</f>
        <v>46312.15</v>
      </c>
      <c r="AQ148" s="26">
        <f t="shared" si="1154"/>
        <v>46008.86</v>
      </c>
      <c r="AR148" s="26">
        <f t="shared" si="1154"/>
        <v>47769.450000000004</v>
      </c>
      <c r="AS148" s="26">
        <f t="shared" si="1154"/>
        <v>47340.770000000004</v>
      </c>
      <c r="AT148" s="26">
        <f t="shared" si="1154"/>
        <v>47109.130000000005</v>
      </c>
      <c r="AU148" s="26">
        <f t="shared" si="1154"/>
        <v>46942.990000000005</v>
      </c>
      <c r="AV148" s="26">
        <f t="shared" si="1154"/>
        <v>53682.98</v>
      </c>
      <c r="AW148" s="26">
        <f t="shared" si="1154"/>
        <v>53792.47</v>
      </c>
      <c r="AX148" s="26">
        <f t="shared" si="1154"/>
        <v>56321.090000000004</v>
      </c>
      <c r="AY148" s="26">
        <f t="shared" si="1154"/>
        <v>56088.460000000006</v>
      </c>
      <c r="AZ148" s="26">
        <f t="shared" si="1154"/>
        <v>57494.25</v>
      </c>
      <c r="BA148" s="26">
        <f t="shared" si="1154"/>
        <v>56826.36</v>
      </c>
      <c r="BB148" s="26">
        <f t="shared" si="1154"/>
        <v>52230.17</v>
      </c>
      <c r="BC148" s="26">
        <f t="shared" si="1154"/>
        <v>51777.33</v>
      </c>
      <c r="BD148" s="26">
        <f t="shared" si="1154"/>
        <v>50446.98</v>
      </c>
      <c r="BE148" s="26">
        <f t="shared" si="1154"/>
        <v>49133.24</v>
      </c>
      <c r="BF148" s="26">
        <f t="shared" si="1154"/>
        <v>50009.520000000004</v>
      </c>
      <c r="BG148" s="26">
        <f t="shared" si="1154"/>
        <v>50009.520000000004</v>
      </c>
      <c r="BH148" s="26">
        <f t="shared" ref="BH148" si="1155">BH147+BH139+BH141</f>
        <v>50236.21</v>
      </c>
      <c r="BI148" s="26">
        <f t="shared" si="1154"/>
        <v>49055.43</v>
      </c>
      <c r="BJ148" s="26">
        <f t="shared" si="1154"/>
        <v>51196.09</v>
      </c>
      <c r="BK148" s="26">
        <f t="shared" si="1154"/>
        <v>50932.7</v>
      </c>
      <c r="BL148" s="26">
        <f t="shared" si="1154"/>
        <v>58149.27</v>
      </c>
      <c r="BM148" s="26">
        <f t="shared" si="1154"/>
        <v>57446.91</v>
      </c>
      <c r="BN148" s="26">
        <f t="shared" si="1154"/>
        <v>58848.6</v>
      </c>
      <c r="BO148" s="26">
        <f t="shared" si="1154"/>
        <v>58166.139999999992</v>
      </c>
      <c r="BP148" s="26">
        <f t="shared" si="1154"/>
        <v>62931.650000000009</v>
      </c>
      <c r="BQ148" s="26">
        <f t="shared" si="1154"/>
        <v>62642.910000000011</v>
      </c>
      <c r="BR148" s="26">
        <f t="shared" si="1154"/>
        <v>65523.87</v>
      </c>
      <c r="BS148" s="26">
        <f t="shared" si="1154"/>
        <v>65802.09</v>
      </c>
      <c r="BT148" s="26">
        <f t="shared" si="1154"/>
        <v>66034.41</v>
      </c>
      <c r="BU148" s="26">
        <f t="shared" si="1154"/>
        <v>66252.899999999994</v>
      </c>
      <c r="BV148" s="26">
        <f t="shared" si="1154"/>
        <v>67499.12</v>
      </c>
      <c r="BW148" s="26">
        <f t="shared" si="1154"/>
        <v>72278.98</v>
      </c>
      <c r="BX148" s="26">
        <f t="shared" si="1154"/>
        <v>69315.659999999989</v>
      </c>
      <c r="BY148" s="26">
        <f t="shared" si="1154"/>
        <v>69324.429999999993</v>
      </c>
      <c r="BZ148" s="26">
        <f t="shared" si="1154"/>
        <v>72127.710000000006</v>
      </c>
      <c r="CA148" s="26">
        <f t="shared" si="1154"/>
        <v>80887.13</v>
      </c>
      <c r="CB148" s="26">
        <f t="shared" si="1154"/>
        <v>72722.89</v>
      </c>
      <c r="CC148" s="26">
        <f t="shared" si="1154"/>
        <v>75460.850000000006</v>
      </c>
      <c r="CD148" s="26">
        <f t="shared" si="1154"/>
        <v>77601.89</v>
      </c>
      <c r="CE148" s="26">
        <f t="shared" si="1154"/>
        <v>81514.679999999993</v>
      </c>
      <c r="CF148" s="26">
        <f t="shared" ref="CF148:CG148" si="1156">CF147+CF139+CF141</f>
        <v>95422.91</v>
      </c>
      <c r="CG148" s="26">
        <f t="shared" si="1156"/>
        <v>98480.12000000001</v>
      </c>
      <c r="CH148" s="26">
        <f t="shared" ref="CH148:CI148" si="1157">CH147+CH139+CH141</f>
        <v>96008.44</v>
      </c>
      <c r="CI148" s="26">
        <f t="shared" si="1157"/>
        <v>99393.300000000017</v>
      </c>
      <c r="CJ148" s="26">
        <f t="shared" ref="CJ148:DB148" si="1158">CJ147+CJ139+CJ141</f>
        <v>106900.43</v>
      </c>
      <c r="CK148" s="27">
        <f t="shared" si="1158"/>
        <v>109380.01000000001</v>
      </c>
      <c r="CL148" s="26">
        <f t="shared" ref="CL148" si="1159">CL147+CL139+CL141</f>
        <v>119957.46</v>
      </c>
      <c r="CM148" s="27">
        <f t="shared" si="1158"/>
        <v>123436.33040042086</v>
      </c>
      <c r="CN148" s="27">
        <f t="shared" si="1158"/>
        <v>126491.95052101628</v>
      </c>
      <c r="CO148" s="27">
        <f t="shared" si="1158"/>
        <v>129590.01632937508</v>
      </c>
      <c r="CP148" s="27">
        <f t="shared" si="1158"/>
        <v>133831.49044830326</v>
      </c>
      <c r="CQ148" s="27">
        <f t="shared" si="1158"/>
        <v>137576.77795832275</v>
      </c>
      <c r="CR148" s="27">
        <f t="shared" si="1158"/>
        <v>141406.80886932576</v>
      </c>
      <c r="CS148" s="27">
        <f t="shared" si="1158"/>
        <v>145474.55419605001</v>
      </c>
      <c r="CT148" s="27">
        <f t="shared" si="1158"/>
        <v>150650.97884687039</v>
      </c>
      <c r="CU148" s="27">
        <f t="shared" si="1158"/>
        <v>154980.91357089274</v>
      </c>
      <c r="CV148" s="27">
        <f t="shared" si="1158"/>
        <v>159333.75770205888</v>
      </c>
      <c r="CW148" s="27">
        <f t="shared" si="1158"/>
        <v>164200.95811471195</v>
      </c>
      <c r="CX148" s="27">
        <f t="shared" si="1158"/>
        <v>170451.64704481489</v>
      </c>
      <c r="CY148" s="27">
        <f t="shared" si="1158"/>
        <v>175824.60848281818</v>
      </c>
      <c r="CZ148" s="27">
        <f t="shared" si="1158"/>
        <v>181568.12102643258</v>
      </c>
      <c r="DA148" s="27">
        <f t="shared" si="1158"/>
        <v>187678.69405927442</v>
      </c>
      <c r="DB148" s="27">
        <f t="shared" si="1158"/>
        <v>195838.97966588204</v>
      </c>
      <c r="DE148" s="121"/>
      <c r="DF148" s="26">
        <v>0</v>
      </c>
    </row>
    <row r="149" spans="1:110" s="23" customFormat="1" x14ac:dyDescent="0.2">
      <c r="AB149" s="24"/>
      <c r="AC149" s="24"/>
      <c r="AD149" s="24"/>
      <c r="AE149" s="24"/>
      <c r="CK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outlineLevel="1" x14ac:dyDescent="0.2">
      <c r="A150" s="23" t="s">
        <v>50</v>
      </c>
      <c r="B150" s="23">
        <f>'Annual Raw'!C62</f>
        <v>0</v>
      </c>
      <c r="C150" s="23">
        <f>'Annual Raw'!D62</f>
        <v>0</v>
      </c>
      <c r="D150" s="23">
        <f>'Annual Raw'!E62</f>
        <v>0</v>
      </c>
      <c r="E150" s="23">
        <f>'Annual Raw'!F62-E154</f>
        <v>0</v>
      </c>
      <c r="F150" s="23">
        <f>'Annual Raw'!G62-F154</f>
        <v>0</v>
      </c>
      <c r="G150" s="23">
        <f>'Annual Raw'!H62-G154</f>
        <v>0.183</v>
      </c>
      <c r="H150" s="23">
        <f>'Annual Raw'!I62-H154</f>
        <v>1.1931</v>
      </c>
      <c r="I150" s="23">
        <f>'Annual Raw'!J62-I154</f>
        <v>18.350999999999999</v>
      </c>
      <c r="J150" s="23">
        <f>'Annual Raw'!K62-J154</f>
        <v>347.17259999999999</v>
      </c>
      <c r="K150" s="23">
        <f>'Annual Raw'!L62-K154</f>
        <v>2854.92</v>
      </c>
      <c r="L150" s="23">
        <f>'Annual Raw'!M62-L154</f>
        <v>9028.34</v>
      </c>
      <c r="M150" s="23">
        <f>'Annual Raw'!N62-M154</f>
        <v>16702.169999999998</v>
      </c>
      <c r="N150" s="23">
        <f>'Annual Raw'!O62-N154</f>
        <v>31218.23</v>
      </c>
      <c r="O150" s="23">
        <f>'Annual Raw'!P62-O154</f>
        <v>50698.01</v>
      </c>
      <c r="P150" s="23">
        <f>'Annual Raw'!Q62-P154</f>
        <v>50752.030000000006</v>
      </c>
      <c r="Q150" s="23">
        <f>'Annual Raw'!R62-Q154</f>
        <v>60092.62</v>
      </c>
      <c r="R150" s="23">
        <f>'Annual Raw'!S62-R154</f>
        <v>60211.42</v>
      </c>
      <c r="S150" s="23">
        <f>'Annual Raw'!T62-S154</f>
        <v>60645.63</v>
      </c>
      <c r="T150" s="23">
        <f>'Annual Raw'!U62-T154</f>
        <v>61669.61</v>
      </c>
      <c r="U150" s="23">
        <f>'Annual Raw'!V62-U154</f>
        <v>70086.27</v>
      </c>
      <c r="V150" s="23">
        <f>'Annual Raw'!W62-V154</f>
        <v>70273.31</v>
      </c>
      <c r="W150" s="23">
        <f>'Annual Raw'!X62-W154</f>
        <v>73754.350000000006</v>
      </c>
      <c r="X150" s="23">
        <f>'Annual Raw'!Y62-X154</f>
        <v>74418.179999999993</v>
      </c>
      <c r="Y150" s="23">
        <f>'Annual Raw'!Z62-Y154</f>
        <v>90518.65</v>
      </c>
      <c r="Z150" s="23">
        <f>'Annual Raw'!AA62-Z154</f>
        <v>100857.09999999999</v>
      </c>
      <c r="AA150" s="23">
        <f>'Annual Raw'!AB62-AA154</f>
        <v>105423.3</v>
      </c>
      <c r="AB150" s="24">
        <f t="shared" ref="AB150:AB156" si="1160">+CP150</f>
        <v>128220.80000000002</v>
      </c>
      <c r="AC150" s="24">
        <f t="shared" ref="AC150:AC156" si="1161">+CT150</f>
        <v>153220.80000000002</v>
      </c>
      <c r="AD150" s="24">
        <f t="shared" ref="AD150:AD156" si="1162">+CX150</f>
        <v>178220.80000000002</v>
      </c>
      <c r="AE150" s="24">
        <f t="shared" ref="AE150:AE156" si="1163">+DB150</f>
        <v>203220.80000000002</v>
      </c>
      <c r="AJ150" s="23">
        <f>+'QTR Raw'!D68</f>
        <v>46988.66</v>
      </c>
      <c r="AL150" s="23">
        <f>+'QTR Raw'!F68</f>
        <v>48058.15</v>
      </c>
      <c r="AN150" s="23">
        <f>+'QTR Raw'!H68</f>
        <v>50442.32</v>
      </c>
      <c r="AP150" s="23">
        <f>+'QTR Raw'!J68</f>
        <v>50017.41</v>
      </c>
      <c r="AR150" s="23">
        <f>+'QTR Raw'!L68</f>
        <v>49513.61</v>
      </c>
      <c r="AT150" s="23">
        <f>+'QTR Raw'!N68</f>
        <v>45264.07</v>
      </c>
      <c r="AV150" s="23">
        <f>+'QTR Raw'!P68</f>
        <v>50625.71</v>
      </c>
      <c r="AX150" s="23">
        <f>+'QTR Raw'!R68</f>
        <v>56750.61</v>
      </c>
      <c r="AZ150" s="23">
        <f>+'QTR Raw'!T68</f>
        <v>49251.87</v>
      </c>
      <c r="BB150" s="23">
        <f>+'QTR Raw'!V68</f>
        <v>54200.32</v>
      </c>
      <c r="BD150" s="23">
        <f>+'QTR Raw'!X68</f>
        <v>53019.22</v>
      </c>
      <c r="BF150" s="23">
        <f>+'QTR Raw'!Z68</f>
        <v>51946.53</v>
      </c>
      <c r="BH150" s="23">
        <f>+'QTR Raw'!AB68</f>
        <v>51305.63</v>
      </c>
      <c r="BJ150" s="23">
        <f>+'QTR Raw'!AD68</f>
        <v>50228.15</v>
      </c>
      <c r="BL150" s="23">
        <f>+'QTR Raw'!AF68</f>
        <v>57827.1</v>
      </c>
      <c r="BN150" s="23">
        <f>+'QTR Raw'!AH68</f>
        <v>55655.199999999997</v>
      </c>
      <c r="BP150" s="23">
        <f>+'QTR Raw'!AJ68</f>
        <v>54047.27</v>
      </c>
      <c r="BR150" s="23">
        <f>+'QTR Raw'!AL68</f>
        <v>52660.69</v>
      </c>
      <c r="BT150" s="23">
        <f>+'QTR Raw'!AN68</f>
        <v>51219.69</v>
      </c>
      <c r="BV150" s="23">
        <f>+'QTR Raw'!AP68</f>
        <v>53083.6</v>
      </c>
      <c r="BX150" s="23">
        <f>+'QTR Raw'!AR68</f>
        <v>51772.73</v>
      </c>
      <c r="BZ150" s="23">
        <f>+'QTR Raw'!AT68</f>
        <v>50555.83</v>
      </c>
      <c r="CB150" s="23">
        <f>+'QTR Raw'!AV68</f>
        <v>64614.84</v>
      </c>
      <c r="CD150" s="23">
        <f>+'QTR Raw'!AX68</f>
        <v>62042.720000000001</v>
      </c>
      <c r="CF150" s="23">
        <f>+'QTR Raw'!AZ68</f>
        <v>70956.03</v>
      </c>
      <c r="CH150" s="23">
        <f t="shared" ref="CH150:CH156" si="1164">Z150</f>
        <v>100857.09999999999</v>
      </c>
      <c r="CI150" s="23">
        <f>CH150</f>
        <v>100857.09999999999</v>
      </c>
      <c r="CJ150" s="23">
        <f>+CJ151+CJ153</f>
        <v>102667.27</v>
      </c>
      <c r="CK150" s="24">
        <f t="shared" ref="CK150" si="1165">+CJ150+1100</f>
        <v>103767.27</v>
      </c>
      <c r="CL150" s="23">
        <f>+CL151+CL153</f>
        <v>103220.80000000002</v>
      </c>
      <c r="CM150" s="24">
        <f t="shared" ref="CM150:DB150" si="1166">+CL150+6250</f>
        <v>109470.80000000002</v>
      </c>
      <c r="CN150" s="24">
        <f t="shared" si="1166"/>
        <v>115720.80000000002</v>
      </c>
      <c r="CO150" s="24">
        <f t="shared" si="1166"/>
        <v>121970.80000000002</v>
      </c>
      <c r="CP150" s="24">
        <f t="shared" si="1166"/>
        <v>128220.80000000002</v>
      </c>
      <c r="CQ150" s="24">
        <f t="shared" si="1166"/>
        <v>134470.80000000002</v>
      </c>
      <c r="CR150" s="24">
        <f t="shared" si="1166"/>
        <v>140720.80000000002</v>
      </c>
      <c r="CS150" s="24">
        <f t="shared" si="1166"/>
        <v>146970.80000000002</v>
      </c>
      <c r="CT150" s="24">
        <f t="shared" si="1166"/>
        <v>153220.80000000002</v>
      </c>
      <c r="CU150" s="24">
        <f t="shared" si="1166"/>
        <v>159470.80000000002</v>
      </c>
      <c r="CV150" s="24">
        <f t="shared" si="1166"/>
        <v>165720.80000000002</v>
      </c>
      <c r="CW150" s="24">
        <f t="shared" si="1166"/>
        <v>171970.80000000002</v>
      </c>
      <c r="CX150" s="24">
        <f t="shared" si="1166"/>
        <v>178220.80000000002</v>
      </c>
      <c r="CY150" s="24">
        <f t="shared" si="1166"/>
        <v>184470.80000000002</v>
      </c>
      <c r="CZ150" s="24">
        <f t="shared" si="1166"/>
        <v>190720.80000000002</v>
      </c>
      <c r="DA150" s="24">
        <f t="shared" si="1166"/>
        <v>196970.80000000002</v>
      </c>
      <c r="DB150" s="24">
        <f t="shared" si="1166"/>
        <v>203220.80000000002</v>
      </c>
      <c r="DE150" s="123"/>
      <c r="DF150" s="23">
        <v>0</v>
      </c>
    </row>
    <row r="151" spans="1:110" s="23" customFormat="1" outlineLevel="1" x14ac:dyDescent="0.2">
      <c r="A151" s="23" t="s">
        <v>51</v>
      </c>
      <c r="B151" s="23">
        <f>'Annual Raw'!C63</f>
        <v>0</v>
      </c>
      <c r="C151" s="23">
        <f>'Annual Raw'!D63</f>
        <v>0</v>
      </c>
      <c r="D151" s="23">
        <f>'Annual Raw'!E63</f>
        <v>0</v>
      </c>
      <c r="E151" s="23">
        <f>'Annual Raw'!F63</f>
        <v>0</v>
      </c>
      <c r="F151" s="23">
        <f>'Annual Raw'!G63</f>
        <v>0</v>
      </c>
      <c r="G151" s="23">
        <f>'Annual Raw'!H63</f>
        <v>3.3999999999999998E-3</v>
      </c>
      <c r="H151" s="23">
        <f>'Annual Raw'!I63</f>
        <v>0.14879999999999999</v>
      </c>
      <c r="I151" s="23">
        <f>'Annual Raw'!J63</f>
        <v>1.254</v>
      </c>
      <c r="J151" s="23">
        <f>'Annual Raw'!K63</f>
        <v>10.355</v>
      </c>
      <c r="K151" s="23">
        <f>'Annual Raw'!L63</f>
        <v>67.8</v>
      </c>
      <c r="L151" s="23">
        <f>'Annual Raw'!M63</f>
        <v>281.10000000000002</v>
      </c>
      <c r="M151" s="23">
        <f>'Annual Raw'!N63</f>
        <v>897.98</v>
      </c>
      <c r="N151" s="23">
        <f>'Annual Raw'!O63</f>
        <v>2129.63</v>
      </c>
      <c r="O151" s="23">
        <f>'Annual Raw'!P63</f>
        <v>4340.43</v>
      </c>
      <c r="P151" s="23">
        <f>'Annual Raw'!Q63</f>
        <v>5679.3</v>
      </c>
      <c r="Q151" s="23">
        <f>'Annual Raw'!R63</f>
        <v>3342.01</v>
      </c>
      <c r="R151" s="23">
        <f>'Annual Raw'!S63</f>
        <v>6011.1</v>
      </c>
      <c r="S151" s="23">
        <f>'Annual Raw'!T63</f>
        <v>8699.1</v>
      </c>
      <c r="T151" s="23">
        <f>'Annual Raw'!U63</f>
        <v>11441.46</v>
      </c>
      <c r="U151" s="23">
        <f>'Annual Raw'!V63</f>
        <v>14431.07</v>
      </c>
      <c r="V151" s="23">
        <f>'Annual Raw'!W63</f>
        <v>17612.62</v>
      </c>
      <c r="W151" s="23">
        <f>'Annual Raw'!X63</f>
        <v>20670.75</v>
      </c>
      <c r="X151" s="23">
        <f>'Annual Raw'!Y63</f>
        <v>23862.35</v>
      </c>
      <c r="Y151" s="23">
        <f>'Annual Raw'!Z63</f>
        <v>27693.41</v>
      </c>
      <c r="Z151" s="23">
        <f>'Annual Raw'!AA63</f>
        <v>31812.86</v>
      </c>
      <c r="AA151" s="23">
        <f>'Annual Raw'!AB63</f>
        <v>36318.61</v>
      </c>
      <c r="AB151" s="24">
        <f t="shared" si="1160"/>
        <v>42306.616910174402</v>
      </c>
      <c r="AC151" s="24">
        <f t="shared" si="1161"/>
        <v>48268.188030201105</v>
      </c>
      <c r="AD151" s="24">
        <f t="shared" si="1162"/>
        <v>55419.28624970276</v>
      </c>
      <c r="AE151" s="24">
        <f t="shared" si="1163"/>
        <v>63685.589536682601</v>
      </c>
      <c r="AJ151" s="23">
        <f>+'QTR Raw'!D69</f>
        <v>0</v>
      </c>
      <c r="AL151" s="23">
        <f>+'QTR Raw'!F69</f>
        <v>0</v>
      </c>
      <c r="AN151" s="23">
        <f>+'QTR Raw'!H69</f>
        <v>0</v>
      </c>
      <c r="AP151" s="23">
        <f>+'QTR Raw'!J69</f>
        <v>0</v>
      </c>
      <c r="AR151" s="23">
        <f>+'QTR Raw'!L69</f>
        <v>0</v>
      </c>
      <c r="AT151" s="23">
        <f>+'QTR Raw'!N69</f>
        <v>0</v>
      </c>
      <c r="AV151" s="23">
        <f>+'QTR Raw'!P69</f>
        <v>0</v>
      </c>
      <c r="AX151" s="23">
        <f>+'QTR Raw'!R69</f>
        <v>0</v>
      </c>
      <c r="AZ151" s="23">
        <f>+'QTR Raw'!T69</f>
        <v>0</v>
      </c>
      <c r="BB151" s="23">
        <f>+'QTR Raw'!V69</f>
        <v>0</v>
      </c>
      <c r="BD151" s="23">
        <f>+'QTR Raw'!X69</f>
        <v>0</v>
      </c>
      <c r="BF151" s="23">
        <f>+'QTR Raw'!Z69</f>
        <v>0</v>
      </c>
      <c r="BH151" s="23">
        <f>+'QTR Raw'!AB69</f>
        <v>0</v>
      </c>
      <c r="BJ151" s="23">
        <f>+'QTR Raw'!AD69</f>
        <v>0</v>
      </c>
      <c r="BL151" s="23">
        <f>+'QTR Raw'!AF69</f>
        <v>0</v>
      </c>
      <c r="BN151" s="23">
        <f>+'QTR Raw'!AH69</f>
        <v>0</v>
      </c>
      <c r="BP151" s="23">
        <f>+'QTR Raw'!AJ69</f>
        <v>0</v>
      </c>
      <c r="BR151" s="23">
        <f>+'QTR Raw'!AL69</f>
        <v>0</v>
      </c>
      <c r="BT151" s="23">
        <f>+'QTR Raw'!AN69</f>
        <v>0</v>
      </c>
      <c r="BV151" s="23">
        <f>+'QTR Raw'!AP69</f>
        <v>0</v>
      </c>
      <c r="BX151" s="23">
        <f>+'QTR Raw'!AR69</f>
        <v>0</v>
      </c>
      <c r="BZ151" s="23">
        <f>+'QTR Raw'!AT69</f>
        <v>0</v>
      </c>
      <c r="CB151" s="23">
        <f>+'QTR Raw'!AV69</f>
        <v>0</v>
      </c>
      <c r="CD151" s="23">
        <f>+'QTR Raw'!AX69</f>
        <v>0</v>
      </c>
      <c r="CF151" s="23">
        <f>+'QTR Raw'!AZ69</f>
        <v>0</v>
      </c>
      <c r="CH151" s="23">
        <f t="shared" si="1164"/>
        <v>31812.86</v>
      </c>
      <c r="CI151" s="23">
        <f t="shared" ref="CI151:DB151" si="1167">CH151+CI51</f>
        <v>32901.449999999997</v>
      </c>
      <c r="CJ151" s="23">
        <f t="shared" si="1167"/>
        <v>34094.86</v>
      </c>
      <c r="CK151" s="24">
        <f t="shared" si="1167"/>
        <v>35230.160000000003</v>
      </c>
      <c r="CL151" s="23">
        <f t="shared" si="1167"/>
        <v>36377.390000000007</v>
      </c>
      <c r="CM151" s="24">
        <f t="shared" si="1167"/>
        <v>37714.258200000004</v>
      </c>
      <c r="CN151" s="24">
        <f t="shared" si="1167"/>
        <v>39149.389036</v>
      </c>
      <c r="CO151" s="24">
        <f t="shared" si="1167"/>
        <v>40680.817255280002</v>
      </c>
      <c r="CP151" s="24">
        <f t="shared" si="1167"/>
        <v>42306.616910174402</v>
      </c>
      <c r="CQ151" s="24">
        <f t="shared" si="1167"/>
        <v>43681.243839611612</v>
      </c>
      <c r="CR151" s="24">
        <f t="shared" si="1167"/>
        <v>45133.876738177823</v>
      </c>
      <c r="CS151" s="24">
        <f t="shared" si="1167"/>
        <v>46663.267510366975</v>
      </c>
      <c r="CT151" s="24">
        <f t="shared" si="1167"/>
        <v>48268.188030201105</v>
      </c>
      <c r="CU151" s="24">
        <f t="shared" si="1167"/>
        <v>49947.429821717888</v>
      </c>
      <c r="CV151" s="24">
        <f t="shared" si="1167"/>
        <v>51699.803744570403</v>
      </c>
      <c r="CW151" s="24">
        <f t="shared" si="1167"/>
        <v>53524.139684657275</v>
      </c>
      <c r="CX151" s="24">
        <f t="shared" si="1167"/>
        <v>55419.28624970276</v>
      </c>
      <c r="CY151" s="24">
        <f t="shared" si="1167"/>
        <v>57384.110469707513</v>
      </c>
      <c r="CZ151" s="24">
        <f t="shared" si="1167"/>
        <v>59417.497502192193</v>
      </c>
      <c r="DA151" s="24">
        <f t="shared" si="1167"/>
        <v>61518.350342157115</v>
      </c>
      <c r="DB151" s="24">
        <f t="shared" si="1167"/>
        <v>63685.589536682601</v>
      </c>
      <c r="DE151" s="123"/>
      <c r="DF151" s="23">
        <v>0</v>
      </c>
    </row>
    <row r="152" spans="1:110" s="23" customFormat="1" outlineLevel="1" x14ac:dyDescent="0.2">
      <c r="A152" s="23" t="s">
        <v>52</v>
      </c>
      <c r="B152" s="23">
        <f>'Annual Raw'!C64</f>
        <v>0</v>
      </c>
      <c r="C152" s="23">
        <f>'Annual Raw'!D64</f>
        <v>0</v>
      </c>
      <c r="D152" s="23">
        <f>'Annual Raw'!E64</f>
        <v>0</v>
      </c>
      <c r="E152" s="23">
        <f>'Annual Raw'!F64</f>
        <v>0</v>
      </c>
      <c r="F152" s="23">
        <f>'Annual Raw'!G64</f>
        <v>0</v>
      </c>
      <c r="G152" s="23">
        <f>'Annual Raw'!H64</f>
        <v>0</v>
      </c>
      <c r="H152" s="23">
        <f>'Annual Raw'!I64</f>
        <v>0</v>
      </c>
      <c r="I152" s="23">
        <f>'Annual Raw'!J64</f>
        <v>0</v>
      </c>
      <c r="J152" s="23">
        <f>'Annual Raw'!K64</f>
        <v>0</v>
      </c>
      <c r="K152" s="23">
        <f>'Annual Raw'!L64</f>
        <v>0</v>
      </c>
      <c r="L152" s="23">
        <f>'Annual Raw'!M64</f>
        <v>0</v>
      </c>
      <c r="M152" s="23">
        <f>'Annual Raw'!N64</f>
        <v>0</v>
      </c>
      <c r="N152" s="23">
        <f>'Annual Raw'!O64</f>
        <v>0</v>
      </c>
      <c r="O152" s="23">
        <f>'Annual Raw'!P64</f>
        <v>0</v>
      </c>
      <c r="P152" s="23">
        <f>'Annual Raw'!Q64</f>
        <v>0</v>
      </c>
      <c r="Q152" s="23">
        <f>'Annual Raw'!R64</f>
        <v>0</v>
      </c>
      <c r="R152" s="23">
        <f>'Annual Raw'!S64</f>
        <v>0</v>
      </c>
      <c r="S152" s="23">
        <f>'Annual Raw'!T64</f>
        <v>0</v>
      </c>
      <c r="T152" s="23">
        <f>'Annual Raw'!U64</f>
        <v>0</v>
      </c>
      <c r="U152" s="23">
        <f>'Annual Raw'!V64</f>
        <v>0</v>
      </c>
      <c r="V152" s="23">
        <f>'Annual Raw'!W64</f>
        <v>0</v>
      </c>
      <c r="W152" s="23">
        <f>'Annual Raw'!X64</f>
        <v>0</v>
      </c>
      <c r="X152" s="23">
        <f>'Annual Raw'!Y64</f>
        <v>0</v>
      </c>
      <c r="Y152" s="23">
        <f>'Annual Raw'!Z64</f>
        <v>0</v>
      </c>
      <c r="Z152" s="23">
        <f>'Annual Raw'!AA64</f>
        <v>0</v>
      </c>
      <c r="AA152" s="23">
        <f>'Annual Raw'!AB64</f>
        <v>0</v>
      </c>
      <c r="AB152" s="24">
        <f t="shared" si="1160"/>
        <v>0</v>
      </c>
      <c r="AC152" s="24">
        <f t="shared" si="1161"/>
        <v>0</v>
      </c>
      <c r="AD152" s="24">
        <f t="shared" si="1162"/>
        <v>0</v>
      </c>
      <c r="AE152" s="24">
        <f t="shared" si="1163"/>
        <v>0</v>
      </c>
      <c r="AJ152" s="23">
        <f>+'QTR Raw'!D70</f>
        <v>0</v>
      </c>
      <c r="AL152" s="23">
        <f>+'QTR Raw'!F70</f>
        <v>0</v>
      </c>
      <c r="AN152" s="23">
        <f>+'QTR Raw'!H70</f>
        <v>0</v>
      </c>
      <c r="AP152" s="23">
        <f>+'QTR Raw'!J70</f>
        <v>0</v>
      </c>
      <c r="AR152" s="23">
        <f>+'QTR Raw'!L70</f>
        <v>0</v>
      </c>
      <c r="AT152" s="23">
        <f>+'QTR Raw'!N70</f>
        <v>0</v>
      </c>
      <c r="AV152" s="23">
        <f>+'QTR Raw'!P70</f>
        <v>0</v>
      </c>
      <c r="AX152" s="23">
        <f>+'QTR Raw'!R70</f>
        <v>0</v>
      </c>
      <c r="AZ152" s="23">
        <f>+'QTR Raw'!T70</f>
        <v>0</v>
      </c>
      <c r="BB152" s="23">
        <f>+'QTR Raw'!V70</f>
        <v>0</v>
      </c>
      <c r="BD152" s="23">
        <f>+'QTR Raw'!X70</f>
        <v>0</v>
      </c>
      <c r="BF152" s="23">
        <f>+'QTR Raw'!Z70</f>
        <v>0</v>
      </c>
      <c r="BH152" s="23">
        <f>+'QTR Raw'!AB70</f>
        <v>0</v>
      </c>
      <c r="BJ152" s="23">
        <f>+'QTR Raw'!AD70</f>
        <v>0</v>
      </c>
      <c r="BL152" s="23">
        <f>+'QTR Raw'!AF70</f>
        <v>0</v>
      </c>
      <c r="BN152" s="23">
        <f>+'QTR Raw'!AH70</f>
        <v>0</v>
      </c>
      <c r="BP152" s="23">
        <f>+'QTR Raw'!AJ70</f>
        <v>0</v>
      </c>
      <c r="BR152" s="23">
        <f>+'QTR Raw'!AL70</f>
        <v>0</v>
      </c>
      <c r="BT152" s="23">
        <f>+'QTR Raw'!AN70</f>
        <v>0</v>
      </c>
      <c r="BV152" s="23">
        <f>+'QTR Raw'!AP70</f>
        <v>0</v>
      </c>
      <c r="BX152" s="23">
        <f>+'QTR Raw'!AR70</f>
        <v>0</v>
      </c>
      <c r="BZ152" s="23">
        <f>+'QTR Raw'!AT70</f>
        <v>0</v>
      </c>
      <c r="CB152" s="23">
        <f>+'QTR Raw'!AV70</f>
        <v>0</v>
      </c>
      <c r="CD152" s="23">
        <f>+'QTR Raw'!AX70</f>
        <v>0</v>
      </c>
      <c r="CF152" s="23">
        <f>+'QTR Raw'!AZ70</f>
        <v>0</v>
      </c>
      <c r="CH152" s="23">
        <f t="shared" si="1164"/>
        <v>0</v>
      </c>
      <c r="CI152" s="23">
        <f>CH152</f>
        <v>0</v>
      </c>
      <c r="CJ152" s="23">
        <f>+'QTR Raw'!BD70</f>
        <v>0</v>
      </c>
      <c r="CK152" s="24">
        <f t="shared" ref="CK152:DB152" si="1168">CJ152</f>
        <v>0</v>
      </c>
      <c r="CL152" s="23">
        <f>+'QTR Raw'!BF70</f>
        <v>0</v>
      </c>
      <c r="CM152" s="24">
        <f t="shared" si="1168"/>
        <v>0</v>
      </c>
      <c r="CN152" s="24">
        <f t="shared" si="1168"/>
        <v>0</v>
      </c>
      <c r="CO152" s="24">
        <f t="shared" si="1168"/>
        <v>0</v>
      </c>
      <c r="CP152" s="24">
        <f t="shared" si="1168"/>
        <v>0</v>
      </c>
      <c r="CQ152" s="24">
        <f t="shared" si="1168"/>
        <v>0</v>
      </c>
      <c r="CR152" s="24">
        <f t="shared" si="1168"/>
        <v>0</v>
      </c>
      <c r="CS152" s="24">
        <f t="shared" si="1168"/>
        <v>0</v>
      </c>
      <c r="CT152" s="24">
        <f t="shared" si="1168"/>
        <v>0</v>
      </c>
      <c r="CU152" s="24">
        <f t="shared" si="1168"/>
        <v>0</v>
      </c>
      <c r="CV152" s="24">
        <f t="shared" si="1168"/>
        <v>0</v>
      </c>
      <c r="CW152" s="24">
        <f t="shared" si="1168"/>
        <v>0</v>
      </c>
      <c r="CX152" s="24">
        <f t="shared" si="1168"/>
        <v>0</v>
      </c>
      <c r="CY152" s="24">
        <f t="shared" si="1168"/>
        <v>0</v>
      </c>
      <c r="CZ152" s="24">
        <f t="shared" si="1168"/>
        <v>0</v>
      </c>
      <c r="DA152" s="24">
        <f t="shared" si="1168"/>
        <v>0</v>
      </c>
      <c r="DB152" s="24">
        <f t="shared" si="1168"/>
        <v>0</v>
      </c>
      <c r="DE152" s="123"/>
      <c r="DF152" s="23">
        <v>0</v>
      </c>
    </row>
    <row r="153" spans="1:110" s="22" customFormat="1" outlineLevel="1" x14ac:dyDescent="0.2">
      <c r="A153" s="22" t="s">
        <v>53</v>
      </c>
      <c r="B153" s="22">
        <f>+B150-B151-B152</f>
        <v>0</v>
      </c>
      <c r="C153" s="22">
        <f t="shared" ref="C153:W153" si="1169">+C150-C151-C152</f>
        <v>0</v>
      </c>
      <c r="D153" s="22">
        <f t="shared" si="1169"/>
        <v>0</v>
      </c>
      <c r="E153" s="22">
        <f t="shared" si="1169"/>
        <v>0</v>
      </c>
      <c r="F153" s="22">
        <f t="shared" si="1169"/>
        <v>0</v>
      </c>
      <c r="G153" s="22">
        <f t="shared" si="1169"/>
        <v>0.17960000000000001</v>
      </c>
      <c r="H153" s="22">
        <f t="shared" si="1169"/>
        <v>1.0443</v>
      </c>
      <c r="I153" s="22">
        <f t="shared" si="1169"/>
        <v>17.096999999999998</v>
      </c>
      <c r="J153" s="22">
        <f t="shared" si="1169"/>
        <v>336.81759999999997</v>
      </c>
      <c r="K153" s="22">
        <f t="shared" si="1169"/>
        <v>2787.12</v>
      </c>
      <c r="L153" s="22">
        <f t="shared" si="1169"/>
        <v>8747.24</v>
      </c>
      <c r="M153" s="22">
        <f t="shared" si="1169"/>
        <v>15804.189999999999</v>
      </c>
      <c r="N153" s="22">
        <f t="shared" si="1169"/>
        <v>29088.6</v>
      </c>
      <c r="O153" s="22">
        <f t="shared" si="1169"/>
        <v>46357.58</v>
      </c>
      <c r="P153" s="22">
        <f t="shared" si="1169"/>
        <v>45072.73</v>
      </c>
      <c r="Q153" s="22">
        <f t="shared" si="1169"/>
        <v>56750.61</v>
      </c>
      <c r="R153" s="22">
        <f t="shared" si="1169"/>
        <v>54200.32</v>
      </c>
      <c r="S153" s="22">
        <f t="shared" si="1169"/>
        <v>51946.53</v>
      </c>
      <c r="T153" s="22">
        <f t="shared" si="1169"/>
        <v>50228.15</v>
      </c>
      <c r="U153" s="22">
        <f t="shared" si="1169"/>
        <v>55655.200000000004</v>
      </c>
      <c r="V153" s="22">
        <f t="shared" si="1169"/>
        <v>52660.69</v>
      </c>
      <c r="W153" s="22">
        <f t="shared" si="1169"/>
        <v>53083.600000000006</v>
      </c>
      <c r="X153" s="22">
        <f t="shared" ref="X153:Y153" si="1170">+X150-X151-X152</f>
        <v>50555.829999999994</v>
      </c>
      <c r="Y153" s="22">
        <f t="shared" si="1170"/>
        <v>62825.239999999991</v>
      </c>
      <c r="Z153" s="22">
        <f t="shared" ref="Z153:AE153" si="1171">+Z150-Z151-Z152</f>
        <v>69044.239999999991</v>
      </c>
      <c r="AA153" s="22">
        <f t="shared" ref="AA153" si="1172">+AA150-AA151-AA152</f>
        <v>69104.69</v>
      </c>
      <c r="AB153" s="21">
        <f t="shared" si="1171"/>
        <v>85914.183089825616</v>
      </c>
      <c r="AC153" s="21">
        <f t="shared" si="1171"/>
        <v>104952.61196979892</v>
      </c>
      <c r="AD153" s="21">
        <f t="shared" si="1171"/>
        <v>122801.51375029725</v>
      </c>
      <c r="AE153" s="21">
        <f t="shared" si="1171"/>
        <v>139535.2104633174</v>
      </c>
      <c r="AJ153" s="22">
        <f t="shared" ref="AJ153:AL153" si="1173">+AJ150-AJ151-AJ152</f>
        <v>46988.66</v>
      </c>
      <c r="AK153" s="22">
        <f t="shared" ref="AK153:CE153" si="1174">+AJ153</f>
        <v>46988.66</v>
      </c>
      <c r="AL153" s="22">
        <f t="shared" si="1173"/>
        <v>48058.15</v>
      </c>
      <c r="AM153" s="22">
        <f t="shared" si="1174"/>
        <v>48058.15</v>
      </c>
      <c r="AN153" s="22">
        <f t="shared" ref="AN153" si="1175">+AN150-AN151-AN152</f>
        <v>50442.32</v>
      </c>
      <c r="AO153" s="22">
        <f t="shared" si="1174"/>
        <v>50442.32</v>
      </c>
      <c r="AP153" s="22">
        <f t="shared" ref="AP153:CD153" si="1176">+AP150-AP151-AP152</f>
        <v>50017.41</v>
      </c>
      <c r="AQ153" s="22">
        <f t="shared" si="1174"/>
        <v>50017.41</v>
      </c>
      <c r="AR153" s="22">
        <f t="shared" si="1176"/>
        <v>49513.61</v>
      </c>
      <c r="AS153" s="22">
        <f t="shared" si="1174"/>
        <v>49513.61</v>
      </c>
      <c r="AT153" s="22">
        <f t="shared" si="1176"/>
        <v>45264.07</v>
      </c>
      <c r="AU153" s="22">
        <f t="shared" si="1174"/>
        <v>45264.07</v>
      </c>
      <c r="AV153" s="22">
        <f t="shared" si="1176"/>
        <v>50625.71</v>
      </c>
      <c r="AW153" s="22">
        <f t="shared" si="1174"/>
        <v>50625.71</v>
      </c>
      <c r="AX153" s="22">
        <f t="shared" si="1176"/>
        <v>56750.61</v>
      </c>
      <c r="AY153" s="22">
        <f t="shared" si="1174"/>
        <v>56750.61</v>
      </c>
      <c r="AZ153" s="22">
        <f t="shared" si="1176"/>
        <v>49251.87</v>
      </c>
      <c r="BA153" s="22">
        <f t="shared" si="1174"/>
        <v>49251.87</v>
      </c>
      <c r="BB153" s="22">
        <f t="shared" si="1176"/>
        <v>54200.32</v>
      </c>
      <c r="BC153" s="22">
        <f t="shared" si="1174"/>
        <v>54200.32</v>
      </c>
      <c r="BD153" s="22">
        <f t="shared" si="1176"/>
        <v>53019.22</v>
      </c>
      <c r="BE153" s="22">
        <f t="shared" si="1174"/>
        <v>53019.22</v>
      </c>
      <c r="BF153" s="22">
        <f t="shared" si="1176"/>
        <v>51946.53</v>
      </c>
      <c r="BG153" s="22">
        <f t="shared" si="1174"/>
        <v>51946.53</v>
      </c>
      <c r="BH153" s="22">
        <f t="shared" si="1176"/>
        <v>51305.63</v>
      </c>
      <c r="BI153" s="22">
        <f t="shared" si="1174"/>
        <v>51305.63</v>
      </c>
      <c r="BJ153" s="22">
        <f t="shared" si="1176"/>
        <v>50228.15</v>
      </c>
      <c r="BK153" s="22">
        <f t="shared" si="1174"/>
        <v>50228.15</v>
      </c>
      <c r="BL153" s="22">
        <f t="shared" si="1176"/>
        <v>57827.1</v>
      </c>
      <c r="BM153" s="22">
        <f t="shared" si="1174"/>
        <v>57827.1</v>
      </c>
      <c r="BN153" s="22">
        <f t="shared" si="1176"/>
        <v>55655.199999999997</v>
      </c>
      <c r="BO153" s="22">
        <f t="shared" si="1174"/>
        <v>55655.199999999997</v>
      </c>
      <c r="BP153" s="22">
        <f t="shared" si="1176"/>
        <v>54047.27</v>
      </c>
      <c r="BQ153" s="22">
        <f t="shared" si="1174"/>
        <v>54047.27</v>
      </c>
      <c r="BR153" s="22">
        <f t="shared" si="1176"/>
        <v>52660.69</v>
      </c>
      <c r="BS153" s="22">
        <f t="shared" si="1174"/>
        <v>52660.69</v>
      </c>
      <c r="BT153" s="22">
        <f t="shared" si="1176"/>
        <v>51219.69</v>
      </c>
      <c r="BU153" s="22">
        <f t="shared" si="1174"/>
        <v>51219.69</v>
      </c>
      <c r="BV153" s="22">
        <f t="shared" si="1176"/>
        <v>53083.6</v>
      </c>
      <c r="BW153" s="22">
        <f t="shared" si="1174"/>
        <v>53083.6</v>
      </c>
      <c r="BX153" s="22">
        <f t="shared" si="1176"/>
        <v>51772.73</v>
      </c>
      <c r="BY153" s="22">
        <f t="shared" si="1174"/>
        <v>51772.73</v>
      </c>
      <c r="BZ153" s="22">
        <f t="shared" si="1176"/>
        <v>50555.83</v>
      </c>
      <c r="CA153" s="22">
        <f t="shared" si="1174"/>
        <v>50555.83</v>
      </c>
      <c r="CB153" s="22">
        <f t="shared" si="1176"/>
        <v>64614.84</v>
      </c>
      <c r="CC153" s="22">
        <f t="shared" si="1174"/>
        <v>64614.84</v>
      </c>
      <c r="CD153" s="22">
        <f t="shared" si="1176"/>
        <v>62042.720000000001</v>
      </c>
      <c r="CE153" s="22">
        <f t="shared" si="1174"/>
        <v>62042.720000000001</v>
      </c>
      <c r="CF153" s="22">
        <f t="shared" ref="CF153:CI153" si="1177">+CF150-CF151-CF152</f>
        <v>70956.03</v>
      </c>
      <c r="CG153" s="22">
        <f t="shared" ref="CG153:CI156" si="1178">+CF153</f>
        <v>70956.03</v>
      </c>
      <c r="CH153" s="22">
        <f t="shared" si="1177"/>
        <v>69044.239999999991</v>
      </c>
      <c r="CI153" s="22">
        <f t="shared" si="1177"/>
        <v>67955.649999999994</v>
      </c>
      <c r="CJ153" s="23">
        <f>+'QTR Raw'!BD68</f>
        <v>68572.41</v>
      </c>
      <c r="CK153" s="21">
        <f t="shared" ref="CK153:DB153" si="1179">+CK150-CK151-CK152</f>
        <v>68537.11</v>
      </c>
      <c r="CL153" s="23">
        <f>+'QTR Raw'!BF68</f>
        <v>66843.41</v>
      </c>
      <c r="CM153" s="21">
        <f t="shared" si="1179"/>
        <v>71756.541800000006</v>
      </c>
      <c r="CN153" s="21">
        <f t="shared" si="1179"/>
        <v>76571.41096400001</v>
      </c>
      <c r="CO153" s="21">
        <f t="shared" si="1179"/>
        <v>81289.982744720008</v>
      </c>
      <c r="CP153" s="21">
        <f t="shared" si="1179"/>
        <v>85914.183089825616</v>
      </c>
      <c r="CQ153" s="21">
        <f t="shared" si="1179"/>
        <v>90789.556160388398</v>
      </c>
      <c r="CR153" s="21">
        <f t="shared" si="1179"/>
        <v>95586.923261822201</v>
      </c>
      <c r="CS153" s="21">
        <f t="shared" si="1179"/>
        <v>100307.53248963304</v>
      </c>
      <c r="CT153" s="21">
        <f t="shared" si="1179"/>
        <v>104952.61196979892</v>
      </c>
      <c r="CU153" s="21">
        <f t="shared" si="1179"/>
        <v>109523.37017828213</v>
      </c>
      <c r="CV153" s="21">
        <f t="shared" si="1179"/>
        <v>114020.99625542961</v>
      </c>
      <c r="CW153" s="21">
        <f t="shared" si="1179"/>
        <v>118446.66031534274</v>
      </c>
      <c r="CX153" s="21">
        <f t="shared" si="1179"/>
        <v>122801.51375029725</v>
      </c>
      <c r="CY153" s="21">
        <f t="shared" si="1179"/>
        <v>127086.6895302925</v>
      </c>
      <c r="CZ153" s="21">
        <f t="shared" si="1179"/>
        <v>131303.30249780783</v>
      </c>
      <c r="DA153" s="21">
        <f t="shared" si="1179"/>
        <v>135452.4496578429</v>
      </c>
      <c r="DB153" s="21">
        <f t="shared" si="1179"/>
        <v>139535.2104633174</v>
      </c>
      <c r="DE153" s="126"/>
      <c r="DF153" s="22">
        <v>0</v>
      </c>
    </row>
    <row r="154" spans="1:110" s="23" customFormat="1" outlineLevel="1" x14ac:dyDescent="0.2">
      <c r="A154" s="23" t="s">
        <v>54</v>
      </c>
      <c r="B154" s="23">
        <f>'Annual Raw'!C86</f>
        <v>0</v>
      </c>
      <c r="C154" s="23">
        <f>'Annual Raw'!D86</f>
        <v>0</v>
      </c>
      <c r="D154" s="23">
        <f>'Annual Raw'!E86</f>
        <v>0</v>
      </c>
      <c r="E154" s="23">
        <f>'Annual Raw'!F86</f>
        <v>0</v>
      </c>
      <c r="F154" s="23">
        <f>'Annual Raw'!G86</f>
        <v>0</v>
      </c>
      <c r="G154" s="23">
        <f>'Annual Raw'!H86</f>
        <v>0</v>
      </c>
      <c r="H154" s="23">
        <f>'Annual Raw'!I86</f>
        <v>0</v>
      </c>
      <c r="I154" s="23">
        <f>'Annual Raw'!J86</f>
        <v>0</v>
      </c>
      <c r="J154" s="23">
        <f>'Annual Raw'!K86</f>
        <v>0</v>
      </c>
      <c r="K154" s="23">
        <f>'Annual Raw'!L86</f>
        <v>0</v>
      </c>
      <c r="L154" s="23">
        <f>'Annual Raw'!M86</f>
        <v>0</v>
      </c>
      <c r="M154" s="23">
        <f>'Annual Raw'!N86</f>
        <v>0</v>
      </c>
      <c r="N154" s="23">
        <f>'Annual Raw'!O86</f>
        <v>0</v>
      </c>
      <c r="O154" s="23">
        <f>'Annual Raw'!P86</f>
        <v>6.95</v>
      </c>
      <c r="P154" s="23">
        <f>'Annual Raw'!Q86</f>
        <v>6.95</v>
      </c>
      <c r="Q154" s="23">
        <f>'Annual Raw'!R86</f>
        <v>190.61</v>
      </c>
      <c r="R154" s="23">
        <f>'Annual Raw'!S86</f>
        <v>190.61</v>
      </c>
      <c r="S154" s="23">
        <f>'Annual Raw'!T86</f>
        <v>190.61</v>
      </c>
      <c r="T154" s="23">
        <f>'Annual Raw'!U86</f>
        <v>190.61</v>
      </c>
      <c r="U154" s="23">
        <f>'Annual Raw'!V86</f>
        <v>190.61</v>
      </c>
      <c r="V154" s="23">
        <f>'Annual Raw'!W86</f>
        <v>190.61</v>
      </c>
      <c r="W154" s="23">
        <f>'Annual Raw'!X86</f>
        <v>190.61</v>
      </c>
      <c r="X154" s="23">
        <f>'Annual Raw'!Y86</f>
        <v>190.61</v>
      </c>
      <c r="Y154" s="23">
        <f>'Annual Raw'!Z86</f>
        <v>190.61</v>
      </c>
      <c r="Z154" s="23">
        <f>'Annual Raw'!AA86</f>
        <v>204.52</v>
      </c>
      <c r="AA154" s="23">
        <f>'Annual Raw'!AB86</f>
        <v>204.52</v>
      </c>
      <c r="AB154" s="24">
        <f t="shared" si="1160"/>
        <v>204.52</v>
      </c>
      <c r="AC154" s="24">
        <f t="shared" si="1161"/>
        <v>204.52</v>
      </c>
      <c r="AD154" s="24">
        <f t="shared" si="1162"/>
        <v>204.52</v>
      </c>
      <c r="AE154" s="24">
        <f t="shared" si="1163"/>
        <v>204.52</v>
      </c>
      <c r="AJ154" s="23">
        <f>+'QTR Raw'!D72</f>
        <v>0</v>
      </c>
      <c r="AK154" s="23">
        <f>+AJ154</f>
        <v>0</v>
      </c>
      <c r="AL154" s="23">
        <f>+'QTR Raw'!F72</f>
        <v>6.95</v>
      </c>
      <c r="AM154" s="23">
        <f t="shared" ref="AK154:CE156" si="1180">+AL154</f>
        <v>6.95</v>
      </c>
      <c r="AN154" s="23">
        <f>+'QTR Raw'!H72</f>
        <v>6.95</v>
      </c>
      <c r="AO154" s="23">
        <f t="shared" si="1180"/>
        <v>6.95</v>
      </c>
      <c r="AP154" s="23">
        <f>+'QTR Raw'!J72</f>
        <v>6.95</v>
      </c>
      <c r="AQ154" s="23">
        <f t="shared" si="1180"/>
        <v>6.95</v>
      </c>
      <c r="AR154" s="23">
        <f>+'QTR Raw'!L72</f>
        <v>6.95</v>
      </c>
      <c r="AS154" s="23">
        <f t="shared" si="1180"/>
        <v>6.95</v>
      </c>
      <c r="AT154" s="23">
        <f>+'QTR Raw'!N72</f>
        <v>6.95</v>
      </c>
      <c r="AU154" s="23">
        <f t="shared" si="1180"/>
        <v>6.95</v>
      </c>
      <c r="AV154" s="23">
        <f>+'QTR Raw'!P72</f>
        <v>736.07</v>
      </c>
      <c r="AW154" s="23">
        <f t="shared" si="1180"/>
        <v>736.07</v>
      </c>
      <c r="AX154" s="23">
        <f>+'QTR Raw'!R72</f>
        <v>190.61</v>
      </c>
      <c r="AY154" s="23">
        <f t="shared" si="1180"/>
        <v>190.61</v>
      </c>
      <c r="AZ154" s="23">
        <f>+'QTR Raw'!T72</f>
        <v>190.61</v>
      </c>
      <c r="BA154" s="23">
        <f t="shared" si="1180"/>
        <v>190.61</v>
      </c>
      <c r="BB154" s="23">
        <f>+'QTR Raw'!V72</f>
        <v>190.61</v>
      </c>
      <c r="BC154" s="23">
        <f t="shared" si="1180"/>
        <v>190.61</v>
      </c>
      <c r="BD154" s="23">
        <f>+'QTR Raw'!X72</f>
        <v>190.61</v>
      </c>
      <c r="BE154" s="23">
        <f t="shared" si="1180"/>
        <v>190.61</v>
      </c>
      <c r="BF154" s="23">
        <f>+'QTR Raw'!Z72</f>
        <v>190.61</v>
      </c>
      <c r="BG154" s="23">
        <f t="shared" si="1180"/>
        <v>190.61</v>
      </c>
      <c r="BH154" s="23">
        <f>+'QTR Raw'!AB72</f>
        <v>190.61</v>
      </c>
      <c r="BI154" s="23">
        <f t="shared" si="1180"/>
        <v>190.61</v>
      </c>
      <c r="BJ154" s="23">
        <f>+'QTR Raw'!AD72</f>
        <v>190.61</v>
      </c>
      <c r="BK154" s="23">
        <f t="shared" si="1180"/>
        <v>190.61</v>
      </c>
      <c r="BL154" s="23">
        <f>+'QTR Raw'!AF72</f>
        <v>190.61</v>
      </c>
      <c r="BM154" s="23">
        <f t="shared" si="1180"/>
        <v>190.61</v>
      </c>
      <c r="BN154" s="23">
        <f>+'QTR Raw'!AH72</f>
        <v>190.61</v>
      </c>
      <c r="BO154" s="23">
        <f t="shared" si="1180"/>
        <v>190.61</v>
      </c>
      <c r="BP154" s="23">
        <f>+'QTR Raw'!AJ72</f>
        <v>190.61</v>
      </c>
      <c r="BQ154" s="23">
        <f t="shared" si="1180"/>
        <v>190.61</v>
      </c>
      <c r="BR154" s="23">
        <f>+'QTR Raw'!AL72</f>
        <v>190.61</v>
      </c>
      <c r="BS154" s="23">
        <f t="shared" si="1180"/>
        <v>190.61</v>
      </c>
      <c r="BT154" s="23">
        <f>+'QTR Raw'!AN72</f>
        <v>190.61</v>
      </c>
      <c r="BU154" s="23">
        <f t="shared" si="1180"/>
        <v>190.61</v>
      </c>
      <c r="BV154" s="23">
        <f>+'QTR Raw'!AP72</f>
        <v>190.61</v>
      </c>
      <c r="BW154" s="23">
        <f t="shared" si="1180"/>
        <v>190.61</v>
      </c>
      <c r="BX154" s="23">
        <f>+'QTR Raw'!AR72</f>
        <v>190.61</v>
      </c>
      <c r="BY154" s="23">
        <f t="shared" si="1180"/>
        <v>190.61</v>
      </c>
      <c r="BZ154" s="23">
        <f>+'QTR Raw'!AT72</f>
        <v>190.61</v>
      </c>
      <c r="CA154" s="23">
        <f t="shared" si="1180"/>
        <v>190.61</v>
      </c>
      <c r="CB154" s="23">
        <f>+'QTR Raw'!AV72</f>
        <v>190.61</v>
      </c>
      <c r="CC154" s="23">
        <f t="shared" si="1180"/>
        <v>190.61</v>
      </c>
      <c r="CD154" s="23">
        <f>+'QTR Raw'!AX72</f>
        <v>190.61</v>
      </c>
      <c r="CE154" s="23">
        <f t="shared" si="1180"/>
        <v>190.61</v>
      </c>
      <c r="CF154" s="23">
        <f>+'QTR Raw'!AZ72</f>
        <v>190.61</v>
      </c>
      <c r="CG154" s="23">
        <f t="shared" si="1178"/>
        <v>190.61</v>
      </c>
      <c r="CH154" s="23">
        <f t="shared" si="1164"/>
        <v>204.52</v>
      </c>
      <c r="CI154" s="23">
        <f t="shared" si="1178"/>
        <v>204.52</v>
      </c>
      <c r="CJ154" s="23">
        <f>+'QTR Raw'!BD72</f>
        <v>204.52</v>
      </c>
      <c r="CK154" s="24">
        <f t="shared" ref="CK154:CK156" si="1181">+CJ154</f>
        <v>204.52</v>
      </c>
      <c r="CL154" s="23">
        <f>+'QTR Raw'!BF72</f>
        <v>204.52</v>
      </c>
      <c r="CM154" s="24">
        <f t="shared" ref="CM154:CM156" si="1182">+CL154</f>
        <v>204.52</v>
      </c>
      <c r="CN154" s="24">
        <f t="shared" ref="CN154:CN156" si="1183">+CM154</f>
        <v>204.52</v>
      </c>
      <c r="CO154" s="24">
        <f t="shared" ref="CO154:CO156" si="1184">+CN154</f>
        <v>204.52</v>
      </c>
      <c r="CP154" s="24">
        <f t="shared" ref="CP154:CP156" si="1185">+CO154</f>
        <v>204.52</v>
      </c>
      <c r="CQ154" s="24">
        <f t="shared" ref="CQ154:CQ156" si="1186">+CP154</f>
        <v>204.52</v>
      </c>
      <c r="CR154" s="24">
        <f t="shared" ref="CR154:CR156" si="1187">+CQ154</f>
        <v>204.52</v>
      </c>
      <c r="CS154" s="24">
        <f t="shared" ref="CS154:CS156" si="1188">+CR154</f>
        <v>204.52</v>
      </c>
      <c r="CT154" s="24">
        <f t="shared" ref="CT154:CT156" si="1189">+CS154</f>
        <v>204.52</v>
      </c>
      <c r="CU154" s="24">
        <f t="shared" ref="CU154:CU156" si="1190">+CT154</f>
        <v>204.52</v>
      </c>
      <c r="CV154" s="24">
        <f t="shared" ref="CV154:CV156" si="1191">+CU154</f>
        <v>204.52</v>
      </c>
      <c r="CW154" s="24">
        <f t="shared" ref="CW154:CW156" si="1192">+CV154</f>
        <v>204.52</v>
      </c>
      <c r="CX154" s="24">
        <f t="shared" ref="CX154:CX156" si="1193">+CW154</f>
        <v>204.52</v>
      </c>
      <c r="CY154" s="24">
        <f t="shared" ref="CY154:CY156" si="1194">+CX154</f>
        <v>204.52</v>
      </c>
      <c r="CZ154" s="24">
        <f t="shared" ref="CZ154:CZ156" si="1195">+CY154</f>
        <v>204.52</v>
      </c>
      <c r="DA154" s="24">
        <f t="shared" ref="DA154:DA156" si="1196">+CZ154</f>
        <v>204.52</v>
      </c>
      <c r="DB154" s="24">
        <f t="shared" ref="DB154:DB156" si="1197">+DA154</f>
        <v>204.52</v>
      </c>
      <c r="DE154" s="123"/>
      <c r="DF154" s="23">
        <v>0</v>
      </c>
    </row>
    <row r="155" spans="1:110" s="23" customFormat="1" outlineLevel="1" x14ac:dyDescent="0.2">
      <c r="A155" s="23" t="s">
        <v>55</v>
      </c>
      <c r="B155" s="23">
        <f>'Annual Raw'!C68</f>
        <v>0</v>
      </c>
      <c r="C155" s="23">
        <f>'Annual Raw'!D68</f>
        <v>0</v>
      </c>
      <c r="D155" s="23">
        <f>'Annual Raw'!E68</f>
        <v>0</v>
      </c>
      <c r="E155" s="23">
        <f>'Annual Raw'!F68</f>
        <v>0</v>
      </c>
      <c r="F155" s="23">
        <f>'Annual Raw'!G68</f>
        <v>0</v>
      </c>
      <c r="G155" s="23">
        <f>'Annual Raw'!H68</f>
        <v>0</v>
      </c>
      <c r="H155" s="23">
        <f>'Annual Raw'!I68</f>
        <v>0</v>
      </c>
      <c r="I155" s="23">
        <f>'Annual Raw'!J68</f>
        <v>0</v>
      </c>
      <c r="J155" s="23">
        <f>'Annual Raw'!K68</f>
        <v>0</v>
      </c>
      <c r="K155" s="23">
        <f>'Annual Raw'!L68</f>
        <v>0</v>
      </c>
      <c r="L155" s="23">
        <f>'Annual Raw'!M68</f>
        <v>0</v>
      </c>
      <c r="M155" s="23">
        <f>'Annual Raw'!N68</f>
        <v>0</v>
      </c>
      <c r="N155" s="23">
        <f>'Annual Raw'!O68</f>
        <v>0</v>
      </c>
      <c r="O155" s="23">
        <f>'Annual Raw'!P68</f>
        <v>0</v>
      </c>
      <c r="P155" s="23">
        <f>'Annual Raw'!Q68</f>
        <v>0</v>
      </c>
      <c r="Q155" s="23">
        <f>'Annual Raw'!R68</f>
        <v>0</v>
      </c>
      <c r="R155" s="23">
        <f>'Annual Raw'!S68</f>
        <v>0</v>
      </c>
      <c r="S155" s="23">
        <f>'Annual Raw'!T68</f>
        <v>0</v>
      </c>
      <c r="T155" s="23">
        <f>'Annual Raw'!U68</f>
        <v>0</v>
      </c>
      <c r="U155" s="23">
        <f>'Annual Raw'!V68</f>
        <v>0</v>
      </c>
      <c r="V155" s="23">
        <f>'Annual Raw'!W68</f>
        <v>0</v>
      </c>
      <c r="W155" s="23">
        <f>'Annual Raw'!X68</f>
        <v>0</v>
      </c>
      <c r="X155" s="23">
        <f>'Annual Raw'!Y68</f>
        <v>0</v>
      </c>
      <c r="Y155" s="23">
        <f>'Annual Raw'!Z68</f>
        <v>0</v>
      </c>
      <c r="Z155" s="23">
        <f>'Annual Raw'!AA68</f>
        <v>0</v>
      </c>
      <c r="AA155" s="23">
        <f>'Annual Raw'!AB68</f>
        <v>0</v>
      </c>
      <c r="AB155" s="24">
        <f t="shared" si="1160"/>
        <v>0</v>
      </c>
      <c r="AC155" s="24">
        <f t="shared" si="1161"/>
        <v>0</v>
      </c>
      <c r="AD155" s="24">
        <f t="shared" si="1162"/>
        <v>0</v>
      </c>
      <c r="AE155" s="24">
        <f t="shared" si="1163"/>
        <v>0</v>
      </c>
      <c r="AK155" s="23">
        <f t="shared" si="1180"/>
        <v>0</v>
      </c>
      <c r="AM155" s="23">
        <f t="shared" si="1180"/>
        <v>0</v>
      </c>
      <c r="AO155" s="23">
        <f t="shared" si="1180"/>
        <v>0</v>
      </c>
      <c r="AQ155" s="23">
        <f t="shared" si="1180"/>
        <v>0</v>
      </c>
      <c r="AS155" s="23">
        <f t="shared" si="1180"/>
        <v>0</v>
      </c>
      <c r="AU155" s="23">
        <f t="shared" si="1180"/>
        <v>0</v>
      </c>
      <c r="AW155" s="23">
        <f t="shared" si="1180"/>
        <v>0</v>
      </c>
      <c r="AY155" s="23">
        <f t="shared" si="1180"/>
        <v>0</v>
      </c>
      <c r="BA155" s="23">
        <f t="shared" si="1180"/>
        <v>0</v>
      </c>
      <c r="BC155" s="23">
        <f t="shared" si="1180"/>
        <v>0</v>
      </c>
      <c r="BE155" s="23">
        <f t="shared" si="1180"/>
        <v>0</v>
      </c>
      <c r="BG155" s="23">
        <f t="shared" si="1180"/>
        <v>0</v>
      </c>
      <c r="BI155" s="23">
        <f t="shared" si="1180"/>
        <v>0</v>
      </c>
      <c r="BK155" s="23">
        <f t="shared" si="1180"/>
        <v>0</v>
      </c>
      <c r="BM155" s="23">
        <f t="shared" si="1180"/>
        <v>0</v>
      </c>
      <c r="BO155" s="23">
        <f t="shared" si="1180"/>
        <v>0</v>
      </c>
      <c r="BQ155" s="23">
        <f t="shared" si="1180"/>
        <v>0</v>
      </c>
      <c r="BS155" s="23">
        <f t="shared" si="1180"/>
        <v>0</v>
      </c>
      <c r="BU155" s="23">
        <f t="shared" si="1180"/>
        <v>0</v>
      </c>
      <c r="BW155" s="23">
        <f t="shared" si="1180"/>
        <v>0</v>
      </c>
      <c r="BY155" s="23">
        <f t="shared" si="1180"/>
        <v>0</v>
      </c>
      <c r="CA155" s="23">
        <f t="shared" si="1180"/>
        <v>0</v>
      </c>
      <c r="CC155" s="23">
        <f t="shared" si="1180"/>
        <v>0</v>
      </c>
      <c r="CE155" s="23">
        <f t="shared" si="1180"/>
        <v>0</v>
      </c>
      <c r="CG155" s="23">
        <f t="shared" si="1178"/>
        <v>0</v>
      </c>
      <c r="CH155" s="23">
        <f t="shared" si="1164"/>
        <v>0</v>
      </c>
      <c r="CI155" s="23">
        <f t="shared" si="1178"/>
        <v>0</v>
      </c>
      <c r="CK155" s="24">
        <f t="shared" si="1181"/>
        <v>0</v>
      </c>
      <c r="CM155" s="24">
        <f t="shared" si="1182"/>
        <v>0</v>
      </c>
      <c r="CN155" s="24">
        <f t="shared" si="1183"/>
        <v>0</v>
      </c>
      <c r="CO155" s="24">
        <f t="shared" si="1184"/>
        <v>0</v>
      </c>
      <c r="CP155" s="24">
        <f t="shared" si="1185"/>
        <v>0</v>
      </c>
      <c r="CQ155" s="24">
        <f t="shared" si="1186"/>
        <v>0</v>
      </c>
      <c r="CR155" s="24">
        <f t="shared" si="1187"/>
        <v>0</v>
      </c>
      <c r="CS155" s="24">
        <f t="shared" si="1188"/>
        <v>0</v>
      </c>
      <c r="CT155" s="24">
        <f t="shared" si="1189"/>
        <v>0</v>
      </c>
      <c r="CU155" s="24">
        <f t="shared" si="1190"/>
        <v>0</v>
      </c>
      <c r="CV155" s="24">
        <f t="shared" si="1191"/>
        <v>0</v>
      </c>
      <c r="CW155" s="24">
        <f t="shared" si="1192"/>
        <v>0</v>
      </c>
      <c r="CX155" s="24">
        <f t="shared" si="1193"/>
        <v>0</v>
      </c>
      <c r="CY155" s="24">
        <f t="shared" si="1194"/>
        <v>0</v>
      </c>
      <c r="CZ155" s="24">
        <f t="shared" si="1195"/>
        <v>0</v>
      </c>
      <c r="DA155" s="24">
        <f t="shared" si="1196"/>
        <v>0</v>
      </c>
      <c r="DB155" s="24">
        <f t="shared" si="1197"/>
        <v>0</v>
      </c>
      <c r="DE155" s="123"/>
      <c r="DF155" s="23">
        <v>0</v>
      </c>
    </row>
    <row r="156" spans="1:110" s="23" customFormat="1" outlineLevel="1" x14ac:dyDescent="0.2">
      <c r="A156" s="23" t="s">
        <v>56</v>
      </c>
      <c r="B156" s="23">
        <f>'Annual Raw'!C67+'Annual Raw'!C66+'Annual Raw'!C69+'Annual Raw'!C70</f>
        <v>0</v>
      </c>
      <c r="C156" s="23">
        <f>'Annual Raw'!D67+'Annual Raw'!D66+'Annual Raw'!D69+'Annual Raw'!D70</f>
        <v>0</v>
      </c>
      <c r="D156" s="23">
        <f>'Annual Raw'!E67+'Annual Raw'!E66+'Annual Raw'!E69+'Annual Raw'!E70</f>
        <v>0</v>
      </c>
      <c r="E156" s="23">
        <f>'Annual Raw'!F67+'Annual Raw'!F66+'Annual Raw'!F69+'Annual Raw'!F70</f>
        <v>0.93300000000000005</v>
      </c>
      <c r="F156" s="23">
        <f>'Annual Raw'!G67+'Annual Raw'!G66+'Annual Raw'!G69+'Annual Raw'!G70</f>
        <v>0.93772180000000005</v>
      </c>
      <c r="G156" s="23">
        <f>'Annual Raw'!H67+'Annual Raw'!H66+'Annual Raw'!H69+'Annual Raw'!H70</f>
        <v>11.5128</v>
      </c>
      <c r="H156" s="23">
        <f>'Annual Raw'!I67+'Annual Raw'!I66+'Annual Raw'!I69+'Annual Raw'!I70</f>
        <v>603.87939999999992</v>
      </c>
      <c r="I156" s="23">
        <f>'Annual Raw'!J67+'Annual Raw'!J66+'Annual Raw'!J69+'Annual Raw'!J70</f>
        <v>2442.4410000000003</v>
      </c>
      <c r="J156" s="23">
        <f>'Annual Raw'!K67+'Annual Raw'!K66+'Annual Raw'!K69+'Annual Raw'!K70</f>
        <v>6588.9132</v>
      </c>
      <c r="K156" s="23">
        <f>'Annual Raw'!L67+'Annual Raw'!L66+'Annual Raw'!L69+'Annual Raw'!L70</f>
        <v>12769.08</v>
      </c>
      <c r="L156" s="23">
        <f>'Annual Raw'!M67+'Annual Raw'!M66+'Annual Raw'!M69+'Annual Raw'!M70</f>
        <v>20304.7</v>
      </c>
      <c r="M156" s="23">
        <f>'Annual Raw'!N67+'Annual Raw'!N66+'Annual Raw'!N69+'Annual Raw'!N70</f>
        <v>26721.48</v>
      </c>
      <c r="N156" s="23">
        <f>'Annual Raw'!O67+'Annual Raw'!O66+'Annual Raw'!O69+'Annual Raw'!O70</f>
        <v>18976.5</v>
      </c>
      <c r="O156" s="23">
        <f>'Annual Raw'!P67+'Annual Raw'!P66+'Annual Raw'!P69+'Annual Raw'!P70</f>
        <v>3659.83</v>
      </c>
      <c r="P156" s="23">
        <f>'Annual Raw'!Q67+'Annual Raw'!Q66+'Annual Raw'!Q69+'Annual Raw'!Q70</f>
        <v>191.34</v>
      </c>
      <c r="Q156" s="23">
        <f>'Annual Raw'!R67+'Annual Raw'!R66+'Annual Raw'!R69+'Annual Raw'!R70</f>
        <v>87.92</v>
      </c>
      <c r="R156" s="23">
        <f>'Annual Raw'!S67+'Annual Raw'!S66+'Annual Raw'!S69+'Annual Raw'!S70</f>
        <v>124.61</v>
      </c>
      <c r="S156" s="23">
        <f>'Annual Raw'!T67+'Annual Raw'!T66+'Annual Raw'!T69+'Annual Raw'!T70</f>
        <v>119.86</v>
      </c>
      <c r="T156" s="23">
        <f>'Annual Raw'!U67+'Annual Raw'!U66+'Annual Raw'!U69+'Annual Raw'!U70</f>
        <v>350.08</v>
      </c>
      <c r="U156" s="23">
        <f>'Annual Raw'!V67+'Annual Raw'!V66+'Annual Raw'!V69+'Annual Raw'!V70</f>
        <v>2346.77</v>
      </c>
      <c r="V156" s="23">
        <f>'Annual Raw'!W67+'Annual Raw'!W66+'Annual Raw'!W69+'Annual Raw'!W70</f>
        <v>6439.42</v>
      </c>
      <c r="W156" s="23">
        <f>'Annual Raw'!X67+'Annual Raw'!X66+'Annual Raw'!X69+'Annual Raw'!X70</f>
        <v>10269.74</v>
      </c>
      <c r="X156" s="23">
        <f>'Annual Raw'!Y67+'Annual Raw'!Y66+'Annual Raw'!Y69+'Annual Raw'!Y70</f>
        <v>13584.480000000001</v>
      </c>
      <c r="Y156" s="23">
        <f>'Annual Raw'!Z67+'Annual Raw'!Z66+'Annual Raw'!Z69+'Annual Raw'!Z70</f>
        <v>925.12</v>
      </c>
      <c r="Z156" s="23">
        <f>'Annual Raw'!AA67+'Annual Raw'!AA66+'Annual Raw'!AA69+'Annual Raw'!AA70</f>
        <v>12153.11</v>
      </c>
      <c r="AA156" s="23">
        <f>'Annual Raw'!AB67+'Annual Raw'!AB66+'Annual Raw'!AB69+'Annual Raw'!AB70</f>
        <v>35145.71</v>
      </c>
      <c r="AB156" s="24">
        <f t="shared" si="1160"/>
        <v>35053.46</v>
      </c>
      <c r="AC156" s="24">
        <f t="shared" si="1161"/>
        <v>35053.46</v>
      </c>
      <c r="AD156" s="24">
        <f t="shared" si="1162"/>
        <v>35053.46</v>
      </c>
      <c r="AE156" s="24">
        <f t="shared" si="1163"/>
        <v>35053.46</v>
      </c>
      <c r="AJ156" s="23">
        <f>+'QTR Raw'!D74+'QTR Raw'!D75</f>
        <v>0</v>
      </c>
      <c r="AK156" s="23">
        <f t="shared" si="1180"/>
        <v>0</v>
      </c>
      <c r="AL156" s="23">
        <f>+'QTR Raw'!F74+'QTR Raw'!F75</f>
        <v>0</v>
      </c>
      <c r="AM156" s="23">
        <f t="shared" si="1180"/>
        <v>0</v>
      </c>
      <c r="AN156" s="23">
        <f>+'QTR Raw'!H74+'QTR Raw'!H75</f>
        <v>0</v>
      </c>
      <c r="AO156" s="23">
        <f t="shared" si="1180"/>
        <v>0</v>
      </c>
      <c r="AP156" s="23">
        <f>+'QTR Raw'!J74+'QTR Raw'!J75</f>
        <v>0</v>
      </c>
      <c r="AQ156" s="23">
        <f t="shared" si="1180"/>
        <v>0</v>
      </c>
      <c r="AR156" s="23">
        <f>+'QTR Raw'!L74+'QTR Raw'!L75</f>
        <v>0</v>
      </c>
      <c r="AS156" s="23">
        <f t="shared" si="1180"/>
        <v>0</v>
      </c>
      <c r="AT156" s="23">
        <f>+'QTR Raw'!N74+'QTR Raw'!N75</f>
        <v>0</v>
      </c>
      <c r="AU156" s="23">
        <f t="shared" si="1180"/>
        <v>0</v>
      </c>
      <c r="AV156" s="23">
        <f>+'QTR Raw'!P74+'QTR Raw'!P75</f>
        <v>0</v>
      </c>
      <c r="AW156" s="23">
        <f t="shared" si="1180"/>
        <v>0</v>
      </c>
      <c r="AX156" s="23">
        <f>+'QTR Raw'!R74+'QTR Raw'!R75</f>
        <v>87.92</v>
      </c>
      <c r="AY156" s="23">
        <f t="shared" si="1180"/>
        <v>87.92</v>
      </c>
      <c r="AZ156" s="23">
        <f>+'QTR Raw'!T74+'QTR Raw'!T75</f>
        <v>94.33</v>
      </c>
      <c r="BA156" s="23">
        <f t="shared" si="1180"/>
        <v>94.33</v>
      </c>
      <c r="BB156" s="23">
        <f>+'QTR Raw'!V74+'QTR Raw'!V75</f>
        <v>124.61</v>
      </c>
      <c r="BC156" s="23">
        <f t="shared" si="1180"/>
        <v>124.61</v>
      </c>
      <c r="BD156" s="23">
        <f>+'QTR Raw'!X74+'QTR Raw'!X75</f>
        <v>126.2</v>
      </c>
      <c r="BE156" s="23">
        <f t="shared" si="1180"/>
        <v>126.2</v>
      </c>
      <c r="BF156" s="23">
        <f>+'QTR Raw'!Z74+'QTR Raw'!Z75</f>
        <v>119.86</v>
      </c>
      <c r="BG156" s="23">
        <f t="shared" si="1180"/>
        <v>119.86</v>
      </c>
      <c r="BH156" s="23">
        <f>+'QTR Raw'!AB74+'QTR Raw'!AB75</f>
        <v>179.1</v>
      </c>
      <c r="BI156" s="23">
        <f t="shared" si="1180"/>
        <v>179.1</v>
      </c>
      <c r="BJ156" s="23">
        <f>+'QTR Raw'!AD74+'QTR Raw'!AD75</f>
        <v>350.08</v>
      </c>
      <c r="BK156" s="23">
        <f t="shared" si="1180"/>
        <v>350.08</v>
      </c>
      <c r="BL156" s="23">
        <f>+'QTR Raw'!AF74+'QTR Raw'!AF75</f>
        <v>641.54</v>
      </c>
      <c r="BM156" s="23">
        <f t="shared" si="1180"/>
        <v>641.54</v>
      </c>
      <c r="BN156" s="23">
        <f>+'QTR Raw'!AH74+'QTR Raw'!AH75</f>
        <v>2346.77</v>
      </c>
      <c r="BO156" s="23">
        <f t="shared" si="1180"/>
        <v>2346.77</v>
      </c>
      <c r="BP156" s="23">
        <f>+'QTR Raw'!AJ74+'QTR Raw'!AJ75</f>
        <v>3929.15</v>
      </c>
      <c r="BQ156" s="23">
        <f t="shared" si="1180"/>
        <v>3929.15</v>
      </c>
      <c r="BR156" s="23">
        <f>+'QTR Raw'!AL74+'QTR Raw'!AL75</f>
        <v>6439.42</v>
      </c>
      <c r="BS156" s="23">
        <f t="shared" si="1180"/>
        <v>6439.42</v>
      </c>
      <c r="BT156" s="23">
        <f>+'QTR Raw'!AN74+'QTR Raw'!AN75</f>
        <v>8538.26</v>
      </c>
      <c r="BU156" s="23">
        <f t="shared" si="1180"/>
        <v>8538.26</v>
      </c>
      <c r="BV156" s="23">
        <f>+'QTR Raw'!AP74+'QTR Raw'!AP75</f>
        <v>10269.74</v>
      </c>
      <c r="BW156" s="23">
        <f t="shared" si="1180"/>
        <v>10269.74</v>
      </c>
      <c r="BX156" s="23">
        <f>+'QTR Raw'!AR74+'QTR Raw'!AR75</f>
        <v>11550.27</v>
      </c>
      <c r="BY156" s="23">
        <f t="shared" si="1180"/>
        <v>11550.27</v>
      </c>
      <c r="BZ156" s="23">
        <f>+'QTR Raw'!AT74+'QTR Raw'!AT75</f>
        <v>12879.54</v>
      </c>
      <c r="CA156" s="23">
        <f t="shared" si="1180"/>
        <v>12879.54</v>
      </c>
      <c r="CB156" s="23">
        <f>+'QTR Raw'!AV74+'QTR Raw'!AV75</f>
        <v>461.13</v>
      </c>
      <c r="CC156" s="23">
        <f t="shared" si="1180"/>
        <v>461.13</v>
      </c>
      <c r="CD156" s="23">
        <f>+'QTR Raw'!AX74+'QTR Raw'!AX75</f>
        <v>925.12</v>
      </c>
      <c r="CE156" s="23">
        <f t="shared" si="1180"/>
        <v>925.12</v>
      </c>
      <c r="CF156" s="23">
        <f>+'QTR Raw'!AZ74+'QTR Raw'!AZ75</f>
        <v>9454.5499999999993</v>
      </c>
      <c r="CG156" s="23">
        <f t="shared" si="1178"/>
        <v>9454.5499999999993</v>
      </c>
      <c r="CH156" s="23">
        <f t="shared" si="1164"/>
        <v>12153.11</v>
      </c>
      <c r="CI156" s="23">
        <f t="shared" si="1178"/>
        <v>12153.11</v>
      </c>
      <c r="CJ156" s="23">
        <f>+'QTR Raw'!BD74+'QTR Raw'!BD75</f>
        <v>19778.650000000001</v>
      </c>
      <c r="CK156" s="24">
        <f t="shared" si="1181"/>
        <v>19778.650000000001</v>
      </c>
      <c r="CL156" s="23">
        <f>+'QTR Raw'!BF74+'QTR Raw'!BF75</f>
        <v>35053.46</v>
      </c>
      <c r="CM156" s="24">
        <f t="shared" si="1182"/>
        <v>35053.46</v>
      </c>
      <c r="CN156" s="24">
        <f t="shared" si="1183"/>
        <v>35053.46</v>
      </c>
      <c r="CO156" s="24">
        <f t="shared" si="1184"/>
        <v>35053.46</v>
      </c>
      <c r="CP156" s="24">
        <f t="shared" si="1185"/>
        <v>35053.46</v>
      </c>
      <c r="CQ156" s="24">
        <f t="shared" si="1186"/>
        <v>35053.46</v>
      </c>
      <c r="CR156" s="24">
        <f t="shared" si="1187"/>
        <v>35053.46</v>
      </c>
      <c r="CS156" s="24">
        <f t="shared" si="1188"/>
        <v>35053.46</v>
      </c>
      <c r="CT156" s="24">
        <f t="shared" si="1189"/>
        <v>35053.46</v>
      </c>
      <c r="CU156" s="24">
        <f t="shared" si="1190"/>
        <v>35053.46</v>
      </c>
      <c r="CV156" s="24">
        <f t="shared" si="1191"/>
        <v>35053.46</v>
      </c>
      <c r="CW156" s="24">
        <f t="shared" si="1192"/>
        <v>35053.46</v>
      </c>
      <c r="CX156" s="24">
        <f t="shared" si="1193"/>
        <v>35053.46</v>
      </c>
      <c r="CY156" s="24">
        <f t="shared" si="1194"/>
        <v>35053.46</v>
      </c>
      <c r="CZ156" s="24">
        <f t="shared" si="1195"/>
        <v>35053.46</v>
      </c>
      <c r="DA156" s="24">
        <f t="shared" si="1196"/>
        <v>35053.46</v>
      </c>
      <c r="DB156" s="24">
        <f t="shared" si="1197"/>
        <v>35053.46</v>
      </c>
      <c r="DE156" s="123"/>
      <c r="DF156" s="23">
        <v>0</v>
      </c>
    </row>
    <row r="157" spans="1:110" s="22" customFormat="1" x14ac:dyDescent="0.2">
      <c r="A157" s="22" t="s">
        <v>57</v>
      </c>
      <c r="B157" s="22">
        <f>B153+B156+B155</f>
        <v>0</v>
      </c>
      <c r="C157" s="22">
        <f t="shared" ref="C157:D157" si="1198">C153+C156+C155</f>
        <v>0</v>
      </c>
      <c r="D157" s="22">
        <f t="shared" si="1198"/>
        <v>0</v>
      </c>
      <c r="E157" s="22">
        <f t="shared" ref="E157:Y157" si="1199">E153+E156+E155+E154</f>
        <v>0.93300000000000005</v>
      </c>
      <c r="F157" s="22">
        <f t="shared" si="1199"/>
        <v>0.93772180000000005</v>
      </c>
      <c r="G157" s="22">
        <f t="shared" si="1199"/>
        <v>11.692400000000001</v>
      </c>
      <c r="H157" s="22">
        <f t="shared" si="1199"/>
        <v>604.92369999999994</v>
      </c>
      <c r="I157" s="22">
        <f t="shared" si="1199"/>
        <v>2459.5380000000005</v>
      </c>
      <c r="J157" s="22">
        <f t="shared" si="1199"/>
        <v>6925.7308000000003</v>
      </c>
      <c r="K157" s="22">
        <f t="shared" si="1199"/>
        <v>15556.2</v>
      </c>
      <c r="L157" s="22">
        <f t="shared" si="1199"/>
        <v>29051.940000000002</v>
      </c>
      <c r="M157" s="22">
        <f t="shared" si="1199"/>
        <v>42525.67</v>
      </c>
      <c r="N157" s="22">
        <f t="shared" si="1199"/>
        <v>48065.1</v>
      </c>
      <c r="O157" s="22">
        <f t="shared" si="1199"/>
        <v>50024.36</v>
      </c>
      <c r="P157" s="22">
        <f t="shared" si="1199"/>
        <v>45271.02</v>
      </c>
      <c r="Q157" s="22">
        <f t="shared" si="1199"/>
        <v>57029.14</v>
      </c>
      <c r="R157" s="22">
        <f t="shared" si="1199"/>
        <v>54515.54</v>
      </c>
      <c r="S157" s="22">
        <f t="shared" si="1199"/>
        <v>52257</v>
      </c>
      <c r="T157" s="22">
        <f t="shared" si="1199"/>
        <v>50768.840000000004</v>
      </c>
      <c r="U157" s="22">
        <f t="shared" si="1199"/>
        <v>58192.58</v>
      </c>
      <c r="V157" s="22">
        <f t="shared" si="1199"/>
        <v>59290.720000000001</v>
      </c>
      <c r="W157" s="22">
        <f t="shared" si="1199"/>
        <v>63543.950000000004</v>
      </c>
      <c r="X157" s="22">
        <f t="shared" si="1199"/>
        <v>64330.92</v>
      </c>
      <c r="Y157" s="22">
        <f t="shared" si="1199"/>
        <v>63940.969999999994</v>
      </c>
      <c r="Z157" s="22">
        <f>Z153+Z156+Z155+Z154</f>
        <v>81401.87</v>
      </c>
      <c r="AA157" s="22">
        <f>AA153+AA156+AA155+AA154</f>
        <v>104454.92</v>
      </c>
      <c r="AB157" s="161">
        <f t="shared" ref="AB157:AE157" si="1200">AB153+AB156+AB155+AB154</f>
        <v>121172.16308982561</v>
      </c>
      <c r="AC157" s="161">
        <f t="shared" si="1200"/>
        <v>140210.5919697989</v>
      </c>
      <c r="AD157" s="161">
        <f t="shared" si="1200"/>
        <v>158059.49375029723</v>
      </c>
      <c r="AE157" s="161">
        <f t="shared" si="1200"/>
        <v>174793.19046331738</v>
      </c>
      <c r="AJ157" s="22">
        <f t="shared" ref="AJ157" si="1201">AJ153+AJ156+AJ154+AJ155</f>
        <v>46988.66</v>
      </c>
      <c r="AK157" s="22">
        <f t="shared" ref="AK157" si="1202">AK153+AK156+AK154+AK155</f>
        <v>46988.66</v>
      </c>
      <c r="AL157" s="22">
        <f t="shared" ref="AL157:AM157" si="1203">AL153+AL156+AL154+AL155</f>
        <v>48065.1</v>
      </c>
      <c r="AM157" s="22">
        <f t="shared" si="1203"/>
        <v>48065.1</v>
      </c>
      <c r="AN157" s="22">
        <f t="shared" ref="AN157:AO157" si="1204">AN153+AN156+AN154+AN155</f>
        <v>50449.27</v>
      </c>
      <c r="AO157" s="22">
        <f t="shared" si="1204"/>
        <v>50449.27</v>
      </c>
      <c r="AP157" s="22">
        <f t="shared" ref="AP157:CE157" si="1205">AP153+AP156+AP154+AP155</f>
        <v>50024.36</v>
      </c>
      <c r="AQ157" s="22">
        <f t="shared" si="1205"/>
        <v>50024.36</v>
      </c>
      <c r="AR157" s="22">
        <f t="shared" si="1205"/>
        <v>49520.56</v>
      </c>
      <c r="AS157" s="22">
        <f t="shared" si="1205"/>
        <v>49520.56</v>
      </c>
      <c r="AT157" s="22">
        <f t="shared" si="1205"/>
        <v>45271.02</v>
      </c>
      <c r="AU157" s="22">
        <f t="shared" si="1205"/>
        <v>45271.02</v>
      </c>
      <c r="AV157" s="22">
        <f t="shared" si="1205"/>
        <v>51361.78</v>
      </c>
      <c r="AW157" s="22">
        <f t="shared" si="1205"/>
        <v>51361.78</v>
      </c>
      <c r="AX157" s="22">
        <f t="shared" si="1205"/>
        <v>57029.14</v>
      </c>
      <c r="AY157" s="22">
        <f t="shared" si="1205"/>
        <v>57029.14</v>
      </c>
      <c r="AZ157" s="22">
        <f t="shared" si="1205"/>
        <v>49536.810000000005</v>
      </c>
      <c r="BA157" s="22">
        <f t="shared" si="1205"/>
        <v>49536.810000000005</v>
      </c>
      <c r="BB157" s="22">
        <f t="shared" si="1205"/>
        <v>54515.54</v>
      </c>
      <c r="BC157" s="22">
        <f t="shared" si="1205"/>
        <v>54515.54</v>
      </c>
      <c r="BD157" s="22">
        <f t="shared" si="1205"/>
        <v>53336.03</v>
      </c>
      <c r="BE157" s="22">
        <f t="shared" si="1205"/>
        <v>53336.03</v>
      </c>
      <c r="BF157" s="22">
        <f t="shared" si="1205"/>
        <v>52257</v>
      </c>
      <c r="BG157" s="22">
        <f t="shared" si="1205"/>
        <v>52257</v>
      </c>
      <c r="BH157" s="22">
        <f t="shared" si="1205"/>
        <v>51675.34</v>
      </c>
      <c r="BI157" s="22">
        <f t="shared" si="1205"/>
        <v>51675.34</v>
      </c>
      <c r="BJ157" s="22">
        <f t="shared" si="1205"/>
        <v>50768.840000000004</v>
      </c>
      <c r="BK157" s="22">
        <f t="shared" si="1205"/>
        <v>50768.840000000004</v>
      </c>
      <c r="BL157" s="22">
        <f t="shared" si="1205"/>
        <v>58659.25</v>
      </c>
      <c r="BM157" s="22">
        <f t="shared" si="1205"/>
        <v>58659.25</v>
      </c>
      <c r="BN157" s="22">
        <f t="shared" si="1205"/>
        <v>58192.579999999994</v>
      </c>
      <c r="BO157" s="22">
        <f t="shared" si="1205"/>
        <v>58192.579999999994</v>
      </c>
      <c r="BP157" s="22">
        <f t="shared" si="1205"/>
        <v>58167.03</v>
      </c>
      <c r="BQ157" s="22">
        <f t="shared" si="1205"/>
        <v>58167.03</v>
      </c>
      <c r="BR157" s="22">
        <f t="shared" si="1205"/>
        <v>59290.720000000001</v>
      </c>
      <c r="BS157" s="22">
        <f t="shared" si="1205"/>
        <v>59290.720000000001</v>
      </c>
      <c r="BT157" s="22">
        <f t="shared" si="1205"/>
        <v>59948.560000000005</v>
      </c>
      <c r="BU157" s="22">
        <f t="shared" si="1205"/>
        <v>59948.560000000005</v>
      </c>
      <c r="BV157" s="22">
        <f t="shared" si="1205"/>
        <v>63543.95</v>
      </c>
      <c r="BW157" s="22">
        <f t="shared" si="1205"/>
        <v>63543.95</v>
      </c>
      <c r="BX157" s="22">
        <f t="shared" si="1205"/>
        <v>63513.61</v>
      </c>
      <c r="BY157" s="22">
        <f t="shared" si="1205"/>
        <v>63513.61</v>
      </c>
      <c r="BZ157" s="22">
        <f t="shared" si="1205"/>
        <v>63625.98</v>
      </c>
      <c r="CA157" s="22">
        <f t="shared" si="1205"/>
        <v>63625.98</v>
      </c>
      <c r="CB157" s="22">
        <f t="shared" si="1205"/>
        <v>65266.579999999994</v>
      </c>
      <c r="CC157" s="22">
        <f t="shared" si="1205"/>
        <v>65266.579999999994</v>
      </c>
      <c r="CD157" s="22">
        <f t="shared" si="1205"/>
        <v>63158.450000000004</v>
      </c>
      <c r="CE157" s="22">
        <f t="shared" si="1205"/>
        <v>63158.450000000004</v>
      </c>
      <c r="CF157" s="22">
        <f t="shared" ref="CF157:CG157" si="1206">CF153+CF156+CF154+CF155</f>
        <v>80601.19</v>
      </c>
      <c r="CG157" s="22">
        <f t="shared" si="1206"/>
        <v>80601.19</v>
      </c>
      <c r="CH157" s="22">
        <f t="shared" ref="CH157:CJ157" si="1207">CH153+CH156+CH154+CH155</f>
        <v>81401.87</v>
      </c>
      <c r="CI157" s="22">
        <f t="shared" si="1207"/>
        <v>80313.279999999999</v>
      </c>
      <c r="CJ157" s="22">
        <f t="shared" si="1207"/>
        <v>88555.58</v>
      </c>
      <c r="CK157" s="21">
        <f t="shared" ref="CK157:DB157" si="1208">CK153+CK156+CK154+CK155</f>
        <v>88520.280000000013</v>
      </c>
      <c r="CL157" s="22">
        <f t="shared" si="1208"/>
        <v>102101.39</v>
      </c>
      <c r="CM157" s="21">
        <f t="shared" si="1208"/>
        <v>107014.5218</v>
      </c>
      <c r="CN157" s="21">
        <f t="shared" si="1208"/>
        <v>111829.39096400001</v>
      </c>
      <c r="CO157" s="21">
        <f t="shared" si="1208"/>
        <v>116547.96274472</v>
      </c>
      <c r="CP157" s="21">
        <f t="shared" si="1208"/>
        <v>121172.16308982561</v>
      </c>
      <c r="CQ157" s="21">
        <f t="shared" si="1208"/>
        <v>126047.53616038839</v>
      </c>
      <c r="CR157" s="21">
        <f t="shared" si="1208"/>
        <v>130844.9032618222</v>
      </c>
      <c r="CS157" s="21">
        <f t="shared" si="1208"/>
        <v>135565.51248963302</v>
      </c>
      <c r="CT157" s="21">
        <f t="shared" si="1208"/>
        <v>140210.5919697989</v>
      </c>
      <c r="CU157" s="21">
        <f t="shared" si="1208"/>
        <v>144781.35017828213</v>
      </c>
      <c r="CV157" s="21">
        <f t="shared" si="1208"/>
        <v>149278.97625542959</v>
      </c>
      <c r="CW157" s="21">
        <f t="shared" si="1208"/>
        <v>153704.64031534272</v>
      </c>
      <c r="CX157" s="21">
        <f t="shared" si="1208"/>
        <v>158059.49375029723</v>
      </c>
      <c r="CY157" s="21">
        <f t="shared" si="1208"/>
        <v>162344.66953029248</v>
      </c>
      <c r="CZ157" s="21">
        <f t="shared" si="1208"/>
        <v>166561.28249780781</v>
      </c>
      <c r="DA157" s="21">
        <f t="shared" si="1208"/>
        <v>170710.42965784288</v>
      </c>
      <c r="DB157" s="21">
        <f t="shared" si="1208"/>
        <v>174793.19046331738</v>
      </c>
      <c r="DE157" s="126"/>
      <c r="DF157" s="22">
        <v>0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x14ac:dyDescent="0.2">
      <c r="A159" s="23" t="s">
        <v>58</v>
      </c>
      <c r="B159" s="23">
        <f>'Annual Raw'!C71</f>
        <v>0</v>
      </c>
      <c r="C159" s="23">
        <f>'Annual Raw'!D71</f>
        <v>0</v>
      </c>
      <c r="D159" s="23">
        <f>'Annual Raw'!E71</f>
        <v>0</v>
      </c>
      <c r="E159" s="23">
        <f>'Annual Raw'!F71</f>
        <v>0</v>
      </c>
      <c r="F159" s="23">
        <f>'Annual Raw'!G71</f>
        <v>0</v>
      </c>
      <c r="G159" s="23">
        <f>'Annual Raw'!H71</f>
        <v>0</v>
      </c>
      <c r="H159" s="23">
        <f>'Annual Raw'!I71</f>
        <v>1E-3</v>
      </c>
      <c r="I159" s="23">
        <f>'Annual Raw'!J71</f>
        <v>9.9999999999909103E-4</v>
      </c>
      <c r="J159" s="23">
        <f>'Annual Raw'!K71</f>
        <v>1.1999999999999999E-3</v>
      </c>
      <c r="K159" s="23">
        <f>'Annual Raw'!L71</f>
        <v>0.01</v>
      </c>
      <c r="L159" s="23">
        <f>'Annual Raw'!M71</f>
        <v>10.01</v>
      </c>
      <c r="M159" s="23">
        <f>'Annual Raw'!N71</f>
        <v>10.01</v>
      </c>
      <c r="N159" s="23">
        <f>'Annual Raw'!O71</f>
        <v>10.01</v>
      </c>
      <c r="O159" s="23">
        <f>'Annual Raw'!P71</f>
        <v>10.01</v>
      </c>
      <c r="P159" s="23">
        <f>'Annual Raw'!Q71</f>
        <v>0.01</v>
      </c>
      <c r="Q159" s="23">
        <f>'Annual Raw'!R71</f>
        <v>0.01</v>
      </c>
      <c r="R159" s="23">
        <f>'Annual Raw'!S71</f>
        <v>0.01</v>
      </c>
      <c r="S159" s="23">
        <f>'Annual Raw'!T71</f>
        <v>0.01</v>
      </c>
      <c r="T159" s="23">
        <f>'Annual Raw'!U71</f>
        <v>0.01</v>
      </c>
      <c r="U159" s="23">
        <f>'Annual Raw'!V71</f>
        <v>0.01</v>
      </c>
      <c r="V159" s="23">
        <f>'Annual Raw'!W71</f>
        <v>0.01</v>
      </c>
      <c r="W159" s="23">
        <f>'Annual Raw'!X71</f>
        <v>0.01</v>
      </c>
      <c r="X159" s="23">
        <f>'Annual Raw'!Y71</f>
        <v>42.51</v>
      </c>
      <c r="Y159" s="23">
        <f>'Annual Raw'!Z71</f>
        <v>0.01</v>
      </c>
      <c r="Z159" s="23">
        <f>'Annual Raw'!AA71</f>
        <v>59.51</v>
      </c>
      <c r="AA159" s="23">
        <f>'Annual Raw'!AB71</f>
        <v>24.64</v>
      </c>
      <c r="AB159" s="24">
        <f>+CP159</f>
        <v>116.89</v>
      </c>
      <c r="AC159" s="24">
        <f>+CT159</f>
        <v>116.89</v>
      </c>
      <c r="AD159" s="24">
        <f>+CX159</f>
        <v>116.89</v>
      </c>
      <c r="AE159" s="24">
        <f>+DB159</f>
        <v>116.89</v>
      </c>
      <c r="AJ159" s="23">
        <f>+'QTR Raw'!D77</f>
        <v>10.01</v>
      </c>
      <c r="AK159" s="23">
        <f t="shared" ref="AK159:CE159" si="1209">+AJ159</f>
        <v>10.01</v>
      </c>
      <c r="AL159" s="23">
        <f>+'QTR Raw'!F77</f>
        <v>10.01</v>
      </c>
      <c r="AM159" s="23">
        <f t="shared" si="1209"/>
        <v>10.01</v>
      </c>
      <c r="AN159" s="23">
        <f>+'QTR Raw'!H77</f>
        <v>10.01</v>
      </c>
      <c r="AO159" s="23">
        <f t="shared" si="1209"/>
        <v>10.01</v>
      </c>
      <c r="AP159" s="23">
        <f>+'QTR Raw'!J77</f>
        <v>10.01</v>
      </c>
      <c r="AQ159" s="23">
        <f t="shared" si="1209"/>
        <v>10.01</v>
      </c>
      <c r="AR159" s="23">
        <f>+'QTR Raw'!L77</f>
        <v>10.01</v>
      </c>
      <c r="AS159" s="23">
        <f t="shared" si="1209"/>
        <v>10.01</v>
      </c>
      <c r="AT159" s="23">
        <f>+'QTR Raw'!N77</f>
        <v>0.01</v>
      </c>
      <c r="AU159" s="23">
        <f t="shared" si="1209"/>
        <v>0.01</v>
      </c>
      <c r="AV159" s="23">
        <f>+'QTR Raw'!P77</f>
        <v>0.01</v>
      </c>
      <c r="AW159" s="23">
        <f t="shared" si="1209"/>
        <v>0.01</v>
      </c>
      <c r="AX159" s="23">
        <f>+'QTR Raw'!R77</f>
        <v>0.01</v>
      </c>
      <c r="AY159" s="23">
        <f t="shared" si="1209"/>
        <v>0.01</v>
      </c>
      <c r="AZ159" s="23">
        <f>+'QTR Raw'!T77</f>
        <v>0.01</v>
      </c>
      <c r="BA159" s="23">
        <f t="shared" si="1209"/>
        <v>0.01</v>
      </c>
      <c r="BB159" s="23">
        <f>+'QTR Raw'!V77</f>
        <v>0.01</v>
      </c>
      <c r="BC159" s="23">
        <f t="shared" si="1209"/>
        <v>0.01</v>
      </c>
      <c r="BD159" s="23">
        <f>+'QTR Raw'!X77</f>
        <v>0.01</v>
      </c>
      <c r="BE159" s="23">
        <f t="shared" si="1209"/>
        <v>0.01</v>
      </c>
      <c r="BF159" s="23">
        <f>+'QTR Raw'!Z77</f>
        <v>0.01</v>
      </c>
      <c r="BG159" s="23">
        <f t="shared" si="1209"/>
        <v>0.01</v>
      </c>
      <c r="BH159" s="23">
        <f>+'QTR Raw'!AB77</f>
        <v>0.01</v>
      </c>
      <c r="BI159" s="23">
        <f t="shared" si="1209"/>
        <v>0.01</v>
      </c>
      <c r="BJ159" s="23">
        <f>+'QTR Raw'!AD77</f>
        <v>0.01</v>
      </c>
      <c r="BK159" s="23">
        <f t="shared" si="1209"/>
        <v>0.01</v>
      </c>
      <c r="BL159" s="23">
        <f>+'QTR Raw'!AF77</f>
        <v>0.01</v>
      </c>
      <c r="BM159" s="23">
        <f t="shared" si="1209"/>
        <v>0.01</v>
      </c>
      <c r="BN159" s="23">
        <f>+'QTR Raw'!AH77</f>
        <v>0.01</v>
      </c>
      <c r="BO159" s="23">
        <f t="shared" si="1209"/>
        <v>0.01</v>
      </c>
      <c r="BP159" s="23">
        <f>+'QTR Raw'!AJ77</f>
        <v>0.01</v>
      </c>
      <c r="BQ159" s="23">
        <f t="shared" si="1209"/>
        <v>0.01</v>
      </c>
      <c r="BR159" s="23">
        <f>+'QTR Raw'!AL77</f>
        <v>0.01</v>
      </c>
      <c r="BS159" s="23">
        <f t="shared" si="1209"/>
        <v>0.01</v>
      </c>
      <c r="BT159" s="23">
        <f>+'QTR Raw'!AN77</f>
        <v>0.01</v>
      </c>
      <c r="BU159" s="23">
        <f t="shared" si="1209"/>
        <v>0.01</v>
      </c>
      <c r="BV159" s="23">
        <f>+'QTR Raw'!AP77</f>
        <v>0.01</v>
      </c>
      <c r="BW159" s="23">
        <f t="shared" si="1209"/>
        <v>0.01</v>
      </c>
      <c r="BX159" s="23">
        <f>+'QTR Raw'!AR77</f>
        <v>1520.23</v>
      </c>
      <c r="BY159" s="23">
        <f t="shared" si="1209"/>
        <v>1520.23</v>
      </c>
      <c r="BZ159" s="23">
        <f>+'QTR Raw'!AT77</f>
        <v>747.45</v>
      </c>
      <c r="CA159" s="23">
        <f t="shared" si="1209"/>
        <v>747.45</v>
      </c>
      <c r="CB159" s="23">
        <f>+'QTR Raw'!AV77</f>
        <v>705.2</v>
      </c>
      <c r="CC159" s="23">
        <f t="shared" si="1209"/>
        <v>705.2</v>
      </c>
      <c r="CD159" s="23">
        <f>+'QTR Raw'!AX77</f>
        <v>0.01</v>
      </c>
      <c r="CE159" s="23">
        <f t="shared" si="1209"/>
        <v>0.01</v>
      </c>
      <c r="CF159" s="23">
        <f>+'QTR Raw'!AZ77</f>
        <v>0.01</v>
      </c>
      <c r="CG159" s="23">
        <f t="shared" ref="CG159:CI162" si="1210">+CF159</f>
        <v>0.01</v>
      </c>
      <c r="CH159" s="23">
        <f t="shared" ref="CH159:CH174" si="1211">Z159</f>
        <v>59.51</v>
      </c>
      <c r="CI159" s="23">
        <f t="shared" si="1210"/>
        <v>59.51</v>
      </c>
      <c r="CJ159" s="23">
        <f>+'QTR Raw'!BD77</f>
        <v>92.82</v>
      </c>
      <c r="CK159" s="24">
        <f t="shared" ref="CK159" si="1212">+CJ159</f>
        <v>92.82</v>
      </c>
      <c r="CL159" s="23">
        <f>+'QTR Raw'!BF77</f>
        <v>116.89</v>
      </c>
      <c r="CM159" s="24">
        <f t="shared" ref="CM159" si="1213">+CL159</f>
        <v>116.89</v>
      </c>
      <c r="CN159" s="24">
        <f t="shared" ref="CN159" si="1214">+CM159</f>
        <v>116.89</v>
      </c>
      <c r="CO159" s="24">
        <f t="shared" ref="CO159" si="1215">+CN159</f>
        <v>116.89</v>
      </c>
      <c r="CP159" s="24">
        <f t="shared" ref="CP159" si="1216">+CO159</f>
        <v>116.89</v>
      </c>
      <c r="CQ159" s="24">
        <f t="shared" ref="CQ159" si="1217">+CP159</f>
        <v>116.89</v>
      </c>
      <c r="CR159" s="24">
        <f t="shared" ref="CR159" si="1218">+CQ159</f>
        <v>116.89</v>
      </c>
      <c r="CS159" s="24">
        <f t="shared" ref="CS159" si="1219">+CR159</f>
        <v>116.89</v>
      </c>
      <c r="CT159" s="24">
        <f t="shared" ref="CT159" si="1220">+CS159</f>
        <v>116.89</v>
      </c>
      <c r="CU159" s="24">
        <f t="shared" ref="CU159" si="1221">+CT159</f>
        <v>116.89</v>
      </c>
      <c r="CV159" s="24">
        <f t="shared" ref="CV159" si="1222">+CU159</f>
        <v>116.89</v>
      </c>
      <c r="CW159" s="24">
        <f t="shared" ref="CW159" si="1223">+CV159</f>
        <v>116.89</v>
      </c>
      <c r="CX159" s="24">
        <f t="shared" ref="CX159" si="1224">+CW159</f>
        <v>116.89</v>
      </c>
      <c r="CY159" s="24">
        <f t="shared" ref="CY159" si="1225">+CX159</f>
        <v>116.89</v>
      </c>
      <c r="CZ159" s="24">
        <f t="shared" ref="CZ159" si="1226">+CY159</f>
        <v>116.89</v>
      </c>
      <c r="DA159" s="24">
        <f t="shared" ref="DA159" si="1227">+CZ159</f>
        <v>116.89</v>
      </c>
      <c r="DB159" s="24">
        <f t="shared" ref="DB159" si="1228">+DA159</f>
        <v>116.89</v>
      </c>
      <c r="DE159" s="123"/>
      <c r="DF159" s="23">
        <v>0</v>
      </c>
    </row>
    <row r="160" spans="1:110" s="23" customFormat="1" x14ac:dyDescent="0.2">
      <c r="AB160" s="24"/>
      <c r="AC160" s="24"/>
      <c r="AD160" s="24"/>
      <c r="AE160" s="24"/>
      <c r="CK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</row>
    <row r="161" spans="1:110" s="23" customFormat="1" outlineLevel="1" x14ac:dyDescent="0.2">
      <c r="A161" s="23" t="s">
        <v>59</v>
      </c>
      <c r="B161" s="23">
        <f>'Annual Raw'!C72</f>
        <v>0</v>
      </c>
      <c r="C161" s="23">
        <f>'Annual Raw'!D72</f>
        <v>0</v>
      </c>
      <c r="D161" s="23">
        <f>'Annual Raw'!E72</f>
        <v>0</v>
      </c>
      <c r="E161" s="23">
        <f>'Annual Raw'!F72+'Annual Raw'!F61</f>
        <v>0</v>
      </c>
      <c r="F161" s="23">
        <f>'Annual Raw'!G72+'Annual Raw'!G61</f>
        <v>0</v>
      </c>
      <c r="G161" s="23">
        <f>'Annual Raw'!H72+'Annual Raw'!H61</f>
        <v>0</v>
      </c>
      <c r="H161" s="23">
        <f>'Annual Raw'!I72+'Annual Raw'!I61</f>
        <v>0</v>
      </c>
      <c r="I161" s="23">
        <f>'Annual Raw'!J72+'Annual Raw'!J61</f>
        <v>0</v>
      </c>
      <c r="J161" s="23">
        <f>'Annual Raw'!K72+'Annual Raw'!K61</f>
        <v>0</v>
      </c>
      <c r="K161" s="23">
        <f>'Annual Raw'!L72+'Annual Raw'!L61</f>
        <v>0</v>
      </c>
      <c r="L161" s="23">
        <f>'Annual Raw'!M72+'Annual Raw'!M61</f>
        <v>3774.96</v>
      </c>
      <c r="M161" s="23">
        <f>'Annual Raw'!N72+'Annual Raw'!N61</f>
        <v>2294.7800000000002</v>
      </c>
      <c r="N161" s="23">
        <f>'Annual Raw'!O72+'Annual Raw'!O61</f>
        <v>1295.71</v>
      </c>
      <c r="O161" s="23">
        <f>'Annual Raw'!P72+'Annual Raw'!P61</f>
        <v>1283.1600000000001</v>
      </c>
      <c r="P161" s="23">
        <f>'Annual Raw'!Q72+'Annual Raw'!Q61</f>
        <v>2619.71</v>
      </c>
      <c r="Q161" s="23">
        <f>'Annual Raw'!R72+'Annual Raw'!R61</f>
        <v>2306.4</v>
      </c>
      <c r="R161" s="23">
        <f>'Annual Raw'!S72+'Annual Raw'!S61</f>
        <v>3221.11</v>
      </c>
      <c r="S161" s="23">
        <f>'Annual Raw'!T72+'Annual Raw'!T61</f>
        <v>2823.29</v>
      </c>
      <c r="T161" s="23">
        <f>'Annual Raw'!U72+'Annual Raw'!U61</f>
        <v>3242.19</v>
      </c>
      <c r="U161" s="23">
        <f>'Annual Raw'!V72+'Annual Raw'!V61</f>
        <v>1800.97</v>
      </c>
      <c r="V161" s="23">
        <f>'Annual Raw'!W72+'Annual Raw'!W61</f>
        <v>1442.56</v>
      </c>
      <c r="W161" s="23">
        <f>'Annual Raw'!X72+'Annual Raw'!X61</f>
        <v>1068.32</v>
      </c>
      <c r="X161" s="23">
        <f>'Annual Raw'!Y72+'Annual Raw'!Y61</f>
        <v>1190.96</v>
      </c>
      <c r="Y161" s="23">
        <f>'Annual Raw'!Z72+'Annual Raw'!Z61</f>
        <v>1916.38</v>
      </c>
      <c r="Z161" s="23">
        <f>'Annual Raw'!AA72+'Annual Raw'!AA61</f>
        <v>4866.29</v>
      </c>
      <c r="AA161" s="23">
        <f>'Annual Raw'!AB72+'Annual Raw'!AB61</f>
        <v>8057.22</v>
      </c>
      <c r="AB161" s="24">
        <f t="shared" ref="AB161:AB166" si="1229">+CP161</f>
        <v>0</v>
      </c>
      <c r="AC161" s="24">
        <f t="shared" ref="AC161:AC166" si="1230">+CT161</f>
        <v>0</v>
      </c>
      <c r="AD161" s="24">
        <f t="shared" ref="AD161:AD166" si="1231">+CX161</f>
        <v>0</v>
      </c>
      <c r="AE161" s="24">
        <f t="shared" ref="AE161:AE166" si="1232">+DB161</f>
        <v>0</v>
      </c>
      <c r="AJ161" s="23">
        <f>+'QTR Raw'!D78</f>
        <v>2504.61</v>
      </c>
      <c r="AK161" s="23">
        <f t="shared" ref="AK161:CE166" si="1233">+AJ161</f>
        <v>2504.61</v>
      </c>
      <c r="AL161" s="23">
        <f>+'QTR Raw'!F78</f>
        <v>1405.47</v>
      </c>
      <c r="AM161" s="23">
        <f t="shared" si="1233"/>
        <v>1405.47</v>
      </c>
      <c r="AN161" s="23">
        <f>+'QTR Raw'!H78</f>
        <v>2590.88</v>
      </c>
      <c r="AO161" s="23">
        <f t="shared" si="1233"/>
        <v>2590.88</v>
      </c>
      <c r="AP161" s="23">
        <f>+'QTR Raw'!J78</f>
        <v>724.94</v>
      </c>
      <c r="AQ161" s="23">
        <f t="shared" si="1233"/>
        <v>724.94</v>
      </c>
      <c r="AR161" s="23">
        <f>+'QTR Raw'!L78</f>
        <v>676.94</v>
      </c>
      <c r="AS161" s="23">
        <f t="shared" si="1233"/>
        <v>676.94</v>
      </c>
      <c r="AT161" s="23">
        <f>+'QTR Raw'!N78</f>
        <v>581.08000000000004</v>
      </c>
      <c r="AU161" s="23">
        <f t="shared" si="1233"/>
        <v>581.08000000000004</v>
      </c>
      <c r="AV161" s="23">
        <f>+'QTR Raw'!P78</f>
        <v>719.78</v>
      </c>
      <c r="AW161" s="23">
        <f t="shared" si="1233"/>
        <v>719.78</v>
      </c>
      <c r="AX161" s="23">
        <f>+'QTR Raw'!R78</f>
        <v>0</v>
      </c>
      <c r="AY161" s="23">
        <f t="shared" si="1233"/>
        <v>0</v>
      </c>
      <c r="AZ161" s="23">
        <f>+'QTR Raw'!T78</f>
        <v>951.58</v>
      </c>
      <c r="BA161" s="23">
        <f t="shared" si="1233"/>
        <v>951.58</v>
      </c>
      <c r="BB161" s="23">
        <f>+'QTR Raw'!V78</f>
        <v>1249.5</v>
      </c>
      <c r="BC161" s="23">
        <f t="shared" si="1233"/>
        <v>1249.5</v>
      </c>
      <c r="BD161" s="23">
        <f>+'QTR Raw'!X78</f>
        <v>1362.9</v>
      </c>
      <c r="BE161" s="23">
        <f t="shared" si="1233"/>
        <v>1362.9</v>
      </c>
      <c r="BF161" s="23">
        <f>+'QTR Raw'!Z78</f>
        <v>1389.95</v>
      </c>
      <c r="BG161" s="23">
        <f t="shared" si="1233"/>
        <v>1389.95</v>
      </c>
      <c r="BH161" s="23">
        <f>+'QTR Raw'!AB78</f>
        <v>1389.95</v>
      </c>
      <c r="BI161" s="23">
        <f t="shared" si="1233"/>
        <v>1389.95</v>
      </c>
      <c r="BJ161" s="23">
        <f>+'QTR Raw'!AD78</f>
        <v>1584.18</v>
      </c>
      <c r="BK161" s="23">
        <f t="shared" si="1233"/>
        <v>1584.18</v>
      </c>
      <c r="BL161" s="23">
        <f>+'QTR Raw'!AF78</f>
        <v>0.56000000000000005</v>
      </c>
      <c r="BM161" s="23">
        <f t="shared" si="1233"/>
        <v>0.56000000000000005</v>
      </c>
      <c r="BN161" s="23">
        <f>+'QTR Raw'!AH78</f>
        <v>0</v>
      </c>
      <c r="BO161" s="23">
        <f t="shared" si="1233"/>
        <v>0</v>
      </c>
      <c r="BP161" s="23">
        <f>+'QTR Raw'!AJ78</f>
        <v>0</v>
      </c>
      <c r="BQ161" s="23">
        <f t="shared" si="1233"/>
        <v>0</v>
      </c>
      <c r="BR161" s="23">
        <f>+'QTR Raw'!AL78</f>
        <v>0</v>
      </c>
      <c r="BS161" s="23">
        <f t="shared" si="1233"/>
        <v>0</v>
      </c>
      <c r="BT161" s="23">
        <f>+'QTR Raw'!AN78</f>
        <v>0</v>
      </c>
      <c r="BU161" s="23">
        <f t="shared" si="1233"/>
        <v>0</v>
      </c>
      <c r="BV161" s="23">
        <f>+'QTR Raw'!AP78</f>
        <v>0</v>
      </c>
      <c r="BW161" s="23">
        <f t="shared" si="1233"/>
        <v>0</v>
      </c>
      <c r="BX161" s="23">
        <f>+'QTR Raw'!AR78</f>
        <v>0</v>
      </c>
      <c r="BY161" s="23">
        <f t="shared" si="1233"/>
        <v>0</v>
      </c>
      <c r="BZ161" s="23">
        <f>+'QTR Raw'!AT78</f>
        <v>0</v>
      </c>
      <c r="CA161" s="23">
        <f t="shared" si="1233"/>
        <v>0</v>
      </c>
      <c r="CB161" s="23">
        <f>+'QTR Raw'!AV78</f>
        <v>0</v>
      </c>
      <c r="CC161" s="23">
        <f t="shared" si="1233"/>
        <v>0</v>
      </c>
      <c r="CD161" s="23">
        <f>+'QTR Raw'!AX78</f>
        <v>0</v>
      </c>
      <c r="CE161" s="23">
        <f t="shared" si="1233"/>
        <v>0</v>
      </c>
      <c r="CF161" s="23">
        <f>+'QTR Raw'!AZ78</f>
        <v>3.44</v>
      </c>
      <c r="CG161" s="23">
        <f t="shared" si="1210"/>
        <v>3.44</v>
      </c>
      <c r="CH161" s="23">
        <f t="shared" si="1211"/>
        <v>4866.29</v>
      </c>
      <c r="CJ161" s="23">
        <f>+'QTR Raw'!BD78</f>
        <v>7.57</v>
      </c>
      <c r="CK161" s="24"/>
      <c r="CL161" s="23">
        <f>+'QTR Raw'!BF78</f>
        <v>7.5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0</v>
      </c>
    </row>
    <row r="162" spans="1:110" s="23" customFormat="1" outlineLevel="1" x14ac:dyDescent="0.2">
      <c r="A162" s="23" t="s">
        <v>60</v>
      </c>
      <c r="B162" s="23">
        <f>'Annual Raw'!C73+'Annual Raw'!C81</f>
        <v>0</v>
      </c>
      <c r="C162" s="23">
        <f>'Annual Raw'!D73+'Annual Raw'!D81</f>
        <v>0</v>
      </c>
      <c r="D162" s="23">
        <f>'Annual Raw'!E73+'Annual Raw'!E81</f>
        <v>0</v>
      </c>
      <c r="E162" s="23">
        <f>'Annual Raw'!F73+'Annual Raw'!F81</f>
        <v>0</v>
      </c>
      <c r="F162" s="23">
        <f>'Annual Raw'!G73+'Annual Raw'!G81</f>
        <v>0</v>
      </c>
      <c r="G162" s="23">
        <f>'Annual Raw'!H73+'Annual Raw'!H81</f>
        <v>0</v>
      </c>
      <c r="H162" s="23">
        <f>'Annual Raw'!I73+'Annual Raw'!I81</f>
        <v>0</v>
      </c>
      <c r="I162" s="23">
        <f>'Annual Raw'!J73+'Annual Raw'!J81</f>
        <v>0</v>
      </c>
      <c r="J162" s="23">
        <f>'Annual Raw'!K73+'Annual Raw'!K81</f>
        <v>0</v>
      </c>
      <c r="K162" s="23">
        <f>'Annual Raw'!L73+'Annual Raw'!L81</f>
        <v>0</v>
      </c>
      <c r="L162" s="23">
        <f>'Annual Raw'!M73+'Annual Raw'!M81</f>
        <v>290.75</v>
      </c>
      <c r="M162" s="23">
        <f>'Annual Raw'!N73+'Annual Raw'!N81</f>
        <v>427.84</v>
      </c>
      <c r="N162" s="23">
        <f>'Annual Raw'!O73+'Annual Raw'!O81</f>
        <v>154.87</v>
      </c>
      <c r="O162" s="23">
        <f>'Annual Raw'!P73+'Annual Raw'!P81</f>
        <v>142.26</v>
      </c>
      <c r="P162" s="23">
        <f>'Annual Raw'!Q73+'Annual Raw'!Q81</f>
        <v>36.479999999999997</v>
      </c>
      <c r="Q162" s="23">
        <f>'Annual Raw'!R73+'Annual Raw'!R81</f>
        <v>238.17</v>
      </c>
      <c r="R162" s="23">
        <f>'Annual Raw'!S73+'Annual Raw'!S81</f>
        <v>248.01</v>
      </c>
      <c r="S162" s="23">
        <f>'Annual Raw'!T73+'Annual Raw'!T81</f>
        <v>505.02</v>
      </c>
      <c r="T162" s="23">
        <f>'Annual Raw'!U73+'Annual Raw'!U81</f>
        <v>775.23</v>
      </c>
      <c r="U162" s="23">
        <f>'Annual Raw'!V73+'Annual Raw'!V81</f>
        <v>438.26</v>
      </c>
      <c r="V162" s="23">
        <f>'Annual Raw'!W73+'Annual Raw'!W81</f>
        <v>1223.79</v>
      </c>
      <c r="W162" s="23">
        <f>'Annual Raw'!X73+'Annual Raw'!X81</f>
        <v>1140.67</v>
      </c>
      <c r="X162" s="23">
        <f>'Annual Raw'!Y73+'Annual Raw'!Y81</f>
        <v>703.88</v>
      </c>
      <c r="Y162" s="23">
        <f>'Annual Raw'!Z73+'Annual Raw'!Z81</f>
        <v>504.49</v>
      </c>
      <c r="Z162" s="23">
        <f>'Annual Raw'!AA73+'Annual Raw'!AA81</f>
        <v>276.45</v>
      </c>
      <c r="AA162" s="23">
        <f>'Annual Raw'!AB73+'Annual Raw'!AB81</f>
        <v>243.67</v>
      </c>
      <c r="AB162" s="24">
        <f t="shared" si="1229"/>
        <v>0</v>
      </c>
      <c r="AC162" s="24">
        <f t="shared" si="1230"/>
        <v>0</v>
      </c>
      <c r="AD162" s="24">
        <f t="shared" si="1231"/>
        <v>0</v>
      </c>
      <c r="AE162" s="24">
        <f t="shared" si="1232"/>
        <v>0</v>
      </c>
      <c r="AJ162" s="23">
        <f>+'QTR Raw'!D79+'QTR Raw'!D76</f>
        <v>342.01</v>
      </c>
      <c r="AK162" s="23">
        <f t="shared" si="1233"/>
        <v>342.01</v>
      </c>
      <c r="AL162" s="23">
        <f>+'QTR Raw'!F79+'QTR Raw'!F76</f>
        <v>154.87</v>
      </c>
      <c r="AM162" s="23">
        <f t="shared" si="1233"/>
        <v>154.87</v>
      </c>
      <c r="AN162" s="23">
        <f>+'QTR Raw'!H79+'QTR Raw'!H76</f>
        <v>144.37</v>
      </c>
      <c r="AO162" s="23">
        <f t="shared" si="1233"/>
        <v>144.37</v>
      </c>
      <c r="AP162" s="23">
        <f>+'QTR Raw'!J79+'QTR Raw'!J76</f>
        <v>875.4</v>
      </c>
      <c r="AQ162" s="23">
        <f t="shared" si="1233"/>
        <v>875.4</v>
      </c>
      <c r="AR162" s="23">
        <f>+'QTR Raw'!L79+'QTR Raw'!L76</f>
        <v>664.7</v>
      </c>
      <c r="AS162" s="23">
        <f t="shared" si="1233"/>
        <v>664.7</v>
      </c>
      <c r="AT162" s="23">
        <f>+'QTR Raw'!N79+'QTR Raw'!N76</f>
        <v>2230.15</v>
      </c>
      <c r="AU162" s="23">
        <f t="shared" si="1233"/>
        <v>2230.15</v>
      </c>
      <c r="AV162" s="23">
        <f>+'QTR Raw'!P79+'QTR Raw'!P76</f>
        <v>1793.7</v>
      </c>
      <c r="AW162" s="23">
        <f t="shared" si="1233"/>
        <v>1793.7</v>
      </c>
      <c r="AX162" s="23">
        <f>+'QTR Raw'!R79+'QTR Raw'!R76</f>
        <v>2539.88</v>
      </c>
      <c r="AY162" s="23">
        <f t="shared" si="1233"/>
        <v>2539.88</v>
      </c>
      <c r="AZ162" s="23">
        <f>+'QTR Raw'!T79+'QTR Raw'!T76</f>
        <v>2520.9899999999998</v>
      </c>
      <c r="BA162" s="23">
        <f t="shared" si="1233"/>
        <v>2520.9899999999998</v>
      </c>
      <c r="BB162" s="23">
        <f>+'QTR Raw'!V79+'QTR Raw'!V76</f>
        <v>2215.0700000000002</v>
      </c>
      <c r="BC162" s="23">
        <f t="shared" si="1233"/>
        <v>2215.0700000000002</v>
      </c>
      <c r="BD162" s="23">
        <f>+'QTR Raw'!X79+'QTR Raw'!X76</f>
        <v>1809.14</v>
      </c>
      <c r="BE162" s="23">
        <f t="shared" si="1233"/>
        <v>1809.14</v>
      </c>
      <c r="BF162" s="23">
        <f>+'QTR Raw'!Z79+'QTR Raw'!Z76</f>
        <v>1924.59</v>
      </c>
      <c r="BG162" s="23">
        <f t="shared" si="1233"/>
        <v>1924.59</v>
      </c>
      <c r="BH162" s="23">
        <f>+'QTR Raw'!AB79+'QTR Raw'!AB76</f>
        <v>2521.62</v>
      </c>
      <c r="BI162" s="23">
        <f t="shared" si="1233"/>
        <v>2521.62</v>
      </c>
      <c r="BJ162" s="23">
        <f>+'QTR Raw'!AD79+'QTR Raw'!AD76</f>
        <v>2429.04</v>
      </c>
      <c r="BK162" s="23">
        <f t="shared" si="1233"/>
        <v>2429.04</v>
      </c>
      <c r="BL162" s="23">
        <f>+'QTR Raw'!AF79+'QTR Raw'!AF76</f>
        <v>1874.62</v>
      </c>
      <c r="BM162" s="23">
        <f t="shared" si="1233"/>
        <v>1874.62</v>
      </c>
      <c r="BN162" s="23">
        <f>+'QTR Raw'!AH79+'QTR Raw'!AH76</f>
        <v>2239.23</v>
      </c>
      <c r="BO162" s="23">
        <f t="shared" si="1233"/>
        <v>2239.23</v>
      </c>
      <c r="BP162" s="23">
        <f>+'QTR Raw'!AJ79+'QTR Raw'!AJ76</f>
        <v>1685.75</v>
      </c>
      <c r="BQ162" s="23">
        <f t="shared" si="1233"/>
        <v>1685.75</v>
      </c>
      <c r="BR162" s="23">
        <f>+'QTR Raw'!AL79+'QTR Raw'!AL76</f>
        <v>1872.83</v>
      </c>
      <c r="BS162" s="23">
        <f t="shared" si="1233"/>
        <v>1872.83</v>
      </c>
      <c r="BT162" s="23">
        <f>+'QTR Raw'!AN79+'QTR Raw'!AN76</f>
        <v>1632.85</v>
      </c>
      <c r="BU162" s="23">
        <f t="shared" si="1233"/>
        <v>1632.85</v>
      </c>
      <c r="BV162" s="23">
        <f>+'QTR Raw'!AP79+'QTR Raw'!AP76</f>
        <v>2208.9899999999998</v>
      </c>
      <c r="BW162" s="23">
        <f t="shared" si="1233"/>
        <v>2208.9899999999998</v>
      </c>
      <c r="BX162" s="23">
        <f>+'QTR Raw'!AR79+'QTR Raw'!AR76</f>
        <v>2242.06</v>
      </c>
      <c r="BY162" s="23">
        <f t="shared" si="1233"/>
        <v>2242.06</v>
      </c>
      <c r="BZ162" s="23">
        <f>+'QTR Raw'!AT79+'QTR Raw'!AT76</f>
        <v>1894.84</v>
      </c>
      <c r="CA162" s="23">
        <f t="shared" si="1233"/>
        <v>1894.84</v>
      </c>
      <c r="CB162" s="23">
        <f>+'QTR Raw'!AV79+'QTR Raw'!AV76</f>
        <v>2776.33</v>
      </c>
      <c r="CC162" s="23">
        <f t="shared" si="1233"/>
        <v>2776.33</v>
      </c>
      <c r="CD162" s="23">
        <f>+'QTR Raw'!AX79+'QTR Raw'!AX76</f>
        <v>3203.39</v>
      </c>
      <c r="CE162" s="23">
        <f t="shared" si="1233"/>
        <v>3203.39</v>
      </c>
      <c r="CF162" s="23">
        <f>+'QTR Raw'!AZ79+'QTR Raw'!AZ76</f>
        <v>3284.72</v>
      </c>
      <c r="CG162" s="23">
        <f t="shared" si="1210"/>
        <v>3284.72</v>
      </c>
      <c r="CH162" s="23">
        <f t="shared" si="1211"/>
        <v>276.45</v>
      </c>
      <c r="CJ162" s="23">
        <f>+'QTR Raw'!BD79+'QTR Raw'!BD76</f>
        <v>10242.85</v>
      </c>
      <c r="CK162" s="24"/>
      <c r="CL162" s="23">
        <f>+'QTR Raw'!BF79+'QTR Raw'!BF76</f>
        <v>10554.67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0</v>
      </c>
    </row>
    <row r="163" spans="1:110" s="23" customFormat="1" outlineLevel="1" x14ac:dyDescent="0.2">
      <c r="A163" s="23" t="s">
        <v>61</v>
      </c>
      <c r="B163" s="23">
        <f>'Annual Raw'!C76</f>
        <v>0</v>
      </c>
      <c r="C163" s="23">
        <f>'Annual Raw'!D76</f>
        <v>0</v>
      </c>
      <c r="D163" s="23">
        <f>'Annual Raw'!E76</f>
        <v>0</v>
      </c>
      <c r="E163" s="23">
        <f>'Annual Raw'!F76</f>
        <v>0</v>
      </c>
      <c r="F163" s="23">
        <f>'Annual Raw'!G76</f>
        <v>0</v>
      </c>
      <c r="G163" s="23">
        <f>'Annual Raw'!H76</f>
        <v>0</v>
      </c>
      <c r="H163" s="23">
        <f>'Annual Raw'!I76</f>
        <v>0</v>
      </c>
      <c r="I163" s="23">
        <f>'Annual Raw'!J76</f>
        <v>0</v>
      </c>
      <c r="J163" s="23">
        <f>'Annual Raw'!K76</f>
        <v>0</v>
      </c>
      <c r="K163" s="23">
        <f>'Annual Raw'!L76</f>
        <v>9.52</v>
      </c>
      <c r="L163" s="23">
        <f>'Annual Raw'!M76</f>
        <v>283.61</v>
      </c>
      <c r="M163" s="23">
        <f>'Annual Raw'!N76</f>
        <v>826.75</v>
      </c>
      <c r="N163" s="23">
        <f>'Annual Raw'!O76</f>
        <v>1555.67</v>
      </c>
      <c r="O163" s="23">
        <f>'Annual Raw'!P76</f>
        <v>1280.96</v>
      </c>
      <c r="P163" s="23">
        <f>'Annual Raw'!Q76</f>
        <v>1629.05</v>
      </c>
      <c r="Q163" s="23">
        <f>'Annual Raw'!R76</f>
        <v>1619.2</v>
      </c>
      <c r="R163" s="23">
        <f>'Annual Raw'!S76</f>
        <v>1760.41</v>
      </c>
      <c r="S163" s="23">
        <f>'Annual Raw'!T76</f>
        <v>873.98</v>
      </c>
      <c r="T163" s="23">
        <f>'Annual Raw'!U76</f>
        <v>1224.08</v>
      </c>
      <c r="U163" s="23">
        <f>'Annual Raw'!V76</f>
        <v>2522.77</v>
      </c>
      <c r="V163" s="23">
        <f>'Annual Raw'!W76</f>
        <v>2025.11</v>
      </c>
      <c r="W163" s="23">
        <f>'Annual Raw'!X76</f>
        <v>2258.27</v>
      </c>
      <c r="X163" s="23">
        <f>'Annual Raw'!Y76</f>
        <v>3075.2</v>
      </c>
      <c r="Y163" s="23">
        <f>'Annual Raw'!Z76</f>
        <v>4142.1000000000004</v>
      </c>
      <c r="Z163" s="23">
        <f>'Annual Raw'!AA76</f>
        <v>3317.28</v>
      </c>
      <c r="AA163" s="23">
        <f>'Annual Raw'!AB76</f>
        <v>3623.48</v>
      </c>
      <c r="AB163" s="24">
        <f t="shared" si="1229"/>
        <v>4556.8932313275909</v>
      </c>
      <c r="AC163" s="24">
        <f t="shared" si="1230"/>
        <v>5481.5639966625677</v>
      </c>
      <c r="AD163" s="24">
        <f t="shared" si="1231"/>
        <v>6541.0400779755582</v>
      </c>
      <c r="AE163" s="24">
        <f t="shared" si="1232"/>
        <v>8203.5707756552274</v>
      </c>
      <c r="AJ163" s="23">
        <f>+'QTR Raw'!D81</f>
        <v>1162.58</v>
      </c>
      <c r="AK163" s="23">
        <f>+AK198*AK29/90</f>
        <v>1412.2342468506477</v>
      </c>
      <c r="AL163" s="23">
        <f>+'QTR Raw'!F81</f>
        <v>1555.67</v>
      </c>
      <c r="AM163" s="23">
        <f>+AM198*AM29/90</f>
        <v>1749.3371751547008</v>
      </c>
      <c r="AN163" s="23">
        <f>+'QTR Raw'!H81</f>
        <v>1195.47</v>
      </c>
      <c r="AO163" s="23">
        <f>+AO198*AO29/90</f>
        <v>1645.3629914765731</v>
      </c>
      <c r="AP163" s="23">
        <f>+'QTR Raw'!J81</f>
        <v>1280.96</v>
      </c>
      <c r="AQ163" s="23">
        <f>+AQ198*AQ29/90</f>
        <v>1110.6335846470186</v>
      </c>
      <c r="AR163" s="23">
        <f>+'QTR Raw'!L81</f>
        <v>1937.15</v>
      </c>
      <c r="AS163" s="23">
        <f>+AS198*AS29/90</f>
        <v>2570.4798435605239</v>
      </c>
      <c r="AT163" s="23">
        <f>+'QTR Raw'!N81</f>
        <v>1629.05</v>
      </c>
      <c r="AU163" s="23">
        <f>+AU198*AU29/90</f>
        <v>2075.0566919332582</v>
      </c>
      <c r="AV163" s="23">
        <f>+'QTR Raw'!P81</f>
        <v>1582.89</v>
      </c>
      <c r="AW163" s="23">
        <f>+AW198*AW29/90</f>
        <v>1704.1288432919528</v>
      </c>
      <c r="AX163" s="23">
        <f>+'QTR Raw'!R81</f>
        <v>1619.2</v>
      </c>
      <c r="AY163" s="23">
        <f>+AY198*AY29/90</f>
        <v>1140.7591324514485</v>
      </c>
      <c r="AZ163" s="23">
        <f>+'QTR Raw'!T81</f>
        <v>0.2</v>
      </c>
      <c r="BA163" s="23">
        <f>+BA198*BA29/90</f>
        <v>0.19479995481028392</v>
      </c>
      <c r="BB163" s="23">
        <f>+'QTR Raw'!V81</f>
        <v>1760.41</v>
      </c>
      <c r="BC163" s="23">
        <f>+BC198*BC29/90</f>
        <v>1536.2457558369267</v>
      </c>
      <c r="BD163" s="23">
        <f>+'QTR Raw'!X81</f>
        <v>1695.15</v>
      </c>
      <c r="BE163" s="23">
        <f>+BE198*BE29/90</f>
        <v>1333.3365322574098</v>
      </c>
      <c r="BF163" s="23">
        <f>+'QTR Raw'!Z81</f>
        <v>873.98</v>
      </c>
      <c r="BG163" s="23">
        <f>+BG198*BG29/90</f>
        <v>840.71519121071231</v>
      </c>
      <c r="BH163" s="23">
        <f>+'QTR Raw'!AB81</f>
        <v>1627.18</v>
      </c>
      <c r="BI163" s="23">
        <f>+BI198*BI29/90</f>
        <v>1444.1324997255151</v>
      </c>
      <c r="BJ163" s="23">
        <f>+'QTR Raw'!AD81</f>
        <v>1224.08</v>
      </c>
      <c r="BK163" s="23">
        <f>+BK198*BK29/90</f>
        <v>1421.31405390287</v>
      </c>
      <c r="BL163" s="23">
        <f>+'QTR Raw'!AF81</f>
        <v>1803.09</v>
      </c>
      <c r="BM163" s="23">
        <f>+BM198*BM29/90</f>
        <v>2003.9914521890094</v>
      </c>
      <c r="BN163" s="23">
        <f>+'QTR Raw'!AH81</f>
        <v>2522.77</v>
      </c>
      <c r="BO163" s="23">
        <f>+BO198*BO29/90</f>
        <v>2126.8878236124187</v>
      </c>
      <c r="BP163" s="23">
        <f>+'QTR Raw'!AJ81</f>
        <v>1888.74</v>
      </c>
      <c r="BQ163" s="23">
        <f>+BQ198*BQ29/90</f>
        <v>1680.5016384379828</v>
      </c>
      <c r="BR163" s="23">
        <f>+'QTR Raw'!AL81</f>
        <v>2025.11</v>
      </c>
      <c r="BS163" s="23">
        <f>+BS198*BS29/90</f>
        <v>2087.1507585352074</v>
      </c>
      <c r="BT163" s="23">
        <f>+'QTR Raw'!AN81</f>
        <v>957.51</v>
      </c>
      <c r="BU163" s="23">
        <f>+BU198*BU29/90</f>
        <v>990.24554249314178</v>
      </c>
      <c r="BV163" s="23">
        <f>+'QTR Raw'!AP81</f>
        <v>2258.27</v>
      </c>
      <c r="BW163" s="23">
        <f>+BW198*BW29/90</f>
        <v>2924.2326889405135</v>
      </c>
      <c r="BX163" s="23">
        <f>+'QTR Raw'!AR81</f>
        <v>4967.32</v>
      </c>
      <c r="BY163" s="23">
        <f>+BY198*BY29/90</f>
        <v>5475.5207908832908</v>
      </c>
      <c r="BZ163" s="23">
        <f>+'QTR Raw'!AT81</f>
        <v>3075.2</v>
      </c>
      <c r="CA163" s="23">
        <f>+CA198*CA29/90</f>
        <v>3304.4364715691959</v>
      </c>
      <c r="CB163" s="23">
        <f>+'QTR Raw'!AV81</f>
        <v>3073.65</v>
      </c>
      <c r="CC163" s="23">
        <f>+CC198*CC29/90</f>
        <v>3073.85348121485</v>
      </c>
      <c r="CD163" s="23">
        <f>+'QTR Raw'!AX81</f>
        <v>4142.1000000000004</v>
      </c>
      <c r="CE163" s="23">
        <f>+CE198*CE29/90</f>
        <v>4635.5246958736698</v>
      </c>
      <c r="CF163" s="23">
        <f>+'QTR Raw'!AZ81</f>
        <v>3739.21</v>
      </c>
      <c r="CG163" s="23">
        <f>+CG198*CG29/90</f>
        <v>3832.3617101135928</v>
      </c>
      <c r="CH163" s="23">
        <f t="shared" si="1211"/>
        <v>3317.28</v>
      </c>
      <c r="CI163" s="23">
        <f>+CI198*CI29/90</f>
        <v>3287.3980580724005</v>
      </c>
      <c r="CJ163" s="23">
        <f>+'QTR Raw'!BD81</f>
        <v>3140.31</v>
      </c>
      <c r="CK163" s="24">
        <f t="shared" ref="CK163:DB163" si="1234">+CK198*CK29/90</f>
        <v>4289.1815592764224</v>
      </c>
      <c r="CL163" s="23">
        <f>+'QTR Raw'!BF81</f>
        <v>3623.48</v>
      </c>
      <c r="CM163" s="24">
        <f t="shared" si="1234"/>
        <v>3972.4198796196356</v>
      </c>
      <c r="CN163" s="24">
        <f t="shared" si="1234"/>
        <v>3720.4286735519813</v>
      </c>
      <c r="CO163" s="24">
        <f t="shared" si="1234"/>
        <v>3747.1371531152231</v>
      </c>
      <c r="CP163" s="24">
        <f t="shared" si="1234"/>
        <v>4556.8932313275909</v>
      </c>
      <c r="CQ163" s="24">
        <f t="shared" si="1234"/>
        <v>4231.8473608370368</v>
      </c>
      <c r="CR163" s="24">
        <f t="shared" si="1234"/>
        <v>4339.5158900123579</v>
      </c>
      <c r="CS163" s="24">
        <f t="shared" si="1234"/>
        <v>4565.5418898533308</v>
      </c>
      <c r="CT163" s="24">
        <f t="shared" si="1234"/>
        <v>5481.5639966625677</v>
      </c>
      <c r="CU163" s="24">
        <f t="shared" si="1234"/>
        <v>4927.0570181161538</v>
      </c>
      <c r="CV163" s="24">
        <f t="shared" si="1234"/>
        <v>4973.8760232645382</v>
      </c>
      <c r="CW163" s="24">
        <f t="shared" si="1234"/>
        <v>5416.1376504082427</v>
      </c>
      <c r="CX163" s="24">
        <f t="shared" si="1234"/>
        <v>6541.0400779755582</v>
      </c>
      <c r="CY163" s="24">
        <f t="shared" si="1234"/>
        <v>5935.9424153752298</v>
      </c>
      <c r="CZ163" s="24">
        <f t="shared" si="1234"/>
        <v>6246.4093791433852</v>
      </c>
      <c r="DA163" s="24">
        <f t="shared" si="1234"/>
        <v>6576.6478526150586</v>
      </c>
      <c r="DB163" s="24">
        <f t="shared" si="1234"/>
        <v>8203.5707756552274</v>
      </c>
      <c r="DE163" s="123"/>
      <c r="DF163" s="23">
        <v>0</v>
      </c>
    </row>
    <row r="164" spans="1:110" s="23" customFormat="1" outlineLevel="1" x14ac:dyDescent="0.2">
      <c r="A164" s="23" t="s">
        <v>62</v>
      </c>
      <c r="B164" s="23">
        <f>'Annual Raw'!C77</f>
        <v>0</v>
      </c>
      <c r="C164" s="23">
        <f>'Annual Raw'!D77</f>
        <v>0</v>
      </c>
      <c r="D164" s="23">
        <f>'Annual Raw'!E77</f>
        <v>0</v>
      </c>
      <c r="E164" s="23">
        <f>'Annual Raw'!F77</f>
        <v>0</v>
      </c>
      <c r="F164" s="23">
        <f>'Annual Raw'!G77</f>
        <v>0</v>
      </c>
      <c r="G164" s="23">
        <f>'Annual Raw'!H77</f>
        <v>0</v>
      </c>
      <c r="H164" s="23">
        <f>'Annual Raw'!I77</f>
        <v>0</v>
      </c>
      <c r="I164" s="23">
        <f>'Annual Raw'!J77</f>
        <v>0</v>
      </c>
      <c r="J164" s="23">
        <f>'Annual Raw'!K77</f>
        <v>0</v>
      </c>
      <c r="K164" s="23">
        <f>'Annual Raw'!L77</f>
        <v>256.3</v>
      </c>
      <c r="L164" s="23">
        <f>'Annual Raw'!M77</f>
        <v>45.91</v>
      </c>
      <c r="M164" s="23">
        <f>'Annual Raw'!N77</f>
        <v>449.2</v>
      </c>
      <c r="N164" s="23">
        <f>'Annual Raw'!O77</f>
        <v>758.48</v>
      </c>
      <c r="O164" s="23">
        <f>'Annual Raw'!P77</f>
        <v>1543.27</v>
      </c>
      <c r="P164" s="23">
        <f>'Annual Raw'!Q77</f>
        <v>3489.54</v>
      </c>
      <c r="Q164" s="23">
        <f>'Annual Raw'!R77</f>
        <v>12476.6</v>
      </c>
      <c r="R164" s="23">
        <f>'Annual Raw'!S77</f>
        <v>7704.34</v>
      </c>
      <c r="S164" s="23">
        <f>'Annual Raw'!T77</f>
        <v>6069.81</v>
      </c>
      <c r="T164" s="23">
        <f>'Annual Raw'!U77</f>
        <v>8550.99</v>
      </c>
      <c r="U164" s="23">
        <f>'Annual Raw'!V77</f>
        <v>8366.4699999999993</v>
      </c>
      <c r="V164" s="23">
        <f>'Annual Raw'!W77</f>
        <v>11839.28</v>
      </c>
      <c r="W164" s="23">
        <f>'Annual Raw'!X77</f>
        <v>9560.92</v>
      </c>
      <c r="X164" s="23">
        <f>'Annual Raw'!Y77</f>
        <v>11529.36</v>
      </c>
      <c r="Y164" s="23">
        <f>'Annual Raw'!Z77</f>
        <v>11677.48</v>
      </c>
      <c r="Z164" s="23">
        <f>'Annual Raw'!AA77</f>
        <v>13022.07</v>
      </c>
      <c r="AA164" s="23">
        <f>'Annual Raw'!AB77</f>
        <v>11791.37</v>
      </c>
      <c r="AB164" s="24">
        <f t="shared" si="1229"/>
        <v>18803.726202092988</v>
      </c>
      <c r="AC164" s="24">
        <f t="shared" si="1230"/>
        <v>25488.19346100913</v>
      </c>
      <c r="AD164" s="24">
        <f t="shared" si="1231"/>
        <v>30414.54866624959</v>
      </c>
      <c r="AE164" s="24">
        <f t="shared" si="1232"/>
        <v>38144.989117756813</v>
      </c>
      <c r="AJ164" s="23">
        <f>+'QTR Raw'!D82</f>
        <v>513.97</v>
      </c>
      <c r="AK164" s="23">
        <f>+AK199*AK29/90</f>
        <v>624.34072137300438</v>
      </c>
      <c r="AL164" s="23">
        <f>+'QTR Raw'!F82</f>
        <v>758.48</v>
      </c>
      <c r="AM164" s="23">
        <f>+AM199*AM29/90</f>
        <v>852.90406102279894</v>
      </c>
      <c r="AN164" s="23">
        <f>+'QTR Raw'!H82</f>
        <v>1623.07</v>
      </c>
      <c r="AO164" s="23">
        <f>+AO199*AO29/90</f>
        <v>2233.8823312804848</v>
      </c>
      <c r="AP164" s="23">
        <f>+'QTR Raw'!J82</f>
        <v>1543.27</v>
      </c>
      <c r="AQ164" s="23">
        <f>+AQ199*AQ29/90</f>
        <v>1338.0648046607268</v>
      </c>
      <c r="AR164" s="23">
        <f>+'QTR Raw'!L82</f>
        <v>2876.13</v>
      </c>
      <c r="AS164" s="23">
        <f>+AS199*AS29/90</f>
        <v>3816.4490062513119</v>
      </c>
      <c r="AT164" s="23">
        <f>+'QTR Raw'!N82</f>
        <v>3489.54</v>
      </c>
      <c r="AU164" s="23">
        <f>+AU199*AU29/90</f>
        <v>4444.9177918227088</v>
      </c>
      <c r="AV164" s="23">
        <f>+'QTR Raw'!P82</f>
        <v>7845.09</v>
      </c>
      <c r="AW164" s="23">
        <f>+AW199*AW29/90</f>
        <v>8445.9717019004893</v>
      </c>
      <c r="AX164" s="23">
        <f>+'QTR Raw'!R82</f>
        <v>12476.6</v>
      </c>
      <c r="AY164" s="23">
        <f>+AY199*AY29/90</f>
        <v>8790.0169169613055</v>
      </c>
      <c r="AZ164" s="23">
        <f>+'QTR Raw'!T82</f>
        <v>9520.9699999999993</v>
      </c>
      <c r="BA164" s="23">
        <f>+BA199*BA29/90</f>
        <v>9273.4226287503425</v>
      </c>
      <c r="BB164" s="23">
        <f>+'QTR Raw'!V82</f>
        <v>7704.34</v>
      </c>
      <c r="BC164" s="23">
        <f>+BC199*BC29/90</f>
        <v>6723.2972015182077</v>
      </c>
      <c r="BD164" s="23">
        <f>+'QTR Raw'!X82</f>
        <v>6601.49</v>
      </c>
      <c r="BE164" s="23">
        <f>+BE199*BE29/90</f>
        <v>5192.465436292935</v>
      </c>
      <c r="BF164" s="23">
        <f>+'QTR Raw'!Z82</f>
        <v>6069.81</v>
      </c>
      <c r="BG164" s="23">
        <f>+BG199*BG29/90</f>
        <v>5838.7851835999609</v>
      </c>
      <c r="BH164" s="23">
        <f>+'QTR Raw'!AB82</f>
        <v>8387.15</v>
      </c>
      <c r="BI164" s="23">
        <f>+BI199*BI29/90</f>
        <v>7443.6484562696523</v>
      </c>
      <c r="BJ164" s="23">
        <f>+'QTR Raw'!AD82</f>
        <v>8550.99</v>
      </c>
      <c r="BK164" s="23">
        <f>+BK199*BK29/90</f>
        <v>9928.7973513029392</v>
      </c>
      <c r="BL164" s="23">
        <f>+'QTR Raw'!AF82</f>
        <v>10430.77</v>
      </c>
      <c r="BM164" s="23">
        <f>+BM199*BM29/90</f>
        <v>11592.973129322192</v>
      </c>
      <c r="BN164" s="23">
        <f>+'QTR Raw'!AH82</f>
        <v>8366.4699999999993</v>
      </c>
      <c r="BO164" s="23">
        <f>+BO199*BO29/90</f>
        <v>7053.5733220303828</v>
      </c>
      <c r="BP164" s="23">
        <f>+'QTR Raw'!AJ82</f>
        <v>12636.36</v>
      </c>
      <c r="BQ164" s="23">
        <f>+BQ199*BQ29/90</f>
        <v>11243.169353056635</v>
      </c>
      <c r="BR164" s="23">
        <f>+'QTR Raw'!AL82</f>
        <v>11839.28</v>
      </c>
      <c r="BS164" s="23">
        <f>+BS199*BS29/90</f>
        <v>12201.985192167691</v>
      </c>
      <c r="BT164" s="23">
        <f>+'QTR Raw'!AN82</f>
        <v>11709.17</v>
      </c>
      <c r="BU164" s="23">
        <f>+BU199*BU29/90</f>
        <v>12109.485434924358</v>
      </c>
      <c r="BV164" s="23">
        <f>+'QTR Raw'!AP82</f>
        <v>9560.92</v>
      </c>
      <c r="BW164" s="23">
        <f>+BW199*BW29/90</f>
        <v>12380.430506691024</v>
      </c>
      <c r="BX164" s="23">
        <f>+'QTR Raw'!AR82</f>
        <v>9151.83</v>
      </c>
      <c r="BY164" s="23">
        <f>+BY199*BY29/90</f>
        <v>10088.143191827672</v>
      </c>
      <c r="BZ164" s="23">
        <f>+'QTR Raw'!AT82</f>
        <v>11529.36</v>
      </c>
      <c r="CA164" s="23">
        <f>+CA199*CA29/90</f>
        <v>12388.799973286623</v>
      </c>
      <c r="CB164" s="23">
        <f>+'QTR Raw'!AV82</f>
        <v>10546.25</v>
      </c>
      <c r="CC164" s="23">
        <f>+CC199*CC29/90</f>
        <v>10546.948180912632</v>
      </c>
      <c r="CD164" s="23">
        <f>+'QTR Raw'!AX82</f>
        <v>11677.48</v>
      </c>
      <c r="CE164" s="23">
        <f>+CE199*CE29/90</f>
        <v>13068.551441435709</v>
      </c>
      <c r="CF164" s="23">
        <f>+'QTR Raw'!AZ82</f>
        <v>14702.57</v>
      </c>
      <c r="CG164" s="23">
        <f>+CG199*CG29/90</f>
        <v>15068.842431493496</v>
      </c>
      <c r="CH164" s="23">
        <f t="shared" si="1211"/>
        <v>13022.07</v>
      </c>
      <c r="CI164" s="23">
        <f>+CI199*CI29/90</f>
        <v>12904.767650027392</v>
      </c>
      <c r="CJ164" s="23">
        <f>+'QTR Raw'!BD82</f>
        <v>9437.92</v>
      </c>
      <c r="CK164" s="24">
        <f t="shared" ref="CK164:DB164" si="1235">+CK199*CK29/90</f>
        <v>11499.771971745718</v>
      </c>
      <c r="CL164" s="23">
        <f>+'QTR Raw'!BF82</f>
        <v>11791.37</v>
      </c>
      <c r="CM164" s="24">
        <f t="shared" si="1235"/>
        <v>13793.139808396742</v>
      </c>
      <c r="CN164" s="24">
        <f t="shared" si="1235"/>
        <v>13729.482624397173</v>
      </c>
      <c r="CO164" s="24">
        <f t="shared" si="1235"/>
        <v>14645.182377616318</v>
      </c>
      <c r="CP164" s="24">
        <f t="shared" si="1235"/>
        <v>18803.726202092988</v>
      </c>
      <c r="CQ164" s="24">
        <f t="shared" si="1235"/>
        <v>18016.148308596727</v>
      </c>
      <c r="CR164" s="24">
        <f t="shared" si="1235"/>
        <v>19042.313603875351</v>
      </c>
      <c r="CS164" s="24">
        <f t="shared" si="1235"/>
        <v>20631.506830710485</v>
      </c>
      <c r="CT164" s="24">
        <f t="shared" si="1235"/>
        <v>25488.19346100913</v>
      </c>
      <c r="CU164" s="24">
        <f t="shared" si="1235"/>
        <v>22909.845173316837</v>
      </c>
      <c r="CV164" s="24">
        <f t="shared" si="1235"/>
        <v>23127.544330272875</v>
      </c>
      <c r="CW164" s="24">
        <f t="shared" si="1235"/>
        <v>25183.973831028976</v>
      </c>
      <c r="CX164" s="24">
        <f t="shared" si="1235"/>
        <v>30414.54866624959</v>
      </c>
      <c r="CY164" s="24">
        <f t="shared" si="1235"/>
        <v>27600.963657198936</v>
      </c>
      <c r="CZ164" s="24">
        <f t="shared" si="1235"/>
        <v>29044.573918903956</v>
      </c>
      <c r="DA164" s="24">
        <f t="shared" si="1235"/>
        <v>30580.117808428753</v>
      </c>
      <c r="DB164" s="24">
        <f t="shared" si="1235"/>
        <v>38144.989117756813</v>
      </c>
      <c r="DE164" s="123"/>
      <c r="DF164" s="23">
        <v>0</v>
      </c>
    </row>
    <row r="165" spans="1:110" s="23" customFormat="1" outlineLevel="1" x14ac:dyDescent="0.2">
      <c r="A165" s="23" t="s">
        <v>63</v>
      </c>
      <c r="B165" s="23">
        <f>'Annual Raw'!C79</f>
        <v>0</v>
      </c>
      <c r="C165" s="23">
        <f>'Annual Raw'!D79</f>
        <v>0</v>
      </c>
      <c r="D165" s="23">
        <f>'Annual Raw'!E79</f>
        <v>0</v>
      </c>
      <c r="E165" s="23">
        <f>'Annual Raw'!F79</f>
        <v>0</v>
      </c>
      <c r="F165" s="23">
        <f>'Annual Raw'!G79</f>
        <v>0</v>
      </c>
      <c r="G165" s="23">
        <f>'Annual Raw'!H79</f>
        <v>0</v>
      </c>
      <c r="H165" s="23">
        <f>'Annual Raw'!I79</f>
        <v>0.1366</v>
      </c>
      <c r="I165" s="23">
        <f>'Annual Raw'!J79</f>
        <v>5.1319999999999997</v>
      </c>
      <c r="J165" s="23">
        <f>'Annual Raw'!K79</f>
        <v>8.6350999999999996</v>
      </c>
      <c r="K165" s="23">
        <f>'Annual Raw'!L79</f>
        <v>18.940000000000001</v>
      </c>
      <c r="L165" s="23">
        <f>'Annual Raw'!M79</f>
        <v>139.49</v>
      </c>
      <c r="M165" s="23">
        <f>'Annual Raw'!N79</f>
        <v>125.1</v>
      </c>
      <c r="N165" s="23">
        <f>'Annual Raw'!O79</f>
        <v>205.69</v>
      </c>
      <c r="O165" s="23">
        <f>'Annual Raw'!P79</f>
        <v>251.5</v>
      </c>
      <c r="P165" s="23">
        <f>'Annual Raw'!Q79</f>
        <v>221.88</v>
      </c>
      <c r="Q165" s="23">
        <f>'Annual Raw'!R79</f>
        <v>189.72</v>
      </c>
      <c r="R165" s="23">
        <f>'Annual Raw'!S79</f>
        <v>288.07</v>
      </c>
      <c r="S165" s="23">
        <f>'Annual Raw'!T79</f>
        <v>643.75</v>
      </c>
      <c r="T165" s="23">
        <f>'Annual Raw'!U79</f>
        <v>466.63</v>
      </c>
      <c r="U165" s="23">
        <f>'Annual Raw'!V79</f>
        <v>578.36</v>
      </c>
      <c r="V165" s="23">
        <f>'Annual Raw'!W79</f>
        <v>367.54</v>
      </c>
      <c r="W165" s="23">
        <f>'Annual Raw'!X79</f>
        <v>332.49</v>
      </c>
      <c r="X165" s="23">
        <f>'Annual Raw'!Y79</f>
        <v>636.30999999999995</v>
      </c>
      <c r="Y165" s="23">
        <f>'Annual Raw'!Z79</f>
        <v>473.44</v>
      </c>
      <c r="Z165" s="23">
        <f>'Annual Raw'!AA79</f>
        <v>1222.77</v>
      </c>
      <c r="AA165" s="23">
        <f>'Annual Raw'!AB79</f>
        <v>3131.54</v>
      </c>
      <c r="AB165" s="24">
        <f t="shared" si="1229"/>
        <v>20979.311090583804</v>
      </c>
      <c r="AC165" s="24">
        <f t="shared" si="1230"/>
        <v>29061.5323286846</v>
      </c>
      <c r="AD165" s="24">
        <f t="shared" si="1231"/>
        <v>34678.542073949255</v>
      </c>
      <c r="AE165" s="24">
        <f t="shared" si="1232"/>
        <v>43492.758171301248</v>
      </c>
      <c r="AJ165" s="23">
        <f>+'QTR Raw'!D84</f>
        <v>569.54999999999995</v>
      </c>
      <c r="AK165" s="23">
        <f t="shared" si="1233"/>
        <v>569.54999999999995</v>
      </c>
      <c r="AL165" s="23">
        <f>+'QTR Raw'!F84</f>
        <v>635.96</v>
      </c>
      <c r="AM165" s="23">
        <f t="shared" si="1233"/>
        <v>635.96</v>
      </c>
      <c r="AN165" s="23">
        <f>+'QTR Raw'!H84</f>
        <v>1317.43</v>
      </c>
      <c r="AO165" s="23">
        <f t="shared" si="1233"/>
        <v>1317.43</v>
      </c>
      <c r="AP165" s="23">
        <f>+'QTR Raw'!J84</f>
        <v>2874.25</v>
      </c>
      <c r="AQ165" s="23">
        <f t="shared" si="1233"/>
        <v>2874.25</v>
      </c>
      <c r="AR165" s="23">
        <f>+'QTR Raw'!L84</f>
        <v>2482.9499999999998</v>
      </c>
      <c r="AS165" s="23">
        <f t="shared" si="1233"/>
        <v>2482.9499999999998</v>
      </c>
      <c r="AT165" s="23">
        <f>+'QTR Raw'!N84</f>
        <v>3253.89</v>
      </c>
      <c r="AU165" s="23">
        <f t="shared" si="1233"/>
        <v>3253.89</v>
      </c>
      <c r="AV165" s="23">
        <f>+'QTR Raw'!P84</f>
        <v>1739.9</v>
      </c>
      <c r="AW165" s="23">
        <f t="shared" si="1233"/>
        <v>1739.9</v>
      </c>
      <c r="AX165" s="23">
        <f>+'QTR Raw'!R84</f>
        <v>555.64</v>
      </c>
      <c r="AY165" s="23">
        <f t="shared" si="1233"/>
        <v>555.64</v>
      </c>
      <c r="AZ165" s="23">
        <f>+'QTR Raw'!T84</f>
        <v>4709.53</v>
      </c>
      <c r="BA165" s="23">
        <f t="shared" si="1233"/>
        <v>4709.53</v>
      </c>
      <c r="BB165" s="23">
        <f>+'QTR Raw'!V84</f>
        <v>3295.69</v>
      </c>
      <c r="BC165" s="23">
        <f t="shared" si="1233"/>
        <v>3295.69</v>
      </c>
      <c r="BD165" s="23">
        <f>+'QTR Raw'!X84</f>
        <v>4584.03</v>
      </c>
      <c r="BE165" s="23">
        <f t="shared" si="1233"/>
        <v>4584.03</v>
      </c>
      <c r="BF165" s="23">
        <f>+'QTR Raw'!Z84</f>
        <v>6152.46</v>
      </c>
      <c r="BG165" s="23">
        <f t="shared" si="1233"/>
        <v>6152.46</v>
      </c>
      <c r="BH165" s="23">
        <f>+'QTR Raw'!AB84</f>
        <v>4991.78</v>
      </c>
      <c r="BI165" s="23">
        <f t="shared" si="1233"/>
        <v>4991.78</v>
      </c>
      <c r="BJ165" s="23">
        <f>+'QTR Raw'!AD84</f>
        <v>2503.17</v>
      </c>
      <c r="BK165" s="23">
        <f t="shared" si="1233"/>
        <v>2503.17</v>
      </c>
      <c r="BL165" s="23">
        <f>+'QTR Raw'!AF84</f>
        <v>1632.86</v>
      </c>
      <c r="BM165" s="23">
        <f t="shared" si="1233"/>
        <v>1632.86</v>
      </c>
      <c r="BN165" s="23">
        <f>+'QTR Raw'!AH84</f>
        <v>1718.79</v>
      </c>
      <c r="BO165" s="23">
        <f t="shared" si="1233"/>
        <v>1718.79</v>
      </c>
      <c r="BP165" s="23">
        <f>+'QTR Raw'!AJ84</f>
        <v>1675.49</v>
      </c>
      <c r="BQ165" s="23">
        <f t="shared" si="1233"/>
        <v>1675.49</v>
      </c>
      <c r="BR165" s="23">
        <f>+'QTR Raw'!AL84</f>
        <v>2141.7199999999998</v>
      </c>
      <c r="BS165" s="23">
        <f t="shared" si="1233"/>
        <v>2141.7199999999998</v>
      </c>
      <c r="BT165" s="23">
        <f>+'QTR Raw'!AN84</f>
        <v>2825.05</v>
      </c>
      <c r="BU165" s="23">
        <f t="shared" si="1233"/>
        <v>2825.05</v>
      </c>
      <c r="BV165" s="23">
        <f>+'QTR Raw'!AP84</f>
        <v>1853.34</v>
      </c>
      <c r="BW165" s="23">
        <f t="shared" si="1233"/>
        <v>1853.34</v>
      </c>
      <c r="BX165" s="23">
        <f>+'QTR Raw'!AR84</f>
        <v>3178.48</v>
      </c>
      <c r="BY165" s="23">
        <f t="shared" si="1233"/>
        <v>3178.48</v>
      </c>
      <c r="BZ165" s="23">
        <f>+'QTR Raw'!AT84</f>
        <v>2460.06</v>
      </c>
      <c r="CA165" s="23">
        <f t="shared" si="1233"/>
        <v>2460.06</v>
      </c>
      <c r="CB165" s="23">
        <f>+'QTR Raw'!AV84</f>
        <v>3113.78</v>
      </c>
      <c r="CC165" s="23">
        <f t="shared" si="1233"/>
        <v>3113.78</v>
      </c>
      <c r="CD165" s="23">
        <f>+'QTR Raw'!AX84</f>
        <v>2178.25</v>
      </c>
      <c r="CE165" s="23">
        <f t="shared" si="1233"/>
        <v>2178.25</v>
      </c>
      <c r="CF165" s="23">
        <f>+'QTR Raw'!AZ84</f>
        <v>2002.88</v>
      </c>
      <c r="CG165" s="23">
        <f t="shared" ref="CG165:CG166" si="1236">+CF165</f>
        <v>2002.88</v>
      </c>
      <c r="CH165" s="23">
        <f t="shared" si="1211"/>
        <v>1222.77</v>
      </c>
      <c r="CI165" s="23">
        <f>CI29/90*CI200</f>
        <v>7887.5632649922045</v>
      </c>
      <c r="CJ165" s="23">
        <f>+'QTR Raw'!BD84</f>
        <v>3724.21</v>
      </c>
      <c r="CK165" s="24">
        <f t="shared" ref="CK165:DB165" si="1237">CK29/90*CK200</f>
        <v>14321.495536941313</v>
      </c>
      <c r="CL165" s="23">
        <f>+'QTR Raw'!BF84</f>
        <v>4844.57</v>
      </c>
      <c r="CM165" s="24">
        <f t="shared" si="1237"/>
        <v>17248.95807494441</v>
      </c>
      <c r="CN165" s="24">
        <f t="shared" si="1237"/>
        <v>16479.29245742728</v>
      </c>
      <c r="CO165" s="24">
        <f t="shared" si="1237"/>
        <v>16924.450205632693</v>
      </c>
      <c r="CP165" s="24">
        <f t="shared" si="1237"/>
        <v>20979.311090583804</v>
      </c>
      <c r="CQ165" s="24">
        <f t="shared" si="1237"/>
        <v>20221.115095945799</v>
      </c>
      <c r="CR165" s="24">
        <f t="shared" si="1237"/>
        <v>21492.643628114514</v>
      </c>
      <c r="CS165" s="24">
        <f t="shared" si="1237"/>
        <v>23408.584989793224</v>
      </c>
      <c r="CT165" s="24">
        <f t="shared" si="1237"/>
        <v>29061.5323286846</v>
      </c>
      <c r="CU165" s="24">
        <f t="shared" si="1237"/>
        <v>26121.710319250924</v>
      </c>
      <c r="CV165" s="24">
        <f t="shared" si="1237"/>
        <v>26369.9299938812</v>
      </c>
      <c r="CW165" s="24">
        <f t="shared" si="1237"/>
        <v>28714.662370042242</v>
      </c>
      <c r="CX165" s="24">
        <f t="shared" si="1237"/>
        <v>34678.542073949255</v>
      </c>
      <c r="CY165" s="24">
        <f t="shared" si="1237"/>
        <v>31470.504131789407</v>
      </c>
      <c r="CZ165" s="24">
        <f t="shared" si="1237"/>
        <v>33116.502556697007</v>
      </c>
      <c r="DA165" s="24">
        <f t="shared" si="1237"/>
        <v>34867.32332223322</v>
      </c>
      <c r="DB165" s="24">
        <f t="shared" si="1237"/>
        <v>43492.758171301248</v>
      </c>
      <c r="DE165" s="123"/>
      <c r="DF165" s="23">
        <v>0</v>
      </c>
    </row>
    <row r="166" spans="1:110" s="23" customFormat="1" outlineLevel="1" x14ac:dyDescent="0.2">
      <c r="A166" s="23" t="s">
        <v>64</v>
      </c>
      <c r="B166" s="23">
        <f>'Annual Raw'!C80</f>
        <v>0</v>
      </c>
      <c r="C166" s="23">
        <f>'Annual Raw'!D80</f>
        <v>0</v>
      </c>
      <c r="D166" s="23">
        <f>'Annual Raw'!E80</f>
        <v>0</v>
      </c>
      <c r="E166" s="23">
        <f>'Annual Raw'!F80</f>
        <v>0</v>
      </c>
      <c r="F166" s="23">
        <f>'Annual Raw'!G80</f>
        <v>0</v>
      </c>
      <c r="G166" s="23">
        <f>'Annual Raw'!H80</f>
        <v>1.0714999999999999</v>
      </c>
      <c r="H166" s="23">
        <f>'Annual Raw'!I80</f>
        <v>1.0479000000000001</v>
      </c>
      <c r="I166" s="23">
        <f>'Annual Raw'!J80</f>
        <v>171.113</v>
      </c>
      <c r="J166" s="23">
        <f>'Annual Raw'!K80</f>
        <v>407.71289999999999</v>
      </c>
      <c r="K166" s="23">
        <f>'Annual Raw'!L80</f>
        <v>921.68</v>
      </c>
      <c r="L166" s="23">
        <f>'Annual Raw'!M80</f>
        <v>428.19</v>
      </c>
      <c r="M166" s="23">
        <f>'Annual Raw'!N80</f>
        <v>1337.76</v>
      </c>
      <c r="N166" s="23">
        <f>'Annual Raw'!O80</f>
        <v>802.12</v>
      </c>
      <c r="O166" s="23">
        <f>'Annual Raw'!P80</f>
        <v>3092.56</v>
      </c>
      <c r="P166" s="23">
        <f>'Annual Raw'!Q80</f>
        <v>3837.95</v>
      </c>
      <c r="Q166" s="23">
        <f>'Annual Raw'!R80</f>
        <v>1070.9100000000001</v>
      </c>
      <c r="R166" s="23">
        <f>'Annual Raw'!S80</f>
        <v>3013.63</v>
      </c>
      <c r="S166" s="23">
        <f>'Annual Raw'!T80</f>
        <v>5519.28</v>
      </c>
      <c r="T166" s="23">
        <f>'Annual Raw'!U80</f>
        <v>2041.39</v>
      </c>
      <c r="U166" s="23">
        <f>'Annual Raw'!V80</f>
        <v>1155.6400000000001</v>
      </c>
      <c r="V166" s="23">
        <f>'Annual Raw'!W80</f>
        <v>989.49</v>
      </c>
      <c r="W166" s="23">
        <f>'Annual Raw'!X80</f>
        <v>1528.47</v>
      </c>
      <c r="X166" s="23">
        <f>'Annual Raw'!Y80</f>
        <v>1826.94</v>
      </c>
      <c r="Y166" s="23">
        <f>'Annual Raw'!Z80</f>
        <v>1708.3</v>
      </c>
      <c r="Z166" s="23">
        <f>'Annual Raw'!AA80</f>
        <v>1593.75</v>
      </c>
      <c r="AA166" s="23">
        <f>'Annual Raw'!AB80</f>
        <v>1724.02</v>
      </c>
      <c r="AB166" s="24">
        <f t="shared" si="1229"/>
        <v>0</v>
      </c>
      <c r="AC166" s="24">
        <f t="shared" si="1230"/>
        <v>0</v>
      </c>
      <c r="AD166" s="24">
        <f t="shared" si="1231"/>
        <v>0</v>
      </c>
      <c r="AE166" s="24">
        <f t="shared" si="1232"/>
        <v>0</v>
      </c>
      <c r="AJ166" s="23">
        <f>+'QTR Raw'!D85</f>
        <v>303.79000000000002</v>
      </c>
      <c r="AK166" s="23">
        <f t="shared" si="1233"/>
        <v>303.79000000000002</v>
      </c>
      <c r="AL166" s="23">
        <f>+'QTR Raw'!F85</f>
        <v>371.85</v>
      </c>
      <c r="AM166" s="23">
        <f t="shared" si="1233"/>
        <v>371.85</v>
      </c>
      <c r="AN166" s="23">
        <f>+'QTR Raw'!H85</f>
        <v>779.74</v>
      </c>
      <c r="AO166" s="23">
        <f t="shared" si="1233"/>
        <v>779.74</v>
      </c>
      <c r="AP166" s="23">
        <f>+'QTR Raw'!J85</f>
        <v>469.81</v>
      </c>
      <c r="AQ166" s="23">
        <f t="shared" si="1233"/>
        <v>469.81</v>
      </c>
      <c r="AR166" s="23">
        <f>+'QTR Raw'!L85</f>
        <v>908.76</v>
      </c>
      <c r="AS166" s="23">
        <f t="shared" si="1233"/>
        <v>908.76</v>
      </c>
      <c r="AT166" s="23">
        <f>+'QTR Raw'!N85</f>
        <v>805.94</v>
      </c>
      <c r="AU166" s="23">
        <f t="shared" si="1233"/>
        <v>805.94</v>
      </c>
      <c r="AV166" s="23">
        <f>+'QTR Raw'!P85</f>
        <v>625.04999999999995</v>
      </c>
      <c r="AW166" s="23">
        <f t="shared" si="1233"/>
        <v>625.04999999999995</v>
      </c>
      <c r="AX166" s="23">
        <f>+'QTR Raw'!R85</f>
        <v>704.99</v>
      </c>
      <c r="AY166" s="23">
        <f t="shared" si="1233"/>
        <v>704.99</v>
      </c>
      <c r="AZ166" s="23">
        <f>+'QTR Raw'!T85</f>
        <v>1.4</v>
      </c>
      <c r="BA166" s="23">
        <f t="shared" si="1233"/>
        <v>1.4</v>
      </c>
      <c r="BB166" s="23">
        <f>+'QTR Raw'!V85</f>
        <v>2</v>
      </c>
      <c r="BC166" s="23">
        <f t="shared" si="1233"/>
        <v>2</v>
      </c>
      <c r="BD166" s="23">
        <f>+'QTR Raw'!X85</f>
        <v>2.41</v>
      </c>
      <c r="BE166" s="23">
        <f t="shared" si="1233"/>
        <v>2.41</v>
      </c>
      <c r="BF166" s="23">
        <f>+'QTR Raw'!Z85</f>
        <v>3.66</v>
      </c>
      <c r="BG166" s="23">
        <f t="shared" si="1233"/>
        <v>3.66</v>
      </c>
      <c r="BH166" s="23">
        <f>+'QTR Raw'!AB85</f>
        <v>3.67</v>
      </c>
      <c r="BI166" s="23">
        <f t="shared" si="1233"/>
        <v>3.67</v>
      </c>
      <c r="BJ166" s="23">
        <f>+'QTR Raw'!AD85</f>
        <v>5.7</v>
      </c>
      <c r="BK166" s="23">
        <f t="shared" si="1233"/>
        <v>5.7</v>
      </c>
      <c r="BL166" s="23">
        <f>+'QTR Raw'!AF85</f>
        <v>6.32</v>
      </c>
      <c r="BM166" s="23">
        <f t="shared" si="1233"/>
        <v>6.32</v>
      </c>
      <c r="BN166" s="23">
        <f>+'QTR Raw'!AH85</f>
        <v>3.05</v>
      </c>
      <c r="BO166" s="23">
        <f t="shared" si="1233"/>
        <v>3.05</v>
      </c>
      <c r="BP166" s="23">
        <f>+'QTR Raw'!AJ85</f>
        <v>5.89</v>
      </c>
      <c r="BQ166" s="23">
        <f t="shared" si="1233"/>
        <v>5.89</v>
      </c>
      <c r="BR166" s="23">
        <f>+'QTR Raw'!AL85</f>
        <v>8.83</v>
      </c>
      <c r="BS166" s="23">
        <f t="shared" si="1233"/>
        <v>8.83</v>
      </c>
      <c r="BT166" s="23">
        <f>+'QTR Raw'!AN85</f>
        <v>7.37</v>
      </c>
      <c r="BU166" s="23">
        <f t="shared" si="1233"/>
        <v>7.37</v>
      </c>
      <c r="BV166" s="23">
        <f>+'QTR Raw'!AP85</f>
        <v>7.62</v>
      </c>
      <c r="BW166" s="23">
        <f t="shared" si="1233"/>
        <v>7.62</v>
      </c>
      <c r="BX166" s="23">
        <f>+'QTR Raw'!AR85</f>
        <v>7.16</v>
      </c>
      <c r="BY166" s="23">
        <f t="shared" si="1233"/>
        <v>7.16</v>
      </c>
      <c r="BZ166" s="23">
        <f>+'QTR Raw'!AT85</f>
        <v>3.19</v>
      </c>
      <c r="CA166" s="23">
        <f t="shared" si="1233"/>
        <v>3.19</v>
      </c>
      <c r="CB166" s="23">
        <f>+'QTR Raw'!AV85</f>
        <v>2.86</v>
      </c>
      <c r="CC166" s="23">
        <f t="shared" si="1233"/>
        <v>2.86</v>
      </c>
      <c r="CD166" s="23">
        <f>+'QTR Raw'!AX85</f>
        <v>3.49</v>
      </c>
      <c r="CE166" s="23">
        <f t="shared" si="1233"/>
        <v>3.49</v>
      </c>
      <c r="CF166" s="23">
        <f>+'QTR Raw'!AZ85</f>
        <v>8.1</v>
      </c>
      <c r="CG166" s="23">
        <f t="shared" si="1236"/>
        <v>8.1</v>
      </c>
      <c r="CH166" s="23">
        <f t="shared" si="1211"/>
        <v>1593.75</v>
      </c>
      <c r="CJ166" s="23">
        <f>+'QTR Raw'!BD85</f>
        <v>8.06</v>
      </c>
      <c r="CK166" s="24"/>
      <c r="CL166" s="23">
        <f>+'QTR Raw'!BF85</f>
        <v>10.99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</v>
      </c>
    </row>
    <row r="167" spans="1:110" s="22" customFormat="1" x14ac:dyDescent="0.2">
      <c r="A167" s="22" t="s">
        <v>65</v>
      </c>
      <c r="B167" s="22">
        <f>SUM(B161:B166)</f>
        <v>0</v>
      </c>
      <c r="C167" s="22">
        <f t="shared" ref="C167:V167" si="1238">SUM(C161:C166)</f>
        <v>0</v>
      </c>
      <c r="D167" s="22">
        <f t="shared" si="1238"/>
        <v>0</v>
      </c>
      <c r="E167" s="22">
        <f t="shared" si="1238"/>
        <v>0</v>
      </c>
      <c r="F167" s="22">
        <f t="shared" si="1238"/>
        <v>0</v>
      </c>
      <c r="G167" s="22">
        <f t="shared" si="1238"/>
        <v>1.0714999999999999</v>
      </c>
      <c r="H167" s="22">
        <f t="shared" si="1238"/>
        <v>1.1845000000000001</v>
      </c>
      <c r="I167" s="22">
        <f t="shared" si="1238"/>
        <v>176.245</v>
      </c>
      <c r="J167" s="22">
        <f t="shared" si="1238"/>
        <v>416.34800000000001</v>
      </c>
      <c r="K167" s="22">
        <f t="shared" si="1238"/>
        <v>1206.44</v>
      </c>
      <c r="L167" s="22">
        <f>SUM(L161:L166)</f>
        <v>4962.9099999999989</v>
      </c>
      <c r="M167" s="22">
        <f>SUM(M161:M166)</f>
        <v>5461.43</v>
      </c>
      <c r="N167" s="22">
        <f t="shared" si="1238"/>
        <v>4772.54</v>
      </c>
      <c r="O167" s="22">
        <f t="shared" si="1238"/>
        <v>7593.7099999999991</v>
      </c>
      <c r="P167" s="22">
        <f t="shared" si="1238"/>
        <v>11834.61</v>
      </c>
      <c r="Q167" s="22">
        <f t="shared" si="1238"/>
        <v>17901.000000000004</v>
      </c>
      <c r="R167" s="22">
        <f t="shared" si="1238"/>
        <v>16235.57</v>
      </c>
      <c r="S167" s="22">
        <f t="shared" si="1238"/>
        <v>16435.13</v>
      </c>
      <c r="T167" s="22">
        <f t="shared" si="1238"/>
        <v>16300.509999999998</v>
      </c>
      <c r="U167" s="22">
        <f t="shared" si="1238"/>
        <v>14862.47</v>
      </c>
      <c r="V167" s="22">
        <f t="shared" si="1238"/>
        <v>17887.770000000004</v>
      </c>
      <c r="W167" s="22">
        <f t="shared" ref="W167" si="1239">SUM(W161:W166)</f>
        <v>15889.14</v>
      </c>
      <c r="X167" s="22">
        <f t="shared" ref="X167:Y167" si="1240">SUM(X161:X166)</f>
        <v>18962.650000000001</v>
      </c>
      <c r="Y167" s="22">
        <f t="shared" si="1240"/>
        <v>20422.189999999999</v>
      </c>
      <c r="Z167" s="22">
        <f t="shared" ref="Z167:AA167" si="1241">SUM(Z161:Z166)</f>
        <v>24298.61</v>
      </c>
      <c r="AA167" s="22">
        <f t="shared" ref="AA167" si="1242">SUM(AA161:AA166)</f>
        <v>28571.3</v>
      </c>
      <c r="AB167" s="21">
        <f t="shared" ref="AB167:AD167" si="1243">SUM(AB161:AB166)</f>
        <v>44339.930524004383</v>
      </c>
      <c r="AC167" s="21">
        <f t="shared" si="1243"/>
        <v>60031.289786356298</v>
      </c>
      <c r="AD167" s="21">
        <f t="shared" si="1243"/>
        <v>71634.130818174395</v>
      </c>
      <c r="AE167" s="21">
        <f t="shared" ref="AE167" si="1244">SUM(AE161:AE166)</f>
        <v>89841.318064713298</v>
      </c>
      <c r="AJ167" s="22">
        <f t="shared" ref="AJ167" si="1245">SUM(AJ161:AJ166)</f>
        <v>5396.51</v>
      </c>
      <c r="AK167" s="22">
        <f t="shared" ref="AK167" si="1246">SUM(AK161:AK166)</f>
        <v>5756.534968223652</v>
      </c>
      <c r="AL167" s="22">
        <f t="shared" ref="AL167:AM167" si="1247">SUM(AL161:AL166)</f>
        <v>4882.3000000000011</v>
      </c>
      <c r="AM167" s="22">
        <f t="shared" si="1247"/>
        <v>5170.391236177501</v>
      </c>
      <c r="AN167" s="22">
        <f t="shared" ref="AN167:AO167" si="1248">SUM(AN161:AN166)</f>
        <v>7650.96</v>
      </c>
      <c r="AO167" s="22">
        <f t="shared" si="1248"/>
        <v>8711.6653227570587</v>
      </c>
      <c r="AP167" s="22">
        <f t="shared" ref="AP167:CE167" si="1249">SUM(AP161:AP166)</f>
        <v>7768.63</v>
      </c>
      <c r="AQ167" s="22">
        <f t="shared" si="1249"/>
        <v>7393.0983893077455</v>
      </c>
      <c r="AR167" s="22">
        <f t="shared" si="1249"/>
        <v>9546.6299999999992</v>
      </c>
      <c r="AS167" s="22">
        <f t="shared" si="1249"/>
        <v>11120.278849811837</v>
      </c>
      <c r="AT167" s="22">
        <f t="shared" si="1249"/>
        <v>11989.65</v>
      </c>
      <c r="AU167" s="22">
        <f t="shared" si="1249"/>
        <v>13391.034483755966</v>
      </c>
      <c r="AV167" s="22">
        <f t="shared" si="1249"/>
        <v>14306.409999999998</v>
      </c>
      <c r="AW167" s="22">
        <f t="shared" si="1249"/>
        <v>15028.530545192441</v>
      </c>
      <c r="AX167" s="22">
        <f t="shared" si="1249"/>
        <v>17896.310000000001</v>
      </c>
      <c r="AY167" s="22">
        <f t="shared" si="1249"/>
        <v>13731.286049412754</v>
      </c>
      <c r="AZ167" s="22">
        <f t="shared" si="1249"/>
        <v>17704.669999999998</v>
      </c>
      <c r="BA167" s="22">
        <f t="shared" si="1249"/>
        <v>17457.117428705154</v>
      </c>
      <c r="BB167" s="22">
        <f t="shared" si="1249"/>
        <v>16227.01</v>
      </c>
      <c r="BC167" s="22">
        <f t="shared" si="1249"/>
        <v>15021.802957355134</v>
      </c>
      <c r="BD167" s="22">
        <f t="shared" si="1249"/>
        <v>16055.119999999999</v>
      </c>
      <c r="BE167" s="22">
        <f t="shared" si="1249"/>
        <v>14284.281968550345</v>
      </c>
      <c r="BF167" s="22">
        <f t="shared" si="1249"/>
        <v>16414.45</v>
      </c>
      <c r="BG167" s="22">
        <f t="shared" si="1249"/>
        <v>16150.160374810672</v>
      </c>
      <c r="BH167" s="22">
        <f t="shared" si="1249"/>
        <v>18921.349999999999</v>
      </c>
      <c r="BI167" s="22">
        <f t="shared" si="1249"/>
        <v>17794.800955995164</v>
      </c>
      <c r="BJ167" s="22">
        <f t="shared" si="1249"/>
        <v>16297.160000000002</v>
      </c>
      <c r="BK167" s="22">
        <f t="shared" si="1249"/>
        <v>17872.201405205811</v>
      </c>
      <c r="BL167" s="22">
        <f t="shared" si="1249"/>
        <v>15748.220000000001</v>
      </c>
      <c r="BM167" s="22">
        <f t="shared" si="1249"/>
        <v>17111.324581511202</v>
      </c>
      <c r="BN167" s="22">
        <f t="shared" si="1249"/>
        <v>14850.309999999998</v>
      </c>
      <c r="BO167" s="22">
        <f t="shared" si="1249"/>
        <v>13141.531145642803</v>
      </c>
      <c r="BP167" s="22">
        <f t="shared" si="1249"/>
        <v>17892.23</v>
      </c>
      <c r="BQ167" s="22">
        <f t="shared" si="1249"/>
        <v>16290.800991494618</v>
      </c>
      <c r="BR167" s="22">
        <f t="shared" si="1249"/>
        <v>17887.770000000004</v>
      </c>
      <c r="BS167" s="22">
        <f t="shared" si="1249"/>
        <v>18312.515950702902</v>
      </c>
      <c r="BT167" s="22">
        <f t="shared" si="1249"/>
        <v>17131.949999999997</v>
      </c>
      <c r="BU167" s="22">
        <f t="shared" si="1249"/>
        <v>17565.000977417498</v>
      </c>
      <c r="BV167" s="22">
        <f t="shared" si="1249"/>
        <v>15889.140000000001</v>
      </c>
      <c r="BW167" s="22">
        <f t="shared" si="1249"/>
        <v>19374.613195631537</v>
      </c>
      <c r="BX167" s="22">
        <f t="shared" si="1249"/>
        <v>19546.849999999999</v>
      </c>
      <c r="BY167" s="22">
        <f t="shared" si="1249"/>
        <v>20991.363982710962</v>
      </c>
      <c r="BZ167" s="22">
        <f t="shared" si="1249"/>
        <v>18962.650000000001</v>
      </c>
      <c r="CA167" s="22">
        <f t="shared" si="1249"/>
        <v>20051.326444855818</v>
      </c>
      <c r="CB167" s="22">
        <f t="shared" si="1249"/>
        <v>19512.87</v>
      </c>
      <c r="CC167" s="22">
        <f t="shared" si="1249"/>
        <v>19513.771662127481</v>
      </c>
      <c r="CD167" s="22">
        <f t="shared" si="1249"/>
        <v>21204.710000000003</v>
      </c>
      <c r="CE167" s="22">
        <f t="shared" si="1249"/>
        <v>23089.206137309378</v>
      </c>
      <c r="CF167" s="22">
        <f t="shared" ref="CF167:CG167" si="1250">SUM(CF161:CF166)</f>
        <v>23740.92</v>
      </c>
      <c r="CG167" s="22">
        <f t="shared" si="1250"/>
        <v>24200.344141607089</v>
      </c>
      <c r="CH167" s="22">
        <f t="shared" ref="CH167:CI167" si="1251">SUM(CH161:CH166)</f>
        <v>24298.61</v>
      </c>
      <c r="CI167" s="22">
        <f t="shared" si="1251"/>
        <v>24079.728973091995</v>
      </c>
      <c r="CJ167" s="22">
        <f t="shared" ref="CJ167:DB167" si="1252">SUM(CJ161:CJ166)</f>
        <v>26560.920000000002</v>
      </c>
      <c r="CK167" s="21">
        <f t="shared" si="1252"/>
        <v>30110.449067963455</v>
      </c>
      <c r="CL167" s="22">
        <f t="shared" ref="CL167" si="1253">SUM(CL161:CL166)</f>
        <v>30832.58</v>
      </c>
      <c r="CM167" s="21">
        <f t="shared" si="1252"/>
        <v>35014.517762960786</v>
      </c>
      <c r="CN167" s="21">
        <f t="shared" si="1252"/>
        <v>33929.203755376438</v>
      </c>
      <c r="CO167" s="21">
        <f t="shared" si="1252"/>
        <v>35316.769736364236</v>
      </c>
      <c r="CP167" s="21">
        <f t="shared" si="1252"/>
        <v>44339.930524004383</v>
      </c>
      <c r="CQ167" s="21">
        <f t="shared" si="1252"/>
        <v>42469.110765379563</v>
      </c>
      <c r="CR167" s="21">
        <f t="shared" si="1252"/>
        <v>44874.473122002222</v>
      </c>
      <c r="CS167" s="21">
        <f t="shared" si="1252"/>
        <v>48605.63371035704</v>
      </c>
      <c r="CT167" s="21">
        <f t="shared" si="1252"/>
        <v>60031.289786356298</v>
      </c>
      <c r="CU167" s="21">
        <f t="shared" si="1252"/>
        <v>53958.612510683917</v>
      </c>
      <c r="CV167" s="21">
        <f t="shared" si="1252"/>
        <v>54471.350347418615</v>
      </c>
      <c r="CW167" s="21">
        <f t="shared" si="1252"/>
        <v>59314.773851479462</v>
      </c>
      <c r="CX167" s="21">
        <f t="shared" si="1252"/>
        <v>71634.130818174395</v>
      </c>
      <c r="CY167" s="21">
        <f t="shared" si="1252"/>
        <v>65007.410204363572</v>
      </c>
      <c r="CZ167" s="21">
        <f t="shared" si="1252"/>
        <v>68407.485854744358</v>
      </c>
      <c r="DA167" s="21">
        <f t="shared" si="1252"/>
        <v>72024.088983277034</v>
      </c>
      <c r="DB167" s="21">
        <f t="shared" si="1252"/>
        <v>89841.318064713298</v>
      </c>
      <c r="DE167" s="126"/>
      <c r="DF167" s="22">
        <v>0</v>
      </c>
    </row>
    <row r="168" spans="1:110" s="23" customFormat="1" outlineLevel="1" x14ac:dyDescent="0.2">
      <c r="A168" s="23" t="s">
        <v>66</v>
      </c>
      <c r="B168" s="23">
        <f>'Annual Raw'!C50+'Annual Raw'!C58</f>
        <v>0</v>
      </c>
      <c r="C168" s="23">
        <f>'Annual Raw'!D50+'Annual Raw'!D58</f>
        <v>0</v>
      </c>
      <c r="D168" s="23">
        <f>'Annual Raw'!E50+'Annual Raw'!E58</f>
        <v>0</v>
      </c>
      <c r="E168" s="23">
        <f>'Annual Raw'!F50+'Annual Raw'!F58</f>
        <v>0</v>
      </c>
      <c r="F168" s="23">
        <f>'Annual Raw'!G50+'Annual Raw'!G58</f>
        <v>0</v>
      </c>
      <c r="G168" s="23">
        <f>'Annual Raw'!H50+'Annual Raw'!H58</f>
        <v>0</v>
      </c>
      <c r="H168" s="23">
        <f>'Annual Raw'!I50+'Annual Raw'!I58</f>
        <v>0</v>
      </c>
      <c r="I168" s="23">
        <f>'Annual Raw'!J50+'Annual Raw'!J58</f>
        <v>0</v>
      </c>
      <c r="J168" s="23">
        <f>'Annual Raw'!K50+'Annual Raw'!K58</f>
        <v>0</v>
      </c>
      <c r="K168" s="23">
        <f>'Annual Raw'!L50+'Annual Raw'!L58</f>
        <v>0</v>
      </c>
      <c r="L168" s="23">
        <f>'Annual Raw'!M50+'Annual Raw'!M58</f>
        <v>1676.15</v>
      </c>
      <c r="M168" s="23">
        <f>'Annual Raw'!N50+'Annual Raw'!N58</f>
        <v>1038.99</v>
      </c>
      <c r="N168" s="23">
        <f>'Annual Raw'!O50+'Annual Raw'!O58</f>
        <v>343.59</v>
      </c>
      <c r="O168" s="23">
        <f>'Annual Raw'!P50+'Annual Raw'!P58</f>
        <v>19.989999999999998</v>
      </c>
      <c r="P168" s="23">
        <f>'Annual Raw'!Q50+'Annual Raw'!Q58</f>
        <v>60.53</v>
      </c>
      <c r="Q168" s="23">
        <f>'Annual Raw'!R50+'Annual Raw'!R58</f>
        <v>6509.85</v>
      </c>
      <c r="R168" s="23">
        <f>'Annual Raw'!S50+'Annual Raw'!S58</f>
        <v>5942.15</v>
      </c>
      <c r="S168" s="23">
        <f>'Annual Raw'!T50+'Annual Raw'!T58</f>
        <v>5782.18</v>
      </c>
      <c r="T168" s="23">
        <f>'Annual Raw'!U50+'Annual Raw'!U58</f>
        <v>5462.27</v>
      </c>
      <c r="U168" s="23">
        <f>'Annual Raw'!V50+'Annual Raw'!V58</f>
        <v>5434.57</v>
      </c>
      <c r="V168" s="23">
        <f>'Annual Raw'!W50+'Annual Raw'!W58</f>
        <v>5593.93</v>
      </c>
      <c r="W168" s="23">
        <f>'Annual Raw'!X50+'Annual Raw'!X58</f>
        <v>5541.94</v>
      </c>
      <c r="X168" s="23">
        <f>'Annual Raw'!Y50+'Annual Raw'!Y58</f>
        <v>4271.47</v>
      </c>
      <c r="Y168" s="23">
        <f>'Annual Raw'!Z50+'Annual Raw'!Z58</f>
        <v>6242.81</v>
      </c>
      <c r="Z168" s="23">
        <f>'Annual Raw'!AA50+'Annual Raw'!AA58</f>
        <v>6793.69</v>
      </c>
      <c r="AA168" s="23">
        <f>'Annual Raw'!AB50+'Annual Raw'!AB58</f>
        <v>6533.14</v>
      </c>
      <c r="AB168" s="24">
        <f t="shared" ref="AB168:AB174" si="1254">+CP168</f>
        <v>0</v>
      </c>
      <c r="AC168" s="24">
        <f t="shared" ref="AC168:AC174" si="1255">+CT168</f>
        <v>0</v>
      </c>
      <c r="AD168" s="24">
        <f t="shared" ref="AD168:AD174" si="1256">+CX168</f>
        <v>0</v>
      </c>
      <c r="AE168" s="24">
        <f t="shared" ref="AE168:AE174" si="1257">+DB168</f>
        <v>0</v>
      </c>
      <c r="AJ168" s="23">
        <f>+'QTR Raw'!D64</f>
        <v>1424.07</v>
      </c>
      <c r="AK168" s="23">
        <f t="shared" ref="AK168:CE174" si="1258">+AJ168</f>
        <v>1424.07</v>
      </c>
      <c r="AL168" s="23">
        <f>+'QTR Raw'!F64</f>
        <v>343.59</v>
      </c>
      <c r="AM168" s="23">
        <f t="shared" si="1258"/>
        <v>343.59</v>
      </c>
      <c r="AN168" s="23">
        <f>+'QTR Raw'!H64</f>
        <v>0</v>
      </c>
      <c r="AO168" s="23">
        <f t="shared" si="1258"/>
        <v>0</v>
      </c>
      <c r="AP168" s="23">
        <f>+'QTR Raw'!J64</f>
        <v>396.84</v>
      </c>
      <c r="AQ168" s="23">
        <f t="shared" si="1258"/>
        <v>396.84</v>
      </c>
      <c r="AR168" s="23">
        <f>+'QTR Raw'!L64</f>
        <v>485.04</v>
      </c>
      <c r="AS168" s="23">
        <f t="shared" si="1258"/>
        <v>485.04</v>
      </c>
      <c r="AT168" s="23">
        <f>+'QTR Raw'!N64</f>
        <v>60.53</v>
      </c>
      <c r="AU168" s="23">
        <f t="shared" si="1258"/>
        <v>60.53</v>
      </c>
      <c r="AV168" s="23">
        <f>+'QTR Raw'!P64</f>
        <v>51</v>
      </c>
      <c r="AW168" s="23">
        <f t="shared" si="1258"/>
        <v>51</v>
      </c>
      <c r="AX168" s="23">
        <f>+'QTR Raw'!R64</f>
        <v>6509.85</v>
      </c>
      <c r="AY168" s="23">
        <f t="shared" si="1258"/>
        <v>6509.85</v>
      </c>
      <c r="AZ168" s="23">
        <f>+'QTR Raw'!T64</f>
        <v>335.69</v>
      </c>
      <c r="BA168" s="23">
        <f t="shared" si="1258"/>
        <v>335.69</v>
      </c>
      <c r="BB168" s="23">
        <f>+'QTR Raw'!V64</f>
        <v>5942.15</v>
      </c>
      <c r="BC168" s="23">
        <f t="shared" si="1258"/>
        <v>5942.15</v>
      </c>
      <c r="BD168" s="23">
        <f>+'QTR Raw'!X64</f>
        <v>5798.43</v>
      </c>
      <c r="BE168" s="23">
        <f t="shared" si="1258"/>
        <v>5798.43</v>
      </c>
      <c r="BF168" s="23">
        <f>+'QTR Raw'!Z64</f>
        <v>5782.18</v>
      </c>
      <c r="BG168" s="23">
        <f t="shared" si="1258"/>
        <v>5782.18</v>
      </c>
      <c r="BH168" s="23">
        <f>+'QTR Raw'!AB64</f>
        <v>5597.29</v>
      </c>
      <c r="BI168" s="23">
        <f t="shared" si="1258"/>
        <v>5597.29</v>
      </c>
      <c r="BJ168" s="23">
        <f>+'QTR Raw'!AD64</f>
        <v>5462.27</v>
      </c>
      <c r="BK168" s="23">
        <f t="shared" si="1258"/>
        <v>5462.27</v>
      </c>
      <c r="BL168" s="23">
        <f>+'QTR Raw'!AF64</f>
        <v>5390.76</v>
      </c>
      <c r="BM168" s="23">
        <f t="shared" si="1258"/>
        <v>5390.76</v>
      </c>
      <c r="BN168" s="23">
        <f>+'QTR Raw'!AH64</f>
        <v>5434.56</v>
      </c>
      <c r="BO168" s="23">
        <f t="shared" si="1258"/>
        <v>5434.56</v>
      </c>
      <c r="BP168" s="23">
        <f>+'QTR Raw'!AJ64</f>
        <v>5583.92</v>
      </c>
      <c r="BQ168" s="23">
        <f t="shared" si="1258"/>
        <v>5583.92</v>
      </c>
      <c r="BR168" s="23">
        <f>+'QTR Raw'!AL64</f>
        <v>5593.93</v>
      </c>
      <c r="BS168" s="23">
        <f t="shared" si="1258"/>
        <v>5593.93</v>
      </c>
      <c r="BT168" s="23">
        <f>+'QTR Raw'!AN64</f>
        <v>5924.48</v>
      </c>
      <c r="BU168" s="23">
        <f t="shared" si="1258"/>
        <v>5924.48</v>
      </c>
      <c r="BV168" s="23">
        <f>+'QTR Raw'!AP64</f>
        <v>5541.94</v>
      </c>
      <c r="BW168" s="23">
        <f t="shared" si="1258"/>
        <v>5541.94</v>
      </c>
      <c r="BX168" s="23">
        <f>+'QTR Raw'!AR64</f>
        <v>5699.01</v>
      </c>
      <c r="BY168" s="23">
        <f t="shared" si="1258"/>
        <v>5699.01</v>
      </c>
      <c r="BZ168" s="23">
        <f>+'QTR Raw'!AT64</f>
        <v>4271.47</v>
      </c>
      <c r="CA168" s="23">
        <f t="shared" si="1258"/>
        <v>4271.47</v>
      </c>
      <c r="CB168" s="23">
        <f>+'QTR Raw'!AV64</f>
        <v>6440.68</v>
      </c>
      <c r="CC168" s="23">
        <f t="shared" si="1258"/>
        <v>6440.68</v>
      </c>
      <c r="CD168" s="23">
        <f>+'QTR Raw'!AX64</f>
        <v>6242.81</v>
      </c>
      <c r="CE168" s="23">
        <f t="shared" si="1258"/>
        <v>6242.81</v>
      </c>
      <c r="CF168" s="23">
        <f>+'QTR Raw'!AZ64</f>
        <v>6159.18</v>
      </c>
      <c r="CG168" s="23">
        <f t="shared" ref="CG168:CG171" si="1259">+CF168</f>
        <v>6159.18</v>
      </c>
      <c r="CH168" s="23">
        <f t="shared" si="1211"/>
        <v>6793.69</v>
      </c>
      <c r="CJ168" s="23">
        <f>+'QTR Raw'!BD64</f>
        <v>6821.34</v>
      </c>
      <c r="CK168" s="24"/>
      <c r="CL168" s="23">
        <f>+'QTR Raw'!BF64</f>
        <v>6533.14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0</v>
      </c>
    </row>
    <row r="169" spans="1:110" s="23" customFormat="1" outlineLevel="1" x14ac:dyDescent="0.2">
      <c r="A169" s="23" t="s">
        <v>67</v>
      </c>
      <c r="B169" s="23">
        <f>'Annual Raw'!C51</f>
        <v>0</v>
      </c>
      <c r="C169" s="23">
        <f>'Annual Raw'!D51</f>
        <v>0</v>
      </c>
      <c r="D169" s="23">
        <f>'Annual Raw'!E51</f>
        <v>0</v>
      </c>
      <c r="E169" s="23">
        <f>'Annual Raw'!F51</f>
        <v>0</v>
      </c>
      <c r="F169" s="23">
        <f>'Annual Raw'!G51</f>
        <v>0</v>
      </c>
      <c r="G169" s="23">
        <f>'Annual Raw'!H51</f>
        <v>0</v>
      </c>
      <c r="H169" s="23">
        <f>'Annual Raw'!I51</f>
        <v>0</v>
      </c>
      <c r="I169" s="23">
        <f>'Annual Raw'!J51</f>
        <v>0</v>
      </c>
      <c r="J169" s="23">
        <f>'Annual Raw'!K51</f>
        <v>0</v>
      </c>
      <c r="K169" s="23">
        <f>'Annual Raw'!L51</f>
        <v>0</v>
      </c>
      <c r="L169" s="23">
        <f>'Annual Raw'!M51</f>
        <v>0</v>
      </c>
      <c r="M169" s="23">
        <f>'Annual Raw'!N51</f>
        <v>0</v>
      </c>
      <c r="N169" s="23">
        <f>'Annual Raw'!O51</f>
        <v>0</v>
      </c>
      <c r="O169" s="23">
        <f>'Annual Raw'!P51</f>
        <v>376.85</v>
      </c>
      <c r="P169" s="23">
        <f>'Annual Raw'!Q51</f>
        <v>0</v>
      </c>
      <c r="Q169" s="23">
        <f>'Annual Raw'!R51</f>
        <v>0</v>
      </c>
      <c r="R169" s="23">
        <f>'Annual Raw'!S51</f>
        <v>0</v>
      </c>
      <c r="S169" s="23">
        <f>'Annual Raw'!T51</f>
        <v>0</v>
      </c>
      <c r="T169" s="23">
        <f>'Annual Raw'!U51</f>
        <v>0</v>
      </c>
      <c r="U169" s="23">
        <f>'Annual Raw'!V51</f>
        <v>0</v>
      </c>
      <c r="V169" s="23">
        <f>'Annual Raw'!W51</f>
        <v>0</v>
      </c>
      <c r="W169" s="23">
        <f>'Annual Raw'!X51</f>
        <v>0</v>
      </c>
      <c r="X169" s="23">
        <f>'Annual Raw'!Y51</f>
        <v>0</v>
      </c>
      <c r="Y169" s="23">
        <f>'Annual Raw'!Z51</f>
        <v>0</v>
      </c>
      <c r="Z169" s="23">
        <f>'Annual Raw'!AA51</f>
        <v>0</v>
      </c>
      <c r="AA169" s="23">
        <f>'Annual Raw'!AB51</f>
        <v>0</v>
      </c>
      <c r="AB169" s="24">
        <f t="shared" si="1254"/>
        <v>0</v>
      </c>
      <c r="AC169" s="24">
        <f t="shared" si="1255"/>
        <v>0</v>
      </c>
      <c r="AD169" s="24">
        <f t="shared" si="1256"/>
        <v>0</v>
      </c>
      <c r="AE169" s="24">
        <f t="shared" si="1257"/>
        <v>0</v>
      </c>
      <c r="AJ169" s="23">
        <f>+'QTR Raw'!D65</f>
        <v>0</v>
      </c>
      <c r="AK169" s="23">
        <f t="shared" si="1258"/>
        <v>0</v>
      </c>
      <c r="AL169" s="23">
        <f>+'QTR Raw'!F65</f>
        <v>0</v>
      </c>
      <c r="AM169" s="23">
        <f t="shared" si="1258"/>
        <v>0</v>
      </c>
      <c r="AN169" s="23">
        <f>+'QTR Raw'!H65</f>
        <v>0</v>
      </c>
      <c r="AO169" s="23">
        <f t="shared" si="1258"/>
        <v>0</v>
      </c>
      <c r="AP169" s="23">
        <f>+'QTR Raw'!J65</f>
        <v>0</v>
      </c>
      <c r="AQ169" s="23">
        <f t="shared" si="1258"/>
        <v>0</v>
      </c>
      <c r="AR169" s="23">
        <f>+'QTR Raw'!L65</f>
        <v>0</v>
      </c>
      <c r="AS169" s="23">
        <f t="shared" si="1258"/>
        <v>0</v>
      </c>
      <c r="AT169" s="23">
        <f>+'QTR Raw'!N65</f>
        <v>0</v>
      </c>
      <c r="AU169" s="23">
        <f t="shared" si="1258"/>
        <v>0</v>
      </c>
      <c r="AV169" s="23">
        <f>+'QTR Raw'!P65</f>
        <v>0</v>
      </c>
      <c r="AW169" s="23">
        <f t="shared" si="1258"/>
        <v>0</v>
      </c>
      <c r="AX169" s="23">
        <f>+'QTR Raw'!R65</f>
        <v>0</v>
      </c>
      <c r="AY169" s="23">
        <f t="shared" si="1258"/>
        <v>0</v>
      </c>
      <c r="AZ169" s="23">
        <f>+'QTR Raw'!T65</f>
        <v>0</v>
      </c>
      <c r="BA169" s="23">
        <f t="shared" si="1258"/>
        <v>0</v>
      </c>
      <c r="BB169" s="23">
        <f>+'QTR Raw'!V65</f>
        <v>0</v>
      </c>
      <c r="BC169" s="23">
        <f t="shared" si="1258"/>
        <v>0</v>
      </c>
      <c r="BD169" s="23">
        <f>+'QTR Raw'!X65</f>
        <v>0</v>
      </c>
      <c r="BE169" s="23">
        <f t="shared" si="1258"/>
        <v>0</v>
      </c>
      <c r="BF169" s="23">
        <f>+'QTR Raw'!Z65</f>
        <v>0</v>
      </c>
      <c r="BG169" s="23">
        <f t="shared" si="1258"/>
        <v>0</v>
      </c>
      <c r="BH169" s="23">
        <f>+'QTR Raw'!AB65</f>
        <v>0</v>
      </c>
      <c r="BI169" s="23">
        <f t="shared" si="1258"/>
        <v>0</v>
      </c>
      <c r="BJ169" s="23">
        <f>+'QTR Raw'!AD65</f>
        <v>0</v>
      </c>
      <c r="BK169" s="23">
        <f t="shared" si="1258"/>
        <v>0</v>
      </c>
      <c r="BL169" s="23">
        <f>+'QTR Raw'!AF65</f>
        <v>0</v>
      </c>
      <c r="BM169" s="23">
        <f t="shared" si="1258"/>
        <v>0</v>
      </c>
      <c r="BN169" s="23">
        <f>+'QTR Raw'!AH65</f>
        <v>0</v>
      </c>
      <c r="BO169" s="23">
        <f t="shared" si="1258"/>
        <v>0</v>
      </c>
      <c r="BP169" s="23">
        <f>+'QTR Raw'!AJ65</f>
        <v>0</v>
      </c>
      <c r="BQ169" s="23">
        <f t="shared" si="1258"/>
        <v>0</v>
      </c>
      <c r="BR169" s="23">
        <f>+'QTR Raw'!AL65</f>
        <v>0</v>
      </c>
      <c r="BS169" s="23">
        <f t="shared" si="1258"/>
        <v>0</v>
      </c>
      <c r="BT169" s="23">
        <f>+'QTR Raw'!AN65</f>
        <v>0</v>
      </c>
      <c r="BU169" s="23">
        <f t="shared" si="1258"/>
        <v>0</v>
      </c>
      <c r="BV169" s="23">
        <f>+'QTR Raw'!AP65</f>
        <v>0</v>
      </c>
      <c r="BW169" s="23">
        <f t="shared" si="1258"/>
        <v>0</v>
      </c>
      <c r="BX169" s="23">
        <f>+'QTR Raw'!AR65</f>
        <v>0</v>
      </c>
      <c r="BY169" s="23">
        <f t="shared" si="1258"/>
        <v>0</v>
      </c>
      <c r="BZ169" s="23">
        <f>+'QTR Raw'!AT65</f>
        <v>0</v>
      </c>
      <c r="CA169" s="23">
        <f t="shared" si="1258"/>
        <v>0</v>
      </c>
      <c r="CB169" s="23">
        <f>+'QTR Raw'!AV65</f>
        <v>0</v>
      </c>
      <c r="CC169" s="23">
        <f t="shared" si="1258"/>
        <v>0</v>
      </c>
      <c r="CD169" s="23">
        <f>+'QTR Raw'!AX65</f>
        <v>0</v>
      </c>
      <c r="CE169" s="23">
        <f t="shared" si="1258"/>
        <v>0</v>
      </c>
      <c r="CF169" s="23">
        <f>+'QTR Raw'!AZ65</f>
        <v>0</v>
      </c>
      <c r="CG169" s="23">
        <f t="shared" si="1259"/>
        <v>0</v>
      </c>
      <c r="CH169" s="23">
        <f t="shared" si="1211"/>
        <v>0</v>
      </c>
      <c r="CJ169" s="23">
        <f>+'QTR Raw'!BD65</f>
        <v>0</v>
      </c>
      <c r="CK169" s="24"/>
      <c r="CL169" s="23">
        <f>+'QTR Raw'!BF65</f>
        <v>0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0</v>
      </c>
    </row>
    <row r="170" spans="1:110" s="23" customFormat="1" outlineLevel="1" x14ac:dyDescent="0.2">
      <c r="A170" s="23" t="s">
        <v>68</v>
      </c>
      <c r="B170" s="23">
        <f>'Annual Raw'!C52</f>
        <v>0</v>
      </c>
      <c r="C170" s="23">
        <f>'Annual Raw'!D52</f>
        <v>0</v>
      </c>
      <c r="D170" s="23">
        <f>'Annual Raw'!E52</f>
        <v>0</v>
      </c>
      <c r="E170" s="23">
        <f>'Annual Raw'!F52</f>
        <v>0</v>
      </c>
      <c r="F170" s="23">
        <f>'Annual Raw'!G52</f>
        <v>0</v>
      </c>
      <c r="G170" s="23">
        <f>'Annual Raw'!H52</f>
        <v>0</v>
      </c>
      <c r="H170" s="23">
        <f>'Annual Raw'!I52</f>
        <v>0</v>
      </c>
      <c r="I170" s="23">
        <f>'Annual Raw'!J52</f>
        <v>0</v>
      </c>
      <c r="J170" s="23">
        <f>'Annual Raw'!K52</f>
        <v>0</v>
      </c>
      <c r="K170" s="23">
        <f>'Annual Raw'!L52</f>
        <v>0</v>
      </c>
      <c r="L170" s="23">
        <f>'Annual Raw'!M52</f>
        <v>74.180000000000007</v>
      </c>
      <c r="M170" s="23">
        <f>'Annual Raw'!N52</f>
        <v>218.51</v>
      </c>
      <c r="N170" s="23">
        <f>'Annual Raw'!O52</f>
        <v>175.83</v>
      </c>
      <c r="O170" s="23">
        <f>'Annual Raw'!P52</f>
        <v>383.3</v>
      </c>
      <c r="P170" s="23">
        <f>'Annual Raw'!Q52</f>
        <v>163.72999999999999</v>
      </c>
      <c r="Q170" s="23">
        <f>'Annual Raw'!R52</f>
        <v>34.28</v>
      </c>
      <c r="R170" s="23">
        <f>'Annual Raw'!S52</f>
        <v>36.93</v>
      </c>
      <c r="S170" s="23">
        <f>'Annual Raw'!T52</f>
        <v>59.84</v>
      </c>
      <c r="T170" s="23">
        <f>'Annual Raw'!U52</f>
        <v>61.48</v>
      </c>
      <c r="U170" s="23">
        <f>'Annual Raw'!V52</f>
        <v>88.43</v>
      </c>
      <c r="V170" s="23">
        <f>'Annual Raw'!W52</f>
        <v>86.95</v>
      </c>
      <c r="W170" s="23">
        <f>'Annual Raw'!X52</f>
        <v>220.87</v>
      </c>
      <c r="X170" s="23">
        <f>'Annual Raw'!Y52</f>
        <v>226.95</v>
      </c>
      <c r="Y170" s="23">
        <f>'Annual Raw'!Z52</f>
        <v>237.45</v>
      </c>
      <c r="Z170" s="23">
        <f>'Annual Raw'!AA52</f>
        <v>339.64</v>
      </c>
      <c r="AA170" s="23">
        <f>'Annual Raw'!AB52</f>
        <v>359.9</v>
      </c>
      <c r="AB170" s="24">
        <f t="shared" si="1254"/>
        <v>0</v>
      </c>
      <c r="AC170" s="24">
        <f t="shared" si="1255"/>
        <v>0</v>
      </c>
      <c r="AD170" s="24">
        <f t="shared" si="1256"/>
        <v>0</v>
      </c>
      <c r="AE170" s="24">
        <f t="shared" si="1257"/>
        <v>0</v>
      </c>
      <c r="AJ170" s="23">
        <f>+'QTR Raw'!D66</f>
        <v>255.54</v>
      </c>
      <c r="AK170" s="23">
        <f t="shared" si="1258"/>
        <v>255.54</v>
      </c>
      <c r="AL170" s="23">
        <f>+'QTR Raw'!F66</f>
        <v>166.05</v>
      </c>
      <c r="AM170" s="23">
        <f t="shared" si="1258"/>
        <v>166.05</v>
      </c>
      <c r="AN170" s="23">
        <f>+'QTR Raw'!H66</f>
        <v>334.06</v>
      </c>
      <c r="AO170" s="23">
        <f t="shared" si="1258"/>
        <v>334.06</v>
      </c>
      <c r="AP170" s="23">
        <f>+'QTR Raw'!J66</f>
        <v>378.25</v>
      </c>
      <c r="AQ170" s="23">
        <f t="shared" si="1258"/>
        <v>378.25</v>
      </c>
      <c r="AR170" s="23">
        <f>+'QTR Raw'!L66</f>
        <v>113.65</v>
      </c>
      <c r="AS170" s="23">
        <f t="shared" si="1258"/>
        <v>113.65</v>
      </c>
      <c r="AT170" s="23">
        <f>+'QTR Raw'!N66</f>
        <v>158.68</v>
      </c>
      <c r="AU170" s="23">
        <f t="shared" si="1258"/>
        <v>158.68</v>
      </c>
      <c r="AV170" s="23">
        <f>+'QTR Raw'!P66</f>
        <v>88.15</v>
      </c>
      <c r="AW170" s="23">
        <f t="shared" si="1258"/>
        <v>88.15</v>
      </c>
      <c r="AX170" s="23">
        <f>+'QTR Raw'!R66</f>
        <v>29.59</v>
      </c>
      <c r="AY170" s="23">
        <f t="shared" si="1258"/>
        <v>29.59</v>
      </c>
      <c r="AZ170" s="23">
        <f>+'QTR Raw'!T66</f>
        <v>39.96</v>
      </c>
      <c r="BA170" s="23">
        <f t="shared" si="1258"/>
        <v>39.96</v>
      </c>
      <c r="BB170" s="23">
        <f>+'QTR Raw'!V66</f>
        <v>32.380000000000003</v>
      </c>
      <c r="BC170" s="23">
        <f t="shared" si="1258"/>
        <v>32.380000000000003</v>
      </c>
      <c r="BD170" s="23">
        <f>+'QTR Raw'!X66</f>
        <v>38.200000000000003</v>
      </c>
      <c r="BE170" s="23">
        <f t="shared" si="1258"/>
        <v>38.200000000000003</v>
      </c>
      <c r="BF170" s="23">
        <f>+'QTR Raw'!Z66</f>
        <v>46.07</v>
      </c>
      <c r="BG170" s="23">
        <f t="shared" si="1258"/>
        <v>46.07</v>
      </c>
      <c r="BH170" s="23">
        <f>+'QTR Raw'!AB66</f>
        <v>45.75</v>
      </c>
      <c r="BI170" s="23">
        <f t="shared" si="1258"/>
        <v>45.75</v>
      </c>
      <c r="BJ170" s="23">
        <f>+'QTR Raw'!AD66</f>
        <v>61.48</v>
      </c>
      <c r="BK170" s="23">
        <f t="shared" si="1258"/>
        <v>61.48</v>
      </c>
      <c r="BL170" s="23">
        <f>+'QTR Raw'!AF66</f>
        <v>111.88</v>
      </c>
      <c r="BM170" s="23">
        <f t="shared" si="1258"/>
        <v>111.88</v>
      </c>
      <c r="BN170" s="23">
        <f>+'QTR Raw'!AH66</f>
        <v>88.43</v>
      </c>
      <c r="BO170" s="23">
        <f t="shared" si="1258"/>
        <v>88.43</v>
      </c>
      <c r="BP170" s="23">
        <f>+'QTR Raw'!AJ66</f>
        <v>96.27</v>
      </c>
      <c r="BQ170" s="23">
        <f t="shared" si="1258"/>
        <v>96.27</v>
      </c>
      <c r="BR170" s="23">
        <f>+'QTR Raw'!AL66</f>
        <v>86.95</v>
      </c>
      <c r="BS170" s="23">
        <f t="shared" si="1258"/>
        <v>86.95</v>
      </c>
      <c r="BT170" s="23">
        <f>+'QTR Raw'!AN66</f>
        <v>88.44</v>
      </c>
      <c r="BU170" s="23">
        <f t="shared" si="1258"/>
        <v>88.44</v>
      </c>
      <c r="BV170" s="23">
        <f>+'QTR Raw'!AP66</f>
        <v>220.87</v>
      </c>
      <c r="BW170" s="23">
        <f t="shared" si="1258"/>
        <v>220.87</v>
      </c>
      <c r="BX170" s="23">
        <f>+'QTR Raw'!AR66</f>
        <v>247.51</v>
      </c>
      <c r="BY170" s="23">
        <f t="shared" si="1258"/>
        <v>247.51</v>
      </c>
      <c r="BZ170" s="23">
        <f>+'QTR Raw'!AT66</f>
        <v>226.95</v>
      </c>
      <c r="CA170" s="23">
        <f t="shared" si="1258"/>
        <v>226.95</v>
      </c>
      <c r="CB170" s="23">
        <f>+'QTR Raw'!AV66</f>
        <v>207.9</v>
      </c>
      <c r="CC170" s="23">
        <f t="shared" si="1258"/>
        <v>207.9</v>
      </c>
      <c r="CD170" s="23">
        <f>+'QTR Raw'!AX66</f>
        <v>237.45</v>
      </c>
      <c r="CE170" s="23">
        <f t="shared" si="1258"/>
        <v>237.45</v>
      </c>
      <c r="CF170" s="23">
        <f>+'QTR Raw'!AZ66</f>
        <v>364.08</v>
      </c>
      <c r="CG170" s="23">
        <f t="shared" si="1259"/>
        <v>364.08</v>
      </c>
      <c r="CH170" s="23">
        <f t="shared" si="1211"/>
        <v>339.64</v>
      </c>
      <c r="CJ170" s="23">
        <f>+'QTR Raw'!BD66</f>
        <v>267.95</v>
      </c>
      <c r="CK170" s="24"/>
      <c r="CL170" s="23">
        <f>+'QTR Raw'!BF66</f>
        <v>359.9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</v>
      </c>
    </row>
    <row r="171" spans="1:110" s="23" customFormat="1" outlineLevel="1" x14ac:dyDescent="0.2">
      <c r="A171" s="23" t="s">
        <v>69</v>
      </c>
      <c r="B171" s="23">
        <v>0</v>
      </c>
      <c r="C171" s="23">
        <v>0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  <c r="X171" s="23">
        <v>0</v>
      </c>
      <c r="Y171" s="23">
        <v>0</v>
      </c>
      <c r="Z171" s="23">
        <v>0</v>
      </c>
      <c r="AA171" s="23">
        <v>0</v>
      </c>
      <c r="AB171" s="24">
        <f t="shared" si="1254"/>
        <v>17172.269353568208</v>
      </c>
      <c r="AC171" s="24">
        <f t="shared" si="1255"/>
        <v>16831.649530551553</v>
      </c>
      <c r="AD171" s="24">
        <f t="shared" si="1256"/>
        <v>20084.868885013122</v>
      </c>
      <c r="AE171" s="24">
        <f t="shared" si="1257"/>
        <v>25189.823247338365</v>
      </c>
      <c r="AJ171" s="23">
        <f>+'QTR Raw'!D87</f>
        <v>8415.5300000000007</v>
      </c>
      <c r="AK171" s="23">
        <f t="shared" si="1258"/>
        <v>8415.5300000000007</v>
      </c>
      <c r="AL171" s="23">
        <f>+'QTR Raw'!F87</f>
        <v>0</v>
      </c>
      <c r="AM171" s="23">
        <f t="shared" si="1258"/>
        <v>0</v>
      </c>
      <c r="AN171" s="23">
        <f>+'QTR Raw'!H87</f>
        <v>0</v>
      </c>
      <c r="AO171" s="23">
        <f t="shared" si="1258"/>
        <v>0</v>
      </c>
      <c r="AP171" s="23">
        <f>+'QTR Raw'!J87</f>
        <v>0</v>
      </c>
      <c r="AQ171" s="23">
        <f t="shared" si="1258"/>
        <v>0</v>
      </c>
      <c r="AR171" s="23">
        <f>+'QTR Raw'!L87</f>
        <v>0</v>
      </c>
      <c r="AS171" s="23">
        <f t="shared" si="1258"/>
        <v>0</v>
      </c>
      <c r="AT171" s="23">
        <f>+'QTR Raw'!N87</f>
        <v>0</v>
      </c>
      <c r="AU171" s="23">
        <f t="shared" si="1258"/>
        <v>0</v>
      </c>
      <c r="AV171" s="23">
        <f>+'QTR Raw'!P87</f>
        <v>0</v>
      </c>
      <c r="AW171" s="23">
        <f t="shared" si="1258"/>
        <v>0</v>
      </c>
      <c r="AX171" s="23">
        <f>+'QTR Raw'!R87</f>
        <v>0</v>
      </c>
      <c r="AY171" s="23">
        <f t="shared" si="1258"/>
        <v>0</v>
      </c>
      <c r="AZ171" s="23">
        <f>+'QTR Raw'!T87</f>
        <v>0</v>
      </c>
      <c r="BA171" s="23">
        <f t="shared" si="1258"/>
        <v>0</v>
      </c>
      <c r="BB171" s="23">
        <f>+'QTR Raw'!V87</f>
        <v>0</v>
      </c>
      <c r="BC171" s="23">
        <f t="shared" si="1258"/>
        <v>0</v>
      </c>
      <c r="BD171" s="23">
        <f>+'QTR Raw'!X87</f>
        <v>0</v>
      </c>
      <c r="BE171" s="23">
        <f t="shared" si="1258"/>
        <v>0</v>
      </c>
      <c r="BF171" s="23">
        <f>+'QTR Raw'!Z87</f>
        <v>0</v>
      </c>
      <c r="BG171" s="23">
        <f t="shared" si="1258"/>
        <v>0</v>
      </c>
      <c r="BH171" s="23">
        <f>+'QTR Raw'!AB87</f>
        <v>0</v>
      </c>
      <c r="BI171" s="23">
        <f t="shared" si="1258"/>
        <v>0</v>
      </c>
      <c r="BJ171" s="23">
        <f>+'QTR Raw'!AD87</f>
        <v>0</v>
      </c>
      <c r="BK171" s="23">
        <f t="shared" si="1258"/>
        <v>0</v>
      </c>
      <c r="BL171" s="23">
        <f>+'QTR Raw'!AF87</f>
        <v>0</v>
      </c>
      <c r="BM171" s="23">
        <f t="shared" si="1258"/>
        <v>0</v>
      </c>
      <c r="BN171" s="23">
        <f>+'QTR Raw'!AH87</f>
        <v>0</v>
      </c>
      <c r="BO171" s="23">
        <f t="shared" si="1258"/>
        <v>0</v>
      </c>
      <c r="BP171" s="23">
        <f>+'QTR Raw'!AJ87</f>
        <v>0</v>
      </c>
      <c r="BQ171" s="23">
        <f t="shared" si="1258"/>
        <v>0</v>
      </c>
      <c r="BR171" s="23">
        <f>+'QTR Raw'!AL87</f>
        <v>0</v>
      </c>
      <c r="BS171" s="23">
        <f t="shared" si="1258"/>
        <v>0</v>
      </c>
      <c r="BT171" s="23">
        <f>+'QTR Raw'!AN87</f>
        <v>0</v>
      </c>
      <c r="BU171" s="23">
        <f t="shared" si="1258"/>
        <v>0</v>
      </c>
      <c r="BV171" s="23">
        <f>+'QTR Raw'!AP87</f>
        <v>0</v>
      </c>
      <c r="BW171" s="23">
        <f t="shared" si="1258"/>
        <v>0</v>
      </c>
      <c r="BX171" s="23">
        <f>+'QTR Raw'!AR87</f>
        <v>0</v>
      </c>
      <c r="BY171" s="23">
        <f t="shared" si="1258"/>
        <v>0</v>
      </c>
      <c r="BZ171" s="23">
        <f>+'QTR Raw'!AT87</f>
        <v>0</v>
      </c>
      <c r="CA171" s="23">
        <f t="shared" si="1258"/>
        <v>0</v>
      </c>
      <c r="CB171" s="23">
        <f>+'QTR Raw'!AV87</f>
        <v>0</v>
      </c>
      <c r="CC171" s="23">
        <f t="shared" si="1258"/>
        <v>0</v>
      </c>
      <c r="CD171" s="23">
        <f>+'QTR Raw'!AX87</f>
        <v>0</v>
      </c>
      <c r="CE171" s="23">
        <f t="shared" si="1258"/>
        <v>0</v>
      </c>
      <c r="CF171" s="23">
        <f>+'QTR Raw'!AZ87</f>
        <v>0</v>
      </c>
      <c r="CG171" s="23">
        <f t="shared" si="1259"/>
        <v>0</v>
      </c>
      <c r="CH171" s="23">
        <f t="shared" si="1211"/>
        <v>0</v>
      </c>
      <c r="CI171" s="23">
        <f>CI29/90*CI203</f>
        <v>9819.4824175060057</v>
      </c>
      <c r="CJ171" s="23">
        <f>+'QTR Raw'!BD87</f>
        <v>0</v>
      </c>
      <c r="CK171" s="24">
        <f t="shared" ref="CK171:DB171" si="1260">CK29/90*CK203</f>
        <v>9110.7373128906929</v>
      </c>
      <c r="CL171" s="23">
        <f>+'QTR Raw'!BF87</f>
        <v>0</v>
      </c>
      <c r="CM171" s="24">
        <f t="shared" si="1260"/>
        <v>14969.730624657121</v>
      </c>
      <c r="CN171" s="24">
        <f t="shared" si="1260"/>
        <v>14020.122932386574</v>
      </c>
      <c r="CO171" s="24">
        <f t="shared" si="1260"/>
        <v>14120.771594051761</v>
      </c>
      <c r="CP171" s="24">
        <f t="shared" si="1260"/>
        <v>17172.269353568208</v>
      </c>
      <c r="CQ171" s="24">
        <f t="shared" si="1260"/>
        <v>15209.090708395548</v>
      </c>
      <c r="CR171" s="24">
        <f t="shared" si="1260"/>
        <v>14838.993116916017</v>
      </c>
      <c r="CS171" s="24">
        <f t="shared" si="1260"/>
        <v>14815.404434496922</v>
      </c>
      <c r="CT171" s="24">
        <f t="shared" si="1260"/>
        <v>16831.649530551553</v>
      </c>
      <c r="CU171" s="24">
        <f t="shared" si="1260"/>
        <v>15128.984537345079</v>
      </c>
      <c r="CV171" s="24">
        <f t="shared" si="1260"/>
        <v>15272.746625410911</v>
      </c>
      <c r="CW171" s="24">
        <f t="shared" si="1260"/>
        <v>16630.751879646119</v>
      </c>
      <c r="CX171" s="24">
        <f t="shared" si="1260"/>
        <v>20084.868885013122</v>
      </c>
      <c r="CY171" s="24">
        <f t="shared" si="1260"/>
        <v>18226.860514619995</v>
      </c>
      <c r="CZ171" s="24">
        <f t="shared" si="1260"/>
        <v>19180.178058324982</v>
      </c>
      <c r="DA171" s="24">
        <f t="shared" si="1260"/>
        <v>20194.205852283751</v>
      </c>
      <c r="DB171" s="24">
        <f t="shared" si="1260"/>
        <v>25189.823247338365</v>
      </c>
      <c r="DE171" s="123"/>
      <c r="DF171" s="23">
        <v>0</v>
      </c>
    </row>
    <row r="172" spans="1:110" s="23" customFormat="1" outlineLevel="1" x14ac:dyDescent="0.2">
      <c r="A172" s="23" t="s">
        <v>70</v>
      </c>
      <c r="B172" s="23">
        <f>'Annual Raw'!C54</f>
        <v>0</v>
      </c>
      <c r="C172" s="23">
        <f>'Annual Raw'!D54</f>
        <v>0</v>
      </c>
      <c r="D172" s="23">
        <f>'Annual Raw'!E54</f>
        <v>0</v>
      </c>
      <c r="E172" s="23">
        <f>'Annual Raw'!F54</f>
        <v>0</v>
      </c>
      <c r="F172" s="23">
        <f>'Annual Raw'!G54</f>
        <v>0</v>
      </c>
      <c r="G172" s="23">
        <f>'Annual Raw'!H54</f>
        <v>2.2376999999999998</v>
      </c>
      <c r="H172" s="23">
        <f>'Annual Raw'!I54</f>
        <v>317.10079999999999</v>
      </c>
      <c r="I172" s="23">
        <f>'Annual Raw'!J54</f>
        <v>414.23099999999999</v>
      </c>
      <c r="J172" s="23">
        <f>'Annual Raw'!K54</f>
        <v>514.1979</v>
      </c>
      <c r="K172" s="23">
        <f>'Annual Raw'!L54</f>
        <v>1344.46</v>
      </c>
      <c r="L172" s="23">
        <f>'Annual Raw'!M54</f>
        <v>364.6</v>
      </c>
      <c r="M172" s="23">
        <f>'Annual Raw'!N54</f>
        <v>801.64</v>
      </c>
      <c r="N172" s="23">
        <f>'Annual Raw'!O54</f>
        <v>2825.92</v>
      </c>
      <c r="O172" s="23">
        <f>'Annual Raw'!P54</f>
        <v>3750.87</v>
      </c>
      <c r="P172" s="23">
        <f>'Annual Raw'!Q54</f>
        <v>5684.68</v>
      </c>
      <c r="Q172" s="23">
        <f>'Annual Raw'!R54</f>
        <v>6232.21</v>
      </c>
      <c r="R172" s="23">
        <f>'Annual Raw'!S54</f>
        <v>7399.75</v>
      </c>
      <c r="S172" s="23">
        <f>'Annual Raw'!T54</f>
        <v>7626.37</v>
      </c>
      <c r="T172" s="23">
        <f>'Annual Raw'!U54</f>
        <v>6361.74</v>
      </c>
      <c r="U172" s="23">
        <f>'Annual Raw'!V54</f>
        <v>5596.05</v>
      </c>
      <c r="V172" s="23">
        <f>'Annual Raw'!W54</f>
        <v>3803.13</v>
      </c>
      <c r="W172" s="23">
        <f>'Annual Raw'!X54</f>
        <v>3508.21</v>
      </c>
      <c r="X172" s="23">
        <f>'Annual Raw'!Y54</f>
        <v>3079.45</v>
      </c>
      <c r="Y172" s="23">
        <f>'Annual Raw'!Z54</f>
        <v>3608.63</v>
      </c>
      <c r="Z172" s="23">
        <f>'Annual Raw'!AA54</f>
        <v>2977.66</v>
      </c>
      <c r="AA172" s="23">
        <f>'Annual Raw'!AB54</f>
        <v>2840.53</v>
      </c>
      <c r="AB172" s="24">
        <f t="shared" si="1254"/>
        <v>1982.3007880023297</v>
      </c>
      <c r="AC172" s="24">
        <f t="shared" si="1255"/>
        <v>1428.2521877866225</v>
      </c>
      <c r="AD172" s="24">
        <f t="shared" si="1256"/>
        <v>1704.3046122341307</v>
      </c>
      <c r="AE172" s="24">
        <f t="shared" si="1257"/>
        <v>2137.4862931684634</v>
      </c>
      <c r="AJ172" s="23">
        <f>+'QTR Raw'!D89</f>
        <v>0</v>
      </c>
      <c r="AK172" s="23">
        <f>+AK202*AK29/90</f>
        <v>0</v>
      </c>
      <c r="AL172" s="23">
        <f>+'QTR Raw'!F89</f>
        <v>2825.92</v>
      </c>
      <c r="AM172" s="23">
        <f>+AM202*AM29/90</f>
        <v>3177.7220811696388</v>
      </c>
      <c r="AN172" s="23">
        <f>+'QTR Raw'!H89</f>
        <v>3394.11</v>
      </c>
      <c r="AO172" s="23">
        <f>+AO202*AO29/90</f>
        <v>4671.4204312952661</v>
      </c>
      <c r="AP172" s="23">
        <f>+'QTR Raw'!J89</f>
        <v>3750.87</v>
      </c>
      <c r="AQ172" s="23">
        <f>+AQ202*AQ29/90</f>
        <v>3252.1251199451681</v>
      </c>
      <c r="AR172" s="23">
        <f>+'QTR Raw'!L89</f>
        <v>4726.74</v>
      </c>
      <c r="AS172" s="23">
        <f>+AS202*AS29/90</f>
        <v>6272.0955505517222</v>
      </c>
      <c r="AT172" s="23">
        <f>+'QTR Raw'!N89</f>
        <v>5684.68</v>
      </c>
      <c r="AU172" s="23">
        <f>+AU202*AU29/90</f>
        <v>7241.0504745091648</v>
      </c>
      <c r="AV172" s="23">
        <f>+'QTR Raw'!P89</f>
        <v>5807.05</v>
      </c>
      <c r="AW172" s="23">
        <f>+AW202*AW29/90</f>
        <v>6251.8313966469759</v>
      </c>
      <c r="AX172" s="23">
        <f>+'QTR Raw'!R89</f>
        <v>6232.21</v>
      </c>
      <c r="AY172" s="23">
        <f>+AY202*AY29/90</f>
        <v>4390.717930370085</v>
      </c>
      <c r="AZ172" s="23">
        <f>+'QTR Raw'!T89</f>
        <v>6491.12</v>
      </c>
      <c r="BA172" s="23">
        <f>+BA202*BA29/90</f>
        <v>6322.3494133406502</v>
      </c>
      <c r="BB172" s="23">
        <f>+'QTR Raw'!V89</f>
        <v>7399.75</v>
      </c>
      <c r="BC172" s="23">
        <f>+BC202*BC29/90</f>
        <v>6457.492590790951</v>
      </c>
      <c r="BD172" s="23">
        <f>+'QTR Raw'!X89</f>
        <v>7952.58</v>
      </c>
      <c r="BE172" s="23">
        <f>+BE202*BE29/90</f>
        <v>6255.1782672327708</v>
      </c>
      <c r="BF172" s="23">
        <f>+'QTR Raw'!Z89</f>
        <v>7626.37</v>
      </c>
      <c r="BG172" s="23">
        <f>+BG202*BG29/90</f>
        <v>7336.1004974869456</v>
      </c>
      <c r="BH172" s="23">
        <f>+'QTR Raw'!AB89</f>
        <v>8207.7099999999991</v>
      </c>
      <c r="BI172" s="23">
        <f>+BI202*BI29/90</f>
        <v>7284.3943259640027</v>
      </c>
      <c r="BJ172" s="23">
        <f>+'QTR Raw'!AD89</f>
        <v>6361.74</v>
      </c>
      <c r="BK172" s="23">
        <f>+BK202*BK29/90</f>
        <v>7386.7969979707568</v>
      </c>
      <c r="BL172" s="23">
        <f>+'QTR Raw'!AF89</f>
        <v>6549.9</v>
      </c>
      <c r="BM172" s="23">
        <f>+BM202*BM29/90</f>
        <v>7279.6940877564584</v>
      </c>
      <c r="BN172" s="23">
        <f>+'QTR Raw'!AH89</f>
        <v>5596.05</v>
      </c>
      <c r="BO172" s="23">
        <f>+BO202*BO29/90</f>
        <v>4717.8976305118085</v>
      </c>
      <c r="BP172" s="23">
        <f>+'QTR Raw'!AJ89</f>
        <v>3630.7</v>
      </c>
      <c r="BQ172" s="23">
        <f>+BQ202*BQ29/90</f>
        <v>3230.4061430778102</v>
      </c>
      <c r="BR172" s="23">
        <f>+'QTR Raw'!AL89</f>
        <v>3803.13</v>
      </c>
      <c r="BS172" s="23">
        <f>+BS202*BS29/90</f>
        <v>3919.6417302309524</v>
      </c>
      <c r="BT172" s="23">
        <f>+'QTR Raw'!AN89</f>
        <v>2767.75</v>
      </c>
      <c r="BU172" s="23">
        <f>+BU202*BU29/90</f>
        <v>2862.3743879806934</v>
      </c>
      <c r="BV172" s="23">
        <f>+'QTR Raw'!AP89</f>
        <v>3508.21</v>
      </c>
      <c r="BW172" s="23">
        <f>+BW202*BW29/90</f>
        <v>4542.7793672448379</v>
      </c>
      <c r="BX172" s="23">
        <f>+'QTR Raw'!AR89</f>
        <v>3557.83</v>
      </c>
      <c r="BY172" s="23">
        <f>+BY202*BY29/90</f>
        <v>3921.8274915705647</v>
      </c>
      <c r="BZ172" s="23">
        <f>+'QTR Raw'!AT89</f>
        <v>3079.45</v>
      </c>
      <c r="CA172" s="23">
        <f>+CA202*CA29/90</f>
        <v>3309.0032818593136</v>
      </c>
      <c r="CB172" s="23">
        <f>+'QTR Raw'!AV89</f>
        <v>4395.3500000000004</v>
      </c>
      <c r="CC172" s="23">
        <f>+CC202*CC29/90</f>
        <v>4395.6409801563914</v>
      </c>
      <c r="CD172" s="23">
        <f>+'QTR Raw'!AX89</f>
        <v>3608.63</v>
      </c>
      <c r="CE172" s="23">
        <f>+CE202*CE29/90</f>
        <v>4038.5054642018777</v>
      </c>
      <c r="CF172" s="23">
        <f>+'QTR Raw'!AZ89</f>
        <v>3134.05</v>
      </c>
      <c r="CG172" s="23">
        <f>+CG202*CG29/90</f>
        <v>3212.1258815582723</v>
      </c>
      <c r="CH172" s="23">
        <f t="shared" si="1211"/>
        <v>2977.66</v>
      </c>
      <c r="CI172" s="23">
        <f>+CI202*CI29/90</f>
        <v>2950.8373431244463</v>
      </c>
      <c r="CJ172" s="23">
        <f>+'QTR Raw'!BD89</f>
        <v>2976.65</v>
      </c>
      <c r="CK172" s="24">
        <f t="shared" ref="CK172:DB172" si="1261">+CK202*CK29/90</f>
        <v>2754.2557447365061</v>
      </c>
      <c r="CL172" s="23">
        <f>+'QTR Raw'!BF89</f>
        <v>2840.53</v>
      </c>
      <c r="CM172" s="24">
        <f t="shared" si="1261"/>
        <v>2767.5660927794338</v>
      </c>
      <c r="CN172" s="24">
        <f t="shared" si="1261"/>
        <v>2267.4797155023866</v>
      </c>
      <c r="CO172" s="24">
        <f t="shared" si="1261"/>
        <v>1956.9026367281208</v>
      </c>
      <c r="CP172" s="24">
        <f t="shared" si="1261"/>
        <v>1982.3007880023297</v>
      </c>
      <c r="CQ172" s="24">
        <f t="shared" si="1261"/>
        <v>1656.3344618801989</v>
      </c>
      <c r="CR172" s="24">
        <f t="shared" si="1261"/>
        <v>1509.2121563750061</v>
      </c>
      <c r="CS172" s="24">
        <f t="shared" si="1261"/>
        <v>1388.6988880393778</v>
      </c>
      <c r="CT172" s="24">
        <f t="shared" si="1261"/>
        <v>1428.2521877866225</v>
      </c>
      <c r="CU172" s="24">
        <f t="shared" si="1261"/>
        <v>1283.7722901271115</v>
      </c>
      <c r="CV172" s="24">
        <f t="shared" si="1261"/>
        <v>1295.9712440340415</v>
      </c>
      <c r="CW172" s="24">
        <f t="shared" si="1261"/>
        <v>1411.2049869816115</v>
      </c>
      <c r="CX172" s="24">
        <f t="shared" si="1261"/>
        <v>1704.3046122341307</v>
      </c>
      <c r="CY172" s="24">
        <f t="shared" si="1261"/>
        <v>1546.6430286131651</v>
      </c>
      <c r="CZ172" s="24">
        <f t="shared" si="1261"/>
        <v>1627.5369341677324</v>
      </c>
      <c r="DA172" s="24">
        <f t="shared" si="1261"/>
        <v>1713.5824172660605</v>
      </c>
      <c r="DB172" s="24">
        <f t="shared" si="1261"/>
        <v>2137.4862931684634</v>
      </c>
      <c r="DE172" s="123"/>
      <c r="DF172" s="23">
        <v>0</v>
      </c>
    </row>
    <row r="173" spans="1:110" s="23" customFormat="1" outlineLevel="1" x14ac:dyDescent="0.2">
      <c r="A173" s="23" t="s">
        <v>71</v>
      </c>
      <c r="B173" s="23">
        <f>'Annual Raw'!C55-Template!B145</f>
        <v>0</v>
      </c>
      <c r="C173" s="23">
        <f>'Annual Raw'!D55-Template!C145</f>
        <v>0</v>
      </c>
      <c r="D173" s="23">
        <f>'Annual Raw'!E55-Template!D145</f>
        <v>0</v>
      </c>
      <c r="E173" s="23">
        <f>'Annual Raw'!F55-Template!E145</f>
        <v>1E-3</v>
      </c>
      <c r="F173" s="23">
        <f>'Annual Raw'!G55-Template!F145</f>
        <v>5.5099999999999995E-4</v>
      </c>
      <c r="G173" s="23">
        <f>'Annual Raw'!H55-Template!G145</f>
        <v>0</v>
      </c>
      <c r="H173" s="23">
        <f>'Annual Raw'!I55-Template!H145</f>
        <v>1.1518999999999899</v>
      </c>
      <c r="I173" s="23">
        <f>'Annual Raw'!J55-Template!I145</f>
        <v>21.210999999999999</v>
      </c>
      <c r="J173" s="23">
        <f>'Annual Raw'!K55-Template!J145</f>
        <v>46.629399999999997</v>
      </c>
      <c r="K173" s="23">
        <f>'Annual Raw'!L55-Template!K145</f>
        <v>102.26</v>
      </c>
      <c r="L173" s="23">
        <f>'Annual Raw'!M55-Template!L145</f>
        <v>1128.8600000000001</v>
      </c>
      <c r="M173" s="23">
        <f>'Annual Raw'!N55-Template!M145</f>
        <v>3248.59</v>
      </c>
      <c r="N173" s="23">
        <f>'Annual Raw'!O55-Template!N145</f>
        <v>3863.2200000000003</v>
      </c>
      <c r="O173" s="23">
        <f>'Annual Raw'!P55-Template!O145</f>
        <v>3001.7299999999996</v>
      </c>
      <c r="P173" s="23">
        <f>'Annual Raw'!Q55-Template!P145</f>
        <v>1833.0299999999997</v>
      </c>
      <c r="Q173" s="23">
        <f>'Annual Raw'!R55-Template!Q145</f>
        <v>2493.5600000000004</v>
      </c>
      <c r="R173" s="23">
        <f>'Annual Raw'!S55-Template!R145</f>
        <v>2409.4699999999998</v>
      </c>
      <c r="S173" s="23">
        <f>'Annual Raw'!T55-Template!S145</f>
        <v>2126.66</v>
      </c>
      <c r="T173" s="23">
        <f>'Annual Raw'!U55-Template!T145</f>
        <v>1149.2800000000002</v>
      </c>
      <c r="U173" s="23">
        <f>'Annual Raw'!V55-Template!U145</f>
        <v>1891.27</v>
      </c>
      <c r="V173" s="23">
        <f>'Annual Raw'!W55-Template!V145</f>
        <v>2364.0700000000006</v>
      </c>
      <c r="W173" s="23">
        <f>'Annual Raw'!X55-Template!W145</f>
        <v>2037.0700000000006</v>
      </c>
      <c r="X173" s="23">
        <f>'Annual Raw'!Y55-Template!X145</f>
        <v>6093.56</v>
      </c>
      <c r="Y173" s="23">
        <f>'Annual Raw'!Z55-Template!Y145</f>
        <v>4292.5</v>
      </c>
      <c r="Z173" s="23">
        <f>'Annual Raw'!AA55-Template!Z145</f>
        <v>2645.31</v>
      </c>
      <c r="AA173" s="23">
        <f>'Annual Raw'!AB55-Template!AA145</f>
        <v>5109.51</v>
      </c>
      <c r="AB173" s="24">
        <f t="shared" si="1254"/>
        <v>0</v>
      </c>
      <c r="AC173" s="24">
        <f t="shared" si="1255"/>
        <v>0</v>
      </c>
      <c r="AD173" s="24">
        <f t="shared" si="1256"/>
        <v>0</v>
      </c>
      <c r="AE173" s="24">
        <f t="shared" si="1257"/>
        <v>0</v>
      </c>
      <c r="AJ173" s="23">
        <f>+'QTR Raw'!D91</f>
        <v>0</v>
      </c>
      <c r="AK173" s="23">
        <f t="shared" si="1258"/>
        <v>0</v>
      </c>
      <c r="AL173" s="23">
        <f>+'QTR Raw'!F91</f>
        <v>8055.87</v>
      </c>
      <c r="AM173" s="23">
        <f t="shared" si="1258"/>
        <v>8055.87</v>
      </c>
      <c r="AN173" s="23">
        <f>+'QTR Raw'!H91</f>
        <v>8407.42</v>
      </c>
      <c r="AO173" s="23">
        <f t="shared" si="1258"/>
        <v>8407.42</v>
      </c>
      <c r="AP173" s="23">
        <f>+'QTR Raw'!J91</f>
        <v>7383.2</v>
      </c>
      <c r="AQ173" s="23">
        <f t="shared" si="1258"/>
        <v>7383.2</v>
      </c>
      <c r="AR173" s="23">
        <f>+'QTR Raw'!L91</f>
        <v>7457.5</v>
      </c>
      <c r="AS173" s="23">
        <f t="shared" si="1258"/>
        <v>7457.5</v>
      </c>
      <c r="AT173" s="23">
        <f>+'QTR Raw'!N91</f>
        <v>5190.4799999999996</v>
      </c>
      <c r="AU173" s="23">
        <f t="shared" si="1258"/>
        <v>5190.4799999999996</v>
      </c>
      <c r="AV173" s="23">
        <f>+'QTR Raw'!P91</f>
        <v>6654.06</v>
      </c>
      <c r="AW173" s="23">
        <f t="shared" si="1258"/>
        <v>6654.06</v>
      </c>
      <c r="AX173" s="23">
        <f>+'QTR Raw'!R91</f>
        <v>6369.64</v>
      </c>
      <c r="AY173" s="23">
        <f t="shared" si="1258"/>
        <v>6369.64</v>
      </c>
      <c r="AZ173" s="23">
        <f>+'QTR Raw'!T91</f>
        <v>4851.5</v>
      </c>
      <c r="BA173" s="23">
        <f t="shared" si="1258"/>
        <v>4851.5</v>
      </c>
      <c r="BB173" s="23">
        <f>+'QTR Raw'!V91</f>
        <v>5672.04</v>
      </c>
      <c r="BC173" s="23">
        <f t="shared" si="1258"/>
        <v>5672.04</v>
      </c>
      <c r="BD173" s="23">
        <f>+'QTR Raw'!X91</f>
        <v>5901.31</v>
      </c>
      <c r="BE173" s="23">
        <f t="shared" si="1258"/>
        <v>5901.31</v>
      </c>
      <c r="BF173" s="23">
        <f>+'QTR Raw'!Z91</f>
        <v>5841.28</v>
      </c>
      <c r="BG173" s="23">
        <f t="shared" si="1258"/>
        <v>5841.28</v>
      </c>
      <c r="BH173" s="23">
        <f>+'QTR Raw'!AB91</f>
        <v>7481.68</v>
      </c>
      <c r="BI173" s="23">
        <f t="shared" si="1258"/>
        <v>7481.68</v>
      </c>
      <c r="BJ173" s="23">
        <f>+'QTR Raw'!AD91</f>
        <v>4713.33</v>
      </c>
      <c r="BK173" s="23">
        <f t="shared" si="1258"/>
        <v>4713.33</v>
      </c>
      <c r="BL173" s="23">
        <f>+'QTR Raw'!AF91</f>
        <v>4868.3100000000004</v>
      </c>
      <c r="BM173" s="23">
        <f t="shared" si="1258"/>
        <v>4868.3100000000004</v>
      </c>
      <c r="BN173" s="23">
        <f>+'QTR Raw'!AH91</f>
        <v>4751.8500000000004</v>
      </c>
      <c r="BO173" s="23">
        <f t="shared" si="1258"/>
        <v>4751.8500000000004</v>
      </c>
      <c r="BP173" s="23">
        <f>+'QTR Raw'!AJ91</f>
        <v>4396.93</v>
      </c>
      <c r="BQ173" s="23">
        <f t="shared" si="1258"/>
        <v>4396.93</v>
      </c>
      <c r="BR173" s="23">
        <f>+'QTR Raw'!AL91</f>
        <v>2409.7800000000002</v>
      </c>
      <c r="BS173" s="23">
        <f t="shared" si="1258"/>
        <v>2409.7800000000002</v>
      </c>
      <c r="BT173" s="23">
        <f>+'QTR Raw'!AN91</f>
        <v>2330.2199999999998</v>
      </c>
      <c r="BU173" s="23">
        <f t="shared" si="1258"/>
        <v>2330.2199999999998</v>
      </c>
      <c r="BV173" s="23">
        <f>+'QTR Raw'!AP91</f>
        <v>2682.39</v>
      </c>
      <c r="BW173" s="23">
        <f t="shared" si="1258"/>
        <v>2682.39</v>
      </c>
      <c r="BX173" s="23">
        <f>+'QTR Raw'!AR91</f>
        <v>4599.37</v>
      </c>
      <c r="BY173" s="23">
        <f t="shared" si="1258"/>
        <v>4599.37</v>
      </c>
      <c r="BZ173" s="23">
        <f>+'QTR Raw'!AT91</f>
        <v>6094.05</v>
      </c>
      <c r="CA173" s="23">
        <f t="shared" si="1258"/>
        <v>6094.05</v>
      </c>
      <c r="CB173" s="23">
        <f>+'QTR Raw'!AV91</f>
        <v>5885.11</v>
      </c>
      <c r="CC173" s="23">
        <f t="shared" si="1258"/>
        <v>5885.11</v>
      </c>
      <c r="CD173" s="23">
        <f>+'QTR Raw'!AX91</f>
        <v>4292.5</v>
      </c>
      <c r="CE173" s="23">
        <f t="shared" si="1258"/>
        <v>4292.5</v>
      </c>
      <c r="CF173" s="23">
        <f>+'QTR Raw'!AZ91</f>
        <v>3594.11</v>
      </c>
      <c r="CG173" s="23">
        <f t="shared" ref="CG173:CG174" si="1262">+CF173</f>
        <v>3594.11</v>
      </c>
      <c r="CH173" s="23">
        <f t="shared" si="1211"/>
        <v>2645.31</v>
      </c>
      <c r="CJ173" s="23">
        <f>+'QTR Raw'!BD91</f>
        <v>2649.2</v>
      </c>
      <c r="CK173" s="24"/>
      <c r="CL173" s="23">
        <f>+'QTR Raw'!BF91</f>
        <v>6664.78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0</v>
      </c>
    </row>
    <row r="174" spans="1:110" s="23" customFormat="1" outlineLevel="1" x14ac:dyDescent="0.2">
      <c r="A174" s="23" t="s">
        <v>72</v>
      </c>
      <c r="B174" s="23">
        <f>'Annual Raw'!C57</f>
        <v>0</v>
      </c>
      <c r="C174" s="23">
        <f>'Annual Raw'!D57</f>
        <v>0</v>
      </c>
      <c r="D174" s="23">
        <f>'Annual Raw'!E57</f>
        <v>0</v>
      </c>
      <c r="E174" s="23">
        <f>'Annual Raw'!F57</f>
        <v>0</v>
      </c>
      <c r="F174" s="23">
        <f>'Annual Raw'!G57</f>
        <v>0</v>
      </c>
      <c r="G174" s="23">
        <f>'Annual Raw'!H57</f>
        <v>0</v>
      </c>
      <c r="H174" s="23">
        <f>'Annual Raw'!I57</f>
        <v>9.7900000000000001E-2</v>
      </c>
      <c r="I174" s="23">
        <f>'Annual Raw'!J57</f>
        <v>0.623</v>
      </c>
      <c r="J174" s="23">
        <f>'Annual Raw'!K57</f>
        <v>1.1288</v>
      </c>
      <c r="K174" s="23">
        <f>'Annual Raw'!L57</f>
        <v>3.48</v>
      </c>
      <c r="L174" s="23">
        <f>'Annual Raw'!M57</f>
        <v>77.08</v>
      </c>
      <c r="M174" s="23">
        <f>'Annual Raw'!N57</f>
        <v>273.02</v>
      </c>
      <c r="N174" s="23">
        <f>'Annual Raw'!O57</f>
        <v>321.24</v>
      </c>
      <c r="O174" s="23">
        <f>'Annual Raw'!P57</f>
        <v>517.63</v>
      </c>
      <c r="P174" s="23">
        <f>'Annual Raw'!Q57</f>
        <v>270.72000000000003</v>
      </c>
      <c r="Q174" s="23">
        <f>'Annual Raw'!R57</f>
        <v>8.4</v>
      </c>
      <c r="R174" s="23">
        <f>'Annual Raw'!S57</f>
        <v>22.53</v>
      </c>
      <c r="S174" s="23">
        <f>'Annual Raw'!T57</f>
        <v>16.73</v>
      </c>
      <c r="T174" s="23">
        <f>'Annual Raw'!U57</f>
        <v>82.7</v>
      </c>
      <c r="U174" s="23">
        <f>'Annual Raw'!V57</f>
        <v>81.569999999999993</v>
      </c>
      <c r="V174" s="23">
        <f>'Annual Raw'!W57</f>
        <v>105.88</v>
      </c>
      <c r="W174" s="23">
        <f>'Annual Raw'!X57</f>
        <v>674.03</v>
      </c>
      <c r="X174" s="23">
        <f>'Annual Raw'!Y57</f>
        <v>22.13</v>
      </c>
      <c r="Y174" s="23">
        <f>'Annual Raw'!Z57</f>
        <v>25.69</v>
      </c>
      <c r="Z174" s="23">
        <f>'Annual Raw'!AA57</f>
        <v>130.1</v>
      </c>
      <c r="AA174" s="23">
        <f>'Annual Raw'!AB57</f>
        <v>1652.23</v>
      </c>
      <c r="AB174" s="24">
        <f t="shared" si="1254"/>
        <v>0</v>
      </c>
      <c r="AC174" s="24">
        <f t="shared" si="1255"/>
        <v>0</v>
      </c>
      <c r="AD174" s="24">
        <f t="shared" si="1256"/>
        <v>0</v>
      </c>
      <c r="AE174" s="24">
        <f t="shared" si="1257"/>
        <v>0</v>
      </c>
      <c r="AJ174" s="23">
        <f>+'QTR Raw'!D92</f>
        <v>435.48</v>
      </c>
      <c r="AK174" s="23">
        <f t="shared" si="1258"/>
        <v>435.48</v>
      </c>
      <c r="AL174" s="23">
        <f>+'QTR Raw'!F92</f>
        <v>321.24</v>
      </c>
      <c r="AM174" s="23">
        <f t="shared" si="1258"/>
        <v>321.24</v>
      </c>
      <c r="AN174" s="23">
        <f>+'QTR Raw'!H92</f>
        <v>1001.72</v>
      </c>
      <c r="AO174" s="23">
        <f t="shared" si="1258"/>
        <v>1001.72</v>
      </c>
      <c r="AP174" s="23">
        <f>+'QTR Raw'!J92</f>
        <v>517.63</v>
      </c>
      <c r="AQ174" s="23">
        <f t="shared" si="1258"/>
        <v>517.63</v>
      </c>
      <c r="AR174" s="23">
        <f>+'QTR Raw'!L92</f>
        <v>374.48</v>
      </c>
      <c r="AS174" s="23">
        <f t="shared" si="1258"/>
        <v>374.48</v>
      </c>
      <c r="AT174" s="23">
        <f>+'QTR Raw'!N92</f>
        <v>270.72000000000003</v>
      </c>
      <c r="AU174" s="23">
        <f t="shared" si="1258"/>
        <v>270.72000000000003</v>
      </c>
      <c r="AV174" s="23">
        <f>+'QTR Raw'!P92</f>
        <v>149.65</v>
      </c>
      <c r="AW174" s="23">
        <f t="shared" si="1258"/>
        <v>149.65</v>
      </c>
      <c r="AX174" s="23">
        <f>+'QTR Raw'!R92</f>
        <v>8.4</v>
      </c>
      <c r="AY174" s="23">
        <f t="shared" si="1258"/>
        <v>8.4</v>
      </c>
      <c r="AZ174" s="23">
        <f>+'QTR Raw'!T92</f>
        <v>7.78</v>
      </c>
      <c r="BA174" s="23">
        <f t="shared" si="1258"/>
        <v>7.78</v>
      </c>
      <c r="BB174" s="23">
        <f>+'QTR Raw'!V92</f>
        <v>9.7100000000000009</v>
      </c>
      <c r="BC174" s="23">
        <f t="shared" si="1258"/>
        <v>9.7100000000000009</v>
      </c>
      <c r="BD174" s="23">
        <f>+'QTR Raw'!X92</f>
        <v>9.56</v>
      </c>
      <c r="BE174" s="23">
        <f t="shared" si="1258"/>
        <v>9.56</v>
      </c>
      <c r="BF174" s="23">
        <f>+'QTR Raw'!Z92</f>
        <v>9.82</v>
      </c>
      <c r="BG174" s="23">
        <f t="shared" si="1258"/>
        <v>9.82</v>
      </c>
      <c r="BH174" s="23">
        <f>+'QTR Raw'!AB92</f>
        <v>11.8</v>
      </c>
      <c r="BI174" s="23">
        <f t="shared" si="1258"/>
        <v>11.8</v>
      </c>
      <c r="BJ174" s="23">
        <f>+'QTR Raw'!AD92</f>
        <v>11.2</v>
      </c>
      <c r="BK174" s="23">
        <f t="shared" si="1258"/>
        <v>11.2</v>
      </c>
      <c r="BL174" s="23">
        <f>+'QTR Raw'!AF92</f>
        <v>28.71</v>
      </c>
      <c r="BM174" s="23">
        <f t="shared" si="1258"/>
        <v>28.71</v>
      </c>
      <c r="BN174" s="23">
        <f>+'QTR Raw'!AH92</f>
        <v>39.44</v>
      </c>
      <c r="BO174" s="23">
        <f t="shared" si="1258"/>
        <v>39.44</v>
      </c>
      <c r="BP174" s="23">
        <f>+'QTR Raw'!AJ92</f>
        <v>40.04</v>
      </c>
      <c r="BQ174" s="23">
        <f t="shared" si="1258"/>
        <v>40.04</v>
      </c>
      <c r="BR174" s="23">
        <f>+'QTR Raw'!AL92</f>
        <v>60.17</v>
      </c>
      <c r="BS174" s="23">
        <f t="shared" si="1258"/>
        <v>60.17</v>
      </c>
      <c r="BT174" s="23">
        <f>+'QTR Raw'!AN92</f>
        <v>63.07</v>
      </c>
      <c r="BU174" s="23">
        <f t="shared" si="1258"/>
        <v>63.07</v>
      </c>
      <c r="BV174" s="23">
        <f>+'QTR Raw'!AP92</f>
        <v>28.71</v>
      </c>
      <c r="BW174" s="23">
        <f t="shared" si="1258"/>
        <v>28.71</v>
      </c>
      <c r="BX174" s="23">
        <f>+'QTR Raw'!AR92</f>
        <v>31.79</v>
      </c>
      <c r="BY174" s="23">
        <f t="shared" si="1258"/>
        <v>31.79</v>
      </c>
      <c r="BZ174" s="23">
        <f>+'QTR Raw'!AT92</f>
        <v>21.64</v>
      </c>
      <c r="CA174" s="23">
        <f t="shared" si="1258"/>
        <v>21.64</v>
      </c>
      <c r="CB174" s="23">
        <f>+'QTR Raw'!AV92</f>
        <v>24.82</v>
      </c>
      <c r="CC174" s="23">
        <f t="shared" si="1258"/>
        <v>24.82</v>
      </c>
      <c r="CD174" s="23">
        <f>+'QTR Raw'!AX92</f>
        <v>25.69</v>
      </c>
      <c r="CE174" s="23">
        <f t="shared" si="1258"/>
        <v>25.69</v>
      </c>
      <c r="CF174" s="23">
        <f>+'QTR Raw'!AZ92</f>
        <v>53.34</v>
      </c>
      <c r="CG174" s="23">
        <f t="shared" si="1262"/>
        <v>53.34</v>
      </c>
      <c r="CH174" s="23">
        <f t="shared" si="1211"/>
        <v>130.1</v>
      </c>
      <c r="CJ174" s="23">
        <f>+'QTR Raw'!BD92</f>
        <v>107.9</v>
      </c>
      <c r="CK174" s="24"/>
      <c r="CL174" s="23">
        <f>+'QTR Raw'!BF92</f>
        <v>96.96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0</v>
      </c>
    </row>
    <row r="175" spans="1:110" s="22" customFormat="1" x14ac:dyDescent="0.2">
      <c r="A175" s="22" t="s">
        <v>73</v>
      </c>
      <c r="B175" s="22">
        <f>SUM(B168:B174)</f>
        <v>0</v>
      </c>
      <c r="C175" s="22">
        <f t="shared" ref="C175:V175" si="1263">SUM(C168:C174)</f>
        <v>0</v>
      </c>
      <c r="D175" s="22">
        <f t="shared" si="1263"/>
        <v>0</v>
      </c>
      <c r="E175" s="22">
        <f t="shared" si="1263"/>
        <v>1E-3</v>
      </c>
      <c r="F175" s="22">
        <f t="shared" si="1263"/>
        <v>5.5099999999999995E-4</v>
      </c>
      <c r="G175" s="22">
        <f t="shared" si="1263"/>
        <v>2.2376999999999998</v>
      </c>
      <c r="H175" s="22">
        <f t="shared" si="1263"/>
        <v>318.35059999999999</v>
      </c>
      <c r="I175" s="22">
        <f t="shared" si="1263"/>
        <v>436.065</v>
      </c>
      <c r="J175" s="22">
        <f t="shared" si="1263"/>
        <v>561.95609999999999</v>
      </c>
      <c r="K175" s="22">
        <f t="shared" si="1263"/>
        <v>1450.2</v>
      </c>
      <c r="L175" s="22">
        <f t="shared" si="1263"/>
        <v>3320.8700000000003</v>
      </c>
      <c r="M175" s="22">
        <f t="shared" si="1263"/>
        <v>5580.75</v>
      </c>
      <c r="N175" s="22">
        <f t="shared" si="1263"/>
        <v>7529.8</v>
      </c>
      <c r="O175" s="22">
        <f t="shared" si="1263"/>
        <v>8050.37</v>
      </c>
      <c r="P175" s="22">
        <f t="shared" si="1263"/>
        <v>8012.6900000000005</v>
      </c>
      <c r="Q175" s="22">
        <f t="shared" si="1263"/>
        <v>15278.300000000001</v>
      </c>
      <c r="R175" s="22">
        <f t="shared" si="1263"/>
        <v>15810.83</v>
      </c>
      <c r="S175" s="22">
        <f t="shared" si="1263"/>
        <v>15611.779999999999</v>
      </c>
      <c r="T175" s="22">
        <f t="shared" si="1263"/>
        <v>13117.470000000001</v>
      </c>
      <c r="U175" s="22">
        <f t="shared" si="1263"/>
        <v>13091.89</v>
      </c>
      <c r="V175" s="22">
        <f t="shared" si="1263"/>
        <v>11953.960000000001</v>
      </c>
      <c r="W175" s="22">
        <f t="shared" ref="W175" si="1264">SUM(W168:W174)</f>
        <v>11982.12</v>
      </c>
      <c r="X175" s="22">
        <f t="shared" ref="X175:Y175" si="1265">SUM(X168:X174)</f>
        <v>13693.56</v>
      </c>
      <c r="Y175" s="22">
        <f t="shared" si="1265"/>
        <v>14407.08</v>
      </c>
      <c r="Z175" s="22">
        <f t="shared" ref="Z175:AA175" si="1266">SUM(Z168:Z174)</f>
        <v>12886.4</v>
      </c>
      <c r="AA175" s="22">
        <f t="shared" ref="AA175" si="1267">SUM(AA168:AA174)</f>
        <v>16495.310000000001</v>
      </c>
      <c r="AB175" s="21">
        <f t="shared" ref="AB175:AD175" si="1268">SUM(AB168:AB174)</f>
        <v>19154.570141570537</v>
      </c>
      <c r="AC175" s="21">
        <f t="shared" si="1268"/>
        <v>18259.901718338177</v>
      </c>
      <c r="AD175" s="21">
        <f t="shared" si="1268"/>
        <v>21789.173497247251</v>
      </c>
      <c r="AE175" s="21">
        <f t="shared" ref="AE175" si="1269">SUM(AE168:AE174)</f>
        <v>27327.309540506827</v>
      </c>
      <c r="AJ175" s="22">
        <f t="shared" ref="AJ175" si="1270">SUM(AJ168:AJ174)</f>
        <v>10530.62</v>
      </c>
      <c r="AK175" s="22">
        <f t="shared" ref="AK175" si="1271">SUM(AK168:AK174)</f>
        <v>10530.62</v>
      </c>
      <c r="AL175" s="22">
        <f t="shared" ref="AL175:AM175" si="1272">SUM(AL168:AL174)</f>
        <v>11712.67</v>
      </c>
      <c r="AM175" s="22">
        <f t="shared" si="1272"/>
        <v>12064.472081169639</v>
      </c>
      <c r="AN175" s="22">
        <f t="shared" ref="AN175:AO175" si="1273">SUM(AN168:AN174)</f>
        <v>13137.31</v>
      </c>
      <c r="AO175" s="22">
        <f t="shared" si="1273"/>
        <v>14414.620431295267</v>
      </c>
      <c r="AP175" s="22">
        <f t="shared" ref="AP175:CE175" si="1274">SUM(AP168:AP174)</f>
        <v>12426.789999999999</v>
      </c>
      <c r="AQ175" s="22">
        <f t="shared" si="1274"/>
        <v>11928.045119945167</v>
      </c>
      <c r="AR175" s="22">
        <f t="shared" si="1274"/>
        <v>13157.41</v>
      </c>
      <c r="AS175" s="22">
        <f t="shared" si="1274"/>
        <v>14702.765550551721</v>
      </c>
      <c r="AT175" s="22">
        <f t="shared" si="1274"/>
        <v>11365.089999999998</v>
      </c>
      <c r="AU175" s="22">
        <f t="shared" si="1274"/>
        <v>12921.460474509164</v>
      </c>
      <c r="AV175" s="22">
        <f t="shared" si="1274"/>
        <v>12749.91</v>
      </c>
      <c r="AW175" s="22">
        <f t="shared" si="1274"/>
        <v>13194.691396646975</v>
      </c>
      <c r="AX175" s="22">
        <f t="shared" si="1274"/>
        <v>19149.690000000002</v>
      </c>
      <c r="AY175" s="22">
        <f t="shared" si="1274"/>
        <v>17308.197930370086</v>
      </c>
      <c r="AZ175" s="22">
        <f t="shared" si="1274"/>
        <v>11726.050000000001</v>
      </c>
      <c r="BA175" s="22">
        <f t="shared" si="1274"/>
        <v>11557.279413340651</v>
      </c>
      <c r="BB175" s="22">
        <f t="shared" si="1274"/>
        <v>19056.03</v>
      </c>
      <c r="BC175" s="22">
        <f t="shared" si="1274"/>
        <v>18113.772590790952</v>
      </c>
      <c r="BD175" s="22">
        <f t="shared" si="1274"/>
        <v>19700.080000000002</v>
      </c>
      <c r="BE175" s="22">
        <f t="shared" si="1274"/>
        <v>18002.678267232772</v>
      </c>
      <c r="BF175" s="22">
        <f t="shared" si="1274"/>
        <v>19305.719999999998</v>
      </c>
      <c r="BG175" s="22">
        <f t="shared" si="1274"/>
        <v>19015.450497486945</v>
      </c>
      <c r="BH175" s="22">
        <f t="shared" ref="BH175" si="1275">SUM(BH168:BH174)</f>
        <v>21344.23</v>
      </c>
      <c r="BI175" s="22">
        <f t="shared" si="1274"/>
        <v>20420.914325964</v>
      </c>
      <c r="BJ175" s="22">
        <f t="shared" si="1274"/>
        <v>16610.02</v>
      </c>
      <c r="BK175" s="22">
        <f t="shared" si="1274"/>
        <v>17635.076997970758</v>
      </c>
      <c r="BL175" s="22">
        <f t="shared" si="1274"/>
        <v>16949.560000000001</v>
      </c>
      <c r="BM175" s="22">
        <f t="shared" si="1274"/>
        <v>17679.354087756459</v>
      </c>
      <c r="BN175" s="22">
        <f t="shared" si="1274"/>
        <v>15910.330000000002</v>
      </c>
      <c r="BO175" s="22">
        <f t="shared" si="1274"/>
        <v>15032.177630511811</v>
      </c>
      <c r="BP175" s="22">
        <f t="shared" si="1274"/>
        <v>13747.86</v>
      </c>
      <c r="BQ175" s="22">
        <f t="shared" si="1274"/>
        <v>13347.566143077813</v>
      </c>
      <c r="BR175" s="22">
        <f t="shared" si="1274"/>
        <v>11953.960000000001</v>
      </c>
      <c r="BS175" s="22">
        <f t="shared" si="1274"/>
        <v>12070.471730230953</v>
      </c>
      <c r="BT175" s="22">
        <f t="shared" si="1274"/>
        <v>11173.959999999997</v>
      </c>
      <c r="BU175" s="22">
        <f t="shared" si="1274"/>
        <v>11268.584387980691</v>
      </c>
      <c r="BV175" s="22">
        <f t="shared" si="1274"/>
        <v>11982.119999999999</v>
      </c>
      <c r="BW175" s="22">
        <f t="shared" si="1274"/>
        <v>13016.689367244835</v>
      </c>
      <c r="BX175" s="22">
        <f t="shared" si="1274"/>
        <v>14135.510000000002</v>
      </c>
      <c r="BY175" s="22">
        <f t="shared" si="1274"/>
        <v>14499.507491570566</v>
      </c>
      <c r="BZ175" s="22">
        <f t="shared" si="1274"/>
        <v>13693.56</v>
      </c>
      <c r="CA175" s="22">
        <f t="shared" si="1274"/>
        <v>13923.113281859314</v>
      </c>
      <c r="CB175" s="22">
        <f t="shared" si="1274"/>
        <v>16953.86</v>
      </c>
      <c r="CC175" s="22">
        <f t="shared" si="1274"/>
        <v>16954.150980156392</v>
      </c>
      <c r="CD175" s="22">
        <f t="shared" si="1274"/>
        <v>14407.08</v>
      </c>
      <c r="CE175" s="22">
        <f t="shared" si="1274"/>
        <v>14836.955464201879</v>
      </c>
      <c r="CF175" s="22">
        <f t="shared" ref="CF175:CG175" si="1276">SUM(CF168:CF174)</f>
        <v>13304.760000000002</v>
      </c>
      <c r="CG175" s="22">
        <f t="shared" si="1276"/>
        <v>13382.835881558272</v>
      </c>
      <c r="CH175" s="22">
        <f t="shared" ref="CH175:CI175" si="1277">SUM(CH168:CH174)</f>
        <v>12886.4</v>
      </c>
      <c r="CI175" s="22">
        <f t="shared" si="1277"/>
        <v>12770.319760630453</v>
      </c>
      <c r="CJ175" s="22">
        <f t="shared" ref="CJ175:DB175" si="1278">SUM(CJ168:CJ174)</f>
        <v>12823.039999999999</v>
      </c>
      <c r="CK175" s="21">
        <f t="shared" si="1278"/>
        <v>11864.993057627198</v>
      </c>
      <c r="CL175" s="22">
        <f t="shared" ref="CL175" si="1279">SUM(CL168:CL174)</f>
        <v>16495.309999999998</v>
      </c>
      <c r="CM175" s="21">
        <f t="shared" si="1278"/>
        <v>17737.296717436555</v>
      </c>
      <c r="CN175" s="21">
        <f t="shared" si="1278"/>
        <v>16287.60264788896</v>
      </c>
      <c r="CO175" s="21">
        <f t="shared" si="1278"/>
        <v>16077.674230779881</v>
      </c>
      <c r="CP175" s="21">
        <f t="shared" si="1278"/>
        <v>19154.570141570537</v>
      </c>
      <c r="CQ175" s="21">
        <f t="shared" si="1278"/>
        <v>16865.425170275746</v>
      </c>
      <c r="CR175" s="21">
        <f t="shared" si="1278"/>
        <v>16348.205273291023</v>
      </c>
      <c r="CS175" s="21">
        <f t="shared" si="1278"/>
        <v>16204.103322536301</v>
      </c>
      <c r="CT175" s="21">
        <f t="shared" si="1278"/>
        <v>18259.901718338177</v>
      </c>
      <c r="CU175" s="21">
        <f t="shared" si="1278"/>
        <v>16412.756827472189</v>
      </c>
      <c r="CV175" s="21">
        <f t="shared" si="1278"/>
        <v>16568.717869444954</v>
      </c>
      <c r="CW175" s="21">
        <f t="shared" si="1278"/>
        <v>18041.95686662773</v>
      </c>
      <c r="CX175" s="21">
        <f t="shared" si="1278"/>
        <v>21789.173497247251</v>
      </c>
      <c r="CY175" s="21">
        <f t="shared" si="1278"/>
        <v>19773.503543233161</v>
      </c>
      <c r="CZ175" s="21">
        <f t="shared" si="1278"/>
        <v>20807.714992492714</v>
      </c>
      <c r="DA175" s="21">
        <f t="shared" si="1278"/>
        <v>21907.788269549812</v>
      </c>
      <c r="DB175" s="21">
        <f t="shared" si="1278"/>
        <v>27327.309540506827</v>
      </c>
      <c r="DE175" s="126"/>
      <c r="DF175" s="22">
        <v>0</v>
      </c>
    </row>
    <row r="176" spans="1:110" s="22" customFormat="1" x14ac:dyDescent="0.2">
      <c r="A176" s="22" t="s">
        <v>74</v>
      </c>
      <c r="B176" s="22">
        <f>B167-B175</f>
        <v>0</v>
      </c>
      <c r="C176" s="22">
        <f t="shared" ref="C176:V176" si="1280">C167-C175</f>
        <v>0</v>
      </c>
      <c r="D176" s="22">
        <f t="shared" si="1280"/>
        <v>0</v>
      </c>
      <c r="E176" s="22">
        <f t="shared" si="1280"/>
        <v>-1E-3</v>
      </c>
      <c r="F176" s="22">
        <f t="shared" si="1280"/>
        <v>-5.5099999999999995E-4</v>
      </c>
      <c r="G176" s="22">
        <f t="shared" si="1280"/>
        <v>-1.1661999999999999</v>
      </c>
      <c r="H176" s="22">
        <f t="shared" si="1280"/>
        <v>-317.16609999999997</v>
      </c>
      <c r="I176" s="22">
        <f t="shared" si="1280"/>
        <v>-259.82</v>
      </c>
      <c r="J176" s="22">
        <f t="shared" si="1280"/>
        <v>-145.60809999999998</v>
      </c>
      <c r="K176" s="22">
        <f t="shared" si="1280"/>
        <v>-243.76</v>
      </c>
      <c r="L176" s="22">
        <f t="shared" si="1280"/>
        <v>1642.0399999999986</v>
      </c>
      <c r="M176" s="22">
        <f t="shared" si="1280"/>
        <v>-119.31999999999971</v>
      </c>
      <c r="N176" s="22">
        <f t="shared" si="1280"/>
        <v>-2757.26</v>
      </c>
      <c r="O176" s="22">
        <f t="shared" si="1280"/>
        <v>-456.66000000000076</v>
      </c>
      <c r="P176" s="22">
        <f t="shared" si="1280"/>
        <v>3821.92</v>
      </c>
      <c r="Q176" s="22">
        <f t="shared" si="1280"/>
        <v>2622.7000000000025</v>
      </c>
      <c r="R176" s="22">
        <f t="shared" si="1280"/>
        <v>424.73999999999978</v>
      </c>
      <c r="S176" s="22">
        <f t="shared" si="1280"/>
        <v>823.35000000000218</v>
      </c>
      <c r="T176" s="22">
        <f t="shared" si="1280"/>
        <v>3183.0399999999972</v>
      </c>
      <c r="U176" s="22">
        <f t="shared" si="1280"/>
        <v>1770.58</v>
      </c>
      <c r="V176" s="22">
        <f t="shared" si="1280"/>
        <v>5933.8100000000031</v>
      </c>
      <c r="W176" s="22">
        <f t="shared" ref="W176" si="1281">W167-W175</f>
        <v>3907.0199999999986</v>
      </c>
      <c r="X176" s="22">
        <f t="shared" ref="X176:Y176" si="1282">X167-X175</f>
        <v>5269.090000000002</v>
      </c>
      <c r="Y176" s="22">
        <f t="shared" si="1282"/>
        <v>6015.1099999999988</v>
      </c>
      <c r="Z176" s="22">
        <f t="shared" ref="Z176:AA176" si="1283">Z167-Z175</f>
        <v>11412.210000000001</v>
      </c>
      <c r="AA176" s="22">
        <f t="shared" ref="AA176" si="1284">AA167-AA175</f>
        <v>12075.989999999998</v>
      </c>
      <c r="AB176" s="21">
        <f t="shared" ref="AB176:AD176" si="1285">AB167-AB175</f>
        <v>25185.360382433846</v>
      </c>
      <c r="AC176" s="21">
        <f t="shared" si="1285"/>
        <v>41771.388068018117</v>
      </c>
      <c r="AD176" s="21">
        <f t="shared" si="1285"/>
        <v>49844.957320927148</v>
      </c>
      <c r="AE176" s="21">
        <f t="shared" ref="AE176" si="1286">AE167-AE175</f>
        <v>62514.008524206467</v>
      </c>
      <c r="AJ176" s="22">
        <f t="shared" ref="AJ176" si="1287">AJ167-AJ175</f>
        <v>-5134.1100000000006</v>
      </c>
      <c r="AK176" s="22">
        <f t="shared" ref="AK176" si="1288">AK167-AK175</f>
        <v>-4774.0850317763488</v>
      </c>
      <c r="AL176" s="22">
        <f t="shared" ref="AL176:AM176" si="1289">AL167-AL175</f>
        <v>-6830.369999999999</v>
      </c>
      <c r="AM176" s="22">
        <f t="shared" si="1289"/>
        <v>-6894.0808449921378</v>
      </c>
      <c r="AN176" s="22">
        <f t="shared" ref="AN176:AO176" si="1290">AN167-AN175</f>
        <v>-5486.3499999999995</v>
      </c>
      <c r="AO176" s="22">
        <f t="shared" si="1290"/>
        <v>-5702.9551085382082</v>
      </c>
      <c r="AP176" s="22">
        <f t="shared" ref="AP176:CE176" si="1291">AP167-AP175</f>
        <v>-4658.1599999999989</v>
      </c>
      <c r="AQ176" s="22">
        <f t="shared" si="1291"/>
        <v>-4534.9467306374218</v>
      </c>
      <c r="AR176" s="22">
        <f t="shared" si="1291"/>
        <v>-3610.7800000000007</v>
      </c>
      <c r="AS176" s="22">
        <f t="shared" si="1291"/>
        <v>-3582.4867007398843</v>
      </c>
      <c r="AT176" s="22">
        <f t="shared" si="1291"/>
        <v>624.56000000000131</v>
      </c>
      <c r="AU176" s="22">
        <f t="shared" si="1291"/>
        <v>469.57400924680223</v>
      </c>
      <c r="AV176" s="22">
        <f t="shared" si="1291"/>
        <v>1556.4999999999982</v>
      </c>
      <c r="AW176" s="22">
        <f t="shared" si="1291"/>
        <v>1833.8391485454667</v>
      </c>
      <c r="AX176" s="22">
        <f t="shared" si="1291"/>
        <v>-1253.380000000001</v>
      </c>
      <c r="AY176" s="22">
        <f t="shared" si="1291"/>
        <v>-3576.911880957332</v>
      </c>
      <c r="AZ176" s="22">
        <f t="shared" si="1291"/>
        <v>5978.6199999999972</v>
      </c>
      <c r="BA176" s="22">
        <f t="shared" si="1291"/>
        <v>5899.838015364503</v>
      </c>
      <c r="BB176" s="22">
        <f t="shared" si="1291"/>
        <v>-2829.0199999999986</v>
      </c>
      <c r="BC176" s="22">
        <f t="shared" si="1291"/>
        <v>-3091.9696334358177</v>
      </c>
      <c r="BD176" s="22">
        <f t="shared" si="1291"/>
        <v>-3644.9600000000028</v>
      </c>
      <c r="BE176" s="22">
        <f t="shared" si="1291"/>
        <v>-3718.3962986824263</v>
      </c>
      <c r="BF176" s="22">
        <f t="shared" si="1291"/>
        <v>-2891.2699999999968</v>
      </c>
      <c r="BG176" s="22">
        <f t="shared" si="1291"/>
        <v>-2865.2901226762733</v>
      </c>
      <c r="BH176" s="22">
        <f t="shared" ref="BH176" si="1292">BH167-BH175</f>
        <v>-2422.880000000001</v>
      </c>
      <c r="BI176" s="22">
        <f t="shared" si="1291"/>
        <v>-2626.1133699688362</v>
      </c>
      <c r="BJ176" s="22">
        <f t="shared" si="1291"/>
        <v>-312.85999999999876</v>
      </c>
      <c r="BK176" s="22">
        <f t="shared" si="1291"/>
        <v>237.12440723505279</v>
      </c>
      <c r="BL176" s="22">
        <f t="shared" si="1291"/>
        <v>-1201.3400000000001</v>
      </c>
      <c r="BM176" s="22">
        <f t="shared" si="1291"/>
        <v>-568.02950624525693</v>
      </c>
      <c r="BN176" s="22">
        <f t="shared" si="1291"/>
        <v>-1060.0200000000041</v>
      </c>
      <c r="BO176" s="22">
        <f t="shared" si="1291"/>
        <v>-1890.6464848690084</v>
      </c>
      <c r="BP176" s="22">
        <f t="shared" si="1291"/>
        <v>4144.369999999999</v>
      </c>
      <c r="BQ176" s="22">
        <f t="shared" si="1291"/>
        <v>2943.2348484168051</v>
      </c>
      <c r="BR176" s="22">
        <f t="shared" si="1291"/>
        <v>5933.8100000000031</v>
      </c>
      <c r="BS176" s="22">
        <f t="shared" si="1291"/>
        <v>6242.0442204719493</v>
      </c>
      <c r="BT176" s="22">
        <f t="shared" si="1291"/>
        <v>5957.99</v>
      </c>
      <c r="BU176" s="22">
        <f t="shared" si="1291"/>
        <v>6296.416589436807</v>
      </c>
      <c r="BV176" s="22">
        <f t="shared" si="1291"/>
        <v>3907.0200000000023</v>
      </c>
      <c r="BW176" s="22">
        <f t="shared" si="1291"/>
        <v>6357.9238283867016</v>
      </c>
      <c r="BX176" s="22">
        <f t="shared" si="1291"/>
        <v>5411.3399999999965</v>
      </c>
      <c r="BY176" s="22">
        <f t="shared" si="1291"/>
        <v>6491.8564911403955</v>
      </c>
      <c r="BZ176" s="22">
        <f t="shared" si="1291"/>
        <v>5269.090000000002</v>
      </c>
      <c r="CA176" s="22">
        <f t="shared" si="1291"/>
        <v>6128.2131629965043</v>
      </c>
      <c r="CB176" s="22">
        <f t="shared" si="1291"/>
        <v>2559.0099999999984</v>
      </c>
      <c r="CC176" s="22">
        <f t="shared" si="1291"/>
        <v>2559.6206819710897</v>
      </c>
      <c r="CD176" s="22">
        <f t="shared" si="1291"/>
        <v>6797.6300000000028</v>
      </c>
      <c r="CE176" s="22">
        <f t="shared" si="1291"/>
        <v>8252.2506731074991</v>
      </c>
      <c r="CF176" s="22">
        <f t="shared" ref="CF176:CG176" si="1293">CF167-CF175</f>
        <v>10436.159999999996</v>
      </c>
      <c r="CG176" s="22">
        <f t="shared" si="1293"/>
        <v>10817.508260048817</v>
      </c>
      <c r="CH176" s="22">
        <f t="shared" ref="CH176:CI176" si="1294">CH167-CH175</f>
        <v>11412.210000000001</v>
      </c>
      <c r="CI176" s="22">
        <f t="shared" si="1294"/>
        <v>11309.409212461542</v>
      </c>
      <c r="CJ176" s="22">
        <f t="shared" ref="CJ176:DB176" si="1295">CJ167-CJ175</f>
        <v>13737.880000000003</v>
      </c>
      <c r="CK176" s="21">
        <f t="shared" si="1295"/>
        <v>18245.456010336256</v>
      </c>
      <c r="CL176" s="22">
        <f t="shared" ref="CL176" si="1296">CL167-CL175</f>
        <v>14337.270000000004</v>
      </c>
      <c r="CM176" s="21">
        <f t="shared" si="1295"/>
        <v>17277.221045524231</v>
      </c>
      <c r="CN176" s="21">
        <f t="shared" si="1295"/>
        <v>17641.601107487477</v>
      </c>
      <c r="CO176" s="21">
        <f t="shared" si="1295"/>
        <v>19239.095505584355</v>
      </c>
      <c r="CP176" s="21">
        <f t="shared" si="1295"/>
        <v>25185.360382433846</v>
      </c>
      <c r="CQ176" s="21">
        <f t="shared" si="1295"/>
        <v>25603.685595103816</v>
      </c>
      <c r="CR176" s="21">
        <f t="shared" si="1295"/>
        <v>28526.267848711199</v>
      </c>
      <c r="CS176" s="21">
        <f t="shared" si="1295"/>
        <v>32401.530387820741</v>
      </c>
      <c r="CT176" s="21">
        <f t="shared" si="1295"/>
        <v>41771.388068018117</v>
      </c>
      <c r="CU176" s="21">
        <f t="shared" si="1295"/>
        <v>37545.855683211732</v>
      </c>
      <c r="CV176" s="21">
        <f t="shared" si="1295"/>
        <v>37902.632477973661</v>
      </c>
      <c r="CW176" s="21">
        <f t="shared" si="1295"/>
        <v>41272.816984851728</v>
      </c>
      <c r="CX176" s="21">
        <f t="shared" si="1295"/>
        <v>49844.957320927148</v>
      </c>
      <c r="CY176" s="21">
        <f t="shared" si="1295"/>
        <v>45233.906661130415</v>
      </c>
      <c r="CZ176" s="21">
        <f t="shared" si="1295"/>
        <v>47599.770862251644</v>
      </c>
      <c r="DA176" s="21">
        <f t="shared" si="1295"/>
        <v>50116.300713727222</v>
      </c>
      <c r="DB176" s="21">
        <f t="shared" si="1295"/>
        <v>62514.008524206467</v>
      </c>
      <c r="DE176" s="126"/>
      <c r="DF176" s="22">
        <v>0</v>
      </c>
    </row>
    <row r="177" spans="1:110" s="23" customFormat="1" x14ac:dyDescent="0.2">
      <c r="AB177" s="24"/>
      <c r="AC177" s="24"/>
      <c r="AD177" s="24"/>
      <c r="AE177" s="24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23" customFormat="1" outlineLevel="1" x14ac:dyDescent="0.2">
      <c r="A178" s="23" t="s">
        <v>75</v>
      </c>
      <c r="B178" s="23">
        <f>'Annual Raw'!C75</f>
        <v>0</v>
      </c>
      <c r="C178" s="23">
        <f>'Annual Raw'!D75</f>
        <v>0</v>
      </c>
      <c r="D178" s="23">
        <f>'Annual Raw'!E75</f>
        <v>0</v>
      </c>
      <c r="E178" s="23">
        <f>'Annual Raw'!F75</f>
        <v>0</v>
      </c>
      <c r="F178" s="23">
        <f>'Annual Raw'!G75</f>
        <v>0</v>
      </c>
      <c r="G178" s="23">
        <f>'Annual Raw'!H75</f>
        <v>0</v>
      </c>
      <c r="H178" s="23">
        <f>'Annual Raw'!I75</f>
        <v>0</v>
      </c>
      <c r="I178" s="23">
        <f>'Annual Raw'!J75</f>
        <v>53.238999999999997</v>
      </c>
      <c r="J178" s="23">
        <f>'Annual Raw'!K75</f>
        <v>0</v>
      </c>
      <c r="K178" s="23">
        <f>'Annual Raw'!L75</f>
        <v>0</v>
      </c>
      <c r="L178" s="23">
        <f>'Annual Raw'!M75</f>
        <v>0</v>
      </c>
      <c r="M178" s="23">
        <f>'Annual Raw'!N75</f>
        <v>9</v>
      </c>
      <c r="N178" s="23">
        <f>'Annual Raw'!O75</f>
        <v>12.36</v>
      </c>
      <c r="O178" s="23">
        <f>'Annual Raw'!P75</f>
        <v>105.31</v>
      </c>
      <c r="P178" s="23">
        <f>'Annual Raw'!Q75</f>
        <v>357.29</v>
      </c>
      <c r="Q178" s="23">
        <f>'Annual Raw'!R75</f>
        <v>0.05</v>
      </c>
      <c r="R178" s="23">
        <f>'Annual Raw'!S75</f>
        <v>164.32</v>
      </c>
      <c r="S178" s="23">
        <f>'Annual Raw'!T75</f>
        <v>0</v>
      </c>
      <c r="T178" s="23">
        <f>'Annual Raw'!U75</f>
        <v>2.71</v>
      </c>
      <c r="U178" s="23">
        <f>'Annual Raw'!V75</f>
        <v>2.79</v>
      </c>
      <c r="V178" s="23">
        <f>'Annual Raw'!W75</f>
        <v>20.09</v>
      </c>
      <c r="W178" s="23">
        <f>'Annual Raw'!X75</f>
        <v>183.24</v>
      </c>
      <c r="X178" s="23">
        <f>'Annual Raw'!Y75</f>
        <v>611.54</v>
      </c>
      <c r="Y178" s="23">
        <f>'Annual Raw'!Z75</f>
        <v>373.5</v>
      </c>
      <c r="Z178" s="23">
        <f>'Annual Raw'!AA75</f>
        <v>1037.7</v>
      </c>
      <c r="AA178" s="23">
        <f>'Annual Raw'!AB75</f>
        <v>1491.35</v>
      </c>
      <c r="AB178" s="24">
        <f t="shared" ref="AB178:AB179" si="1297">+CP178</f>
        <v>0</v>
      </c>
      <c r="AC178" s="24">
        <f t="shared" ref="AC178:AC179" si="1298">+CT178</f>
        <v>0</v>
      </c>
      <c r="AD178" s="24">
        <f t="shared" ref="AD178:AD179" si="1299">+CX178</f>
        <v>0</v>
      </c>
      <c r="AE178" s="24">
        <f t="shared" ref="AE178:AE179" si="1300">+DB178</f>
        <v>0</v>
      </c>
      <c r="AJ178" s="23">
        <f>+'QTR Raw'!D80</f>
        <v>0</v>
      </c>
      <c r="AL178" s="23">
        <f>+'QTR Raw'!F80</f>
        <v>12.36</v>
      </c>
      <c r="AN178" s="23">
        <f>+'QTR Raw'!H80</f>
        <v>15</v>
      </c>
      <c r="AP178" s="23">
        <f>+'QTR Raw'!J80</f>
        <v>105.31</v>
      </c>
      <c r="AR178" s="23">
        <f>+'QTR Raw'!L80</f>
        <v>497.81</v>
      </c>
      <c r="AT178" s="23">
        <f>+'QTR Raw'!N80</f>
        <v>357.29</v>
      </c>
      <c r="AV178" s="23">
        <f>+'QTR Raw'!P80</f>
        <v>39.65</v>
      </c>
      <c r="AX178" s="23">
        <f>+'QTR Raw'!R80</f>
        <v>0.05</v>
      </c>
      <c r="AZ178" s="23">
        <f>+'QTR Raw'!T80</f>
        <v>1618.94</v>
      </c>
      <c r="BB178" s="23">
        <f>+'QTR Raw'!V80</f>
        <v>164.32</v>
      </c>
      <c r="BD178" s="23">
        <f>+'QTR Raw'!X80</f>
        <v>139.81</v>
      </c>
      <c r="BF178" s="23">
        <f>+'QTR Raw'!Z80</f>
        <v>0</v>
      </c>
      <c r="BH178" s="23">
        <f>+'QTR Raw'!AB80</f>
        <v>0</v>
      </c>
      <c r="BJ178" s="23">
        <f>+'QTR Raw'!AD80</f>
        <v>2.71</v>
      </c>
      <c r="BL178" s="23">
        <f>+'QTR Raw'!AF80</f>
        <v>3.35</v>
      </c>
      <c r="BN178" s="23">
        <f>+'QTR Raw'!AH80</f>
        <v>2.79</v>
      </c>
      <c r="BP178" s="23">
        <f>+'QTR Raw'!AJ80</f>
        <v>0.16</v>
      </c>
      <c r="BR178" s="23">
        <f>+'QTR Raw'!AL80</f>
        <v>20.09</v>
      </c>
      <c r="BT178" s="23">
        <f>+'QTR Raw'!AN80</f>
        <v>0</v>
      </c>
      <c r="BV178" s="23">
        <f>+'QTR Raw'!AP80</f>
        <v>183.24</v>
      </c>
      <c r="BX178" s="23">
        <f>+'QTR Raw'!AR80</f>
        <v>20</v>
      </c>
      <c r="BZ178" s="23">
        <f>+'QTR Raw'!AT80</f>
        <v>611.54</v>
      </c>
      <c r="CB178" s="23">
        <f>+'QTR Raw'!AV80</f>
        <v>100.03</v>
      </c>
      <c r="CD178" s="23">
        <f>+'QTR Raw'!AX80</f>
        <v>373.5</v>
      </c>
      <c r="CF178" s="23">
        <f>+'QTR Raw'!AZ80</f>
        <v>320.62</v>
      </c>
      <c r="CH178" s="23">
        <f t="shared" ref="CH178:CH179" si="1301">Z178</f>
        <v>1037.7</v>
      </c>
      <c r="CJ178" s="23">
        <f>+'QTR Raw'!BD80</f>
        <v>50.17</v>
      </c>
      <c r="CK178" s="24"/>
      <c r="CL178" s="23">
        <f>+'QTR Raw'!BF80</f>
        <v>1491.35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  <c r="DF178" s="23">
        <v>0</v>
      </c>
    </row>
    <row r="179" spans="1:110" s="23" customFormat="1" outlineLevel="1" x14ac:dyDescent="0.2">
      <c r="A179" s="23" t="s">
        <v>76</v>
      </c>
      <c r="B179" s="23">
        <f>'Annual Raw'!C78</f>
        <v>0</v>
      </c>
      <c r="C179" s="23">
        <f>'Annual Raw'!D78</f>
        <v>0</v>
      </c>
      <c r="D179" s="23">
        <f>'Annual Raw'!E78</f>
        <v>0</v>
      </c>
      <c r="E179" s="23">
        <f>'Annual Raw'!F78</f>
        <v>7.0000000000000001E-3</v>
      </c>
      <c r="F179" s="23">
        <f>'Annual Raw'!G78</f>
        <v>5.9962000000000001E-3</v>
      </c>
      <c r="G179" s="23">
        <f>'Annual Raw'!H78</f>
        <v>0.26700000000000002</v>
      </c>
      <c r="H179" s="23">
        <f>'Annual Raw'!I78</f>
        <v>49.704599999999999</v>
      </c>
      <c r="I179" s="23">
        <f>'Annual Raw'!J78</f>
        <v>192.09700000000001</v>
      </c>
      <c r="J179" s="23">
        <f>'Annual Raw'!K78</f>
        <v>558.54690000000005</v>
      </c>
      <c r="K179" s="23">
        <f>'Annual Raw'!L78</f>
        <v>1165.3900000000001</v>
      </c>
      <c r="L179" s="23">
        <f>'Annual Raw'!M78</f>
        <v>964.32</v>
      </c>
      <c r="M179" s="23">
        <f>'Annual Raw'!N78</f>
        <v>3240.8</v>
      </c>
      <c r="N179" s="23">
        <f>'Annual Raw'!O78</f>
        <v>1718.09</v>
      </c>
      <c r="O179" s="23">
        <f>'Annual Raw'!P78</f>
        <v>830.63</v>
      </c>
      <c r="P179" s="23">
        <f>'Annual Raw'!Q78</f>
        <v>856.25</v>
      </c>
      <c r="Q179" s="23">
        <f>'Annual Raw'!R78</f>
        <v>868.7</v>
      </c>
      <c r="R179" s="23">
        <f>'Annual Raw'!S78</f>
        <v>604.16999999999996</v>
      </c>
      <c r="S179" s="23">
        <f>'Annual Raw'!T78</f>
        <v>856.61</v>
      </c>
      <c r="T179" s="23">
        <f>'Annual Raw'!U78</f>
        <v>915.88</v>
      </c>
      <c r="U179" s="23">
        <f>'Annual Raw'!V78</f>
        <v>1979.31</v>
      </c>
      <c r="V179" s="23">
        <f>'Annual Raw'!W78</f>
        <v>1607.32</v>
      </c>
      <c r="W179" s="23">
        <f>'Annual Raw'!X78</f>
        <v>2364.6799999999998</v>
      </c>
      <c r="X179" s="23">
        <f>'Annual Raw'!Y78</f>
        <v>1873.65</v>
      </c>
      <c r="Y179" s="23">
        <f>'Annual Raw'!Z78</f>
        <v>7211.76</v>
      </c>
      <c r="Z179" s="23">
        <f>'Annual Raw'!AA78</f>
        <v>6119.88</v>
      </c>
      <c r="AA179" s="23">
        <f>'Annual Raw'!AB78</f>
        <v>6926.32</v>
      </c>
      <c r="AB179" s="24">
        <f t="shared" si="1297"/>
        <v>-7627.1630239562119</v>
      </c>
      <c r="AC179" s="24">
        <f t="shared" si="1298"/>
        <v>-26432.131190946635</v>
      </c>
      <c r="AD179" s="24">
        <f t="shared" si="1299"/>
        <v>-32553.934026409472</v>
      </c>
      <c r="AE179" s="24">
        <f t="shared" si="1300"/>
        <v>-36569.349321641821</v>
      </c>
      <c r="AJ179" s="23">
        <f>+'QTR Raw'!D83</f>
        <v>2497.4699999999998</v>
      </c>
      <c r="AK179" s="23">
        <f t="shared" ref="AK179:AM179" si="1302">+AK229</f>
        <v>1518.4350317763465</v>
      </c>
      <c r="AL179" s="23">
        <f>+'QTR Raw'!F83</f>
        <v>1718.09</v>
      </c>
      <c r="AM179" s="23">
        <f t="shared" si="1302"/>
        <v>595.87084499213847</v>
      </c>
      <c r="AN179" s="23">
        <f>+'QTR Raw'!H83</f>
        <v>1455.43</v>
      </c>
      <c r="AO179" s="23">
        <f t="shared" ref="AO179" si="1303">+AO229</f>
        <v>1142.2151085382084</v>
      </c>
      <c r="AP179" s="23">
        <f>+'QTR Raw'!J83</f>
        <v>830.63</v>
      </c>
      <c r="AQ179" s="23">
        <f t="shared" ref="AQ179" si="1304">+AQ229</f>
        <v>509.43673063742244</v>
      </c>
      <c r="AR179" s="23">
        <f>+'QTR Raw'!L83</f>
        <v>1351.85</v>
      </c>
      <c r="AS179" s="23">
        <f t="shared" ref="AS179" si="1305">+AS229</f>
        <v>1392.6867007398855</v>
      </c>
      <c r="AT179" s="23">
        <f>+'QTR Raw'!N83</f>
        <v>856.25</v>
      </c>
      <c r="AU179" s="23">
        <f t="shared" ref="AU179" si="1306">+AU229</f>
        <v>1202.3859907531983</v>
      </c>
      <c r="AV179" s="23">
        <f>+'QTR Raw'!P83</f>
        <v>725.04</v>
      </c>
      <c r="AW179" s="23">
        <f t="shared" ref="AW179" si="1307">+AW229</f>
        <v>596.84085145453389</v>
      </c>
      <c r="AX179" s="23">
        <f>+'QTR Raw'!R83</f>
        <v>868.7</v>
      </c>
      <c r="AY179" s="23">
        <f t="shared" ref="AY179" si="1308">+AY229</f>
        <v>2959.6518809573327</v>
      </c>
      <c r="AZ179" s="23">
        <f>+'QTR Raw'!T83</f>
        <v>618.47</v>
      </c>
      <c r="BA179" s="23">
        <f t="shared" ref="BA179" si="1309">+BA229</f>
        <v>1648.3019846354962</v>
      </c>
      <c r="BB179" s="23">
        <f>+'QTR Raw'!V83</f>
        <v>604.16999999999996</v>
      </c>
      <c r="BC179" s="23">
        <f t="shared" ref="BC179" si="1310">+BC229</f>
        <v>578.59963343581944</v>
      </c>
      <c r="BD179" s="23">
        <f>+'QTR Raw'!X83</f>
        <v>836.31</v>
      </c>
      <c r="BE179" s="23">
        <f t="shared" ref="BE179" si="1311">+BE229</f>
        <v>-264.18370131757388</v>
      </c>
      <c r="BF179" s="23">
        <f>+'QTR Raw'!Z83</f>
        <v>856.61</v>
      </c>
      <c r="BG179" s="23">
        <f t="shared" ref="BG179" si="1312">+BG229</f>
        <v>830.63012267627892</v>
      </c>
      <c r="BH179" s="23">
        <f>+'QTR Raw'!AB83</f>
        <v>1195.01</v>
      </c>
      <c r="BI179" s="23">
        <f t="shared" ref="BI179" si="1313">+BI229</f>
        <v>217.46336996883292</v>
      </c>
      <c r="BJ179" s="23">
        <f>+'QTR Raw'!AD83</f>
        <v>915.88</v>
      </c>
      <c r="BK179" s="23">
        <f t="shared" ref="BK179" si="1314">+BK229</f>
        <v>105.21559276494656</v>
      </c>
      <c r="BL179" s="23">
        <f>+'QTR Raw'!AF83</f>
        <v>1159.6500000000001</v>
      </c>
      <c r="BM179" s="23">
        <f t="shared" ref="BM179" si="1315">+BM229</f>
        <v>-172.67049375474187</v>
      </c>
      <c r="BN179" s="23">
        <f>+'QTR Raw'!AH83</f>
        <v>1979.31</v>
      </c>
      <c r="BO179" s="23">
        <f t="shared" ref="BO179" si="1316">+BO229</f>
        <v>2130.2664848690024</v>
      </c>
      <c r="BP179" s="23">
        <f>+'QTR Raw'!AJ83</f>
        <v>1618.22</v>
      </c>
      <c r="BQ179" s="23">
        <f t="shared" ref="BQ179" si="1317">+BQ229</f>
        <v>2530.7751515831928</v>
      </c>
      <c r="BR179" s="23">
        <f>+'QTR Raw'!AL83</f>
        <v>1607.32</v>
      </c>
      <c r="BS179" s="23">
        <f t="shared" ref="BS179" si="1318">+BS229</f>
        <v>1597.3957795280576</v>
      </c>
      <c r="BT179" s="23">
        <f>+'QTR Raw'!AN83</f>
        <v>1663.05</v>
      </c>
      <c r="BU179" s="23">
        <f t="shared" ref="BU179" si="1319">+BU229</f>
        <v>1543.1134105631925</v>
      </c>
      <c r="BV179" s="23">
        <f>+'QTR Raw'!AP83</f>
        <v>2364.6799999999998</v>
      </c>
      <c r="BW179" s="23">
        <f t="shared" ref="BW179" si="1320">+BW229</f>
        <v>4876.8761716132994</v>
      </c>
      <c r="BX179" s="23">
        <f>+'QTR Raw'!AR83</f>
        <v>2019.04</v>
      </c>
      <c r="BY179" s="23">
        <f t="shared" ref="BY179" si="1321">+BY229</f>
        <v>967.29350885960048</v>
      </c>
      <c r="BZ179" s="23">
        <f>+'QTR Raw'!AT83</f>
        <v>1873.65</v>
      </c>
      <c r="CA179" s="23">
        <f t="shared" ref="CA179" si="1322">+CA229</f>
        <v>10385.486837003506</v>
      </c>
      <c r="CB179" s="23">
        <f>+'QTR Raw'!AV83</f>
        <v>2765.39</v>
      </c>
      <c r="CC179" s="23">
        <f t="shared" ref="CC179" si="1323">+CC229</f>
        <v>5602.7693180289079</v>
      </c>
      <c r="CD179" s="23">
        <f>+'QTR Raw'!AX83</f>
        <v>7211.76</v>
      </c>
      <c r="CE179" s="23">
        <f t="shared" ref="CE179" si="1324">+CE229</f>
        <v>10043.429326892507</v>
      </c>
      <c r="CF179" s="23">
        <f>+'QTR Raw'!AZ83</f>
        <v>6121.64</v>
      </c>
      <c r="CG179" s="23">
        <f t="shared" ref="CG179:CI179" si="1325">+CG229</f>
        <v>9118.1217399511843</v>
      </c>
      <c r="CH179" s="23">
        <f t="shared" si="1301"/>
        <v>6119.88</v>
      </c>
      <c r="CI179" s="23">
        <f t="shared" si="1325"/>
        <v>11733.830787538458</v>
      </c>
      <c r="CJ179" s="23">
        <f>+'QTR Raw'!BD83</f>
        <v>10291.040000000001</v>
      </c>
      <c r="CK179" s="24">
        <f t="shared" ref="CK179:DB179" si="1326">+CK229</f>
        <v>8348.5139896637338</v>
      </c>
      <c r="CL179" s="23">
        <f>+'QTR Raw'!BF83</f>
        <v>6926.32</v>
      </c>
      <c r="CM179" s="24">
        <f t="shared" si="1326"/>
        <v>4043.4575548966295</v>
      </c>
      <c r="CN179" s="24">
        <f t="shared" si="1326"/>
        <v>1919.8284495288162</v>
      </c>
      <c r="CO179" s="24">
        <f t="shared" si="1326"/>
        <v>-1298.1719209292705</v>
      </c>
      <c r="CP179" s="24">
        <f t="shared" si="1326"/>
        <v>-7627.1630239562119</v>
      </c>
      <c r="CQ179" s="24">
        <f t="shared" si="1326"/>
        <v>-9175.5737971694525</v>
      </c>
      <c r="CR179" s="24">
        <f t="shared" si="1326"/>
        <v>-13065.492241207648</v>
      </c>
      <c r="CS179" s="24">
        <f t="shared" si="1326"/>
        <v>-17593.618681403765</v>
      </c>
      <c r="CT179" s="24">
        <f t="shared" si="1326"/>
        <v>-26432.131190946635</v>
      </c>
      <c r="CU179" s="24">
        <f t="shared" si="1326"/>
        <v>-22447.422290601109</v>
      </c>
      <c r="CV179" s="24">
        <f t="shared" si="1326"/>
        <v>-22948.981031344345</v>
      </c>
      <c r="CW179" s="24">
        <f t="shared" si="1326"/>
        <v>-25877.62918548247</v>
      </c>
      <c r="CX179" s="24">
        <f t="shared" si="1326"/>
        <v>-32553.934026409472</v>
      </c>
      <c r="CY179" s="24">
        <f t="shared" si="1326"/>
        <v>-26855.097708604695</v>
      </c>
      <c r="CZ179" s="24">
        <f t="shared" si="1326"/>
        <v>-27694.062333626858</v>
      </c>
      <c r="DA179" s="24">
        <f t="shared" si="1326"/>
        <v>-28249.166312295682</v>
      </c>
      <c r="DB179" s="24">
        <f t="shared" si="1326"/>
        <v>-36569.349321641821</v>
      </c>
      <c r="DE179" s="123"/>
      <c r="DF179" s="23">
        <v>0</v>
      </c>
    </row>
    <row r="180" spans="1:110" s="22" customFormat="1" x14ac:dyDescent="0.2">
      <c r="A180" s="22" t="s">
        <v>77</v>
      </c>
      <c r="B180" s="22">
        <f>B178+B179</f>
        <v>0</v>
      </c>
      <c r="C180" s="22">
        <f t="shared" ref="C180:V180" si="1327">C178+C179</f>
        <v>0</v>
      </c>
      <c r="D180" s="22">
        <f t="shared" si="1327"/>
        <v>0</v>
      </c>
      <c r="E180" s="22">
        <f t="shared" si="1327"/>
        <v>7.0000000000000001E-3</v>
      </c>
      <c r="F180" s="22">
        <f t="shared" si="1327"/>
        <v>5.9962000000000001E-3</v>
      </c>
      <c r="G180" s="22">
        <f t="shared" si="1327"/>
        <v>0.26700000000000002</v>
      </c>
      <c r="H180" s="22">
        <f t="shared" si="1327"/>
        <v>49.704599999999999</v>
      </c>
      <c r="I180" s="22">
        <f t="shared" si="1327"/>
        <v>245.33600000000001</v>
      </c>
      <c r="J180" s="22">
        <f t="shared" si="1327"/>
        <v>558.54690000000005</v>
      </c>
      <c r="K180" s="22">
        <f t="shared" si="1327"/>
        <v>1165.3900000000001</v>
      </c>
      <c r="L180" s="22">
        <f t="shared" si="1327"/>
        <v>964.32</v>
      </c>
      <c r="M180" s="22">
        <f t="shared" si="1327"/>
        <v>3249.8</v>
      </c>
      <c r="N180" s="22">
        <f t="shared" si="1327"/>
        <v>1730.4499999999998</v>
      </c>
      <c r="O180" s="22">
        <f t="shared" si="1327"/>
        <v>935.94</v>
      </c>
      <c r="P180" s="22">
        <f t="shared" si="1327"/>
        <v>1213.54</v>
      </c>
      <c r="Q180" s="22">
        <f t="shared" si="1327"/>
        <v>868.75</v>
      </c>
      <c r="R180" s="22">
        <f t="shared" si="1327"/>
        <v>768.49</v>
      </c>
      <c r="S180" s="22">
        <f t="shared" si="1327"/>
        <v>856.61</v>
      </c>
      <c r="T180" s="22">
        <f t="shared" si="1327"/>
        <v>918.59</v>
      </c>
      <c r="U180" s="22">
        <f t="shared" si="1327"/>
        <v>1982.1</v>
      </c>
      <c r="V180" s="22">
        <f t="shared" si="1327"/>
        <v>1627.4099999999999</v>
      </c>
      <c r="W180" s="22">
        <f t="shared" ref="W180" si="1328">W178+W179</f>
        <v>2547.92</v>
      </c>
      <c r="X180" s="22">
        <f t="shared" ref="X180:Y180" si="1329">X178+X179</f>
        <v>2485.19</v>
      </c>
      <c r="Y180" s="22">
        <f t="shared" si="1329"/>
        <v>7585.26</v>
      </c>
      <c r="Z180" s="22">
        <f t="shared" ref="Z180:AA180" si="1330">Z178+Z179</f>
        <v>7157.58</v>
      </c>
      <c r="AA180" s="22">
        <f t="shared" ref="AA180" si="1331">AA178+AA179</f>
        <v>8417.67</v>
      </c>
      <c r="AB180" s="21">
        <f t="shared" ref="AB180:AD180" si="1332">AB178+AB179</f>
        <v>-7627.1630239562119</v>
      </c>
      <c r="AC180" s="21">
        <f t="shared" si="1332"/>
        <v>-26432.131190946635</v>
      </c>
      <c r="AD180" s="21">
        <f t="shared" si="1332"/>
        <v>-32553.934026409472</v>
      </c>
      <c r="AE180" s="21">
        <f t="shared" ref="AE180" si="1333">AE178+AE179</f>
        <v>-36569.349321641821</v>
      </c>
      <c r="AJ180" s="22">
        <f t="shared" ref="AJ180" si="1334">AJ178+AJ179</f>
        <v>2497.4699999999998</v>
      </c>
      <c r="AK180" s="22">
        <f t="shared" ref="AK180" si="1335">AK178+AK179</f>
        <v>1518.4350317763465</v>
      </c>
      <c r="AL180" s="22">
        <f t="shared" ref="AL180:AM180" si="1336">AL178+AL179</f>
        <v>1730.4499999999998</v>
      </c>
      <c r="AM180" s="22">
        <f t="shared" si="1336"/>
        <v>595.87084499213847</v>
      </c>
      <c r="AN180" s="22">
        <f t="shared" ref="AN180:AO180" si="1337">AN178+AN179</f>
        <v>1470.43</v>
      </c>
      <c r="AO180" s="22">
        <f t="shared" si="1337"/>
        <v>1142.2151085382084</v>
      </c>
      <c r="AP180" s="22">
        <f t="shared" ref="AP180:CE180" si="1338">AP178+AP179</f>
        <v>935.94</v>
      </c>
      <c r="AQ180" s="22">
        <f t="shared" si="1338"/>
        <v>509.43673063742244</v>
      </c>
      <c r="AR180" s="22">
        <f t="shared" si="1338"/>
        <v>1849.6599999999999</v>
      </c>
      <c r="AS180" s="22">
        <f t="shared" si="1338"/>
        <v>1392.6867007398855</v>
      </c>
      <c r="AT180" s="22">
        <f t="shared" si="1338"/>
        <v>1213.54</v>
      </c>
      <c r="AU180" s="22">
        <f t="shared" si="1338"/>
        <v>1202.3859907531983</v>
      </c>
      <c r="AV180" s="22">
        <f t="shared" si="1338"/>
        <v>764.68999999999994</v>
      </c>
      <c r="AW180" s="22">
        <f t="shared" si="1338"/>
        <v>596.84085145453389</v>
      </c>
      <c r="AX180" s="22">
        <f t="shared" si="1338"/>
        <v>868.75</v>
      </c>
      <c r="AY180" s="22">
        <f t="shared" si="1338"/>
        <v>2959.6518809573327</v>
      </c>
      <c r="AZ180" s="22">
        <f t="shared" si="1338"/>
        <v>2237.41</v>
      </c>
      <c r="BA180" s="22">
        <f t="shared" si="1338"/>
        <v>1648.3019846354962</v>
      </c>
      <c r="BB180" s="22">
        <f t="shared" si="1338"/>
        <v>768.49</v>
      </c>
      <c r="BC180" s="22">
        <f t="shared" si="1338"/>
        <v>578.59963343581944</v>
      </c>
      <c r="BD180" s="22">
        <f t="shared" si="1338"/>
        <v>976.11999999999989</v>
      </c>
      <c r="BE180" s="22">
        <f t="shared" si="1338"/>
        <v>-264.18370131757388</v>
      </c>
      <c r="BF180" s="22">
        <f t="shared" si="1338"/>
        <v>856.61</v>
      </c>
      <c r="BG180" s="22">
        <f t="shared" si="1338"/>
        <v>830.63012267627892</v>
      </c>
      <c r="BH180" s="22">
        <f t="shared" si="1338"/>
        <v>1195.01</v>
      </c>
      <c r="BI180" s="22">
        <f t="shared" si="1338"/>
        <v>217.46336996883292</v>
      </c>
      <c r="BJ180" s="22">
        <f t="shared" si="1338"/>
        <v>918.59</v>
      </c>
      <c r="BK180" s="22">
        <f t="shared" si="1338"/>
        <v>105.21559276494656</v>
      </c>
      <c r="BL180" s="22">
        <f t="shared" si="1338"/>
        <v>1163</v>
      </c>
      <c r="BM180" s="22">
        <f t="shared" si="1338"/>
        <v>-172.67049375474187</v>
      </c>
      <c r="BN180" s="22">
        <f t="shared" si="1338"/>
        <v>1982.1</v>
      </c>
      <c r="BO180" s="22">
        <f t="shared" si="1338"/>
        <v>2130.2664848690024</v>
      </c>
      <c r="BP180" s="22">
        <f t="shared" si="1338"/>
        <v>1618.38</v>
      </c>
      <c r="BQ180" s="22">
        <f t="shared" si="1338"/>
        <v>2530.7751515831928</v>
      </c>
      <c r="BR180" s="22">
        <f t="shared" si="1338"/>
        <v>1627.4099999999999</v>
      </c>
      <c r="BS180" s="22">
        <f t="shared" si="1338"/>
        <v>1597.3957795280576</v>
      </c>
      <c r="BT180" s="22">
        <f t="shared" si="1338"/>
        <v>1663.05</v>
      </c>
      <c r="BU180" s="22">
        <f t="shared" si="1338"/>
        <v>1543.1134105631925</v>
      </c>
      <c r="BV180" s="22">
        <f t="shared" si="1338"/>
        <v>2547.92</v>
      </c>
      <c r="BW180" s="22">
        <f t="shared" si="1338"/>
        <v>4876.8761716132994</v>
      </c>
      <c r="BX180" s="22">
        <f t="shared" si="1338"/>
        <v>2039.04</v>
      </c>
      <c r="BY180" s="22">
        <f t="shared" si="1338"/>
        <v>967.29350885960048</v>
      </c>
      <c r="BZ180" s="22">
        <f t="shared" si="1338"/>
        <v>2485.19</v>
      </c>
      <c r="CA180" s="22">
        <f t="shared" si="1338"/>
        <v>10385.486837003506</v>
      </c>
      <c r="CB180" s="22">
        <f t="shared" si="1338"/>
        <v>2865.42</v>
      </c>
      <c r="CC180" s="22">
        <f t="shared" si="1338"/>
        <v>5602.7693180289079</v>
      </c>
      <c r="CD180" s="22">
        <f t="shared" si="1338"/>
        <v>7585.26</v>
      </c>
      <c r="CE180" s="22">
        <f t="shared" si="1338"/>
        <v>10043.429326892507</v>
      </c>
      <c r="CF180" s="22">
        <f t="shared" ref="CF180:CG180" si="1339">CF178+CF179</f>
        <v>6442.26</v>
      </c>
      <c r="CG180" s="22">
        <f t="shared" si="1339"/>
        <v>9118.1217399511843</v>
      </c>
      <c r="CH180" s="22">
        <f t="shared" ref="CH180:CI180" si="1340">CH178+CH179</f>
        <v>7157.58</v>
      </c>
      <c r="CI180" s="22">
        <f t="shared" si="1340"/>
        <v>11733.830787538458</v>
      </c>
      <c r="CJ180" s="22">
        <f t="shared" ref="CJ180:DB180" si="1341">CJ178+CJ179</f>
        <v>10341.210000000001</v>
      </c>
      <c r="CK180" s="21">
        <f t="shared" si="1341"/>
        <v>8348.5139896637338</v>
      </c>
      <c r="CL180" s="22">
        <f t="shared" ref="CL180" si="1342">CL178+CL179</f>
        <v>8417.67</v>
      </c>
      <c r="CM180" s="21">
        <f t="shared" si="1341"/>
        <v>4043.4575548966295</v>
      </c>
      <c r="CN180" s="21">
        <f t="shared" si="1341"/>
        <v>1919.8284495288162</v>
      </c>
      <c r="CO180" s="21">
        <f t="shared" si="1341"/>
        <v>-1298.1719209292705</v>
      </c>
      <c r="CP180" s="21">
        <f t="shared" si="1341"/>
        <v>-7627.1630239562119</v>
      </c>
      <c r="CQ180" s="21">
        <f t="shared" si="1341"/>
        <v>-9175.5737971694525</v>
      </c>
      <c r="CR180" s="21">
        <f t="shared" si="1341"/>
        <v>-13065.492241207648</v>
      </c>
      <c r="CS180" s="21">
        <f t="shared" si="1341"/>
        <v>-17593.618681403765</v>
      </c>
      <c r="CT180" s="21">
        <f t="shared" si="1341"/>
        <v>-26432.131190946635</v>
      </c>
      <c r="CU180" s="21">
        <f t="shared" si="1341"/>
        <v>-22447.422290601109</v>
      </c>
      <c r="CV180" s="21">
        <f t="shared" si="1341"/>
        <v>-22948.981031344345</v>
      </c>
      <c r="CW180" s="21">
        <f t="shared" si="1341"/>
        <v>-25877.62918548247</v>
      </c>
      <c r="CX180" s="21">
        <f t="shared" si="1341"/>
        <v>-32553.934026409472</v>
      </c>
      <c r="CY180" s="21">
        <f t="shared" si="1341"/>
        <v>-26855.097708604695</v>
      </c>
      <c r="CZ180" s="21">
        <f t="shared" si="1341"/>
        <v>-27694.062333626858</v>
      </c>
      <c r="DA180" s="21">
        <f t="shared" si="1341"/>
        <v>-28249.166312295682</v>
      </c>
      <c r="DB180" s="21">
        <f t="shared" si="1341"/>
        <v>-36569.349321641821</v>
      </c>
      <c r="DE180" s="126"/>
      <c r="DF180" s="22">
        <v>0</v>
      </c>
    </row>
    <row r="181" spans="1:110" s="23" customFormat="1" x14ac:dyDescent="0.2">
      <c r="AB181" s="24"/>
      <c r="AC181" s="24"/>
      <c r="AD181" s="24"/>
      <c r="AE181" s="24"/>
      <c r="CK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0" s="23" customFormat="1" x14ac:dyDescent="0.2">
      <c r="A182" s="23" t="s">
        <v>78</v>
      </c>
      <c r="B182" s="23">
        <f>-'Annual Raw'!C49</f>
        <v>0</v>
      </c>
      <c r="C182" s="23">
        <f>-'Annual Raw'!D49</f>
        <v>0</v>
      </c>
      <c r="D182" s="23">
        <f>-'Annual Raw'!E49</f>
        <v>0</v>
      </c>
      <c r="E182" s="23">
        <f>-'Annual Raw'!F49</f>
        <v>0</v>
      </c>
      <c r="F182" s="23">
        <f>-'Annual Raw'!G49</f>
        <v>0</v>
      </c>
      <c r="G182" s="23">
        <f>-'Annual Raw'!H49</f>
        <v>0</v>
      </c>
      <c r="H182" s="23">
        <f>-'Annual Raw'!I49</f>
        <v>0</v>
      </c>
      <c r="I182" s="23">
        <f>-'Annual Raw'!J49</f>
        <v>0</v>
      </c>
      <c r="J182" s="23">
        <f>-'Annual Raw'!K49</f>
        <v>0</v>
      </c>
      <c r="K182" s="23">
        <f>-'Annual Raw'!L49</f>
        <v>-11.99</v>
      </c>
      <c r="L182" s="23">
        <f>-'Annual Raw'!M49</f>
        <v>-312.01</v>
      </c>
      <c r="M182" s="23">
        <f>-'Annual Raw'!N49</f>
        <v>-602.30999999999995</v>
      </c>
      <c r="N182" s="23">
        <f>-'Annual Raw'!O49</f>
        <v>-1078.99</v>
      </c>
      <c r="O182" s="23">
        <f>-'Annual Raw'!P49</f>
        <v>0</v>
      </c>
      <c r="P182" s="23">
        <f>-'Annual Raw'!Q49</f>
        <v>0</v>
      </c>
      <c r="Q182" s="23">
        <f>-'Annual Raw'!R49</f>
        <v>-323.42</v>
      </c>
      <c r="R182" s="23">
        <f>-'Annual Raw'!S49</f>
        <v>-224.85</v>
      </c>
      <c r="S182" s="23">
        <f>-'Annual Raw'!T49</f>
        <v>-212.83</v>
      </c>
      <c r="T182" s="23">
        <f>-'Annual Raw'!U49</f>
        <v>-178.49</v>
      </c>
      <c r="U182" s="23">
        <f>-'Annual Raw'!V49</f>
        <v>-266.07</v>
      </c>
      <c r="V182" s="23">
        <f>-'Annual Raw'!W49</f>
        <v>-1328.08</v>
      </c>
      <c r="W182" s="23">
        <f>-'Annual Raw'!X49</f>
        <v>-2499.7800000000002</v>
      </c>
      <c r="X182" s="23">
        <f>-'Annual Raw'!Y49</f>
        <v>0</v>
      </c>
      <c r="Y182" s="23">
        <f>-'Annual Raw'!Z49</f>
        <v>60.54</v>
      </c>
      <c r="Z182" s="23">
        <f>-'Annual Raw'!AA49</f>
        <v>-4022.73</v>
      </c>
      <c r="AA182" s="23">
        <f>-'Annual Raw'!AB49</f>
        <v>-5015.76</v>
      </c>
      <c r="AB182" s="24">
        <f t="shared" ref="AB182:AB183" si="1343">+CP182</f>
        <v>-5015.76</v>
      </c>
      <c r="AC182" s="24">
        <f t="shared" ref="AC182:AC183" si="1344">+CT182</f>
        <v>-5015.76</v>
      </c>
      <c r="AD182" s="24">
        <f t="shared" ref="AD182:AD183" si="1345">+CX182</f>
        <v>-5015.76</v>
      </c>
      <c r="AE182" s="24">
        <f t="shared" ref="AE182:AE183" si="1346">+DB182</f>
        <v>-5015.76</v>
      </c>
      <c r="AJ182" s="23">
        <f>+'QTR Raw'!D96</f>
        <v>-843.87</v>
      </c>
      <c r="AK182" s="23">
        <f t="shared" ref="AK182:CE182" si="1347">+AJ182</f>
        <v>-843.87</v>
      </c>
      <c r="AL182" s="23">
        <f>+'QTR Raw'!F96</f>
        <v>-1078.99</v>
      </c>
      <c r="AM182" s="23">
        <f t="shared" si="1347"/>
        <v>-1078.99</v>
      </c>
      <c r="AN182" s="23">
        <f>+'QTR Raw'!H96</f>
        <v>-1269.45</v>
      </c>
      <c r="AO182" s="23">
        <f t="shared" si="1347"/>
        <v>-1269.45</v>
      </c>
      <c r="AP182" s="23">
        <f>+'QTR Raw'!J96</f>
        <v>0</v>
      </c>
      <c r="AQ182" s="23">
        <f t="shared" si="1347"/>
        <v>0</v>
      </c>
      <c r="AR182" s="23">
        <f>+'QTR Raw'!L96</f>
        <v>0</v>
      </c>
      <c r="AS182" s="23">
        <f t="shared" si="1347"/>
        <v>0</v>
      </c>
      <c r="AT182" s="23">
        <f>+'QTR Raw'!N96</f>
        <v>0</v>
      </c>
      <c r="AU182" s="23">
        <f t="shared" si="1347"/>
        <v>0</v>
      </c>
      <c r="AV182" s="23">
        <f>+'QTR Raw'!P96</f>
        <v>0</v>
      </c>
      <c r="AW182" s="23">
        <f t="shared" si="1347"/>
        <v>0</v>
      </c>
      <c r="AX182" s="23">
        <f>+'QTR Raw'!R96</f>
        <v>-323.43</v>
      </c>
      <c r="AY182" s="23">
        <f t="shared" si="1347"/>
        <v>-323.43</v>
      </c>
      <c r="AZ182" s="23">
        <f>+'QTR Raw'!T96</f>
        <v>-258.60000000000002</v>
      </c>
      <c r="BA182" s="23">
        <f t="shared" si="1347"/>
        <v>-258.60000000000002</v>
      </c>
      <c r="BB182" s="23">
        <f>+'QTR Raw'!V96</f>
        <v>-224.85</v>
      </c>
      <c r="BC182" s="23">
        <f t="shared" si="1347"/>
        <v>-224.85</v>
      </c>
      <c r="BD182" s="23">
        <f>+'QTR Raw'!X96</f>
        <v>-220.22</v>
      </c>
      <c r="BE182" s="23">
        <f t="shared" si="1347"/>
        <v>-220.22</v>
      </c>
      <c r="BF182" s="23">
        <f>+'QTR Raw'!Z96</f>
        <v>-212.83</v>
      </c>
      <c r="BG182" s="23">
        <f t="shared" si="1347"/>
        <v>-212.83</v>
      </c>
      <c r="BH182" s="23">
        <f>+'QTR Raw'!AB96</f>
        <v>-211.27</v>
      </c>
      <c r="BI182" s="23">
        <f t="shared" si="1347"/>
        <v>-211.27</v>
      </c>
      <c r="BJ182" s="23">
        <f>+'QTR Raw'!AD96</f>
        <v>-178.49</v>
      </c>
      <c r="BK182" s="23">
        <f t="shared" si="1347"/>
        <v>-178.49</v>
      </c>
      <c r="BL182" s="23">
        <f>+'QTR Raw'!AF96</f>
        <v>-471.65</v>
      </c>
      <c r="BM182" s="23">
        <f t="shared" si="1347"/>
        <v>-471.65</v>
      </c>
      <c r="BN182" s="23">
        <f>+'QTR Raw'!AH96</f>
        <v>-266.07</v>
      </c>
      <c r="BO182" s="23">
        <f t="shared" si="1347"/>
        <v>-266.07</v>
      </c>
      <c r="BP182" s="23">
        <f>+'QTR Raw'!AJ96</f>
        <v>-998.14</v>
      </c>
      <c r="BQ182" s="23">
        <f t="shared" si="1347"/>
        <v>-998.14</v>
      </c>
      <c r="BR182" s="23">
        <f>+'QTR Raw'!AL96</f>
        <v>-1328.08</v>
      </c>
      <c r="BS182" s="23">
        <f t="shared" si="1347"/>
        <v>-1328.08</v>
      </c>
      <c r="BT182" s="23">
        <f>+'QTR Raw'!AN96</f>
        <v>-1535.2</v>
      </c>
      <c r="BU182" s="23">
        <f t="shared" si="1347"/>
        <v>-1535.2</v>
      </c>
      <c r="BV182" s="23">
        <f>+'QTR Raw'!AP96</f>
        <v>-2499.7800000000002</v>
      </c>
      <c r="BW182" s="23">
        <f t="shared" si="1347"/>
        <v>-2499.7800000000002</v>
      </c>
      <c r="BX182" s="23">
        <f>+'QTR Raw'!AR96</f>
        <v>-3168.56</v>
      </c>
      <c r="BY182" s="23">
        <f t="shared" si="1347"/>
        <v>-3168.56</v>
      </c>
      <c r="BZ182" s="23">
        <f>+'QTR Raw'!AT96</f>
        <v>0</v>
      </c>
      <c r="CA182" s="23">
        <f t="shared" si="1347"/>
        <v>0</v>
      </c>
      <c r="CB182" s="23">
        <f>+'QTR Raw'!AV96</f>
        <v>1326.68</v>
      </c>
      <c r="CC182" s="23">
        <f t="shared" si="1347"/>
        <v>1326.68</v>
      </c>
      <c r="CD182" s="23">
        <f>+'QTR Raw'!AX96</f>
        <v>60.54</v>
      </c>
      <c r="CE182" s="23">
        <f t="shared" si="1347"/>
        <v>60.54</v>
      </c>
      <c r="CF182" s="23">
        <f>+'QTR Raw'!AZ96</f>
        <v>-2056.71</v>
      </c>
      <c r="CG182" s="23">
        <f t="shared" ref="CG182:CI183" si="1348">+CF182</f>
        <v>-2056.71</v>
      </c>
      <c r="CH182" s="23">
        <f t="shared" ref="CH182:CH183" si="1349">Z182</f>
        <v>-4022.73</v>
      </c>
      <c r="CI182" s="23">
        <f t="shared" si="1348"/>
        <v>-4022.73</v>
      </c>
      <c r="CJ182" s="23">
        <f>+'QTR Raw'!BD96</f>
        <v>-5827.06</v>
      </c>
      <c r="CK182" s="24">
        <f t="shared" ref="CK182:CK183" si="1350">+CJ182</f>
        <v>-5827.06</v>
      </c>
      <c r="CL182" s="23">
        <f>+'QTR Raw'!BF96</f>
        <v>-5015.76</v>
      </c>
      <c r="CM182" s="24">
        <f t="shared" ref="CM182:CM183" si="1351">+CL182</f>
        <v>-5015.76</v>
      </c>
      <c r="CN182" s="24">
        <f t="shared" ref="CN182:CN183" si="1352">+CM182</f>
        <v>-5015.76</v>
      </c>
      <c r="CO182" s="24">
        <f t="shared" ref="CO182:CO183" si="1353">+CN182</f>
        <v>-5015.76</v>
      </c>
      <c r="CP182" s="24">
        <f t="shared" ref="CP182:CP183" si="1354">+CO182</f>
        <v>-5015.76</v>
      </c>
      <c r="CQ182" s="24">
        <f t="shared" ref="CQ182:CQ183" si="1355">+CP182</f>
        <v>-5015.76</v>
      </c>
      <c r="CR182" s="24">
        <f t="shared" ref="CR182:CR183" si="1356">+CQ182</f>
        <v>-5015.76</v>
      </c>
      <c r="CS182" s="24">
        <f t="shared" ref="CS182:CS183" si="1357">+CR182</f>
        <v>-5015.76</v>
      </c>
      <c r="CT182" s="24">
        <f t="shared" ref="CT182:CT183" si="1358">+CS182</f>
        <v>-5015.76</v>
      </c>
      <c r="CU182" s="24">
        <f t="shared" ref="CU182:CU183" si="1359">+CT182</f>
        <v>-5015.76</v>
      </c>
      <c r="CV182" s="24">
        <f t="shared" ref="CV182:CV183" si="1360">+CU182</f>
        <v>-5015.76</v>
      </c>
      <c r="CW182" s="24">
        <f t="shared" ref="CW182:CW183" si="1361">+CV182</f>
        <v>-5015.76</v>
      </c>
      <c r="CX182" s="24">
        <f t="shared" ref="CX182:CX183" si="1362">+CW182</f>
        <v>-5015.76</v>
      </c>
      <c r="CY182" s="24">
        <f t="shared" ref="CY182:CY183" si="1363">+CX182</f>
        <v>-5015.76</v>
      </c>
      <c r="CZ182" s="24">
        <f t="shared" ref="CZ182:CZ183" si="1364">+CY182</f>
        <v>-5015.76</v>
      </c>
      <c r="DA182" s="24">
        <f t="shared" ref="DA182:DA183" si="1365">+CZ182</f>
        <v>-5015.76</v>
      </c>
      <c r="DB182" s="24">
        <f t="shared" ref="DB182:DB183" si="1366">+DA182</f>
        <v>-5015.76</v>
      </c>
      <c r="DE182" s="123"/>
      <c r="DF182" s="23">
        <v>0</v>
      </c>
    </row>
    <row r="183" spans="1:110" s="23" customFormat="1" x14ac:dyDescent="0.2">
      <c r="A183" s="23" t="s">
        <v>79</v>
      </c>
      <c r="B183" s="23">
        <f>'Annual Raw'!C83</f>
        <v>0</v>
      </c>
      <c r="C183" s="23">
        <f>'Annual Raw'!D83</f>
        <v>0</v>
      </c>
      <c r="D183" s="23">
        <f>'Annual Raw'!E83</f>
        <v>0</v>
      </c>
      <c r="E183" s="23">
        <f>'Annual Raw'!F83</f>
        <v>0</v>
      </c>
      <c r="F183" s="23">
        <f>'Annual Raw'!G83</f>
        <v>6.8329999999999997E-3</v>
      </c>
      <c r="G183" s="23">
        <f>'Annual Raw'!H83</f>
        <v>6.7999999999999996E-3</v>
      </c>
      <c r="H183" s="23">
        <f>'Annual Raw'!I83</f>
        <v>6.7999999999999996E-3</v>
      </c>
      <c r="I183" s="23">
        <f>'Annual Raw'!J83</f>
        <v>0</v>
      </c>
      <c r="J183" s="23">
        <f>'Annual Raw'!K83</f>
        <v>9.6712000000000007</v>
      </c>
      <c r="K183" s="23">
        <f>'Annual Raw'!L83</f>
        <v>0</v>
      </c>
      <c r="L183" s="23">
        <f>'Annual Raw'!M83</f>
        <v>0</v>
      </c>
      <c r="M183" s="23">
        <f>'Annual Raw'!N83</f>
        <v>136.83000000000001</v>
      </c>
      <c r="N183" s="23">
        <f>'Annual Raw'!O83</f>
        <v>119.54</v>
      </c>
      <c r="O183" s="23">
        <f>'Annual Raw'!P83</f>
        <v>179.97</v>
      </c>
      <c r="P183" s="23">
        <f>'Annual Raw'!Q83</f>
        <v>160.09</v>
      </c>
      <c r="Q183" s="23">
        <f>'Annual Raw'!R83</f>
        <v>0</v>
      </c>
      <c r="R183" s="23">
        <f>'Annual Raw'!S83</f>
        <v>0</v>
      </c>
      <c r="S183" s="23">
        <f>'Annual Raw'!T83</f>
        <v>0</v>
      </c>
      <c r="T183" s="23">
        <f>'Annual Raw'!U83</f>
        <v>0</v>
      </c>
      <c r="U183" s="23">
        <f>'Annual Raw'!V83</f>
        <v>0</v>
      </c>
      <c r="V183" s="23">
        <f>'Annual Raw'!W83</f>
        <v>0</v>
      </c>
      <c r="W183" s="23">
        <f>'Annual Raw'!X83</f>
        <v>0</v>
      </c>
      <c r="X183" s="23">
        <f>'Annual Raw'!Y83</f>
        <v>0</v>
      </c>
      <c r="Y183" s="23">
        <f>'Annual Raw'!Z83</f>
        <v>0</v>
      </c>
      <c r="Z183" s="23">
        <f>'Annual Raw'!AA83</f>
        <v>0</v>
      </c>
      <c r="AA183" s="23">
        <f>'Annual Raw'!AB83</f>
        <v>0</v>
      </c>
      <c r="AB183" s="24">
        <f t="shared" si="1343"/>
        <v>0</v>
      </c>
      <c r="AC183" s="24">
        <f t="shared" si="1344"/>
        <v>0</v>
      </c>
      <c r="AD183" s="24">
        <f t="shared" si="1345"/>
        <v>0</v>
      </c>
      <c r="AE183" s="24">
        <f t="shared" si="1346"/>
        <v>0</v>
      </c>
      <c r="AJ183" s="23">
        <f>+'QTR Raw'!D95</f>
        <v>0</v>
      </c>
      <c r="AK183" s="23">
        <f t="shared" ref="AK183:CE183" si="1367">+AJ183</f>
        <v>0</v>
      </c>
      <c r="AL183" s="23">
        <f>+'QTR Raw'!F95</f>
        <v>0</v>
      </c>
      <c r="AM183" s="23">
        <f t="shared" si="1367"/>
        <v>0</v>
      </c>
      <c r="AN183" s="23">
        <f>+'QTR Raw'!H95</f>
        <v>0</v>
      </c>
      <c r="AO183" s="23">
        <f t="shared" si="1367"/>
        <v>0</v>
      </c>
      <c r="AP183" s="23">
        <f>+'QTR Raw'!J95</f>
        <v>0</v>
      </c>
      <c r="AQ183" s="23">
        <f t="shared" si="1367"/>
        <v>0</v>
      </c>
      <c r="AR183" s="23">
        <f>+'QTR Raw'!L95</f>
        <v>0</v>
      </c>
      <c r="AS183" s="23">
        <f t="shared" si="1367"/>
        <v>0</v>
      </c>
      <c r="AT183" s="23">
        <f>+'QTR Raw'!N95</f>
        <v>0</v>
      </c>
      <c r="AU183" s="23">
        <f t="shared" si="1367"/>
        <v>0</v>
      </c>
      <c r="AV183" s="23">
        <f>+'QTR Raw'!P95</f>
        <v>0</v>
      </c>
      <c r="AW183" s="23">
        <f t="shared" si="1367"/>
        <v>0</v>
      </c>
      <c r="AX183" s="23">
        <f>+'QTR Raw'!R95</f>
        <v>0</v>
      </c>
      <c r="AY183" s="23">
        <f t="shared" si="1367"/>
        <v>0</v>
      </c>
      <c r="AZ183" s="23">
        <f>+'QTR Raw'!T95</f>
        <v>0</v>
      </c>
      <c r="BA183" s="23">
        <f t="shared" si="1367"/>
        <v>0</v>
      </c>
      <c r="BB183" s="23">
        <f>+'QTR Raw'!V95</f>
        <v>0</v>
      </c>
      <c r="BC183" s="23">
        <f t="shared" si="1367"/>
        <v>0</v>
      </c>
      <c r="BD183" s="23">
        <f>+'QTR Raw'!X95</f>
        <v>0</v>
      </c>
      <c r="BE183" s="23">
        <f t="shared" si="1367"/>
        <v>0</v>
      </c>
      <c r="BF183" s="23">
        <f>+'QTR Raw'!Z95</f>
        <v>0</v>
      </c>
      <c r="BG183" s="23">
        <f t="shared" si="1367"/>
        <v>0</v>
      </c>
      <c r="BH183" s="23">
        <f>+'QTR Raw'!AB95</f>
        <v>0</v>
      </c>
      <c r="BI183" s="23">
        <f t="shared" si="1367"/>
        <v>0</v>
      </c>
      <c r="BJ183" s="23">
        <f>+'QTR Raw'!AD95</f>
        <v>0</v>
      </c>
      <c r="BK183" s="23">
        <f t="shared" si="1367"/>
        <v>0</v>
      </c>
      <c r="BL183" s="23">
        <f>+'QTR Raw'!AF95</f>
        <v>0</v>
      </c>
      <c r="BM183" s="23">
        <f t="shared" si="1367"/>
        <v>0</v>
      </c>
      <c r="BN183" s="23">
        <f>+'QTR Raw'!AH95</f>
        <v>0</v>
      </c>
      <c r="BO183" s="23">
        <f t="shared" si="1367"/>
        <v>0</v>
      </c>
      <c r="BP183" s="23">
        <f>+'QTR Raw'!AJ95</f>
        <v>0</v>
      </c>
      <c r="BQ183" s="23">
        <f t="shared" si="1367"/>
        <v>0</v>
      </c>
      <c r="BR183" s="23">
        <f>+'QTR Raw'!AL95</f>
        <v>0</v>
      </c>
      <c r="BS183" s="23">
        <f t="shared" si="1367"/>
        <v>0</v>
      </c>
      <c r="BT183" s="23">
        <f>+'QTR Raw'!AN95</f>
        <v>0</v>
      </c>
      <c r="BU183" s="23">
        <f t="shared" si="1367"/>
        <v>0</v>
      </c>
      <c r="BV183" s="23">
        <f>+'QTR Raw'!AP95</f>
        <v>0</v>
      </c>
      <c r="BW183" s="23">
        <f t="shared" si="1367"/>
        <v>0</v>
      </c>
      <c r="BX183" s="23">
        <f>+'QTR Raw'!AR95</f>
        <v>0</v>
      </c>
      <c r="BY183" s="23">
        <f t="shared" si="1367"/>
        <v>0</v>
      </c>
      <c r="BZ183" s="23">
        <f>+'QTR Raw'!AT95</f>
        <v>0</v>
      </c>
      <c r="CA183" s="23">
        <f t="shared" si="1367"/>
        <v>0</v>
      </c>
      <c r="CB183" s="23">
        <f>+'QTR Raw'!AV95</f>
        <v>0</v>
      </c>
      <c r="CC183" s="23">
        <f t="shared" si="1367"/>
        <v>0</v>
      </c>
      <c r="CD183" s="23">
        <f>+'QTR Raw'!AX95</f>
        <v>0</v>
      </c>
      <c r="CE183" s="23">
        <f t="shared" si="1367"/>
        <v>0</v>
      </c>
      <c r="CF183" s="23">
        <f>+'QTR Raw'!AZ95</f>
        <v>0</v>
      </c>
      <c r="CG183" s="23">
        <f t="shared" si="1348"/>
        <v>0</v>
      </c>
      <c r="CH183" s="23">
        <f t="shared" si="1349"/>
        <v>0</v>
      </c>
      <c r="CI183" s="23">
        <f t="shared" si="1348"/>
        <v>0</v>
      </c>
      <c r="CJ183" s="23">
        <f>+'QTR Raw'!BD95</f>
        <v>0</v>
      </c>
      <c r="CK183" s="24">
        <f t="shared" si="1350"/>
        <v>0</v>
      </c>
      <c r="CL183" s="23">
        <f>+'QTR Raw'!BF95</f>
        <v>0</v>
      </c>
      <c r="CM183" s="24">
        <f t="shared" si="1351"/>
        <v>0</v>
      </c>
      <c r="CN183" s="24">
        <f t="shared" si="1352"/>
        <v>0</v>
      </c>
      <c r="CO183" s="24">
        <f t="shared" si="1353"/>
        <v>0</v>
      </c>
      <c r="CP183" s="24">
        <f t="shared" si="1354"/>
        <v>0</v>
      </c>
      <c r="CQ183" s="24">
        <f t="shared" si="1355"/>
        <v>0</v>
      </c>
      <c r="CR183" s="24">
        <f t="shared" si="1356"/>
        <v>0</v>
      </c>
      <c r="CS183" s="24">
        <f t="shared" si="1357"/>
        <v>0</v>
      </c>
      <c r="CT183" s="24">
        <f t="shared" si="1358"/>
        <v>0</v>
      </c>
      <c r="CU183" s="24">
        <f t="shared" si="1359"/>
        <v>0</v>
      </c>
      <c r="CV183" s="24">
        <f t="shared" si="1360"/>
        <v>0</v>
      </c>
      <c r="CW183" s="24">
        <f t="shared" si="1361"/>
        <v>0</v>
      </c>
      <c r="CX183" s="24">
        <f t="shared" si="1362"/>
        <v>0</v>
      </c>
      <c r="CY183" s="24">
        <f t="shared" si="1363"/>
        <v>0</v>
      </c>
      <c r="CZ183" s="24">
        <f t="shared" si="1364"/>
        <v>0</v>
      </c>
      <c r="DA183" s="24">
        <f t="shared" si="1365"/>
        <v>0</v>
      </c>
      <c r="DB183" s="24">
        <f t="shared" si="1366"/>
        <v>0</v>
      </c>
      <c r="DE183" s="123"/>
      <c r="DF183" s="23">
        <v>0</v>
      </c>
    </row>
    <row r="184" spans="1:110" s="26" customFormat="1" x14ac:dyDescent="0.2">
      <c r="A184" s="26" t="s">
        <v>438</v>
      </c>
      <c r="B184" s="26">
        <f t="shared" ref="B184:W184" si="1368">B182+B180+B176+B159+B157+B183</f>
        <v>0</v>
      </c>
      <c r="C184" s="26">
        <f t="shared" si="1368"/>
        <v>0</v>
      </c>
      <c r="D184" s="26">
        <f t="shared" si="1368"/>
        <v>0</v>
      </c>
      <c r="E184" s="26">
        <f t="shared" si="1368"/>
        <v>0.93900000000000006</v>
      </c>
      <c r="F184" s="26">
        <f t="shared" si="1368"/>
        <v>0.95000000000000007</v>
      </c>
      <c r="G184" s="26">
        <f t="shared" si="1368"/>
        <v>10.8</v>
      </c>
      <c r="H184" s="26">
        <f t="shared" si="1368"/>
        <v>337.46999999999991</v>
      </c>
      <c r="I184" s="26">
        <f t="shared" si="1368"/>
        <v>2445.0550000000003</v>
      </c>
      <c r="J184" s="26">
        <f t="shared" si="1368"/>
        <v>7348.3419999999996</v>
      </c>
      <c r="K184" s="26">
        <f t="shared" si="1368"/>
        <v>16465.850000000002</v>
      </c>
      <c r="L184" s="26">
        <f t="shared" si="1368"/>
        <v>31356.300000000003</v>
      </c>
      <c r="M184" s="26">
        <f t="shared" si="1368"/>
        <v>45200.68</v>
      </c>
      <c r="N184" s="26">
        <f t="shared" si="1368"/>
        <v>46088.85</v>
      </c>
      <c r="O184" s="26">
        <f t="shared" si="1368"/>
        <v>50693.62</v>
      </c>
      <c r="P184" s="26">
        <f t="shared" si="1368"/>
        <v>50466.579999999994</v>
      </c>
      <c r="Q184" s="26">
        <f t="shared" si="1368"/>
        <v>60197.18</v>
      </c>
      <c r="R184" s="26">
        <f t="shared" si="1368"/>
        <v>55483.93</v>
      </c>
      <c r="S184" s="26">
        <f t="shared" si="1368"/>
        <v>53724.14</v>
      </c>
      <c r="T184" s="26">
        <f t="shared" si="1368"/>
        <v>54691.99</v>
      </c>
      <c r="U184" s="26">
        <f t="shared" si="1368"/>
        <v>61679.200000000004</v>
      </c>
      <c r="V184" s="26">
        <f t="shared" si="1368"/>
        <v>65523.87</v>
      </c>
      <c r="W184" s="26">
        <f t="shared" si="1368"/>
        <v>67499.12000000001</v>
      </c>
      <c r="X184" s="26">
        <f t="shared" ref="X184:Y184" si="1369">X182+X180+X176+X159+X157+X183</f>
        <v>72127.710000000006</v>
      </c>
      <c r="Y184" s="26">
        <f t="shared" si="1369"/>
        <v>77601.89</v>
      </c>
      <c r="Z184" s="26">
        <f t="shared" ref="Z184:AA184" si="1370">Z182+Z180+Z176+Z159+Z157+Z183</f>
        <v>96008.44</v>
      </c>
      <c r="AA184" s="26">
        <f t="shared" ref="AA184" si="1371">AA182+AA180+AA176+AA159+AA157+AA183</f>
        <v>119957.45999999999</v>
      </c>
      <c r="AB184" s="27">
        <f t="shared" ref="AB184:AD184" si="1372">AB182+AB180+AB176+AB159+AB157+AB183</f>
        <v>133831.49044830323</v>
      </c>
      <c r="AC184" s="27">
        <f t="shared" si="1372"/>
        <v>150650.97884687039</v>
      </c>
      <c r="AD184" s="27">
        <f t="shared" si="1372"/>
        <v>170451.64704481489</v>
      </c>
      <c r="AE184" s="27">
        <f t="shared" ref="AE184" si="1373">AE182+AE180+AE176+AE159+AE157+AE183</f>
        <v>195838.97966588201</v>
      </c>
      <c r="AJ184" s="26">
        <f t="shared" ref="AJ184" si="1374">AJ182+AJ180+AJ176+AJ159+AJ157+AJ183</f>
        <v>43518.16</v>
      </c>
      <c r="AK184" s="26">
        <f t="shared" ref="AK184:AL184" si="1375">AK182+AK180+AK176+AK159+AK157+AK183</f>
        <v>42899.15</v>
      </c>
      <c r="AL184" s="26">
        <f t="shared" si="1375"/>
        <v>41896.199999999997</v>
      </c>
      <c r="AM184" s="26">
        <f t="shared" ref="AM184:AO184" si="1376">AM182+AM180+AM176+AM159+AM157+AM183</f>
        <v>40697.910000000003</v>
      </c>
      <c r="AN184" s="26">
        <f t="shared" si="1376"/>
        <v>45173.909999999996</v>
      </c>
      <c r="AO184" s="26">
        <f t="shared" si="1376"/>
        <v>44629.09</v>
      </c>
      <c r="AP184" s="26">
        <f t="shared" ref="AP184:CE184" si="1377">AP182+AP180+AP176+AP159+AP157+AP183</f>
        <v>46312.15</v>
      </c>
      <c r="AQ184" s="26">
        <f t="shared" si="1377"/>
        <v>46008.86</v>
      </c>
      <c r="AR184" s="26">
        <f t="shared" si="1377"/>
        <v>47769.45</v>
      </c>
      <c r="AS184" s="26">
        <f t="shared" si="1377"/>
        <v>47340.77</v>
      </c>
      <c r="AT184" s="26">
        <f t="shared" si="1377"/>
        <v>47109.13</v>
      </c>
      <c r="AU184" s="26">
        <f t="shared" si="1377"/>
        <v>46942.99</v>
      </c>
      <c r="AV184" s="26">
        <f t="shared" si="1377"/>
        <v>53682.979999999996</v>
      </c>
      <c r="AW184" s="26">
        <f t="shared" si="1377"/>
        <v>53792.47</v>
      </c>
      <c r="AX184" s="26">
        <f t="shared" si="1377"/>
        <v>56321.09</v>
      </c>
      <c r="AY184" s="26">
        <f t="shared" si="1377"/>
        <v>56088.46</v>
      </c>
      <c r="AZ184" s="26">
        <f t="shared" si="1377"/>
        <v>57494.25</v>
      </c>
      <c r="BA184" s="26">
        <f t="shared" si="1377"/>
        <v>56826.36</v>
      </c>
      <c r="BB184" s="26">
        <f t="shared" si="1377"/>
        <v>52230.170000000006</v>
      </c>
      <c r="BC184" s="26">
        <f t="shared" si="1377"/>
        <v>51777.33</v>
      </c>
      <c r="BD184" s="26">
        <f t="shared" si="1377"/>
        <v>50446.979999999996</v>
      </c>
      <c r="BE184" s="26">
        <f t="shared" si="1377"/>
        <v>49133.24</v>
      </c>
      <c r="BF184" s="26">
        <f t="shared" si="1377"/>
        <v>50009.520000000004</v>
      </c>
      <c r="BG184" s="26">
        <f t="shared" si="1377"/>
        <v>50009.520000000004</v>
      </c>
      <c r="BH184" s="26">
        <f t="shared" ref="BH184" si="1378">BH182+BH180+BH176+BH159+BH157+BH183</f>
        <v>50236.209999999992</v>
      </c>
      <c r="BI184" s="26">
        <f t="shared" si="1377"/>
        <v>49055.429999999993</v>
      </c>
      <c r="BJ184" s="26">
        <f t="shared" si="1377"/>
        <v>51196.090000000004</v>
      </c>
      <c r="BK184" s="26">
        <f t="shared" si="1377"/>
        <v>50932.700000000004</v>
      </c>
      <c r="BL184" s="26">
        <f t="shared" si="1377"/>
        <v>58149.27</v>
      </c>
      <c r="BM184" s="26">
        <f t="shared" si="1377"/>
        <v>57446.91</v>
      </c>
      <c r="BN184" s="26">
        <f t="shared" si="1377"/>
        <v>58848.599999999991</v>
      </c>
      <c r="BO184" s="26">
        <f t="shared" si="1377"/>
        <v>58166.139999999992</v>
      </c>
      <c r="BP184" s="26">
        <f t="shared" si="1377"/>
        <v>62931.649999999994</v>
      </c>
      <c r="BQ184" s="26">
        <f t="shared" si="1377"/>
        <v>62642.909999999996</v>
      </c>
      <c r="BR184" s="26">
        <f t="shared" si="1377"/>
        <v>65523.87</v>
      </c>
      <c r="BS184" s="26">
        <f t="shared" si="1377"/>
        <v>65802.090000000011</v>
      </c>
      <c r="BT184" s="26">
        <f t="shared" si="1377"/>
        <v>66034.41</v>
      </c>
      <c r="BU184" s="26">
        <f t="shared" si="1377"/>
        <v>66252.900000000009</v>
      </c>
      <c r="BV184" s="26">
        <f t="shared" si="1377"/>
        <v>67499.12</v>
      </c>
      <c r="BW184" s="26">
        <f t="shared" si="1377"/>
        <v>72278.98</v>
      </c>
      <c r="BX184" s="26">
        <f t="shared" si="1377"/>
        <v>69315.66</v>
      </c>
      <c r="BY184" s="26">
        <f t="shared" si="1377"/>
        <v>69324.429999999993</v>
      </c>
      <c r="BZ184" s="26">
        <f t="shared" si="1377"/>
        <v>72127.710000000006</v>
      </c>
      <c r="CA184" s="26">
        <f t="shared" si="1377"/>
        <v>80887.130000000019</v>
      </c>
      <c r="CB184" s="26">
        <f t="shared" si="1377"/>
        <v>72722.89</v>
      </c>
      <c r="CC184" s="26">
        <f t="shared" si="1377"/>
        <v>75460.849999999991</v>
      </c>
      <c r="CD184" s="26">
        <f t="shared" si="1377"/>
        <v>77601.890000000014</v>
      </c>
      <c r="CE184" s="26">
        <f t="shared" si="1377"/>
        <v>81514.680000000008</v>
      </c>
      <c r="CF184" s="26">
        <f t="shared" ref="CF184:CG184" si="1379">CF182+CF180+CF176+CF159+CF157+CF183</f>
        <v>95422.91</v>
      </c>
      <c r="CG184" s="26">
        <f t="shared" si="1379"/>
        <v>98480.12</v>
      </c>
      <c r="CH184" s="26">
        <f t="shared" ref="CH184:CI184" si="1380">CH182+CH180+CH176+CH159+CH157+CH183</f>
        <v>96008.44</v>
      </c>
      <c r="CI184" s="26">
        <f t="shared" si="1380"/>
        <v>99393.3</v>
      </c>
      <c r="CJ184" s="26">
        <f t="shared" ref="CJ184:DB184" si="1381">CJ182+CJ180+CJ176+CJ159+CJ157+CJ183</f>
        <v>106900.43000000001</v>
      </c>
      <c r="CK184" s="27">
        <f t="shared" si="1381"/>
        <v>109380.01000000001</v>
      </c>
      <c r="CL184" s="26">
        <f t="shared" ref="CL184" si="1382">CL182+CL180+CL176+CL159+CL157+CL183</f>
        <v>119957.46</v>
      </c>
      <c r="CM184" s="27">
        <f t="shared" si="1381"/>
        <v>123436.33040042086</v>
      </c>
      <c r="CN184" s="27">
        <f t="shared" si="1381"/>
        <v>126491.95052101629</v>
      </c>
      <c r="CO184" s="27">
        <f t="shared" si="1381"/>
        <v>129590.0163293751</v>
      </c>
      <c r="CP184" s="27">
        <f t="shared" si="1381"/>
        <v>133831.49044830323</v>
      </c>
      <c r="CQ184" s="27">
        <f t="shared" si="1381"/>
        <v>137576.77795832275</v>
      </c>
      <c r="CR184" s="27">
        <f t="shared" si="1381"/>
        <v>141406.80886932573</v>
      </c>
      <c r="CS184" s="27">
        <f t="shared" si="1381"/>
        <v>145474.55419604998</v>
      </c>
      <c r="CT184" s="27">
        <f t="shared" si="1381"/>
        <v>150650.97884687039</v>
      </c>
      <c r="CU184" s="27">
        <f t="shared" si="1381"/>
        <v>154980.91357089276</v>
      </c>
      <c r="CV184" s="27">
        <f t="shared" si="1381"/>
        <v>159333.75770205891</v>
      </c>
      <c r="CW184" s="27">
        <f t="shared" si="1381"/>
        <v>164200.95811471198</v>
      </c>
      <c r="CX184" s="27">
        <f t="shared" si="1381"/>
        <v>170451.64704481489</v>
      </c>
      <c r="CY184" s="27">
        <f t="shared" si="1381"/>
        <v>175824.60848281821</v>
      </c>
      <c r="CZ184" s="27">
        <f t="shared" si="1381"/>
        <v>181568.12102643261</v>
      </c>
      <c r="DA184" s="27">
        <f t="shared" si="1381"/>
        <v>187678.69405927442</v>
      </c>
      <c r="DB184" s="27">
        <f t="shared" si="1381"/>
        <v>195838.97966588201</v>
      </c>
      <c r="DE184" s="121"/>
      <c r="DF184" s="26">
        <v>0</v>
      </c>
    </row>
    <row r="185" spans="1:110" s="23" customFormat="1" x14ac:dyDescent="0.2">
      <c r="A185" s="28" t="s">
        <v>439</v>
      </c>
      <c r="B185" s="23">
        <f t="shared" ref="B185:W185" si="1383">B184-B148</f>
        <v>0</v>
      </c>
      <c r="C185" s="23">
        <f t="shared" si="1383"/>
        <v>0</v>
      </c>
      <c r="D185" s="23">
        <f t="shared" si="1383"/>
        <v>0</v>
      </c>
      <c r="E185" s="23">
        <f t="shared" si="1383"/>
        <v>0</v>
      </c>
      <c r="F185" s="23">
        <f t="shared" si="1383"/>
        <v>0</v>
      </c>
      <c r="G185" s="23">
        <f t="shared" si="1383"/>
        <v>0</v>
      </c>
      <c r="H185" s="23">
        <f t="shared" si="1383"/>
        <v>0</v>
      </c>
      <c r="I185" s="23">
        <f t="shared" si="1383"/>
        <v>0</v>
      </c>
      <c r="J185" s="23">
        <f t="shared" si="1383"/>
        <v>0</v>
      </c>
      <c r="K185" s="23">
        <f t="shared" si="1383"/>
        <v>0</v>
      </c>
      <c r="L185" s="23">
        <f t="shared" si="1383"/>
        <v>0</v>
      </c>
      <c r="M185" s="23">
        <f t="shared" si="1383"/>
        <v>0</v>
      </c>
      <c r="N185" s="23">
        <f t="shared" si="1383"/>
        <v>0</v>
      </c>
      <c r="O185" s="23">
        <f t="shared" si="1383"/>
        <v>0</v>
      </c>
      <c r="P185" s="23">
        <f t="shared" si="1383"/>
        <v>0</v>
      </c>
      <c r="Q185" s="23">
        <f t="shared" si="1383"/>
        <v>0</v>
      </c>
      <c r="R185" s="23">
        <f t="shared" si="1383"/>
        <v>0</v>
      </c>
      <c r="S185" s="23">
        <f t="shared" si="1383"/>
        <v>0</v>
      </c>
      <c r="T185" s="23">
        <f t="shared" si="1383"/>
        <v>0</v>
      </c>
      <c r="U185" s="23">
        <f t="shared" si="1383"/>
        <v>0</v>
      </c>
      <c r="V185" s="23">
        <f t="shared" si="1383"/>
        <v>0</v>
      </c>
      <c r="W185" s="23">
        <f t="shared" si="1383"/>
        <v>0</v>
      </c>
      <c r="X185" s="23">
        <f t="shared" ref="X185:Y185" si="1384">X184-X148</f>
        <v>0</v>
      </c>
      <c r="Y185" s="23">
        <f t="shared" si="1384"/>
        <v>0</v>
      </c>
      <c r="Z185" s="23">
        <f t="shared" ref="Z185:AA185" si="1385">Z184-Z148</f>
        <v>0</v>
      </c>
      <c r="AA185" s="23">
        <f t="shared" ref="AA185" si="1386">AA184-AA148</f>
        <v>0</v>
      </c>
      <c r="AB185" s="24">
        <f t="shared" ref="AB185:AD185" si="1387">AB184-AB148</f>
        <v>0</v>
      </c>
      <c r="AC185" s="24">
        <f t="shared" si="1387"/>
        <v>0</v>
      </c>
      <c r="AD185" s="24">
        <f t="shared" si="1387"/>
        <v>0</v>
      </c>
      <c r="AE185" s="24">
        <f t="shared" ref="AE185" si="1388">AE184-AE148</f>
        <v>0</v>
      </c>
      <c r="AJ185" s="23">
        <f t="shared" ref="AJ185" si="1389">AJ184-AJ148</f>
        <v>0</v>
      </c>
      <c r="AK185" s="23">
        <f t="shared" ref="AK185" si="1390">AK184-AK148</f>
        <v>0</v>
      </c>
      <c r="AL185" s="23">
        <f t="shared" ref="AL185:AM185" si="1391">AL184-AL148</f>
        <v>0</v>
      </c>
      <c r="AM185" s="23">
        <f t="shared" si="1391"/>
        <v>0</v>
      </c>
      <c r="AN185" s="23">
        <f t="shared" ref="AN185:AO185" si="1392">AN184-AN148</f>
        <v>0</v>
      </c>
      <c r="AO185" s="23">
        <f t="shared" si="1392"/>
        <v>0</v>
      </c>
      <c r="AP185" s="23">
        <f t="shared" ref="AP185:CE185" si="1393">AP184-AP148</f>
        <v>0</v>
      </c>
      <c r="AQ185" s="23">
        <f t="shared" si="1393"/>
        <v>0</v>
      </c>
      <c r="AR185" s="23">
        <f t="shared" si="1393"/>
        <v>0</v>
      </c>
      <c r="AS185" s="23">
        <f t="shared" si="1393"/>
        <v>0</v>
      </c>
      <c r="AT185" s="23">
        <f t="shared" si="1393"/>
        <v>0</v>
      </c>
      <c r="AU185" s="23">
        <f t="shared" si="1393"/>
        <v>0</v>
      </c>
      <c r="AV185" s="23">
        <f t="shared" si="1393"/>
        <v>0</v>
      </c>
      <c r="AW185" s="23">
        <f t="shared" si="1393"/>
        <v>0</v>
      </c>
      <c r="AX185" s="23">
        <f t="shared" si="1393"/>
        <v>0</v>
      </c>
      <c r="AY185" s="23">
        <f t="shared" si="1393"/>
        <v>0</v>
      </c>
      <c r="AZ185" s="23">
        <f t="shared" si="1393"/>
        <v>0</v>
      </c>
      <c r="BA185" s="23">
        <f t="shared" si="1393"/>
        <v>0</v>
      </c>
      <c r="BB185" s="23">
        <f t="shared" si="1393"/>
        <v>0</v>
      </c>
      <c r="BC185" s="23">
        <f t="shared" si="1393"/>
        <v>0</v>
      </c>
      <c r="BD185" s="23">
        <f t="shared" si="1393"/>
        <v>0</v>
      </c>
      <c r="BE185" s="23">
        <f t="shared" si="1393"/>
        <v>0</v>
      </c>
      <c r="BF185" s="23">
        <f t="shared" si="1393"/>
        <v>0</v>
      </c>
      <c r="BG185" s="23">
        <f t="shared" si="1393"/>
        <v>0</v>
      </c>
      <c r="BH185" s="23">
        <f t="shared" ref="BH185" si="1394">BH184-BH148</f>
        <v>0</v>
      </c>
      <c r="BI185" s="23">
        <f t="shared" si="1393"/>
        <v>0</v>
      </c>
      <c r="BJ185" s="23">
        <f t="shared" si="1393"/>
        <v>0</v>
      </c>
      <c r="BK185" s="23">
        <f t="shared" si="1393"/>
        <v>0</v>
      </c>
      <c r="BL185" s="23">
        <f t="shared" si="1393"/>
        <v>0</v>
      </c>
      <c r="BM185" s="23">
        <f t="shared" si="1393"/>
        <v>0</v>
      </c>
      <c r="BN185" s="23">
        <f t="shared" si="1393"/>
        <v>0</v>
      </c>
      <c r="BO185" s="23">
        <f t="shared" si="1393"/>
        <v>0</v>
      </c>
      <c r="BP185" s="23">
        <f t="shared" si="1393"/>
        <v>0</v>
      </c>
      <c r="BQ185" s="23">
        <f t="shared" si="1393"/>
        <v>0</v>
      </c>
      <c r="BR185" s="23">
        <f t="shared" si="1393"/>
        <v>0</v>
      </c>
      <c r="BS185" s="23">
        <f t="shared" si="1393"/>
        <v>0</v>
      </c>
      <c r="BT185" s="23">
        <f t="shared" si="1393"/>
        <v>0</v>
      </c>
      <c r="BU185" s="23">
        <f t="shared" si="1393"/>
        <v>0</v>
      </c>
      <c r="BV185" s="23">
        <f t="shared" si="1393"/>
        <v>0</v>
      </c>
      <c r="BW185" s="23">
        <f t="shared" si="1393"/>
        <v>0</v>
      </c>
      <c r="BX185" s="23">
        <f t="shared" si="1393"/>
        <v>0</v>
      </c>
      <c r="BY185" s="23">
        <f t="shared" si="1393"/>
        <v>0</v>
      </c>
      <c r="BZ185" s="23">
        <f t="shared" si="1393"/>
        <v>0</v>
      </c>
      <c r="CA185" s="23">
        <f t="shared" si="1393"/>
        <v>0</v>
      </c>
      <c r="CB185" s="23">
        <f t="shared" si="1393"/>
        <v>0</v>
      </c>
      <c r="CC185" s="23">
        <f t="shared" si="1393"/>
        <v>0</v>
      </c>
      <c r="CD185" s="23">
        <f t="shared" si="1393"/>
        <v>0</v>
      </c>
      <c r="CE185" s="23">
        <f t="shared" si="1393"/>
        <v>0</v>
      </c>
      <c r="CF185" s="23">
        <f t="shared" ref="CF185:CG185" si="1395">CF184-CF148</f>
        <v>0</v>
      </c>
      <c r="CG185" s="23">
        <f t="shared" si="1395"/>
        <v>0</v>
      </c>
      <c r="CH185" s="23">
        <f t="shared" ref="CH185:CI185" si="1396">CH184-CH148</f>
        <v>0</v>
      </c>
      <c r="CI185" s="23">
        <f t="shared" si="1396"/>
        <v>0</v>
      </c>
      <c r="CJ185" s="23">
        <f t="shared" ref="CJ185:DB185" si="1397">CJ184-CJ148</f>
        <v>0</v>
      </c>
      <c r="CK185" s="24">
        <f t="shared" si="1397"/>
        <v>0</v>
      </c>
      <c r="CL185" s="23">
        <f t="shared" ref="CL185" si="1398">CL184-CL148</f>
        <v>0</v>
      </c>
      <c r="CM185" s="24">
        <f t="shared" si="1397"/>
        <v>0</v>
      </c>
      <c r="CN185" s="24">
        <f t="shared" si="1397"/>
        <v>0</v>
      </c>
      <c r="CO185" s="24">
        <f t="shared" si="1397"/>
        <v>0</v>
      </c>
      <c r="CP185" s="24">
        <f t="shared" si="1397"/>
        <v>0</v>
      </c>
      <c r="CQ185" s="24">
        <f t="shared" si="1397"/>
        <v>0</v>
      </c>
      <c r="CR185" s="24">
        <f t="shared" si="1397"/>
        <v>0</v>
      </c>
      <c r="CS185" s="24">
        <f t="shared" si="1397"/>
        <v>0</v>
      </c>
      <c r="CT185" s="24">
        <f t="shared" si="1397"/>
        <v>0</v>
      </c>
      <c r="CU185" s="24">
        <f t="shared" si="1397"/>
        <v>0</v>
      </c>
      <c r="CV185" s="24">
        <f t="shared" si="1397"/>
        <v>0</v>
      </c>
      <c r="CW185" s="24">
        <f t="shared" si="1397"/>
        <v>0</v>
      </c>
      <c r="CX185" s="24">
        <f t="shared" si="1397"/>
        <v>0</v>
      </c>
      <c r="CY185" s="24">
        <f t="shared" si="1397"/>
        <v>0</v>
      </c>
      <c r="CZ185" s="24">
        <f t="shared" si="1397"/>
        <v>0</v>
      </c>
      <c r="DA185" s="24">
        <f t="shared" si="1397"/>
        <v>0</v>
      </c>
      <c r="DB185" s="24">
        <f t="shared" si="1397"/>
        <v>0</v>
      </c>
      <c r="DE185" s="123"/>
      <c r="DF185" s="23">
        <v>0</v>
      </c>
    </row>
    <row r="186" spans="1:110" s="23" customFormat="1" x14ac:dyDescent="0.2">
      <c r="A186" s="28"/>
      <c r="AB186" s="24"/>
      <c r="AC186" s="24"/>
      <c r="AD186" s="24"/>
      <c r="AE186" s="24"/>
      <c r="CK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</row>
    <row r="187" spans="1:110" s="22" customFormat="1" x14ac:dyDescent="0.2">
      <c r="A187" s="22" t="s">
        <v>80</v>
      </c>
      <c r="B187" s="22">
        <f t="shared" ref="B187:W187" si="1399">B147-B180</f>
        <v>0</v>
      </c>
      <c r="C187" s="22">
        <f t="shared" si="1399"/>
        <v>0</v>
      </c>
      <c r="D187" s="22">
        <f t="shared" si="1399"/>
        <v>0</v>
      </c>
      <c r="E187" s="22">
        <f t="shared" si="1399"/>
        <v>-7.0000000000000001E-3</v>
      </c>
      <c r="F187" s="22">
        <f t="shared" si="1399"/>
        <v>-5.9962000000000001E-3</v>
      </c>
      <c r="G187" s="22">
        <f t="shared" si="1399"/>
        <v>-0.26700000000000002</v>
      </c>
      <c r="H187" s="22">
        <f t="shared" si="1399"/>
        <v>7.0754000000000019</v>
      </c>
      <c r="I187" s="22">
        <f t="shared" si="1399"/>
        <v>765.83799999999997</v>
      </c>
      <c r="J187" s="22">
        <f t="shared" si="1399"/>
        <v>4431.1395999999995</v>
      </c>
      <c r="K187" s="22">
        <f t="shared" si="1399"/>
        <v>9420.11</v>
      </c>
      <c r="L187" s="22">
        <f t="shared" si="1399"/>
        <v>23538.400000000001</v>
      </c>
      <c r="M187" s="22">
        <f t="shared" si="1399"/>
        <v>35350.54</v>
      </c>
      <c r="N187" s="22">
        <f t="shared" si="1399"/>
        <v>40064.990000000013</v>
      </c>
      <c r="O187" s="22">
        <f t="shared" si="1399"/>
        <v>43214.289999999994</v>
      </c>
      <c r="P187" s="22">
        <f t="shared" si="1399"/>
        <v>43528.42</v>
      </c>
      <c r="Q187" s="22">
        <f t="shared" si="1399"/>
        <v>51860.570000000007</v>
      </c>
      <c r="R187" s="22">
        <f t="shared" si="1399"/>
        <v>51715.880000000005</v>
      </c>
      <c r="S187" s="22">
        <f t="shared" si="1399"/>
        <v>51978.2</v>
      </c>
      <c r="T187" s="22">
        <f t="shared" si="1399"/>
        <v>54061.110000000008</v>
      </c>
      <c r="U187" s="22">
        <f t="shared" si="1399"/>
        <v>61831.659999999996</v>
      </c>
      <c r="V187" s="22">
        <f t="shared" si="1399"/>
        <v>63398.86</v>
      </c>
      <c r="W187" s="22">
        <f t="shared" si="1399"/>
        <v>59462.760000000009</v>
      </c>
      <c r="X187" s="22">
        <f t="shared" ref="X187:Y187" si="1400">X147-X180</f>
        <v>52981.860000000008</v>
      </c>
      <c r="Y187" s="22">
        <f t="shared" si="1400"/>
        <v>34186.6</v>
      </c>
      <c r="Z187" s="22">
        <f t="shared" ref="Z187:AA187" si="1401">Z147-Z180</f>
        <v>34234.22</v>
      </c>
      <c r="AA187" s="22">
        <f t="shared" ref="AA187" si="1402">AA147-AA180</f>
        <v>45137.87</v>
      </c>
      <c r="AB187" s="21">
        <f t="shared" ref="AB187:AD187" si="1403">AB147-AB180</f>
        <v>61182.703023956215</v>
      </c>
      <c r="AC187" s="21">
        <f t="shared" si="1403"/>
        <v>79987.671190946639</v>
      </c>
      <c r="AD187" s="21">
        <f t="shared" si="1403"/>
        <v>86109.474026409473</v>
      </c>
      <c r="AE187" s="21">
        <f t="shared" ref="AE187" si="1404">AE147-AE180</f>
        <v>90124.889321641822</v>
      </c>
      <c r="AJ187" s="22">
        <f t="shared" ref="AJ187:AM187" si="1405">AJ147-AJ180</f>
        <v>35499.72</v>
      </c>
      <c r="AK187" s="22">
        <f t="shared" si="1405"/>
        <v>36478.754968223657</v>
      </c>
      <c r="AL187" s="22">
        <f t="shared" si="1405"/>
        <v>35872.340000000004</v>
      </c>
      <c r="AM187" s="22">
        <f t="shared" si="1405"/>
        <v>37006.919155007861</v>
      </c>
      <c r="AN187" s="22">
        <f t="shared" ref="AN187:AO187" si="1406">AN147-AN180</f>
        <v>39138.120000000003</v>
      </c>
      <c r="AO187" s="22">
        <f t="shared" si="1406"/>
        <v>39466.334891461796</v>
      </c>
      <c r="AP187" s="22">
        <f t="shared" ref="AP187:CE187" si="1407">AP147-AP180</f>
        <v>38832.82</v>
      </c>
      <c r="AQ187" s="22">
        <f t="shared" si="1407"/>
        <v>39259.323269362576</v>
      </c>
      <c r="AR187" s="22">
        <f t="shared" si="1407"/>
        <v>40478.790000000008</v>
      </c>
      <c r="AS187" s="22">
        <f t="shared" si="1407"/>
        <v>40935.763299260121</v>
      </c>
      <c r="AT187" s="22">
        <f t="shared" si="1407"/>
        <v>40170.97</v>
      </c>
      <c r="AU187" s="22">
        <f t="shared" si="1407"/>
        <v>40182.124009246807</v>
      </c>
      <c r="AV187" s="22">
        <f t="shared" si="1407"/>
        <v>47712.68</v>
      </c>
      <c r="AW187" s="22">
        <f t="shared" si="1407"/>
        <v>47880.529148545465</v>
      </c>
      <c r="AX187" s="22">
        <f t="shared" si="1407"/>
        <v>47984.490000000005</v>
      </c>
      <c r="AY187" s="22">
        <f t="shared" si="1407"/>
        <v>45893.588119042673</v>
      </c>
      <c r="AZ187" s="22">
        <f t="shared" si="1407"/>
        <v>47310.09</v>
      </c>
      <c r="BA187" s="22">
        <f t="shared" si="1407"/>
        <v>47899.198015364505</v>
      </c>
      <c r="BB187" s="22">
        <f t="shared" si="1407"/>
        <v>48462.12</v>
      </c>
      <c r="BC187" s="22">
        <f t="shared" si="1407"/>
        <v>48652.01036656418</v>
      </c>
      <c r="BD187" s="22">
        <f t="shared" si="1407"/>
        <v>46633.31</v>
      </c>
      <c r="BE187" s="22">
        <f t="shared" si="1407"/>
        <v>47873.613701317576</v>
      </c>
      <c r="BF187" s="22">
        <f t="shared" si="1407"/>
        <v>48263.58</v>
      </c>
      <c r="BG187" s="22">
        <f t="shared" si="1407"/>
        <v>48289.559877323722</v>
      </c>
      <c r="BH187" s="22">
        <f t="shared" si="1407"/>
        <v>43588.52</v>
      </c>
      <c r="BI187" s="22">
        <f t="shared" si="1407"/>
        <v>44566.066630031164</v>
      </c>
      <c r="BJ187" s="22">
        <f t="shared" si="1407"/>
        <v>42565.21</v>
      </c>
      <c r="BK187" s="22">
        <f t="shared" si="1407"/>
        <v>43378.584407235052</v>
      </c>
      <c r="BL187" s="22">
        <f t="shared" si="1407"/>
        <v>47352.959999999999</v>
      </c>
      <c r="BM187" s="22">
        <f t="shared" si="1407"/>
        <v>48688.630493754739</v>
      </c>
      <c r="BN187" s="22">
        <f t="shared" si="1407"/>
        <v>50386.049999999996</v>
      </c>
      <c r="BO187" s="22">
        <f t="shared" si="1407"/>
        <v>50237.88351513099</v>
      </c>
      <c r="BP187" s="22">
        <f t="shared" si="1407"/>
        <v>49722.220000000008</v>
      </c>
      <c r="BQ187" s="22">
        <f t="shared" si="1407"/>
        <v>48809.824848416814</v>
      </c>
      <c r="BR187" s="22">
        <f t="shared" si="1407"/>
        <v>50783.86</v>
      </c>
      <c r="BS187" s="22">
        <f t="shared" si="1407"/>
        <v>50813.874220471946</v>
      </c>
      <c r="BT187" s="22">
        <f t="shared" si="1407"/>
        <v>50981.159999999996</v>
      </c>
      <c r="BU187" s="22">
        <f t="shared" si="1407"/>
        <v>51101.096589436806</v>
      </c>
      <c r="BV187" s="22">
        <f t="shared" si="1407"/>
        <v>46247.76</v>
      </c>
      <c r="BW187" s="22">
        <f t="shared" si="1407"/>
        <v>43918.803828386699</v>
      </c>
      <c r="BX187" s="22">
        <f t="shared" si="1407"/>
        <v>43073.789999999994</v>
      </c>
      <c r="BY187" s="22">
        <f t="shared" si="1407"/>
        <v>44145.536491140396</v>
      </c>
      <c r="BZ187" s="22">
        <f t="shared" si="1407"/>
        <v>39766.86</v>
      </c>
      <c r="CA187" s="22">
        <f t="shared" si="1407"/>
        <v>31866.563162996499</v>
      </c>
      <c r="CB187" s="22">
        <f t="shared" si="1407"/>
        <v>29348.15</v>
      </c>
      <c r="CC187" s="22">
        <f t="shared" si="1407"/>
        <v>26610.800681971094</v>
      </c>
      <c r="CD187" s="22">
        <f t="shared" si="1407"/>
        <v>26871.599999999999</v>
      </c>
      <c r="CE187" s="22">
        <f t="shared" si="1407"/>
        <v>24413.430673107494</v>
      </c>
      <c r="CF187" s="22">
        <f t="shared" ref="CF187:CG187" si="1408">CF147-CF180</f>
        <v>30985.040000000001</v>
      </c>
      <c r="CG187" s="22">
        <f t="shared" si="1408"/>
        <v>28309.178260048819</v>
      </c>
      <c r="CH187" s="22">
        <f t="shared" ref="CH187:CI187" si="1409">CH147-CH180</f>
        <v>34234.22</v>
      </c>
      <c r="CI187" s="22">
        <f t="shared" si="1409"/>
        <v>29657.969212461547</v>
      </c>
      <c r="CJ187" s="22">
        <f t="shared" ref="CJ187:DB187" si="1410">CJ147-CJ180</f>
        <v>36912.480000000003</v>
      </c>
      <c r="CK187" s="21">
        <f t="shared" si="1410"/>
        <v>38905.176010336269</v>
      </c>
      <c r="CL187" s="22">
        <f t="shared" ref="CL187" si="1411">CL147-CL180</f>
        <v>45137.87</v>
      </c>
      <c r="CM187" s="21">
        <f t="shared" si="1410"/>
        <v>49512.08244510337</v>
      </c>
      <c r="CN187" s="21">
        <f t="shared" si="1410"/>
        <v>51635.711550471184</v>
      </c>
      <c r="CO187" s="21">
        <f t="shared" si="1410"/>
        <v>54853.711920929272</v>
      </c>
      <c r="CP187" s="21">
        <f t="shared" si="1410"/>
        <v>61182.703023956215</v>
      </c>
      <c r="CQ187" s="21">
        <f t="shared" si="1410"/>
        <v>62731.113797169455</v>
      </c>
      <c r="CR187" s="21">
        <f t="shared" si="1410"/>
        <v>66621.032241207649</v>
      </c>
      <c r="CS187" s="21">
        <f t="shared" si="1410"/>
        <v>71149.158681403758</v>
      </c>
      <c r="CT187" s="21">
        <f t="shared" si="1410"/>
        <v>79987.671190946639</v>
      </c>
      <c r="CU187" s="21">
        <f t="shared" si="1410"/>
        <v>76002.962290601106</v>
      </c>
      <c r="CV187" s="21">
        <f t="shared" si="1410"/>
        <v>76504.521031344339</v>
      </c>
      <c r="CW187" s="21">
        <f t="shared" si="1410"/>
        <v>79433.169185482475</v>
      </c>
      <c r="CX187" s="21">
        <f t="shared" si="1410"/>
        <v>86109.474026409473</v>
      </c>
      <c r="CY187" s="21">
        <f t="shared" si="1410"/>
        <v>80410.6377086047</v>
      </c>
      <c r="CZ187" s="21">
        <f t="shared" si="1410"/>
        <v>81249.602333626855</v>
      </c>
      <c r="DA187" s="21">
        <f t="shared" si="1410"/>
        <v>81804.70631229569</v>
      </c>
      <c r="DB187" s="21">
        <f t="shared" si="1410"/>
        <v>90124.889321641822</v>
      </c>
      <c r="DE187" s="126"/>
      <c r="DF187" s="22">
        <v>0</v>
      </c>
    </row>
    <row r="188" spans="1:110" x14ac:dyDescent="0.2">
      <c r="AA188" s="2"/>
      <c r="CE188" s="111"/>
      <c r="CG188" s="111"/>
      <c r="CL188" s="2"/>
      <c r="CP188" s="24">
        <v>59225.55</v>
      </c>
      <c r="CT188" s="24">
        <v>79775.675000000003</v>
      </c>
    </row>
    <row r="189" spans="1:110" s="49" customFormat="1" x14ac:dyDescent="0.2">
      <c r="A189" s="49" t="s">
        <v>81</v>
      </c>
      <c r="B189" s="49">
        <f>'Annual Raw'!C85</f>
        <v>0</v>
      </c>
      <c r="C189" s="49">
        <f>'Annual Raw'!D85</f>
        <v>0</v>
      </c>
      <c r="D189" s="49">
        <f>'Annual Raw'!E85</f>
        <v>0</v>
      </c>
      <c r="E189" s="49">
        <f>'Annual Raw'!F85</f>
        <v>0</v>
      </c>
      <c r="F189" s="49">
        <f>'Annual Raw'!G85</f>
        <v>0</v>
      </c>
      <c r="G189" s="49">
        <f>'Annual Raw'!H85</f>
        <v>5.67</v>
      </c>
      <c r="H189" s="49">
        <f>'Annual Raw'!I85</f>
        <v>1921.4740999999999</v>
      </c>
      <c r="I189" s="49">
        <f>'Annual Raw'!J85</f>
        <v>19256.272000000001</v>
      </c>
      <c r="J189" s="49">
        <f>'Annual Raw'!K85</f>
        <v>3318.4702000000002</v>
      </c>
      <c r="K189" s="49">
        <f>'Annual Raw'!L85</f>
        <v>11484.5</v>
      </c>
      <c r="L189" s="49">
        <f>'Annual Raw'!M85</f>
        <v>16655.36</v>
      </c>
      <c r="M189" s="49">
        <f>'Annual Raw'!N85</f>
        <v>18755.73</v>
      </c>
      <c r="N189" s="49">
        <f>'Annual Raw'!O85</f>
        <v>161.01</v>
      </c>
      <c r="O189" s="49">
        <f>'Annual Raw'!P85</f>
        <v>289.33999999999997</v>
      </c>
      <c r="P189" s="49">
        <f>'Annual Raw'!Q85</f>
        <v>291.70999999999998</v>
      </c>
      <c r="Q189" s="49">
        <f>'Annual Raw'!R85</f>
        <v>602.36</v>
      </c>
      <c r="R189" s="49">
        <f>'Annual Raw'!S85</f>
        <v>628.74</v>
      </c>
      <c r="S189" s="49">
        <f>'Annual Raw'!T85</f>
        <v>633.32000000000005</v>
      </c>
      <c r="T189" s="49">
        <f>'Annual Raw'!U85</f>
        <v>509.06</v>
      </c>
      <c r="U189" s="49">
        <f>'Annual Raw'!V85</f>
        <v>1646.29</v>
      </c>
      <c r="V189" s="49">
        <f>'Annual Raw'!W85</f>
        <v>1441.09</v>
      </c>
      <c r="W189" s="49">
        <f>'Annual Raw'!X85</f>
        <v>1470.75</v>
      </c>
      <c r="X189" s="49">
        <f>'Annual Raw'!Y85</f>
        <v>1679.26</v>
      </c>
      <c r="Y189" s="49">
        <f>'Annual Raw'!Z85</f>
        <v>1675.54</v>
      </c>
      <c r="Z189" s="49">
        <f>'Annual Raw'!AA85</f>
        <v>1140.6600000000001</v>
      </c>
      <c r="AA189" s="49">
        <f>'Annual Raw'!AB85</f>
        <v>707.26</v>
      </c>
      <c r="AB189" s="50"/>
      <c r="AC189" s="50"/>
      <c r="AD189" s="50"/>
      <c r="AE189" s="50"/>
      <c r="CK189" s="50"/>
      <c r="CM189" s="50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  <c r="DA189" s="50"/>
      <c r="DB189" s="50"/>
      <c r="DE189" s="138"/>
      <c r="DF189" s="49">
        <v>0</v>
      </c>
    </row>
    <row r="190" spans="1:110" s="29" customFormat="1" x14ac:dyDescent="0.2">
      <c r="A190" s="29" t="s">
        <v>82</v>
      </c>
      <c r="B190" s="29">
        <f>'Annual Raw'!C95</f>
        <v>0</v>
      </c>
      <c r="C190" s="29">
        <f>'Annual Raw'!D95</f>
        <v>0</v>
      </c>
      <c r="D190" s="29">
        <f>'Annual Raw'!E95</f>
        <v>0</v>
      </c>
      <c r="E190" s="29">
        <f>'Annual Raw'!F95</f>
        <v>0</v>
      </c>
      <c r="F190" s="29">
        <f>'Annual Raw'!G95</f>
        <v>0</v>
      </c>
      <c r="G190" s="29">
        <f>'Annual Raw'!H95</f>
        <v>0</v>
      </c>
      <c r="H190" s="29">
        <f>'Annual Raw'!I95</f>
        <v>798.06</v>
      </c>
      <c r="I190" s="29">
        <f>'Annual Raw'!J95</f>
        <v>808.42</v>
      </c>
      <c r="J190" s="29">
        <f>'Annual Raw'!K95</f>
        <v>1031.7524000000001</v>
      </c>
      <c r="K190" s="29">
        <f>'Annual Raw'!L95</f>
        <v>4538.2</v>
      </c>
      <c r="L190" s="29">
        <f>'Annual Raw'!M95</f>
        <v>4609.95</v>
      </c>
      <c r="M190" s="29">
        <f>'Annual Raw'!N95</f>
        <v>2924.66</v>
      </c>
      <c r="N190" s="29">
        <f>'Annual Raw'!O95</f>
        <v>0</v>
      </c>
      <c r="O190" s="29">
        <f>'Annual Raw'!P95</f>
        <v>0</v>
      </c>
      <c r="P190" s="29">
        <f>'Annual Raw'!Q95</f>
        <v>0</v>
      </c>
      <c r="Q190" s="29">
        <f>'Annual Raw'!R95</f>
        <v>0</v>
      </c>
      <c r="R190" s="29">
        <f>'Annual Raw'!S95</f>
        <v>0</v>
      </c>
      <c r="S190" s="29">
        <f>'Annual Raw'!T95</f>
        <v>0</v>
      </c>
      <c r="T190" s="29">
        <f>'Annual Raw'!U95</f>
        <v>0</v>
      </c>
      <c r="U190" s="29">
        <f>'Annual Raw'!V95</f>
        <v>0</v>
      </c>
      <c r="V190" s="29">
        <f>'Annual Raw'!W95</f>
        <v>0</v>
      </c>
      <c r="W190" s="29">
        <f>'Annual Raw'!X95</f>
        <v>0</v>
      </c>
      <c r="X190" s="29">
        <f>'Annual Raw'!Y95</f>
        <v>0</v>
      </c>
      <c r="Y190" s="29">
        <f>'Annual Raw'!Z95</f>
        <v>0</v>
      </c>
      <c r="Z190" s="29">
        <f>'Annual Raw'!AA95</f>
        <v>0</v>
      </c>
      <c r="AA190" s="29">
        <f>'Annual Raw'!AB95</f>
        <v>0</v>
      </c>
      <c r="AB190" s="30"/>
      <c r="AC190" s="30"/>
      <c r="AD190" s="30"/>
      <c r="AE190" s="30"/>
      <c r="CK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  <c r="DF190" s="29">
        <v>0</v>
      </c>
    </row>
    <row r="191" spans="1:110" s="29" customFormat="1" x14ac:dyDescent="0.2">
      <c r="A191" s="29" t="s">
        <v>83</v>
      </c>
      <c r="B191" s="29">
        <f>'Annual Raw'!C93</f>
        <v>0</v>
      </c>
      <c r="C191" s="29">
        <f>'Annual Raw'!D93</f>
        <v>0</v>
      </c>
      <c r="D191" s="29">
        <f>'Annual Raw'!E93</f>
        <v>0</v>
      </c>
      <c r="E191" s="29">
        <f>'Annual Raw'!F93</f>
        <v>0</v>
      </c>
      <c r="F191" s="29">
        <f>'Annual Raw'!G93</f>
        <v>0</v>
      </c>
      <c r="G191" s="29">
        <f>'Annual Raw'!H93</f>
        <v>0</v>
      </c>
      <c r="H191" s="29">
        <f>'Annual Raw'!I93</f>
        <v>0</v>
      </c>
      <c r="I191" s="29">
        <f>'Annual Raw'!J93</f>
        <v>0</v>
      </c>
      <c r="J191" s="29">
        <f>'Annual Raw'!K93</f>
        <v>0</v>
      </c>
      <c r="K191" s="29">
        <f>'Annual Raw'!L93</f>
        <v>0</v>
      </c>
      <c r="L191" s="29">
        <f>'Annual Raw'!M93</f>
        <v>0.46</v>
      </c>
      <c r="M191" s="29">
        <f>'Annual Raw'!N93</f>
        <v>24.23</v>
      </c>
      <c r="N191" s="29">
        <f>'Annual Raw'!O93</f>
        <v>161.01</v>
      </c>
      <c r="O191" s="29">
        <f>'Annual Raw'!P93</f>
        <v>154.13999999999999</v>
      </c>
      <c r="P191" s="29">
        <f>'Annual Raw'!Q93</f>
        <v>156.51</v>
      </c>
      <c r="Q191" s="29">
        <f>'Annual Raw'!R93</f>
        <v>467.16</v>
      </c>
      <c r="R191" s="29">
        <f>'Annual Raw'!S93</f>
        <v>493.54</v>
      </c>
      <c r="S191" s="29">
        <f>'Annual Raw'!T93</f>
        <v>498.12</v>
      </c>
      <c r="T191" s="29">
        <f>'Annual Raw'!U93</f>
        <v>509.06</v>
      </c>
      <c r="U191" s="29">
        <f>'Annual Raw'!V93</f>
        <v>1646.29</v>
      </c>
      <c r="V191" s="29">
        <f>'Annual Raw'!W93</f>
        <v>1441.09</v>
      </c>
      <c r="W191" s="29">
        <f>'Annual Raw'!X93</f>
        <v>1470.75</v>
      </c>
      <c r="X191" s="29">
        <f>'Annual Raw'!Y93</f>
        <v>1679.26</v>
      </c>
      <c r="Y191" s="29">
        <f>'Annual Raw'!Z93</f>
        <v>1675.54</v>
      </c>
      <c r="Z191" s="29">
        <f>'Annual Raw'!AA93</f>
        <v>1140.6600000000001</v>
      </c>
      <c r="AA191" s="29">
        <f>'Annual Raw'!AB93</f>
        <v>707.26</v>
      </c>
      <c r="AB191" s="30"/>
      <c r="AC191" s="30"/>
      <c r="AD191" s="30"/>
      <c r="AE191" s="30"/>
      <c r="CK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  <c r="DF191" s="29">
        <v>0</v>
      </c>
    </row>
    <row r="192" spans="1:110" s="29" customFormat="1" x14ac:dyDescent="0.2">
      <c r="A192" s="29" t="s">
        <v>84</v>
      </c>
      <c r="B192" s="29">
        <f t="shared" ref="B192:V192" si="1412">B189-B190-B191</f>
        <v>0</v>
      </c>
      <c r="C192" s="29">
        <f t="shared" si="1412"/>
        <v>0</v>
      </c>
      <c r="D192" s="29">
        <f t="shared" si="1412"/>
        <v>0</v>
      </c>
      <c r="E192" s="29">
        <f t="shared" si="1412"/>
        <v>0</v>
      </c>
      <c r="F192" s="29">
        <f t="shared" si="1412"/>
        <v>0</v>
      </c>
      <c r="G192" s="29">
        <f t="shared" si="1412"/>
        <v>5.67</v>
      </c>
      <c r="H192" s="29">
        <f t="shared" si="1412"/>
        <v>1123.4141</v>
      </c>
      <c r="I192" s="29">
        <f t="shared" si="1412"/>
        <v>18447.852000000003</v>
      </c>
      <c r="J192" s="29">
        <f t="shared" si="1412"/>
        <v>2286.7178000000004</v>
      </c>
      <c r="K192" s="29">
        <f t="shared" si="1412"/>
        <v>6946.3</v>
      </c>
      <c r="L192" s="29">
        <f t="shared" si="1412"/>
        <v>12044.95</v>
      </c>
      <c r="M192" s="29">
        <f t="shared" si="1412"/>
        <v>15806.84</v>
      </c>
      <c r="N192" s="29">
        <f t="shared" si="1412"/>
        <v>0</v>
      </c>
      <c r="O192" s="29">
        <f t="shared" si="1412"/>
        <v>135.19999999999999</v>
      </c>
      <c r="P192" s="29">
        <f t="shared" si="1412"/>
        <v>135.19999999999999</v>
      </c>
      <c r="Q192" s="29">
        <f t="shared" si="1412"/>
        <v>135.19999999999999</v>
      </c>
      <c r="R192" s="29">
        <f t="shared" si="1412"/>
        <v>135.19999999999999</v>
      </c>
      <c r="S192" s="29">
        <f t="shared" si="1412"/>
        <v>135.20000000000005</v>
      </c>
      <c r="T192" s="29">
        <f t="shared" si="1412"/>
        <v>0</v>
      </c>
      <c r="U192" s="29">
        <f t="shared" si="1412"/>
        <v>0</v>
      </c>
      <c r="V192" s="29">
        <f t="shared" si="1412"/>
        <v>0</v>
      </c>
      <c r="W192" s="29">
        <f t="shared" ref="W192" si="1413">W189-W190-W191</f>
        <v>0</v>
      </c>
      <c r="X192" s="29">
        <f t="shared" ref="X192:Y192" si="1414">X189-X190-X191</f>
        <v>0</v>
      </c>
      <c r="Y192" s="29">
        <f t="shared" si="1414"/>
        <v>0</v>
      </c>
      <c r="Z192" s="29">
        <f t="shared" ref="Z192:AA192" si="1415">Z189-Z190-Z191</f>
        <v>0</v>
      </c>
      <c r="AA192" s="29">
        <f t="shared" ref="AA192" si="1416">AA189-AA190-AA191</f>
        <v>0</v>
      </c>
      <c r="AB192" s="30">
        <f t="shared" ref="AB192:AD192" si="1417">AB189-AB190-AB191</f>
        <v>0</v>
      </c>
      <c r="AC192" s="30">
        <f t="shared" si="1417"/>
        <v>0</v>
      </c>
      <c r="AD192" s="30">
        <f t="shared" si="1417"/>
        <v>0</v>
      </c>
      <c r="AE192" s="30">
        <f t="shared" ref="AE192" si="1418">AE189-AE190-AE191</f>
        <v>0</v>
      </c>
      <c r="CK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  <c r="DF192" s="29">
        <v>0</v>
      </c>
    </row>
    <row r="193" spans="1:110" s="5" customFormat="1" x14ac:dyDescent="0.2">
      <c r="AB193" s="63"/>
      <c r="AC193" s="63"/>
      <c r="AD193" s="63"/>
      <c r="AE193" s="63"/>
      <c r="CE193" s="112"/>
      <c r="CG193" s="112"/>
      <c r="CK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9"/>
    </row>
    <row r="194" spans="1:110" s="95" customFormat="1" x14ac:dyDescent="0.2">
      <c r="A194" s="95" t="s">
        <v>85</v>
      </c>
      <c r="B194" s="95" t="e">
        <f t="shared" ref="B194:W194" si="1419">B189/B139</f>
        <v>#DIV/0!</v>
      </c>
      <c r="C194" s="95" t="e">
        <f t="shared" si="1419"/>
        <v>#DIV/0!</v>
      </c>
      <c r="D194" s="95" t="e">
        <f t="shared" si="1419"/>
        <v>#DIV/0!</v>
      </c>
      <c r="E194" s="95">
        <f t="shared" si="1419"/>
        <v>0</v>
      </c>
      <c r="F194" s="95">
        <f t="shared" si="1419"/>
        <v>0</v>
      </c>
      <c r="G194" s="95">
        <f t="shared" si="1419"/>
        <v>0.52500000000000002</v>
      </c>
      <c r="H194" s="95">
        <f t="shared" si="1419"/>
        <v>6.8455381381595348</v>
      </c>
      <c r="I194" s="95">
        <f t="shared" si="1419"/>
        <v>13.429477062601428</v>
      </c>
      <c r="J194" s="95">
        <f t="shared" si="1419"/>
        <v>1.449928306878804</v>
      </c>
      <c r="K194" s="95">
        <f t="shared" si="1419"/>
        <v>1.9876185959896295</v>
      </c>
      <c r="L194" s="95">
        <f t="shared" si="1419"/>
        <v>2.6490396544155539</v>
      </c>
      <c r="M194" s="95">
        <f t="shared" si="1419"/>
        <v>3.104579966927703</v>
      </c>
      <c r="N194" s="95">
        <f t="shared" si="1419"/>
        <v>3.7501659520055151E-2</v>
      </c>
      <c r="O194" s="95">
        <f t="shared" si="1419"/>
        <v>4.4218669527569046E-2</v>
      </c>
      <c r="P194" s="95">
        <f t="shared" si="1419"/>
        <v>5.0957094095328594E-2</v>
      </c>
      <c r="Q194" s="95">
        <f t="shared" si="1419"/>
        <v>8.0660323037657369E-2</v>
      </c>
      <c r="R194" s="95">
        <f t="shared" si="1419"/>
        <v>0.20961074290895998</v>
      </c>
      <c r="S194" s="95">
        <f t="shared" si="1419"/>
        <v>0.71213160469117209</v>
      </c>
      <c r="T194" s="95">
        <f t="shared" si="1419"/>
        <v>-1.7693510826874308</v>
      </c>
      <c r="U194" s="95">
        <f t="shared" si="1419"/>
        <v>-0.77125496589461062</v>
      </c>
      <c r="V194" s="95">
        <f t="shared" si="1419"/>
        <v>2.8961393918688065</v>
      </c>
      <c r="W194" s="95">
        <f t="shared" si="1419"/>
        <v>0.26797232000349824</v>
      </c>
      <c r="X194" s="95">
        <f t="shared" ref="X194:Y194" si="1420">X189/X139</f>
        <v>0.10079192540991773</v>
      </c>
      <c r="Y194" s="95">
        <f t="shared" si="1420"/>
        <v>4.6763566762294088E-2</v>
      </c>
      <c r="Z194" s="95">
        <f t="shared" ref="Z194:AA194" si="1421">Z189/Z139</f>
        <v>2.1404698089722739E-2</v>
      </c>
      <c r="AA194" s="95">
        <f t="shared" ref="AA194" si="1422">AA189/AA139</f>
        <v>1.0891499560804275E-2</v>
      </c>
      <c r="AB194" s="87">
        <f t="shared" ref="AB194:AD194" si="1423">AB189/AB139</f>
        <v>0</v>
      </c>
      <c r="AC194" s="87">
        <f t="shared" si="1423"/>
        <v>0</v>
      </c>
      <c r="AD194" s="87">
        <f t="shared" si="1423"/>
        <v>0</v>
      </c>
      <c r="AE194" s="87">
        <f t="shared" ref="AE194" si="1424">AE189/AE139</f>
        <v>0</v>
      </c>
      <c r="CK194" s="96"/>
      <c r="CM194" s="96"/>
      <c r="CN194" s="96"/>
      <c r="CO194" s="96"/>
      <c r="CP194" s="96"/>
      <c r="CQ194" s="96"/>
      <c r="CR194" s="96"/>
      <c r="CS194" s="96"/>
      <c r="CT194" s="96"/>
      <c r="CU194" s="96"/>
      <c r="CV194" s="96"/>
      <c r="CW194" s="96"/>
      <c r="CX194" s="96"/>
      <c r="CY194" s="96"/>
      <c r="CZ194" s="96"/>
      <c r="DA194" s="96"/>
      <c r="DB194" s="96"/>
      <c r="DE194" s="140"/>
      <c r="DF194" s="95" t="e">
        <v>#DIV/0!</v>
      </c>
    </row>
    <row r="195" spans="1:110" x14ac:dyDescent="0.2">
      <c r="A195" s="152" t="s">
        <v>492</v>
      </c>
      <c r="AA195" s="2"/>
      <c r="CE195" s="111"/>
      <c r="CG195" s="111"/>
      <c r="CL195" s="2"/>
    </row>
    <row r="196" spans="1:110" s="6" customFormat="1" x14ac:dyDescent="0.2">
      <c r="AB196" s="19"/>
      <c r="AC196" s="19"/>
      <c r="AD196" s="19"/>
      <c r="AE196" s="19"/>
      <c r="CE196" s="113"/>
      <c r="CG196" s="113"/>
      <c r="CK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3"/>
    </row>
    <row r="197" spans="1:110" s="62" customFormat="1" x14ac:dyDescent="0.2">
      <c r="A197" s="153" t="s">
        <v>493</v>
      </c>
      <c r="AB197" s="63"/>
      <c r="AC197" s="63"/>
      <c r="AD197" s="63"/>
      <c r="AE197" s="63"/>
      <c r="CE197" s="114"/>
      <c r="CG197" s="114"/>
      <c r="CK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E197" s="139"/>
    </row>
    <row r="198" spans="1:110" s="62" customFormat="1" outlineLevel="1" x14ac:dyDescent="0.2">
      <c r="A198" s="68" t="s">
        <v>464</v>
      </c>
      <c r="B198" s="67" t="e">
        <f t="shared" ref="B198:AE198" si="1425">B163/B27*365</f>
        <v>#DIV/0!</v>
      </c>
      <c r="C198" s="67" t="e">
        <f t="shared" si="1425"/>
        <v>#DIV/0!</v>
      </c>
      <c r="D198" s="67" t="e">
        <f t="shared" si="1425"/>
        <v>#DIV/0!</v>
      </c>
      <c r="E198" s="67" t="e">
        <f t="shared" si="1425"/>
        <v>#DIV/0!</v>
      </c>
      <c r="F198" s="67" t="e">
        <f t="shared" si="1425"/>
        <v>#DIV/0!</v>
      </c>
      <c r="G198" s="67" t="e">
        <f t="shared" si="1425"/>
        <v>#DIV/0!</v>
      </c>
      <c r="H198" s="67" t="e">
        <f t="shared" si="1425"/>
        <v>#DIV/0!</v>
      </c>
      <c r="I198" s="67" t="e">
        <f t="shared" si="1425"/>
        <v>#DIV/0!</v>
      </c>
      <c r="J198" s="67" t="e">
        <f t="shared" si="1425"/>
        <v>#DIV/0!</v>
      </c>
      <c r="K198" s="67">
        <f t="shared" si="1425"/>
        <v>7.9906176700547293</v>
      </c>
      <c r="L198" s="67">
        <f t="shared" si="1425"/>
        <v>48.481704204309686</v>
      </c>
      <c r="M198" s="67">
        <f t="shared" si="1425"/>
        <v>73.741923580700657</v>
      </c>
      <c r="N198" s="67">
        <f t="shared" si="1425"/>
        <v>83.757102440348362</v>
      </c>
      <c r="O198" s="67">
        <f t="shared" si="1425"/>
        <v>30.234960132954818</v>
      </c>
      <c r="P198" s="67">
        <f t="shared" si="1425"/>
        <v>30.422362514287585</v>
      </c>
      <c r="Q198" s="67">
        <f t="shared" si="1425"/>
        <v>23.147582050409348</v>
      </c>
      <c r="R198" s="67">
        <f t="shared" si="1425"/>
        <v>28.411901831972838</v>
      </c>
      <c r="S198" s="67">
        <f t="shared" si="1425"/>
        <v>15.711106229819526</v>
      </c>
      <c r="T198" s="67">
        <f t="shared" si="1425"/>
        <v>18.706491074845356</v>
      </c>
      <c r="U198" s="67">
        <f t="shared" si="1425"/>
        <v>34.789964908197611</v>
      </c>
      <c r="V198" s="67">
        <f t="shared" si="1425"/>
        <v>28.189299383558819</v>
      </c>
      <c r="W198" s="67">
        <f t="shared" si="1425"/>
        <v>29.744981989218793</v>
      </c>
      <c r="X198" s="67">
        <f t="shared" si="1425"/>
        <v>28.948993250510011</v>
      </c>
      <c r="Y198" s="67">
        <f t="shared" si="1425"/>
        <v>30.026394578088929</v>
      </c>
      <c r="Z198" s="67">
        <f t="shared" si="1425"/>
        <v>21.543427594461445</v>
      </c>
      <c r="AA198" s="67">
        <f t="shared" ref="AA198" si="1426">AA163/AA27*365</f>
        <v>24.383435114560111</v>
      </c>
      <c r="AB198" s="18">
        <f t="shared" si="1425"/>
        <v>26.488561249978225</v>
      </c>
      <c r="AC198" s="18">
        <f t="shared" si="1425"/>
        <v>27.376964604148878</v>
      </c>
      <c r="AD198" s="18">
        <f t="shared" si="1425"/>
        <v>27.826524220511438</v>
      </c>
      <c r="AE198" s="18">
        <f t="shared" si="1425"/>
        <v>28.292179949802435</v>
      </c>
      <c r="AI198" s="67">
        <f>AJ163/AI27*90</f>
        <v>69.608621894022534</v>
      </c>
      <c r="AJ198" s="67">
        <f>AJ163/AJ27*90</f>
        <v>69.629930324950578</v>
      </c>
      <c r="AK198" s="67">
        <f t="shared" ref="AK198:CE198" si="1427">+AJ198</f>
        <v>69.629930324950578</v>
      </c>
      <c r="AL198" s="67">
        <f>AL163/AL27*90</f>
        <v>74.113639611884835</v>
      </c>
      <c r="AM198" s="67">
        <f t="shared" ref="AM198:AM199" si="1428">+AL198</f>
        <v>74.113639611884835</v>
      </c>
      <c r="AN198" s="67">
        <f>AN163/AN27*90</f>
        <v>35.339311228260335</v>
      </c>
      <c r="AO198" s="67">
        <f t="shared" ref="AO198:AO199" si="1429">+AN198</f>
        <v>35.339311228260335</v>
      </c>
      <c r="AP198" s="67">
        <f>AP163/AP27*90</f>
        <v>19.225647003497045</v>
      </c>
      <c r="AQ198" s="67">
        <f t="shared" ref="AQ198:AQ199" si="1430">+AP198</f>
        <v>19.225647003497045</v>
      </c>
      <c r="AR198" s="67">
        <f>AR163/AR27*90</f>
        <v>42.031447010918711</v>
      </c>
      <c r="AS198" s="67">
        <f t="shared" ref="AS198:AS199" si="1431">+AR198</f>
        <v>42.031447010918711</v>
      </c>
      <c r="AT198" s="67">
        <f>AT163/AT27*90</f>
        <v>31.411379821577011</v>
      </c>
      <c r="AU198" s="67">
        <f t="shared" ref="AU198:AU199" si="1432">+AT198</f>
        <v>31.411379821577011</v>
      </c>
      <c r="AV198" s="67">
        <f>AV163/AV27*90</f>
        <v>24.77295531098332</v>
      </c>
      <c r="AW198" s="67">
        <f t="shared" ref="AW198:AW199" si="1433">+AV198</f>
        <v>24.77295531098332</v>
      </c>
      <c r="AX198" s="67">
        <f>AX163/AX27*90</f>
        <v>19.061895437404104</v>
      </c>
      <c r="AY198" s="67">
        <f t="shared" ref="AY198:AY199" si="1434">+AX198</f>
        <v>19.061895437404104</v>
      </c>
      <c r="AZ198" s="67">
        <f>AZ163/AZ27*90</f>
        <v>3.2278368651248372E-3</v>
      </c>
      <c r="BA198" s="67">
        <f t="shared" ref="BA198:BA199" si="1435">+AZ198</f>
        <v>3.2278368651248372E-3</v>
      </c>
      <c r="BB198" s="67">
        <f>BB163/BB27*90</f>
        <v>24.941933777586772</v>
      </c>
      <c r="BC198" s="67">
        <f t="shared" ref="BC198:BC199" si="1436">+BB198</f>
        <v>24.941933777586772</v>
      </c>
      <c r="BD198" s="67">
        <f>BD163/BD27*90</f>
        <v>24.770622092692868</v>
      </c>
      <c r="BE198" s="67">
        <f t="shared" ref="BE198:BE199" si="1437">+BD198</f>
        <v>24.770622092692868</v>
      </c>
      <c r="BF198" s="67">
        <f>BF163/BF27*90</f>
        <v>19.757360199537327</v>
      </c>
      <c r="BG198" s="67">
        <f t="shared" ref="BG198:BG199" si="1438">+BF198</f>
        <v>19.757360199537327</v>
      </c>
      <c r="BH198" s="67">
        <f>BH163/BH27*90</f>
        <v>20.613973103310425</v>
      </c>
      <c r="BI198" s="67">
        <f t="shared" ref="BI198:BI199" si="1439">+BH198</f>
        <v>20.613973103310425</v>
      </c>
      <c r="BJ198" s="67">
        <f>BJ163/BJ27*90</f>
        <v>16.389733580095569</v>
      </c>
      <c r="BK198" s="67">
        <f t="shared" ref="BK198:BK199" si="1440">+BJ198</f>
        <v>16.389733580095569</v>
      </c>
      <c r="BL198" s="67">
        <f>BL163/BL27*90</f>
        <v>27.431812687953563</v>
      </c>
      <c r="BM198" s="67">
        <f t="shared" ref="BM198:BM199" si="1441">+BL198</f>
        <v>27.431812687953563</v>
      </c>
      <c r="BN198" s="67">
        <f>BN163/BN27*90</f>
        <v>36.784426878879145</v>
      </c>
      <c r="BO198" s="67">
        <f t="shared" ref="BO198:BO199" si="1442">+BN198</f>
        <v>36.784426878879145</v>
      </c>
      <c r="BP198" s="67">
        <f>BP163/BP27*90</f>
        <v>21.935990894555705</v>
      </c>
      <c r="BQ198" s="67">
        <f t="shared" ref="BQ198:BQ199" si="1443">+BP198</f>
        <v>21.935990894555705</v>
      </c>
      <c r="BR198" s="67">
        <f>BR163/BR27*90</f>
        <v>28.596068156144092</v>
      </c>
      <c r="BS198" s="67">
        <f t="shared" ref="BS198:BS199" si="1444">+BR198</f>
        <v>28.596068156144092</v>
      </c>
      <c r="BT198" s="67">
        <f>BT163/BT27*90</f>
        <v>16.624527843261323</v>
      </c>
      <c r="BU198" s="67">
        <f t="shared" ref="BU198:BU199" si="1445">+BT198</f>
        <v>16.624527843261323</v>
      </c>
      <c r="BV198" s="67">
        <f>BV163/BV27*90</f>
        <v>19.178007092051352</v>
      </c>
      <c r="BW198" s="67">
        <f t="shared" ref="BW198:BW199" si="1446">+BV198</f>
        <v>19.178007092051352</v>
      </c>
      <c r="BX198" s="67">
        <f>BX163/BX27*90</f>
        <v>63.468682253963429</v>
      </c>
      <c r="BY198" s="67">
        <f t="shared" ref="BY198:BY199" si="1447">+BX198</f>
        <v>63.468682253963429</v>
      </c>
      <c r="BZ198" s="67">
        <f>BZ163/BZ27*90</f>
        <v>27.022688795027562</v>
      </c>
      <c r="CA198" s="67">
        <f t="shared" ref="CA198:CA199" si="1448">+BZ198</f>
        <v>27.022688795027562</v>
      </c>
      <c r="CB198" s="67">
        <f>CB163/CB27*90</f>
        <v>21.294545740067036</v>
      </c>
      <c r="CC198" s="67">
        <f t="shared" ref="CC198:CC199" si="1449">+CB198</f>
        <v>21.294545740067036</v>
      </c>
      <c r="CD198" s="67">
        <f>CD163/CD27*90</f>
        <v>27.895663548017055</v>
      </c>
      <c r="CE198" s="67">
        <f t="shared" si="1427"/>
        <v>27.895663548017055</v>
      </c>
      <c r="CF198" s="67">
        <f>CF163/CF27*90</f>
        <v>25.229172164379619</v>
      </c>
      <c r="CG198" s="67">
        <f t="shared" ref="CG198:CI199" si="1450">+CF198</f>
        <v>25.229172164379619</v>
      </c>
      <c r="CH198" s="67">
        <f>CH163/CH27*90</f>
        <v>20.969783808841502</v>
      </c>
      <c r="CI198" s="67">
        <f t="shared" si="1450"/>
        <v>20.969783808841502</v>
      </c>
      <c r="CJ198" s="67">
        <f>CJ163/CJ27*90</f>
        <v>21.002545917169261</v>
      </c>
      <c r="CK198" s="30">
        <f>+CJ198+10</f>
        <v>31.002545917169261</v>
      </c>
      <c r="CL198" s="67">
        <f>CL163/CL27*90</f>
        <v>22.928435382184887</v>
      </c>
      <c r="CM198" s="30">
        <f t="shared" ref="CM198" si="1451">+CL198</f>
        <v>22.928435382184887</v>
      </c>
      <c r="CN198" s="30">
        <f t="shared" ref="CN198" si="1452">+CM198</f>
        <v>22.928435382184887</v>
      </c>
      <c r="CO198" s="30">
        <f t="shared" ref="CO198" si="1453">+CN198</f>
        <v>22.928435382184887</v>
      </c>
      <c r="CP198" s="30">
        <f t="shared" ref="CP198" si="1454">+CO198</f>
        <v>22.928435382184887</v>
      </c>
      <c r="CQ198" s="30">
        <f t="shared" ref="CQ198" si="1455">+CP198</f>
        <v>22.928435382184887</v>
      </c>
      <c r="CR198" s="30">
        <f t="shared" ref="CR198" si="1456">+CQ198</f>
        <v>22.928435382184887</v>
      </c>
      <c r="CS198" s="30">
        <f t="shared" ref="CS198" si="1457">+CR198</f>
        <v>22.928435382184887</v>
      </c>
      <c r="CT198" s="30">
        <f t="shared" ref="CT198" si="1458">+CS198</f>
        <v>22.928435382184887</v>
      </c>
      <c r="CU198" s="30">
        <f t="shared" ref="CU198:CU199" si="1459">+CT198</f>
        <v>22.928435382184887</v>
      </c>
      <c r="CV198" s="30">
        <f t="shared" ref="CV198:CV199" si="1460">+CU198</f>
        <v>22.928435382184887</v>
      </c>
      <c r="CW198" s="30">
        <f t="shared" ref="CW198:CW199" si="1461">+CV198</f>
        <v>22.928435382184887</v>
      </c>
      <c r="CX198" s="30">
        <f t="shared" ref="CX198:CX199" si="1462">+CW198</f>
        <v>22.928435382184887</v>
      </c>
      <c r="CY198" s="30">
        <f t="shared" ref="CY198:CY199" si="1463">+CX198</f>
        <v>22.928435382184887</v>
      </c>
      <c r="CZ198" s="30">
        <f t="shared" ref="CZ198:CZ199" si="1464">+CY198</f>
        <v>22.928435382184887</v>
      </c>
      <c r="DA198" s="30">
        <f t="shared" ref="DA198:DA199" si="1465">+CZ198</f>
        <v>22.928435382184887</v>
      </c>
      <c r="DB198" s="30">
        <f t="shared" ref="DB198:DB199" si="1466">+DA198</f>
        <v>22.928435382184887</v>
      </c>
      <c r="DE198" s="139"/>
      <c r="DF198" s="62" t="e">
        <v>#DIV/0!</v>
      </c>
    </row>
    <row r="199" spans="1:110" s="62" customFormat="1" outlineLevel="1" x14ac:dyDescent="0.2">
      <c r="A199" s="68" t="s">
        <v>465</v>
      </c>
      <c r="B199" s="67" t="e">
        <f t="shared" ref="B199:AE199" si="1467">B164/B27*365</f>
        <v>#DIV/0!</v>
      </c>
      <c r="C199" s="67" t="e">
        <f t="shared" si="1467"/>
        <v>#DIV/0!</v>
      </c>
      <c r="D199" s="67" t="e">
        <f t="shared" si="1467"/>
        <v>#DIV/0!</v>
      </c>
      <c r="E199" s="67" t="e">
        <f t="shared" si="1467"/>
        <v>#DIV/0!</v>
      </c>
      <c r="F199" s="67" t="e">
        <f t="shared" si="1467"/>
        <v>#DIV/0!</v>
      </c>
      <c r="G199" s="67" t="e">
        <f t="shared" si="1467"/>
        <v>#DIV/0!</v>
      </c>
      <c r="H199" s="67" t="e">
        <f t="shared" si="1467"/>
        <v>#DIV/0!</v>
      </c>
      <c r="I199" s="67" t="e">
        <f t="shared" si="1467"/>
        <v>#DIV/0!</v>
      </c>
      <c r="J199" s="67" t="e">
        <f t="shared" si="1467"/>
        <v>#DIV/0!</v>
      </c>
      <c r="K199" s="67">
        <f t="shared" si="1467"/>
        <v>215.12555765073819</v>
      </c>
      <c r="L199" s="67">
        <f t="shared" si="1467"/>
        <v>7.8480837770877523</v>
      </c>
      <c r="M199" s="67">
        <f t="shared" si="1467"/>
        <v>40.066370816390368</v>
      </c>
      <c r="N199" s="67">
        <f t="shared" si="1467"/>
        <v>40.836480139718205</v>
      </c>
      <c r="O199" s="67">
        <f t="shared" si="1467"/>
        <v>36.426357516538516</v>
      </c>
      <c r="P199" s="67">
        <f t="shared" si="1467"/>
        <v>65.166846252789739</v>
      </c>
      <c r="Q199" s="67">
        <f t="shared" si="1467"/>
        <v>178.36161203689309</v>
      </c>
      <c r="R199" s="67">
        <f t="shared" si="1467"/>
        <v>124.34316537632802</v>
      </c>
      <c r="S199" s="67">
        <f t="shared" si="1467"/>
        <v>109.11397252204955</v>
      </c>
      <c r="T199" s="67">
        <f t="shared" si="1467"/>
        <v>130.67693134116391</v>
      </c>
      <c r="U199" s="67">
        <f t="shared" si="1467"/>
        <v>115.3768269424038</v>
      </c>
      <c r="V199" s="67">
        <f t="shared" si="1467"/>
        <v>164.80142234534438</v>
      </c>
      <c r="W199" s="67">
        <f t="shared" si="1467"/>
        <v>125.93241428188911</v>
      </c>
      <c r="X199" s="67">
        <f t="shared" si="1467"/>
        <v>108.53387253599772</v>
      </c>
      <c r="Y199" s="67">
        <f t="shared" si="1467"/>
        <v>84.650931208261952</v>
      </c>
      <c r="Z199" s="67">
        <f t="shared" si="1467"/>
        <v>84.569292364530142</v>
      </c>
      <c r="AA199" s="67">
        <f t="shared" ref="AA199" si="1468">AA164/AA27*365</f>
        <v>79.347507177291078</v>
      </c>
      <c r="AB199" s="18">
        <f t="shared" si="1467"/>
        <v>109.30334066371145</v>
      </c>
      <c r="AC199" s="18">
        <f t="shared" si="1467"/>
        <v>127.29749586625142</v>
      </c>
      <c r="AD199" s="18">
        <f t="shared" si="1467"/>
        <v>129.38785958016271</v>
      </c>
      <c r="AE199" s="18">
        <f t="shared" si="1467"/>
        <v>131.55306705044356</v>
      </c>
      <c r="AI199" s="67">
        <f>AJ164/AI27*90</f>
        <v>30.773575491467916</v>
      </c>
      <c r="AJ199" s="67">
        <f>AJ164/AJ27*90</f>
        <v>30.782995827482715</v>
      </c>
      <c r="AK199" s="67">
        <f>+AJ199</f>
        <v>30.782995827482715</v>
      </c>
      <c r="AL199" s="67">
        <f>AL164/AL27*90</f>
        <v>36.134728684632613</v>
      </c>
      <c r="AM199" s="67">
        <f t="shared" si="1428"/>
        <v>36.134728684632613</v>
      </c>
      <c r="AN199" s="67">
        <f>AN164/AN27*90</f>
        <v>47.979602896979848</v>
      </c>
      <c r="AO199" s="67">
        <f t="shared" si="1429"/>
        <v>47.979602896979848</v>
      </c>
      <c r="AP199" s="67">
        <f>AP164/AP27*90</f>
        <v>23.162600121070827</v>
      </c>
      <c r="AQ199" s="67">
        <f t="shared" si="1430"/>
        <v>23.162600121070827</v>
      </c>
      <c r="AR199" s="67">
        <f>AR164/AR27*90</f>
        <v>62.40503094314515</v>
      </c>
      <c r="AS199" s="67">
        <f t="shared" si="1431"/>
        <v>62.40503094314515</v>
      </c>
      <c r="AT199" s="67">
        <f>AT164/AT27*90</f>
        <v>67.285391082278537</v>
      </c>
      <c r="AU199" s="67">
        <f t="shared" si="1432"/>
        <v>67.285391082278537</v>
      </c>
      <c r="AV199" s="67">
        <f>AV164/AV27*90</f>
        <v>122.77926070708776</v>
      </c>
      <c r="AW199" s="67">
        <f t="shared" si="1433"/>
        <v>122.77926070708776</v>
      </c>
      <c r="AX199" s="67">
        <f>AX164/AX27*90</f>
        <v>146.87972122919717</v>
      </c>
      <c r="AY199" s="67">
        <f t="shared" si="1434"/>
        <v>146.87972122919717</v>
      </c>
      <c r="AZ199" s="67">
        <f>AZ164/AZ27*90</f>
        <v>153.66068978873807</v>
      </c>
      <c r="BA199" s="67">
        <f t="shared" si="1435"/>
        <v>153.66068978873807</v>
      </c>
      <c r="BB199" s="67">
        <f>BB164/BB27*90</f>
        <v>109.15703619044022</v>
      </c>
      <c r="BC199" s="67">
        <f t="shared" si="1436"/>
        <v>109.15703619044022</v>
      </c>
      <c r="BD199" s="67">
        <f>BD164/BD27*90</f>
        <v>96.465217850155469</v>
      </c>
      <c r="BE199" s="67">
        <f t="shared" si="1437"/>
        <v>96.465217850155469</v>
      </c>
      <c r="BF199" s="67">
        <f>BF164/BF27*90</f>
        <v>137.2152938428267</v>
      </c>
      <c r="BG199" s="67">
        <f t="shared" si="1438"/>
        <v>137.2152938428267</v>
      </c>
      <c r="BH199" s="67">
        <f>BH164/BH27*90</f>
        <v>106.25283282330783</v>
      </c>
      <c r="BI199" s="67">
        <f t="shared" si="1439"/>
        <v>106.25283282330783</v>
      </c>
      <c r="BJ199" s="67">
        <f>BJ164/BJ27*90</f>
        <v>114.49288277405188</v>
      </c>
      <c r="BK199" s="67">
        <f t="shared" si="1440"/>
        <v>114.49288277405188</v>
      </c>
      <c r="BL199" s="67">
        <f>BL164/BL27*90</f>
        <v>158.69142906406523</v>
      </c>
      <c r="BM199" s="67">
        <f t="shared" si="1441"/>
        <v>158.69142906406523</v>
      </c>
      <c r="BN199" s="67">
        <f>BN164/BN27*90</f>
        <v>121.99122549789952</v>
      </c>
      <c r="BO199" s="67">
        <f t="shared" si="1442"/>
        <v>121.99122549789952</v>
      </c>
      <c r="BP199" s="67">
        <f>BP164/BP27*90</f>
        <v>146.75978583623365</v>
      </c>
      <c r="BQ199" s="67">
        <f t="shared" si="1443"/>
        <v>146.75978583623365</v>
      </c>
      <c r="BR199" s="67">
        <f>BR164/BR27*90</f>
        <v>167.1794903978913</v>
      </c>
      <c r="BS199" s="67">
        <f t="shared" si="1444"/>
        <v>167.1794903978913</v>
      </c>
      <c r="BT199" s="67">
        <f>BT164/BT27*90</f>
        <v>203.29753494635065</v>
      </c>
      <c r="BU199" s="67">
        <f t="shared" si="1445"/>
        <v>203.29753494635065</v>
      </c>
      <c r="BV199" s="67">
        <f>BV164/BV27*90</f>
        <v>81.194627554072639</v>
      </c>
      <c r="BW199" s="67">
        <f t="shared" si="1446"/>
        <v>81.194627554072639</v>
      </c>
      <c r="BX199" s="67">
        <f>BX164/BX27*90</f>
        <v>116.93520657261665</v>
      </c>
      <c r="BY199" s="67">
        <f t="shared" si="1447"/>
        <v>116.93520657261665</v>
      </c>
      <c r="BZ199" s="67">
        <f>BZ164/BZ27*90</f>
        <v>101.31188452323067</v>
      </c>
      <c r="CA199" s="67">
        <f t="shared" si="1448"/>
        <v>101.31188452323067</v>
      </c>
      <c r="CB199" s="67">
        <f>CB164/CB27*90</f>
        <v>73.065444345056193</v>
      </c>
      <c r="CC199" s="67">
        <f t="shared" si="1449"/>
        <v>73.065444345056193</v>
      </c>
      <c r="CD199" s="67">
        <f>CD164/CD27*90</f>
        <v>78.643937415489276</v>
      </c>
      <c r="CE199" s="114">
        <f t="shared" ref="CE199" si="1469">+CD199</f>
        <v>78.643937415489276</v>
      </c>
      <c r="CF199" s="67">
        <f>CF164/CF27*90</f>
        <v>99.201079850782065</v>
      </c>
      <c r="CG199" s="67">
        <f t="shared" si="1450"/>
        <v>99.201079850782065</v>
      </c>
      <c r="CH199" s="67">
        <f>CH164/CH27*90</f>
        <v>82.317438577268319</v>
      </c>
      <c r="CI199" s="67">
        <f t="shared" si="1450"/>
        <v>82.317438577268319</v>
      </c>
      <c r="CJ199" s="67">
        <f>CJ164/CJ27*90</f>
        <v>63.12126769731973</v>
      </c>
      <c r="CK199" s="30">
        <f>+CJ199+20</f>
        <v>83.121267697319723</v>
      </c>
      <c r="CL199" s="67">
        <f>CL164/CL27*90</f>
        <v>74.61271074007125</v>
      </c>
      <c r="CM199" s="30">
        <f t="shared" ref="CM199:CN199" si="1470">+CL199+5</f>
        <v>79.61271074007125</v>
      </c>
      <c r="CN199" s="30">
        <f t="shared" si="1470"/>
        <v>84.61271074007125</v>
      </c>
      <c r="CO199" s="30">
        <f>+CN199+5</f>
        <v>89.61271074007125</v>
      </c>
      <c r="CP199" s="30">
        <f>+CO199+5</f>
        <v>94.61271074007125</v>
      </c>
      <c r="CQ199" s="30">
        <f>+CP199+3</f>
        <v>97.61271074007125</v>
      </c>
      <c r="CR199" s="30">
        <f t="shared" ref="CR199:CT199" si="1471">+CQ199+3</f>
        <v>100.61271074007125</v>
      </c>
      <c r="CS199" s="30">
        <f t="shared" si="1471"/>
        <v>103.61271074007125</v>
      </c>
      <c r="CT199" s="30">
        <f t="shared" si="1471"/>
        <v>106.61271074007125</v>
      </c>
      <c r="CU199" s="30">
        <f t="shared" si="1459"/>
        <v>106.61271074007125</v>
      </c>
      <c r="CV199" s="30">
        <f t="shared" si="1460"/>
        <v>106.61271074007125</v>
      </c>
      <c r="CW199" s="30">
        <f t="shared" si="1461"/>
        <v>106.61271074007125</v>
      </c>
      <c r="CX199" s="30">
        <f t="shared" si="1462"/>
        <v>106.61271074007125</v>
      </c>
      <c r="CY199" s="30">
        <f t="shared" si="1463"/>
        <v>106.61271074007125</v>
      </c>
      <c r="CZ199" s="30">
        <f t="shared" si="1464"/>
        <v>106.61271074007125</v>
      </c>
      <c r="DA199" s="30">
        <f t="shared" si="1465"/>
        <v>106.61271074007125</v>
      </c>
      <c r="DB199" s="30">
        <f t="shared" si="1466"/>
        <v>106.61271074007125</v>
      </c>
      <c r="DE199" s="139"/>
      <c r="DF199" s="62" t="e">
        <v>#DIV/0!</v>
      </c>
    </row>
    <row r="200" spans="1:110" s="62" customFormat="1" outlineLevel="1" x14ac:dyDescent="0.2">
      <c r="A200" s="68" t="s">
        <v>466</v>
      </c>
      <c r="B200" s="67" t="e">
        <f>B201-B199-B198</f>
        <v>#DIV/0!</v>
      </c>
      <c r="C200" s="67" t="e">
        <f t="shared" ref="C200:U200" si="1472">C201-C199-C198</f>
        <v>#DIV/0!</v>
      </c>
      <c r="D200" s="67" t="e">
        <f t="shared" si="1472"/>
        <v>#DIV/0!</v>
      </c>
      <c r="E200" s="67" t="e">
        <f t="shared" si="1472"/>
        <v>#DIV/0!</v>
      </c>
      <c r="F200" s="67" t="e">
        <f t="shared" si="1472"/>
        <v>#DIV/0!</v>
      </c>
      <c r="G200" s="67" t="e">
        <f t="shared" si="1472"/>
        <v>#DIV/0!</v>
      </c>
      <c r="H200" s="67" t="e">
        <f t="shared" si="1472"/>
        <v>#DIV/0!</v>
      </c>
      <c r="I200" s="67" t="e">
        <f t="shared" si="1472"/>
        <v>#DIV/0!</v>
      </c>
      <c r="J200" s="67" t="e">
        <f t="shared" si="1472"/>
        <v>#DIV/0!</v>
      </c>
      <c r="K200" s="67">
        <f t="shared" si="1472"/>
        <v>789.50995722761354</v>
      </c>
      <c r="L200" s="67">
        <f t="shared" si="1472"/>
        <v>792.05473517579208</v>
      </c>
      <c r="M200" s="67">
        <f t="shared" si="1472"/>
        <v>373.32367258367225</v>
      </c>
      <c r="N200" s="67">
        <f t="shared" si="1472"/>
        <v>132.35944838450826</v>
      </c>
      <c r="O200" s="67">
        <f t="shared" si="1472"/>
        <v>112.57575385252102</v>
      </c>
      <c r="P200" s="67">
        <f t="shared" si="1472"/>
        <v>125.42107061981264</v>
      </c>
      <c r="Q200" s="67">
        <f t="shared" si="1472"/>
        <v>54.397961473701649</v>
      </c>
      <c r="R200" s="67">
        <f t="shared" si="1472"/>
        <v>109.27674414594233</v>
      </c>
      <c r="S200" s="67">
        <f t="shared" si="1472"/>
        <v>170.62112520118913</v>
      </c>
      <c r="T200" s="67">
        <f t="shared" si="1472"/>
        <v>99.722309913926267</v>
      </c>
      <c r="U200" s="67">
        <f t="shared" si="1472"/>
        <v>54.7923640570476</v>
      </c>
      <c r="V200" s="67">
        <f>V201-V199-V198</f>
        <v>56.004989039520325</v>
      </c>
      <c r="W200" s="67">
        <f t="shared" ref="W200" si="1473">W201-W199-W198</f>
        <v>53.607668457279665</v>
      </c>
      <c r="X200" s="67">
        <f t="shared" ref="X200:Y200" si="1474">X201-X199-X198</f>
        <v>41.025727755955771</v>
      </c>
      <c r="Y200" s="67">
        <f t="shared" si="1474"/>
        <v>33.364666219805855</v>
      </c>
      <c r="Z200" s="67">
        <f t="shared" ref="Z200:AA200" si="1475">Z201-Z199-Z198</f>
        <v>51.689860824378172</v>
      </c>
      <c r="AA200" s="67">
        <f t="shared" ref="AA200" si="1476">AA201-AA199-AA198</f>
        <v>88.533521618155561</v>
      </c>
      <c r="AB200" s="18">
        <f t="shared" ref="AB200:AD200" si="1477">AB201-AB199-AB198</f>
        <v>121.94970094644447</v>
      </c>
      <c r="AC200" s="18">
        <f t="shared" si="1477"/>
        <v>145.14407610476408</v>
      </c>
      <c r="AD200" s="18">
        <f t="shared" si="1477"/>
        <v>147.52750012983174</v>
      </c>
      <c r="AE200" s="18">
        <f t="shared" ref="AE200" si="1478">AE201-AE199-AE198</f>
        <v>149.9962606950769</v>
      </c>
      <c r="AI200" s="67">
        <f t="shared" ref="AI200:AK200" si="1479">AI201-AI199-AI198</f>
        <v>-100.38219738549046</v>
      </c>
      <c r="AJ200" s="67">
        <f t="shared" ref="AJ200:AM200" si="1480">AJ201-AJ199-AJ198</f>
        <v>222.79804883242718</v>
      </c>
      <c r="AK200" s="67">
        <f t="shared" si="1479"/>
        <v>174.52532788344521</v>
      </c>
      <c r="AL200" s="67">
        <f t="shared" si="1480"/>
        <v>122.34917660510398</v>
      </c>
      <c r="AM200" s="67">
        <f t="shared" si="1480"/>
        <v>73.190630436487268</v>
      </c>
      <c r="AN200" s="67">
        <f t="shared" ref="AN200:AY200" si="1481">AN201-AN199-AN198</f>
        <v>142.85125880672024</v>
      </c>
      <c r="AO200" s="67">
        <f t="shared" si="1481"/>
        <v>103.79131854206489</v>
      </c>
      <c r="AP200" s="67">
        <f t="shared" si="1481"/>
        <v>74.209412506316212</v>
      </c>
      <c r="AQ200" s="67">
        <f t="shared" si="1481"/>
        <v>84.947240118073267</v>
      </c>
      <c r="AR200" s="67">
        <f t="shared" si="1481"/>
        <v>102.70219121344861</v>
      </c>
      <c r="AS200" s="67">
        <f t="shared" si="1481"/>
        <v>77.397825237779472</v>
      </c>
      <c r="AT200" s="67">
        <f t="shared" si="1481"/>
        <v>132.48793802329268</v>
      </c>
      <c r="AU200" s="67">
        <f t="shared" si="1481"/>
        <v>104.01136329232727</v>
      </c>
      <c r="AV200" s="67">
        <f t="shared" si="1481"/>
        <v>76.34966951447052</v>
      </c>
      <c r="AW200" s="67">
        <f t="shared" si="1481"/>
        <v>70.91783514696121</v>
      </c>
      <c r="AX200" s="67">
        <f t="shared" si="1481"/>
        <v>44.741183441704976</v>
      </c>
      <c r="AY200" s="67">
        <f t="shared" si="1481"/>
        <v>63.505890216392345</v>
      </c>
      <c r="AZ200" s="67">
        <f t="shared" ref="AZ200:BC200" si="1482">AZ201-AZ199-AZ198</f>
        <v>132.0750149287455</v>
      </c>
      <c r="BA200" s="67">
        <f t="shared" si="1482"/>
        <v>135.60066280033143</v>
      </c>
      <c r="BB200" s="67">
        <f t="shared" si="1482"/>
        <v>95.809408664358827</v>
      </c>
      <c r="BC200" s="67">
        <f t="shared" si="1482"/>
        <v>109.78962217860646</v>
      </c>
      <c r="BD200" s="67">
        <f t="shared" ref="BD200:CE200" si="1483">BD201-BD199-BD198</f>
        <v>113.37189988715789</v>
      </c>
      <c r="BE200" s="67">
        <f t="shared" si="1483"/>
        <v>144.13643625914966</v>
      </c>
      <c r="BF200" s="67">
        <f t="shared" si="1483"/>
        <v>214.09556391147419</v>
      </c>
      <c r="BG200" s="67">
        <f t="shared" si="1483"/>
        <v>222.56674186877228</v>
      </c>
      <c r="BH200" s="67">
        <f t="shared" si="1483"/>
        <v>112.83881974375791</v>
      </c>
      <c r="BI200" s="67">
        <f t="shared" si="1483"/>
        <v>127.1414297133721</v>
      </c>
      <c r="BJ200" s="67">
        <f t="shared" si="1483"/>
        <v>87.327068071862584</v>
      </c>
      <c r="BK200" s="67">
        <f t="shared" si="1483"/>
        <v>75.208795122988732</v>
      </c>
      <c r="BL200" s="67">
        <f t="shared" si="1483"/>
        <v>53.466696192667342</v>
      </c>
      <c r="BM200" s="67">
        <f t="shared" si="1483"/>
        <v>48.106624972242599</v>
      </c>
      <c r="BN200" s="67">
        <f t="shared" si="1483"/>
        <v>57.756232148440674</v>
      </c>
      <c r="BO200" s="67">
        <f t="shared" si="1483"/>
        <v>68.506523080116025</v>
      </c>
      <c r="BP200" s="67">
        <f t="shared" si="1483"/>
        <v>39.106141142129317</v>
      </c>
      <c r="BQ200" s="67">
        <f t="shared" si="1483"/>
        <v>43.951955375324147</v>
      </c>
      <c r="BR200" s="67">
        <f t="shared" si="1483"/>
        <v>56.813135433663923</v>
      </c>
      <c r="BS200" s="67">
        <f t="shared" si="1483"/>
        <v>55.124359477900335</v>
      </c>
      <c r="BT200" s="67">
        <f t="shared" si="1483"/>
        <v>77.527133338220438</v>
      </c>
      <c r="BU200" s="67">
        <f t="shared" si="1483"/>
        <v>74.964240945516337</v>
      </c>
      <c r="BV200" s="67">
        <f t="shared" si="1483"/>
        <v>34.563417998863919</v>
      </c>
      <c r="BW200" s="67">
        <f t="shared" si="1483"/>
        <v>26.691969575298806</v>
      </c>
      <c r="BX200" s="67">
        <f t="shared" si="1483"/>
        <v>69.351071940168367</v>
      </c>
      <c r="BY200" s="67">
        <f t="shared" si="1483"/>
        <v>62.914374691702243</v>
      </c>
      <c r="BZ200" s="67">
        <f t="shared" si="1483"/>
        <v>38.295821348439688</v>
      </c>
      <c r="CA200" s="67">
        <f t="shared" si="1483"/>
        <v>35.63915082767403</v>
      </c>
      <c r="CB200" s="67">
        <f t="shared" si="1483"/>
        <v>40.827068537355501</v>
      </c>
      <c r="CC200" s="67">
        <f t="shared" si="1483"/>
        <v>40.824365890155349</v>
      </c>
      <c r="CD200" s="67">
        <f t="shared" si="1483"/>
        <v>36.267056479161084</v>
      </c>
      <c r="CE200" s="114">
        <f t="shared" si="1483"/>
        <v>32.406638837681868</v>
      </c>
      <c r="CF200" s="67">
        <f t="shared" ref="CF200:CG200" si="1484">CF201-CF199-CF198</f>
        <v>35.754321202379813</v>
      </c>
      <c r="CG200" s="67">
        <f t="shared" si="1484"/>
        <v>34.885254967018184</v>
      </c>
      <c r="CH200" s="67">
        <f t="shared" ref="CH200" si="1485">CH201-CH199-CH198</f>
        <v>50.313498251085178</v>
      </c>
      <c r="CI200" s="67">
        <f>CH200</f>
        <v>50.313498251085178</v>
      </c>
      <c r="CJ200" s="67">
        <f t="shared" ref="CJ200:CL200" si="1486">CJ201-CJ199-CJ198</f>
        <v>93.516910359341423</v>
      </c>
      <c r="CK200" s="30">
        <f>CJ200+10</f>
        <v>103.51691035934142</v>
      </c>
      <c r="CL200" s="67">
        <f t="shared" si="1486"/>
        <v>97.559370010314225</v>
      </c>
      <c r="CM200" s="30">
        <f>CL200+2</f>
        <v>99.559370010314225</v>
      </c>
      <c r="CN200" s="30">
        <f t="shared" ref="CN200:CP200" si="1487">CM200+2</f>
        <v>101.55937001031423</v>
      </c>
      <c r="CO200" s="30">
        <f t="shared" si="1487"/>
        <v>103.55937001031423</v>
      </c>
      <c r="CP200" s="30">
        <f t="shared" si="1487"/>
        <v>105.55937001031423</v>
      </c>
      <c r="CQ200" s="30">
        <f>CP200+4</f>
        <v>109.55937001031423</v>
      </c>
      <c r="CR200" s="30">
        <f t="shared" ref="CR200:CT200" si="1488">CQ200+4</f>
        <v>113.55937001031423</v>
      </c>
      <c r="CS200" s="30">
        <f t="shared" si="1488"/>
        <v>117.55937001031423</v>
      </c>
      <c r="CT200" s="30">
        <f t="shared" si="1488"/>
        <v>121.55937001031423</v>
      </c>
      <c r="CU200" s="30">
        <f t="shared" ref="CU200:DB200" si="1489">CT200</f>
        <v>121.55937001031423</v>
      </c>
      <c r="CV200" s="30">
        <f t="shared" si="1489"/>
        <v>121.55937001031423</v>
      </c>
      <c r="CW200" s="30">
        <f t="shared" si="1489"/>
        <v>121.55937001031423</v>
      </c>
      <c r="CX200" s="30">
        <f t="shared" si="1489"/>
        <v>121.55937001031423</v>
      </c>
      <c r="CY200" s="30">
        <f t="shared" si="1489"/>
        <v>121.55937001031423</v>
      </c>
      <c r="CZ200" s="30">
        <f t="shared" si="1489"/>
        <v>121.55937001031423</v>
      </c>
      <c r="DA200" s="30">
        <f t="shared" si="1489"/>
        <v>121.55937001031423</v>
      </c>
      <c r="DB200" s="30">
        <f t="shared" si="1489"/>
        <v>121.55937001031423</v>
      </c>
      <c r="DE200" s="139"/>
      <c r="DF200" s="62" t="e">
        <v>#DIV/0!</v>
      </c>
    </row>
    <row r="201" spans="1:110" s="7" customFormat="1" outlineLevel="1" x14ac:dyDescent="0.2">
      <c r="A201" s="69" t="s">
        <v>467</v>
      </c>
      <c r="B201" s="70" t="e">
        <f t="shared" ref="B201:AE201" si="1490">B167/B27*365</f>
        <v>#DIV/0!</v>
      </c>
      <c r="C201" s="70" t="e">
        <f t="shared" si="1490"/>
        <v>#DIV/0!</v>
      </c>
      <c r="D201" s="70" t="e">
        <f t="shared" si="1490"/>
        <v>#DIV/0!</v>
      </c>
      <c r="E201" s="70" t="e">
        <f t="shared" si="1490"/>
        <v>#DIV/0!</v>
      </c>
      <c r="F201" s="70" t="e">
        <f t="shared" si="1490"/>
        <v>#DIV/0!</v>
      </c>
      <c r="G201" s="70" t="e">
        <f t="shared" si="1490"/>
        <v>#DIV/0!</v>
      </c>
      <c r="H201" s="70" t="e">
        <f t="shared" si="1490"/>
        <v>#DIV/0!</v>
      </c>
      <c r="I201" s="70" t="e">
        <f t="shared" si="1490"/>
        <v>#DIV/0!</v>
      </c>
      <c r="J201" s="70" t="e">
        <f t="shared" si="1490"/>
        <v>#DIV/0!</v>
      </c>
      <c r="K201" s="70">
        <f t="shared" si="1490"/>
        <v>1012.6261325484064</v>
      </c>
      <c r="L201" s="70">
        <f t="shared" si="1490"/>
        <v>848.38452315718951</v>
      </c>
      <c r="M201" s="70">
        <f t="shared" si="1490"/>
        <v>487.13196698076325</v>
      </c>
      <c r="N201" s="70">
        <f t="shared" si="1490"/>
        <v>256.95303096457485</v>
      </c>
      <c r="O201" s="70">
        <f t="shared" si="1490"/>
        <v>179.23707150201435</v>
      </c>
      <c r="P201" s="70">
        <f t="shared" si="1490"/>
        <v>221.01027938688995</v>
      </c>
      <c r="Q201" s="70">
        <f t="shared" si="1490"/>
        <v>255.90715556100409</v>
      </c>
      <c r="R201" s="70">
        <f t="shared" si="1490"/>
        <v>262.03181135424319</v>
      </c>
      <c r="S201" s="70">
        <f t="shared" si="1490"/>
        <v>295.44620395305822</v>
      </c>
      <c r="T201" s="70">
        <f t="shared" si="1490"/>
        <v>249.10573232993553</v>
      </c>
      <c r="U201" s="70">
        <f t="shared" si="1490"/>
        <v>204.95915590764901</v>
      </c>
      <c r="V201" s="70">
        <f t="shared" si="1490"/>
        <v>248.99571076842352</v>
      </c>
      <c r="W201" s="70">
        <f t="shared" si="1490"/>
        <v>209.28506472838757</v>
      </c>
      <c r="X201" s="70">
        <f t="shared" si="1490"/>
        <v>178.5085935424635</v>
      </c>
      <c r="Y201" s="70">
        <f t="shared" si="1490"/>
        <v>148.04199200615673</v>
      </c>
      <c r="Z201" s="70">
        <f t="shared" si="1490"/>
        <v>157.80258078336976</v>
      </c>
      <c r="AA201" s="70">
        <f t="shared" ref="AA201" si="1491">AA167/AA27*365</f>
        <v>192.26446391000675</v>
      </c>
      <c r="AB201" s="71">
        <f t="shared" si="1490"/>
        <v>257.74160286013415</v>
      </c>
      <c r="AC201" s="71">
        <f t="shared" si="1490"/>
        <v>299.81853657516439</v>
      </c>
      <c r="AD201" s="71">
        <f t="shared" si="1490"/>
        <v>304.74188393050588</v>
      </c>
      <c r="AE201" s="71">
        <f t="shared" si="1490"/>
        <v>309.84150769532289</v>
      </c>
      <c r="AI201" s="70">
        <f t="shared" ref="AI201:CD201" si="1492">AI167/AI27*90</f>
        <v>0</v>
      </c>
      <c r="AJ201" s="70">
        <f t="shared" si="1492"/>
        <v>323.21097498486046</v>
      </c>
      <c r="AK201" s="70">
        <f t="shared" si="1492"/>
        <v>274.93825403587851</v>
      </c>
      <c r="AL201" s="70">
        <f t="shared" si="1492"/>
        <v>232.59754490162143</v>
      </c>
      <c r="AM201" s="70">
        <f t="shared" si="1492"/>
        <v>183.43899873300472</v>
      </c>
      <c r="AN201" s="70">
        <f t="shared" si="1492"/>
        <v>226.17017293196042</v>
      </c>
      <c r="AO201" s="70">
        <f t="shared" si="1492"/>
        <v>187.11023266730507</v>
      </c>
      <c r="AP201" s="70">
        <f t="shared" si="1492"/>
        <v>116.59765963088408</v>
      </c>
      <c r="AQ201" s="70">
        <f t="shared" si="1492"/>
        <v>127.33548724264114</v>
      </c>
      <c r="AR201" s="70">
        <f t="shared" si="1492"/>
        <v>207.13866916751249</v>
      </c>
      <c r="AS201" s="70">
        <f t="shared" si="1492"/>
        <v>181.83430319184333</v>
      </c>
      <c r="AT201" s="70">
        <f t="shared" si="1492"/>
        <v>231.18470892714822</v>
      </c>
      <c r="AU201" s="70">
        <f t="shared" si="1492"/>
        <v>202.70813419618281</v>
      </c>
      <c r="AV201" s="70">
        <f t="shared" si="1492"/>
        <v>223.9018855325416</v>
      </c>
      <c r="AW201" s="70">
        <f t="shared" si="1492"/>
        <v>218.47005116503229</v>
      </c>
      <c r="AX201" s="70">
        <f t="shared" si="1492"/>
        <v>210.68280010830625</v>
      </c>
      <c r="AY201" s="70">
        <f t="shared" si="1492"/>
        <v>229.44750688299362</v>
      </c>
      <c r="AZ201" s="70">
        <f t="shared" si="1492"/>
        <v>285.73893255434871</v>
      </c>
      <c r="BA201" s="70">
        <f t="shared" si="1492"/>
        <v>289.26458042593464</v>
      </c>
      <c r="BB201" s="70">
        <f t="shared" si="1492"/>
        <v>229.90837863238582</v>
      </c>
      <c r="BC201" s="70">
        <f t="shared" si="1492"/>
        <v>243.88859214663347</v>
      </c>
      <c r="BD201" s="70">
        <f t="shared" si="1492"/>
        <v>234.60773983000624</v>
      </c>
      <c r="BE201" s="70">
        <f t="shared" si="1492"/>
        <v>265.37227620199798</v>
      </c>
      <c r="BF201" s="70">
        <f t="shared" si="1492"/>
        <v>371.0682179538382</v>
      </c>
      <c r="BG201" s="70">
        <f t="shared" si="1492"/>
        <v>379.5393959111363</v>
      </c>
      <c r="BH201" s="70">
        <f t="shared" si="1492"/>
        <v>239.70562567037615</v>
      </c>
      <c r="BI201" s="70">
        <f t="shared" si="1492"/>
        <v>254.00823563999035</v>
      </c>
      <c r="BJ201" s="70">
        <f t="shared" si="1492"/>
        <v>218.20968442601003</v>
      </c>
      <c r="BK201" s="70">
        <f t="shared" si="1492"/>
        <v>206.09141147713618</v>
      </c>
      <c r="BL201" s="70">
        <f t="shared" si="1492"/>
        <v>239.58993794468614</v>
      </c>
      <c r="BM201" s="70">
        <f t="shared" si="1492"/>
        <v>234.2298667242614</v>
      </c>
      <c r="BN201" s="70">
        <f t="shared" si="1492"/>
        <v>216.53188452521934</v>
      </c>
      <c r="BO201" s="70">
        <f t="shared" si="1492"/>
        <v>227.28217545689469</v>
      </c>
      <c r="BP201" s="70">
        <f t="shared" si="1492"/>
        <v>207.80191787291866</v>
      </c>
      <c r="BQ201" s="70">
        <f t="shared" si="1492"/>
        <v>212.64773210611349</v>
      </c>
      <c r="BR201" s="70">
        <f t="shared" si="1492"/>
        <v>252.58869398769932</v>
      </c>
      <c r="BS201" s="70">
        <f t="shared" si="1492"/>
        <v>250.89991803193573</v>
      </c>
      <c r="BT201" s="70">
        <f t="shared" si="1492"/>
        <v>297.44919612783241</v>
      </c>
      <c r="BU201" s="70">
        <f t="shared" si="1492"/>
        <v>294.88630373512831</v>
      </c>
      <c r="BV201" s="70">
        <f t="shared" si="1492"/>
        <v>134.93605264498791</v>
      </c>
      <c r="BW201" s="70">
        <f t="shared" si="1492"/>
        <v>127.0646042214228</v>
      </c>
      <c r="BX201" s="70">
        <f t="shared" si="1492"/>
        <v>249.75496076674847</v>
      </c>
      <c r="BY201" s="70">
        <f t="shared" si="1492"/>
        <v>243.31826351828232</v>
      </c>
      <c r="BZ201" s="70">
        <f t="shared" si="1492"/>
        <v>166.63039466669792</v>
      </c>
      <c r="CA201" s="70">
        <f t="shared" si="1492"/>
        <v>163.97372414593227</v>
      </c>
      <c r="CB201" s="70">
        <f t="shared" si="1492"/>
        <v>135.18705862247873</v>
      </c>
      <c r="CC201" s="70">
        <f t="shared" si="1492"/>
        <v>135.18435597527858</v>
      </c>
      <c r="CD201" s="70">
        <f t="shared" si="1492"/>
        <v>142.80665744266742</v>
      </c>
      <c r="CE201" s="115">
        <f>CE167/CE29*90</f>
        <v>138.9462398011882</v>
      </c>
      <c r="CF201" s="70">
        <f>CF167/CF27*90</f>
        <v>160.1845732175415</v>
      </c>
      <c r="CG201" s="70">
        <f>CG167/CG29*90</f>
        <v>159.31550698217987</v>
      </c>
      <c r="CH201" s="70">
        <f>CH167/CH27*90</f>
        <v>153.600720637195</v>
      </c>
      <c r="CI201" s="70">
        <f>CI198+CI199+CI200</f>
        <v>153.600720637195</v>
      </c>
      <c r="CJ201" s="70">
        <f>CJ167/CJ27*90</f>
        <v>177.6407239738304</v>
      </c>
      <c r="CK201" s="50">
        <f t="shared" ref="CK201:DB201" si="1493">CK198+CK199+CK200</f>
        <v>217.6407239738304</v>
      </c>
      <c r="CL201" s="70">
        <f>CL167/CL27*90</f>
        <v>195.10051613257036</v>
      </c>
      <c r="CM201" s="50">
        <f t="shared" si="1493"/>
        <v>202.10051613257036</v>
      </c>
      <c r="CN201" s="50">
        <f t="shared" si="1493"/>
        <v>209.10051613257036</v>
      </c>
      <c r="CO201" s="50">
        <f t="shared" si="1493"/>
        <v>216.10051613257036</v>
      </c>
      <c r="CP201" s="50">
        <f t="shared" si="1493"/>
        <v>223.10051613257036</v>
      </c>
      <c r="CQ201" s="50">
        <f t="shared" si="1493"/>
        <v>230.10051613257036</v>
      </c>
      <c r="CR201" s="50">
        <f t="shared" si="1493"/>
        <v>237.10051613257036</v>
      </c>
      <c r="CS201" s="50">
        <f t="shared" si="1493"/>
        <v>244.10051613257036</v>
      </c>
      <c r="CT201" s="50">
        <f t="shared" si="1493"/>
        <v>251.10051613257036</v>
      </c>
      <c r="CU201" s="50">
        <f t="shared" si="1493"/>
        <v>251.10051613257036</v>
      </c>
      <c r="CV201" s="50">
        <f t="shared" si="1493"/>
        <v>251.10051613257036</v>
      </c>
      <c r="CW201" s="50">
        <f t="shared" si="1493"/>
        <v>251.10051613257036</v>
      </c>
      <c r="CX201" s="50">
        <f t="shared" si="1493"/>
        <v>251.10051613257036</v>
      </c>
      <c r="CY201" s="50">
        <f t="shared" si="1493"/>
        <v>251.10051613257036</v>
      </c>
      <c r="CZ201" s="50">
        <f t="shared" si="1493"/>
        <v>251.10051613257036</v>
      </c>
      <c r="DA201" s="50">
        <f t="shared" si="1493"/>
        <v>251.10051613257036</v>
      </c>
      <c r="DB201" s="50">
        <f t="shared" si="1493"/>
        <v>251.10051613257036</v>
      </c>
      <c r="DE201" s="138"/>
      <c r="DF201" s="7" t="e">
        <v>#DIV/0!</v>
      </c>
    </row>
    <row r="202" spans="1:110" s="62" customFormat="1" outlineLevel="1" x14ac:dyDescent="0.2">
      <c r="A202" s="68" t="s">
        <v>468</v>
      </c>
      <c r="B202" s="67" t="e">
        <f t="shared" ref="B202:AE202" si="1494">B172/B27*365</f>
        <v>#DIV/0!</v>
      </c>
      <c r="C202" s="67" t="e">
        <f t="shared" si="1494"/>
        <v>#DIV/0!</v>
      </c>
      <c r="D202" s="67" t="e">
        <f t="shared" si="1494"/>
        <v>#DIV/0!</v>
      </c>
      <c r="E202" s="67" t="e">
        <f t="shared" si="1494"/>
        <v>#DIV/0!</v>
      </c>
      <c r="F202" s="67" t="e">
        <f t="shared" si="1494"/>
        <v>#DIV/0!</v>
      </c>
      <c r="G202" s="67" t="e">
        <f t="shared" si="1494"/>
        <v>#DIV/0!</v>
      </c>
      <c r="H202" s="67" t="e">
        <f t="shared" si="1494"/>
        <v>#DIV/0!</v>
      </c>
      <c r="I202" s="67" t="e">
        <f t="shared" si="1494"/>
        <v>#DIV/0!</v>
      </c>
      <c r="J202" s="67" t="e">
        <f t="shared" si="1494"/>
        <v>#DIV/0!</v>
      </c>
      <c r="K202" s="67">
        <f t="shared" si="1494"/>
        <v>1128.4733017522881</v>
      </c>
      <c r="L202" s="67">
        <f t="shared" si="1494"/>
        <v>62.326537685170877</v>
      </c>
      <c r="M202" s="67">
        <f t="shared" si="1494"/>
        <v>71.502238426649981</v>
      </c>
      <c r="N202" s="67">
        <f t="shared" si="1494"/>
        <v>152.14722333671617</v>
      </c>
      <c r="O202" s="67">
        <f t="shared" si="1494"/>
        <v>88.533135237553267</v>
      </c>
      <c r="P202" s="67">
        <f t="shared" si="1494"/>
        <v>106.16088870060487</v>
      </c>
      <c r="Q202" s="67">
        <f t="shared" si="1494"/>
        <v>89.093745263328586</v>
      </c>
      <c r="R202" s="67">
        <f t="shared" si="1494"/>
        <v>119.4272757943553</v>
      </c>
      <c r="S202" s="67">
        <f t="shared" si="1494"/>
        <v>137.09548183929695</v>
      </c>
      <c r="T202" s="67">
        <f t="shared" si="1494"/>
        <v>97.220633071765491</v>
      </c>
      <c r="U202" s="67">
        <f t="shared" si="1494"/>
        <v>77.17167364623775</v>
      </c>
      <c r="V202" s="67">
        <f t="shared" si="1494"/>
        <v>52.939134251766113</v>
      </c>
      <c r="W202" s="67">
        <f t="shared" si="1494"/>
        <v>46.208665599949192</v>
      </c>
      <c r="X202" s="67">
        <f t="shared" si="1494"/>
        <v>28.989001452030131</v>
      </c>
      <c r="Y202" s="67">
        <f t="shared" si="1494"/>
        <v>26.159230406395078</v>
      </c>
      <c r="Z202" s="67">
        <f t="shared" si="1494"/>
        <v>19.337831781135165</v>
      </c>
      <c r="AA202" s="67">
        <f t="shared" ref="AA202" si="1495">AA172/AA27*365</f>
        <v>19.114740234791263</v>
      </c>
      <c r="AB202" s="18">
        <f t="shared" si="1494"/>
        <v>11.522827762980572</v>
      </c>
      <c r="AC202" s="18">
        <f t="shared" si="1494"/>
        <v>7.1332213971485512</v>
      </c>
      <c r="AD202" s="18">
        <f t="shared" si="1494"/>
        <v>7.250356672044779</v>
      </c>
      <c r="AE202" s="18">
        <f t="shared" si="1494"/>
        <v>7.3716858792783686</v>
      </c>
      <c r="AI202" s="67">
        <f>AJ172/AI27*90</f>
        <v>0</v>
      </c>
      <c r="AJ202" s="67">
        <f>AJ172/AJ27*90</f>
        <v>0</v>
      </c>
      <c r="AK202" s="67">
        <f t="shared" ref="AK202:CE202" si="1496">+AJ202</f>
        <v>0</v>
      </c>
      <c r="AL202" s="67">
        <f>AL172/AL27*90</f>
        <v>134.62959139921551</v>
      </c>
      <c r="AM202" s="67">
        <f t="shared" ref="AM202" si="1497">+AL202</f>
        <v>134.62959139921551</v>
      </c>
      <c r="AN202" s="67">
        <f>AN172/AN27*90</f>
        <v>100.33334975612161</v>
      </c>
      <c r="AO202" s="67">
        <f t="shared" ref="AO202" si="1498">+AN202</f>
        <v>100.33334975612161</v>
      </c>
      <c r="AP202" s="67">
        <f>AP172/AP27*90</f>
        <v>56.295983150142831</v>
      </c>
      <c r="AQ202" s="67">
        <f t="shared" ref="AQ202" si="1499">+AP202</f>
        <v>56.295983150142831</v>
      </c>
      <c r="AR202" s="67">
        <f>AR172/AR27*90</f>
        <v>102.55877027818697</v>
      </c>
      <c r="AS202" s="67">
        <f t="shared" ref="AS202" si="1500">+AR202</f>
        <v>102.55877027818697</v>
      </c>
      <c r="AT202" s="67">
        <f>AT172/AT27*90</f>
        <v>109.61213139199067</v>
      </c>
      <c r="AU202" s="67">
        <f t="shared" ref="AU202" si="1501">+AT202</f>
        <v>109.61213139199067</v>
      </c>
      <c r="AV202" s="67">
        <f>AV172/AV27*90</f>
        <v>90.882998906206794</v>
      </c>
      <c r="AW202" s="67">
        <f t="shared" ref="AW202" si="1502">+AV202</f>
        <v>90.882998906206794</v>
      </c>
      <c r="AX202" s="67">
        <f>AX172/AX27*90</f>
        <v>73.368166603226427</v>
      </c>
      <c r="AY202" s="67">
        <f t="shared" ref="AY202" si="1503">+AX202</f>
        <v>73.368166603226427</v>
      </c>
      <c r="AZ202" s="67">
        <f>AZ172/AZ27*90</f>
        <v>104.76138215974565</v>
      </c>
      <c r="BA202" s="67">
        <f t="shared" ref="BA202" si="1504">+AZ202</f>
        <v>104.76138215974565</v>
      </c>
      <c r="BB202" s="67">
        <f>BB172/BB27*90</f>
        <v>104.84152809328378</v>
      </c>
      <c r="BC202" s="67">
        <f t="shared" ref="BC202" si="1505">+BB202</f>
        <v>104.84152809328378</v>
      </c>
      <c r="BD202" s="67">
        <f>BD172/BD27*90</f>
        <v>116.2082139290962</v>
      </c>
      <c r="BE202" s="67">
        <f t="shared" ref="BE202" si="1506">+BD202</f>
        <v>116.2082139290962</v>
      </c>
      <c r="BF202" s="67">
        <f>BF172/BF27*90</f>
        <v>172.40318898023466</v>
      </c>
      <c r="BG202" s="67">
        <f t="shared" ref="BG202" si="1507">+BF202</f>
        <v>172.40318898023466</v>
      </c>
      <c r="BH202" s="67">
        <f>BH172/BH27*90</f>
        <v>103.97959241127103</v>
      </c>
      <c r="BI202" s="67">
        <f t="shared" ref="BI202" si="1508">+BH202</f>
        <v>103.97959241127103</v>
      </c>
      <c r="BJ202" s="67">
        <f>BJ172/BJ27*90</f>
        <v>85.180072957516813</v>
      </c>
      <c r="BK202" s="67">
        <f t="shared" ref="BK202" si="1509">+BJ202</f>
        <v>85.180072957516813</v>
      </c>
      <c r="BL202" s="67">
        <f>BL172/BL27*90</f>
        <v>99.648730748230562</v>
      </c>
      <c r="BM202" s="67">
        <f t="shared" ref="BM202" si="1510">+BL202</f>
        <v>99.648730748230562</v>
      </c>
      <c r="BN202" s="67">
        <f>BN172/BN27*90</f>
        <v>81.595822066835922</v>
      </c>
      <c r="BO202" s="67">
        <f t="shared" ref="BO202" si="1511">+BN202</f>
        <v>81.595822066835922</v>
      </c>
      <c r="BP202" s="67">
        <f>BP172/BP27*90</f>
        <v>42.167266082607128</v>
      </c>
      <c r="BQ202" s="67">
        <f t="shared" ref="BQ202" si="1512">+BP202</f>
        <v>42.167266082607128</v>
      </c>
      <c r="BR202" s="67">
        <f>BR172/BR27*90</f>
        <v>53.703040667754486</v>
      </c>
      <c r="BS202" s="67">
        <f t="shared" ref="BS202" si="1513">+BR202</f>
        <v>53.703040667754486</v>
      </c>
      <c r="BT202" s="67">
        <f>BT172/BT27*90</f>
        <v>48.054366991662263</v>
      </c>
      <c r="BU202" s="67">
        <f t="shared" ref="BU202" si="1514">+BT202</f>
        <v>48.054366991662263</v>
      </c>
      <c r="BV202" s="67">
        <f>BV172/BV27*90</f>
        <v>29.792928330272943</v>
      </c>
      <c r="BW202" s="67">
        <f t="shared" ref="BW202" si="1515">+BV202</f>
        <v>29.792928330272943</v>
      </c>
      <c r="BX202" s="67">
        <f>BX172/BX27*90</f>
        <v>45.459278199032617</v>
      </c>
      <c r="BY202" s="67">
        <f t="shared" ref="BY202" si="1516">+BX202</f>
        <v>45.459278199032617</v>
      </c>
      <c r="BZ202" s="67">
        <f>BZ172/BZ27*90</f>
        <v>27.060034797687184</v>
      </c>
      <c r="CA202" s="67">
        <f t="shared" ref="CA202" si="1517">+BZ202</f>
        <v>27.060034797687184</v>
      </c>
      <c r="CB202" s="67">
        <f>CB172/CB27*90</f>
        <v>30.451411715258292</v>
      </c>
      <c r="CC202" s="67">
        <f t="shared" ref="CC202" si="1518">+CB202</f>
        <v>30.451411715258292</v>
      </c>
      <c r="CD202" s="67">
        <f>CD172/CD27*90</f>
        <v>24.302920825011654</v>
      </c>
      <c r="CE202" s="114">
        <f t="shared" si="1496"/>
        <v>24.302920825011654</v>
      </c>
      <c r="CF202" s="67">
        <f>CF172/CF27*90</f>
        <v>21.146040747049231</v>
      </c>
      <c r="CG202" s="67">
        <f t="shared" ref="CG202:CI202" si="1519">+CF202</f>
        <v>21.146040747049231</v>
      </c>
      <c r="CH202" s="67">
        <f>CH172/CH27*90</f>
        <v>18.82291710565131</v>
      </c>
      <c r="CI202" s="67">
        <f t="shared" si="1519"/>
        <v>18.82291710565131</v>
      </c>
      <c r="CJ202" s="67">
        <f>CJ172/CJ27*90</f>
        <v>19.907979882349796</v>
      </c>
      <c r="CK202" s="30">
        <f t="shared" ref="CK202" si="1520">+CJ202</f>
        <v>19.907979882349796</v>
      </c>
      <c r="CL202" s="67">
        <f>CL172/CL27*90</f>
        <v>17.974132203339781</v>
      </c>
      <c r="CM202" s="30">
        <f>+CL202-2</f>
        <v>15.974132203339781</v>
      </c>
      <c r="CN202" s="30">
        <f t="shared" ref="CN202:CP202" si="1521">+CM202-2</f>
        <v>13.974132203339781</v>
      </c>
      <c r="CO202" s="30">
        <f t="shared" si="1521"/>
        <v>11.974132203339781</v>
      </c>
      <c r="CP202" s="30">
        <f t="shared" si="1521"/>
        <v>9.9741322033397815</v>
      </c>
      <c r="CQ202" s="30">
        <f>+CP202-1</f>
        <v>8.9741322033397815</v>
      </c>
      <c r="CR202" s="30">
        <f t="shared" ref="CR202:CT202" si="1522">+CQ202-1</f>
        <v>7.9741322033397815</v>
      </c>
      <c r="CS202" s="30">
        <f t="shared" si="1522"/>
        <v>6.9741322033397815</v>
      </c>
      <c r="CT202" s="30">
        <f t="shared" si="1522"/>
        <v>5.9741322033397815</v>
      </c>
      <c r="CU202" s="30">
        <f t="shared" ref="CU202" si="1523">+CT202</f>
        <v>5.9741322033397815</v>
      </c>
      <c r="CV202" s="30">
        <f t="shared" ref="CV202" si="1524">+CU202</f>
        <v>5.9741322033397815</v>
      </c>
      <c r="CW202" s="30">
        <f t="shared" ref="CW202" si="1525">+CV202</f>
        <v>5.9741322033397815</v>
      </c>
      <c r="CX202" s="30">
        <f t="shared" ref="CX202" si="1526">+CW202</f>
        <v>5.9741322033397815</v>
      </c>
      <c r="CY202" s="30">
        <f t="shared" ref="CY202" si="1527">+CX202</f>
        <v>5.9741322033397815</v>
      </c>
      <c r="CZ202" s="30">
        <f t="shared" ref="CZ202" si="1528">+CY202</f>
        <v>5.9741322033397815</v>
      </c>
      <c r="DA202" s="30">
        <f t="shared" ref="DA202" si="1529">+CZ202</f>
        <v>5.9741322033397815</v>
      </c>
      <c r="DB202" s="30">
        <f t="shared" ref="DB202" si="1530">+DA202</f>
        <v>5.9741322033397815</v>
      </c>
      <c r="DE202" s="139"/>
      <c r="DF202" s="62" t="e">
        <v>#DIV/0!</v>
      </c>
    </row>
    <row r="203" spans="1:110" s="62" customFormat="1" outlineLevel="1" x14ac:dyDescent="0.2">
      <c r="A203" s="68" t="s">
        <v>466</v>
      </c>
      <c r="B203" s="67" t="e">
        <f>B204-B202</f>
        <v>#DIV/0!</v>
      </c>
      <c r="C203" s="67" t="e">
        <f t="shared" ref="C203:V203" si="1531">C204-C202</f>
        <v>#DIV/0!</v>
      </c>
      <c r="D203" s="67" t="e">
        <f t="shared" si="1531"/>
        <v>#DIV/0!</v>
      </c>
      <c r="E203" s="67" t="e">
        <f t="shared" si="1531"/>
        <v>#DIV/0!</v>
      </c>
      <c r="F203" s="67" t="e">
        <f t="shared" si="1531"/>
        <v>#DIV/0!</v>
      </c>
      <c r="G203" s="67" t="e">
        <f t="shared" si="1531"/>
        <v>#DIV/0!</v>
      </c>
      <c r="H203" s="67" t="e">
        <f t="shared" si="1531"/>
        <v>#DIV/0!</v>
      </c>
      <c r="I203" s="67" t="e">
        <f t="shared" si="1531"/>
        <v>#DIV/0!</v>
      </c>
      <c r="J203" s="67" t="e">
        <f t="shared" si="1531"/>
        <v>#DIV/0!</v>
      </c>
      <c r="K203" s="67">
        <f t="shared" si="1531"/>
        <v>88.752931978107881</v>
      </c>
      <c r="L203" s="67">
        <f t="shared" si="1531"/>
        <v>505.3594996229844</v>
      </c>
      <c r="M203" s="67">
        <f t="shared" si="1531"/>
        <v>426.27246979590245</v>
      </c>
      <c r="N203" s="67">
        <f t="shared" si="1531"/>
        <v>253.25638408345336</v>
      </c>
      <c r="O203" s="67">
        <f t="shared" si="1531"/>
        <v>101.48264668033289</v>
      </c>
      <c r="P203" s="67">
        <f t="shared" si="1531"/>
        <v>43.475377770410162</v>
      </c>
      <c r="Q203" s="67">
        <f t="shared" si="1531"/>
        <v>129.32010283497254</v>
      </c>
      <c r="R203" s="67">
        <f t="shared" si="1531"/>
        <v>135.74950111671149</v>
      </c>
      <c r="S203" s="67">
        <f t="shared" si="1531"/>
        <v>143.54976635467989</v>
      </c>
      <c r="T203" s="67">
        <f t="shared" si="1531"/>
        <v>103.24162060409864</v>
      </c>
      <c r="U203" s="67">
        <f t="shared" si="1531"/>
        <v>103.37050565745746</v>
      </c>
      <c r="V203" s="67">
        <f t="shared" si="1531"/>
        <v>113.45862056603977</v>
      </c>
      <c r="W203" s="67">
        <f t="shared" ref="W203" si="1532">W204-W202</f>
        <v>111.61477605789432</v>
      </c>
      <c r="X203" s="67">
        <f t="shared" ref="X203:Y203" si="1533">X204-X202</f>
        <v>99.917988667459298</v>
      </c>
      <c r="Y203" s="67">
        <f t="shared" si="1533"/>
        <v>78.278776594424158</v>
      </c>
      <c r="Z203" s="67">
        <f t="shared" ref="Z203:AA203" si="1534">Z204-Z202</f>
        <v>64.350378244327842</v>
      </c>
      <c r="AA203" s="67">
        <f t="shared" ref="AA203" si="1535">AA204-AA202</f>
        <v>91.886926968989258</v>
      </c>
      <c r="AB203" s="18">
        <f t="shared" ref="AB203:AD203" si="1536">AB204-AB202</f>
        <v>99.819917975255137</v>
      </c>
      <c r="AC203" s="18">
        <f t="shared" si="1536"/>
        <v>84.063503355594364</v>
      </c>
      <c r="AD203" s="18">
        <f t="shared" si="1536"/>
        <v>85.443917761101744</v>
      </c>
      <c r="AE203" s="18">
        <f t="shared" ref="AE203" si="1537">AE204-AE202</f>
        <v>86.873756770933895</v>
      </c>
      <c r="AI203" s="67">
        <f t="shared" ref="AI203:AK203" si="1538">AI204-AI202</f>
        <v>0</v>
      </c>
      <c r="AJ203" s="67">
        <f t="shared" ref="AJ203:AM203" si="1539">AJ204-AJ202</f>
        <v>630.70613366695727</v>
      </c>
      <c r="AK203" s="67">
        <f t="shared" si="1538"/>
        <v>502.9536505375774</v>
      </c>
      <c r="AL203" s="67">
        <f t="shared" si="1539"/>
        <v>423.3734576233503</v>
      </c>
      <c r="AM203" s="67">
        <f t="shared" si="1539"/>
        <v>293.40275232883891</v>
      </c>
      <c r="AN203" s="67">
        <f t="shared" ref="AN203:AY203" si="1540">AN204-AN202</f>
        <v>288.01891905207668</v>
      </c>
      <c r="AO203" s="67">
        <f t="shared" si="1540"/>
        <v>209.2656629223136</v>
      </c>
      <c r="AP203" s="67">
        <f t="shared" si="1540"/>
        <v>130.2149757608201</v>
      </c>
      <c r="AQ203" s="67">
        <f t="shared" si="1540"/>
        <v>149.14743951512008</v>
      </c>
      <c r="AR203" s="67">
        <f t="shared" si="1540"/>
        <v>182.92504936197093</v>
      </c>
      <c r="AS203" s="67">
        <f t="shared" si="1540"/>
        <v>137.85490684132589</v>
      </c>
      <c r="AT203" s="67">
        <f t="shared" si="1540"/>
        <v>109.52979715311635</v>
      </c>
      <c r="AU203" s="67">
        <f t="shared" si="1540"/>
        <v>85.987778910294551</v>
      </c>
      <c r="AV203" s="67">
        <f t="shared" si="1540"/>
        <v>108.65894693277083</v>
      </c>
      <c r="AW203" s="67">
        <f t="shared" si="1540"/>
        <v>100.928495628395</v>
      </c>
      <c r="AX203" s="67">
        <f t="shared" si="1540"/>
        <v>152.06994384557734</v>
      </c>
      <c r="AY203" s="67">
        <f t="shared" si="1540"/>
        <v>215.84894310301615</v>
      </c>
      <c r="AZ203" s="67">
        <f t="shared" ref="AZ203:BC203" si="1541">AZ204-AZ202</f>
        <v>84.48750020173982</v>
      </c>
      <c r="BA203" s="67">
        <f t="shared" si="1541"/>
        <v>86.742833471416745</v>
      </c>
      <c r="BB203" s="67">
        <f t="shared" si="1541"/>
        <v>165.14912085991847</v>
      </c>
      <c r="BC203" s="67">
        <f t="shared" si="1541"/>
        <v>189.24717139063671</v>
      </c>
      <c r="BD203" s="67">
        <f t="shared" ref="BD203:CE203" si="1542">BD204-BD202</f>
        <v>171.66202579943342</v>
      </c>
      <c r="BE203" s="67">
        <f t="shared" si="1542"/>
        <v>218.2441386656098</v>
      </c>
      <c r="BF203" s="67">
        <f t="shared" si="1542"/>
        <v>264.0256354223967</v>
      </c>
      <c r="BG203" s="67">
        <f t="shared" si="1542"/>
        <v>274.47241022748642</v>
      </c>
      <c r="BH203" s="67">
        <f t="shared" si="1542"/>
        <v>166.42035297330324</v>
      </c>
      <c r="BI203" s="67">
        <f t="shared" si="1542"/>
        <v>187.51455978074682</v>
      </c>
      <c r="BJ203" s="67">
        <f t="shared" si="1542"/>
        <v>137.21862856530771</v>
      </c>
      <c r="BK203" s="67">
        <f t="shared" si="1542"/>
        <v>118.17696334810208</v>
      </c>
      <c r="BL203" s="67">
        <f t="shared" si="1542"/>
        <v>158.21812840091354</v>
      </c>
      <c r="BM203" s="67">
        <f t="shared" si="1542"/>
        <v>142.35665767275759</v>
      </c>
      <c r="BN203" s="67">
        <f t="shared" si="1542"/>
        <v>150.39217941718252</v>
      </c>
      <c r="BO203" s="67">
        <f t="shared" si="1542"/>
        <v>178.38499720398249</v>
      </c>
      <c r="BP203" s="67">
        <f t="shared" si="1542"/>
        <v>117.50157758016626</v>
      </c>
      <c r="BQ203" s="67">
        <f t="shared" si="1542"/>
        <v>132.0617157178412</v>
      </c>
      <c r="BR203" s="67">
        <f t="shared" si="1542"/>
        <v>115.09581712062257</v>
      </c>
      <c r="BS203" s="67">
        <f t="shared" si="1542"/>
        <v>111.67458280432223</v>
      </c>
      <c r="BT203" s="67">
        <f t="shared" si="1542"/>
        <v>145.95071821840162</v>
      </c>
      <c r="BU203" s="67">
        <f t="shared" si="1542"/>
        <v>141.12587858709759</v>
      </c>
      <c r="BV203" s="67">
        <f t="shared" si="1542"/>
        <v>71.963364025295846</v>
      </c>
      <c r="BW203" s="67">
        <f t="shared" si="1542"/>
        <v>55.574478286912679</v>
      </c>
      <c r="BX203" s="67">
        <f t="shared" si="1542"/>
        <v>135.15364641378127</v>
      </c>
      <c r="BY203" s="67">
        <f t="shared" si="1542"/>
        <v>122.60959944155451</v>
      </c>
      <c r="BZ203" s="67">
        <f t="shared" si="1542"/>
        <v>93.269313009296965</v>
      </c>
      <c r="CA203" s="67">
        <f t="shared" si="1542"/>
        <v>86.799003047556056</v>
      </c>
      <c r="CB203" s="67">
        <f t="shared" si="1542"/>
        <v>87.006577073540996</v>
      </c>
      <c r="CC203" s="67">
        <f t="shared" si="1542"/>
        <v>87.000817461343772</v>
      </c>
      <c r="CD203" s="67">
        <f t="shared" si="1542"/>
        <v>72.72396321674627</v>
      </c>
      <c r="CE203" s="114">
        <f t="shared" si="1542"/>
        <v>64.982919475809453</v>
      </c>
      <c r="CF203" s="67">
        <f t="shared" ref="CF203:CG203" si="1543">CF204-CF202</f>
        <v>68.623745022070835</v>
      </c>
      <c r="CG203" s="67">
        <f t="shared" si="1543"/>
        <v>66.955734618372375</v>
      </c>
      <c r="CH203" s="67">
        <f t="shared" ref="CH203" si="1544">CH204-CH202</f>
        <v>62.636899995785754</v>
      </c>
      <c r="CI203" s="67">
        <f>CH203</f>
        <v>62.636899995785754</v>
      </c>
      <c r="CJ203" s="67">
        <f t="shared" ref="CJ203:CL203" si="1545">CJ204-CJ202</f>
        <v>65.853134911316474</v>
      </c>
      <c r="CK203" s="30">
        <f t="shared" ref="CK203:DB203" si="1546">CJ203</f>
        <v>65.853134911316474</v>
      </c>
      <c r="CL203" s="67">
        <f t="shared" si="1545"/>
        <v>86.403882700594579</v>
      </c>
      <c r="CM203" s="30">
        <f t="shared" si="1546"/>
        <v>86.403882700594579</v>
      </c>
      <c r="CN203" s="30">
        <f t="shared" si="1546"/>
        <v>86.403882700594579</v>
      </c>
      <c r="CO203" s="30">
        <f t="shared" si="1546"/>
        <v>86.403882700594579</v>
      </c>
      <c r="CP203" s="30">
        <f t="shared" si="1546"/>
        <v>86.403882700594579</v>
      </c>
      <c r="CQ203" s="30">
        <f>CP203-4</f>
        <v>82.403882700594579</v>
      </c>
      <c r="CR203" s="30">
        <f t="shared" ref="CR203:CT203" si="1547">CQ203-4</f>
        <v>78.403882700594579</v>
      </c>
      <c r="CS203" s="30">
        <f t="shared" si="1547"/>
        <v>74.403882700594579</v>
      </c>
      <c r="CT203" s="30">
        <f t="shared" si="1547"/>
        <v>70.403882700594579</v>
      </c>
      <c r="CU203" s="30">
        <f t="shared" si="1546"/>
        <v>70.403882700594579</v>
      </c>
      <c r="CV203" s="30">
        <f t="shared" si="1546"/>
        <v>70.403882700594579</v>
      </c>
      <c r="CW203" s="30">
        <f t="shared" si="1546"/>
        <v>70.403882700594579</v>
      </c>
      <c r="CX203" s="30">
        <f t="shared" si="1546"/>
        <v>70.403882700594579</v>
      </c>
      <c r="CY203" s="30">
        <f t="shared" si="1546"/>
        <v>70.403882700594579</v>
      </c>
      <c r="CZ203" s="30">
        <f t="shared" si="1546"/>
        <v>70.403882700594579</v>
      </c>
      <c r="DA203" s="30">
        <f t="shared" si="1546"/>
        <v>70.403882700594579</v>
      </c>
      <c r="DB203" s="30">
        <f t="shared" si="1546"/>
        <v>70.403882700594579</v>
      </c>
      <c r="DE203" s="139"/>
      <c r="DF203" s="62" t="e">
        <v>#DIV/0!</v>
      </c>
    </row>
    <row r="204" spans="1:110" s="7" customFormat="1" outlineLevel="1" x14ac:dyDescent="0.2">
      <c r="A204" s="69" t="s">
        <v>469</v>
      </c>
      <c r="B204" s="70" t="e">
        <f t="shared" ref="B204:AE204" si="1548">B175/B27*365</f>
        <v>#DIV/0!</v>
      </c>
      <c r="C204" s="70" t="e">
        <f t="shared" si="1548"/>
        <v>#DIV/0!</v>
      </c>
      <c r="D204" s="70" t="e">
        <f t="shared" si="1548"/>
        <v>#DIV/0!</v>
      </c>
      <c r="E204" s="70" t="e">
        <f t="shared" si="1548"/>
        <v>#DIV/0!</v>
      </c>
      <c r="F204" s="70" t="e">
        <f t="shared" si="1548"/>
        <v>#DIV/0!</v>
      </c>
      <c r="G204" s="70" t="e">
        <f t="shared" si="1548"/>
        <v>#DIV/0!</v>
      </c>
      <c r="H204" s="70" t="e">
        <f t="shared" si="1548"/>
        <v>#DIV/0!</v>
      </c>
      <c r="I204" s="70" t="e">
        <f t="shared" si="1548"/>
        <v>#DIV/0!</v>
      </c>
      <c r="J204" s="70" t="e">
        <f t="shared" si="1548"/>
        <v>#DIV/0!</v>
      </c>
      <c r="K204" s="70">
        <f t="shared" si="1548"/>
        <v>1217.226233730396</v>
      </c>
      <c r="L204" s="70">
        <f t="shared" si="1548"/>
        <v>567.68603730815528</v>
      </c>
      <c r="M204" s="70">
        <f t="shared" si="1548"/>
        <v>497.77470822255242</v>
      </c>
      <c r="N204" s="70">
        <f t="shared" si="1548"/>
        <v>405.40360742016952</v>
      </c>
      <c r="O204" s="70">
        <f t="shared" si="1548"/>
        <v>190.01578191788616</v>
      </c>
      <c r="P204" s="70">
        <f t="shared" si="1548"/>
        <v>149.63626647101503</v>
      </c>
      <c r="Q204" s="70">
        <f t="shared" si="1548"/>
        <v>218.41384809830112</v>
      </c>
      <c r="R204" s="70">
        <f t="shared" si="1548"/>
        <v>255.17677691106678</v>
      </c>
      <c r="S204" s="70">
        <f t="shared" si="1548"/>
        <v>280.64524819397684</v>
      </c>
      <c r="T204" s="70">
        <f t="shared" si="1548"/>
        <v>200.46225367586413</v>
      </c>
      <c r="U204" s="70">
        <f t="shared" si="1548"/>
        <v>180.54217930369521</v>
      </c>
      <c r="V204" s="70">
        <f t="shared" si="1548"/>
        <v>166.39775481780589</v>
      </c>
      <c r="W204" s="70">
        <f t="shared" si="1548"/>
        <v>157.82344165784352</v>
      </c>
      <c r="X204" s="70">
        <f t="shared" si="1548"/>
        <v>128.90699011948942</v>
      </c>
      <c r="Y204" s="70">
        <f t="shared" si="1548"/>
        <v>104.43800700081924</v>
      </c>
      <c r="Z204" s="70">
        <f t="shared" si="1548"/>
        <v>83.688210025463007</v>
      </c>
      <c r="AA204" s="70">
        <f t="shared" ref="AA204" si="1549">AA175/AA27*365</f>
        <v>111.00166720378051</v>
      </c>
      <c r="AB204" s="71">
        <f t="shared" si="1548"/>
        <v>111.34274573823571</v>
      </c>
      <c r="AC204" s="71">
        <f t="shared" si="1548"/>
        <v>91.196724752742909</v>
      </c>
      <c r="AD204" s="71">
        <f t="shared" si="1548"/>
        <v>92.694274433146518</v>
      </c>
      <c r="AE204" s="71">
        <f t="shared" si="1548"/>
        <v>94.245442650212269</v>
      </c>
      <c r="AI204" s="70">
        <f t="shared" ref="AI204:CD204" si="1550">AI175/AI27*90</f>
        <v>0</v>
      </c>
      <c r="AJ204" s="70">
        <f t="shared" si="1550"/>
        <v>630.70613366695727</v>
      </c>
      <c r="AK204" s="70">
        <f>AK175/AK27*90</f>
        <v>502.9536505375774</v>
      </c>
      <c r="AL204" s="70">
        <f t="shared" si="1550"/>
        <v>558.00304902256585</v>
      </c>
      <c r="AM204" s="70">
        <f t="shared" si="1550"/>
        <v>428.0323437280544</v>
      </c>
      <c r="AN204" s="70">
        <f t="shared" si="1550"/>
        <v>388.35226880819829</v>
      </c>
      <c r="AO204" s="70">
        <f t="shared" si="1550"/>
        <v>309.5990126784352</v>
      </c>
      <c r="AP204" s="70">
        <f t="shared" si="1550"/>
        <v>186.51095891096293</v>
      </c>
      <c r="AQ204" s="70">
        <f t="shared" si="1550"/>
        <v>205.44342266526291</v>
      </c>
      <c r="AR204" s="70">
        <f t="shared" si="1550"/>
        <v>285.48381964015789</v>
      </c>
      <c r="AS204" s="70">
        <f t="shared" si="1550"/>
        <v>240.41367711951287</v>
      </c>
      <c r="AT204" s="70">
        <f t="shared" si="1550"/>
        <v>219.14192854510702</v>
      </c>
      <c r="AU204" s="70">
        <f t="shared" si="1550"/>
        <v>195.59991030228522</v>
      </c>
      <c r="AV204" s="70">
        <f t="shared" si="1550"/>
        <v>199.54194583897763</v>
      </c>
      <c r="AW204" s="70">
        <f t="shared" si="1550"/>
        <v>191.81149453460179</v>
      </c>
      <c r="AX204" s="70">
        <f t="shared" si="1550"/>
        <v>225.43811044880377</v>
      </c>
      <c r="AY204" s="70">
        <f t="shared" si="1550"/>
        <v>289.21710970624258</v>
      </c>
      <c r="AZ204" s="70">
        <f t="shared" si="1550"/>
        <v>189.24888236148547</v>
      </c>
      <c r="BA204" s="70">
        <f t="shared" si="1550"/>
        <v>191.5042156311624</v>
      </c>
      <c r="BB204" s="70">
        <f t="shared" si="1550"/>
        <v>269.99064895320225</v>
      </c>
      <c r="BC204" s="70">
        <f t="shared" si="1550"/>
        <v>294.08869948392049</v>
      </c>
      <c r="BD204" s="70">
        <f t="shared" si="1550"/>
        <v>287.87023972852961</v>
      </c>
      <c r="BE204" s="70">
        <f t="shared" si="1550"/>
        <v>334.45235259470599</v>
      </c>
      <c r="BF204" s="70">
        <f t="shared" si="1550"/>
        <v>436.42882440263134</v>
      </c>
      <c r="BG204" s="70">
        <f t="shared" si="1550"/>
        <v>446.87559920772105</v>
      </c>
      <c r="BH204" s="70">
        <f t="shared" si="1550"/>
        <v>270.39994538457427</v>
      </c>
      <c r="BI204" s="70">
        <f t="shared" si="1550"/>
        <v>291.49415219201785</v>
      </c>
      <c r="BJ204" s="70">
        <f t="shared" si="1550"/>
        <v>222.39870152282452</v>
      </c>
      <c r="BK204" s="70">
        <f t="shared" si="1550"/>
        <v>203.35703630561889</v>
      </c>
      <c r="BL204" s="70">
        <f t="shared" si="1550"/>
        <v>257.86685914914409</v>
      </c>
      <c r="BM204" s="70">
        <f t="shared" si="1550"/>
        <v>242.00538842098814</v>
      </c>
      <c r="BN204" s="70">
        <f t="shared" si="1550"/>
        <v>231.98800148401844</v>
      </c>
      <c r="BO204" s="70">
        <f t="shared" si="1550"/>
        <v>259.98081927081842</v>
      </c>
      <c r="BP204" s="70">
        <f t="shared" si="1550"/>
        <v>159.66884366277338</v>
      </c>
      <c r="BQ204" s="70">
        <f t="shared" si="1550"/>
        <v>174.22898180044831</v>
      </c>
      <c r="BR204" s="70">
        <f t="shared" si="1550"/>
        <v>168.79885778837706</v>
      </c>
      <c r="BS204" s="70">
        <f t="shared" si="1550"/>
        <v>165.37762347207672</v>
      </c>
      <c r="BT204" s="70">
        <f t="shared" si="1550"/>
        <v>194.0050852100639</v>
      </c>
      <c r="BU204" s="70">
        <f t="shared" si="1550"/>
        <v>189.18024557875987</v>
      </c>
      <c r="BV204" s="70">
        <f t="shared" si="1550"/>
        <v>101.75629235556879</v>
      </c>
      <c r="BW204" s="70">
        <f t="shared" si="1550"/>
        <v>85.367406617185623</v>
      </c>
      <c r="BX204" s="70">
        <f t="shared" si="1550"/>
        <v>180.61292461281388</v>
      </c>
      <c r="BY204" s="70">
        <f t="shared" si="1550"/>
        <v>168.06887764058712</v>
      </c>
      <c r="BZ204" s="70">
        <f t="shared" si="1550"/>
        <v>120.32934780698415</v>
      </c>
      <c r="CA204" s="70">
        <f t="shared" si="1550"/>
        <v>113.85903784524324</v>
      </c>
      <c r="CB204" s="70">
        <f t="shared" si="1550"/>
        <v>117.45798878879928</v>
      </c>
      <c r="CC204" s="70">
        <f t="shared" si="1550"/>
        <v>117.45222917660206</v>
      </c>
      <c r="CD204" s="70">
        <f t="shared" si="1550"/>
        <v>97.026884041757924</v>
      </c>
      <c r="CE204" s="115">
        <f>CE175/CE29*90</f>
        <v>89.285840300821107</v>
      </c>
      <c r="CF204" s="70">
        <f>CF175/CF27*90</f>
        <v>89.769785769120062</v>
      </c>
      <c r="CG204" s="70">
        <f>CG175/CG29*90</f>
        <v>88.101775365421602</v>
      </c>
      <c r="CH204" s="70">
        <f>CH175/CH27*90</f>
        <v>81.459817101437068</v>
      </c>
      <c r="CI204" s="70">
        <f>CI202+CI203</f>
        <v>81.459817101437068</v>
      </c>
      <c r="CJ204" s="70">
        <f>CJ175/CJ27*90</f>
        <v>85.761114793666266</v>
      </c>
      <c r="CK204" s="50">
        <f t="shared" ref="CK204:DB204" si="1551">CK202+CK203</f>
        <v>85.761114793666266</v>
      </c>
      <c r="CL204" s="70">
        <f>CL175/CL27*90</f>
        <v>104.37801490393436</v>
      </c>
      <c r="CM204" s="50">
        <f t="shared" si="1551"/>
        <v>102.37801490393436</v>
      </c>
      <c r="CN204" s="50">
        <f t="shared" si="1551"/>
        <v>100.37801490393436</v>
      </c>
      <c r="CO204" s="50">
        <f t="shared" si="1551"/>
        <v>98.378014903934357</v>
      </c>
      <c r="CP204" s="50">
        <f t="shared" si="1551"/>
        <v>96.378014903934357</v>
      </c>
      <c r="CQ204" s="50">
        <f t="shared" si="1551"/>
        <v>91.378014903934357</v>
      </c>
      <c r="CR204" s="50">
        <f t="shared" si="1551"/>
        <v>86.378014903934357</v>
      </c>
      <c r="CS204" s="50">
        <f t="shared" si="1551"/>
        <v>81.378014903934357</v>
      </c>
      <c r="CT204" s="50">
        <f t="shared" si="1551"/>
        <v>76.378014903934357</v>
      </c>
      <c r="CU204" s="50">
        <f t="shared" si="1551"/>
        <v>76.378014903934357</v>
      </c>
      <c r="CV204" s="50">
        <f t="shared" si="1551"/>
        <v>76.378014903934357</v>
      </c>
      <c r="CW204" s="50">
        <f t="shared" si="1551"/>
        <v>76.378014903934357</v>
      </c>
      <c r="CX204" s="50">
        <f t="shared" si="1551"/>
        <v>76.378014903934357</v>
      </c>
      <c r="CY204" s="50">
        <f t="shared" si="1551"/>
        <v>76.378014903934357</v>
      </c>
      <c r="CZ204" s="50">
        <f t="shared" si="1551"/>
        <v>76.378014903934357</v>
      </c>
      <c r="DA204" s="50">
        <f t="shared" si="1551"/>
        <v>76.378014903934357</v>
      </c>
      <c r="DB204" s="50">
        <f t="shared" si="1551"/>
        <v>76.378014903934357</v>
      </c>
      <c r="DE204" s="138"/>
      <c r="DF204" s="7" t="e">
        <v>#DIV/0!</v>
      </c>
    </row>
    <row r="205" spans="1:110" s="7" customFormat="1" x14ac:dyDescent="0.2">
      <c r="A205" s="69" t="s">
        <v>470</v>
      </c>
      <c r="B205" s="70" t="e">
        <f>B201-B204</f>
        <v>#DIV/0!</v>
      </c>
      <c r="C205" s="70" t="e">
        <f t="shared" ref="C205:V205" si="1552">C201-C204</f>
        <v>#DIV/0!</v>
      </c>
      <c r="D205" s="70" t="e">
        <f t="shared" si="1552"/>
        <v>#DIV/0!</v>
      </c>
      <c r="E205" s="70" t="e">
        <f t="shared" si="1552"/>
        <v>#DIV/0!</v>
      </c>
      <c r="F205" s="70" t="e">
        <f t="shared" si="1552"/>
        <v>#DIV/0!</v>
      </c>
      <c r="G205" s="70" t="e">
        <f t="shared" si="1552"/>
        <v>#DIV/0!</v>
      </c>
      <c r="H205" s="70" t="e">
        <f t="shared" si="1552"/>
        <v>#DIV/0!</v>
      </c>
      <c r="I205" s="70" t="e">
        <f t="shared" si="1552"/>
        <v>#DIV/0!</v>
      </c>
      <c r="J205" s="70" t="e">
        <f t="shared" si="1552"/>
        <v>#DIV/0!</v>
      </c>
      <c r="K205" s="70">
        <f t="shared" si="1552"/>
        <v>-204.60010118198954</v>
      </c>
      <c r="L205" s="70">
        <f t="shared" si="1552"/>
        <v>280.69848584903423</v>
      </c>
      <c r="M205" s="70">
        <f t="shared" si="1552"/>
        <v>-10.642741241789167</v>
      </c>
      <c r="N205" s="70">
        <f t="shared" si="1552"/>
        <v>-148.45057645559467</v>
      </c>
      <c r="O205" s="70">
        <f t="shared" si="1552"/>
        <v>-10.778710415871814</v>
      </c>
      <c r="P205" s="70">
        <f t="shared" si="1552"/>
        <v>71.374012915874914</v>
      </c>
      <c r="Q205" s="70">
        <f t="shared" si="1552"/>
        <v>37.493307462702973</v>
      </c>
      <c r="R205" s="70">
        <f t="shared" si="1552"/>
        <v>6.8550344431764074</v>
      </c>
      <c r="S205" s="70">
        <f t="shared" si="1552"/>
        <v>14.800955759081376</v>
      </c>
      <c r="T205" s="70">
        <f t="shared" si="1552"/>
        <v>48.643478654071401</v>
      </c>
      <c r="U205" s="70">
        <f t="shared" si="1552"/>
        <v>24.416976603953799</v>
      </c>
      <c r="V205" s="70">
        <f t="shared" si="1552"/>
        <v>82.597955950617632</v>
      </c>
      <c r="W205" s="70">
        <f t="shared" ref="W205" si="1553">W201-W204</f>
        <v>51.46162307054405</v>
      </c>
      <c r="X205" s="70">
        <f t="shared" ref="X205:Y205" si="1554">X201-X204</f>
        <v>49.60160342297408</v>
      </c>
      <c r="Y205" s="70">
        <f t="shared" si="1554"/>
        <v>43.603985005337492</v>
      </c>
      <c r="Z205" s="70">
        <f t="shared" ref="Z205:AA205" si="1555">Z201-Z204</f>
        <v>74.114370757906755</v>
      </c>
      <c r="AA205" s="70">
        <f t="shared" ref="AA205" si="1556">AA201-AA204</f>
        <v>81.26279670622624</v>
      </c>
      <c r="AB205" s="71">
        <f t="shared" ref="AB205:AD205" si="1557">AB201-AB204</f>
        <v>146.39885712189846</v>
      </c>
      <c r="AC205" s="71">
        <f t="shared" si="1557"/>
        <v>208.62181182242148</v>
      </c>
      <c r="AD205" s="71">
        <f t="shared" si="1557"/>
        <v>212.04760949735936</v>
      </c>
      <c r="AE205" s="71">
        <f t="shared" ref="AE205" si="1558">AE201-AE204</f>
        <v>215.59606504511061</v>
      </c>
      <c r="AI205" s="70">
        <f t="shared" ref="AI205:AK205" si="1559">AI201-AI204</f>
        <v>0</v>
      </c>
      <c r="AJ205" s="70">
        <f t="shared" ref="AJ205:AM205" si="1560">AJ201-AJ204</f>
        <v>-307.49515868209681</v>
      </c>
      <c r="AK205" s="70">
        <f t="shared" si="1559"/>
        <v>-228.01539650169889</v>
      </c>
      <c r="AL205" s="70">
        <f t="shared" si="1560"/>
        <v>-325.40550412094444</v>
      </c>
      <c r="AM205" s="70">
        <f t="shared" si="1560"/>
        <v>-244.59334499504968</v>
      </c>
      <c r="AN205" s="70">
        <f t="shared" ref="AN205:AY205" si="1561">AN201-AN204</f>
        <v>-162.18209587623787</v>
      </c>
      <c r="AO205" s="70">
        <f t="shared" si="1561"/>
        <v>-122.48878001113013</v>
      </c>
      <c r="AP205" s="70">
        <f t="shared" si="1561"/>
        <v>-69.913299280078846</v>
      </c>
      <c r="AQ205" s="70">
        <f t="shared" si="1561"/>
        <v>-78.107935422621779</v>
      </c>
      <c r="AR205" s="70">
        <f t="shared" si="1561"/>
        <v>-78.3451504726454</v>
      </c>
      <c r="AS205" s="70">
        <f t="shared" si="1561"/>
        <v>-58.579373927669536</v>
      </c>
      <c r="AT205" s="70">
        <f t="shared" si="1561"/>
        <v>12.042780382041201</v>
      </c>
      <c r="AU205" s="70">
        <f t="shared" si="1561"/>
        <v>7.1082238938975877</v>
      </c>
      <c r="AV205" s="70">
        <f t="shared" si="1561"/>
        <v>24.359939693563973</v>
      </c>
      <c r="AW205" s="70">
        <f t="shared" si="1561"/>
        <v>26.658556630430496</v>
      </c>
      <c r="AX205" s="70">
        <f t="shared" si="1561"/>
        <v>-14.755310340497516</v>
      </c>
      <c r="AY205" s="70">
        <f t="shared" si="1561"/>
        <v>-59.76960282324896</v>
      </c>
      <c r="AZ205" s="70">
        <f t="shared" ref="AZ205:BC205" si="1562">AZ201-AZ204</f>
        <v>96.490050192863237</v>
      </c>
      <c r="BA205" s="70">
        <f t="shared" si="1562"/>
        <v>97.760364794772244</v>
      </c>
      <c r="BB205" s="70">
        <f t="shared" si="1562"/>
        <v>-40.082270320816434</v>
      </c>
      <c r="BC205" s="70">
        <f t="shared" si="1562"/>
        <v>-50.200107337287022</v>
      </c>
      <c r="BD205" s="70">
        <f t="shared" ref="BD205:CE205" si="1563">BD201-BD204</f>
        <v>-53.262499898523373</v>
      </c>
      <c r="BE205" s="70">
        <f t="shared" si="1563"/>
        <v>-69.080076392708008</v>
      </c>
      <c r="BF205" s="70">
        <f t="shared" si="1563"/>
        <v>-65.360606448793135</v>
      </c>
      <c r="BG205" s="70">
        <f t="shared" si="1563"/>
        <v>-67.336203296584756</v>
      </c>
      <c r="BH205" s="70">
        <f t="shared" si="1563"/>
        <v>-30.694319714198116</v>
      </c>
      <c r="BI205" s="70">
        <f t="shared" si="1563"/>
        <v>-37.485916552027504</v>
      </c>
      <c r="BJ205" s="70">
        <f t="shared" si="1563"/>
        <v>-4.1890170968144957</v>
      </c>
      <c r="BK205" s="70">
        <f t="shared" si="1563"/>
        <v>2.7343751715172857</v>
      </c>
      <c r="BL205" s="70">
        <f t="shared" si="1563"/>
        <v>-18.276921204457949</v>
      </c>
      <c r="BM205" s="70">
        <f t="shared" si="1563"/>
        <v>-7.7755216967267415</v>
      </c>
      <c r="BN205" s="70">
        <f t="shared" si="1563"/>
        <v>-15.4561169587991</v>
      </c>
      <c r="BO205" s="70">
        <f t="shared" si="1563"/>
        <v>-32.698643813923724</v>
      </c>
      <c r="BP205" s="70">
        <f t="shared" si="1563"/>
        <v>48.133074210145281</v>
      </c>
      <c r="BQ205" s="70">
        <f t="shared" si="1563"/>
        <v>38.418750305665185</v>
      </c>
      <c r="BR205" s="70">
        <f t="shared" si="1563"/>
        <v>83.789836199322252</v>
      </c>
      <c r="BS205" s="70">
        <f t="shared" si="1563"/>
        <v>85.522294559859006</v>
      </c>
      <c r="BT205" s="70">
        <f t="shared" si="1563"/>
        <v>103.44411091776851</v>
      </c>
      <c r="BU205" s="70">
        <f t="shared" si="1563"/>
        <v>105.70605815636844</v>
      </c>
      <c r="BV205" s="70">
        <f t="shared" si="1563"/>
        <v>33.179760289419121</v>
      </c>
      <c r="BW205" s="70">
        <f t="shared" si="1563"/>
        <v>41.697197604237175</v>
      </c>
      <c r="BX205" s="70">
        <f t="shared" si="1563"/>
        <v>69.142036153934583</v>
      </c>
      <c r="BY205" s="70">
        <f t="shared" si="1563"/>
        <v>75.249385877695204</v>
      </c>
      <c r="BZ205" s="70">
        <f t="shared" si="1563"/>
        <v>46.301046859713779</v>
      </c>
      <c r="CA205" s="70">
        <f t="shared" si="1563"/>
        <v>50.11468630068903</v>
      </c>
      <c r="CB205" s="70">
        <f t="shared" si="1563"/>
        <v>17.729069833679446</v>
      </c>
      <c r="CC205" s="70">
        <f t="shared" si="1563"/>
        <v>17.732126798676518</v>
      </c>
      <c r="CD205" s="70">
        <f t="shared" si="1563"/>
        <v>45.779773400909491</v>
      </c>
      <c r="CE205" s="115">
        <f t="shared" si="1563"/>
        <v>49.660399500367092</v>
      </c>
      <c r="CF205" s="70">
        <f t="shared" ref="CF205:CG205" si="1564">CF201-CF204</f>
        <v>70.414787448421436</v>
      </c>
      <c r="CG205" s="70">
        <f t="shared" si="1564"/>
        <v>71.213731616758267</v>
      </c>
      <c r="CH205" s="70">
        <f t="shared" ref="CH205:CI205" si="1565">CH201-CH204</f>
        <v>72.140903535757928</v>
      </c>
      <c r="CI205" s="70">
        <f t="shared" si="1565"/>
        <v>72.140903535757928</v>
      </c>
      <c r="CJ205" s="70">
        <f t="shared" ref="CJ205:DB205" si="1566">CJ201-CJ204</f>
        <v>91.879609180164138</v>
      </c>
      <c r="CK205" s="50">
        <f t="shared" si="1566"/>
        <v>131.87960918016415</v>
      </c>
      <c r="CL205" s="70">
        <f t="shared" ref="CL205" si="1567">CL201-CL204</f>
        <v>90.722501228636006</v>
      </c>
      <c r="CM205" s="50">
        <f t="shared" si="1566"/>
        <v>99.722501228636006</v>
      </c>
      <c r="CN205" s="50">
        <f t="shared" si="1566"/>
        <v>108.72250122863601</v>
      </c>
      <c r="CO205" s="50">
        <f t="shared" si="1566"/>
        <v>117.72250122863601</v>
      </c>
      <c r="CP205" s="50">
        <f t="shared" si="1566"/>
        <v>126.72250122863601</v>
      </c>
      <c r="CQ205" s="50">
        <f t="shared" si="1566"/>
        <v>138.72250122863602</v>
      </c>
      <c r="CR205" s="50">
        <f t="shared" si="1566"/>
        <v>150.72250122863602</v>
      </c>
      <c r="CS205" s="50">
        <f t="shared" si="1566"/>
        <v>162.72250122863602</v>
      </c>
      <c r="CT205" s="50">
        <f t="shared" si="1566"/>
        <v>174.72250122863602</v>
      </c>
      <c r="CU205" s="50">
        <f t="shared" si="1566"/>
        <v>174.72250122863602</v>
      </c>
      <c r="CV205" s="50">
        <f t="shared" si="1566"/>
        <v>174.72250122863602</v>
      </c>
      <c r="CW205" s="50">
        <f t="shared" si="1566"/>
        <v>174.72250122863602</v>
      </c>
      <c r="CX205" s="50">
        <f t="shared" si="1566"/>
        <v>174.72250122863602</v>
      </c>
      <c r="CY205" s="50">
        <f t="shared" si="1566"/>
        <v>174.72250122863602</v>
      </c>
      <c r="CZ205" s="50">
        <f t="shared" si="1566"/>
        <v>174.72250122863602</v>
      </c>
      <c r="DA205" s="50">
        <f t="shared" si="1566"/>
        <v>174.72250122863602</v>
      </c>
      <c r="DB205" s="50">
        <f t="shared" si="1566"/>
        <v>174.72250122863602</v>
      </c>
      <c r="DE205" s="138"/>
      <c r="DF205" s="7" t="e">
        <v>#DIV/0!</v>
      </c>
    </row>
    <row r="206" spans="1:110" s="7" customFormat="1" x14ac:dyDescent="0.2">
      <c r="A206" s="69" t="s">
        <v>86</v>
      </c>
      <c r="AB206" s="77"/>
      <c r="AC206" s="77"/>
      <c r="AD206" s="77"/>
      <c r="AE206" s="77"/>
      <c r="CE206" s="115"/>
      <c r="CG206" s="115"/>
      <c r="CK206" s="50"/>
      <c r="CM206" s="50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E206" s="138"/>
    </row>
    <row r="207" spans="1:110" s="86" customFormat="1" x14ac:dyDescent="0.2">
      <c r="A207" s="86" t="s">
        <v>440</v>
      </c>
      <c r="C207" s="86" t="e">
        <f t="shared" ref="C207:Y207" si="1568">C29/B29-1</f>
        <v>#DIV/0!</v>
      </c>
      <c r="D207" s="86" t="e">
        <f t="shared" si="1568"/>
        <v>#DIV/0!</v>
      </c>
      <c r="E207" s="86" t="e">
        <f t="shared" si="1568"/>
        <v>#DIV/0!</v>
      </c>
      <c r="F207" s="86" t="e">
        <f t="shared" si="1568"/>
        <v>#DIV/0!</v>
      </c>
      <c r="G207" s="86" t="e">
        <f t="shared" si="1568"/>
        <v>#DIV/0!</v>
      </c>
      <c r="H207" s="86" t="e">
        <f t="shared" si="1568"/>
        <v>#DIV/0!</v>
      </c>
      <c r="I207" s="86" t="e">
        <f t="shared" si="1568"/>
        <v>#DIV/0!</v>
      </c>
      <c r="J207" s="86" t="e">
        <f t="shared" si="1568"/>
        <v>#DIV/0!</v>
      </c>
      <c r="K207" s="86" t="e">
        <f t="shared" si="1568"/>
        <v>#DIV/0!</v>
      </c>
      <c r="L207" s="86">
        <f t="shared" si="1568"/>
        <v>3.9100630087844364</v>
      </c>
      <c r="M207" s="86">
        <f t="shared" si="1568"/>
        <v>0.91653201822788599</v>
      </c>
      <c r="N207" s="86">
        <f t="shared" si="1568"/>
        <v>0.65667031592117597</v>
      </c>
      <c r="O207" s="86">
        <f t="shared" si="1568"/>
        <v>1.2810265275778243</v>
      </c>
      <c r="P207" s="86">
        <f t="shared" si="1568"/>
        <v>0.26390755242855946</v>
      </c>
      <c r="Q207" s="86">
        <f t="shared" si="1568"/>
        <v>0.30633145970261366</v>
      </c>
      <c r="R207" s="86">
        <f t="shared" si="1568"/>
        <v>-0.11423470860486984</v>
      </c>
      <c r="S207" s="86">
        <f t="shared" si="1568"/>
        <v>-0.10219667829732781</v>
      </c>
      <c r="T207" s="86">
        <f t="shared" si="1568"/>
        <v>0.17631258040176756</v>
      </c>
      <c r="U207" s="86">
        <f t="shared" si="1568"/>
        <v>0.10816950801744096</v>
      </c>
      <c r="V207" s="86">
        <f t="shared" si="1568"/>
        <v>-9.3034080759506477E-3</v>
      </c>
      <c r="W207" s="86">
        <f t="shared" si="1568"/>
        <v>5.6812201294511144E-2</v>
      </c>
      <c r="X207" s="86">
        <f t="shared" si="1568"/>
        <v>0.3991933941463337</v>
      </c>
      <c r="Y207" s="86">
        <f t="shared" si="1568"/>
        <v>0.29860625739877689</v>
      </c>
      <c r="Z207" s="86">
        <f>Z29/Y29-1</f>
        <v>0.1162203520270102</v>
      </c>
      <c r="AA207" s="86">
        <f>AA29/Z29-1</f>
        <v>-3.4919254439569114E-2</v>
      </c>
      <c r="AB207" s="87">
        <f t="shared" ref="AB207:AE207" si="1569">AB29/AA29-1</f>
        <v>0.15765593680471701</v>
      </c>
      <c r="AC207" s="87">
        <f t="shared" si="1569"/>
        <v>0.16388135523027314</v>
      </c>
      <c r="AD207" s="87">
        <f t="shared" si="1569"/>
        <v>0.17400150401719028</v>
      </c>
      <c r="AE207" s="87">
        <f t="shared" si="1569"/>
        <v>0.23352702833244021</v>
      </c>
      <c r="AN207" s="86">
        <f t="shared" ref="AN207:CI207" si="1570">+(AN29+AM29)/(AJ29+AI29)-1</f>
        <v>0.90898877275086942</v>
      </c>
      <c r="AO207" s="86">
        <f t="shared" si="1570"/>
        <v>1.1013740696559871</v>
      </c>
      <c r="AP207" s="86">
        <f t="shared" si="1570"/>
        <v>1.7424343991535891</v>
      </c>
      <c r="AQ207" s="86">
        <f t="shared" si="1570"/>
        <v>1.7895371551586665</v>
      </c>
      <c r="AR207" s="86">
        <f t="shared" si="1570"/>
        <v>0.8969136604214698</v>
      </c>
      <c r="AS207" s="86">
        <f t="shared" si="1570"/>
        <v>0.380131893524291</v>
      </c>
      <c r="AT207" s="86">
        <f t="shared" si="1570"/>
        <v>-1.4911454038558647E-3</v>
      </c>
      <c r="AU207" s="86">
        <f t="shared" si="1570"/>
        <v>-5.2039901247271203E-2</v>
      </c>
      <c r="AV207" s="86">
        <f t="shared" si="1570"/>
        <v>0.25130949986519857</v>
      </c>
      <c r="AW207" s="86">
        <f t="shared" si="1570"/>
        <v>0.23723008128902068</v>
      </c>
      <c r="AX207" s="86">
        <f t="shared" si="1570"/>
        <v>0.36026450090005402</v>
      </c>
      <c r="AY207" s="86">
        <f t="shared" si="1570"/>
        <v>0.22783524387968734</v>
      </c>
      <c r="AZ207" s="86">
        <f t="shared" si="1570"/>
        <v>-6.2717540648199455E-2</v>
      </c>
      <c r="BA207" s="86">
        <f t="shared" si="1570"/>
        <v>-7.8190578911580655E-2</v>
      </c>
      <c r="BB207" s="86">
        <f t="shared" si="1570"/>
        <v>-0.14833319842036186</v>
      </c>
      <c r="BC207" s="86">
        <f t="shared" si="1570"/>
        <v>-8.7134257894995404E-2</v>
      </c>
      <c r="BD207" s="86">
        <f t="shared" si="1570"/>
        <v>6.7490745757826209E-2</v>
      </c>
      <c r="BE207" s="86">
        <f t="shared" si="1570"/>
        <v>-4.0697711389636737E-4</v>
      </c>
      <c r="BF207" s="86">
        <f t="shared" si="1570"/>
        <v>-0.25102917327535501</v>
      </c>
      <c r="BG207" s="86">
        <f t="shared" si="1570"/>
        <v>-0.34337935318887092</v>
      </c>
      <c r="BH207" s="86">
        <f t="shared" si="1570"/>
        <v>-6.5671088263015931E-2</v>
      </c>
      <c r="BI207" s="86">
        <f t="shared" si="1570"/>
        <v>0.21863478108349055</v>
      </c>
      <c r="BJ207" s="86">
        <f t="shared" si="1570"/>
        <v>0.47600805377948641</v>
      </c>
      <c r="BK207" s="86">
        <f t="shared" si="1570"/>
        <v>0.85977526248609326</v>
      </c>
      <c r="BL207" s="86">
        <f t="shared" si="1570"/>
        <v>0.25485599831716033</v>
      </c>
      <c r="BM207" s="86">
        <f t="shared" si="1570"/>
        <v>-6.8516085153095818E-2</v>
      </c>
      <c r="BN207" s="86">
        <f t="shared" si="1570"/>
        <v>-2.145660164154406E-2</v>
      </c>
      <c r="BO207" s="86">
        <f t="shared" si="1570"/>
        <v>-0.21686159776959346</v>
      </c>
      <c r="BP207" s="86">
        <f t="shared" si="1570"/>
        <v>-5.5933215115808621E-2</v>
      </c>
      <c r="BQ207" s="86">
        <f t="shared" si="1570"/>
        <v>0.17241409678227715</v>
      </c>
      <c r="BR207" s="86">
        <f t="shared" si="1570"/>
        <v>4.0886465708290132E-2</v>
      </c>
      <c r="BS207" s="86">
        <f t="shared" si="1570"/>
        <v>0.13767266219302288</v>
      </c>
      <c r="BT207" s="86">
        <f t="shared" si="1570"/>
        <v>-9.2682489979186378E-2</v>
      </c>
      <c r="BU207" s="86">
        <f t="shared" si="1570"/>
        <v>-0.27994373141309947</v>
      </c>
      <c r="BV207" s="86">
        <f t="shared" si="1570"/>
        <v>0.2027533003126214</v>
      </c>
      <c r="BW207" s="86">
        <f t="shared" si="1570"/>
        <v>0.87915125872515754</v>
      </c>
      <c r="BX207" s="86">
        <f t="shared" si="1570"/>
        <v>0.76701081980715635</v>
      </c>
      <c r="BY207" s="86">
        <f t="shared" si="1570"/>
        <v>0.40434575619230428</v>
      </c>
      <c r="BZ207" s="86">
        <f t="shared" si="1570"/>
        <v>0.12831967094981667</v>
      </c>
      <c r="CA207" s="86">
        <f t="shared" si="1570"/>
        <v>-0.12636241182459163</v>
      </c>
      <c r="CB207" s="86">
        <f t="shared" si="1570"/>
        <v>0.1555023082482978</v>
      </c>
      <c r="CC207" s="86">
        <f t="shared" si="1570"/>
        <v>0.75457213513071819</v>
      </c>
      <c r="CD207" s="86">
        <f t="shared" si="1570"/>
        <v>0.46364778882257318</v>
      </c>
      <c r="CE207" s="86">
        <f t="shared" si="1570"/>
        <v>0.33282441311018673</v>
      </c>
      <c r="CF207" s="86">
        <f t="shared" si="1570"/>
        <v>0.1791285424476956</v>
      </c>
      <c r="CG207" s="86">
        <f t="shared" si="1570"/>
        <v>3.9567362352888491E-2</v>
      </c>
      <c r="CH207" s="86">
        <f t="shared" si="1570"/>
        <v>5.8942983775834179E-2</v>
      </c>
      <c r="CI207" s="86">
        <f t="shared" si="1570"/>
        <v>9.6153438712520689E-4</v>
      </c>
      <c r="CJ207" s="86">
        <f>+(CJ29+CI29)/(CF29+CE29)-1</f>
        <v>-2.5747751065489433E-2</v>
      </c>
      <c r="CK207" s="87"/>
      <c r="CL207" s="86">
        <f>+(CL29+CK29)/(CH29+CG29)-1</f>
        <v>-4.4217584699759116E-2</v>
      </c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E207" s="141"/>
      <c r="DF207" s="86" t="e">
        <v>#DIV/0!</v>
      </c>
    </row>
    <row r="208" spans="1:110" s="86" customFormat="1" x14ac:dyDescent="0.2">
      <c r="A208" s="86" t="s">
        <v>441</v>
      </c>
      <c r="C208" s="86" t="e">
        <f t="shared" ref="C208" si="1571">C205/B205-1</f>
        <v>#DIV/0!</v>
      </c>
      <c r="D208" s="86" t="e">
        <f t="shared" ref="D208" si="1572">D205/C205-1</f>
        <v>#DIV/0!</v>
      </c>
      <c r="E208" s="86" t="e">
        <f>E205/D205-1</f>
        <v>#DIV/0!</v>
      </c>
      <c r="F208" s="86" t="e">
        <f t="shared" ref="F208" si="1573">F205/E205-1</f>
        <v>#DIV/0!</v>
      </c>
      <c r="G208" s="86" t="e">
        <f t="shared" ref="G208" si="1574">G205/F205-1</f>
        <v>#DIV/0!</v>
      </c>
      <c r="H208" s="86" t="e">
        <f t="shared" ref="H208" si="1575">H205/G205-1</f>
        <v>#DIV/0!</v>
      </c>
      <c r="I208" s="86" t="e">
        <f t="shared" ref="I208" si="1576">I205/H205-1</f>
        <v>#DIV/0!</v>
      </c>
      <c r="J208" s="86" t="e">
        <f t="shared" ref="J208" si="1577">J205/I205-1</f>
        <v>#DIV/0!</v>
      </c>
      <c r="K208" s="86" t="e">
        <f>K205/J205-1</f>
        <v>#DIV/0!</v>
      </c>
      <c r="L208" s="86">
        <f t="shared" ref="L208" si="1578">L205/K205-1</f>
        <v>-2.3719371800278632</v>
      </c>
      <c r="M208" s="86">
        <f t="shared" ref="M208" si="1579">M205/L205-1</f>
        <v>-1.0379152071647193</v>
      </c>
      <c r="N208" s="86">
        <f t="shared" ref="N208" si="1580">N205/M205-1</f>
        <v>12.948528211199694</v>
      </c>
      <c r="O208" s="86">
        <f t="shared" ref="O208" si="1581">O205/N205-1</f>
        <v>-0.92739192616678046</v>
      </c>
      <c r="P208" s="86">
        <f t="shared" ref="P208" si="1582">P205/O205-1</f>
        <v>-7.6217580918377399</v>
      </c>
      <c r="Q208" s="86">
        <f t="shared" ref="Q208" si="1583">Q205/P205-1</f>
        <v>-0.47469245554548667</v>
      </c>
      <c r="R208" s="86">
        <f t="shared" ref="R208" si="1584">R205/Q205-1</f>
        <v>-0.81716645163952117</v>
      </c>
      <c r="S208" s="86">
        <f t="shared" ref="S208" si="1585">S205/R205-1</f>
        <v>1.1591365997897274</v>
      </c>
      <c r="T208" s="86">
        <f t="shared" ref="T208" si="1586">T205/S205-1</f>
        <v>2.2865092934437952</v>
      </c>
      <c r="U208" s="86">
        <f t="shared" ref="U208" si="1587">U205/T205-1</f>
        <v>-0.49804213679709508</v>
      </c>
      <c r="V208" s="86">
        <f t="shared" ref="V208" si="1588">V205/U205-1</f>
        <v>2.3828084979711486</v>
      </c>
      <c r="W208" s="86">
        <f t="shared" ref="W208:AA208" si="1589">W205/V205-1</f>
        <v>-0.37696251101769251</v>
      </c>
      <c r="X208" s="86">
        <f t="shared" si="1589"/>
        <v>-3.6143820124371895E-2</v>
      </c>
      <c r="Y208" s="86">
        <f t="shared" si="1589"/>
        <v>-0.12091581730720136</v>
      </c>
      <c r="Z208" s="86">
        <f t="shared" si="1589"/>
        <v>0.69971553629409189</v>
      </c>
      <c r="AA208" s="86">
        <f t="shared" si="1589"/>
        <v>9.6451280301220965E-2</v>
      </c>
      <c r="AB208" s="87">
        <f t="shared" ref="AB208" si="1590">AB205/AA205-1</f>
        <v>0.80154834753160276</v>
      </c>
      <c r="AC208" s="87">
        <f t="shared" ref="AC208" si="1591">AC205/AB205-1</f>
        <v>0.42502350034545211</v>
      </c>
      <c r="AD208" s="87">
        <f t="shared" ref="AD208" si="1592">AD205/AC205-1</f>
        <v>1.6421090608943256E-2</v>
      </c>
      <c r="AE208" s="87">
        <f t="shared" ref="AE208" si="1593">AE205/AD205-1</f>
        <v>1.6734239806629025E-2</v>
      </c>
      <c r="AN208" s="86">
        <f t="shared" ref="AN208:CI208" si="1594">+AN205/AJ205-1</f>
        <v>-0.47257024607691644</v>
      </c>
      <c r="AO208" s="86">
        <f t="shared" si="1594"/>
        <v>-0.46280478471892361</v>
      </c>
      <c r="AP208" s="86">
        <f t="shared" si="1594"/>
        <v>-0.7851502251968856</v>
      </c>
      <c r="AQ208" s="86">
        <f t="shared" si="1594"/>
        <v>-0.68066205797953083</v>
      </c>
      <c r="AR208" s="86">
        <f t="shared" si="1594"/>
        <v>-0.51693095314028348</v>
      </c>
      <c r="AS208" s="86">
        <f t="shared" si="1594"/>
        <v>-0.5217572260712644</v>
      </c>
      <c r="AT208" s="86">
        <f t="shared" si="1594"/>
        <v>-1.1722530692450481</v>
      </c>
      <c r="AU208" s="86">
        <f t="shared" si="1594"/>
        <v>-1.0910051437851587</v>
      </c>
      <c r="AV208" s="86">
        <f t="shared" si="1594"/>
        <v>-1.3109310473794975</v>
      </c>
      <c r="AW208" s="86">
        <f t="shared" si="1594"/>
        <v>-1.4550843555164479</v>
      </c>
      <c r="AX208" s="86">
        <f t="shared" si="1594"/>
        <v>-2.2252411712582068</v>
      </c>
      <c r="AY208" s="86">
        <f t="shared" si="1594"/>
        <v>-9.4085143793179018</v>
      </c>
      <c r="AZ208" s="86">
        <f t="shared" si="1594"/>
        <v>2.9610135085168716</v>
      </c>
      <c r="BA208" s="86">
        <f t="shared" si="1594"/>
        <v>2.6671289503790949</v>
      </c>
      <c r="BB208" s="86">
        <f t="shared" si="1594"/>
        <v>1.7164640658764312</v>
      </c>
      <c r="BC208" s="86">
        <f t="shared" si="1594"/>
        <v>-0.16010639244602154</v>
      </c>
      <c r="BD208" s="86">
        <f t="shared" si="1594"/>
        <v>-1.551999919080391</v>
      </c>
      <c r="BE208" s="86">
        <f t="shared" si="1594"/>
        <v>-1.7066266225348832</v>
      </c>
      <c r="BF208" s="86">
        <f t="shared" si="1594"/>
        <v>0.63066128554221601</v>
      </c>
      <c r="BG208" s="86">
        <f t="shared" si="1594"/>
        <v>0.34135576332860929</v>
      </c>
      <c r="BH208" s="86">
        <f t="shared" si="1594"/>
        <v>-0.42371612724379326</v>
      </c>
      <c r="BI208" s="86">
        <f t="shared" si="1594"/>
        <v>-0.45735560078239201</v>
      </c>
      <c r="BJ208" s="86">
        <f t="shared" si="1594"/>
        <v>-0.93590914582323548</v>
      </c>
      <c r="BK208" s="86">
        <f t="shared" si="1594"/>
        <v>-1.0406078014151412</v>
      </c>
      <c r="BL208" s="86">
        <f t="shared" si="1594"/>
        <v>-0.40455037366396862</v>
      </c>
      <c r="BM208" s="86">
        <f t="shared" si="1594"/>
        <v>-0.79257485445407405</v>
      </c>
      <c r="BN208" s="86">
        <f t="shared" si="1594"/>
        <v>2.6896762657169817</v>
      </c>
      <c r="BO208" s="86">
        <f t="shared" si="1594"/>
        <v>-12.958360416131001</v>
      </c>
      <c r="BP208" s="86">
        <f t="shared" si="1594"/>
        <v>-3.6335438924147181</v>
      </c>
      <c r="BQ208" s="86">
        <f t="shared" si="1594"/>
        <v>-5.9409868307406706</v>
      </c>
      <c r="BR208" s="86">
        <f t="shared" si="1594"/>
        <v>-6.42114403136818</v>
      </c>
      <c r="BS208" s="86">
        <f t="shared" si="1594"/>
        <v>-3.6154691627743269</v>
      </c>
      <c r="BT208" s="86">
        <f t="shared" si="1594"/>
        <v>1.1491274475039663</v>
      </c>
      <c r="BU208" s="86">
        <f t="shared" si="1594"/>
        <v>1.7514184432173252</v>
      </c>
      <c r="BV208" s="86">
        <f t="shared" si="1594"/>
        <v>-0.60401211179730763</v>
      </c>
      <c r="BW208" s="86">
        <f t="shared" si="1594"/>
        <v>-0.51244061190322299</v>
      </c>
      <c r="BX208" s="86">
        <f t="shared" si="1594"/>
        <v>-0.33160007331013652</v>
      </c>
      <c r="BY208" s="86">
        <f t="shared" si="1594"/>
        <v>-0.28812608103898274</v>
      </c>
      <c r="BZ208" s="86">
        <f t="shared" si="1594"/>
        <v>0.39546055956525339</v>
      </c>
      <c r="CA208" s="86">
        <f t="shared" si="1594"/>
        <v>0.20187180866074539</v>
      </c>
      <c r="CB208" s="86">
        <f t="shared" si="1594"/>
        <v>-0.74358478835930897</v>
      </c>
      <c r="CC208" s="86">
        <f t="shared" si="1594"/>
        <v>-0.76435519583512601</v>
      </c>
      <c r="CD208" s="86">
        <f t="shared" si="1594"/>
        <v>-1.1258351466300054E-2</v>
      </c>
      <c r="CE208" s="86">
        <f t="shared" si="1594"/>
        <v>-9.0649435096971098E-3</v>
      </c>
      <c r="CF208" s="86">
        <f t="shared" si="1594"/>
        <v>2.9717135816486167</v>
      </c>
      <c r="CG208" s="86">
        <f t="shared" si="1594"/>
        <v>3.0160851783483462</v>
      </c>
      <c r="CH208" s="86">
        <f t="shared" si="1594"/>
        <v>0.57582482779009836</v>
      </c>
      <c r="CI208" s="86">
        <f t="shared" si="1594"/>
        <v>0.45268471984855174</v>
      </c>
      <c r="CJ208" s="86">
        <f>+CJ205/CF205-1</f>
        <v>0.30483400588925447</v>
      </c>
      <c r="CK208" s="87"/>
      <c r="CL208" s="86">
        <f>+CL205/CH205-1</f>
        <v>0.25757367571183498</v>
      </c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E208" s="141"/>
      <c r="DF208" s="86" t="e">
        <v>#DIV/0!</v>
      </c>
    </row>
    <row r="209" spans="1:110" s="103" customFormat="1" x14ac:dyDescent="0.2">
      <c r="A209" s="147" t="s">
        <v>87</v>
      </c>
      <c r="C209" s="103" t="e">
        <f>IF(C208&gt;C207,"RF",0)</f>
        <v>#DIV/0!</v>
      </c>
      <c r="D209" s="103" t="e">
        <f>IF(D208&gt;D207,"RF",0)</f>
        <v>#DIV/0!</v>
      </c>
      <c r="E209" s="103" t="e">
        <f t="shared" ref="E209:U209" si="1595">IF(E208&gt;E207,"RF",0)</f>
        <v>#DIV/0!</v>
      </c>
      <c r="F209" s="103" t="e">
        <f t="shared" si="1595"/>
        <v>#DIV/0!</v>
      </c>
      <c r="G209" s="103" t="e">
        <f t="shared" si="1595"/>
        <v>#DIV/0!</v>
      </c>
      <c r="H209" s="103" t="e">
        <f t="shared" si="1595"/>
        <v>#DIV/0!</v>
      </c>
      <c r="I209" s="103" t="e">
        <f t="shared" si="1595"/>
        <v>#DIV/0!</v>
      </c>
      <c r="J209" s="103" t="e">
        <f t="shared" si="1595"/>
        <v>#DIV/0!</v>
      </c>
      <c r="K209" s="103" t="e">
        <f t="shared" si="1595"/>
        <v>#DIV/0!</v>
      </c>
      <c r="L209" s="103">
        <f t="shared" si="1595"/>
        <v>0</v>
      </c>
      <c r="M209" s="103">
        <f t="shared" si="1595"/>
        <v>0</v>
      </c>
      <c r="N209" s="103" t="str">
        <f t="shared" si="1595"/>
        <v>RF</v>
      </c>
      <c r="O209" s="103">
        <f t="shared" si="1595"/>
        <v>0</v>
      </c>
      <c r="P209" s="103">
        <f t="shared" si="1595"/>
        <v>0</v>
      </c>
      <c r="Q209" s="103">
        <f t="shared" si="1595"/>
        <v>0</v>
      </c>
      <c r="R209" s="103">
        <f t="shared" si="1595"/>
        <v>0</v>
      </c>
      <c r="S209" s="103" t="str">
        <f t="shared" si="1595"/>
        <v>RF</v>
      </c>
      <c r="T209" s="103" t="str">
        <f t="shared" si="1595"/>
        <v>RF</v>
      </c>
      <c r="U209" s="103">
        <f t="shared" si="1595"/>
        <v>0</v>
      </c>
      <c r="V209" s="103" t="str">
        <f>IF(V208&gt;V207,"RF",0)</f>
        <v>RF</v>
      </c>
      <c r="W209" s="103">
        <f t="shared" ref="W209" si="1596">IF(W208&gt;W207,"RF",0)</f>
        <v>0</v>
      </c>
      <c r="X209" s="103">
        <f t="shared" ref="X209:Y209" si="1597">IF(X208&gt;X207,"RF",0)</f>
        <v>0</v>
      </c>
      <c r="Y209" s="103">
        <f t="shared" si="1597"/>
        <v>0</v>
      </c>
      <c r="Z209" s="103" t="str">
        <f t="shared" ref="Z209:AA209" si="1598">IF(Z208&gt;Z207,"RF",0)</f>
        <v>RF</v>
      </c>
      <c r="AA209" s="103" t="str">
        <f t="shared" ref="AA209" si="1599">IF(AA208&gt;AA207,"RF",0)</f>
        <v>RF</v>
      </c>
      <c r="AB209" s="73" t="str">
        <f t="shared" ref="AB209:AD209" si="1600">IF(AB208&gt;AB207,"RF",0)</f>
        <v>RF</v>
      </c>
      <c r="AC209" s="73" t="str">
        <f t="shared" si="1600"/>
        <v>RF</v>
      </c>
      <c r="AD209" s="73">
        <f t="shared" si="1600"/>
        <v>0</v>
      </c>
      <c r="AE209" s="73">
        <f t="shared" ref="AE209" si="1601">IF(AE208&gt;AE207,"RF",0)</f>
        <v>0</v>
      </c>
      <c r="CK209" s="73"/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E209" s="142"/>
      <c r="DF209" s="103" t="e">
        <v>#DIV/0!</v>
      </c>
    </row>
    <row r="210" spans="1:110" x14ac:dyDescent="0.2">
      <c r="A210" s="153" t="s">
        <v>494</v>
      </c>
      <c r="AA210" s="2"/>
      <c r="CL210" s="2"/>
    </row>
    <row r="211" spans="1:110" x14ac:dyDescent="0.2">
      <c r="A211" s="152" t="s">
        <v>495</v>
      </c>
      <c r="AA211" s="2"/>
      <c r="CL211" s="2"/>
    </row>
    <row r="212" spans="1:110" s="23" customFormat="1" x14ac:dyDescent="0.2">
      <c r="A212" s="23" t="s">
        <v>22</v>
      </c>
      <c r="C212" s="23">
        <f t="shared" ref="C212:AE212" si="1602">C67</f>
        <v>0</v>
      </c>
      <c r="D212" s="23">
        <f t="shared" si="1602"/>
        <v>0</v>
      </c>
      <c r="E212" s="23">
        <f t="shared" si="1602"/>
        <v>-1E-3</v>
      </c>
      <c r="F212" s="23">
        <f t="shared" si="1602"/>
        <v>0</v>
      </c>
      <c r="G212" s="23">
        <f t="shared" si="1602"/>
        <v>0</v>
      </c>
      <c r="H212" s="23">
        <f t="shared" si="1602"/>
        <v>0</v>
      </c>
      <c r="I212" s="23">
        <f t="shared" si="1602"/>
        <v>-7.1790000000000003</v>
      </c>
      <c r="J212" s="23">
        <f t="shared" si="1602"/>
        <v>-4.9867999999999997</v>
      </c>
      <c r="K212" s="23">
        <f t="shared" si="1602"/>
        <v>170.11000000000004</v>
      </c>
      <c r="L212" s="23">
        <f t="shared" si="1602"/>
        <v>513.57000000000016</v>
      </c>
      <c r="M212" s="23">
        <f t="shared" si="1602"/>
        <v>-287.27000000000027</v>
      </c>
      <c r="N212" s="23">
        <f t="shared" si="1602"/>
        <v>-2295.0100000000002</v>
      </c>
      <c r="O212" s="23">
        <f t="shared" si="1602"/>
        <v>-290.54999999999916</v>
      </c>
      <c r="P212" s="23">
        <f t="shared" si="1602"/>
        <v>-815.63000000000204</v>
      </c>
      <c r="Q212" s="23">
        <f t="shared" si="1602"/>
        <v>550.79999999999757</v>
      </c>
      <c r="R212" s="23">
        <f t="shared" si="1602"/>
        <v>-6174.1000000000022</v>
      </c>
      <c r="S212" s="23">
        <f t="shared" si="1602"/>
        <v>-2102.9499999999998</v>
      </c>
      <c r="T212" s="23">
        <f t="shared" si="1602"/>
        <v>-984.40000000000146</v>
      </c>
      <c r="U212" s="23">
        <f t="shared" si="1602"/>
        <v>-2274.7700000000013</v>
      </c>
      <c r="V212" s="23">
        <f t="shared" si="1602"/>
        <v>1269.9800000000007</v>
      </c>
      <c r="W212" s="23">
        <f t="shared" si="1602"/>
        <v>4911.58</v>
      </c>
      <c r="X212" s="23">
        <f t="shared" si="1602"/>
        <v>10726.640000000003</v>
      </c>
      <c r="Y212" s="23">
        <f t="shared" si="1602"/>
        <v>20828.789999999997</v>
      </c>
      <c r="Z212" s="23">
        <f t="shared" si="1602"/>
        <v>12938.769999999995</v>
      </c>
      <c r="AA212" s="23">
        <f t="shared" ref="AA212" si="1603">AA67</f>
        <v>12834.3</v>
      </c>
      <c r="AB212" s="24">
        <f t="shared" si="1602"/>
        <v>13874.030448303243</v>
      </c>
      <c r="AC212" s="24">
        <f t="shared" si="1602"/>
        <v>16819.488398567129</v>
      </c>
      <c r="AD212" s="24">
        <f t="shared" si="1602"/>
        <v>19800.668197944498</v>
      </c>
      <c r="AE212" s="24">
        <f t="shared" si="1602"/>
        <v>25387.332621067151</v>
      </c>
      <c r="AI212" s="23">
        <f t="shared" ref="AI212:BN212" si="1604">AI67</f>
        <v>-809.81</v>
      </c>
      <c r="AJ212" s="23">
        <f t="shared" si="1604"/>
        <v>-260.90999999999985</v>
      </c>
      <c r="AK212" s="23">
        <f t="shared" si="1604"/>
        <v>-619.01</v>
      </c>
      <c r="AL212" s="23">
        <f t="shared" si="1604"/>
        <v>-585.52</v>
      </c>
      <c r="AM212" s="23">
        <f t="shared" si="1604"/>
        <v>-1198.29</v>
      </c>
      <c r="AN212" s="23">
        <f t="shared" si="1604"/>
        <v>-1071.9100000000005</v>
      </c>
      <c r="AO212" s="23">
        <f t="shared" si="1604"/>
        <v>-544.8199999999996</v>
      </c>
      <c r="AP212" s="23">
        <f t="shared" si="1604"/>
        <v>2528.5500000000002</v>
      </c>
      <c r="AQ212" s="23">
        <f t="shared" si="1604"/>
        <v>-303.28999999999894</v>
      </c>
      <c r="AR212" s="23">
        <f t="shared" si="1604"/>
        <v>-798.71000000000026</v>
      </c>
      <c r="AS212" s="23">
        <f t="shared" si="1604"/>
        <v>-428.67999999999961</v>
      </c>
      <c r="AT212" s="23">
        <f t="shared" si="1604"/>
        <v>715.04999999999973</v>
      </c>
      <c r="AU212" s="23">
        <f t="shared" si="1604"/>
        <v>-166.1400000000001</v>
      </c>
      <c r="AV212" s="23">
        <f t="shared" si="1604"/>
        <v>-404.74000000000012</v>
      </c>
      <c r="AW212" s="23">
        <f t="shared" si="1604"/>
        <v>109.49000000000052</v>
      </c>
      <c r="AX212" s="23">
        <f t="shared" si="1604"/>
        <v>1012.1899999999997</v>
      </c>
      <c r="AY212" s="23">
        <f t="shared" si="1604"/>
        <v>-232.62999999999923</v>
      </c>
      <c r="AZ212" s="23">
        <f t="shared" si="1604"/>
        <v>-313.05000000000013</v>
      </c>
      <c r="BA212" s="23">
        <f t="shared" si="1604"/>
        <v>-667.88999999999987</v>
      </c>
      <c r="BB212" s="23">
        <f t="shared" si="1604"/>
        <v>-4960.5300000000007</v>
      </c>
      <c r="BC212" s="23">
        <f t="shared" si="1604"/>
        <v>-452.84000000000026</v>
      </c>
      <c r="BD212" s="23">
        <f t="shared" si="1604"/>
        <v>316.88000000000056</v>
      </c>
      <c r="BE212" s="23">
        <f t="shared" si="1604"/>
        <v>-1313.7400000000002</v>
      </c>
      <c r="BF212" s="23">
        <f t="shared" si="1604"/>
        <v>-653.25</v>
      </c>
      <c r="BG212" s="23">
        <f t="shared" si="1604"/>
        <v>-825.15000000000009</v>
      </c>
      <c r="BH212" s="23">
        <f t="shared" si="1604"/>
        <v>386.89000000000033</v>
      </c>
      <c r="BI212" s="23">
        <f t="shared" si="1604"/>
        <v>-1180.78</v>
      </c>
      <c r="BJ212" s="23">
        <f t="shared" si="1604"/>
        <v>634.6400000000001</v>
      </c>
      <c r="BK212" s="23">
        <f t="shared" si="1604"/>
        <v>-263.39000000000044</v>
      </c>
      <c r="BL212" s="23">
        <f t="shared" si="1604"/>
        <v>3.880000000000206</v>
      </c>
      <c r="BM212" s="23">
        <f t="shared" si="1604"/>
        <v>-702.36000000000013</v>
      </c>
      <c r="BN212" s="23">
        <f t="shared" si="1604"/>
        <v>-1312.8999999999996</v>
      </c>
      <c r="BO212" s="23">
        <f t="shared" ref="BO212:CT212" si="1605">BO67</f>
        <v>-682.46000000000038</v>
      </c>
      <c r="BP212" s="23">
        <f t="shared" si="1605"/>
        <v>2228.0499999999993</v>
      </c>
      <c r="BQ212" s="23">
        <f t="shared" si="1605"/>
        <v>-288.73999999999955</v>
      </c>
      <c r="BR212" s="23">
        <f t="shared" si="1605"/>
        <v>13.13000000000028</v>
      </c>
      <c r="BS212" s="23">
        <f t="shared" si="1605"/>
        <v>278.22000000000025</v>
      </c>
      <c r="BT212" s="23">
        <f t="shared" si="1605"/>
        <v>-230.60000000000053</v>
      </c>
      <c r="BU212" s="23">
        <f t="shared" si="1605"/>
        <v>218.49000000000038</v>
      </c>
      <c r="BV212" s="23">
        <f t="shared" si="1605"/>
        <v>4645.4699999999993</v>
      </c>
      <c r="BW212" s="23">
        <f t="shared" si="1605"/>
        <v>4779.8599999999988</v>
      </c>
      <c r="BX212" s="23">
        <f t="shared" si="1605"/>
        <v>695.53000000000065</v>
      </c>
      <c r="BY212" s="23">
        <f t="shared" si="1605"/>
        <v>8.7700000000005502</v>
      </c>
      <c r="BZ212" s="23">
        <f t="shared" si="1605"/>
        <v>5242.4799999999977</v>
      </c>
      <c r="CA212" s="23">
        <f t="shared" si="1605"/>
        <v>8759.42</v>
      </c>
      <c r="CB212" s="23">
        <f t="shared" si="1605"/>
        <v>6594.17</v>
      </c>
      <c r="CC212" s="23">
        <f t="shared" si="1605"/>
        <v>2737.9600000000019</v>
      </c>
      <c r="CD212" s="23">
        <f t="shared" si="1605"/>
        <v>2737.24</v>
      </c>
      <c r="CE212" s="23">
        <f t="shared" si="1605"/>
        <v>3912.7899999999991</v>
      </c>
      <c r="CF212" s="23">
        <f t="shared" si="1605"/>
        <v>3331.7999999999993</v>
      </c>
      <c r="CG212" s="23">
        <f t="shared" si="1605"/>
        <v>3057.2100000000005</v>
      </c>
      <c r="CH212" s="23">
        <f t="shared" si="1605"/>
        <v>2636.9699999999984</v>
      </c>
      <c r="CI212" s="23">
        <f t="shared" si="1605"/>
        <v>3384.8599999999988</v>
      </c>
      <c r="CJ212" s="23">
        <f t="shared" si="1605"/>
        <v>2952.7800000000011</v>
      </c>
      <c r="CK212" s="24">
        <f t="shared" si="1605"/>
        <v>2479.5800000000013</v>
      </c>
      <c r="CL212" s="23">
        <f t="shared" ref="CL212" si="1606">CL67</f>
        <v>4017.0799999999995</v>
      </c>
      <c r="CM212" s="24">
        <f t="shared" si="1605"/>
        <v>3478.8704004208562</v>
      </c>
      <c r="CN212" s="24">
        <f t="shared" si="1605"/>
        <v>3055.6201205954344</v>
      </c>
      <c r="CO212" s="24">
        <f t="shared" si="1605"/>
        <v>3098.0658083587896</v>
      </c>
      <c r="CP212" s="24">
        <f t="shared" si="1605"/>
        <v>4241.474118928164</v>
      </c>
      <c r="CQ212" s="24">
        <f t="shared" si="1605"/>
        <v>3745.2875100195042</v>
      </c>
      <c r="CR212" s="24">
        <f t="shared" si="1605"/>
        <v>3830.030911002988</v>
      </c>
      <c r="CS212" s="24">
        <f t="shared" si="1605"/>
        <v>4067.7453267242549</v>
      </c>
      <c r="CT212" s="24">
        <f t="shared" si="1605"/>
        <v>5176.4246508203842</v>
      </c>
      <c r="CU212" s="24">
        <f t="shared" ref="CU212:DB212" si="1607">CU67</f>
        <v>4329.9347240223506</v>
      </c>
      <c r="CV212" s="24">
        <f t="shared" si="1607"/>
        <v>4352.8441311661536</v>
      </c>
      <c r="CW212" s="24">
        <f t="shared" si="1607"/>
        <v>4867.2004126530728</v>
      </c>
      <c r="CX212" s="24">
        <f t="shared" si="1607"/>
        <v>6250.6889301029305</v>
      </c>
      <c r="CY212" s="24">
        <f t="shared" si="1607"/>
        <v>5372.9614380032872</v>
      </c>
      <c r="CZ212" s="24">
        <f t="shared" si="1607"/>
        <v>5743.5125436144144</v>
      </c>
      <c r="DA212" s="24">
        <f t="shared" si="1607"/>
        <v>6110.5730328418449</v>
      </c>
      <c r="DB212" s="24">
        <f t="shared" si="1607"/>
        <v>8160.2856066075929</v>
      </c>
      <c r="DE212" s="123"/>
      <c r="DF212" s="23">
        <v>0</v>
      </c>
    </row>
    <row r="213" spans="1:110" s="23" customFormat="1" x14ac:dyDescent="0.2">
      <c r="A213" s="23" t="s">
        <v>88</v>
      </c>
      <c r="C213" s="23">
        <f t="shared" ref="C213:AE213" si="1608">C51</f>
        <v>0</v>
      </c>
      <c r="D213" s="23">
        <f t="shared" si="1608"/>
        <v>0</v>
      </c>
      <c r="E213" s="23">
        <f t="shared" si="1608"/>
        <v>0</v>
      </c>
      <c r="F213" s="23">
        <f t="shared" si="1608"/>
        <v>0</v>
      </c>
      <c r="G213" s="23">
        <f t="shared" si="1608"/>
        <v>0</v>
      </c>
      <c r="H213" s="23">
        <f t="shared" si="1608"/>
        <v>0</v>
      </c>
      <c r="I213" s="23">
        <f t="shared" si="1608"/>
        <v>0</v>
      </c>
      <c r="J213" s="23">
        <f t="shared" si="1608"/>
        <v>0</v>
      </c>
      <c r="K213" s="23">
        <f t="shared" si="1608"/>
        <v>35.35</v>
      </c>
      <c r="L213" s="23">
        <f t="shared" si="1608"/>
        <v>188.57</v>
      </c>
      <c r="M213" s="23">
        <f t="shared" si="1608"/>
        <v>590.44000000000005</v>
      </c>
      <c r="N213" s="23">
        <f t="shared" si="1608"/>
        <v>1289.68</v>
      </c>
      <c r="O213" s="23">
        <f t="shared" si="1608"/>
        <v>1937.47</v>
      </c>
      <c r="P213" s="23">
        <f t="shared" si="1608"/>
        <v>2060.62</v>
      </c>
      <c r="Q213" s="23">
        <f t="shared" si="1608"/>
        <v>2665.82</v>
      </c>
      <c r="R213" s="23">
        <f t="shared" si="1608"/>
        <v>2672.36</v>
      </c>
      <c r="S213" s="23">
        <f t="shared" si="1608"/>
        <v>2698.72</v>
      </c>
      <c r="T213" s="23">
        <f t="shared" si="1608"/>
        <v>2750.62</v>
      </c>
      <c r="U213" s="23">
        <f t="shared" si="1608"/>
        <v>3006.5</v>
      </c>
      <c r="V213" s="23">
        <f t="shared" si="1608"/>
        <v>3201.65</v>
      </c>
      <c r="W213" s="23">
        <f t="shared" si="1608"/>
        <v>3117.54</v>
      </c>
      <c r="X213" s="23">
        <f t="shared" si="1608"/>
        <v>3303.68</v>
      </c>
      <c r="Y213" s="23">
        <f t="shared" si="1608"/>
        <v>3931.33</v>
      </c>
      <c r="Z213" s="23">
        <f t="shared" si="1608"/>
        <v>4308.88</v>
      </c>
      <c r="AA213" s="23">
        <f t="shared" ref="AA213" si="1609">AA51</f>
        <v>4564.53</v>
      </c>
      <c r="AB213" s="24">
        <f t="shared" si="1608"/>
        <v>5929.2269101744005</v>
      </c>
      <c r="AC213" s="24">
        <f t="shared" si="1608"/>
        <v>5961.5711200267087</v>
      </c>
      <c r="AD213" s="24">
        <f t="shared" si="1608"/>
        <v>7151.098219501655</v>
      </c>
      <c r="AE213" s="24">
        <f t="shared" si="1608"/>
        <v>8266.3032869798481</v>
      </c>
      <c r="AI213" s="23">
        <f t="shared" ref="AI213:BN213" si="1610">AI51</f>
        <v>241.8</v>
      </c>
      <c r="AJ213" s="23">
        <f t="shared" si="1610"/>
        <v>268.3</v>
      </c>
      <c r="AK213" s="23">
        <f t="shared" si="1610"/>
        <v>380.58</v>
      </c>
      <c r="AL213" s="23">
        <f t="shared" si="1610"/>
        <v>399</v>
      </c>
      <c r="AM213" s="23">
        <f t="shared" si="1610"/>
        <v>486.93</v>
      </c>
      <c r="AN213" s="23">
        <f t="shared" si="1610"/>
        <v>582.85</v>
      </c>
      <c r="AO213" s="23">
        <f t="shared" si="1610"/>
        <v>569</v>
      </c>
      <c r="AP213" s="23">
        <f t="shared" si="1610"/>
        <v>579.66999999999996</v>
      </c>
      <c r="AQ213" s="23">
        <f t="shared" si="1610"/>
        <v>662.65</v>
      </c>
      <c r="AR213" s="23">
        <f t="shared" si="1610"/>
        <v>679.23</v>
      </c>
      <c r="AS213" s="23">
        <f t="shared" si="1610"/>
        <v>740.92</v>
      </c>
      <c r="AT213" s="23">
        <f t="shared" si="1610"/>
        <v>-22.18</v>
      </c>
      <c r="AU213" s="23">
        <f t="shared" si="1610"/>
        <v>564.61</v>
      </c>
      <c r="AV213" s="23">
        <f t="shared" si="1610"/>
        <v>593.76</v>
      </c>
      <c r="AW213" s="23">
        <f t="shared" si="1610"/>
        <v>615.45000000000005</v>
      </c>
      <c r="AX213" s="23">
        <f t="shared" si="1610"/>
        <v>891.99</v>
      </c>
      <c r="AY213" s="23">
        <f t="shared" si="1610"/>
        <v>598.46</v>
      </c>
      <c r="AZ213" s="23">
        <f t="shared" si="1610"/>
        <v>597.65</v>
      </c>
      <c r="BA213" s="23">
        <f t="shared" si="1610"/>
        <v>607.74</v>
      </c>
      <c r="BB213" s="23">
        <f t="shared" si="1610"/>
        <v>868.51</v>
      </c>
      <c r="BC213" s="23">
        <f t="shared" si="1610"/>
        <v>666.14</v>
      </c>
      <c r="BD213" s="23">
        <f t="shared" si="1610"/>
        <v>678.24</v>
      </c>
      <c r="BE213" s="23">
        <f t="shared" si="1610"/>
        <v>672.95</v>
      </c>
      <c r="BF213" s="23">
        <f t="shared" si="1610"/>
        <v>681.39</v>
      </c>
      <c r="BG213" s="23">
        <f t="shared" si="1610"/>
        <v>679.31</v>
      </c>
      <c r="BH213" s="23">
        <f t="shared" si="1610"/>
        <v>697.46</v>
      </c>
      <c r="BI213" s="23">
        <f t="shared" si="1610"/>
        <v>682.19</v>
      </c>
      <c r="BJ213" s="23">
        <f t="shared" si="1610"/>
        <v>691.66</v>
      </c>
      <c r="BK213" s="23">
        <f t="shared" si="1610"/>
        <v>689.65</v>
      </c>
      <c r="BL213" s="23">
        <f t="shared" si="1610"/>
        <v>765.26</v>
      </c>
      <c r="BM213" s="23">
        <f t="shared" si="1610"/>
        <v>783.18</v>
      </c>
      <c r="BN213" s="23">
        <f t="shared" si="1610"/>
        <v>768.41</v>
      </c>
      <c r="BO213" s="23">
        <f t="shared" ref="BO213:CT213" si="1611">BO51</f>
        <v>782.61</v>
      </c>
      <c r="BP213" s="23">
        <f t="shared" si="1611"/>
        <v>827.84</v>
      </c>
      <c r="BQ213" s="23">
        <f t="shared" si="1611"/>
        <v>809.65</v>
      </c>
      <c r="BR213" s="23">
        <f t="shared" si="1611"/>
        <v>781.55</v>
      </c>
      <c r="BS213" s="23">
        <f t="shared" si="1611"/>
        <v>774.34</v>
      </c>
      <c r="BT213" s="23">
        <f t="shared" si="1611"/>
        <v>784.96</v>
      </c>
      <c r="BU213" s="23">
        <f t="shared" si="1611"/>
        <v>784.36</v>
      </c>
      <c r="BV213" s="23">
        <f t="shared" si="1611"/>
        <v>773.88</v>
      </c>
      <c r="BW213" s="23">
        <f t="shared" si="1611"/>
        <v>816.05</v>
      </c>
      <c r="BX213" s="23">
        <f t="shared" si="1611"/>
        <v>833.03</v>
      </c>
      <c r="BY213" s="23">
        <f t="shared" si="1611"/>
        <v>837.65</v>
      </c>
      <c r="BZ213" s="23">
        <f t="shared" si="1611"/>
        <v>816.95</v>
      </c>
      <c r="CA213" s="23">
        <f t="shared" si="1611"/>
        <v>934.59</v>
      </c>
      <c r="CB213" s="23">
        <f t="shared" si="1611"/>
        <v>1004.48</v>
      </c>
      <c r="CC213" s="23">
        <f t="shared" si="1611"/>
        <v>1002.23</v>
      </c>
      <c r="CD213" s="23">
        <f t="shared" si="1611"/>
        <v>990.03</v>
      </c>
      <c r="CE213" s="23">
        <f t="shared" si="1611"/>
        <v>995.63</v>
      </c>
      <c r="CF213" s="23">
        <f t="shared" si="1611"/>
        <v>1058.5899999999999</v>
      </c>
      <c r="CG213" s="23">
        <f t="shared" si="1611"/>
        <v>1170.01</v>
      </c>
      <c r="CH213" s="23">
        <f t="shared" si="1611"/>
        <v>1084.6500000000001</v>
      </c>
      <c r="CI213" s="23">
        <f t="shared" si="1611"/>
        <v>1088.5899999999999</v>
      </c>
      <c r="CJ213" s="23">
        <f t="shared" si="1611"/>
        <v>1193.4100000000001</v>
      </c>
      <c r="CK213" s="24">
        <f t="shared" si="1611"/>
        <v>1135.3</v>
      </c>
      <c r="CL213" s="23">
        <f t="shared" ref="CL213" si="1612">CL51</f>
        <v>1147.23</v>
      </c>
      <c r="CM213" s="24">
        <f t="shared" si="1611"/>
        <v>1336.8682000000001</v>
      </c>
      <c r="CN213" s="24">
        <f t="shared" si="1611"/>
        <v>1435.130836</v>
      </c>
      <c r="CO213" s="24">
        <f t="shared" si="1611"/>
        <v>1531.4282192800001</v>
      </c>
      <c r="CP213" s="24">
        <f t="shared" si="1611"/>
        <v>1625.7996548944002</v>
      </c>
      <c r="CQ213" s="24">
        <f t="shared" si="1611"/>
        <v>1374.6269294372098</v>
      </c>
      <c r="CR213" s="24">
        <f t="shared" si="1611"/>
        <v>1452.6328985662144</v>
      </c>
      <c r="CS213" s="24">
        <f t="shared" si="1611"/>
        <v>1529.3907721891553</v>
      </c>
      <c r="CT213" s="24">
        <f t="shared" si="1611"/>
        <v>1604.9205198341288</v>
      </c>
      <c r="CU213" s="24">
        <f t="shared" ref="CU213:DB213" si="1613">CU51</f>
        <v>1679.2417915167828</v>
      </c>
      <c r="CV213" s="24">
        <f t="shared" si="1613"/>
        <v>1752.3739228525142</v>
      </c>
      <c r="CW213" s="24">
        <f t="shared" si="1613"/>
        <v>1824.3359400868737</v>
      </c>
      <c r="CX213" s="24">
        <f t="shared" si="1613"/>
        <v>1895.1465650454838</v>
      </c>
      <c r="CY213" s="24">
        <f t="shared" si="1613"/>
        <v>1964.8242200047559</v>
      </c>
      <c r="CZ213" s="24">
        <f t="shared" si="1613"/>
        <v>2033.38703248468</v>
      </c>
      <c r="DA213" s="24">
        <f t="shared" si="1613"/>
        <v>2100.8528399649254</v>
      </c>
      <c r="DB213" s="24">
        <f t="shared" si="1613"/>
        <v>2167.2391945254863</v>
      </c>
      <c r="DE213" s="123"/>
      <c r="DF213" s="23">
        <v>0</v>
      </c>
    </row>
    <row r="214" spans="1:110" s="22" customFormat="1" x14ac:dyDescent="0.2">
      <c r="A214" s="22" t="s">
        <v>89</v>
      </c>
      <c r="C214" s="22">
        <f t="shared" ref="C214:W214" si="1614">C212+C213</f>
        <v>0</v>
      </c>
      <c r="D214" s="22">
        <f t="shared" si="1614"/>
        <v>0</v>
      </c>
      <c r="E214" s="22">
        <f t="shared" si="1614"/>
        <v>-1E-3</v>
      </c>
      <c r="F214" s="22">
        <f t="shared" si="1614"/>
        <v>0</v>
      </c>
      <c r="G214" s="22">
        <f t="shared" si="1614"/>
        <v>0</v>
      </c>
      <c r="H214" s="22">
        <f t="shared" si="1614"/>
        <v>0</v>
      </c>
      <c r="I214" s="22">
        <f t="shared" si="1614"/>
        <v>-7.1790000000000003</v>
      </c>
      <c r="J214" s="22">
        <f t="shared" si="1614"/>
        <v>-4.9867999999999997</v>
      </c>
      <c r="K214" s="22">
        <f t="shared" si="1614"/>
        <v>205.46000000000004</v>
      </c>
      <c r="L214" s="22">
        <f t="shared" si="1614"/>
        <v>702.1400000000001</v>
      </c>
      <c r="M214" s="22">
        <f t="shared" si="1614"/>
        <v>303.16999999999979</v>
      </c>
      <c r="N214" s="22">
        <f t="shared" si="1614"/>
        <v>-1005.3300000000002</v>
      </c>
      <c r="O214" s="22">
        <f t="shared" si="1614"/>
        <v>1646.920000000001</v>
      </c>
      <c r="P214" s="22">
        <f t="shared" si="1614"/>
        <v>1244.989999999998</v>
      </c>
      <c r="Q214" s="22">
        <f t="shared" si="1614"/>
        <v>3216.6199999999976</v>
      </c>
      <c r="R214" s="22">
        <f t="shared" si="1614"/>
        <v>-3501.7400000000021</v>
      </c>
      <c r="S214" s="22">
        <f t="shared" si="1614"/>
        <v>595.77</v>
      </c>
      <c r="T214" s="22">
        <f t="shared" si="1614"/>
        <v>1766.2199999999984</v>
      </c>
      <c r="U214" s="22">
        <f t="shared" si="1614"/>
        <v>731.72999999999865</v>
      </c>
      <c r="V214" s="22">
        <f t="shared" si="1614"/>
        <v>4471.630000000001</v>
      </c>
      <c r="W214" s="22">
        <f t="shared" si="1614"/>
        <v>8029.12</v>
      </c>
      <c r="X214" s="22">
        <f t="shared" ref="X214:Y214" si="1615">X212+X213</f>
        <v>14030.320000000003</v>
      </c>
      <c r="Y214" s="22">
        <f t="shared" si="1615"/>
        <v>24760.119999999995</v>
      </c>
      <c r="Z214" s="22">
        <f t="shared" ref="Z214:AA214" si="1616">Z212+Z213</f>
        <v>17247.649999999994</v>
      </c>
      <c r="AA214" s="22">
        <f t="shared" ref="AA214" si="1617">AA212+AA213</f>
        <v>17398.829999999998</v>
      </c>
      <c r="AB214" s="21">
        <f t="shared" ref="AB214:AD214" si="1618">AB212+AB213</f>
        <v>19803.257358477644</v>
      </c>
      <c r="AC214" s="21">
        <f t="shared" si="1618"/>
        <v>22781.059518593836</v>
      </c>
      <c r="AD214" s="21">
        <f t="shared" si="1618"/>
        <v>26951.766417446153</v>
      </c>
      <c r="AE214" s="21">
        <f t="shared" ref="AE214" si="1619">AE212+AE213</f>
        <v>33653.635908046999</v>
      </c>
      <c r="AI214" s="22">
        <f t="shared" ref="AI214" si="1620">AI212+AI213</f>
        <v>-568.01</v>
      </c>
      <c r="AJ214" s="22">
        <f t="shared" ref="AJ214:AL214" si="1621">AJ212+AJ213</f>
        <v>7.3900000000001569</v>
      </c>
      <c r="AK214" s="22">
        <f t="shared" si="1621"/>
        <v>-238.43</v>
      </c>
      <c r="AL214" s="22">
        <f t="shared" si="1621"/>
        <v>-186.51999999999998</v>
      </c>
      <c r="AM214" s="22">
        <f t="shared" ref="AM214" si="1622">AM212+AM213</f>
        <v>-711.3599999999999</v>
      </c>
      <c r="AN214" s="22">
        <f t="shared" ref="AN214:CD214" si="1623">AN212+AN213</f>
        <v>-489.06000000000051</v>
      </c>
      <c r="AO214" s="22">
        <f t="shared" si="1623"/>
        <v>24.180000000000405</v>
      </c>
      <c r="AP214" s="22">
        <f t="shared" si="1623"/>
        <v>3108.2200000000003</v>
      </c>
      <c r="AQ214" s="22">
        <f t="shared" si="1623"/>
        <v>359.36000000000104</v>
      </c>
      <c r="AR214" s="22">
        <f t="shared" si="1623"/>
        <v>-119.48000000000025</v>
      </c>
      <c r="AS214" s="22">
        <f t="shared" si="1623"/>
        <v>312.24000000000035</v>
      </c>
      <c r="AT214" s="22">
        <f t="shared" si="1623"/>
        <v>692.86999999999978</v>
      </c>
      <c r="AU214" s="22">
        <f t="shared" si="1623"/>
        <v>398.46999999999991</v>
      </c>
      <c r="AV214" s="22">
        <f t="shared" si="1623"/>
        <v>189.01999999999987</v>
      </c>
      <c r="AW214" s="22">
        <f t="shared" si="1623"/>
        <v>724.94000000000051</v>
      </c>
      <c r="AX214" s="22">
        <f t="shared" si="1623"/>
        <v>1904.1799999999998</v>
      </c>
      <c r="AY214" s="22">
        <f t="shared" si="1623"/>
        <v>365.83000000000084</v>
      </c>
      <c r="AZ214" s="22">
        <f t="shared" si="1623"/>
        <v>284.59999999999985</v>
      </c>
      <c r="BA214" s="22">
        <f t="shared" si="1623"/>
        <v>-60.149999999999864</v>
      </c>
      <c r="BB214" s="22">
        <f t="shared" si="1623"/>
        <v>-4092.0200000000004</v>
      </c>
      <c r="BC214" s="22">
        <f t="shared" si="1623"/>
        <v>213.29999999999973</v>
      </c>
      <c r="BD214" s="22">
        <f t="shared" si="1623"/>
        <v>995.12000000000057</v>
      </c>
      <c r="BE214" s="22">
        <f t="shared" si="1623"/>
        <v>-640.79000000000019</v>
      </c>
      <c r="BF214" s="22">
        <f t="shared" si="1623"/>
        <v>28.139999999999986</v>
      </c>
      <c r="BG214" s="22">
        <f t="shared" si="1623"/>
        <v>-145.84000000000015</v>
      </c>
      <c r="BH214" s="22">
        <f t="shared" si="1623"/>
        <v>1084.3500000000004</v>
      </c>
      <c r="BI214" s="22">
        <f t="shared" si="1623"/>
        <v>-498.58999999999992</v>
      </c>
      <c r="BJ214" s="22">
        <f t="shared" si="1623"/>
        <v>1326.3000000000002</v>
      </c>
      <c r="BK214" s="22">
        <f t="shared" si="1623"/>
        <v>426.25999999999954</v>
      </c>
      <c r="BL214" s="22">
        <f t="shared" si="1623"/>
        <v>769.14000000000021</v>
      </c>
      <c r="BM214" s="22">
        <f t="shared" si="1623"/>
        <v>80.819999999999823</v>
      </c>
      <c r="BN214" s="22">
        <f t="shared" si="1623"/>
        <v>-544.48999999999967</v>
      </c>
      <c r="BO214" s="22">
        <f t="shared" si="1623"/>
        <v>100.14999999999964</v>
      </c>
      <c r="BP214" s="22">
        <f t="shared" si="1623"/>
        <v>3055.8899999999994</v>
      </c>
      <c r="BQ214" s="22">
        <f t="shared" si="1623"/>
        <v>520.91000000000042</v>
      </c>
      <c r="BR214" s="22">
        <f t="shared" si="1623"/>
        <v>794.68000000000029</v>
      </c>
      <c r="BS214" s="22">
        <f t="shared" si="1623"/>
        <v>1052.5600000000004</v>
      </c>
      <c r="BT214" s="22">
        <f t="shared" si="1623"/>
        <v>554.35999999999945</v>
      </c>
      <c r="BU214" s="22">
        <f t="shared" si="1623"/>
        <v>1002.8500000000004</v>
      </c>
      <c r="BV214" s="22">
        <f t="shared" si="1623"/>
        <v>5419.3499999999995</v>
      </c>
      <c r="BW214" s="22">
        <f t="shared" si="1623"/>
        <v>5595.9099999999989</v>
      </c>
      <c r="BX214" s="22">
        <f t="shared" si="1623"/>
        <v>1528.5600000000006</v>
      </c>
      <c r="BY214" s="22">
        <f t="shared" si="1623"/>
        <v>846.42000000000053</v>
      </c>
      <c r="BZ214" s="22">
        <f t="shared" si="1623"/>
        <v>6059.4299999999976</v>
      </c>
      <c r="CA214" s="22">
        <f t="shared" si="1623"/>
        <v>9694.01</v>
      </c>
      <c r="CB214" s="22">
        <f t="shared" si="1623"/>
        <v>7598.65</v>
      </c>
      <c r="CC214" s="22">
        <f t="shared" si="1623"/>
        <v>3740.1900000000019</v>
      </c>
      <c r="CD214" s="22">
        <f t="shared" si="1623"/>
        <v>3727.2699999999995</v>
      </c>
      <c r="CE214" s="22">
        <f t="shared" ref="CE214:CF214" si="1624">CE212+CE213</f>
        <v>4908.4199999999992</v>
      </c>
      <c r="CF214" s="22">
        <f t="shared" si="1624"/>
        <v>4390.3899999999994</v>
      </c>
      <c r="CG214" s="22">
        <f t="shared" ref="CG214:CH214" si="1625">CG212+CG213</f>
        <v>4227.22</v>
      </c>
      <c r="CH214" s="22">
        <f t="shared" si="1625"/>
        <v>3721.6199999999985</v>
      </c>
      <c r="CI214" s="22">
        <f t="shared" ref="CI214:CJ214" si="1626">CI212+CI213</f>
        <v>4473.4499999999989</v>
      </c>
      <c r="CJ214" s="22">
        <f t="shared" si="1626"/>
        <v>4146.1900000000014</v>
      </c>
      <c r="CK214" s="21">
        <f t="shared" ref="CK214:DB214" si="1627">CK212+CK213</f>
        <v>3614.880000000001</v>
      </c>
      <c r="CL214" s="22">
        <f t="shared" si="1627"/>
        <v>5164.3099999999995</v>
      </c>
      <c r="CM214" s="21">
        <f t="shared" si="1627"/>
        <v>4815.7386004208565</v>
      </c>
      <c r="CN214" s="21">
        <f t="shared" si="1627"/>
        <v>4490.7509565954342</v>
      </c>
      <c r="CO214" s="21">
        <f t="shared" si="1627"/>
        <v>4629.4940276387897</v>
      </c>
      <c r="CP214" s="21">
        <f t="shared" si="1627"/>
        <v>5867.2737738225642</v>
      </c>
      <c r="CQ214" s="21">
        <f t="shared" si="1627"/>
        <v>5119.9144394567138</v>
      </c>
      <c r="CR214" s="21">
        <f t="shared" si="1627"/>
        <v>5282.6638095692024</v>
      </c>
      <c r="CS214" s="21">
        <f t="shared" si="1627"/>
        <v>5597.13609891341</v>
      </c>
      <c r="CT214" s="21">
        <f t="shared" si="1627"/>
        <v>6781.3451706545129</v>
      </c>
      <c r="CU214" s="21">
        <f t="shared" si="1627"/>
        <v>6009.1765155391331</v>
      </c>
      <c r="CV214" s="21">
        <f t="shared" si="1627"/>
        <v>6105.2180540186673</v>
      </c>
      <c r="CW214" s="21">
        <f t="shared" si="1627"/>
        <v>6691.5363527399468</v>
      </c>
      <c r="CX214" s="21">
        <f t="shared" si="1627"/>
        <v>8145.8354951484143</v>
      </c>
      <c r="CY214" s="21">
        <f t="shared" si="1627"/>
        <v>7337.7856580080434</v>
      </c>
      <c r="CZ214" s="21">
        <f t="shared" si="1627"/>
        <v>7776.8995760990947</v>
      </c>
      <c r="DA214" s="21">
        <f t="shared" si="1627"/>
        <v>8211.4258728067707</v>
      </c>
      <c r="DB214" s="21">
        <f t="shared" si="1627"/>
        <v>10327.524801133079</v>
      </c>
      <c r="DE214" s="126"/>
      <c r="DF214" s="22">
        <v>0</v>
      </c>
    </row>
    <row r="215" spans="1:110" s="23" customFormat="1" x14ac:dyDescent="0.2">
      <c r="A215" s="23" t="s">
        <v>65</v>
      </c>
      <c r="C215" s="23">
        <f t="shared" ref="C215:AA215" si="1628">B167-C167+B182+B183-C182-C183</f>
        <v>0</v>
      </c>
      <c r="D215" s="23">
        <f t="shared" si="1628"/>
        <v>0</v>
      </c>
      <c r="E215" s="23">
        <f>D167-E167+D182+D183-E182-E183</f>
        <v>0</v>
      </c>
      <c r="F215" s="23">
        <f t="shared" si="1628"/>
        <v>-6.8329999999999997E-3</v>
      </c>
      <c r="G215" s="23">
        <f t="shared" si="1628"/>
        <v>-1.0714669999999997</v>
      </c>
      <c r="H215" s="23">
        <f t="shared" si="1628"/>
        <v>-0.11300000000000021</v>
      </c>
      <c r="I215" s="23">
        <f t="shared" si="1628"/>
        <v>-175.05369999999999</v>
      </c>
      <c r="J215" s="23">
        <f>I167-J167+I182+I183-J182-J183</f>
        <v>-249.77420000000001</v>
      </c>
      <c r="K215" s="23">
        <f>J167-K167+J182+J183-K182-K183</f>
        <v>-768.43080000000009</v>
      </c>
      <c r="L215" s="23">
        <f t="shared" si="1628"/>
        <v>-3456.4499999999989</v>
      </c>
      <c r="M215" s="23">
        <f t="shared" si="1628"/>
        <v>-345.05000000000143</v>
      </c>
      <c r="N215" s="23">
        <f t="shared" si="1628"/>
        <v>1182.8600000000004</v>
      </c>
      <c r="O215" s="23">
        <f t="shared" si="1628"/>
        <v>-3960.5899999999988</v>
      </c>
      <c r="P215" s="23">
        <f t="shared" si="1628"/>
        <v>-4221.0200000000013</v>
      </c>
      <c r="Q215" s="23">
        <f t="shared" si="1628"/>
        <v>-5582.8800000000028</v>
      </c>
      <c r="R215" s="23">
        <f t="shared" si="1628"/>
        <v>1566.8600000000038</v>
      </c>
      <c r="S215" s="23">
        <f t="shared" si="1628"/>
        <v>-211.58000000000132</v>
      </c>
      <c r="T215" s="23">
        <f t="shared" si="1628"/>
        <v>100.28000000000262</v>
      </c>
      <c r="U215" s="23">
        <f t="shared" si="1628"/>
        <v>1525.619999999999</v>
      </c>
      <c r="V215" s="23">
        <f t="shared" si="1628"/>
        <v>-1963.290000000005</v>
      </c>
      <c r="W215" s="23">
        <f t="shared" si="1628"/>
        <v>3170.3300000000049</v>
      </c>
      <c r="X215" s="23">
        <f t="shared" si="1628"/>
        <v>-5573.2900000000027</v>
      </c>
      <c r="Y215" s="23">
        <f t="shared" si="1628"/>
        <v>-1520.0799999999972</v>
      </c>
      <c r="Z215" s="23">
        <f t="shared" si="1628"/>
        <v>206.84999999999809</v>
      </c>
      <c r="AA215" s="23">
        <f t="shared" si="1628"/>
        <v>-3279.659999999998</v>
      </c>
      <c r="AB215" s="24">
        <f t="shared" ref="AB215" si="1629">AA167-AB167+AA182+AA183-AB182-AB183</f>
        <v>-15768.630524004382</v>
      </c>
      <c r="AC215" s="24">
        <f t="shared" ref="AC215" si="1630">AB167-AC167+AB182+AB183-AC182-AC183</f>
        <v>-15691.359262351916</v>
      </c>
      <c r="AD215" s="24">
        <f t="shared" ref="AD215" si="1631">AC167-AD167+AC182+AC183-AD182-AD183</f>
        <v>-11602.8410318181</v>
      </c>
      <c r="AE215" s="24">
        <f t="shared" ref="AE215" si="1632">AD167-AE167+AD182+AD183-AE182-AE183</f>
        <v>-18207.187246538902</v>
      </c>
      <c r="AI215" s="23">
        <f>AH167-AI167+AH182+AH183-AI182-AJ183</f>
        <v>0</v>
      </c>
      <c r="AJ215" s="23">
        <f t="shared" ref="AJ215:AL215" si="1633">AI167-AJ167+AI182+AI183-AJ182-AK183</f>
        <v>-4552.6400000000003</v>
      </c>
      <c r="AK215" s="23">
        <f t="shared" si="1633"/>
        <v>-360.02496822365163</v>
      </c>
      <c r="AL215" s="23">
        <f t="shared" si="1633"/>
        <v>1109.3549682236508</v>
      </c>
      <c r="AM215" s="23">
        <f t="shared" ref="AM215" si="1634">AL167-AM167+AL182+AL183-AM182-AM183</f>
        <v>-288.09123617749992</v>
      </c>
      <c r="AN215" s="23">
        <f t="shared" ref="AN215" si="1635">AM167-AN167+AM182+AM183-AN182-AN183</f>
        <v>-2290.108763822499</v>
      </c>
      <c r="AO215" s="23">
        <f t="shared" ref="AO215" si="1636">AN167-AO167+AN182+AN183-AO182-AO183</f>
        <v>-1060.7053227570584</v>
      </c>
      <c r="AP215" s="23">
        <f t="shared" ref="AP215" si="1637">AO167-AP167+AO182+AO183-AP182-AP183</f>
        <v>-326.41467724294148</v>
      </c>
      <c r="AQ215" s="23">
        <f t="shared" ref="AQ215" si="1638">AP167-AQ167+AP182+AP183-AQ182-AQ183</f>
        <v>375.53161069225462</v>
      </c>
      <c r="AR215" s="23">
        <f t="shared" ref="AR215" si="1639">AQ167-AR167+AQ182+AQ183-AR182-AR183</f>
        <v>-2153.5316106922537</v>
      </c>
      <c r="AS215" s="23">
        <f t="shared" ref="AS215" si="1640">AR167-AS167+AR182+AR183-AS182-AS183</f>
        <v>-1573.6488498118379</v>
      </c>
      <c r="AT215" s="23">
        <f t="shared" ref="AT215" si="1641">AS167-AT167+AS182+AS183-AT182-AT183</f>
        <v>-869.37115018816257</v>
      </c>
      <c r="AU215" s="23">
        <f t="shared" ref="AU215" si="1642">AT167-AU167+AT182+AT183-AU182-AU183</f>
        <v>-1401.3844837559664</v>
      </c>
      <c r="AV215" s="23">
        <f t="shared" ref="AV215" si="1643">AU167-AV167+AU182+AU183-AV182-AV183</f>
        <v>-915.37551624403204</v>
      </c>
      <c r="AW215" s="23">
        <f t="shared" ref="AW215" si="1644">AV167-AW167+AV182+AV183-AW182-AW183</f>
        <v>-722.12054519244339</v>
      </c>
      <c r="AX215" s="23">
        <f t="shared" ref="AX215" si="1645">AW167-AX167+AW182+AW183-AX182-AX183</f>
        <v>-2544.3494548075601</v>
      </c>
      <c r="AY215" s="23">
        <f t="shared" ref="AY215" si="1646">AX167-AY167+AX182+AX183-AY182-AY183</f>
        <v>4165.0239505872469</v>
      </c>
      <c r="AZ215" s="23">
        <f t="shared" ref="AZ215" si="1647">AY167-AZ167+AY182+AY183-AZ182-AZ183</f>
        <v>-4038.2139505872442</v>
      </c>
      <c r="BA215" s="23">
        <f t="shared" ref="BA215" si="1648">AZ167-BA167+AZ182+AZ183-BA182-BA183</f>
        <v>247.5525712948438</v>
      </c>
      <c r="BB215" s="23">
        <f t="shared" ref="BB215" si="1649">BA167-BB167+BA182+BA183-BB182-BB183</f>
        <v>1196.3574287051542</v>
      </c>
      <c r="BC215" s="23">
        <f t="shared" ref="BC215" si="1650">BB167-BC167+BB182+BB183-BC182-BC183</f>
        <v>1205.2070426448663</v>
      </c>
      <c r="BD215" s="23">
        <f t="shared" ref="BD215" si="1651">BC167-BD167+BC182+BC183-BD182-BD183</f>
        <v>-1037.947042644865</v>
      </c>
      <c r="BE215" s="23">
        <f t="shared" ref="BE215" si="1652">BD167-BE167+BD182+BD183-BE182-BE183</f>
        <v>1770.8380314496535</v>
      </c>
      <c r="BF215" s="23">
        <f t="shared" ref="BF215" si="1653">BE167-BF167+BE182+BE183-BF182-BF183</f>
        <v>-2137.5580314496551</v>
      </c>
      <c r="BG215" s="23">
        <f t="shared" ref="BG215" si="1654">BF167-BG167+BF182+BF183-BG182-BG183</f>
        <v>264.28962518932894</v>
      </c>
      <c r="BH215" s="23">
        <f t="shared" ref="BH215" si="1655">BG167-BH167+BG182+BG183-BH182-BH183</f>
        <v>-2772.7496251893267</v>
      </c>
      <c r="BI215" s="23">
        <f t="shared" ref="BI215" si="1656">BH167-BI167+BH182+BH183-BI182-BI183</f>
        <v>1126.5490440048343</v>
      </c>
      <c r="BJ215" s="23">
        <f t="shared" ref="BJ215" si="1657">BI167-BJ167+BI182+BI183-BJ182-BJ183</f>
        <v>1464.8609559951626</v>
      </c>
      <c r="BK215" s="23">
        <f t="shared" ref="BK215" si="1658">BJ167-BK167+BJ182+BJ183-BK182-BK183</f>
        <v>-1575.0414052058095</v>
      </c>
      <c r="BL215" s="23">
        <f t="shared" ref="BL215" si="1659">BK167-BL167+BK182+BK183-BL182-BL183</f>
        <v>2417.1414052058099</v>
      </c>
      <c r="BM215" s="23">
        <f t="shared" ref="BM215" si="1660">BL167-BM167+BL182+BL183-BM182-BM183</f>
        <v>-1363.1045815112011</v>
      </c>
      <c r="BN215" s="23">
        <f t="shared" ref="BN215" si="1661">BM167-BN167+BM182+BM183-BN182-BN183</f>
        <v>2055.4345815112047</v>
      </c>
      <c r="BO215" s="23">
        <f t="shared" ref="BO215" si="1662">BN167-BO167+BN182+BN183-BO182-BO183</f>
        <v>1708.7788543571951</v>
      </c>
      <c r="BP215" s="23">
        <f t="shared" ref="BP215" si="1663">BO167-BP167+BO182+BO183-BP182-BP183</f>
        <v>-4018.6288543571968</v>
      </c>
      <c r="BQ215" s="23">
        <f t="shared" ref="BQ215" si="1664">BP167-BQ167+BP182+BP183-BQ182-BQ183</f>
        <v>1601.4290085053817</v>
      </c>
      <c r="BR215" s="23">
        <f t="shared" ref="BR215" si="1665">BQ167-BR167+BQ182+BQ183-BR182-BR183</f>
        <v>-1267.0290085053862</v>
      </c>
      <c r="BS215" s="23">
        <f t="shared" ref="BS215" si="1666">BR167-BS167+BR182+BR183-BS182-BS183</f>
        <v>-424.74595070289797</v>
      </c>
      <c r="BT215" s="23">
        <f t="shared" ref="BT215" si="1667">BS167-BT167+BS182+BS183-BT182-BT183</f>
        <v>1387.6859507029051</v>
      </c>
      <c r="BU215" s="23">
        <f t="shared" ref="BU215" si="1668">BT167-BU167+BT182+BT183-BU182-BU183</f>
        <v>-433.05097741750069</v>
      </c>
      <c r="BV215" s="23">
        <f t="shared" ref="BV215" si="1669">BU167-BV167+BU182+BU183-BV182-BV183</f>
        <v>2640.4409774174965</v>
      </c>
      <c r="BW215" s="23">
        <f t="shared" ref="BW215" si="1670">BV167-BW167+BV182+BV183-BW182-BW183</f>
        <v>-3485.4731956315359</v>
      </c>
      <c r="BX215" s="23">
        <f t="shared" ref="BX215" si="1671">BW167-BX167+BW182+BW183-BX182-BX183</f>
        <v>496.54319563153786</v>
      </c>
      <c r="BY215" s="23">
        <f t="shared" ref="BY215" si="1672">BX167-BY167+BX182+BX183-BY182-BY183</f>
        <v>-1444.5139827109629</v>
      </c>
      <c r="BZ215" s="23">
        <f t="shared" ref="BZ215" si="1673">BY167-BZ167+BY182+BY183-BZ182-BZ183</f>
        <v>-1139.8460172890395</v>
      </c>
      <c r="CA215" s="23">
        <f t="shared" ref="CA215" si="1674">BZ167-CA167+BZ182+BZ183-CA182-CA183</f>
        <v>-1088.676444855817</v>
      </c>
      <c r="CB215" s="23">
        <f t="shared" ref="CB215" si="1675">CA167-CB167+CA182+CA183-CB182-CB183</f>
        <v>-788.22355514418064</v>
      </c>
      <c r="CC215" s="23">
        <f t="shared" ref="CC215" si="1676">CB167-CC167+CB182+CB183-CC182-CC183</f>
        <v>-0.90166212748226826</v>
      </c>
      <c r="CD215" s="23">
        <f t="shared" ref="CD215" si="1677">CC167-CD167+CC182+CC183-CD182-CD183</f>
        <v>-424.79833787252147</v>
      </c>
      <c r="CE215" s="23">
        <f t="shared" ref="CE215" si="1678">CD167-CE167+CD182+CD183-CE182-CE183</f>
        <v>-1884.4961373093756</v>
      </c>
      <c r="CF215" s="23">
        <f t="shared" ref="CF215" si="1679">CE167-CF167+CE182+CE183-CF182-CF183</f>
        <v>1465.5361373093801</v>
      </c>
      <c r="CG215" s="23">
        <f t="shared" ref="CG215" si="1680">CF167-CG167+CF182+CF183-CG182-CG183</f>
        <v>-459.42414160709086</v>
      </c>
      <c r="CH215" s="23">
        <f t="shared" ref="CH215:CL215" si="1681">CG167-CH167+CG182+CG183-CH182-CH183</f>
        <v>1867.7541416070885</v>
      </c>
      <c r="CI215" s="23">
        <f t="shared" si="1681"/>
        <v>218.88102690800588</v>
      </c>
      <c r="CJ215" s="23">
        <f t="shared" si="1681"/>
        <v>-676.86102690800635</v>
      </c>
      <c r="CK215" s="24">
        <f t="shared" ref="CK215" si="1682">CJ167-CK167+CJ182+CJ183-CK182-CK183</f>
        <v>-3549.5290679634536</v>
      </c>
      <c r="CL215" s="23">
        <f t="shared" si="1681"/>
        <v>-1533.4309320365473</v>
      </c>
      <c r="CM215" s="24">
        <f t="shared" ref="CM215" si="1683">CL167-CM167+CL182+CL183-CM182-CM183</f>
        <v>-4181.9377629607843</v>
      </c>
      <c r="CN215" s="24">
        <f t="shared" ref="CN215" si="1684">CM167-CN167+CM182+CM183-CN182-CN183</f>
        <v>1085.3140075843476</v>
      </c>
      <c r="CO215" s="24">
        <f t="shared" ref="CO215" si="1685">CN167-CO167+CN182+CN183-CO182-CO183</f>
        <v>-1387.565980987798</v>
      </c>
      <c r="CP215" s="24">
        <f t="shared" ref="CP215" si="1686">CO167-CP167+CO182+CO183-CP182-CP183</f>
        <v>-9023.1607876401467</v>
      </c>
      <c r="CQ215" s="24">
        <f t="shared" ref="CQ215" si="1687">CP167-CQ167+CP182+CP183-CQ182-CQ183</f>
        <v>1870.8197586248207</v>
      </c>
      <c r="CR215" s="24">
        <f t="shared" ref="CR215" si="1688">CQ167-CR167+CQ182+CQ183-CR182-CR183</f>
        <v>-2405.3623566226597</v>
      </c>
      <c r="CS215" s="24">
        <f t="shared" ref="CS215" si="1689">CR167-CS167+CR182+CR183-CS182-CS183</f>
        <v>-3731.1605883548182</v>
      </c>
      <c r="CT215" s="24">
        <f t="shared" ref="CT215" si="1690">CS167-CT167+CS182+CS183-CT182-CT183</f>
        <v>-11425.656075999259</v>
      </c>
      <c r="CU215" s="24">
        <f t="shared" ref="CU215" si="1691">CT167-CU167+CT182+CT183-CU182-CU183</f>
        <v>6072.6772756723803</v>
      </c>
      <c r="CV215" s="24">
        <f t="shared" ref="CV215" si="1692">CU167-CV167+CU182+CU183-CV182-CV183</f>
        <v>-512.73783673469734</v>
      </c>
      <c r="CW215" s="24">
        <f t="shared" ref="CW215" si="1693">CV167-CW167+CV182+CV183-CW182-CW183</f>
        <v>-4843.4235040608473</v>
      </c>
      <c r="CX215" s="24">
        <f t="shared" ref="CX215" si="1694">CW167-CX167+CW182+CW183-CX182-CX183</f>
        <v>-12319.356966694935</v>
      </c>
      <c r="CY215" s="24">
        <f t="shared" ref="CY215" si="1695">CX167-CY167+CX182+CX183-CY182-CY183</f>
        <v>6626.7206138108231</v>
      </c>
      <c r="CZ215" s="24">
        <f t="shared" ref="CZ215" si="1696">CY167-CZ167+CY182+CY183-CZ182-CZ183</f>
        <v>-3400.0756503807861</v>
      </c>
      <c r="DA215" s="24">
        <f t="shared" ref="DA215" si="1697">CZ167-DA167+CZ182+CZ183-DA182-DA183</f>
        <v>-3616.6031285326753</v>
      </c>
      <c r="DB215" s="24">
        <f t="shared" ref="DB215" si="1698">DA167-DB167+DA182+DA183-DB182-DB183</f>
        <v>-17817.229081436264</v>
      </c>
      <c r="DE215" s="123"/>
      <c r="DF215" s="23">
        <v>0</v>
      </c>
    </row>
    <row r="216" spans="1:110" s="23" customFormat="1" x14ac:dyDescent="0.2">
      <c r="A216" s="23" t="s">
        <v>73</v>
      </c>
      <c r="C216" s="23">
        <f t="shared" ref="C216:AA216" si="1699">B175-C175</f>
        <v>0</v>
      </c>
      <c r="D216" s="23">
        <f t="shared" si="1699"/>
        <v>0</v>
      </c>
      <c r="E216" s="23">
        <f>D175-E175</f>
        <v>-1E-3</v>
      </c>
      <c r="F216" s="23">
        <f t="shared" si="1699"/>
        <v>4.4900000000000007E-4</v>
      </c>
      <c r="G216" s="23">
        <f t="shared" si="1699"/>
        <v>-2.2371489999999996</v>
      </c>
      <c r="H216" s="23">
        <f t="shared" si="1699"/>
        <v>-316.11289999999997</v>
      </c>
      <c r="I216" s="23">
        <f t="shared" si="1699"/>
        <v>-117.71440000000001</v>
      </c>
      <c r="J216" s="23">
        <f>I175-J175</f>
        <v>-125.89109999999999</v>
      </c>
      <c r="K216" s="23">
        <f>J175-K175</f>
        <v>-888.24390000000005</v>
      </c>
      <c r="L216" s="23">
        <f t="shared" si="1699"/>
        <v>-1870.6700000000003</v>
      </c>
      <c r="M216" s="23">
        <f t="shared" si="1699"/>
        <v>-2259.8799999999997</v>
      </c>
      <c r="N216" s="23">
        <f t="shared" si="1699"/>
        <v>-1949.0500000000002</v>
      </c>
      <c r="O216" s="23">
        <f t="shared" si="1699"/>
        <v>-520.56999999999971</v>
      </c>
      <c r="P216" s="23">
        <f t="shared" si="1699"/>
        <v>37.679999999999382</v>
      </c>
      <c r="Q216" s="23">
        <f t="shared" si="1699"/>
        <v>-7265.6100000000006</v>
      </c>
      <c r="R216" s="23">
        <f t="shared" si="1699"/>
        <v>-532.52999999999884</v>
      </c>
      <c r="S216" s="23">
        <f t="shared" si="1699"/>
        <v>199.05000000000109</v>
      </c>
      <c r="T216" s="23">
        <f t="shared" si="1699"/>
        <v>2494.3099999999977</v>
      </c>
      <c r="U216" s="23">
        <f t="shared" si="1699"/>
        <v>25.580000000001746</v>
      </c>
      <c r="V216" s="23">
        <f t="shared" si="1699"/>
        <v>1137.9299999999985</v>
      </c>
      <c r="W216" s="23">
        <f t="shared" si="1699"/>
        <v>-28.159999999999854</v>
      </c>
      <c r="X216" s="23">
        <f t="shared" si="1699"/>
        <v>-1711.4399999999987</v>
      </c>
      <c r="Y216" s="23">
        <f t="shared" si="1699"/>
        <v>-713.52000000000044</v>
      </c>
      <c r="Z216" s="23">
        <f t="shared" si="1699"/>
        <v>1520.6800000000003</v>
      </c>
      <c r="AA216" s="23">
        <f t="shared" si="1699"/>
        <v>-3608.9100000000017</v>
      </c>
      <c r="AB216" s="24">
        <f t="shared" ref="AB216" si="1700">AA175-AB175</f>
        <v>-2659.2601415705358</v>
      </c>
      <c r="AC216" s="24">
        <f t="shared" ref="AC216" si="1701">AB175-AC175</f>
        <v>894.66842323236051</v>
      </c>
      <c r="AD216" s="24">
        <f t="shared" ref="AD216" si="1702">AC175-AD175</f>
        <v>-3529.2717789090748</v>
      </c>
      <c r="AE216" s="24">
        <f t="shared" ref="AE216" si="1703">AD175-AE175</f>
        <v>-5538.1360432595757</v>
      </c>
      <c r="AI216" s="23">
        <f t="shared" ref="AI216" si="1704">AH175-AI175</f>
        <v>0</v>
      </c>
      <c r="AJ216" s="23">
        <f t="shared" ref="AJ216" si="1705">AI175-AJ175</f>
        <v>-10530.62</v>
      </c>
      <c r="AK216" s="23">
        <f t="shared" ref="AK216" si="1706">AJ175-AK175</f>
        <v>0</v>
      </c>
      <c r="AL216" s="23">
        <f t="shared" ref="AL216" si="1707">AK175-AL175</f>
        <v>-1182.0499999999993</v>
      </c>
      <c r="AM216" s="23">
        <f t="shared" ref="AM216" si="1708">AL175-AM175</f>
        <v>-351.80208116963877</v>
      </c>
      <c r="AN216" s="23">
        <f t="shared" ref="AN216" si="1709">AM175-AN175</f>
        <v>-1072.8379188303606</v>
      </c>
      <c r="AO216" s="23">
        <f t="shared" ref="AO216" si="1710">AN175-AO175</f>
        <v>-1277.3104312952673</v>
      </c>
      <c r="AP216" s="23">
        <f t="shared" ref="AP216" si="1711">AO175-AP175</f>
        <v>1987.8304312952678</v>
      </c>
      <c r="AQ216" s="23">
        <f t="shared" ref="AQ216" si="1712">AP175-AQ175</f>
        <v>498.74488005483181</v>
      </c>
      <c r="AR216" s="23">
        <f t="shared" ref="AR216" si="1713">AQ175-AR175</f>
        <v>-1229.3648800548326</v>
      </c>
      <c r="AS216" s="23">
        <f t="shared" ref="AS216" si="1714">AR175-AS175</f>
        <v>-1545.3555505517215</v>
      </c>
      <c r="AT216" s="23">
        <f t="shared" ref="AT216" si="1715">AS175-AT175</f>
        <v>3337.6755505517231</v>
      </c>
      <c r="AU216" s="23">
        <f t="shared" ref="AU216" si="1716">AT175-AU175</f>
        <v>-1556.3704745091654</v>
      </c>
      <c r="AV216" s="23">
        <f t="shared" ref="AV216" si="1717">AU175-AV175</f>
        <v>171.55047450916391</v>
      </c>
      <c r="AW216" s="23">
        <f t="shared" ref="AW216" si="1718">AV175-AW175</f>
        <v>-444.78139664697483</v>
      </c>
      <c r="AX216" s="23">
        <f t="shared" ref="AX216" si="1719">AW175-AX175</f>
        <v>-5954.9986033530276</v>
      </c>
      <c r="AY216" s="23">
        <f t="shared" ref="AY216" si="1720">AX175-AY175</f>
        <v>1841.4920696299159</v>
      </c>
      <c r="AZ216" s="23">
        <f t="shared" ref="AZ216" si="1721">AY175-AZ175</f>
        <v>5582.1479303700853</v>
      </c>
      <c r="BA216" s="23">
        <f t="shared" ref="BA216" si="1722">AZ175-BA175</f>
        <v>168.77058665934965</v>
      </c>
      <c r="BB216" s="23">
        <f t="shared" ref="BB216" si="1723">BA175-BB175</f>
        <v>-7498.7505866593474</v>
      </c>
      <c r="BC216" s="23">
        <f t="shared" ref="BC216" si="1724">BB175-BC175</f>
        <v>942.25740920904718</v>
      </c>
      <c r="BD216" s="23">
        <f t="shared" ref="BD216" si="1725">BC175-BD175</f>
        <v>-1586.3074092090501</v>
      </c>
      <c r="BE216" s="23">
        <f t="shared" ref="BE216" si="1726">BD175-BE175</f>
        <v>1697.40173276723</v>
      </c>
      <c r="BF216" s="23">
        <f t="shared" ref="BF216" si="1727">BE175-BF175</f>
        <v>-1303.0417327672258</v>
      </c>
      <c r="BG216" s="23">
        <f t="shared" ref="BG216" si="1728">BF175-BG175</f>
        <v>290.26950251305243</v>
      </c>
      <c r="BH216" s="23">
        <f t="shared" ref="BH216" si="1729">BG175-BH175</f>
        <v>-2328.7795025130545</v>
      </c>
      <c r="BI216" s="23">
        <f t="shared" ref="BI216" si="1730">BH175-BI175</f>
        <v>923.31567403599911</v>
      </c>
      <c r="BJ216" s="23">
        <f t="shared" ref="BJ216" si="1731">BI175-BJ175</f>
        <v>3810.894325964</v>
      </c>
      <c r="BK216" s="23">
        <f t="shared" ref="BK216" si="1732">BJ175-BK175</f>
        <v>-1025.0569979707579</v>
      </c>
      <c r="BL216" s="23">
        <f t="shared" ref="BL216" si="1733">BK175-BL175</f>
        <v>685.51699797075707</v>
      </c>
      <c r="BM216" s="23">
        <f t="shared" ref="BM216" si="1734">BL175-BM175</f>
        <v>-729.79408775645788</v>
      </c>
      <c r="BN216" s="23">
        <f t="shared" ref="BN216" si="1735">BM175-BN175</f>
        <v>1769.0240877564574</v>
      </c>
      <c r="BO216" s="23">
        <f t="shared" ref="BO216" si="1736">BN175-BO175</f>
        <v>878.15236948819074</v>
      </c>
      <c r="BP216" s="23">
        <f t="shared" ref="BP216" si="1737">BO175-BP175</f>
        <v>1284.3176305118104</v>
      </c>
      <c r="BQ216" s="23">
        <f t="shared" ref="BQ216" si="1738">BP175-BQ175</f>
        <v>400.29385692218784</v>
      </c>
      <c r="BR216" s="23">
        <f t="shared" ref="BR216" si="1739">BQ175-BR175</f>
        <v>1393.6061430778118</v>
      </c>
      <c r="BS216" s="23">
        <f t="shared" ref="BS216" si="1740">BR175-BS175</f>
        <v>-116.5117302309518</v>
      </c>
      <c r="BT216" s="23">
        <f t="shared" ref="BT216" si="1741">BS175-BT175</f>
        <v>896.51173023095544</v>
      </c>
      <c r="BU216" s="23">
        <f t="shared" ref="BU216" si="1742">BT175-BU175</f>
        <v>-94.624387980693427</v>
      </c>
      <c r="BV216" s="23">
        <f t="shared" ref="BV216" si="1743">BU175-BV175</f>
        <v>-713.53561201930825</v>
      </c>
      <c r="BW216" s="23">
        <f t="shared" ref="BW216" si="1744">BV175-BW175</f>
        <v>-1034.569367244836</v>
      </c>
      <c r="BX216" s="23">
        <f t="shared" ref="BX216" si="1745">BW175-BX175</f>
        <v>-1118.820632755167</v>
      </c>
      <c r="BY216" s="23">
        <f t="shared" ref="BY216" si="1746">BX175-BY175</f>
        <v>-363.99749157056431</v>
      </c>
      <c r="BZ216" s="23">
        <f t="shared" ref="BZ216" si="1747">BY175-BZ175</f>
        <v>805.94749157056685</v>
      </c>
      <c r="CA216" s="23">
        <f t="shared" ref="CA216" si="1748">BZ175-CA175</f>
        <v>-229.55328185931467</v>
      </c>
      <c r="CB216" s="23">
        <f t="shared" ref="CB216" si="1749">CA175-CB175</f>
        <v>-3030.7467181406864</v>
      </c>
      <c r="CC216" s="23">
        <f t="shared" ref="CC216" si="1750">CB175-CC175</f>
        <v>-0.29098015639101504</v>
      </c>
      <c r="CD216" s="23">
        <f t="shared" ref="CD216" si="1751">CC175-CD175</f>
        <v>2547.0709801563917</v>
      </c>
      <c r="CE216" s="23">
        <f t="shared" ref="CE216" si="1752">CD175-CE175</f>
        <v>-429.87546420187937</v>
      </c>
      <c r="CF216" s="23">
        <f t="shared" ref="CF216" si="1753">CE175-CF175</f>
        <v>1532.1954642018773</v>
      </c>
      <c r="CG216" s="23">
        <f t="shared" ref="CG216" si="1754">CF175-CG175</f>
        <v>-78.075881558270339</v>
      </c>
      <c r="CH216" s="23">
        <f t="shared" ref="CH216:CL216" si="1755">CG175-CH175</f>
        <v>496.43588155827274</v>
      </c>
      <c r="CI216" s="23">
        <f t="shared" si="1755"/>
        <v>116.08023936954669</v>
      </c>
      <c r="CJ216" s="23">
        <f t="shared" si="1755"/>
        <v>-52.720239369546107</v>
      </c>
      <c r="CK216" s="24">
        <f t="shared" ref="CK216" si="1756">CJ175-CK175</f>
        <v>958.04694237280091</v>
      </c>
      <c r="CL216" s="23">
        <f t="shared" si="1755"/>
        <v>-4630.3169423727995</v>
      </c>
      <c r="CM216" s="24">
        <f t="shared" ref="CM216" si="1757">CL175-CM175</f>
        <v>-1241.9867174365572</v>
      </c>
      <c r="CN216" s="24">
        <f t="shared" ref="CN216" si="1758">CM175-CN175</f>
        <v>1449.6940695475951</v>
      </c>
      <c r="CO216" s="24">
        <f t="shared" ref="CO216" si="1759">CN175-CO175</f>
        <v>209.92841710907851</v>
      </c>
      <c r="CP216" s="24">
        <f t="shared" ref="CP216" si="1760">CO175-CP175</f>
        <v>-3076.8959107906558</v>
      </c>
      <c r="CQ216" s="24">
        <f t="shared" ref="CQ216" si="1761">CP175-CQ175</f>
        <v>2289.1449712947906</v>
      </c>
      <c r="CR216" s="24">
        <f t="shared" ref="CR216" si="1762">CQ175-CR175</f>
        <v>517.21989698472316</v>
      </c>
      <c r="CS216" s="24">
        <f t="shared" ref="CS216" si="1763">CR175-CS175</f>
        <v>144.10195075472257</v>
      </c>
      <c r="CT216" s="24">
        <f t="shared" ref="CT216" si="1764">CS175-CT175</f>
        <v>-2055.7983958018758</v>
      </c>
      <c r="CU216" s="24">
        <f t="shared" ref="CU216" si="1765">CT175-CU175</f>
        <v>1847.1448908659877</v>
      </c>
      <c r="CV216" s="24">
        <f t="shared" ref="CV216" si="1766">CU175-CV175</f>
        <v>-155.96104197276509</v>
      </c>
      <c r="CW216" s="24">
        <f t="shared" ref="CW216" si="1767">CV175-CW175</f>
        <v>-1473.2389971827761</v>
      </c>
      <c r="CX216" s="24">
        <f t="shared" ref="CX216" si="1768">CW175-CX175</f>
        <v>-3747.2166306195213</v>
      </c>
      <c r="CY216" s="24">
        <f t="shared" ref="CY216" si="1769">CX175-CY175</f>
        <v>2015.6699540140908</v>
      </c>
      <c r="CZ216" s="24">
        <f t="shared" ref="CZ216" si="1770">CY175-CZ175</f>
        <v>-1034.2114492595538</v>
      </c>
      <c r="DA216" s="24">
        <f t="shared" ref="DA216" si="1771">CZ175-DA175</f>
        <v>-1100.0732770570976</v>
      </c>
      <c r="DB216" s="24">
        <f t="shared" ref="DB216" si="1772">DA175-DB175</f>
        <v>-5419.5212709570151</v>
      </c>
      <c r="DE216" s="123"/>
      <c r="DF216" s="23">
        <v>0</v>
      </c>
    </row>
    <row r="217" spans="1:110" s="22" customFormat="1" x14ac:dyDescent="0.2">
      <c r="A217" s="22" t="s">
        <v>90</v>
      </c>
      <c r="C217" s="22">
        <f t="shared" ref="C217:W217" si="1773">C215-C216</f>
        <v>0</v>
      </c>
      <c r="D217" s="22">
        <f t="shared" si="1773"/>
        <v>0</v>
      </c>
      <c r="E217" s="22">
        <f t="shared" si="1773"/>
        <v>1E-3</v>
      </c>
      <c r="F217" s="22">
        <f t="shared" si="1773"/>
        <v>-7.2819999999999994E-3</v>
      </c>
      <c r="G217" s="22">
        <f t="shared" si="1773"/>
        <v>1.1656819999999999</v>
      </c>
      <c r="H217" s="22">
        <f t="shared" si="1773"/>
        <v>315.99989999999997</v>
      </c>
      <c r="I217" s="22">
        <f t="shared" si="1773"/>
        <v>-57.33929999999998</v>
      </c>
      <c r="J217" s="22">
        <f>J215-J216</f>
        <v>-123.88310000000001</v>
      </c>
      <c r="K217" s="22">
        <f t="shared" si="1773"/>
        <v>119.81309999999996</v>
      </c>
      <c r="L217" s="22">
        <f t="shared" si="1773"/>
        <v>-1585.7799999999986</v>
      </c>
      <c r="M217" s="22">
        <f t="shared" si="1773"/>
        <v>1914.8299999999981</v>
      </c>
      <c r="N217" s="22">
        <f t="shared" si="1773"/>
        <v>3131.9100000000008</v>
      </c>
      <c r="O217" s="22">
        <f t="shared" si="1773"/>
        <v>-3440.0199999999991</v>
      </c>
      <c r="P217" s="22">
        <f t="shared" si="1773"/>
        <v>-4258.7000000000007</v>
      </c>
      <c r="Q217" s="22">
        <f t="shared" si="1773"/>
        <v>1682.7299999999977</v>
      </c>
      <c r="R217" s="22">
        <f t="shared" si="1773"/>
        <v>2099.3900000000026</v>
      </c>
      <c r="S217" s="22">
        <f t="shared" si="1773"/>
        <v>-410.63000000000238</v>
      </c>
      <c r="T217" s="22">
        <f t="shared" si="1773"/>
        <v>-2394.0299999999952</v>
      </c>
      <c r="U217" s="22">
        <f t="shared" si="1773"/>
        <v>1500.0399999999972</v>
      </c>
      <c r="V217" s="22">
        <f t="shared" si="1773"/>
        <v>-3101.2200000000034</v>
      </c>
      <c r="W217" s="22">
        <f t="shared" si="1773"/>
        <v>3198.4900000000048</v>
      </c>
      <c r="X217" s="22">
        <f t="shared" ref="X217:Y217" si="1774">X215-X216</f>
        <v>-3861.850000000004</v>
      </c>
      <c r="Y217" s="22">
        <f t="shared" si="1774"/>
        <v>-806.55999999999676</v>
      </c>
      <c r="Z217" s="22">
        <f t="shared" ref="Z217:AA217" si="1775">Z215-Z216</f>
        <v>-1313.8300000000022</v>
      </c>
      <c r="AA217" s="22">
        <f t="shared" ref="AA217" si="1776">AA215-AA216</f>
        <v>329.25000000000364</v>
      </c>
      <c r="AB217" s="21">
        <f t="shared" ref="AB217:AD217" si="1777">AB215-AB216</f>
        <v>-13109.370382433846</v>
      </c>
      <c r="AC217" s="21">
        <f t="shared" si="1777"/>
        <v>-16586.027685584275</v>
      </c>
      <c r="AD217" s="21">
        <f t="shared" si="1777"/>
        <v>-8073.5692529090247</v>
      </c>
      <c r="AE217" s="21">
        <f t="shared" ref="AE217" si="1778">AE215-AE216</f>
        <v>-12669.051203279327</v>
      </c>
      <c r="AI217" s="22">
        <f t="shared" ref="AI217" si="1779">AI215-AI216</f>
        <v>0</v>
      </c>
      <c r="AJ217" s="22">
        <f t="shared" ref="AJ217:AL217" si="1780">AJ215-AJ216</f>
        <v>5977.9800000000005</v>
      </c>
      <c r="AK217" s="22">
        <f t="shared" si="1780"/>
        <v>-360.02496822365163</v>
      </c>
      <c r="AL217" s="22">
        <f t="shared" si="1780"/>
        <v>2291.40496822365</v>
      </c>
      <c r="AM217" s="22">
        <f t="shared" ref="AM217" si="1781">AM215-AM216</f>
        <v>63.710844992138846</v>
      </c>
      <c r="AN217" s="22">
        <f t="shared" ref="AN217:CD217" si="1782">AN215-AN216</f>
        <v>-1217.2708449921383</v>
      </c>
      <c r="AO217" s="22">
        <f t="shared" si="1782"/>
        <v>216.60510853820892</v>
      </c>
      <c r="AP217" s="22">
        <f t="shared" si="1782"/>
        <v>-2314.245108538209</v>
      </c>
      <c r="AQ217" s="22">
        <f t="shared" si="1782"/>
        <v>-123.21326936257719</v>
      </c>
      <c r="AR217" s="22">
        <f t="shared" si="1782"/>
        <v>-924.1667306374211</v>
      </c>
      <c r="AS217" s="22">
        <f t="shared" si="1782"/>
        <v>-28.293299260116328</v>
      </c>
      <c r="AT217" s="22">
        <f t="shared" si="1782"/>
        <v>-4207.0467007398856</v>
      </c>
      <c r="AU217" s="22">
        <f t="shared" si="1782"/>
        <v>154.98599075319908</v>
      </c>
      <c r="AV217" s="22">
        <f t="shared" si="1782"/>
        <v>-1086.9259907531959</v>
      </c>
      <c r="AW217" s="22">
        <f t="shared" si="1782"/>
        <v>-277.33914854546856</v>
      </c>
      <c r="AX217" s="22">
        <f t="shared" si="1782"/>
        <v>3410.6491485454676</v>
      </c>
      <c r="AY217" s="22">
        <f t="shared" si="1782"/>
        <v>2323.5318809573309</v>
      </c>
      <c r="AZ217" s="22">
        <f t="shared" si="1782"/>
        <v>-9620.361880957329</v>
      </c>
      <c r="BA217" s="22">
        <f t="shared" si="1782"/>
        <v>78.781984635494155</v>
      </c>
      <c r="BB217" s="22">
        <f t="shared" si="1782"/>
        <v>8695.1080153645016</v>
      </c>
      <c r="BC217" s="22">
        <f t="shared" si="1782"/>
        <v>262.94963343581912</v>
      </c>
      <c r="BD217" s="22">
        <f t="shared" si="1782"/>
        <v>548.36036656418514</v>
      </c>
      <c r="BE217" s="22">
        <f t="shared" si="1782"/>
        <v>73.436298682423512</v>
      </c>
      <c r="BF217" s="22">
        <f t="shared" si="1782"/>
        <v>-834.51629868242935</v>
      </c>
      <c r="BG217" s="22">
        <f t="shared" si="1782"/>
        <v>-25.979877323723485</v>
      </c>
      <c r="BH217" s="22">
        <f t="shared" si="1782"/>
        <v>-443.97012267627224</v>
      </c>
      <c r="BI217" s="22">
        <f t="shared" si="1782"/>
        <v>203.23336996883518</v>
      </c>
      <c r="BJ217" s="22">
        <f t="shared" si="1782"/>
        <v>-2346.0333699688372</v>
      </c>
      <c r="BK217" s="22">
        <f t="shared" si="1782"/>
        <v>-549.98440723505155</v>
      </c>
      <c r="BL217" s="22">
        <f t="shared" si="1782"/>
        <v>1731.6244072350528</v>
      </c>
      <c r="BM217" s="22">
        <f t="shared" si="1782"/>
        <v>-633.31049375474322</v>
      </c>
      <c r="BN217" s="22">
        <f t="shared" si="1782"/>
        <v>286.41049375474722</v>
      </c>
      <c r="BO217" s="22">
        <f t="shared" si="1782"/>
        <v>830.62648486900434</v>
      </c>
      <c r="BP217" s="22">
        <f t="shared" si="1782"/>
        <v>-5302.9464848690077</v>
      </c>
      <c r="BQ217" s="22">
        <f t="shared" si="1782"/>
        <v>1201.1351515831939</v>
      </c>
      <c r="BR217" s="22">
        <f t="shared" si="1782"/>
        <v>-2660.635151583198</v>
      </c>
      <c r="BS217" s="22">
        <f t="shared" si="1782"/>
        <v>-308.23422047194617</v>
      </c>
      <c r="BT217" s="22">
        <f t="shared" si="1782"/>
        <v>491.17422047194964</v>
      </c>
      <c r="BU217" s="22">
        <f t="shared" si="1782"/>
        <v>-338.42658943680726</v>
      </c>
      <c r="BV217" s="22">
        <f t="shared" si="1782"/>
        <v>3353.9765894368047</v>
      </c>
      <c r="BW217" s="22">
        <f t="shared" si="1782"/>
        <v>-2450.9038283866998</v>
      </c>
      <c r="BX217" s="22">
        <f t="shared" si="1782"/>
        <v>1615.3638283867049</v>
      </c>
      <c r="BY217" s="22">
        <f t="shared" si="1782"/>
        <v>-1080.5164911403986</v>
      </c>
      <c r="BZ217" s="22">
        <f t="shared" si="1782"/>
        <v>-1945.7935088596064</v>
      </c>
      <c r="CA217" s="22">
        <f t="shared" si="1782"/>
        <v>-859.12316299650229</v>
      </c>
      <c r="CB217" s="22">
        <f t="shared" si="1782"/>
        <v>2242.5231629965056</v>
      </c>
      <c r="CC217" s="22">
        <f t="shared" si="1782"/>
        <v>-0.61068197109125322</v>
      </c>
      <c r="CD217" s="22">
        <f t="shared" si="1782"/>
        <v>-2971.8693180289133</v>
      </c>
      <c r="CE217" s="22">
        <f t="shared" ref="CE217:CF217" si="1783">CE215-CE216</f>
        <v>-1454.6206731074963</v>
      </c>
      <c r="CF217" s="22">
        <f t="shared" si="1783"/>
        <v>-66.65932689249712</v>
      </c>
      <c r="CG217" s="22">
        <f t="shared" ref="CG217:CH217" si="1784">CG215-CG216</f>
        <v>-381.34826004882052</v>
      </c>
      <c r="CH217" s="22">
        <f t="shared" si="1784"/>
        <v>1371.3182600488158</v>
      </c>
      <c r="CI217" s="22">
        <f t="shared" ref="CI217:CJ217" si="1785">CI215-CI216</f>
        <v>102.80078753845919</v>
      </c>
      <c r="CJ217" s="22">
        <f t="shared" si="1785"/>
        <v>-624.14078753846024</v>
      </c>
      <c r="CK217" s="21">
        <f t="shared" ref="CK217:DB217" si="1786">CK215-CK216</f>
        <v>-4507.5760103362545</v>
      </c>
      <c r="CL217" s="22">
        <f t="shared" si="1786"/>
        <v>3096.8860103362522</v>
      </c>
      <c r="CM217" s="21">
        <f t="shared" si="1786"/>
        <v>-2939.9510455242271</v>
      </c>
      <c r="CN217" s="21">
        <f t="shared" si="1786"/>
        <v>-364.3800619632475</v>
      </c>
      <c r="CO217" s="21">
        <f t="shared" si="1786"/>
        <v>-1597.4943980968765</v>
      </c>
      <c r="CP217" s="21">
        <f t="shared" si="1786"/>
        <v>-5946.264876849491</v>
      </c>
      <c r="CQ217" s="21">
        <f t="shared" si="1786"/>
        <v>-418.32521266996991</v>
      </c>
      <c r="CR217" s="21">
        <f t="shared" si="1786"/>
        <v>-2922.5822536073829</v>
      </c>
      <c r="CS217" s="21">
        <f t="shared" si="1786"/>
        <v>-3875.2625391095407</v>
      </c>
      <c r="CT217" s="21">
        <f t="shared" si="1786"/>
        <v>-9369.8576801973832</v>
      </c>
      <c r="CU217" s="21">
        <f t="shared" si="1786"/>
        <v>4225.5323848063927</v>
      </c>
      <c r="CV217" s="21">
        <f t="shared" si="1786"/>
        <v>-356.77679476193225</v>
      </c>
      <c r="CW217" s="21">
        <f t="shared" si="1786"/>
        <v>-3370.1845068780713</v>
      </c>
      <c r="CX217" s="21">
        <f t="shared" si="1786"/>
        <v>-8572.1403360754139</v>
      </c>
      <c r="CY217" s="21">
        <f t="shared" si="1786"/>
        <v>4611.0506597967324</v>
      </c>
      <c r="CZ217" s="21">
        <f t="shared" si="1786"/>
        <v>-2365.8642011212323</v>
      </c>
      <c r="DA217" s="21">
        <f t="shared" si="1786"/>
        <v>-2516.5298514755777</v>
      </c>
      <c r="DB217" s="21">
        <f t="shared" si="1786"/>
        <v>-12397.707810479249</v>
      </c>
      <c r="DE217" s="126"/>
      <c r="DF217" s="22">
        <v>0</v>
      </c>
    </row>
    <row r="218" spans="1:110" s="22" customFormat="1" x14ac:dyDescent="0.2">
      <c r="A218" s="22" t="s">
        <v>91</v>
      </c>
      <c r="C218" s="22">
        <f t="shared" ref="C218:W218" si="1787">C214+C217</f>
        <v>0</v>
      </c>
      <c r="D218" s="22">
        <f>D214+D217</f>
        <v>0</v>
      </c>
      <c r="E218" s="22">
        <f t="shared" si="1787"/>
        <v>0</v>
      </c>
      <c r="F218" s="22">
        <f t="shared" si="1787"/>
        <v>-7.2819999999999994E-3</v>
      </c>
      <c r="G218" s="22">
        <f t="shared" si="1787"/>
        <v>1.1656819999999999</v>
      </c>
      <c r="H218" s="22">
        <f t="shared" si="1787"/>
        <v>315.99989999999997</v>
      </c>
      <c r="I218" s="22">
        <f t="shared" si="1787"/>
        <v>-64.518299999999982</v>
      </c>
      <c r="J218" s="22">
        <f>J214+J217</f>
        <v>-128.8699</v>
      </c>
      <c r="K218" s="22">
        <f t="shared" si="1787"/>
        <v>325.2731</v>
      </c>
      <c r="L218" s="22">
        <f t="shared" si="1787"/>
        <v>-883.63999999999851</v>
      </c>
      <c r="M218" s="22">
        <f t="shared" si="1787"/>
        <v>2217.9999999999977</v>
      </c>
      <c r="N218" s="22">
        <f t="shared" si="1787"/>
        <v>2126.5800000000008</v>
      </c>
      <c r="O218" s="22">
        <f t="shared" si="1787"/>
        <v>-1793.0999999999981</v>
      </c>
      <c r="P218" s="22">
        <f t="shared" si="1787"/>
        <v>-3013.7100000000028</v>
      </c>
      <c r="Q218" s="22">
        <f t="shared" si="1787"/>
        <v>4899.3499999999949</v>
      </c>
      <c r="R218" s="22">
        <f t="shared" si="1787"/>
        <v>-1402.3499999999995</v>
      </c>
      <c r="S218" s="22">
        <f t="shared" si="1787"/>
        <v>185.1399999999976</v>
      </c>
      <c r="T218" s="22">
        <f t="shared" si="1787"/>
        <v>-627.80999999999676</v>
      </c>
      <c r="U218" s="22">
        <f t="shared" si="1787"/>
        <v>2231.7699999999959</v>
      </c>
      <c r="V218" s="22">
        <f t="shared" si="1787"/>
        <v>1370.4099999999976</v>
      </c>
      <c r="W218" s="22">
        <f t="shared" si="1787"/>
        <v>11227.610000000004</v>
      </c>
      <c r="X218" s="22">
        <f t="shared" ref="X218:Y218" si="1788">X214+X217</f>
        <v>10168.469999999999</v>
      </c>
      <c r="Y218" s="22">
        <f t="shared" si="1788"/>
        <v>23953.559999999998</v>
      </c>
      <c r="Z218" s="22">
        <f t="shared" ref="Z218:AA218" si="1789">Z214+Z217</f>
        <v>15933.819999999992</v>
      </c>
      <c r="AA218" s="22">
        <f t="shared" ref="AA218" si="1790">AA214+AA217</f>
        <v>17728.080000000002</v>
      </c>
      <c r="AB218" s="21">
        <f t="shared" ref="AB218:AD218" si="1791">AB214+AB217</f>
        <v>6693.8869760437974</v>
      </c>
      <c r="AC218" s="21">
        <f t="shared" si="1791"/>
        <v>6195.0318330095615</v>
      </c>
      <c r="AD218" s="21">
        <f t="shared" si="1791"/>
        <v>18878.19716453713</v>
      </c>
      <c r="AE218" s="21">
        <f t="shared" ref="AE218" si="1792">AE214+AE217</f>
        <v>20984.584704767673</v>
      </c>
      <c r="AI218" s="22">
        <f t="shared" ref="AI218" si="1793">AI214+AI217</f>
        <v>-568.01</v>
      </c>
      <c r="AJ218" s="22">
        <f t="shared" ref="AJ218:AL218" si="1794">AJ214+AJ217</f>
        <v>5985.3700000000008</v>
      </c>
      <c r="AK218" s="22">
        <f t="shared" si="1794"/>
        <v>-598.45496822365158</v>
      </c>
      <c r="AL218" s="22">
        <f t="shared" si="1794"/>
        <v>2104.88496822365</v>
      </c>
      <c r="AM218" s="22">
        <f t="shared" ref="AM218" si="1795">AM214+AM217</f>
        <v>-647.64915500786105</v>
      </c>
      <c r="AN218" s="22">
        <f t="shared" ref="AN218:CD218" si="1796">AN214+AN217</f>
        <v>-1706.3308449921387</v>
      </c>
      <c r="AO218" s="22">
        <f t="shared" si="1796"/>
        <v>240.78510853820933</v>
      </c>
      <c r="AP218" s="22">
        <f t="shared" si="1796"/>
        <v>793.97489146179123</v>
      </c>
      <c r="AQ218" s="22">
        <f t="shared" si="1796"/>
        <v>236.14673063742384</v>
      </c>
      <c r="AR218" s="22">
        <f t="shared" si="1796"/>
        <v>-1043.6467306374213</v>
      </c>
      <c r="AS218" s="22">
        <f t="shared" si="1796"/>
        <v>283.94670073988402</v>
      </c>
      <c r="AT218" s="22">
        <f t="shared" si="1796"/>
        <v>-3514.1767007398857</v>
      </c>
      <c r="AU218" s="22">
        <f t="shared" si="1796"/>
        <v>553.45599075319899</v>
      </c>
      <c r="AV218" s="22">
        <f t="shared" si="1796"/>
        <v>-897.90599075319608</v>
      </c>
      <c r="AW218" s="22">
        <f t="shared" si="1796"/>
        <v>447.60085145453195</v>
      </c>
      <c r="AX218" s="22">
        <f t="shared" si="1796"/>
        <v>5314.8291485454674</v>
      </c>
      <c r="AY218" s="22">
        <f t="shared" si="1796"/>
        <v>2689.3618809573318</v>
      </c>
      <c r="AZ218" s="22">
        <f t="shared" si="1796"/>
        <v>-9335.7618809573287</v>
      </c>
      <c r="BA218" s="22">
        <f t="shared" si="1796"/>
        <v>18.631984635494291</v>
      </c>
      <c r="BB218" s="22">
        <f t="shared" si="1796"/>
        <v>4603.0880153645012</v>
      </c>
      <c r="BC218" s="22">
        <f t="shared" si="1796"/>
        <v>476.24963343581885</v>
      </c>
      <c r="BD218" s="22">
        <f t="shared" si="1796"/>
        <v>1543.4803665641857</v>
      </c>
      <c r="BE218" s="22">
        <f t="shared" si="1796"/>
        <v>-567.35370131757668</v>
      </c>
      <c r="BF218" s="22">
        <f t="shared" si="1796"/>
        <v>-806.37629868242936</v>
      </c>
      <c r="BG218" s="22">
        <f t="shared" si="1796"/>
        <v>-171.81987732372363</v>
      </c>
      <c r="BH218" s="22">
        <f t="shared" si="1796"/>
        <v>640.37987732372812</v>
      </c>
      <c r="BI218" s="22">
        <f t="shared" si="1796"/>
        <v>-295.35663003116474</v>
      </c>
      <c r="BJ218" s="22">
        <f t="shared" si="1796"/>
        <v>-1019.733369968837</v>
      </c>
      <c r="BK218" s="22">
        <f t="shared" si="1796"/>
        <v>-123.72440723505201</v>
      </c>
      <c r="BL218" s="22">
        <f t="shared" si="1796"/>
        <v>2500.7644072350531</v>
      </c>
      <c r="BM218" s="22">
        <f t="shared" si="1796"/>
        <v>-552.4904937547434</v>
      </c>
      <c r="BN218" s="22">
        <f t="shared" si="1796"/>
        <v>-258.07950624525245</v>
      </c>
      <c r="BO218" s="22">
        <f t="shared" si="1796"/>
        <v>930.77648486900398</v>
      </c>
      <c r="BP218" s="22">
        <f t="shared" si="1796"/>
        <v>-2247.0564848690083</v>
      </c>
      <c r="BQ218" s="22">
        <f t="shared" si="1796"/>
        <v>1722.0451515831942</v>
      </c>
      <c r="BR218" s="22">
        <f t="shared" si="1796"/>
        <v>-1865.9551515831977</v>
      </c>
      <c r="BS218" s="22">
        <f t="shared" si="1796"/>
        <v>744.32577952805423</v>
      </c>
      <c r="BT218" s="22">
        <f t="shared" si="1796"/>
        <v>1045.5342204719491</v>
      </c>
      <c r="BU218" s="22">
        <f t="shared" si="1796"/>
        <v>664.4234105631931</v>
      </c>
      <c r="BV218" s="22">
        <f t="shared" si="1796"/>
        <v>8773.3265894368051</v>
      </c>
      <c r="BW218" s="22">
        <f t="shared" si="1796"/>
        <v>3145.0061716132991</v>
      </c>
      <c r="BX218" s="22">
        <f t="shared" si="1796"/>
        <v>3143.9238283867053</v>
      </c>
      <c r="BY218" s="22">
        <f t="shared" si="1796"/>
        <v>-234.09649114039803</v>
      </c>
      <c r="BZ218" s="22">
        <f t="shared" si="1796"/>
        <v>4113.6364911403907</v>
      </c>
      <c r="CA218" s="22">
        <f t="shared" si="1796"/>
        <v>8834.8868370034979</v>
      </c>
      <c r="CB218" s="22">
        <f t="shared" si="1796"/>
        <v>9841.1731629965052</v>
      </c>
      <c r="CC218" s="22">
        <f t="shared" si="1796"/>
        <v>3739.5793180289106</v>
      </c>
      <c r="CD218" s="22">
        <f t="shared" si="1796"/>
        <v>755.40068197108621</v>
      </c>
      <c r="CE218" s="22">
        <f t="shared" ref="CE218:CF218" si="1797">CE214+CE217</f>
        <v>3453.7993268925029</v>
      </c>
      <c r="CF218" s="22">
        <f t="shared" si="1797"/>
        <v>4323.7306731075023</v>
      </c>
      <c r="CG218" s="22">
        <f t="shared" ref="CG218:CH218" si="1798">CG214+CG217</f>
        <v>3845.8717399511797</v>
      </c>
      <c r="CH218" s="22">
        <f t="shared" si="1798"/>
        <v>5092.9382600488143</v>
      </c>
      <c r="CI218" s="22">
        <f t="shared" ref="CI218:CJ218" si="1799">CI214+CI217</f>
        <v>4576.2507875384581</v>
      </c>
      <c r="CJ218" s="22">
        <f t="shared" si="1799"/>
        <v>3522.0492124615412</v>
      </c>
      <c r="CK218" s="21">
        <f t="shared" ref="CK218:DB218" si="1800">CK214+CK217</f>
        <v>-892.69601033625349</v>
      </c>
      <c r="CL218" s="22">
        <f t="shared" si="1800"/>
        <v>8261.1960103362508</v>
      </c>
      <c r="CM218" s="21">
        <f t="shared" si="1800"/>
        <v>1875.7875548966294</v>
      </c>
      <c r="CN218" s="21">
        <f t="shared" si="1800"/>
        <v>4126.3708946321867</v>
      </c>
      <c r="CO218" s="21">
        <f t="shared" si="1800"/>
        <v>3031.9996295419132</v>
      </c>
      <c r="CP218" s="21">
        <f t="shared" si="1800"/>
        <v>-78.991103026926794</v>
      </c>
      <c r="CQ218" s="21">
        <f t="shared" si="1800"/>
        <v>4701.5892267867439</v>
      </c>
      <c r="CR218" s="21">
        <f t="shared" si="1800"/>
        <v>2360.0815559618195</v>
      </c>
      <c r="CS218" s="21">
        <f t="shared" si="1800"/>
        <v>1721.8735598038693</v>
      </c>
      <c r="CT218" s="21">
        <f t="shared" si="1800"/>
        <v>-2588.5125095428702</v>
      </c>
      <c r="CU218" s="21">
        <f t="shared" si="1800"/>
        <v>10234.708900345526</v>
      </c>
      <c r="CV218" s="21">
        <f t="shared" si="1800"/>
        <v>5748.4412592567351</v>
      </c>
      <c r="CW218" s="21">
        <f t="shared" si="1800"/>
        <v>3321.3518458618755</v>
      </c>
      <c r="CX218" s="21">
        <f t="shared" si="1800"/>
        <v>-426.30484092699953</v>
      </c>
      <c r="CY218" s="21">
        <f t="shared" si="1800"/>
        <v>11948.836317804777</v>
      </c>
      <c r="CZ218" s="21">
        <f t="shared" si="1800"/>
        <v>5411.0353749778624</v>
      </c>
      <c r="DA218" s="21">
        <f t="shared" si="1800"/>
        <v>5694.896021331193</v>
      </c>
      <c r="DB218" s="21">
        <f t="shared" si="1800"/>
        <v>-2070.1830093461704</v>
      </c>
      <c r="DE218" s="126"/>
      <c r="DF218" s="22">
        <v>0</v>
      </c>
    </row>
    <row r="219" spans="1:110" s="23" customFormat="1" x14ac:dyDescent="0.2">
      <c r="AB219" s="24"/>
      <c r="AC219" s="24"/>
      <c r="AD219" s="24"/>
      <c r="AE219" s="24"/>
      <c r="CK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</row>
    <row r="220" spans="1:110" s="22" customFormat="1" x14ac:dyDescent="0.2">
      <c r="A220" s="22" t="s">
        <v>92</v>
      </c>
      <c r="C220" s="22">
        <f t="shared" ref="C220:W220" si="1801">C221+C222</f>
        <v>0</v>
      </c>
      <c r="D220" s="22">
        <f>D221+D222</f>
        <v>0</v>
      </c>
      <c r="E220" s="22">
        <f t="shared" si="1801"/>
        <v>-0.93300000000000005</v>
      </c>
      <c r="F220" s="22">
        <f t="shared" si="1801"/>
        <v>-4.7217999999999982E-3</v>
      </c>
      <c r="G220" s="22">
        <f t="shared" si="1801"/>
        <v>-10.754678200000001</v>
      </c>
      <c r="H220" s="22">
        <f t="shared" si="1801"/>
        <v>-593.2322999999999</v>
      </c>
      <c r="I220" s="22">
        <f t="shared" si="1801"/>
        <v>-1854.6143000000006</v>
      </c>
      <c r="J220" s="22">
        <f t="shared" si="1801"/>
        <v>-4466.1930000000002</v>
      </c>
      <c r="K220" s="22">
        <f t="shared" si="1801"/>
        <v>-8665.8280000000013</v>
      </c>
      <c r="L220" s="22">
        <f t="shared" si="1801"/>
        <v>-13694.310000000001</v>
      </c>
      <c r="M220" s="22">
        <f t="shared" si="1801"/>
        <v>-14064.169999999995</v>
      </c>
      <c r="N220" s="22">
        <f t="shared" si="1801"/>
        <v>-6829.1100000000006</v>
      </c>
      <c r="O220" s="22">
        <f t="shared" si="1801"/>
        <v>-3896.7300000000032</v>
      </c>
      <c r="P220" s="22">
        <f t="shared" si="1801"/>
        <v>2702.7200000000012</v>
      </c>
      <c r="Q220" s="22">
        <f t="shared" si="1801"/>
        <v>-14423.940000000002</v>
      </c>
      <c r="R220" s="22">
        <f t="shared" si="1801"/>
        <v>-158.76000000000204</v>
      </c>
      <c r="S220" s="22">
        <f t="shared" si="1801"/>
        <v>-440.18000000000029</v>
      </c>
      <c r="T220" s="22">
        <f t="shared" si="1801"/>
        <v>-1262.4600000000064</v>
      </c>
      <c r="U220" s="22">
        <f t="shared" si="1801"/>
        <v>-10430.239999999998</v>
      </c>
      <c r="V220" s="22">
        <f t="shared" si="1801"/>
        <v>-4299.7900000000009</v>
      </c>
      <c r="W220" s="22">
        <f t="shared" si="1801"/>
        <v>-7370.7700000000041</v>
      </c>
      <c r="X220" s="22">
        <f t="shared" ref="X220:Y220" si="1802">X221+X222</f>
        <v>-4133.1499999999942</v>
      </c>
      <c r="Y220" s="22">
        <f t="shared" si="1802"/>
        <v>-3498.8799999999974</v>
      </c>
      <c r="Z220" s="22">
        <f t="shared" ref="Z220:AA220" si="1803">Z221+Z222</f>
        <v>-21829.279999999999</v>
      </c>
      <c r="AA220" s="22">
        <f t="shared" ref="AA220" si="1804">AA221+AA222</f>
        <v>-27582.710000000003</v>
      </c>
      <c r="AB220" s="21">
        <f t="shared" ref="AB220:AD220" si="1805">AB221+AB222</f>
        <v>-22738.720000000016</v>
      </c>
      <c r="AC220" s="21">
        <f t="shared" si="1805"/>
        <v>-25000</v>
      </c>
      <c r="AD220" s="21">
        <f t="shared" si="1805"/>
        <v>-25000</v>
      </c>
      <c r="AE220" s="21">
        <f t="shared" ref="AE220" si="1806">AE221+AE222</f>
        <v>-25000</v>
      </c>
      <c r="AI220" s="22">
        <f t="shared" ref="AI220" si="1807">AI221+AI222</f>
        <v>-241.8</v>
      </c>
      <c r="AJ220" s="22">
        <f t="shared" ref="AJ220:AL220" si="1808">AJ221+AJ222</f>
        <v>-47266.970000000008</v>
      </c>
      <c r="AK220" s="22">
        <f t="shared" si="1808"/>
        <v>-380.58000000000175</v>
      </c>
      <c r="AL220" s="22">
        <f t="shared" si="1808"/>
        <v>-1475.4399999999951</v>
      </c>
      <c r="AM220" s="22">
        <f t="shared" ref="AM220" si="1809">AM221+AM222</f>
        <v>-486.93000000000029</v>
      </c>
      <c r="AN220" s="22">
        <f t="shared" ref="AN220:CD220" si="1810">AN221+AN222</f>
        <v>-2967.0199999999968</v>
      </c>
      <c r="AO220" s="22">
        <f t="shared" si="1810"/>
        <v>-569</v>
      </c>
      <c r="AP220" s="22">
        <f t="shared" si="1810"/>
        <v>-154.76000000000204</v>
      </c>
      <c r="AQ220" s="22">
        <f t="shared" si="1810"/>
        <v>-662.65000000000146</v>
      </c>
      <c r="AR220" s="22">
        <f t="shared" si="1810"/>
        <v>-175.43000000000029</v>
      </c>
      <c r="AS220" s="22">
        <f t="shared" si="1810"/>
        <v>-740.91999999999825</v>
      </c>
      <c r="AT220" s="22">
        <f t="shared" si="1810"/>
        <v>4281.7200000000012</v>
      </c>
      <c r="AU220" s="22">
        <f t="shared" si="1810"/>
        <v>-564.61000000000058</v>
      </c>
      <c r="AV220" s="22">
        <f t="shared" si="1810"/>
        <v>-6684.5200000000041</v>
      </c>
      <c r="AW220" s="22">
        <f t="shared" si="1810"/>
        <v>-615.44999999999709</v>
      </c>
      <c r="AX220" s="22">
        <f t="shared" si="1810"/>
        <v>-6559.3499999999985</v>
      </c>
      <c r="AY220" s="22">
        <f t="shared" si="1810"/>
        <v>-598.45999999999913</v>
      </c>
      <c r="AZ220" s="22">
        <f t="shared" si="1810"/>
        <v>6894.679999999993</v>
      </c>
      <c r="BA220" s="22">
        <f t="shared" si="1810"/>
        <v>-607.73999999999796</v>
      </c>
      <c r="BB220" s="22">
        <f t="shared" si="1810"/>
        <v>-5847.239999999998</v>
      </c>
      <c r="BC220" s="22">
        <f t="shared" si="1810"/>
        <v>-666.13999999999942</v>
      </c>
      <c r="BD220" s="22">
        <f t="shared" si="1810"/>
        <v>501.27000000000407</v>
      </c>
      <c r="BE220" s="22">
        <f t="shared" si="1810"/>
        <v>-672.94999999999709</v>
      </c>
      <c r="BF220" s="22">
        <f t="shared" si="1810"/>
        <v>397.63999999999942</v>
      </c>
      <c r="BG220" s="22">
        <f t="shared" si="1810"/>
        <v>-679.30999999999767</v>
      </c>
      <c r="BH220" s="22">
        <f t="shared" si="1810"/>
        <v>-115.79999999999563</v>
      </c>
      <c r="BI220" s="22">
        <f t="shared" si="1810"/>
        <v>-682.19000000000233</v>
      </c>
      <c r="BJ220" s="22">
        <f t="shared" si="1810"/>
        <v>214.83999999998923</v>
      </c>
      <c r="BK220" s="22">
        <f t="shared" si="1810"/>
        <v>-689.65000000000146</v>
      </c>
      <c r="BL220" s="22">
        <f t="shared" si="1810"/>
        <v>-8655.6699999999983</v>
      </c>
      <c r="BM220" s="22">
        <f t="shared" si="1810"/>
        <v>-783.18000000000029</v>
      </c>
      <c r="BN220" s="22">
        <f t="shared" si="1810"/>
        <v>-301.73999999999796</v>
      </c>
      <c r="BO220" s="22">
        <f t="shared" si="1810"/>
        <v>-782.61000000000058</v>
      </c>
      <c r="BP220" s="22">
        <f t="shared" si="1810"/>
        <v>-802.29000000000087</v>
      </c>
      <c r="BQ220" s="22">
        <f t="shared" si="1810"/>
        <v>-809.65000000000146</v>
      </c>
      <c r="BR220" s="22">
        <f t="shared" si="1810"/>
        <v>-1905.2400000000052</v>
      </c>
      <c r="BS220" s="22">
        <f t="shared" si="1810"/>
        <v>-774.33999999999651</v>
      </c>
      <c r="BT220" s="22">
        <f t="shared" si="1810"/>
        <v>-1442.8000000000029</v>
      </c>
      <c r="BU220" s="22">
        <f t="shared" si="1810"/>
        <v>-784.36000000000058</v>
      </c>
      <c r="BV220" s="22">
        <f t="shared" si="1810"/>
        <v>-4369.2699999999895</v>
      </c>
      <c r="BW220" s="22">
        <f t="shared" si="1810"/>
        <v>-816.05000000000291</v>
      </c>
      <c r="BX220" s="22">
        <f t="shared" si="1810"/>
        <v>-2322.9100000000026</v>
      </c>
      <c r="BY220" s="22">
        <f t="shared" si="1810"/>
        <v>-837.65000000000146</v>
      </c>
      <c r="BZ220" s="22">
        <f t="shared" si="1810"/>
        <v>-156.53999999999974</v>
      </c>
      <c r="CA220" s="22">
        <f t="shared" si="1810"/>
        <v>-934.58999999999651</v>
      </c>
      <c r="CB220" s="22">
        <f t="shared" si="1810"/>
        <v>-2602.8299999999945</v>
      </c>
      <c r="CC220" s="22">
        <f t="shared" si="1810"/>
        <v>-1002.2300000000032</v>
      </c>
      <c r="CD220" s="22">
        <f t="shared" si="1810"/>
        <v>1823.2899999999913</v>
      </c>
      <c r="CE220" s="22">
        <f t="shared" ref="CE220:CF220" si="1811">CE221+CE222</f>
        <v>-995.62999999999738</v>
      </c>
      <c r="CF220" s="22">
        <f t="shared" si="1811"/>
        <v>-18501.329999999994</v>
      </c>
      <c r="CG220" s="22">
        <f t="shared" ref="CG220:CH220" si="1812">CG221+CG222</f>
        <v>-1170.0099999999948</v>
      </c>
      <c r="CH220" s="22">
        <f t="shared" si="1812"/>
        <v>-1944.8299999999872</v>
      </c>
      <c r="CI220" s="22">
        <f t="shared" ref="CI220:CJ220" si="1813">CI221+CI222</f>
        <v>0</v>
      </c>
      <c r="CJ220" s="22">
        <f t="shared" si="1813"/>
        <v>-9469.0200000000059</v>
      </c>
      <c r="CK220" s="21">
        <f t="shared" ref="CK220:DB220" si="1814">CK221+CK222</f>
        <v>-1100.0000000000146</v>
      </c>
      <c r="CL220" s="22">
        <f t="shared" si="1814"/>
        <v>-14752.409999999982</v>
      </c>
      <c r="CM220" s="21">
        <f t="shared" si="1814"/>
        <v>-6250</v>
      </c>
      <c r="CN220" s="21">
        <f t="shared" si="1814"/>
        <v>-6250</v>
      </c>
      <c r="CO220" s="21">
        <f t="shared" si="1814"/>
        <v>-6250</v>
      </c>
      <c r="CP220" s="21">
        <f t="shared" si="1814"/>
        <v>-6250.0000000000146</v>
      </c>
      <c r="CQ220" s="21">
        <f t="shared" si="1814"/>
        <v>-6249.9999999999854</v>
      </c>
      <c r="CR220" s="21">
        <f t="shared" si="1814"/>
        <v>-6250.0000000000146</v>
      </c>
      <c r="CS220" s="21">
        <f t="shared" si="1814"/>
        <v>-6249.9999999999854</v>
      </c>
      <c r="CT220" s="21">
        <f t="shared" si="1814"/>
        <v>-6250</v>
      </c>
      <c r="CU220" s="21">
        <f t="shared" si="1814"/>
        <v>-6250</v>
      </c>
      <c r="CV220" s="21">
        <f t="shared" si="1814"/>
        <v>-6249.9999999999709</v>
      </c>
      <c r="CW220" s="21">
        <f t="shared" si="1814"/>
        <v>-6250</v>
      </c>
      <c r="CX220" s="21">
        <f t="shared" si="1814"/>
        <v>-6250</v>
      </c>
      <c r="CY220" s="21">
        <f t="shared" si="1814"/>
        <v>-6250</v>
      </c>
      <c r="CZ220" s="21">
        <f t="shared" si="1814"/>
        <v>-6250.0000000000291</v>
      </c>
      <c r="DA220" s="21">
        <f t="shared" si="1814"/>
        <v>-6250</v>
      </c>
      <c r="DB220" s="21">
        <f t="shared" si="1814"/>
        <v>-6250</v>
      </c>
      <c r="DE220" s="126"/>
      <c r="DF220" s="22">
        <v>0</v>
      </c>
    </row>
    <row r="221" spans="1:110" s="23" customFormat="1" x14ac:dyDescent="0.2">
      <c r="A221" s="23" t="s">
        <v>93</v>
      </c>
      <c r="C221" s="23">
        <f t="shared" ref="C221:AA221" si="1815">B159-C159</f>
        <v>0</v>
      </c>
      <c r="D221" s="23">
        <f t="shared" si="1815"/>
        <v>0</v>
      </c>
      <c r="E221" s="23">
        <f>D159-E159</f>
        <v>0</v>
      </c>
      <c r="F221" s="23">
        <f t="shared" si="1815"/>
        <v>0</v>
      </c>
      <c r="G221" s="23">
        <f t="shared" si="1815"/>
        <v>0</v>
      </c>
      <c r="H221" s="23">
        <f t="shared" si="1815"/>
        <v>-1E-3</v>
      </c>
      <c r="I221" s="23">
        <f t="shared" si="1815"/>
        <v>9.0899510141184692E-16</v>
      </c>
      <c r="J221" s="23">
        <f>I159-J159</f>
        <v>-2.0000000000090887E-4</v>
      </c>
      <c r="K221" s="23">
        <f>J159-K159</f>
        <v>-8.8000000000000005E-3</v>
      </c>
      <c r="L221" s="23">
        <f t="shared" si="1815"/>
        <v>-10</v>
      </c>
      <c r="M221" s="23">
        <f t="shared" si="1815"/>
        <v>0</v>
      </c>
      <c r="N221" s="23">
        <f t="shared" si="1815"/>
        <v>0</v>
      </c>
      <c r="O221" s="23">
        <f t="shared" si="1815"/>
        <v>0</v>
      </c>
      <c r="P221" s="23">
        <f t="shared" si="1815"/>
        <v>10</v>
      </c>
      <c r="Q221" s="23">
        <f t="shared" si="1815"/>
        <v>0</v>
      </c>
      <c r="R221" s="23">
        <f t="shared" si="1815"/>
        <v>0</v>
      </c>
      <c r="S221" s="23">
        <f t="shared" si="1815"/>
        <v>0</v>
      </c>
      <c r="T221" s="23">
        <f t="shared" si="1815"/>
        <v>0</v>
      </c>
      <c r="U221" s="23">
        <f t="shared" si="1815"/>
        <v>0</v>
      </c>
      <c r="V221" s="23">
        <f t="shared" si="1815"/>
        <v>0</v>
      </c>
      <c r="W221" s="23">
        <f t="shared" si="1815"/>
        <v>0</v>
      </c>
      <c r="X221" s="23">
        <f t="shared" si="1815"/>
        <v>-42.5</v>
      </c>
      <c r="Y221" s="23">
        <f t="shared" si="1815"/>
        <v>42.5</v>
      </c>
      <c r="Z221" s="23">
        <f t="shared" si="1815"/>
        <v>-59.5</v>
      </c>
      <c r="AA221" s="23">
        <f t="shared" si="1815"/>
        <v>34.869999999999997</v>
      </c>
      <c r="AB221" s="24">
        <f t="shared" ref="AB221" si="1816">AA159-AB159</f>
        <v>-92.25</v>
      </c>
      <c r="AC221" s="24">
        <f t="shared" ref="AC221" si="1817">AB159-AC159</f>
        <v>0</v>
      </c>
      <c r="AD221" s="24">
        <f t="shared" ref="AD221" si="1818">AC159-AD159</f>
        <v>0</v>
      </c>
      <c r="AE221" s="24">
        <f t="shared" ref="AE221" si="1819">AD159-AE159</f>
        <v>0</v>
      </c>
      <c r="AI221" s="23">
        <f t="shared" ref="AI221" si="1820">AH159-AI159</f>
        <v>0</v>
      </c>
      <c r="AJ221" s="23">
        <f t="shared" ref="AJ221" si="1821">AI159-AJ159</f>
        <v>-10.01</v>
      </c>
      <c r="AK221" s="23">
        <f t="shared" ref="AK221" si="1822">AJ159-AK159</f>
        <v>0</v>
      </c>
      <c r="AL221" s="23">
        <f t="shared" ref="AL221" si="1823">AK159-AL159</f>
        <v>0</v>
      </c>
      <c r="AM221" s="23">
        <f t="shared" ref="AM221" si="1824">AL159-AM159</f>
        <v>0</v>
      </c>
      <c r="AN221" s="23">
        <f t="shared" ref="AN221" si="1825">AM159-AN159</f>
        <v>0</v>
      </c>
      <c r="AO221" s="23">
        <f t="shared" ref="AO221" si="1826">AN159-AO159</f>
        <v>0</v>
      </c>
      <c r="AP221" s="23">
        <f t="shared" ref="AP221" si="1827">AO159-AP159</f>
        <v>0</v>
      </c>
      <c r="AQ221" s="23">
        <f t="shared" ref="AQ221" si="1828">AP159-AQ159</f>
        <v>0</v>
      </c>
      <c r="AR221" s="23">
        <f t="shared" ref="AR221" si="1829">AQ159-AR159</f>
        <v>0</v>
      </c>
      <c r="AS221" s="23">
        <f t="shared" ref="AS221" si="1830">AR159-AS159</f>
        <v>0</v>
      </c>
      <c r="AT221" s="23">
        <f t="shared" ref="AT221" si="1831">AS159-AT159</f>
        <v>10</v>
      </c>
      <c r="AU221" s="23">
        <f t="shared" ref="AU221" si="1832">AT159-AU159</f>
        <v>0</v>
      </c>
      <c r="AV221" s="23">
        <f t="shared" ref="AV221" si="1833">AU159-AV159</f>
        <v>0</v>
      </c>
      <c r="AW221" s="23">
        <f t="shared" ref="AW221" si="1834">AV159-AW159</f>
        <v>0</v>
      </c>
      <c r="AX221" s="23">
        <f t="shared" ref="AX221" si="1835">AW159-AX159</f>
        <v>0</v>
      </c>
      <c r="AY221" s="23">
        <f t="shared" ref="AY221" si="1836">AX159-AY159</f>
        <v>0</v>
      </c>
      <c r="AZ221" s="23">
        <f t="shared" ref="AZ221" si="1837">AY159-AZ159</f>
        <v>0</v>
      </c>
      <c r="BA221" s="23">
        <f t="shared" ref="BA221" si="1838">AZ159-BA159</f>
        <v>0</v>
      </c>
      <c r="BB221" s="23">
        <f t="shared" ref="BB221" si="1839">BA159-BB159</f>
        <v>0</v>
      </c>
      <c r="BC221" s="23">
        <f t="shared" ref="BC221" si="1840">BB159-BC159</f>
        <v>0</v>
      </c>
      <c r="BD221" s="23">
        <f t="shared" ref="BD221" si="1841">BC159-BD159</f>
        <v>0</v>
      </c>
      <c r="BE221" s="23">
        <f t="shared" ref="BE221" si="1842">BD159-BE159</f>
        <v>0</v>
      </c>
      <c r="BF221" s="23">
        <f t="shared" ref="BF221" si="1843">BE159-BF159</f>
        <v>0</v>
      </c>
      <c r="BG221" s="23">
        <f t="shared" ref="BG221" si="1844">BF159-BG159</f>
        <v>0</v>
      </c>
      <c r="BH221" s="23">
        <f t="shared" ref="BH221" si="1845">BG159-BH159</f>
        <v>0</v>
      </c>
      <c r="BI221" s="23">
        <f t="shared" ref="BI221" si="1846">BH159-BI159</f>
        <v>0</v>
      </c>
      <c r="BJ221" s="23">
        <f t="shared" ref="BJ221" si="1847">BI159-BJ159</f>
        <v>0</v>
      </c>
      <c r="BK221" s="23">
        <f t="shared" ref="BK221" si="1848">BJ159-BK159</f>
        <v>0</v>
      </c>
      <c r="BL221" s="23">
        <f t="shared" ref="BL221" si="1849">BK159-BL159</f>
        <v>0</v>
      </c>
      <c r="BM221" s="23">
        <f t="shared" ref="BM221" si="1850">BL159-BM159</f>
        <v>0</v>
      </c>
      <c r="BN221" s="23">
        <f t="shared" ref="BN221" si="1851">BM159-BN159</f>
        <v>0</v>
      </c>
      <c r="BO221" s="23">
        <f t="shared" ref="BO221" si="1852">BN159-BO159</f>
        <v>0</v>
      </c>
      <c r="BP221" s="23">
        <f t="shared" ref="BP221" si="1853">BO159-BP159</f>
        <v>0</v>
      </c>
      <c r="BQ221" s="23">
        <f t="shared" ref="BQ221" si="1854">BP159-BQ159</f>
        <v>0</v>
      </c>
      <c r="BR221" s="23">
        <f t="shared" ref="BR221" si="1855">BQ159-BR159</f>
        <v>0</v>
      </c>
      <c r="BS221" s="23">
        <f t="shared" ref="BS221" si="1856">BR159-BS159</f>
        <v>0</v>
      </c>
      <c r="BT221" s="23">
        <f t="shared" ref="BT221" si="1857">BS159-BT159</f>
        <v>0</v>
      </c>
      <c r="BU221" s="23">
        <f t="shared" ref="BU221" si="1858">BT159-BU159</f>
        <v>0</v>
      </c>
      <c r="BV221" s="23">
        <f t="shared" ref="BV221" si="1859">BU159-BV159</f>
        <v>0</v>
      </c>
      <c r="BW221" s="23">
        <f t="shared" ref="BW221" si="1860">BV159-BW159</f>
        <v>0</v>
      </c>
      <c r="BX221" s="23">
        <f t="shared" ref="BX221" si="1861">BW159-BX159</f>
        <v>-1520.22</v>
      </c>
      <c r="BY221" s="23">
        <f t="shared" ref="BY221" si="1862">BX159-BY159</f>
        <v>0</v>
      </c>
      <c r="BZ221" s="23">
        <f t="shared" ref="BZ221" si="1863">BY159-BZ159</f>
        <v>772.78</v>
      </c>
      <c r="CA221" s="23">
        <f t="shared" ref="CA221" si="1864">BZ159-CA159</f>
        <v>0</v>
      </c>
      <c r="CB221" s="23">
        <f t="shared" ref="CB221" si="1865">CA159-CB159</f>
        <v>42.25</v>
      </c>
      <c r="CC221" s="23">
        <f t="shared" ref="CC221" si="1866">CB159-CC159</f>
        <v>0</v>
      </c>
      <c r="CD221" s="23">
        <f t="shared" ref="CD221" si="1867">CC159-CD159</f>
        <v>705.19</v>
      </c>
      <c r="CE221" s="23">
        <f t="shared" ref="CE221" si="1868">CD159-CE159</f>
        <v>0</v>
      </c>
      <c r="CF221" s="23">
        <f t="shared" ref="CF221" si="1869">CE159-CF159</f>
        <v>0</v>
      </c>
      <c r="CG221" s="23">
        <f t="shared" ref="CG221" si="1870">CF159-CG159</f>
        <v>0</v>
      </c>
      <c r="CH221" s="23">
        <f t="shared" ref="CH221:CL221" si="1871">CG159-CH159</f>
        <v>-59.5</v>
      </c>
      <c r="CI221" s="23">
        <f t="shared" si="1871"/>
        <v>0</v>
      </c>
      <c r="CJ221" s="23">
        <f t="shared" si="1871"/>
        <v>-33.309999999999995</v>
      </c>
      <c r="CK221" s="24">
        <f t="shared" ref="CK221" si="1872">CJ159-CK159</f>
        <v>0</v>
      </c>
      <c r="CL221" s="23">
        <f t="shared" si="1871"/>
        <v>-24.070000000000007</v>
      </c>
      <c r="CM221" s="24">
        <f t="shared" ref="CM221" si="1873">CL159-CM159</f>
        <v>0</v>
      </c>
      <c r="CN221" s="24">
        <f t="shared" ref="CN221" si="1874">CM159-CN159</f>
        <v>0</v>
      </c>
      <c r="CO221" s="24">
        <f t="shared" ref="CO221" si="1875">CN159-CO159</f>
        <v>0</v>
      </c>
      <c r="CP221" s="24">
        <f t="shared" ref="CP221" si="1876">CO159-CP159</f>
        <v>0</v>
      </c>
      <c r="CQ221" s="24">
        <f t="shared" ref="CQ221" si="1877">CP159-CQ159</f>
        <v>0</v>
      </c>
      <c r="CR221" s="24">
        <f t="shared" ref="CR221" si="1878">CQ159-CR159</f>
        <v>0</v>
      </c>
      <c r="CS221" s="24">
        <f t="shared" ref="CS221" si="1879">CR159-CS159</f>
        <v>0</v>
      </c>
      <c r="CT221" s="24">
        <f t="shared" ref="CT221" si="1880">CS159-CT159</f>
        <v>0</v>
      </c>
      <c r="CU221" s="24">
        <f t="shared" ref="CU221" si="1881">CT159-CU159</f>
        <v>0</v>
      </c>
      <c r="CV221" s="24">
        <f t="shared" ref="CV221" si="1882">CU159-CV159</f>
        <v>0</v>
      </c>
      <c r="CW221" s="24">
        <f t="shared" ref="CW221" si="1883">CV159-CW159</f>
        <v>0</v>
      </c>
      <c r="CX221" s="24">
        <f t="shared" ref="CX221" si="1884">CW159-CX159</f>
        <v>0</v>
      </c>
      <c r="CY221" s="24">
        <f t="shared" ref="CY221" si="1885">CX159-CY159</f>
        <v>0</v>
      </c>
      <c r="CZ221" s="24">
        <f t="shared" ref="CZ221" si="1886">CY159-CZ159</f>
        <v>0</v>
      </c>
      <c r="DA221" s="24">
        <f t="shared" ref="DA221" si="1887">CZ159-DA159</f>
        <v>0</v>
      </c>
      <c r="DB221" s="24">
        <f t="shared" ref="DB221" si="1888">DA159-DB159</f>
        <v>0</v>
      </c>
      <c r="DE221" s="123"/>
      <c r="DF221" s="23">
        <v>0</v>
      </c>
    </row>
    <row r="222" spans="1:110" s="23" customFormat="1" x14ac:dyDescent="0.2">
      <c r="A222" s="23" t="s">
        <v>94</v>
      </c>
      <c r="C222" s="23">
        <f t="shared" ref="C222:AE222" si="1889">B157-C51-C157</f>
        <v>0</v>
      </c>
      <c r="D222" s="23">
        <f t="shared" si="1889"/>
        <v>0</v>
      </c>
      <c r="E222" s="23">
        <f t="shared" si="1889"/>
        <v>-0.93300000000000005</v>
      </c>
      <c r="F222" s="23">
        <f t="shared" si="1889"/>
        <v>-4.7217999999999982E-3</v>
      </c>
      <c r="G222" s="23">
        <f t="shared" si="1889"/>
        <v>-10.754678200000001</v>
      </c>
      <c r="H222" s="23">
        <f t="shared" si="1889"/>
        <v>-593.23129999999992</v>
      </c>
      <c r="I222" s="23">
        <f t="shared" si="1889"/>
        <v>-1854.6143000000006</v>
      </c>
      <c r="J222" s="23">
        <f t="shared" si="1889"/>
        <v>-4466.1927999999998</v>
      </c>
      <c r="K222" s="23">
        <f t="shared" si="1889"/>
        <v>-8665.8192000000017</v>
      </c>
      <c r="L222" s="23">
        <f t="shared" si="1889"/>
        <v>-13684.310000000001</v>
      </c>
      <c r="M222" s="23">
        <f t="shared" si="1889"/>
        <v>-14064.169999999995</v>
      </c>
      <c r="N222" s="23">
        <f t="shared" si="1889"/>
        <v>-6829.1100000000006</v>
      </c>
      <c r="O222" s="23">
        <f t="shared" si="1889"/>
        <v>-3896.7300000000032</v>
      </c>
      <c r="P222" s="23">
        <f t="shared" si="1889"/>
        <v>2692.7200000000012</v>
      </c>
      <c r="Q222" s="23">
        <f t="shared" si="1889"/>
        <v>-14423.940000000002</v>
      </c>
      <c r="R222" s="23">
        <f t="shared" si="1889"/>
        <v>-158.76000000000204</v>
      </c>
      <c r="S222" s="23">
        <f t="shared" si="1889"/>
        <v>-440.18000000000029</v>
      </c>
      <c r="T222" s="23">
        <f t="shared" si="1889"/>
        <v>-1262.4600000000064</v>
      </c>
      <c r="U222" s="23">
        <f t="shared" si="1889"/>
        <v>-10430.239999999998</v>
      </c>
      <c r="V222" s="23">
        <f t="shared" si="1889"/>
        <v>-4299.7900000000009</v>
      </c>
      <c r="W222" s="23">
        <f t="shared" si="1889"/>
        <v>-7370.7700000000041</v>
      </c>
      <c r="X222" s="23">
        <f t="shared" si="1889"/>
        <v>-4090.6499999999942</v>
      </c>
      <c r="Y222" s="23">
        <f t="shared" si="1889"/>
        <v>-3541.3799999999974</v>
      </c>
      <c r="Z222" s="23">
        <f t="shared" si="1889"/>
        <v>-21769.78</v>
      </c>
      <c r="AA222" s="23">
        <f t="shared" si="1889"/>
        <v>-27617.58</v>
      </c>
      <c r="AB222" s="24">
        <f t="shared" si="1889"/>
        <v>-22646.470000000016</v>
      </c>
      <c r="AC222" s="24">
        <f t="shared" si="1889"/>
        <v>-25000</v>
      </c>
      <c r="AD222" s="24">
        <f t="shared" si="1889"/>
        <v>-25000</v>
      </c>
      <c r="AE222" s="24">
        <f t="shared" si="1889"/>
        <v>-25000</v>
      </c>
      <c r="AI222" s="23">
        <f t="shared" ref="AI222:BN222" si="1890">AH157-AI51-AI157</f>
        <v>-241.8</v>
      </c>
      <c r="AJ222" s="23">
        <f t="shared" si="1890"/>
        <v>-47256.960000000006</v>
      </c>
      <c r="AK222" s="23">
        <f t="shared" si="1890"/>
        <v>-380.58000000000175</v>
      </c>
      <c r="AL222" s="23">
        <f t="shared" si="1890"/>
        <v>-1475.4399999999951</v>
      </c>
      <c r="AM222" s="23">
        <f t="shared" si="1890"/>
        <v>-486.93000000000029</v>
      </c>
      <c r="AN222" s="23">
        <f t="shared" si="1890"/>
        <v>-2967.0199999999968</v>
      </c>
      <c r="AO222" s="23">
        <f t="shared" si="1890"/>
        <v>-569</v>
      </c>
      <c r="AP222" s="23">
        <f t="shared" si="1890"/>
        <v>-154.76000000000204</v>
      </c>
      <c r="AQ222" s="23">
        <f t="shared" si="1890"/>
        <v>-662.65000000000146</v>
      </c>
      <c r="AR222" s="23">
        <f t="shared" si="1890"/>
        <v>-175.43000000000029</v>
      </c>
      <c r="AS222" s="23">
        <f t="shared" si="1890"/>
        <v>-740.91999999999825</v>
      </c>
      <c r="AT222" s="23">
        <f t="shared" si="1890"/>
        <v>4271.7200000000012</v>
      </c>
      <c r="AU222" s="23">
        <f t="shared" si="1890"/>
        <v>-564.61000000000058</v>
      </c>
      <c r="AV222" s="23">
        <f t="shared" si="1890"/>
        <v>-6684.5200000000041</v>
      </c>
      <c r="AW222" s="23">
        <f t="shared" si="1890"/>
        <v>-615.44999999999709</v>
      </c>
      <c r="AX222" s="23">
        <f t="shared" si="1890"/>
        <v>-6559.3499999999985</v>
      </c>
      <c r="AY222" s="23">
        <f t="shared" si="1890"/>
        <v>-598.45999999999913</v>
      </c>
      <c r="AZ222" s="23">
        <f t="shared" si="1890"/>
        <v>6894.679999999993</v>
      </c>
      <c r="BA222" s="23">
        <f t="shared" si="1890"/>
        <v>-607.73999999999796</v>
      </c>
      <c r="BB222" s="23">
        <f t="shared" si="1890"/>
        <v>-5847.239999999998</v>
      </c>
      <c r="BC222" s="23">
        <f t="shared" si="1890"/>
        <v>-666.13999999999942</v>
      </c>
      <c r="BD222" s="23">
        <f t="shared" si="1890"/>
        <v>501.27000000000407</v>
      </c>
      <c r="BE222" s="23">
        <f t="shared" si="1890"/>
        <v>-672.94999999999709</v>
      </c>
      <c r="BF222" s="23">
        <f t="shared" si="1890"/>
        <v>397.63999999999942</v>
      </c>
      <c r="BG222" s="23">
        <f t="shared" si="1890"/>
        <v>-679.30999999999767</v>
      </c>
      <c r="BH222" s="23">
        <f t="shared" si="1890"/>
        <v>-115.79999999999563</v>
      </c>
      <c r="BI222" s="23">
        <f t="shared" si="1890"/>
        <v>-682.19000000000233</v>
      </c>
      <c r="BJ222" s="23">
        <f t="shared" si="1890"/>
        <v>214.83999999998923</v>
      </c>
      <c r="BK222" s="23">
        <f t="shared" si="1890"/>
        <v>-689.65000000000146</v>
      </c>
      <c r="BL222" s="23">
        <f t="shared" si="1890"/>
        <v>-8655.6699999999983</v>
      </c>
      <c r="BM222" s="23">
        <f t="shared" si="1890"/>
        <v>-783.18000000000029</v>
      </c>
      <c r="BN222" s="23">
        <f t="shared" si="1890"/>
        <v>-301.73999999999796</v>
      </c>
      <c r="BO222" s="23">
        <f t="shared" ref="BO222:CT222" si="1891">BN157-BO51-BO157</f>
        <v>-782.61000000000058</v>
      </c>
      <c r="BP222" s="23">
        <f t="shared" si="1891"/>
        <v>-802.29000000000087</v>
      </c>
      <c r="BQ222" s="23">
        <f t="shared" si="1891"/>
        <v>-809.65000000000146</v>
      </c>
      <c r="BR222" s="23">
        <f t="shared" si="1891"/>
        <v>-1905.2400000000052</v>
      </c>
      <c r="BS222" s="23">
        <f t="shared" si="1891"/>
        <v>-774.33999999999651</v>
      </c>
      <c r="BT222" s="23">
        <f t="shared" si="1891"/>
        <v>-1442.8000000000029</v>
      </c>
      <c r="BU222" s="23">
        <f t="shared" si="1891"/>
        <v>-784.36000000000058</v>
      </c>
      <c r="BV222" s="23">
        <f t="shared" si="1891"/>
        <v>-4369.2699999999895</v>
      </c>
      <c r="BW222" s="23">
        <f t="shared" si="1891"/>
        <v>-816.05000000000291</v>
      </c>
      <c r="BX222" s="23">
        <f t="shared" si="1891"/>
        <v>-802.69000000000233</v>
      </c>
      <c r="BY222" s="23">
        <f t="shared" si="1891"/>
        <v>-837.65000000000146</v>
      </c>
      <c r="BZ222" s="23">
        <f t="shared" si="1891"/>
        <v>-929.31999999999971</v>
      </c>
      <c r="CA222" s="23">
        <f t="shared" si="1891"/>
        <v>-934.58999999999651</v>
      </c>
      <c r="CB222" s="23">
        <f t="shared" si="1891"/>
        <v>-2645.0799999999945</v>
      </c>
      <c r="CC222" s="23">
        <f t="shared" si="1891"/>
        <v>-1002.2300000000032</v>
      </c>
      <c r="CD222" s="23">
        <f t="shared" si="1891"/>
        <v>1118.0999999999913</v>
      </c>
      <c r="CE222" s="23">
        <f t="shared" si="1891"/>
        <v>-995.62999999999738</v>
      </c>
      <c r="CF222" s="23">
        <f t="shared" si="1891"/>
        <v>-18501.329999999994</v>
      </c>
      <c r="CG222" s="23">
        <f t="shared" si="1891"/>
        <v>-1170.0099999999948</v>
      </c>
      <c r="CH222" s="23">
        <f t="shared" si="1891"/>
        <v>-1885.3299999999872</v>
      </c>
      <c r="CI222" s="23">
        <f t="shared" si="1891"/>
        <v>0</v>
      </c>
      <c r="CJ222" s="23">
        <f t="shared" si="1891"/>
        <v>-9435.7100000000064</v>
      </c>
      <c r="CK222" s="24">
        <f t="shared" si="1891"/>
        <v>-1100.0000000000146</v>
      </c>
      <c r="CL222" s="23">
        <f t="shared" si="1891"/>
        <v>-14728.339999999982</v>
      </c>
      <c r="CM222" s="24">
        <f t="shared" si="1891"/>
        <v>-6250</v>
      </c>
      <c r="CN222" s="24">
        <f t="shared" si="1891"/>
        <v>-6250</v>
      </c>
      <c r="CO222" s="24">
        <f t="shared" si="1891"/>
        <v>-6250</v>
      </c>
      <c r="CP222" s="24">
        <f t="shared" si="1891"/>
        <v>-6250.0000000000146</v>
      </c>
      <c r="CQ222" s="24">
        <f t="shared" si="1891"/>
        <v>-6249.9999999999854</v>
      </c>
      <c r="CR222" s="24">
        <f t="shared" si="1891"/>
        <v>-6250.0000000000146</v>
      </c>
      <c r="CS222" s="24">
        <f t="shared" si="1891"/>
        <v>-6249.9999999999854</v>
      </c>
      <c r="CT222" s="24">
        <f t="shared" si="1891"/>
        <v>-6250</v>
      </c>
      <c r="CU222" s="24">
        <f t="shared" ref="CU222:DB222" si="1892">CT157-CU51-CU157</f>
        <v>-6250</v>
      </c>
      <c r="CV222" s="24">
        <f t="shared" si="1892"/>
        <v>-6249.9999999999709</v>
      </c>
      <c r="CW222" s="24">
        <f t="shared" si="1892"/>
        <v>-6250</v>
      </c>
      <c r="CX222" s="24">
        <f t="shared" si="1892"/>
        <v>-6250</v>
      </c>
      <c r="CY222" s="24">
        <f t="shared" si="1892"/>
        <v>-6250</v>
      </c>
      <c r="CZ222" s="24">
        <f t="shared" si="1892"/>
        <v>-6250.0000000000291</v>
      </c>
      <c r="DA222" s="24">
        <f t="shared" si="1892"/>
        <v>-6250</v>
      </c>
      <c r="DB222" s="24">
        <f t="shared" si="1892"/>
        <v>-6250</v>
      </c>
      <c r="DE222" s="123"/>
      <c r="DF222" s="23">
        <v>0</v>
      </c>
    </row>
    <row r="223" spans="1:110" s="23" customFormat="1" x14ac:dyDescent="0.2">
      <c r="AB223" s="24"/>
      <c r="AC223" s="24"/>
      <c r="AD223" s="24"/>
      <c r="AE223" s="24"/>
      <c r="CK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0" s="22" customFormat="1" x14ac:dyDescent="0.2">
      <c r="A224" s="22" t="s">
        <v>95</v>
      </c>
      <c r="C224" s="22">
        <f t="shared" ref="C224:W224" si="1893">C225+C226</f>
        <v>0</v>
      </c>
      <c r="D224" s="22">
        <f t="shared" si="1893"/>
        <v>0</v>
      </c>
      <c r="E224" s="22">
        <f t="shared" si="1893"/>
        <v>0.94</v>
      </c>
      <c r="F224" s="22">
        <f t="shared" si="1893"/>
        <v>1.100000000000001E-2</v>
      </c>
      <c r="G224" s="22">
        <f t="shared" si="1893"/>
        <v>9.85</v>
      </c>
      <c r="H224" s="22">
        <f t="shared" si="1893"/>
        <v>326.66999999999996</v>
      </c>
      <c r="I224" s="22">
        <f t="shared" si="1893"/>
        <v>2114.7640000000001</v>
      </c>
      <c r="J224" s="22">
        <f t="shared" si="1893"/>
        <v>4908.2737999999999</v>
      </c>
      <c r="K224" s="22">
        <f t="shared" si="1893"/>
        <v>8947.398000000001</v>
      </c>
      <c r="L224" s="22">
        <f t="shared" si="1893"/>
        <v>14376.880000000001</v>
      </c>
      <c r="M224" s="22">
        <f t="shared" si="1893"/>
        <v>14131.650000000003</v>
      </c>
      <c r="N224" s="22">
        <f t="shared" si="1893"/>
        <v>3183.1800000000067</v>
      </c>
      <c r="O224" s="22">
        <f t="shared" si="1893"/>
        <v>4895.3199999999852</v>
      </c>
      <c r="P224" s="22">
        <f t="shared" si="1893"/>
        <v>588.5900000000056</v>
      </c>
      <c r="Q224" s="22">
        <f t="shared" si="1893"/>
        <v>9179.8000000000102</v>
      </c>
      <c r="R224" s="22">
        <f t="shared" si="1893"/>
        <v>1460.8499999999967</v>
      </c>
      <c r="S224" s="22">
        <f t="shared" si="1893"/>
        <v>343.15999999999485</v>
      </c>
      <c r="T224" s="22">
        <f t="shared" si="1893"/>
        <v>1952.2500000000086</v>
      </c>
      <c r="U224" s="22">
        <f t="shared" si="1893"/>
        <v>9261.9799999999923</v>
      </c>
      <c r="V224" s="22">
        <f t="shared" si="1893"/>
        <v>2574.6900000000014</v>
      </c>
      <c r="W224" s="22">
        <f t="shared" si="1893"/>
        <v>-2936.329999999989</v>
      </c>
      <c r="X224" s="22">
        <f t="shared" ref="X224:Y224" si="1894">X225+X226</f>
        <v>-6098.0500000000011</v>
      </c>
      <c r="Y224" s="22">
        <f t="shared" si="1894"/>
        <v>-15354.610000000008</v>
      </c>
      <c r="Z224" s="22">
        <f t="shared" ref="Z224:AA224" si="1895">Z225+Z226</f>
        <v>5467.7800000000125</v>
      </c>
      <c r="AA224" s="22">
        <f t="shared" ref="AA224" si="1896">AA225+AA226</f>
        <v>11114.719999999994</v>
      </c>
      <c r="AB224" s="21">
        <f t="shared" ref="AB224:AD224" si="1897">AB225+AB226</f>
        <v>-7.2759576141834259E-12</v>
      </c>
      <c r="AC224" s="21">
        <f t="shared" si="1897"/>
        <v>0</v>
      </c>
      <c r="AD224" s="21">
        <f t="shared" si="1897"/>
        <v>0</v>
      </c>
      <c r="AE224" s="21">
        <f t="shared" ref="AE224" si="1898">AE225+AE226</f>
        <v>0</v>
      </c>
      <c r="AI224" s="22">
        <f t="shared" ref="AI224" si="1899">AI225+AI226</f>
        <v>809.81</v>
      </c>
      <c r="AJ224" s="22">
        <f t="shared" ref="AJ224:AL224" si="1900">AJ225+AJ226</f>
        <v>43779.07</v>
      </c>
      <c r="AK224" s="22">
        <f t="shared" si="1900"/>
        <v>0</v>
      </c>
      <c r="AL224" s="22">
        <f t="shared" si="1900"/>
        <v>-417.43000000000075</v>
      </c>
      <c r="AM224" s="22">
        <f t="shared" ref="AM224" si="1901">AM225+AM226</f>
        <v>0</v>
      </c>
      <c r="AN224" s="22">
        <f t="shared" ref="AN224:CD224" si="1902">AN225+AN226</f>
        <v>5547.9100000000035</v>
      </c>
      <c r="AO224" s="22">
        <f t="shared" si="1902"/>
        <v>-9.0949470177292824E-13</v>
      </c>
      <c r="AP224" s="22">
        <f t="shared" si="1902"/>
        <v>-845.49000000000206</v>
      </c>
      <c r="AQ224" s="22">
        <f t="shared" si="1902"/>
        <v>0</v>
      </c>
      <c r="AR224" s="22">
        <f t="shared" si="1902"/>
        <v>2559.300000000002</v>
      </c>
      <c r="AS224" s="22">
        <f t="shared" si="1902"/>
        <v>0</v>
      </c>
      <c r="AT224" s="22">
        <f t="shared" si="1902"/>
        <v>-946.69000000000324</v>
      </c>
      <c r="AU224" s="22">
        <f t="shared" si="1902"/>
        <v>0</v>
      </c>
      <c r="AV224" s="22">
        <f t="shared" si="1902"/>
        <v>7144.7300000000014</v>
      </c>
      <c r="AW224" s="22">
        <f t="shared" si="1902"/>
        <v>-9.0949470177292824E-13</v>
      </c>
      <c r="AX224" s="22">
        <f t="shared" si="1902"/>
        <v>1516.430000000003</v>
      </c>
      <c r="AY224" s="22">
        <f t="shared" si="1902"/>
        <v>0</v>
      </c>
      <c r="AZ224" s="22">
        <f t="shared" si="1902"/>
        <v>1718.8399999999929</v>
      </c>
      <c r="BA224" s="22">
        <f t="shared" si="1902"/>
        <v>0</v>
      </c>
      <c r="BB224" s="22">
        <f t="shared" si="1902"/>
        <v>364.34000000000015</v>
      </c>
      <c r="BC224" s="22">
        <f t="shared" si="1902"/>
        <v>0</v>
      </c>
      <c r="BD224" s="22">
        <f t="shared" si="1902"/>
        <v>-1647.2300000000005</v>
      </c>
      <c r="BE224" s="22">
        <f t="shared" si="1902"/>
        <v>0</v>
      </c>
      <c r="BF224" s="22">
        <f t="shared" si="1902"/>
        <v>1529.530000000002</v>
      </c>
      <c r="BG224" s="22">
        <f t="shared" si="1902"/>
        <v>825.15000000000009</v>
      </c>
      <c r="BH224" s="22">
        <f t="shared" si="1902"/>
        <v>-160.20000000000346</v>
      </c>
      <c r="BI224" s="22">
        <f t="shared" si="1902"/>
        <v>0</v>
      </c>
      <c r="BJ224" s="22">
        <f t="shared" si="1902"/>
        <v>1506.0199999999959</v>
      </c>
      <c r="BK224" s="22">
        <f t="shared" si="1902"/>
        <v>0</v>
      </c>
      <c r="BL224" s="22">
        <f t="shared" si="1902"/>
        <v>7212.6900000000023</v>
      </c>
      <c r="BM224" s="22">
        <f t="shared" si="1902"/>
        <v>1.8189894035458565E-12</v>
      </c>
      <c r="BN224" s="22">
        <f t="shared" si="1902"/>
        <v>2714.5899999999947</v>
      </c>
      <c r="BO224" s="22">
        <f t="shared" si="1902"/>
        <v>-9.0949470177292824E-13</v>
      </c>
      <c r="BP224" s="22">
        <f t="shared" si="1902"/>
        <v>2537.4600000000137</v>
      </c>
      <c r="BQ224" s="22">
        <f t="shared" si="1902"/>
        <v>0</v>
      </c>
      <c r="BR224" s="22">
        <f t="shared" si="1902"/>
        <v>2867.8299999999963</v>
      </c>
      <c r="BS224" s="22">
        <f t="shared" si="1902"/>
        <v>0</v>
      </c>
      <c r="BT224" s="22">
        <f t="shared" si="1902"/>
        <v>462.91999999999666</v>
      </c>
      <c r="BU224" s="22">
        <f t="shared" si="1902"/>
        <v>0</v>
      </c>
      <c r="BV224" s="22">
        <f t="shared" si="1902"/>
        <v>-3399.25</v>
      </c>
      <c r="BW224" s="22">
        <f t="shared" si="1902"/>
        <v>3.637978807091713E-12</v>
      </c>
      <c r="BX224" s="22">
        <f t="shared" si="1902"/>
        <v>-3658.8500000000095</v>
      </c>
      <c r="BY224" s="22">
        <f t="shared" si="1902"/>
        <v>0</v>
      </c>
      <c r="BZ224" s="22">
        <f t="shared" si="1902"/>
        <v>-2439.1999999999898</v>
      </c>
      <c r="CA224" s="22">
        <f t="shared" si="1902"/>
        <v>3.637978807091713E-12</v>
      </c>
      <c r="CB224" s="22">
        <f t="shared" si="1902"/>
        <v>-14758.410000000003</v>
      </c>
      <c r="CC224" s="22">
        <f t="shared" si="1902"/>
        <v>0</v>
      </c>
      <c r="CD224" s="22">
        <f t="shared" si="1902"/>
        <v>-596.19999999999709</v>
      </c>
      <c r="CE224" s="22">
        <f t="shared" ref="CE224:CF224" si="1903">CE225+CE226</f>
        <v>0</v>
      </c>
      <c r="CF224" s="22">
        <f t="shared" si="1903"/>
        <v>10576.429999999998</v>
      </c>
      <c r="CG224" s="22">
        <f t="shared" ref="CG224:CH224" si="1904">CG225+CG226</f>
        <v>0</v>
      </c>
      <c r="CH224" s="22">
        <f t="shared" si="1904"/>
        <v>-5108.6499999999942</v>
      </c>
      <c r="CI224" s="22">
        <f t="shared" ref="CI224:CJ224" si="1905">CI225+CI226</f>
        <v>0</v>
      </c>
      <c r="CJ224" s="22">
        <f t="shared" si="1905"/>
        <v>4554.3499999999985</v>
      </c>
      <c r="CK224" s="21">
        <f t="shared" ref="CK224:DB224" si="1906">CK225+CK226</f>
        <v>0</v>
      </c>
      <c r="CL224" s="22">
        <f t="shared" si="1906"/>
        <v>6560.3699999999953</v>
      </c>
      <c r="CM224" s="21">
        <f t="shared" si="1906"/>
        <v>0</v>
      </c>
      <c r="CN224" s="21">
        <f t="shared" si="1906"/>
        <v>0</v>
      </c>
      <c r="CO224" s="21">
        <f t="shared" si="1906"/>
        <v>0</v>
      </c>
      <c r="CP224" s="21">
        <f t="shared" si="1906"/>
        <v>0</v>
      </c>
      <c r="CQ224" s="21">
        <f t="shared" si="1906"/>
        <v>0</v>
      </c>
      <c r="CR224" s="21">
        <f t="shared" si="1906"/>
        <v>0</v>
      </c>
      <c r="CS224" s="21">
        <f t="shared" si="1906"/>
        <v>0</v>
      </c>
      <c r="CT224" s="21">
        <f t="shared" si="1906"/>
        <v>0</v>
      </c>
      <c r="CU224" s="21">
        <f t="shared" si="1906"/>
        <v>0</v>
      </c>
      <c r="CV224" s="21">
        <f t="shared" si="1906"/>
        <v>0</v>
      </c>
      <c r="CW224" s="21">
        <f t="shared" si="1906"/>
        <v>0</v>
      </c>
      <c r="CX224" s="21">
        <f t="shared" si="1906"/>
        <v>0</v>
      </c>
      <c r="CY224" s="21">
        <f t="shared" si="1906"/>
        <v>0</v>
      </c>
      <c r="CZ224" s="21">
        <f t="shared" si="1906"/>
        <v>0</v>
      </c>
      <c r="DA224" s="21">
        <f t="shared" si="1906"/>
        <v>-1.4551915228366852E-11</v>
      </c>
      <c r="DB224" s="21">
        <f t="shared" si="1906"/>
        <v>2.9103830456733704E-11</v>
      </c>
      <c r="DE224" s="126"/>
      <c r="DF224" s="22">
        <v>0</v>
      </c>
    </row>
    <row r="225" spans="1:110" s="23" customFormat="1" x14ac:dyDescent="0.2">
      <c r="A225" s="23" t="s">
        <v>49</v>
      </c>
      <c r="C225" s="23">
        <f t="shared" ref="C225:AA225" si="1907">C147-B147</f>
        <v>0</v>
      </c>
      <c r="D225" s="23">
        <f t="shared" si="1907"/>
        <v>0</v>
      </c>
      <c r="E225" s="23">
        <f>E147-D147</f>
        <v>0</v>
      </c>
      <c r="F225" s="23">
        <f t="shared" si="1907"/>
        <v>0</v>
      </c>
      <c r="G225" s="23">
        <f t="shared" si="1907"/>
        <v>0</v>
      </c>
      <c r="H225" s="23">
        <f t="shared" si="1907"/>
        <v>56.78</v>
      </c>
      <c r="I225" s="23">
        <f t="shared" si="1907"/>
        <v>954.39400000000001</v>
      </c>
      <c r="J225" s="23">
        <f>J147-I147</f>
        <v>3978.5124999999998</v>
      </c>
      <c r="K225" s="23">
        <f>K147-J147</f>
        <v>5595.8135000000002</v>
      </c>
      <c r="L225" s="23">
        <f t="shared" si="1907"/>
        <v>13917.220000000001</v>
      </c>
      <c r="M225" s="23">
        <f t="shared" si="1907"/>
        <v>14097.620000000003</v>
      </c>
      <c r="N225" s="23">
        <f t="shared" si="1907"/>
        <v>3195.1000000000058</v>
      </c>
      <c r="O225" s="23">
        <f t="shared" si="1907"/>
        <v>2354.7899999999863</v>
      </c>
      <c r="P225" s="23">
        <f t="shared" si="1907"/>
        <v>591.7300000000032</v>
      </c>
      <c r="Q225" s="23">
        <f t="shared" si="1907"/>
        <v>7987.3600000000079</v>
      </c>
      <c r="R225" s="23">
        <f t="shared" si="1907"/>
        <v>-244.95000000000437</v>
      </c>
      <c r="S225" s="23">
        <f t="shared" si="1907"/>
        <v>350.43999999999505</v>
      </c>
      <c r="T225" s="23">
        <f t="shared" si="1907"/>
        <v>2144.8900000000067</v>
      </c>
      <c r="U225" s="23">
        <f t="shared" si="1907"/>
        <v>8834.0599999999904</v>
      </c>
      <c r="V225" s="23">
        <f t="shared" si="1907"/>
        <v>1212.510000000002</v>
      </c>
      <c r="W225" s="23">
        <f t="shared" si="1907"/>
        <v>-3015.5899999999892</v>
      </c>
      <c r="X225" s="23">
        <f t="shared" si="1907"/>
        <v>-6543.6299999999974</v>
      </c>
      <c r="Y225" s="23">
        <f t="shared" si="1907"/>
        <v>-13695.19000000001</v>
      </c>
      <c r="Z225" s="23">
        <f t="shared" si="1907"/>
        <v>-380.05999999999767</v>
      </c>
      <c r="AA225" s="23">
        <f t="shared" si="1907"/>
        <v>12163.739999999998</v>
      </c>
      <c r="AB225" s="24">
        <f t="shared" ref="AB225" si="1908">AB147-AA147</f>
        <v>0</v>
      </c>
      <c r="AC225" s="24">
        <f t="shared" ref="AC225" si="1909">AC147-AB147</f>
        <v>0</v>
      </c>
      <c r="AD225" s="24">
        <f t="shared" ref="AD225" si="1910">AD147-AC147</f>
        <v>0</v>
      </c>
      <c r="AE225" s="24">
        <f t="shared" ref="AE225" si="1911">AE147-AD147</f>
        <v>0</v>
      </c>
      <c r="AI225" s="23">
        <f t="shared" ref="AI225" si="1912">AI147-AH147</f>
        <v>0</v>
      </c>
      <c r="AJ225" s="23">
        <f t="shared" ref="AJ225" si="1913">AJ147-AI147</f>
        <v>37997.19</v>
      </c>
      <c r="AK225" s="23">
        <f t="shared" ref="AK225" si="1914">AK147-AJ147</f>
        <v>0</v>
      </c>
      <c r="AL225" s="23">
        <f t="shared" ref="AL225" si="1915">AL147-AK147</f>
        <v>-394.40000000000146</v>
      </c>
      <c r="AM225" s="23">
        <f t="shared" ref="AM225" si="1916">AM147-AL147</f>
        <v>0</v>
      </c>
      <c r="AN225" s="23">
        <f t="shared" ref="AN225" si="1917">AN147-AM147</f>
        <v>3005.760000000002</v>
      </c>
      <c r="AO225" s="23">
        <f t="shared" ref="AO225" si="1918">AO147-AN147</f>
        <v>0</v>
      </c>
      <c r="AP225" s="23">
        <f t="shared" ref="AP225" si="1919">AP147-AO147</f>
        <v>-839.79000000000087</v>
      </c>
      <c r="AQ225" s="23">
        <f t="shared" ref="AQ225" si="1920">AQ147-AP147</f>
        <v>0</v>
      </c>
      <c r="AR225" s="23">
        <f t="shared" ref="AR225" si="1921">AR147-AQ147</f>
        <v>2559.6900000000023</v>
      </c>
      <c r="AS225" s="23">
        <f t="shared" ref="AS225" si="1922">AS147-AR147</f>
        <v>0</v>
      </c>
      <c r="AT225" s="23">
        <f t="shared" ref="AT225" si="1923">AT147-AS147</f>
        <v>-943.94000000000233</v>
      </c>
      <c r="AU225" s="23">
        <f t="shared" ref="AU225" si="1924">AU147-AT147</f>
        <v>0</v>
      </c>
      <c r="AV225" s="23">
        <f t="shared" ref="AV225" si="1925">AV147-AU147</f>
        <v>7092.8600000000006</v>
      </c>
      <c r="AW225" s="23">
        <f t="shared" ref="AW225" si="1926">AW147-AV147</f>
        <v>0</v>
      </c>
      <c r="AX225" s="23">
        <f t="shared" ref="AX225" si="1927">AX147-AW147</f>
        <v>375.87000000000262</v>
      </c>
      <c r="AY225" s="23">
        <f t="shared" ref="AY225" si="1928">AY147-AX147</f>
        <v>0</v>
      </c>
      <c r="AZ225" s="23">
        <f t="shared" ref="AZ225" si="1929">AZ147-AY147</f>
        <v>694.25999999999476</v>
      </c>
      <c r="BA225" s="23">
        <f t="shared" ref="BA225" si="1930">BA147-AZ147</f>
        <v>0</v>
      </c>
      <c r="BB225" s="23">
        <f t="shared" ref="BB225" si="1931">BB147-BA147</f>
        <v>-316.88999999999942</v>
      </c>
      <c r="BC225" s="23">
        <f t="shared" ref="BC225" si="1932">BC147-BB147</f>
        <v>0</v>
      </c>
      <c r="BD225" s="23">
        <f t="shared" ref="BD225" si="1933">BD147-BC147</f>
        <v>-1621.1800000000003</v>
      </c>
      <c r="BE225" s="23">
        <f t="shared" ref="BE225" si="1934">BE147-BD147</f>
        <v>0</v>
      </c>
      <c r="BF225" s="23">
        <f t="shared" ref="BF225" si="1935">BF147-BE147</f>
        <v>1510.760000000002</v>
      </c>
      <c r="BG225" s="23">
        <f t="shared" ref="BG225" si="1936">BG147-BF147</f>
        <v>0</v>
      </c>
      <c r="BH225" s="23">
        <f t="shared" ref="BH225" si="1937">BH147-BG147</f>
        <v>-4336.6600000000035</v>
      </c>
      <c r="BI225" s="23">
        <f t="shared" ref="BI225" si="1938">BI147-BH147</f>
        <v>0</v>
      </c>
      <c r="BJ225" s="23">
        <f t="shared" ref="BJ225" si="1939">BJ147-BI147</f>
        <v>-1299.7300000000032</v>
      </c>
      <c r="BK225" s="23">
        <f t="shared" ref="BK225" si="1940">BK147-BJ147</f>
        <v>0</v>
      </c>
      <c r="BL225" s="23">
        <f t="shared" ref="BL225" si="1941">BL147-BK147</f>
        <v>5032.1600000000035</v>
      </c>
      <c r="BM225" s="23">
        <f t="shared" ref="BM225" si="1942">BM147-BL147</f>
        <v>0</v>
      </c>
      <c r="BN225" s="23">
        <f t="shared" ref="BN225" si="1943">BN147-BM147</f>
        <v>3852.1899999999951</v>
      </c>
      <c r="BO225" s="23">
        <f t="shared" ref="BO225" si="1944">BO147-BN147</f>
        <v>0</v>
      </c>
      <c r="BP225" s="23">
        <f t="shared" ref="BP225" si="1945">BP147-BO147</f>
        <v>-1027.5499999999884</v>
      </c>
      <c r="BQ225" s="23">
        <f t="shared" ref="BQ225" si="1946">BQ147-BP147</f>
        <v>0</v>
      </c>
      <c r="BR225" s="23">
        <f t="shared" ref="BR225" si="1947">BR147-BQ147</f>
        <v>1070.6699999999983</v>
      </c>
      <c r="BS225" s="23">
        <f t="shared" ref="BS225" si="1948">BS147-BR147</f>
        <v>0</v>
      </c>
      <c r="BT225" s="23">
        <f t="shared" ref="BT225" si="1949">BT147-BS147</f>
        <v>232.93999999999505</v>
      </c>
      <c r="BU225" s="23">
        <f t="shared" ref="BU225" si="1950">BU147-BT147</f>
        <v>0</v>
      </c>
      <c r="BV225" s="23">
        <f t="shared" ref="BV225" si="1951">BV147-BU147</f>
        <v>-3848.5299999999988</v>
      </c>
      <c r="BW225" s="23">
        <f t="shared" ref="BW225" si="1952">BW147-BV147</f>
        <v>0</v>
      </c>
      <c r="BX225" s="23">
        <f t="shared" ref="BX225" si="1953">BX147-BW147</f>
        <v>-3682.8500000000058</v>
      </c>
      <c r="BY225" s="23">
        <f t="shared" ref="BY225" si="1954">BY147-BX147</f>
        <v>0</v>
      </c>
      <c r="BZ225" s="23">
        <f t="shared" ref="BZ225" si="1955">BZ147-BY147</f>
        <v>-2860.7799999999916</v>
      </c>
      <c r="CA225" s="23">
        <f t="shared" ref="CA225" si="1956">CA147-BZ147</f>
        <v>0</v>
      </c>
      <c r="CB225" s="23">
        <f t="shared" ref="CB225" si="1957">CB147-CA147</f>
        <v>-10038.480000000003</v>
      </c>
      <c r="CC225" s="23">
        <f t="shared" ref="CC225" si="1958">CC147-CB147</f>
        <v>0</v>
      </c>
      <c r="CD225" s="23">
        <f t="shared" ref="CD225" si="1959">CD147-CC147</f>
        <v>2243.2900000000009</v>
      </c>
      <c r="CE225" s="23">
        <f t="shared" ref="CE225" si="1960">CE147-CD147</f>
        <v>0</v>
      </c>
      <c r="CF225" s="23">
        <f t="shared" ref="CF225" si="1961">CF147-CE147</f>
        <v>2970.4400000000023</v>
      </c>
      <c r="CG225" s="23">
        <f t="shared" ref="CG225" si="1962">CG147-CF147</f>
        <v>0</v>
      </c>
      <c r="CH225" s="23">
        <f t="shared" ref="CH225:CL225" si="1963">CH147-CG147</f>
        <v>3964.5</v>
      </c>
      <c r="CI225" s="23">
        <f t="shared" si="1963"/>
        <v>0</v>
      </c>
      <c r="CJ225" s="23">
        <f t="shared" si="1963"/>
        <v>5861.8899999999994</v>
      </c>
      <c r="CK225" s="24">
        <f t="shared" ref="CK225" si="1964">CK147-CJ147</f>
        <v>0</v>
      </c>
      <c r="CL225" s="23">
        <f t="shared" si="1963"/>
        <v>6301.8499999999985</v>
      </c>
      <c r="CM225" s="24">
        <f t="shared" ref="CM225" si="1965">CM147-CL147</f>
        <v>0</v>
      </c>
      <c r="CN225" s="24">
        <f t="shared" ref="CN225" si="1966">CN147-CM147</f>
        <v>0</v>
      </c>
      <c r="CO225" s="24">
        <f t="shared" ref="CO225" si="1967">CO147-CN147</f>
        <v>0</v>
      </c>
      <c r="CP225" s="24">
        <f t="shared" ref="CP225" si="1968">CP147-CO147</f>
        <v>0</v>
      </c>
      <c r="CQ225" s="24">
        <f t="shared" ref="CQ225" si="1969">CQ147-CP147</f>
        <v>0</v>
      </c>
      <c r="CR225" s="24">
        <f t="shared" ref="CR225" si="1970">CR147-CQ147</f>
        <v>0</v>
      </c>
      <c r="CS225" s="24">
        <f t="shared" ref="CS225" si="1971">CS147-CR147</f>
        <v>0</v>
      </c>
      <c r="CT225" s="24">
        <f t="shared" ref="CT225" si="1972">CT147-CS147</f>
        <v>0</v>
      </c>
      <c r="CU225" s="24">
        <f t="shared" ref="CU225" si="1973">CU147-CT147</f>
        <v>0</v>
      </c>
      <c r="CV225" s="24">
        <f t="shared" ref="CV225" si="1974">CV147-CU147</f>
        <v>0</v>
      </c>
      <c r="CW225" s="24">
        <f t="shared" ref="CW225" si="1975">CW147-CV147</f>
        <v>0</v>
      </c>
      <c r="CX225" s="24">
        <f t="shared" ref="CX225" si="1976">CX147-CW147</f>
        <v>0</v>
      </c>
      <c r="CY225" s="24">
        <f t="shared" ref="CY225" si="1977">CY147-CX147</f>
        <v>0</v>
      </c>
      <c r="CZ225" s="24">
        <f t="shared" ref="CZ225" si="1978">CZ147-CY147</f>
        <v>0</v>
      </c>
      <c r="DA225" s="24">
        <f t="shared" ref="DA225" si="1979">DA147-CZ147</f>
        <v>0</v>
      </c>
      <c r="DB225" s="24">
        <f t="shared" ref="DB225" si="1980">DB147-DA147</f>
        <v>0</v>
      </c>
      <c r="DE225" s="123"/>
      <c r="DF225" s="23">
        <v>0</v>
      </c>
    </row>
    <row r="226" spans="1:110" s="23" customFormat="1" x14ac:dyDescent="0.2">
      <c r="A226" s="23" t="s">
        <v>27</v>
      </c>
      <c r="C226" s="23">
        <f t="shared" ref="C226:AE226" si="1981">C139-C67-B139+C141-B141</f>
        <v>0</v>
      </c>
      <c r="D226" s="23">
        <f t="shared" si="1981"/>
        <v>0</v>
      </c>
      <c r="E226" s="23">
        <f t="shared" si="1981"/>
        <v>0.94</v>
      </c>
      <c r="F226" s="23">
        <f t="shared" si="1981"/>
        <v>1.100000000000001E-2</v>
      </c>
      <c r="G226" s="23">
        <f t="shared" si="1981"/>
        <v>9.85</v>
      </c>
      <c r="H226" s="23">
        <f t="shared" si="1981"/>
        <v>269.89</v>
      </c>
      <c r="I226" s="23">
        <f t="shared" si="1981"/>
        <v>1160.3700000000001</v>
      </c>
      <c r="J226" s="23">
        <f t="shared" si="1981"/>
        <v>929.76129999999989</v>
      </c>
      <c r="K226" s="23">
        <f t="shared" si="1981"/>
        <v>3351.5845000000008</v>
      </c>
      <c r="L226" s="23">
        <f t="shared" si="1981"/>
        <v>459.65999999999957</v>
      </c>
      <c r="M226" s="23">
        <f t="shared" si="1981"/>
        <v>34.0300000000002</v>
      </c>
      <c r="N226" s="23">
        <f t="shared" si="1981"/>
        <v>-11.919999999999391</v>
      </c>
      <c r="O226" s="23">
        <f t="shared" si="1981"/>
        <v>2540.5299999999988</v>
      </c>
      <c r="P226" s="23">
        <f t="shared" si="1981"/>
        <v>-3.1399999999975989</v>
      </c>
      <c r="Q226" s="23">
        <f t="shared" si="1981"/>
        <v>1192.4400000000032</v>
      </c>
      <c r="R226" s="23">
        <f t="shared" si="1981"/>
        <v>1705.8000000000011</v>
      </c>
      <c r="S226" s="23">
        <f t="shared" si="1981"/>
        <v>-7.2800000000002001</v>
      </c>
      <c r="T226" s="23">
        <f t="shared" si="1981"/>
        <v>-192.63999999999805</v>
      </c>
      <c r="U226" s="23">
        <f t="shared" si="1981"/>
        <v>427.92000000000098</v>
      </c>
      <c r="V226" s="23">
        <f t="shared" si="1981"/>
        <v>1362.1799999999994</v>
      </c>
      <c r="W226" s="23">
        <f t="shared" si="1981"/>
        <v>79.260000000000431</v>
      </c>
      <c r="X226" s="23">
        <f t="shared" si="1981"/>
        <v>445.57999999999629</v>
      </c>
      <c r="Y226" s="23">
        <f t="shared" si="1981"/>
        <v>-1659.4199999999983</v>
      </c>
      <c r="Z226" s="23">
        <f t="shared" si="1981"/>
        <v>5847.8400000000101</v>
      </c>
      <c r="AA226" s="23">
        <f t="shared" si="1981"/>
        <v>-1049.0200000000038</v>
      </c>
      <c r="AB226" s="24">
        <f t="shared" si="1981"/>
        <v>-7.2759576141834259E-12</v>
      </c>
      <c r="AC226" s="24">
        <f t="shared" si="1981"/>
        <v>0</v>
      </c>
      <c r="AD226" s="24">
        <f t="shared" si="1981"/>
        <v>0</v>
      </c>
      <c r="AE226" s="24">
        <f t="shared" si="1981"/>
        <v>0</v>
      </c>
      <c r="AI226" s="23">
        <f t="shared" ref="AI226:BN226" si="1982">AI139-AI67-AH139+AI141-AH141</f>
        <v>809.81</v>
      </c>
      <c r="AJ226" s="23">
        <f t="shared" si="1982"/>
        <v>5781.8799999999992</v>
      </c>
      <c r="AK226" s="23">
        <f t="shared" si="1982"/>
        <v>0</v>
      </c>
      <c r="AL226" s="23">
        <f t="shared" si="1982"/>
        <v>-23.029999999999291</v>
      </c>
      <c r="AM226" s="23">
        <f t="shared" si="1982"/>
        <v>0</v>
      </c>
      <c r="AN226" s="23">
        <f t="shared" si="1982"/>
        <v>2542.1500000000015</v>
      </c>
      <c r="AO226" s="23">
        <f t="shared" si="1982"/>
        <v>-9.0949470177292824E-13</v>
      </c>
      <c r="AP226" s="23">
        <f t="shared" si="1982"/>
        <v>-5.7000000000011823</v>
      </c>
      <c r="AQ226" s="23">
        <f t="shared" si="1982"/>
        <v>0</v>
      </c>
      <c r="AR226" s="23">
        <f t="shared" si="1982"/>
        <v>-0.39000000000032742</v>
      </c>
      <c r="AS226" s="23">
        <f t="shared" si="1982"/>
        <v>0</v>
      </c>
      <c r="AT226" s="23">
        <f t="shared" si="1982"/>
        <v>-2.7500000000009095</v>
      </c>
      <c r="AU226" s="23">
        <f t="shared" si="1982"/>
        <v>0</v>
      </c>
      <c r="AV226" s="23">
        <f t="shared" si="1982"/>
        <v>51.8700000000008</v>
      </c>
      <c r="AW226" s="23">
        <f t="shared" si="1982"/>
        <v>-9.0949470177292824E-13</v>
      </c>
      <c r="AX226" s="23">
        <f t="shared" si="1982"/>
        <v>1140.5600000000004</v>
      </c>
      <c r="AY226" s="23">
        <f t="shared" si="1982"/>
        <v>0</v>
      </c>
      <c r="AZ226" s="23">
        <f t="shared" si="1982"/>
        <v>1024.5799999999981</v>
      </c>
      <c r="BA226" s="23">
        <f t="shared" si="1982"/>
        <v>0</v>
      </c>
      <c r="BB226" s="23">
        <f t="shared" si="1982"/>
        <v>681.22999999999956</v>
      </c>
      <c r="BC226" s="23">
        <f t="shared" si="1982"/>
        <v>0</v>
      </c>
      <c r="BD226" s="23">
        <f t="shared" si="1982"/>
        <v>-26.050000000000182</v>
      </c>
      <c r="BE226" s="23">
        <f t="shared" si="1982"/>
        <v>0</v>
      </c>
      <c r="BF226" s="23">
        <f t="shared" si="1982"/>
        <v>18.769999999999982</v>
      </c>
      <c r="BG226" s="23">
        <f t="shared" si="1982"/>
        <v>825.15000000000009</v>
      </c>
      <c r="BH226" s="23">
        <f t="shared" si="1982"/>
        <v>4176.46</v>
      </c>
      <c r="BI226" s="23">
        <f t="shared" si="1982"/>
        <v>0</v>
      </c>
      <c r="BJ226" s="23">
        <f t="shared" si="1982"/>
        <v>2805.7499999999991</v>
      </c>
      <c r="BK226" s="23">
        <f t="shared" si="1982"/>
        <v>0</v>
      </c>
      <c r="BL226" s="23">
        <f t="shared" si="1982"/>
        <v>2180.5299999999988</v>
      </c>
      <c r="BM226" s="23">
        <f t="shared" si="1982"/>
        <v>1.8189894035458565E-12</v>
      </c>
      <c r="BN226" s="23">
        <f t="shared" si="1982"/>
        <v>-1137.6000000000006</v>
      </c>
      <c r="BO226" s="23">
        <f t="shared" ref="BO226:CT226" si="1983">BO139-BO67-BN139+BO141-BN141</f>
        <v>-9.0949470177292824E-13</v>
      </c>
      <c r="BP226" s="23">
        <f t="shared" si="1983"/>
        <v>3565.010000000002</v>
      </c>
      <c r="BQ226" s="23">
        <f t="shared" si="1983"/>
        <v>0</v>
      </c>
      <c r="BR226" s="23">
        <f t="shared" si="1983"/>
        <v>1797.159999999998</v>
      </c>
      <c r="BS226" s="23">
        <f t="shared" si="1983"/>
        <v>0</v>
      </c>
      <c r="BT226" s="23">
        <f t="shared" si="1983"/>
        <v>229.98000000000161</v>
      </c>
      <c r="BU226" s="23">
        <f t="shared" si="1983"/>
        <v>0</v>
      </c>
      <c r="BV226" s="23">
        <f t="shared" si="1983"/>
        <v>449.27999999999884</v>
      </c>
      <c r="BW226" s="23">
        <f t="shared" si="1983"/>
        <v>3.637978807091713E-12</v>
      </c>
      <c r="BX226" s="23">
        <f t="shared" si="1983"/>
        <v>23.999999999996362</v>
      </c>
      <c r="BY226" s="23">
        <f t="shared" si="1983"/>
        <v>0</v>
      </c>
      <c r="BZ226" s="23">
        <f t="shared" si="1983"/>
        <v>421.58000000000175</v>
      </c>
      <c r="CA226" s="23">
        <f t="shared" si="1983"/>
        <v>3.637978807091713E-12</v>
      </c>
      <c r="CB226" s="23">
        <f t="shared" si="1983"/>
        <v>-4719.93</v>
      </c>
      <c r="CC226" s="23">
        <f t="shared" si="1983"/>
        <v>0</v>
      </c>
      <c r="CD226" s="23">
        <f t="shared" si="1983"/>
        <v>-2839.489999999998</v>
      </c>
      <c r="CE226" s="23">
        <f t="shared" si="1983"/>
        <v>0</v>
      </c>
      <c r="CF226" s="23">
        <f t="shared" si="1983"/>
        <v>7605.9899999999961</v>
      </c>
      <c r="CG226" s="23">
        <f t="shared" si="1983"/>
        <v>0</v>
      </c>
      <c r="CH226" s="23">
        <f t="shared" si="1983"/>
        <v>-9073.1499999999942</v>
      </c>
      <c r="CI226" s="23">
        <f t="shared" si="1983"/>
        <v>0</v>
      </c>
      <c r="CJ226" s="23">
        <f t="shared" si="1983"/>
        <v>-1307.5400000000011</v>
      </c>
      <c r="CK226" s="24">
        <f t="shared" si="1983"/>
        <v>0</v>
      </c>
      <c r="CL226" s="23">
        <f t="shared" si="1983"/>
        <v>258.51999999999725</v>
      </c>
      <c r="CM226" s="24">
        <f t="shared" si="1983"/>
        <v>0</v>
      </c>
      <c r="CN226" s="24">
        <f t="shared" si="1983"/>
        <v>0</v>
      </c>
      <c r="CO226" s="24">
        <f t="shared" si="1983"/>
        <v>0</v>
      </c>
      <c r="CP226" s="24">
        <f t="shared" si="1983"/>
        <v>0</v>
      </c>
      <c r="CQ226" s="24">
        <f t="shared" si="1983"/>
        <v>0</v>
      </c>
      <c r="CR226" s="24">
        <f t="shared" si="1983"/>
        <v>0</v>
      </c>
      <c r="CS226" s="24">
        <f t="shared" si="1983"/>
        <v>0</v>
      </c>
      <c r="CT226" s="24">
        <f t="shared" si="1983"/>
        <v>0</v>
      </c>
      <c r="CU226" s="24">
        <f t="shared" ref="CU226:DB226" si="1984">CU139-CU67-CT139+CU141-CT141</f>
        <v>0</v>
      </c>
      <c r="CV226" s="24">
        <f t="shared" si="1984"/>
        <v>0</v>
      </c>
      <c r="CW226" s="24">
        <f t="shared" si="1984"/>
        <v>0</v>
      </c>
      <c r="CX226" s="24">
        <f t="shared" si="1984"/>
        <v>0</v>
      </c>
      <c r="CY226" s="24">
        <f t="shared" si="1984"/>
        <v>0</v>
      </c>
      <c r="CZ226" s="24">
        <f t="shared" si="1984"/>
        <v>0</v>
      </c>
      <c r="DA226" s="24">
        <f t="shared" si="1984"/>
        <v>-1.4551915228366852E-11</v>
      </c>
      <c r="DB226" s="24">
        <f t="shared" si="1984"/>
        <v>2.9103830456733704E-11</v>
      </c>
      <c r="DE226" s="123"/>
      <c r="DF226" s="23">
        <v>0</v>
      </c>
    </row>
    <row r="227" spans="1:110" s="23" customFormat="1" x14ac:dyDescent="0.2">
      <c r="AB227" s="24"/>
      <c r="AC227" s="24"/>
      <c r="AD227" s="24"/>
      <c r="AE227" s="24"/>
      <c r="CK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23"/>
    </row>
    <row r="228" spans="1:110" s="23" customFormat="1" x14ac:dyDescent="0.2">
      <c r="A228" s="23" t="s">
        <v>442</v>
      </c>
      <c r="C228" s="23">
        <f t="shared" ref="C228" si="1985">B180</f>
        <v>0</v>
      </c>
      <c r="D228" s="23">
        <f t="shared" ref="D228" si="1986">C180</f>
        <v>0</v>
      </c>
      <c r="E228" s="23">
        <f>D180</f>
        <v>0</v>
      </c>
      <c r="F228" s="23">
        <f t="shared" ref="F228" si="1987">E180</f>
        <v>7.0000000000000001E-3</v>
      </c>
      <c r="G228" s="23">
        <f t="shared" ref="G228" si="1988">F180</f>
        <v>5.9962000000000001E-3</v>
      </c>
      <c r="H228" s="23">
        <f t="shared" ref="H228" si="1989">G180</f>
        <v>0.26700000000000002</v>
      </c>
      <c r="I228" s="23">
        <f t="shared" ref="I228" si="1990">H180</f>
        <v>49.704599999999999</v>
      </c>
      <c r="J228" s="23">
        <f>I180</f>
        <v>245.33600000000001</v>
      </c>
      <c r="K228" s="23">
        <f>J180</f>
        <v>558.54690000000005</v>
      </c>
      <c r="L228" s="23">
        <f t="shared" ref="L228" si="1991">K180</f>
        <v>1165.3900000000001</v>
      </c>
      <c r="M228" s="23">
        <f t="shared" ref="M228" si="1992">L180</f>
        <v>964.32</v>
      </c>
      <c r="N228" s="23">
        <f t="shared" ref="N228" si="1993">M180</f>
        <v>3249.8</v>
      </c>
      <c r="O228" s="23">
        <f t="shared" ref="O228" si="1994">N180</f>
        <v>1730.4499999999998</v>
      </c>
      <c r="P228" s="23">
        <f t="shared" ref="P228" si="1995">O180</f>
        <v>935.94</v>
      </c>
      <c r="Q228" s="23">
        <f t="shared" ref="Q228" si="1996">P180</f>
        <v>1213.54</v>
      </c>
      <c r="R228" s="23">
        <f t="shared" ref="R228" si="1997">Q180</f>
        <v>868.75</v>
      </c>
      <c r="S228" s="23">
        <f t="shared" ref="S228" si="1998">R180</f>
        <v>768.49</v>
      </c>
      <c r="T228" s="23">
        <f t="shared" ref="T228" si="1999">S180</f>
        <v>856.61</v>
      </c>
      <c r="U228" s="23">
        <f t="shared" ref="U228" si="2000">T180</f>
        <v>918.59</v>
      </c>
      <c r="V228" s="23">
        <f t="shared" ref="V228" si="2001">U180</f>
        <v>1982.1</v>
      </c>
      <c r="W228" s="23">
        <f t="shared" ref="W228:AA228" si="2002">V180</f>
        <v>1627.4099999999999</v>
      </c>
      <c r="X228" s="23">
        <f t="shared" si="2002"/>
        <v>2547.92</v>
      </c>
      <c r="Y228" s="23">
        <f t="shared" si="2002"/>
        <v>2485.19</v>
      </c>
      <c r="Z228" s="23">
        <f t="shared" si="2002"/>
        <v>7585.26</v>
      </c>
      <c r="AA228" s="23">
        <f t="shared" si="2002"/>
        <v>7157.58</v>
      </c>
      <c r="AB228" s="24">
        <f t="shared" ref="AB228" si="2003">AA180</f>
        <v>8417.67</v>
      </c>
      <c r="AC228" s="24">
        <f t="shared" ref="AC228" si="2004">AB180</f>
        <v>-7627.1630239562119</v>
      </c>
      <c r="AD228" s="24">
        <f t="shared" ref="AD228" si="2005">AC180</f>
        <v>-26432.131190946635</v>
      </c>
      <c r="AE228" s="24">
        <f t="shared" ref="AE228" si="2006">AD180</f>
        <v>-32553.934026409472</v>
      </c>
      <c r="AI228" s="23">
        <f t="shared" ref="AI228" si="2007">AH180</f>
        <v>0</v>
      </c>
      <c r="AJ228" s="23">
        <f t="shared" ref="AJ228" si="2008">AI180</f>
        <v>0</v>
      </c>
      <c r="AK228" s="23">
        <f t="shared" ref="AK228" si="2009">AJ180</f>
        <v>2497.4699999999998</v>
      </c>
      <c r="AL228" s="23">
        <f t="shared" ref="AL228" si="2010">AK180</f>
        <v>1518.4350317763465</v>
      </c>
      <c r="AM228" s="23">
        <f t="shared" ref="AM228" si="2011">AL180</f>
        <v>1730.4499999999998</v>
      </c>
      <c r="AN228" s="23">
        <f t="shared" ref="AN228" si="2012">AM180</f>
        <v>595.87084499213847</v>
      </c>
      <c r="AO228" s="23">
        <f t="shared" ref="AO228" si="2013">AN180</f>
        <v>1470.43</v>
      </c>
      <c r="AP228" s="23">
        <f t="shared" ref="AP228" si="2014">AO180</f>
        <v>1142.2151085382084</v>
      </c>
      <c r="AQ228" s="23">
        <f t="shared" ref="AQ228" si="2015">AP180</f>
        <v>935.94</v>
      </c>
      <c r="AR228" s="23">
        <f t="shared" ref="AR228" si="2016">AQ180</f>
        <v>509.43673063742244</v>
      </c>
      <c r="AS228" s="23">
        <f t="shared" ref="AS228" si="2017">AR180</f>
        <v>1849.6599999999999</v>
      </c>
      <c r="AT228" s="23">
        <f t="shared" ref="AT228" si="2018">AS180</f>
        <v>1392.6867007398855</v>
      </c>
      <c r="AU228" s="23">
        <f t="shared" ref="AU228" si="2019">AT180</f>
        <v>1213.54</v>
      </c>
      <c r="AV228" s="23">
        <f t="shared" ref="AV228" si="2020">AU180</f>
        <v>1202.3859907531983</v>
      </c>
      <c r="AW228" s="23">
        <f t="shared" ref="AW228" si="2021">AV180</f>
        <v>764.68999999999994</v>
      </c>
      <c r="AX228" s="23">
        <f t="shared" ref="AX228" si="2022">AW180</f>
        <v>596.84085145453389</v>
      </c>
      <c r="AY228" s="23">
        <f t="shared" ref="AY228" si="2023">AX180</f>
        <v>868.75</v>
      </c>
      <c r="AZ228" s="23">
        <f t="shared" ref="AZ228" si="2024">AY180</f>
        <v>2959.6518809573327</v>
      </c>
      <c r="BA228" s="23">
        <f t="shared" ref="BA228" si="2025">AZ180</f>
        <v>2237.41</v>
      </c>
      <c r="BB228" s="23">
        <f t="shared" ref="BB228" si="2026">BA180</f>
        <v>1648.3019846354962</v>
      </c>
      <c r="BC228" s="23">
        <f t="shared" ref="BC228" si="2027">BB180</f>
        <v>768.49</v>
      </c>
      <c r="BD228" s="23">
        <f t="shared" ref="BD228" si="2028">BC180</f>
        <v>578.59963343581944</v>
      </c>
      <c r="BE228" s="23">
        <f t="shared" ref="BE228" si="2029">BD180</f>
        <v>976.11999999999989</v>
      </c>
      <c r="BF228" s="23">
        <f t="shared" ref="BF228" si="2030">BE180</f>
        <v>-264.18370131757388</v>
      </c>
      <c r="BG228" s="23">
        <f t="shared" ref="BG228" si="2031">BF180</f>
        <v>856.61</v>
      </c>
      <c r="BH228" s="23">
        <f t="shared" ref="BH228" si="2032">BG180</f>
        <v>830.63012267627892</v>
      </c>
      <c r="BI228" s="23">
        <f t="shared" ref="BI228" si="2033">BH180</f>
        <v>1195.01</v>
      </c>
      <c r="BJ228" s="23">
        <f t="shared" ref="BJ228" si="2034">BI180</f>
        <v>217.46336996883292</v>
      </c>
      <c r="BK228" s="23">
        <f t="shared" ref="BK228" si="2035">BJ180</f>
        <v>918.59</v>
      </c>
      <c r="BL228" s="23">
        <f t="shared" ref="BL228" si="2036">BK180</f>
        <v>105.21559276494656</v>
      </c>
      <c r="BM228" s="23">
        <f t="shared" ref="BM228" si="2037">BL180</f>
        <v>1163</v>
      </c>
      <c r="BN228" s="23">
        <f t="shared" ref="BN228" si="2038">BM180</f>
        <v>-172.67049375474187</v>
      </c>
      <c r="BO228" s="23">
        <f t="shared" ref="BO228" si="2039">BN180</f>
        <v>1982.1</v>
      </c>
      <c r="BP228" s="23">
        <f t="shared" ref="BP228" si="2040">BO180</f>
        <v>2130.2664848690024</v>
      </c>
      <c r="BQ228" s="23">
        <f t="shared" ref="BQ228" si="2041">BP180</f>
        <v>1618.38</v>
      </c>
      <c r="BR228" s="23">
        <f t="shared" ref="BR228" si="2042">BQ180</f>
        <v>2530.7751515831928</v>
      </c>
      <c r="BS228" s="23">
        <f t="shared" ref="BS228" si="2043">BR180</f>
        <v>1627.4099999999999</v>
      </c>
      <c r="BT228" s="23">
        <f t="shared" ref="BT228" si="2044">BS180</f>
        <v>1597.3957795280576</v>
      </c>
      <c r="BU228" s="23">
        <f t="shared" ref="BU228" si="2045">BT180</f>
        <v>1663.05</v>
      </c>
      <c r="BV228" s="23">
        <f t="shared" ref="BV228" si="2046">BU180</f>
        <v>1543.1134105631925</v>
      </c>
      <c r="BW228" s="23">
        <f t="shared" ref="BW228" si="2047">BV180</f>
        <v>2547.92</v>
      </c>
      <c r="BX228" s="23">
        <f t="shared" ref="BX228" si="2048">BW180</f>
        <v>4876.8761716132994</v>
      </c>
      <c r="BY228" s="23">
        <f t="shared" ref="BY228" si="2049">BX180</f>
        <v>2039.04</v>
      </c>
      <c r="BZ228" s="23">
        <f t="shared" ref="BZ228" si="2050">BY180</f>
        <v>967.29350885960048</v>
      </c>
      <c r="CA228" s="23">
        <f t="shared" ref="CA228" si="2051">BZ180</f>
        <v>2485.19</v>
      </c>
      <c r="CB228" s="23">
        <f t="shared" ref="CB228" si="2052">CA180</f>
        <v>10385.486837003506</v>
      </c>
      <c r="CC228" s="23">
        <f t="shared" ref="CC228" si="2053">CB180</f>
        <v>2865.42</v>
      </c>
      <c r="CD228" s="23">
        <f t="shared" ref="CD228" si="2054">CC180</f>
        <v>5602.7693180289079</v>
      </c>
      <c r="CE228" s="23">
        <f t="shared" ref="CE228" si="2055">CD180</f>
        <v>7585.26</v>
      </c>
      <c r="CF228" s="23">
        <f t="shared" ref="CF228" si="2056">CE180</f>
        <v>10043.429326892507</v>
      </c>
      <c r="CG228" s="23">
        <f t="shared" ref="CG228" si="2057">CF180</f>
        <v>6442.26</v>
      </c>
      <c r="CH228" s="23">
        <f t="shared" ref="CH228:CL228" si="2058">CG180</f>
        <v>9118.1217399511843</v>
      </c>
      <c r="CI228" s="23">
        <f t="shared" si="2058"/>
        <v>7157.58</v>
      </c>
      <c r="CJ228" s="23">
        <f t="shared" si="2058"/>
        <v>11733.830787538458</v>
      </c>
      <c r="CK228" s="24">
        <f t="shared" ref="CK228" si="2059">CJ180</f>
        <v>10341.210000000001</v>
      </c>
      <c r="CL228" s="23">
        <f t="shared" si="2058"/>
        <v>8348.5139896637338</v>
      </c>
      <c r="CM228" s="24">
        <f t="shared" ref="CM228" si="2060">CL180</f>
        <v>8417.67</v>
      </c>
      <c r="CN228" s="24">
        <f t="shared" ref="CN228" si="2061">CM180</f>
        <v>4043.4575548966295</v>
      </c>
      <c r="CO228" s="24">
        <f t="shared" ref="CO228" si="2062">CN180</f>
        <v>1919.8284495288162</v>
      </c>
      <c r="CP228" s="24">
        <f t="shared" ref="CP228" si="2063">CO180</f>
        <v>-1298.1719209292705</v>
      </c>
      <c r="CQ228" s="24">
        <f t="shared" ref="CQ228" si="2064">CP180</f>
        <v>-7627.1630239562119</v>
      </c>
      <c r="CR228" s="24">
        <f t="shared" ref="CR228" si="2065">CQ180</f>
        <v>-9175.5737971694525</v>
      </c>
      <c r="CS228" s="24">
        <f t="shared" ref="CS228" si="2066">CR180</f>
        <v>-13065.492241207648</v>
      </c>
      <c r="CT228" s="24">
        <f t="shared" ref="CT228" si="2067">CS180</f>
        <v>-17593.618681403765</v>
      </c>
      <c r="CU228" s="24">
        <f t="shared" ref="CU228" si="2068">CT180</f>
        <v>-26432.131190946635</v>
      </c>
      <c r="CV228" s="24">
        <f t="shared" ref="CV228" si="2069">CU180</f>
        <v>-22447.422290601109</v>
      </c>
      <c r="CW228" s="24">
        <f t="shared" ref="CW228" si="2070">CV180</f>
        <v>-22948.981031344345</v>
      </c>
      <c r="CX228" s="24">
        <f t="shared" ref="CX228" si="2071">CW180</f>
        <v>-25877.62918548247</v>
      </c>
      <c r="CY228" s="24">
        <f t="shared" ref="CY228" si="2072">CX180</f>
        <v>-32553.934026409472</v>
      </c>
      <c r="CZ228" s="24">
        <f t="shared" ref="CZ228" si="2073">CY180</f>
        <v>-26855.097708604695</v>
      </c>
      <c r="DA228" s="24">
        <f t="shared" ref="DA228" si="2074">CZ180</f>
        <v>-27694.062333626858</v>
      </c>
      <c r="DB228" s="24">
        <f t="shared" ref="DB228" si="2075">DA180</f>
        <v>-28249.166312295682</v>
      </c>
      <c r="DE228" s="123"/>
      <c r="DF228" s="23">
        <v>0</v>
      </c>
    </row>
    <row r="229" spans="1:110" s="23" customFormat="1" x14ac:dyDescent="0.2">
      <c r="A229" s="23" t="s">
        <v>443</v>
      </c>
      <c r="C229" s="23">
        <f t="shared" ref="C229:W229" si="2076">C228+C224+C220+C218</f>
        <v>0</v>
      </c>
      <c r="D229" s="23">
        <f t="shared" si="2076"/>
        <v>0</v>
      </c>
      <c r="E229" s="23">
        <f t="shared" si="2076"/>
        <v>6.9999999999998952E-3</v>
      </c>
      <c r="F229" s="23">
        <f t="shared" si="2076"/>
        <v>5.9962000000000114E-3</v>
      </c>
      <c r="G229" s="23">
        <f t="shared" si="2076"/>
        <v>0.26699999999999902</v>
      </c>
      <c r="H229" s="23">
        <f t="shared" si="2076"/>
        <v>49.704600000000028</v>
      </c>
      <c r="I229" s="23">
        <f t="shared" si="2076"/>
        <v>245.33599999999953</v>
      </c>
      <c r="J229" s="23">
        <f>J228+J224+J220+J218</f>
        <v>558.54689999999994</v>
      </c>
      <c r="K229" s="23">
        <f>K228+K224+K220+K218</f>
        <v>1165.389999999999</v>
      </c>
      <c r="L229" s="23">
        <f>L228+L224+L220+L218</f>
        <v>964.32000000000062</v>
      </c>
      <c r="M229" s="23">
        <f>M228+M224+M220+M218</f>
        <v>3249.8000000000061</v>
      </c>
      <c r="N229" s="23">
        <f t="shared" si="2076"/>
        <v>1730.4500000000071</v>
      </c>
      <c r="O229" s="23">
        <f t="shared" si="2076"/>
        <v>935.93999999998368</v>
      </c>
      <c r="P229" s="23">
        <f t="shared" si="2076"/>
        <v>1213.5400000000045</v>
      </c>
      <c r="Q229" s="23">
        <f t="shared" si="2076"/>
        <v>868.75000000000364</v>
      </c>
      <c r="R229" s="23">
        <f t="shared" si="2076"/>
        <v>768.48999999999523</v>
      </c>
      <c r="S229" s="23">
        <f t="shared" si="2076"/>
        <v>856.60999999999217</v>
      </c>
      <c r="T229" s="23">
        <f t="shared" si="2076"/>
        <v>918.5900000000056</v>
      </c>
      <c r="U229" s="23">
        <f t="shared" si="2076"/>
        <v>1982.0999999999904</v>
      </c>
      <c r="V229" s="23">
        <f t="shared" si="2076"/>
        <v>1627.4099999999976</v>
      </c>
      <c r="W229" s="23">
        <f t="shared" si="2076"/>
        <v>2547.920000000011</v>
      </c>
      <c r="X229" s="23">
        <f t="shared" ref="X229:Y229" si="2077">X228+X224+X220+X218</f>
        <v>2485.1900000000041</v>
      </c>
      <c r="Y229" s="23">
        <f t="shared" si="2077"/>
        <v>7585.2599999999929</v>
      </c>
      <c r="Z229" s="23">
        <f t="shared" ref="Z229:AA229" si="2078">Z228+Z224+Z220+Z218</f>
        <v>7157.5800000000054</v>
      </c>
      <c r="AA229" s="23">
        <f t="shared" ref="AA229" si="2079">AA228+AA224+AA220+AA218</f>
        <v>8417.6699999999946</v>
      </c>
      <c r="AB229" s="24">
        <f t="shared" ref="AB229:AD229" si="2080">AB228+AB224+AB220+AB218</f>
        <v>-7627.1630239562255</v>
      </c>
      <c r="AC229" s="24">
        <f t="shared" si="2080"/>
        <v>-26432.131190946649</v>
      </c>
      <c r="AD229" s="24">
        <f t="shared" si="2080"/>
        <v>-32553.934026409501</v>
      </c>
      <c r="AE229" s="24">
        <f t="shared" ref="AE229" si="2081">AE228+AE224+AE220+AE218</f>
        <v>-36569.349321641799</v>
      </c>
      <c r="AI229" s="23">
        <f t="shared" ref="AI229" si="2082">AI228+AI224+AI220+AI218</f>
        <v>0</v>
      </c>
      <c r="AJ229" s="23">
        <f t="shared" ref="AJ229:AL229" si="2083">AJ228+AJ224+AJ220+AJ218</f>
        <v>2497.4699999999921</v>
      </c>
      <c r="AK229" s="23">
        <f t="shared" si="2083"/>
        <v>1518.4350317763465</v>
      </c>
      <c r="AL229" s="23">
        <f t="shared" si="2083"/>
        <v>1730.4500000000007</v>
      </c>
      <c r="AM229" s="23">
        <f t="shared" ref="AM229" si="2084">AM228+AM224+AM220+AM218</f>
        <v>595.87084499213847</v>
      </c>
      <c r="AN229" s="23">
        <f t="shared" ref="AN229:CD229" si="2085">AN228+AN224+AN220+AN218</f>
        <v>1470.4300000000067</v>
      </c>
      <c r="AO229" s="23">
        <f t="shared" si="2085"/>
        <v>1142.2151085382084</v>
      </c>
      <c r="AP229" s="23">
        <f t="shared" si="2085"/>
        <v>935.93999999999551</v>
      </c>
      <c r="AQ229" s="23">
        <f t="shared" si="2085"/>
        <v>509.43673063742244</v>
      </c>
      <c r="AR229" s="23">
        <f t="shared" si="2085"/>
        <v>1849.6600000000028</v>
      </c>
      <c r="AS229" s="23">
        <f t="shared" si="2085"/>
        <v>1392.6867007398855</v>
      </c>
      <c r="AT229" s="23">
        <f t="shared" si="2085"/>
        <v>1213.5399999999981</v>
      </c>
      <c r="AU229" s="23">
        <f t="shared" si="2085"/>
        <v>1202.3859907531983</v>
      </c>
      <c r="AV229" s="23">
        <f t="shared" si="2085"/>
        <v>764.68999999999994</v>
      </c>
      <c r="AW229" s="23">
        <f t="shared" si="2085"/>
        <v>596.84085145453389</v>
      </c>
      <c r="AX229" s="23">
        <f t="shared" si="2085"/>
        <v>868.75000000000637</v>
      </c>
      <c r="AY229" s="23">
        <f t="shared" si="2085"/>
        <v>2959.6518809573327</v>
      </c>
      <c r="AZ229" s="23">
        <f t="shared" si="2085"/>
        <v>2237.4099999999889</v>
      </c>
      <c r="BA229" s="23">
        <f t="shared" si="2085"/>
        <v>1648.3019846354962</v>
      </c>
      <c r="BB229" s="23">
        <f t="shared" si="2085"/>
        <v>768.48999999999978</v>
      </c>
      <c r="BC229" s="23">
        <f t="shared" si="2085"/>
        <v>578.59963343581944</v>
      </c>
      <c r="BD229" s="23">
        <f t="shared" si="2085"/>
        <v>976.12000000000876</v>
      </c>
      <c r="BE229" s="23">
        <f t="shared" si="2085"/>
        <v>-264.18370131757388</v>
      </c>
      <c r="BF229" s="23">
        <f t="shared" si="2085"/>
        <v>856.60999999999819</v>
      </c>
      <c r="BG229" s="23">
        <f t="shared" si="2085"/>
        <v>830.63012267627892</v>
      </c>
      <c r="BH229" s="23">
        <f t="shared" si="2085"/>
        <v>1195.0100000000079</v>
      </c>
      <c r="BI229" s="23">
        <f t="shared" si="2085"/>
        <v>217.46336996883292</v>
      </c>
      <c r="BJ229" s="23">
        <f t="shared" si="2085"/>
        <v>918.58999999998105</v>
      </c>
      <c r="BK229" s="23">
        <f t="shared" si="2085"/>
        <v>105.21559276494656</v>
      </c>
      <c r="BL229" s="23">
        <f t="shared" si="2085"/>
        <v>1163.0000000000036</v>
      </c>
      <c r="BM229" s="23">
        <f t="shared" si="2085"/>
        <v>-172.67049375474187</v>
      </c>
      <c r="BN229" s="23">
        <f t="shared" si="2085"/>
        <v>1982.1000000000022</v>
      </c>
      <c r="BO229" s="23">
        <f t="shared" si="2085"/>
        <v>2130.2664848690024</v>
      </c>
      <c r="BP229" s="23">
        <f t="shared" si="2085"/>
        <v>1618.3800000000065</v>
      </c>
      <c r="BQ229" s="23">
        <f t="shared" si="2085"/>
        <v>2530.7751515831928</v>
      </c>
      <c r="BR229" s="23">
        <f t="shared" si="2085"/>
        <v>1627.4099999999867</v>
      </c>
      <c r="BS229" s="23">
        <f t="shared" si="2085"/>
        <v>1597.3957795280576</v>
      </c>
      <c r="BT229" s="23">
        <f t="shared" si="2085"/>
        <v>1663.0500000000002</v>
      </c>
      <c r="BU229" s="23">
        <f t="shared" si="2085"/>
        <v>1543.1134105631925</v>
      </c>
      <c r="BV229" s="23">
        <f t="shared" si="2085"/>
        <v>2547.9200000000083</v>
      </c>
      <c r="BW229" s="23">
        <f t="shared" si="2085"/>
        <v>4876.8761716132994</v>
      </c>
      <c r="BX229" s="23">
        <f t="shared" si="2085"/>
        <v>2039.0399999999927</v>
      </c>
      <c r="BY229" s="23">
        <f t="shared" si="2085"/>
        <v>967.29350885960048</v>
      </c>
      <c r="BZ229" s="23">
        <f t="shared" si="2085"/>
        <v>2485.1900000000014</v>
      </c>
      <c r="CA229" s="23">
        <f t="shared" si="2085"/>
        <v>10385.486837003506</v>
      </c>
      <c r="CB229" s="23">
        <f t="shared" si="2085"/>
        <v>2865.4200000000128</v>
      </c>
      <c r="CC229" s="23">
        <f t="shared" si="2085"/>
        <v>5602.7693180289079</v>
      </c>
      <c r="CD229" s="23">
        <f t="shared" si="2085"/>
        <v>7585.2599999999893</v>
      </c>
      <c r="CE229" s="23">
        <f t="shared" ref="CE229:CF229" si="2086">CE228+CE224+CE220+CE218</f>
        <v>10043.429326892507</v>
      </c>
      <c r="CF229" s="23">
        <f t="shared" si="2086"/>
        <v>6442.2600000000111</v>
      </c>
      <c r="CG229" s="23">
        <f t="shared" ref="CG229:CH229" si="2087">CG228+CG224+CG220+CG218</f>
        <v>9118.1217399511843</v>
      </c>
      <c r="CH229" s="23">
        <f t="shared" si="2087"/>
        <v>7157.5800000000172</v>
      </c>
      <c r="CI229" s="23">
        <f t="shared" ref="CI229:CJ229" si="2088">CI228+CI224+CI220+CI218</f>
        <v>11733.830787538458</v>
      </c>
      <c r="CJ229" s="23">
        <f t="shared" si="2088"/>
        <v>10341.209999999992</v>
      </c>
      <c r="CK229" s="24">
        <f t="shared" ref="CK229:DB229" si="2089">CK228+CK224+CK220+CK218</f>
        <v>8348.5139896637338</v>
      </c>
      <c r="CL229" s="23">
        <f t="shared" si="2089"/>
        <v>8417.6699999999983</v>
      </c>
      <c r="CM229" s="24">
        <f t="shared" si="2089"/>
        <v>4043.4575548966295</v>
      </c>
      <c r="CN229" s="24">
        <f t="shared" si="2089"/>
        <v>1919.8284495288162</v>
      </c>
      <c r="CO229" s="24">
        <f t="shared" si="2089"/>
        <v>-1298.1719209292705</v>
      </c>
      <c r="CP229" s="24">
        <f t="shared" si="2089"/>
        <v>-7627.1630239562119</v>
      </c>
      <c r="CQ229" s="24">
        <f t="shared" si="2089"/>
        <v>-9175.5737971694525</v>
      </c>
      <c r="CR229" s="24">
        <f t="shared" si="2089"/>
        <v>-13065.492241207648</v>
      </c>
      <c r="CS229" s="24">
        <f t="shared" si="2089"/>
        <v>-17593.618681403765</v>
      </c>
      <c r="CT229" s="24">
        <f t="shared" si="2089"/>
        <v>-26432.131190946635</v>
      </c>
      <c r="CU229" s="24">
        <f t="shared" si="2089"/>
        <v>-22447.422290601109</v>
      </c>
      <c r="CV229" s="24">
        <f t="shared" si="2089"/>
        <v>-22948.981031344345</v>
      </c>
      <c r="CW229" s="24">
        <f t="shared" si="2089"/>
        <v>-25877.62918548247</v>
      </c>
      <c r="CX229" s="24">
        <f t="shared" si="2089"/>
        <v>-32553.934026409472</v>
      </c>
      <c r="CY229" s="24">
        <f t="shared" si="2089"/>
        <v>-26855.097708604695</v>
      </c>
      <c r="CZ229" s="24">
        <f t="shared" si="2089"/>
        <v>-27694.062333626858</v>
      </c>
      <c r="DA229" s="24">
        <f t="shared" si="2089"/>
        <v>-28249.166312295682</v>
      </c>
      <c r="DB229" s="24">
        <f t="shared" si="2089"/>
        <v>-36569.349321641821</v>
      </c>
      <c r="DE229" s="123"/>
      <c r="DF229" s="23">
        <v>0</v>
      </c>
    </row>
    <row r="230" spans="1:110" s="28" customFormat="1" x14ac:dyDescent="0.2">
      <c r="A230" s="28" t="s">
        <v>444</v>
      </c>
      <c r="C230" s="28">
        <f t="shared" ref="C230:W230" si="2090">C229-C180</f>
        <v>0</v>
      </c>
      <c r="D230" s="28">
        <f t="shared" si="2090"/>
        <v>0</v>
      </c>
      <c r="E230" s="28">
        <f t="shared" si="2090"/>
        <v>-1.0495077029659683E-16</v>
      </c>
      <c r="F230" s="28">
        <f t="shared" si="2090"/>
        <v>1.1275702593849246E-17</v>
      </c>
      <c r="G230" s="28">
        <f t="shared" si="2090"/>
        <v>-9.9920072216264089E-16</v>
      </c>
      <c r="H230" s="28">
        <f t="shared" si="2090"/>
        <v>0</v>
      </c>
      <c r="I230" s="28">
        <f t="shared" si="2090"/>
        <v>-4.8316906031686813E-13</v>
      </c>
      <c r="J230" s="28">
        <f>J229-J180</f>
        <v>0</v>
      </c>
      <c r="K230" s="28">
        <f t="shared" si="2090"/>
        <v>0</v>
      </c>
      <c r="L230" s="28">
        <f t="shared" si="2090"/>
        <v>0</v>
      </c>
      <c r="M230" s="28">
        <f t="shared" si="2090"/>
        <v>5.9117155615240335E-12</v>
      </c>
      <c r="N230" s="28">
        <f t="shared" si="2090"/>
        <v>7.2759576141834259E-12</v>
      </c>
      <c r="O230" s="28">
        <f t="shared" si="2090"/>
        <v>-1.6370904631912708E-11</v>
      </c>
      <c r="P230" s="28">
        <f t="shared" si="2090"/>
        <v>4.5474735088646412E-12</v>
      </c>
      <c r="Q230" s="28">
        <f t="shared" si="2090"/>
        <v>3.637978807091713E-12</v>
      </c>
      <c r="R230" s="28">
        <f t="shared" si="2090"/>
        <v>-4.7748471843078732E-12</v>
      </c>
      <c r="S230" s="28">
        <f t="shared" si="2090"/>
        <v>-7.8443918027915061E-12</v>
      </c>
      <c r="T230" s="28">
        <f t="shared" si="2090"/>
        <v>5.5706550483591855E-12</v>
      </c>
      <c r="U230" s="28">
        <f t="shared" si="2090"/>
        <v>-9.5496943686157465E-12</v>
      </c>
      <c r="V230" s="28">
        <f t="shared" si="2090"/>
        <v>-2.2737367544323206E-12</v>
      </c>
      <c r="W230" s="28">
        <f t="shared" si="2090"/>
        <v>1.0913936421275139E-11</v>
      </c>
      <c r="X230" s="28">
        <f t="shared" ref="X230:Y230" si="2091">X229-X180</f>
        <v>4.0927261579781771E-12</v>
      </c>
      <c r="Y230" s="28">
        <f t="shared" si="2091"/>
        <v>-7.2759576141834259E-12</v>
      </c>
      <c r="Z230" s="28">
        <f t="shared" ref="Z230:AA230" si="2092">Z229-Z180</f>
        <v>0</v>
      </c>
      <c r="AA230" s="28">
        <f t="shared" ref="AA230" si="2093">AA229-AA180</f>
        <v>0</v>
      </c>
      <c r="AB230" s="30">
        <f t="shared" ref="AB230:AD230" si="2094">AB229-AB180</f>
        <v>-1.3642420526593924E-11</v>
      </c>
      <c r="AC230" s="30">
        <f t="shared" si="2094"/>
        <v>0</v>
      </c>
      <c r="AD230" s="30">
        <f t="shared" si="2094"/>
        <v>-2.9103830456733704E-11</v>
      </c>
      <c r="AE230" s="30">
        <f t="shared" ref="AE230" si="2095">AE229-AE180</f>
        <v>0</v>
      </c>
      <c r="AI230" s="28">
        <f t="shared" ref="AI230" si="2096">AI229-AI180</f>
        <v>0</v>
      </c>
      <c r="AJ230" s="28">
        <f t="shared" ref="AJ230:AL230" si="2097">AJ229-AJ180</f>
        <v>-7.73070496506989E-12</v>
      </c>
      <c r="AK230" s="28">
        <f t="shared" si="2097"/>
        <v>0</v>
      </c>
      <c r="AL230" s="28">
        <f t="shared" si="2097"/>
        <v>0</v>
      </c>
      <c r="AM230" s="28">
        <f t="shared" ref="AM230" si="2098">AM229-AM180</f>
        <v>0</v>
      </c>
      <c r="AN230" s="28">
        <f t="shared" ref="AN230:CD230" si="2099">AN229-AN180</f>
        <v>6.5938365878537297E-12</v>
      </c>
      <c r="AO230" s="28">
        <f t="shared" si="2099"/>
        <v>0</v>
      </c>
      <c r="AP230" s="28">
        <f t="shared" si="2099"/>
        <v>-4.5474735088646412E-12</v>
      </c>
      <c r="AQ230" s="28">
        <f t="shared" si="2099"/>
        <v>0</v>
      </c>
      <c r="AR230" s="28">
        <f t="shared" si="2099"/>
        <v>2.9558577807620168E-12</v>
      </c>
      <c r="AS230" s="28">
        <f t="shared" si="2099"/>
        <v>0</v>
      </c>
      <c r="AT230" s="28">
        <f t="shared" si="2099"/>
        <v>-1.8189894035458565E-12</v>
      </c>
      <c r="AU230" s="28">
        <f t="shared" si="2099"/>
        <v>0</v>
      </c>
      <c r="AV230" s="28">
        <f t="shared" si="2099"/>
        <v>0</v>
      </c>
      <c r="AW230" s="28">
        <f t="shared" si="2099"/>
        <v>0</v>
      </c>
      <c r="AX230" s="28">
        <f t="shared" si="2099"/>
        <v>6.3664629124104977E-12</v>
      </c>
      <c r="AY230" s="28">
        <f t="shared" si="2099"/>
        <v>0</v>
      </c>
      <c r="AZ230" s="28">
        <f t="shared" si="2099"/>
        <v>-1.0913936421275139E-11</v>
      </c>
      <c r="BA230" s="28">
        <f t="shared" si="2099"/>
        <v>0</v>
      </c>
      <c r="BB230" s="28">
        <f t="shared" si="2099"/>
        <v>0</v>
      </c>
      <c r="BC230" s="28">
        <f t="shared" si="2099"/>
        <v>0</v>
      </c>
      <c r="BD230" s="28">
        <f t="shared" si="2099"/>
        <v>8.8675733422860503E-12</v>
      </c>
      <c r="BE230" s="28">
        <f t="shared" si="2099"/>
        <v>0</v>
      </c>
      <c r="BF230" s="28">
        <f t="shared" si="2099"/>
        <v>-1.8189894035458565E-12</v>
      </c>
      <c r="BG230" s="28">
        <f t="shared" si="2099"/>
        <v>0</v>
      </c>
      <c r="BH230" s="28">
        <f t="shared" si="2099"/>
        <v>7.9580786405131221E-12</v>
      </c>
      <c r="BI230" s="28">
        <f t="shared" si="2099"/>
        <v>0</v>
      </c>
      <c r="BJ230" s="28">
        <f t="shared" si="2099"/>
        <v>-1.8985701899509877E-11</v>
      </c>
      <c r="BK230" s="28">
        <f t="shared" si="2099"/>
        <v>0</v>
      </c>
      <c r="BL230" s="28">
        <f t="shared" si="2099"/>
        <v>3.637978807091713E-12</v>
      </c>
      <c r="BM230" s="28">
        <f t="shared" si="2099"/>
        <v>0</v>
      </c>
      <c r="BN230" s="28">
        <f t="shared" si="2099"/>
        <v>2.2737367544323206E-12</v>
      </c>
      <c r="BO230" s="28">
        <f t="shared" si="2099"/>
        <v>0</v>
      </c>
      <c r="BP230" s="28">
        <f t="shared" si="2099"/>
        <v>6.3664629124104977E-12</v>
      </c>
      <c r="BQ230" s="28">
        <f t="shared" si="2099"/>
        <v>0</v>
      </c>
      <c r="BR230" s="28">
        <f t="shared" si="2099"/>
        <v>-1.3187673175707459E-11</v>
      </c>
      <c r="BS230" s="28">
        <f t="shared" si="2099"/>
        <v>0</v>
      </c>
      <c r="BT230" s="28">
        <f t="shared" si="2099"/>
        <v>0</v>
      </c>
      <c r="BU230" s="28">
        <f t="shared" si="2099"/>
        <v>0</v>
      </c>
      <c r="BV230" s="28">
        <f t="shared" si="2099"/>
        <v>8.1854523159563541E-12</v>
      </c>
      <c r="BW230" s="28">
        <f t="shared" si="2099"/>
        <v>0</v>
      </c>
      <c r="BX230" s="28">
        <f t="shared" si="2099"/>
        <v>-7.2759576141834259E-12</v>
      </c>
      <c r="BY230" s="28">
        <f t="shared" si="2099"/>
        <v>0</v>
      </c>
      <c r="BZ230" s="28">
        <f t="shared" si="2099"/>
        <v>0</v>
      </c>
      <c r="CA230" s="28">
        <f t="shared" si="2099"/>
        <v>0</v>
      </c>
      <c r="CB230" s="28">
        <f t="shared" si="2099"/>
        <v>1.2732925824820995E-11</v>
      </c>
      <c r="CC230" s="28">
        <f t="shared" si="2099"/>
        <v>0</v>
      </c>
      <c r="CD230" s="28">
        <f t="shared" si="2099"/>
        <v>-1.0913936421275139E-11</v>
      </c>
      <c r="CE230" s="28">
        <f t="shared" ref="CE230:CF230" si="2100">CE229-CE180</f>
        <v>0</v>
      </c>
      <c r="CF230" s="28">
        <f t="shared" si="2100"/>
        <v>1.0913936421275139E-11</v>
      </c>
      <c r="CG230" s="28">
        <f t="shared" ref="CG230:CH230" si="2101">CG229-CG180</f>
        <v>0</v>
      </c>
      <c r="CH230" s="28">
        <f t="shared" si="2101"/>
        <v>1.7280399333685637E-11</v>
      </c>
      <c r="CI230" s="28">
        <f t="shared" ref="CI230:CJ230" si="2102">CI229-CI180</f>
        <v>0</v>
      </c>
      <c r="CJ230" s="28">
        <f t="shared" si="2102"/>
        <v>0</v>
      </c>
      <c r="CK230" s="30">
        <f t="shared" ref="CK230:DB230" si="2103">CK229-CK180</f>
        <v>0</v>
      </c>
      <c r="CL230" s="28">
        <f t="shared" si="2103"/>
        <v>0</v>
      </c>
      <c r="CM230" s="30">
        <f t="shared" si="2103"/>
        <v>0</v>
      </c>
      <c r="CN230" s="30">
        <f t="shared" si="2103"/>
        <v>0</v>
      </c>
      <c r="CO230" s="30">
        <f t="shared" si="2103"/>
        <v>0</v>
      </c>
      <c r="CP230" s="30">
        <f t="shared" si="2103"/>
        <v>0</v>
      </c>
      <c r="CQ230" s="30">
        <f t="shared" si="2103"/>
        <v>0</v>
      </c>
      <c r="CR230" s="30">
        <f t="shared" si="2103"/>
        <v>0</v>
      </c>
      <c r="CS230" s="30">
        <f t="shared" si="2103"/>
        <v>0</v>
      </c>
      <c r="CT230" s="30">
        <f t="shared" si="2103"/>
        <v>0</v>
      </c>
      <c r="CU230" s="30">
        <f t="shared" si="2103"/>
        <v>0</v>
      </c>
      <c r="CV230" s="30">
        <f t="shared" si="2103"/>
        <v>0</v>
      </c>
      <c r="CW230" s="30">
        <f t="shared" si="2103"/>
        <v>0</v>
      </c>
      <c r="CX230" s="30">
        <f t="shared" si="2103"/>
        <v>0</v>
      </c>
      <c r="CY230" s="30">
        <f t="shared" si="2103"/>
        <v>0</v>
      </c>
      <c r="CZ230" s="30">
        <f t="shared" si="2103"/>
        <v>0</v>
      </c>
      <c r="DA230" s="30">
        <f t="shared" si="2103"/>
        <v>0</v>
      </c>
      <c r="DB230" s="30">
        <f t="shared" si="2103"/>
        <v>0</v>
      </c>
      <c r="DE230" s="139"/>
      <c r="DF230" s="28">
        <v>0</v>
      </c>
    </row>
    <row r="231" spans="1:110" s="23" customFormat="1" x14ac:dyDescent="0.2">
      <c r="AB231" s="24"/>
      <c r="AC231" s="24"/>
      <c r="AD231" s="24"/>
      <c r="AE231" s="24"/>
      <c r="CK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E231" s="123"/>
    </row>
    <row r="232" spans="1:110" s="22" customFormat="1" x14ac:dyDescent="0.2">
      <c r="A232" s="22" t="s">
        <v>96</v>
      </c>
      <c r="C232" s="22">
        <f t="shared" ref="C232:W232" si="2104">C218+C220</f>
        <v>0</v>
      </c>
      <c r="D232" s="22">
        <f t="shared" si="2104"/>
        <v>0</v>
      </c>
      <c r="E232" s="22">
        <f t="shared" si="2104"/>
        <v>-0.93300000000000005</v>
      </c>
      <c r="F232" s="22">
        <f t="shared" si="2104"/>
        <v>-1.2003799999999998E-2</v>
      </c>
      <c r="G232" s="22">
        <f t="shared" si="2104"/>
        <v>-9.5889962000000004</v>
      </c>
      <c r="H232" s="22">
        <f t="shared" si="2104"/>
        <v>-277.23239999999993</v>
      </c>
      <c r="I232" s="22">
        <f t="shared" si="2104"/>
        <v>-1919.1326000000006</v>
      </c>
      <c r="J232" s="22">
        <f>J218+J220</f>
        <v>-4595.0628999999999</v>
      </c>
      <c r="K232" s="22">
        <f t="shared" si="2104"/>
        <v>-8340.554900000001</v>
      </c>
      <c r="L232" s="22">
        <f t="shared" si="2104"/>
        <v>-14577.95</v>
      </c>
      <c r="M232" s="22">
        <f t="shared" si="2104"/>
        <v>-11846.169999999996</v>
      </c>
      <c r="N232" s="22">
        <f t="shared" si="2104"/>
        <v>-4702.53</v>
      </c>
      <c r="O232" s="22">
        <f t="shared" si="2104"/>
        <v>-5689.8300000000017</v>
      </c>
      <c r="P232" s="22">
        <f t="shared" si="2104"/>
        <v>-310.9900000000016</v>
      </c>
      <c r="Q232" s="22">
        <f t="shared" si="2104"/>
        <v>-9524.5900000000074</v>
      </c>
      <c r="R232" s="22">
        <f t="shared" si="2104"/>
        <v>-1561.1100000000015</v>
      </c>
      <c r="S232" s="22">
        <f t="shared" si="2104"/>
        <v>-255.04000000000269</v>
      </c>
      <c r="T232" s="22">
        <f t="shared" si="2104"/>
        <v>-1890.2700000000032</v>
      </c>
      <c r="U232" s="22">
        <f t="shared" si="2104"/>
        <v>-8198.4700000000012</v>
      </c>
      <c r="V232" s="22">
        <f t="shared" si="2104"/>
        <v>-2929.3800000000033</v>
      </c>
      <c r="W232" s="22">
        <f t="shared" si="2104"/>
        <v>3856.84</v>
      </c>
      <c r="X232" s="22">
        <f t="shared" ref="X232:Y232" si="2105">X218+X220</f>
        <v>6035.3200000000052</v>
      </c>
      <c r="Y232" s="22">
        <f t="shared" si="2105"/>
        <v>20454.68</v>
      </c>
      <c r="Z232" s="22">
        <f t="shared" ref="Z232:AA232" si="2106">Z218+Z220</f>
        <v>-5895.4600000000064</v>
      </c>
      <c r="AA232" s="22">
        <f t="shared" ref="AA232" si="2107">AA218+AA220</f>
        <v>-9854.630000000001</v>
      </c>
      <c r="AB232" s="21">
        <f t="shared" ref="AB232:AD232" si="2108">AB218+AB220</f>
        <v>-16044.833023956218</v>
      </c>
      <c r="AC232" s="21">
        <f t="shared" si="2108"/>
        <v>-18804.968166990438</v>
      </c>
      <c r="AD232" s="21">
        <f t="shared" si="2108"/>
        <v>-6121.8028354628696</v>
      </c>
      <c r="AE232" s="21">
        <f t="shared" ref="AE232" si="2109">AE218+AE220</f>
        <v>-4015.4152952323275</v>
      </c>
      <c r="AI232" s="22">
        <f t="shared" ref="AI232" si="2110">AI218+AI220</f>
        <v>-809.81</v>
      </c>
      <c r="AJ232" s="22">
        <f t="shared" ref="AJ232:AL232" si="2111">AJ218+AJ220</f>
        <v>-41281.600000000006</v>
      </c>
      <c r="AK232" s="22">
        <f t="shared" si="2111"/>
        <v>-979.03496822365332</v>
      </c>
      <c r="AL232" s="22">
        <f t="shared" si="2111"/>
        <v>629.444968223655</v>
      </c>
      <c r="AM232" s="22">
        <f t="shared" ref="AM232" si="2112">AM218+AM220</f>
        <v>-1134.5791550078613</v>
      </c>
      <c r="AN232" s="22">
        <f t="shared" ref="AN232:CD232" si="2113">AN218+AN220</f>
        <v>-4673.3508449921355</v>
      </c>
      <c r="AO232" s="22">
        <f t="shared" si="2113"/>
        <v>-328.21489146179067</v>
      </c>
      <c r="AP232" s="22">
        <f t="shared" si="2113"/>
        <v>639.21489146178919</v>
      </c>
      <c r="AQ232" s="22">
        <f t="shared" si="2113"/>
        <v>-426.50326936257761</v>
      </c>
      <c r="AR232" s="22">
        <f t="shared" si="2113"/>
        <v>-1219.0767306374216</v>
      </c>
      <c r="AS232" s="22">
        <f t="shared" si="2113"/>
        <v>-456.97329926011423</v>
      </c>
      <c r="AT232" s="22">
        <f t="shared" si="2113"/>
        <v>767.54329926011542</v>
      </c>
      <c r="AU232" s="22">
        <f t="shared" si="2113"/>
        <v>-11.154009246801593</v>
      </c>
      <c r="AV232" s="22">
        <f t="shared" si="2113"/>
        <v>-7582.4259907532005</v>
      </c>
      <c r="AW232" s="22">
        <f t="shared" si="2113"/>
        <v>-167.84914854546514</v>
      </c>
      <c r="AX232" s="22">
        <f t="shared" si="2113"/>
        <v>-1244.5208514545311</v>
      </c>
      <c r="AY232" s="22">
        <f t="shared" si="2113"/>
        <v>2090.9018809573327</v>
      </c>
      <c r="AZ232" s="22">
        <f t="shared" si="2113"/>
        <v>-2441.0818809573357</v>
      </c>
      <c r="BA232" s="22">
        <f t="shared" si="2113"/>
        <v>-589.10801536450367</v>
      </c>
      <c r="BB232" s="22">
        <f t="shared" si="2113"/>
        <v>-1244.1519846354968</v>
      </c>
      <c r="BC232" s="22">
        <f t="shared" si="2113"/>
        <v>-189.89036656418057</v>
      </c>
      <c r="BD232" s="22">
        <f t="shared" si="2113"/>
        <v>2044.7503665641898</v>
      </c>
      <c r="BE232" s="22">
        <f t="shared" si="2113"/>
        <v>-1240.3037013175738</v>
      </c>
      <c r="BF232" s="22">
        <f t="shared" si="2113"/>
        <v>-408.73629868242995</v>
      </c>
      <c r="BG232" s="22">
        <f t="shared" si="2113"/>
        <v>-851.1298773237213</v>
      </c>
      <c r="BH232" s="22">
        <f t="shared" si="2113"/>
        <v>524.57987732373249</v>
      </c>
      <c r="BI232" s="22">
        <f t="shared" si="2113"/>
        <v>-977.54663003116707</v>
      </c>
      <c r="BJ232" s="22">
        <f t="shared" si="2113"/>
        <v>-804.89336996884776</v>
      </c>
      <c r="BK232" s="22">
        <f t="shared" si="2113"/>
        <v>-813.37440723505347</v>
      </c>
      <c r="BL232" s="22">
        <f t="shared" si="2113"/>
        <v>-6154.9055927649451</v>
      </c>
      <c r="BM232" s="22">
        <f t="shared" si="2113"/>
        <v>-1335.6704937547438</v>
      </c>
      <c r="BN232" s="22">
        <f t="shared" si="2113"/>
        <v>-559.81950624525041</v>
      </c>
      <c r="BO232" s="22">
        <f t="shared" si="2113"/>
        <v>148.1664848690034</v>
      </c>
      <c r="BP232" s="22">
        <f t="shared" si="2113"/>
        <v>-3049.3464848690091</v>
      </c>
      <c r="BQ232" s="22">
        <f t="shared" si="2113"/>
        <v>912.39515158319273</v>
      </c>
      <c r="BR232" s="22">
        <f t="shared" si="2113"/>
        <v>-3771.1951515832029</v>
      </c>
      <c r="BS232" s="22">
        <f t="shared" si="2113"/>
        <v>-30.014220471942281</v>
      </c>
      <c r="BT232" s="22">
        <f t="shared" si="2113"/>
        <v>-397.26577952805383</v>
      </c>
      <c r="BU232" s="22">
        <f t="shared" si="2113"/>
        <v>-119.93658943680748</v>
      </c>
      <c r="BV232" s="22">
        <f t="shared" si="2113"/>
        <v>4404.0565894368156</v>
      </c>
      <c r="BW232" s="22">
        <f t="shared" si="2113"/>
        <v>2328.9561716132962</v>
      </c>
      <c r="BX232" s="22">
        <f t="shared" si="2113"/>
        <v>821.0138283867027</v>
      </c>
      <c r="BY232" s="22">
        <f t="shared" si="2113"/>
        <v>-1071.7464911403995</v>
      </c>
      <c r="BZ232" s="22">
        <f t="shared" si="2113"/>
        <v>3957.0964911403908</v>
      </c>
      <c r="CA232" s="22">
        <f t="shared" si="2113"/>
        <v>7900.2968370035014</v>
      </c>
      <c r="CB232" s="22">
        <f t="shared" si="2113"/>
        <v>7238.3431629965107</v>
      </c>
      <c r="CC232" s="22">
        <f t="shared" si="2113"/>
        <v>2737.3493180289074</v>
      </c>
      <c r="CD232" s="22">
        <f t="shared" si="2113"/>
        <v>2578.6906819710775</v>
      </c>
      <c r="CE232" s="22">
        <f t="shared" ref="CE232:CF232" si="2114">CE218+CE220</f>
        <v>2458.1693268925055</v>
      </c>
      <c r="CF232" s="22">
        <f t="shared" si="2114"/>
        <v>-14177.599326892492</v>
      </c>
      <c r="CG232" s="22">
        <f t="shared" ref="CG232:CH232" si="2115">CG218+CG220</f>
        <v>2675.861739951185</v>
      </c>
      <c r="CH232" s="22">
        <f t="shared" si="2115"/>
        <v>3148.1082600488271</v>
      </c>
      <c r="CI232" s="22">
        <f t="shared" ref="CI232:CJ232" si="2116">CI218+CI220</f>
        <v>4576.2507875384581</v>
      </c>
      <c r="CJ232" s="22">
        <f t="shared" si="2116"/>
        <v>-5946.9707875384647</v>
      </c>
      <c r="CK232" s="21">
        <f t="shared" ref="CK232:DB232" si="2117">CK218+CK220</f>
        <v>-1992.696010336268</v>
      </c>
      <c r="CL232" s="22">
        <f t="shared" si="2117"/>
        <v>-6491.2139896637309</v>
      </c>
      <c r="CM232" s="21">
        <f t="shared" si="2117"/>
        <v>-4374.2124451033706</v>
      </c>
      <c r="CN232" s="21">
        <f t="shared" si="2117"/>
        <v>-2123.6291053678133</v>
      </c>
      <c r="CO232" s="21">
        <f t="shared" si="2117"/>
        <v>-3218.0003704580868</v>
      </c>
      <c r="CP232" s="21">
        <f t="shared" si="2117"/>
        <v>-6328.9911030269413</v>
      </c>
      <c r="CQ232" s="21">
        <f t="shared" si="2117"/>
        <v>-1548.4107732132416</v>
      </c>
      <c r="CR232" s="21">
        <f t="shared" si="2117"/>
        <v>-3889.918444038195</v>
      </c>
      <c r="CS232" s="21">
        <f t="shared" si="2117"/>
        <v>-4528.1264401961162</v>
      </c>
      <c r="CT232" s="21">
        <f t="shared" si="2117"/>
        <v>-8838.5125095428702</v>
      </c>
      <c r="CU232" s="21">
        <f t="shared" si="2117"/>
        <v>3984.7089003455258</v>
      </c>
      <c r="CV232" s="21">
        <f t="shared" si="2117"/>
        <v>-501.55874074323583</v>
      </c>
      <c r="CW232" s="21">
        <f t="shared" si="2117"/>
        <v>-2928.6481541381245</v>
      </c>
      <c r="CX232" s="21">
        <f t="shared" si="2117"/>
        <v>-6676.3048409269995</v>
      </c>
      <c r="CY232" s="21">
        <f t="shared" si="2117"/>
        <v>5698.8363178047766</v>
      </c>
      <c r="CZ232" s="21">
        <f t="shared" si="2117"/>
        <v>-838.96462502216673</v>
      </c>
      <c r="DA232" s="21">
        <f t="shared" si="2117"/>
        <v>-555.10397866880703</v>
      </c>
      <c r="DB232" s="21">
        <f t="shared" si="2117"/>
        <v>-8320.1830093461704</v>
      </c>
      <c r="DE232" s="126"/>
      <c r="DF232" s="22">
        <v>0</v>
      </c>
    </row>
    <row r="233" spans="1:110" x14ac:dyDescent="0.2">
      <c r="A233" s="152" t="s">
        <v>496</v>
      </c>
      <c r="AA233" s="2"/>
      <c r="CL233" s="2"/>
    </row>
    <row r="234" spans="1:110" x14ac:dyDescent="0.2">
      <c r="AA234" s="2"/>
      <c r="CL234" s="2"/>
    </row>
    <row r="235" spans="1:110" s="7" customFormat="1" hidden="1" outlineLevel="1" x14ac:dyDescent="0.2">
      <c r="A235" s="61" t="s">
        <v>97</v>
      </c>
      <c r="AB235" s="77"/>
      <c r="AC235" s="77"/>
      <c r="AD235" s="77"/>
      <c r="AE235" s="77"/>
      <c r="CK235" s="50"/>
      <c r="CM235" s="50"/>
      <c r="CN235" s="50"/>
      <c r="CO235" s="50"/>
      <c r="CP235" s="50"/>
      <c r="CQ235" s="50"/>
      <c r="CR235" s="50"/>
      <c r="CS235" s="50"/>
      <c r="CT235" s="50"/>
      <c r="CU235" s="50"/>
      <c r="CV235" s="50"/>
      <c r="CW235" s="50"/>
      <c r="CX235" s="50"/>
      <c r="CY235" s="50"/>
      <c r="CZ235" s="50"/>
      <c r="DA235" s="50"/>
      <c r="DB235" s="50"/>
      <c r="DE235" s="138"/>
    </row>
    <row r="236" spans="1:110" s="62" customFormat="1" hidden="1" outlineLevel="1" x14ac:dyDescent="0.2">
      <c r="A236" s="62" t="s">
        <v>98</v>
      </c>
      <c r="AB236" s="63"/>
      <c r="AC236" s="63"/>
      <c r="AD236" s="63"/>
      <c r="AE236" s="63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237" s="62" t="s">
        <v>99</v>
      </c>
      <c r="AB237" s="63"/>
      <c r="AC237" s="63"/>
      <c r="AD237" s="63"/>
      <c r="AE237" s="63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238" s="62" t="s">
        <v>100</v>
      </c>
      <c r="AB238" s="63"/>
      <c r="AC238" s="63"/>
      <c r="AD238" s="63"/>
      <c r="AE238" s="63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2" customFormat="1" hidden="1" outlineLevel="1" x14ac:dyDescent="0.2">
      <c r="AB239" s="63"/>
      <c r="AC239" s="63"/>
      <c r="AD239" s="63"/>
      <c r="AE239" s="6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2" customFormat="1" hidden="1" outlineLevel="1" x14ac:dyDescent="0.2">
      <c r="AB240" s="63"/>
      <c r="AC240" s="63"/>
      <c r="AD240" s="63"/>
      <c r="AE240" s="63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83" customFormat="1" x14ac:dyDescent="0.2">
      <c r="A243" s="82" t="s">
        <v>101</v>
      </c>
      <c r="AB243" s="72"/>
      <c r="AC243" s="72"/>
      <c r="AD243" s="72"/>
      <c r="AE243" s="72"/>
      <c r="CK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6" customFormat="1" x14ac:dyDescent="0.2">
      <c r="A244" s="66" t="s">
        <v>471</v>
      </c>
      <c r="AB244" s="50"/>
      <c r="AC244" s="50"/>
      <c r="AD244" s="50"/>
      <c r="AE244" s="50"/>
      <c r="AL244" s="66">
        <f t="shared" ref="AL244:BQ244" si="2118">SUM(AI29:AL29)</f>
        <v>6295.7300000000005</v>
      </c>
      <c r="AM244" s="66">
        <f t="shared" si="2118"/>
        <v>7341.51</v>
      </c>
      <c r="AN244" s="66">
        <f t="shared" si="2118"/>
        <v>8642.0299999999988</v>
      </c>
      <c r="AO244" s="66">
        <f t="shared" si="2118"/>
        <v>11006.96</v>
      </c>
      <c r="AP244" s="66">
        <f t="shared" si="2118"/>
        <v>15114.32</v>
      </c>
      <c r="AQ244" s="66">
        <f t="shared" si="2118"/>
        <v>18189.16</v>
      </c>
      <c r="AR244" s="66">
        <f t="shared" si="2118"/>
        <v>19533.88</v>
      </c>
      <c r="AS244" s="66">
        <f t="shared" si="2118"/>
        <v>20847.62</v>
      </c>
      <c r="AT244" s="66">
        <f t="shared" si="2118"/>
        <v>19518.690000000002</v>
      </c>
      <c r="AU244" s="66">
        <f t="shared" si="2118"/>
        <v>20265</v>
      </c>
      <c r="AV244" s="66">
        <f t="shared" si="2118"/>
        <v>21867.7</v>
      </c>
      <c r="AW244" s="66">
        <f t="shared" si="2118"/>
        <v>22554.74</v>
      </c>
      <c r="AX244" s="66">
        <f t="shared" si="2118"/>
        <v>25532.17</v>
      </c>
      <c r="AY244" s="66">
        <f t="shared" si="2118"/>
        <v>24972.76</v>
      </c>
      <c r="AZ244" s="66">
        <f t="shared" si="2118"/>
        <v>24798.620000000003</v>
      </c>
      <c r="BA244" s="66">
        <f t="shared" si="2118"/>
        <v>24039.03</v>
      </c>
      <c r="BB244" s="66">
        <f t="shared" si="2118"/>
        <v>22746.27</v>
      </c>
      <c r="BC244" s="66">
        <f t="shared" si="2118"/>
        <v>22903.58</v>
      </c>
      <c r="BD244" s="66">
        <f t="shared" si="2118"/>
        <v>23486.14</v>
      </c>
      <c r="BE244" s="66">
        <f t="shared" si="2118"/>
        <v>22899.1</v>
      </c>
      <c r="BF244" s="66">
        <f t="shared" si="2118"/>
        <v>20528.079999999998</v>
      </c>
      <c r="BG244" s="66">
        <f t="shared" si="2118"/>
        <v>18814.400000000001</v>
      </c>
      <c r="BH244" s="66">
        <f t="shared" si="2118"/>
        <v>19759.57</v>
      </c>
      <c r="BI244" s="66">
        <f t="shared" si="2118"/>
        <v>21220.15</v>
      </c>
      <c r="BJ244" s="66">
        <f t="shared" si="2118"/>
        <v>23960.66</v>
      </c>
      <c r="BK244" s="66">
        <f t="shared" si="2118"/>
        <v>27935.759999999998</v>
      </c>
      <c r="BL244" s="66">
        <f t="shared" si="2118"/>
        <v>26747.23</v>
      </c>
      <c r="BM244" s="66">
        <f t="shared" si="2118"/>
        <v>27017.01</v>
      </c>
      <c r="BN244" s="66">
        <f t="shared" si="2118"/>
        <v>26467.72</v>
      </c>
      <c r="BO244" s="66">
        <f t="shared" si="2118"/>
        <v>23866.769999999997</v>
      </c>
      <c r="BP244" s="66">
        <f t="shared" si="2118"/>
        <v>25700.29</v>
      </c>
      <c r="BQ244" s="66">
        <f t="shared" si="2118"/>
        <v>26020.31</v>
      </c>
      <c r="BR244" s="66">
        <f t="shared" ref="BR244:CW244" si="2119">SUM(BO29:BR29)</f>
        <v>26221.480000000003</v>
      </c>
      <c r="BS244" s="66">
        <f t="shared" si="2119"/>
        <v>27586.510000000002</v>
      </c>
      <c r="BT244" s="66">
        <f t="shared" si="2119"/>
        <v>25020.959999999999</v>
      </c>
      <c r="BU244" s="66">
        <f t="shared" si="2119"/>
        <v>23487</v>
      </c>
      <c r="BV244" s="66">
        <f t="shared" si="2119"/>
        <v>27711.18</v>
      </c>
      <c r="BW244" s="66">
        <f t="shared" si="2119"/>
        <v>34865.379999999997</v>
      </c>
      <c r="BX244" s="66">
        <f t="shared" si="2119"/>
        <v>36725.490000000005</v>
      </c>
      <c r="BY244" s="66">
        <f t="shared" si="2119"/>
        <v>39129.020000000004</v>
      </c>
      <c r="BZ244" s="66">
        <f t="shared" si="2119"/>
        <v>38773.300000000003</v>
      </c>
      <c r="CA244" s="66">
        <f t="shared" si="2119"/>
        <v>36055.78</v>
      </c>
      <c r="CB244" s="66">
        <f t="shared" si="2119"/>
        <v>42002.590000000004</v>
      </c>
      <c r="CC244" s="66">
        <f t="shared" si="2119"/>
        <v>47229.62</v>
      </c>
      <c r="CD244" s="66">
        <f t="shared" si="2119"/>
        <v>50351.250000000007</v>
      </c>
      <c r="CE244" s="66">
        <f t="shared" si="2119"/>
        <v>54301.34</v>
      </c>
      <c r="CF244" s="66">
        <f t="shared" si="2119"/>
        <v>54649.64</v>
      </c>
      <c r="CG244" s="66">
        <f t="shared" si="2119"/>
        <v>55329.38</v>
      </c>
      <c r="CH244" s="66">
        <f t="shared" si="2119"/>
        <v>56203.090000000004</v>
      </c>
      <c r="CI244" s="66">
        <f t="shared" si="2119"/>
        <v>55356.61</v>
      </c>
      <c r="CJ244" s="66">
        <f t="shared" si="2119"/>
        <v>55474.570000000007</v>
      </c>
      <c r="CK244" s="50">
        <f t="shared" si="2119"/>
        <v>54254.83</v>
      </c>
      <c r="CL244" s="66">
        <f t="shared" si="2119"/>
        <v>54240.520000000004</v>
      </c>
      <c r="CM244" s="50">
        <f t="shared" si="2119"/>
        <v>55724.138682487333</v>
      </c>
      <c r="CN244" s="50">
        <f t="shared" si="2119"/>
        <v>56870.937135717504</v>
      </c>
      <c r="CO244" s="50">
        <f t="shared" si="2119"/>
        <v>59127.973233585195</v>
      </c>
      <c r="CP244" s="50">
        <f t="shared" si="2119"/>
        <v>62791.859993374987</v>
      </c>
      <c r="CQ244" s="50">
        <f t="shared" si="2119"/>
        <v>63810.179513236668</v>
      </c>
      <c r="CR244" s="50">
        <f t="shared" si="2119"/>
        <v>66240.255903216865</v>
      </c>
      <c r="CS244" s="50">
        <f t="shared" si="2119"/>
        <v>69452.704771998368</v>
      </c>
      <c r="CT244" s="50">
        <f t="shared" si="2119"/>
        <v>73082.275106518849</v>
      </c>
      <c r="CU244" s="50">
        <f t="shared" si="2119"/>
        <v>75811.151635256421</v>
      </c>
      <c r="CV244" s="50">
        <f t="shared" si="2119"/>
        <v>78301.178147796221</v>
      </c>
      <c r="CW244" s="50">
        <f t="shared" si="2119"/>
        <v>81639.985056069752</v>
      </c>
      <c r="CX244" s="50">
        <f t="shared" ref="CX244:DB244" si="2120">SUM(CU29:CX29)</f>
        <v>85798.700892051187</v>
      </c>
      <c r="CY244" s="50">
        <f t="shared" si="2120"/>
        <v>89758.835294587305</v>
      </c>
      <c r="CZ244" s="50">
        <f t="shared" si="2120"/>
        <v>94753.855675179133</v>
      </c>
      <c r="DA244" s="50">
        <f t="shared" si="2120"/>
        <v>99309.156394903184</v>
      </c>
      <c r="DB244" s="50">
        <f t="shared" si="2120"/>
        <v>105835.01654615579</v>
      </c>
      <c r="DE244" s="138"/>
    </row>
    <row r="245" spans="1:110" s="66" customFormat="1" x14ac:dyDescent="0.2">
      <c r="A245" s="66" t="s">
        <v>472</v>
      </c>
      <c r="AB245" s="50"/>
      <c r="AC245" s="50"/>
      <c r="AD245" s="50"/>
      <c r="AE245" s="50"/>
      <c r="AL245" s="66">
        <f t="shared" ref="AL245:BQ245" si="2121">SUM(AI47:AL47)</f>
        <v>584.61000000000035</v>
      </c>
      <c r="AM245" s="66">
        <f t="shared" si="2121"/>
        <v>971.68000000000029</v>
      </c>
      <c r="AN245" s="66">
        <f t="shared" si="2121"/>
        <v>1278.6099999999997</v>
      </c>
      <c r="AO245" s="66">
        <f t="shared" si="2121"/>
        <v>1939.3600000000001</v>
      </c>
      <c r="AP245" s="66">
        <f t="shared" si="2121"/>
        <v>4322.51</v>
      </c>
      <c r="AQ245" s="66">
        <f t="shared" si="2121"/>
        <v>5879.5600000000022</v>
      </c>
      <c r="AR245" s="66">
        <f t="shared" si="2121"/>
        <v>6612.6300000000019</v>
      </c>
      <c r="AS245" s="66">
        <f t="shared" si="2121"/>
        <v>7391.3800000000019</v>
      </c>
      <c r="AT245" s="66">
        <f t="shared" si="2121"/>
        <v>5838.2500000000009</v>
      </c>
      <c r="AU245" s="66">
        <f t="shared" si="2121"/>
        <v>5758.82</v>
      </c>
      <c r="AV245" s="66">
        <f t="shared" si="2121"/>
        <v>6336.37</v>
      </c>
      <c r="AW245" s="66">
        <f t="shared" si="2121"/>
        <v>6587.96</v>
      </c>
      <c r="AX245" s="66">
        <f t="shared" si="2121"/>
        <v>8802.130000000001</v>
      </c>
      <c r="AY245" s="66">
        <f t="shared" si="2121"/>
        <v>8939.380000000001</v>
      </c>
      <c r="AZ245" s="66">
        <f t="shared" si="2121"/>
        <v>8767.9600000000009</v>
      </c>
      <c r="BA245" s="66">
        <f t="shared" si="2121"/>
        <v>8062.1100000000006</v>
      </c>
      <c r="BB245" s="66">
        <f t="shared" si="2121"/>
        <v>5971.6500000000005</v>
      </c>
      <c r="BC245" s="66">
        <f t="shared" si="2121"/>
        <v>5809.08</v>
      </c>
      <c r="BD245" s="66">
        <f t="shared" si="2121"/>
        <v>6312.49</v>
      </c>
      <c r="BE245" s="66">
        <f t="shared" si="2121"/>
        <v>5712.73</v>
      </c>
      <c r="BF245" s="66">
        <f t="shared" si="2121"/>
        <v>5624.68</v>
      </c>
      <c r="BG245" s="66">
        <f t="shared" si="2121"/>
        <v>5222.18</v>
      </c>
      <c r="BH245" s="66">
        <f t="shared" si="2121"/>
        <v>5350.37</v>
      </c>
      <c r="BI245" s="66">
        <f t="shared" si="2121"/>
        <v>5655.75</v>
      </c>
      <c r="BJ245" s="66">
        <f t="shared" si="2121"/>
        <v>5030.3100000000004</v>
      </c>
      <c r="BK245" s="66">
        <f t="shared" si="2121"/>
        <v>6555.75</v>
      </c>
      <c r="BL245" s="66">
        <f t="shared" si="2121"/>
        <v>5651.54</v>
      </c>
      <c r="BM245" s="66">
        <f t="shared" si="2121"/>
        <v>6088.86</v>
      </c>
      <c r="BN245" s="66">
        <f t="shared" si="2121"/>
        <v>5685.3</v>
      </c>
      <c r="BO245" s="66">
        <f t="shared" si="2121"/>
        <v>4389.6000000000004</v>
      </c>
      <c r="BP245" s="66">
        <f t="shared" si="2121"/>
        <v>7083.5</v>
      </c>
      <c r="BQ245" s="66">
        <f t="shared" si="2121"/>
        <v>7258.74</v>
      </c>
      <c r="BR245" s="66">
        <f t="shared" ref="BR245:CW245" si="2122">SUM(BO47:BR47)</f>
        <v>8668.52</v>
      </c>
      <c r="BS245" s="66">
        <f t="shared" si="2122"/>
        <v>8928.0300000000007</v>
      </c>
      <c r="BT245" s="66">
        <f t="shared" si="2122"/>
        <v>6048.6</v>
      </c>
      <c r="BU245" s="66">
        <f t="shared" si="2122"/>
        <v>6196.43</v>
      </c>
      <c r="BV245" s="66">
        <f t="shared" si="2122"/>
        <v>9814.16</v>
      </c>
      <c r="BW245" s="66">
        <f t="shared" si="2122"/>
        <v>13885.89</v>
      </c>
      <c r="BX245" s="66">
        <f t="shared" si="2122"/>
        <v>13670.36</v>
      </c>
      <c r="BY245" s="66">
        <f t="shared" si="2122"/>
        <v>13369.32</v>
      </c>
      <c r="BZ245" s="66">
        <f t="shared" si="2122"/>
        <v>10044.659999999998</v>
      </c>
      <c r="CA245" s="66">
        <f t="shared" si="2122"/>
        <v>7839.15</v>
      </c>
      <c r="CB245" s="66">
        <f t="shared" si="2122"/>
        <v>12062.759999999998</v>
      </c>
      <c r="CC245" s="66">
        <f t="shared" si="2122"/>
        <v>15238.37</v>
      </c>
      <c r="CD245" s="66">
        <f t="shared" si="2122"/>
        <v>18180.700000000004</v>
      </c>
      <c r="CE245" s="66">
        <f t="shared" si="2122"/>
        <v>20860.780000000002</v>
      </c>
      <c r="CF245" s="66">
        <f t="shared" si="2122"/>
        <v>20964.97</v>
      </c>
      <c r="CG245" s="66">
        <f t="shared" si="2122"/>
        <v>21342.549999999996</v>
      </c>
      <c r="CH245" s="66">
        <f t="shared" si="2122"/>
        <v>21305.439999999995</v>
      </c>
      <c r="CI245" s="66">
        <f t="shared" si="2122"/>
        <v>20796.409999999996</v>
      </c>
      <c r="CJ245" s="66">
        <f t="shared" si="2122"/>
        <v>20671.12</v>
      </c>
      <c r="CK245" s="50">
        <f t="shared" si="2122"/>
        <v>19886.27</v>
      </c>
      <c r="CL245" s="66">
        <f t="shared" si="2122"/>
        <v>19806.11</v>
      </c>
      <c r="CM245" s="50">
        <f t="shared" si="2122"/>
        <v>20102.824653093376</v>
      </c>
      <c r="CN245" s="50">
        <f t="shared" si="2122"/>
        <v>20486.331449059871</v>
      </c>
      <c r="CO245" s="50">
        <f t="shared" si="2122"/>
        <v>21807.8387482496</v>
      </c>
      <c r="CP245" s="50">
        <f t="shared" si="2122"/>
        <v>23999.249560449047</v>
      </c>
      <c r="CQ245" s="50">
        <f t="shared" si="2122"/>
        <v>24361.224578910216</v>
      </c>
      <c r="CR245" s="50">
        <f t="shared" si="2122"/>
        <v>25325.448009296837</v>
      </c>
      <c r="CS245" s="50">
        <f t="shared" si="2122"/>
        <v>26613.75573544958</v>
      </c>
      <c r="CT245" s="50">
        <f t="shared" si="2122"/>
        <v>27933.934556630884</v>
      </c>
      <c r="CU245" s="50">
        <f t="shared" si="2122"/>
        <v>28981.013487793447</v>
      </c>
      <c r="CV245" s="50">
        <f t="shared" si="2122"/>
        <v>29945.508620375163</v>
      </c>
      <c r="CW245" s="50">
        <f t="shared" si="2122"/>
        <v>31227.65722064102</v>
      </c>
      <c r="CX245" s="50">
        <f t="shared" ref="CX245:DB245" si="2123">SUM(CU47:CX47)</f>
        <v>32804.107706417126</v>
      </c>
      <c r="CY245" s="50">
        <f t="shared" si="2123"/>
        <v>34321.246915559197</v>
      </c>
      <c r="CZ245" s="50">
        <f t="shared" si="2123"/>
        <v>36233.821032760177</v>
      </c>
      <c r="DA245" s="50">
        <f t="shared" si="2123"/>
        <v>37975.402902447691</v>
      </c>
      <c r="DB245" s="50">
        <f t="shared" si="2123"/>
        <v>40468.401457057036</v>
      </c>
      <c r="DE245" s="138"/>
    </row>
    <row r="246" spans="1:110" s="66" customFormat="1" x14ac:dyDescent="0.2">
      <c r="A246" s="66" t="s">
        <v>473</v>
      </c>
      <c r="AB246" s="50"/>
      <c r="AC246" s="50"/>
      <c r="AD246" s="50"/>
      <c r="AE246" s="50"/>
      <c r="AL246" s="66">
        <f t="shared" ref="AL246:BQ246" si="2124">SUM(AI60:AL60)</f>
        <v>-2318.8399999999997</v>
      </c>
      <c r="AM246" s="66">
        <f t="shared" si="2124"/>
        <v>-2699.6099999999997</v>
      </c>
      <c r="AN246" s="66">
        <f t="shared" si="2124"/>
        <v>-3500.6000000000004</v>
      </c>
      <c r="AO246" s="66">
        <f t="shared" si="2124"/>
        <v>-3402.58</v>
      </c>
      <c r="AP246" s="66">
        <f t="shared" si="2124"/>
        <v>-288.51000000000022</v>
      </c>
      <c r="AQ246" s="66">
        <f t="shared" si="2124"/>
        <v>732.88000000000125</v>
      </c>
      <c r="AR246" s="66">
        <f t="shared" si="2124"/>
        <v>1008.1200000000013</v>
      </c>
      <c r="AS246" s="66">
        <f t="shared" si="2124"/>
        <v>1124.2600000000016</v>
      </c>
      <c r="AT246" s="66">
        <f t="shared" si="2124"/>
        <v>-1346.799999999999</v>
      </c>
      <c r="AU246" s="66">
        <f t="shared" si="2124"/>
        <v>-1336.0400000000002</v>
      </c>
      <c r="AV246" s="66">
        <f t="shared" si="2124"/>
        <v>-942.07</v>
      </c>
      <c r="AW246" s="66">
        <f t="shared" si="2124"/>
        <v>-403.89999999999992</v>
      </c>
      <c r="AX246" s="66">
        <f t="shared" si="2124"/>
        <v>550.79999999999995</v>
      </c>
      <c r="AY246" s="66">
        <f t="shared" si="2124"/>
        <v>484.31000000000085</v>
      </c>
      <c r="AZ246" s="66">
        <f t="shared" si="2124"/>
        <v>576.00000000000091</v>
      </c>
      <c r="BA246" s="66">
        <f t="shared" si="2124"/>
        <v>-201.37999999999948</v>
      </c>
      <c r="BB246" s="66">
        <f t="shared" si="2124"/>
        <v>-2097.4099999999994</v>
      </c>
      <c r="BC246" s="66">
        <f t="shared" si="2124"/>
        <v>-2317.6200000000003</v>
      </c>
      <c r="BD246" s="66">
        <f t="shared" si="2124"/>
        <v>-1687.6899999999996</v>
      </c>
      <c r="BE246" s="66">
        <f t="shared" si="2124"/>
        <v>-2323.27</v>
      </c>
      <c r="BF246" s="66">
        <f t="shared" si="2124"/>
        <v>-2073.77</v>
      </c>
      <c r="BG246" s="66">
        <f t="shared" si="2124"/>
        <v>-2446.08</v>
      </c>
      <c r="BH246" s="66">
        <f t="shared" si="2124"/>
        <v>-2376.0700000000002</v>
      </c>
      <c r="BI246" s="66">
        <f t="shared" si="2124"/>
        <v>-2253.38</v>
      </c>
      <c r="BJ246" s="66">
        <f t="shared" si="2124"/>
        <v>-984.39999999999964</v>
      </c>
      <c r="BK246" s="66">
        <f t="shared" si="2124"/>
        <v>581.55000000000007</v>
      </c>
      <c r="BL246" s="66">
        <f t="shared" si="2124"/>
        <v>197.33999999999995</v>
      </c>
      <c r="BM246" s="66">
        <f t="shared" si="2124"/>
        <v>675.7199999999998</v>
      </c>
      <c r="BN246" s="66">
        <f t="shared" si="2124"/>
        <v>-1271.78</v>
      </c>
      <c r="BO246" s="66">
        <f t="shared" si="2124"/>
        <v>-2695.04</v>
      </c>
      <c r="BP246" s="66">
        <f t="shared" si="2124"/>
        <v>-469.67000000000098</v>
      </c>
      <c r="BQ246" s="66">
        <f t="shared" si="2124"/>
        <v>-56.010000000000446</v>
      </c>
      <c r="BR246" s="66">
        <f t="shared" ref="BR246:CW246" si="2125">SUM(BO60:BR60)</f>
        <v>1269.9799999999996</v>
      </c>
      <c r="BS246" s="66">
        <f t="shared" si="2125"/>
        <v>2230.6600000000003</v>
      </c>
      <c r="BT246" s="66">
        <f t="shared" si="2125"/>
        <v>-227.98999999999955</v>
      </c>
      <c r="BU246" s="66">
        <f t="shared" si="2125"/>
        <v>279.24000000000035</v>
      </c>
      <c r="BV246" s="66">
        <f t="shared" si="2125"/>
        <v>4911.58</v>
      </c>
      <c r="BW246" s="66">
        <f t="shared" si="2125"/>
        <v>9413.2199999999975</v>
      </c>
      <c r="BX246" s="66">
        <f t="shared" si="2125"/>
        <v>10339.35</v>
      </c>
      <c r="BY246" s="66">
        <f t="shared" si="2125"/>
        <v>10129.629999999999</v>
      </c>
      <c r="BZ246" s="66">
        <f t="shared" si="2125"/>
        <v>10726.639999999998</v>
      </c>
      <c r="CA246" s="66">
        <f t="shared" si="2125"/>
        <v>14706.199999999999</v>
      </c>
      <c r="CB246" s="66">
        <f t="shared" si="2125"/>
        <v>20604.839999999997</v>
      </c>
      <c r="CC246" s="66">
        <f t="shared" si="2125"/>
        <v>23334.030000000002</v>
      </c>
      <c r="CD246" s="66">
        <f t="shared" si="2125"/>
        <v>20828.79</v>
      </c>
      <c r="CE246" s="66">
        <f t="shared" si="2125"/>
        <v>15982.16</v>
      </c>
      <c r="CF246" s="66">
        <f t="shared" si="2125"/>
        <v>12685.51</v>
      </c>
      <c r="CG246" s="66">
        <f t="shared" si="2125"/>
        <v>12887.619999999999</v>
      </c>
      <c r="CH246" s="66">
        <f t="shared" si="2125"/>
        <v>12749.609999999997</v>
      </c>
      <c r="CI246" s="66">
        <f t="shared" si="2125"/>
        <v>12141.949999999999</v>
      </c>
      <c r="CJ246" s="66">
        <f t="shared" si="2125"/>
        <v>11750.89</v>
      </c>
      <c r="CK246" s="50">
        <f t="shared" si="2125"/>
        <v>11298.91</v>
      </c>
      <c r="CL246" s="66">
        <f t="shared" si="2125"/>
        <v>12971.080000000002</v>
      </c>
      <c r="CM246" s="50">
        <f t="shared" si="2125"/>
        <v>13399.14040042086</v>
      </c>
      <c r="CN246" s="50">
        <f t="shared" si="2125"/>
        <v>13802.620521016292</v>
      </c>
      <c r="CO246" s="50">
        <f t="shared" si="2125"/>
        <v>14666.916329375081</v>
      </c>
      <c r="CP246" s="50">
        <f t="shared" si="2125"/>
        <v>14891.310448303244</v>
      </c>
      <c r="CQ246" s="50">
        <f t="shared" si="2125"/>
        <v>15157.727557901893</v>
      </c>
      <c r="CR246" s="50">
        <f t="shared" si="2125"/>
        <v>15932.138348309447</v>
      </c>
      <c r="CS246" s="50">
        <f t="shared" si="2125"/>
        <v>16901.817866674912</v>
      </c>
      <c r="CT246" s="50">
        <f t="shared" si="2125"/>
        <v>17836.768398567132</v>
      </c>
      <c r="CU246" s="50">
        <f t="shared" si="2125"/>
        <v>18421.415612569977</v>
      </c>
      <c r="CV246" s="50">
        <f t="shared" si="2125"/>
        <v>18944.228832733141</v>
      </c>
      <c r="CW246" s="50">
        <f t="shared" si="2125"/>
        <v>19743.683918661958</v>
      </c>
      <c r="CX246" s="50">
        <f t="shared" ref="CX246:DB246" si="2126">SUM(CU60:CX60)</f>
        <v>20817.948197944504</v>
      </c>
      <c r="CY246" s="50">
        <f t="shared" si="2126"/>
        <v>21860.974911925441</v>
      </c>
      <c r="CZ246" s="50">
        <f t="shared" si="2126"/>
        <v>23251.643324373705</v>
      </c>
      <c r="DA246" s="50">
        <f t="shared" si="2126"/>
        <v>24495.015944562474</v>
      </c>
      <c r="DB246" s="50">
        <f t="shared" si="2126"/>
        <v>26404.612621067135</v>
      </c>
      <c r="DE246" s="138"/>
    </row>
    <row r="247" spans="1:110" s="93" customFormat="1" x14ac:dyDescent="0.2">
      <c r="AB247" s="30"/>
      <c r="AC247" s="30"/>
      <c r="AD247" s="30"/>
      <c r="AE247" s="30"/>
      <c r="CK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11" customFormat="1" x14ac:dyDescent="0.2">
      <c r="AB248" s="63"/>
      <c r="AC248" s="63"/>
      <c r="AD248" s="63"/>
      <c r="AE248" s="63"/>
      <c r="CK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2" customFormat="1" hidden="1" outlineLevel="1" x14ac:dyDescent="0.2">
      <c r="A249" s="61" t="s">
        <v>339</v>
      </c>
      <c r="AB249" s="63"/>
      <c r="AC249" s="63"/>
      <c r="AD249" s="63"/>
      <c r="AE249" s="63"/>
      <c r="CK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4" t="s">
        <v>474</v>
      </c>
      <c r="B250" s="64">
        <f t="shared" ref="B250:Z250" si="2127">B27-B256</f>
        <v>0</v>
      </c>
      <c r="C250" s="64">
        <f t="shared" si="2127"/>
        <v>0</v>
      </c>
      <c r="D250" s="64">
        <f t="shared" si="2127"/>
        <v>0</v>
      </c>
      <c r="E250" s="64">
        <f t="shared" si="2127"/>
        <v>0</v>
      </c>
      <c r="F250" s="64">
        <f t="shared" si="2127"/>
        <v>0</v>
      </c>
      <c r="G250" s="64">
        <f t="shared" si="2127"/>
        <v>0</v>
      </c>
      <c r="H250" s="64">
        <f t="shared" si="2127"/>
        <v>0</v>
      </c>
      <c r="I250" s="64">
        <f t="shared" si="2127"/>
        <v>0</v>
      </c>
      <c r="J250" s="64">
        <f t="shared" si="2127"/>
        <v>0</v>
      </c>
      <c r="K250" s="64">
        <f t="shared" si="2127"/>
        <v>434.86</v>
      </c>
      <c r="L250" s="64">
        <f t="shared" si="2127"/>
        <v>2135.19</v>
      </c>
      <c r="M250" s="64">
        <f t="shared" si="2127"/>
        <v>4092.16</v>
      </c>
      <c r="N250" s="64">
        <f t="shared" si="2127"/>
        <v>6779.36</v>
      </c>
      <c r="O250" s="64">
        <f t="shared" si="2127"/>
        <v>15463.9</v>
      </c>
      <c r="P250" s="64">
        <f t="shared" si="2127"/>
        <v>19544.939999999999</v>
      </c>
      <c r="Q250" s="64">
        <f t="shared" si="2127"/>
        <v>25532.17</v>
      </c>
      <c r="R250" s="64">
        <f t="shared" si="2127"/>
        <v>22615.51</v>
      </c>
      <c r="S250" s="64">
        <f t="shared" si="2127"/>
        <v>20304.28</v>
      </c>
      <c r="T250" s="64">
        <f t="shared" si="2127"/>
        <v>23884.18</v>
      </c>
      <c r="U250" s="64">
        <f t="shared" si="2127"/>
        <v>26467.72</v>
      </c>
      <c r="V250" s="64">
        <f t="shared" si="2127"/>
        <v>26221.48</v>
      </c>
      <c r="W250" s="64">
        <f t="shared" si="2127"/>
        <v>27711.18</v>
      </c>
      <c r="X250" s="64">
        <f t="shared" si="2127"/>
        <v>38773.300000000003</v>
      </c>
      <c r="Y250" s="64">
        <f t="shared" si="2127"/>
        <v>50351.25</v>
      </c>
      <c r="Z250" s="64">
        <f t="shared" si="2127"/>
        <v>56203.09</v>
      </c>
      <c r="AA250" s="64">
        <f t="shared" ref="AA250" si="2128">AA27-AA256</f>
        <v>54240.52</v>
      </c>
      <c r="AB250" s="30"/>
      <c r="AC250" s="30"/>
      <c r="AD250" s="30"/>
      <c r="AE250" s="30"/>
      <c r="AI250" s="64">
        <f t="shared" ref="AI250:BN250" si="2129">AI27-AI256</f>
        <v>1503.15</v>
      </c>
      <c r="AJ250" s="64">
        <f t="shared" si="2129"/>
        <v>1502.69</v>
      </c>
      <c r="AK250" s="64">
        <f t="shared" si="2129"/>
        <v>1884.3799999999999</v>
      </c>
      <c r="AL250" s="64">
        <f t="shared" si="2129"/>
        <v>1889.13</v>
      </c>
      <c r="AM250" s="64">
        <f t="shared" si="2129"/>
        <v>2536.73</v>
      </c>
      <c r="AN250" s="64">
        <f t="shared" si="2129"/>
        <v>3044.5499999999997</v>
      </c>
      <c r="AO250" s="64">
        <f t="shared" si="2129"/>
        <v>4190.3100000000004</v>
      </c>
      <c r="AP250" s="64">
        <f t="shared" si="2129"/>
        <v>5996.49</v>
      </c>
      <c r="AQ250" s="64">
        <f t="shared" si="2129"/>
        <v>5225.4000000000005</v>
      </c>
      <c r="AR250" s="64">
        <f t="shared" si="2129"/>
        <v>4147.9299999999994</v>
      </c>
      <c r="AS250" s="64">
        <f t="shared" si="2129"/>
        <v>5504.05</v>
      </c>
      <c r="AT250" s="64">
        <f t="shared" si="2129"/>
        <v>4667.5600000000004</v>
      </c>
      <c r="AU250" s="64">
        <f t="shared" si="2129"/>
        <v>5945.46</v>
      </c>
      <c r="AV250" s="64">
        <f t="shared" si="2129"/>
        <v>5750.63</v>
      </c>
      <c r="AW250" s="64">
        <f t="shared" si="2129"/>
        <v>6191.09</v>
      </c>
      <c r="AX250" s="64">
        <f t="shared" si="2129"/>
        <v>7644.99</v>
      </c>
      <c r="AY250" s="64">
        <f t="shared" si="2129"/>
        <v>5386.05</v>
      </c>
      <c r="AZ250" s="64">
        <f t="shared" si="2129"/>
        <v>5576.49</v>
      </c>
      <c r="BA250" s="64">
        <f t="shared" si="2129"/>
        <v>5431.5</v>
      </c>
      <c r="BB250" s="64">
        <f t="shared" si="2129"/>
        <v>6352.23</v>
      </c>
      <c r="BC250" s="64">
        <f t="shared" si="2129"/>
        <v>5543.36</v>
      </c>
      <c r="BD250" s="64">
        <f t="shared" si="2129"/>
        <v>6159.05</v>
      </c>
      <c r="BE250" s="64">
        <f t="shared" si="2129"/>
        <v>4844.46</v>
      </c>
      <c r="BF250" s="64">
        <f t="shared" si="2129"/>
        <v>3981.21</v>
      </c>
      <c r="BG250" s="64">
        <f t="shared" si="2129"/>
        <v>3829.68</v>
      </c>
      <c r="BH250" s="64">
        <f t="shared" si="2129"/>
        <v>7104.22</v>
      </c>
      <c r="BI250" s="64">
        <f t="shared" si="2129"/>
        <v>6305.04</v>
      </c>
      <c r="BJ250" s="64">
        <f t="shared" si="2129"/>
        <v>6721.72</v>
      </c>
      <c r="BK250" s="64">
        <f t="shared" si="2129"/>
        <v>7804.78</v>
      </c>
      <c r="BL250" s="64">
        <f t="shared" si="2129"/>
        <v>5915.69</v>
      </c>
      <c r="BM250" s="64">
        <f t="shared" si="2129"/>
        <v>6574.82</v>
      </c>
      <c r="BN250" s="64">
        <f t="shared" si="2129"/>
        <v>6172.43</v>
      </c>
      <c r="BO250" s="64">
        <f t="shared" ref="BO250:CT250" si="2130">BO27-BO256</f>
        <v>5203.83</v>
      </c>
      <c r="BP250" s="64">
        <f t="shared" si="2130"/>
        <v>7749.21</v>
      </c>
      <c r="BQ250" s="64">
        <f t="shared" si="2130"/>
        <v>6894.84</v>
      </c>
      <c r="BR250" s="64">
        <f t="shared" si="2130"/>
        <v>6373.6</v>
      </c>
      <c r="BS250" s="64">
        <f t="shared" si="2130"/>
        <v>6568.86</v>
      </c>
      <c r="BT250" s="64">
        <f t="shared" si="2130"/>
        <v>5183.66</v>
      </c>
      <c r="BU250" s="64">
        <f t="shared" si="2130"/>
        <v>5360.88</v>
      </c>
      <c r="BV250" s="64">
        <f t="shared" si="2130"/>
        <v>10597.78</v>
      </c>
      <c r="BW250" s="64">
        <f t="shared" si="2130"/>
        <v>13723.06</v>
      </c>
      <c r="BX250" s="64">
        <f t="shared" si="2130"/>
        <v>7043.77</v>
      </c>
      <c r="BY250" s="64">
        <f t="shared" si="2130"/>
        <v>7764.41</v>
      </c>
      <c r="BZ250" s="64">
        <f t="shared" si="2130"/>
        <v>10242.06</v>
      </c>
      <c r="CA250" s="64">
        <f t="shared" si="2130"/>
        <v>11005.54</v>
      </c>
      <c r="CB250" s="64">
        <f t="shared" si="2130"/>
        <v>12990.58</v>
      </c>
      <c r="CC250" s="64">
        <f t="shared" si="2130"/>
        <v>12991.44</v>
      </c>
      <c r="CD250" s="64">
        <f t="shared" si="2130"/>
        <v>13363.69</v>
      </c>
      <c r="CE250" s="64">
        <f t="shared" si="2130"/>
        <v>14955.63</v>
      </c>
      <c r="CF250" s="64">
        <f t="shared" si="2130"/>
        <v>13338.88</v>
      </c>
      <c r="CG250" s="64">
        <f t="shared" si="2130"/>
        <v>13671.18</v>
      </c>
      <c r="CH250" s="64">
        <f t="shared" si="2130"/>
        <v>14237.4</v>
      </c>
      <c r="CI250" s="64">
        <f t="shared" si="2130"/>
        <v>14109.15</v>
      </c>
      <c r="CJ250" s="64">
        <f t="shared" si="2130"/>
        <v>13456.84</v>
      </c>
      <c r="CK250" s="30">
        <f t="shared" si="2130"/>
        <v>12451.44</v>
      </c>
      <c r="CL250" s="64">
        <f t="shared" ref="CL250" si="2131">CL27-CL256</f>
        <v>14223.09</v>
      </c>
      <c r="CM250" s="30">
        <f t="shared" si="2130"/>
        <v>15592.768682487342</v>
      </c>
      <c r="CN250" s="30">
        <f t="shared" si="2130"/>
        <v>14603.638453230165</v>
      </c>
      <c r="CO250" s="30">
        <f t="shared" si="2130"/>
        <v>14708.476097867684</v>
      </c>
      <c r="CP250" s="30">
        <f t="shared" si="2130"/>
        <v>17886.976759789795</v>
      </c>
      <c r="CQ250" s="30">
        <f t="shared" si="2130"/>
        <v>16611.088202349023</v>
      </c>
      <c r="CR250" s="30">
        <f t="shared" si="2130"/>
        <v>17033.714843210357</v>
      </c>
      <c r="CS250" s="30">
        <f t="shared" si="2130"/>
        <v>17920.924966649189</v>
      </c>
      <c r="CT250" s="30">
        <f t="shared" si="2130"/>
        <v>21516.547094310274</v>
      </c>
      <c r="CU250" s="30">
        <f t="shared" ref="CU250:DB250" si="2132">CU27-CU256</f>
        <v>19339.964731086598</v>
      </c>
      <c r="CV250" s="30">
        <f t="shared" si="2132"/>
        <v>19523.741355750164</v>
      </c>
      <c r="CW250" s="30">
        <f t="shared" si="2132"/>
        <v>21259.731874922716</v>
      </c>
      <c r="CX250" s="30">
        <f t="shared" si="2132"/>
        <v>25675.262930291698</v>
      </c>
      <c r="CY250" s="30">
        <f t="shared" si="2132"/>
        <v>23300.099133622723</v>
      </c>
      <c r="CZ250" s="30">
        <f t="shared" si="2132"/>
        <v>24518.761736341992</v>
      </c>
      <c r="DA250" s="30">
        <f t="shared" si="2132"/>
        <v>25815.032594646778</v>
      </c>
      <c r="DB250" s="30">
        <f t="shared" si="2132"/>
        <v>32201.12308154429</v>
      </c>
      <c r="DE250" s="139"/>
      <c r="DF250" s="64">
        <v>0</v>
      </c>
    </row>
    <row r="251" spans="1:110" s="64" customFormat="1" hidden="1" outlineLevel="1" x14ac:dyDescent="0.2">
      <c r="A251" s="64" t="s">
        <v>475</v>
      </c>
      <c r="B251" s="64">
        <f t="shared" ref="B251:Z251" si="2133">B47-B257</f>
        <v>0</v>
      </c>
      <c r="C251" s="64">
        <f t="shared" si="2133"/>
        <v>0</v>
      </c>
      <c r="D251" s="64">
        <f t="shared" si="2133"/>
        <v>0</v>
      </c>
      <c r="E251" s="64">
        <f t="shared" si="2133"/>
        <v>-1E-3</v>
      </c>
      <c r="F251" s="64">
        <f t="shared" si="2133"/>
        <v>0</v>
      </c>
      <c r="G251" s="64">
        <f t="shared" si="2133"/>
        <v>0</v>
      </c>
      <c r="H251" s="64">
        <f t="shared" si="2133"/>
        <v>0</v>
      </c>
      <c r="I251" s="64">
        <f t="shared" si="2133"/>
        <v>-7.1790000000000003</v>
      </c>
      <c r="J251" s="64">
        <f t="shared" si="2133"/>
        <v>-5.5415999999999999</v>
      </c>
      <c r="K251" s="64">
        <f t="shared" si="2133"/>
        <v>243.81</v>
      </c>
      <c r="L251" s="64">
        <f t="shared" si="2133"/>
        <v>1245.6500000000001</v>
      </c>
      <c r="M251" s="64">
        <f t="shared" si="2133"/>
        <v>1325.1799999999998</v>
      </c>
      <c r="N251" s="64">
        <f t="shared" si="2133"/>
        <v>959.60999999999967</v>
      </c>
      <c r="O251" s="64">
        <f t="shared" si="2133"/>
        <v>4593.3000000000011</v>
      </c>
      <c r="P251" s="64">
        <f t="shared" si="2133"/>
        <v>5837.3899999999976</v>
      </c>
      <c r="Q251" s="64">
        <f t="shared" si="2133"/>
        <v>8802.1299999999974</v>
      </c>
      <c r="R251" s="64">
        <f t="shared" si="2133"/>
        <v>5971.6499999999978</v>
      </c>
      <c r="S251" s="64">
        <f t="shared" si="2133"/>
        <v>5400.8799999999992</v>
      </c>
      <c r="T251" s="64">
        <f t="shared" si="2133"/>
        <v>4953.8299999999981</v>
      </c>
      <c r="U251" s="64">
        <f t="shared" si="2133"/>
        <v>5685.2999999999993</v>
      </c>
      <c r="V251" s="64">
        <f t="shared" si="2133"/>
        <v>8668.52</v>
      </c>
      <c r="W251" s="64">
        <f t="shared" si="2133"/>
        <v>9814.16</v>
      </c>
      <c r="X251" s="64">
        <f t="shared" si="2133"/>
        <v>10044.660000000003</v>
      </c>
      <c r="Y251" s="64">
        <f t="shared" si="2133"/>
        <v>18180.7</v>
      </c>
      <c r="Z251" s="64">
        <f t="shared" si="2133"/>
        <v>21305.439999999995</v>
      </c>
      <c r="AA251" s="64">
        <f t="shared" ref="AA251" si="2134">AA47-AA257</f>
        <v>19806.11</v>
      </c>
      <c r="AB251" s="30"/>
      <c r="AC251" s="30"/>
      <c r="AD251" s="30"/>
      <c r="AE251" s="30"/>
      <c r="AI251" s="64">
        <f t="shared" ref="AI251:BN251" si="2135">AI47-AI257</f>
        <v>-278.1099999999999</v>
      </c>
      <c r="AJ251" s="64">
        <f t="shared" si="2135"/>
        <v>175.32000000000016</v>
      </c>
      <c r="AK251" s="64">
        <f t="shared" si="2135"/>
        <v>319.52</v>
      </c>
      <c r="AL251" s="64">
        <f t="shared" si="2135"/>
        <v>367.88000000000011</v>
      </c>
      <c r="AM251" s="64">
        <f t="shared" si="2135"/>
        <v>108.96000000000004</v>
      </c>
      <c r="AN251" s="64">
        <f t="shared" si="2135"/>
        <v>482.24999999999955</v>
      </c>
      <c r="AO251" s="64">
        <f t="shared" si="2135"/>
        <v>980.27000000000044</v>
      </c>
      <c r="AP251" s="64">
        <f t="shared" si="2135"/>
        <v>2751.0300000000007</v>
      </c>
      <c r="AQ251" s="64">
        <f t="shared" si="2135"/>
        <v>1666.0100000000011</v>
      </c>
      <c r="AR251" s="64">
        <f t="shared" si="2135"/>
        <v>1215.3199999999997</v>
      </c>
      <c r="AS251" s="64">
        <f t="shared" si="2135"/>
        <v>1759.0200000000004</v>
      </c>
      <c r="AT251" s="64">
        <f t="shared" si="2135"/>
        <v>1197.8999999999996</v>
      </c>
      <c r="AU251" s="64">
        <f t="shared" si="2135"/>
        <v>1586.58</v>
      </c>
      <c r="AV251" s="64">
        <f t="shared" si="2135"/>
        <v>1792.87</v>
      </c>
      <c r="AW251" s="64">
        <f t="shared" si="2135"/>
        <v>2010.6100000000006</v>
      </c>
      <c r="AX251" s="64">
        <f t="shared" si="2135"/>
        <v>3412.0699999999997</v>
      </c>
      <c r="AY251" s="64">
        <f t="shared" si="2135"/>
        <v>1723.8300000000008</v>
      </c>
      <c r="AZ251" s="64">
        <f t="shared" si="2135"/>
        <v>1621.4499999999998</v>
      </c>
      <c r="BA251" s="64">
        <f t="shared" si="2135"/>
        <v>1304.7600000000002</v>
      </c>
      <c r="BB251" s="64">
        <f t="shared" si="2135"/>
        <v>1321.6099999999997</v>
      </c>
      <c r="BC251" s="64">
        <f t="shared" si="2135"/>
        <v>1561.2599999999998</v>
      </c>
      <c r="BD251" s="64">
        <f t="shared" si="2135"/>
        <v>2124.8600000000006</v>
      </c>
      <c r="BE251" s="64">
        <f t="shared" si="2135"/>
        <v>705</v>
      </c>
      <c r="BF251" s="64">
        <f t="shared" si="2135"/>
        <v>1233.56</v>
      </c>
      <c r="BG251" s="64">
        <f t="shared" si="2135"/>
        <v>1158.7599999999998</v>
      </c>
      <c r="BH251" s="64">
        <f t="shared" si="2135"/>
        <v>2253.0500000000002</v>
      </c>
      <c r="BI251" s="64">
        <f t="shared" si="2135"/>
        <v>1010.3800000000001</v>
      </c>
      <c r="BJ251" s="64">
        <f t="shared" si="2135"/>
        <v>608.11999999999989</v>
      </c>
      <c r="BK251" s="64">
        <f t="shared" si="2135"/>
        <v>2684.2</v>
      </c>
      <c r="BL251" s="64">
        <f t="shared" si="2135"/>
        <v>1348.8400000000001</v>
      </c>
      <c r="BM251" s="64">
        <f t="shared" si="2135"/>
        <v>1447.6999999999998</v>
      </c>
      <c r="BN251" s="64">
        <f t="shared" si="2135"/>
        <v>204.5600000000004</v>
      </c>
      <c r="BO251" s="64">
        <f t="shared" ref="BO251:CT251" si="2136">BO47-BO257</f>
        <v>1388.4999999999995</v>
      </c>
      <c r="BP251" s="64">
        <f t="shared" si="2136"/>
        <v>4042.74</v>
      </c>
      <c r="BQ251" s="64">
        <f t="shared" si="2136"/>
        <v>1622.9400000000005</v>
      </c>
      <c r="BR251" s="64">
        <f t="shared" si="2136"/>
        <v>1614.3400000000001</v>
      </c>
      <c r="BS251" s="64">
        <f t="shared" si="2136"/>
        <v>1648.0100000000002</v>
      </c>
      <c r="BT251" s="64">
        <f t="shared" si="2136"/>
        <v>1163.3099999999995</v>
      </c>
      <c r="BU251" s="64">
        <f t="shared" si="2136"/>
        <v>1770.7700000000004</v>
      </c>
      <c r="BV251" s="64">
        <f t="shared" si="2136"/>
        <v>5232.0700000000006</v>
      </c>
      <c r="BW251" s="64">
        <f t="shared" si="2136"/>
        <v>5719.7399999999989</v>
      </c>
      <c r="BX251" s="64">
        <f t="shared" si="2136"/>
        <v>947.78000000000065</v>
      </c>
      <c r="BY251" s="64">
        <f t="shared" si="2136"/>
        <v>1469.7300000000005</v>
      </c>
      <c r="BZ251" s="64">
        <f t="shared" si="2136"/>
        <v>1907.409999999998</v>
      </c>
      <c r="CA251" s="64">
        <f t="shared" si="2136"/>
        <v>3514.2300000000005</v>
      </c>
      <c r="CB251" s="64">
        <f t="shared" si="2136"/>
        <v>5171.3900000000003</v>
      </c>
      <c r="CC251" s="64">
        <f t="shared" si="2136"/>
        <v>4645.340000000002</v>
      </c>
      <c r="CD251" s="64">
        <f t="shared" si="2136"/>
        <v>4849.74</v>
      </c>
      <c r="CE251" s="64">
        <f t="shared" si="2136"/>
        <v>6194.3099999999995</v>
      </c>
      <c r="CF251" s="64">
        <f t="shared" si="2136"/>
        <v>5275.579999999999</v>
      </c>
      <c r="CG251" s="64">
        <f t="shared" si="2136"/>
        <v>5022.92</v>
      </c>
      <c r="CH251" s="64">
        <f t="shared" si="2136"/>
        <v>4812.6299999999992</v>
      </c>
      <c r="CI251" s="64">
        <f t="shared" si="2136"/>
        <v>5685.2799999999988</v>
      </c>
      <c r="CJ251" s="64">
        <f t="shared" si="2136"/>
        <v>5150.2900000000009</v>
      </c>
      <c r="CK251" s="30">
        <f t="shared" si="2136"/>
        <v>4238.0700000000015</v>
      </c>
      <c r="CL251" s="64">
        <f t="shared" ref="CL251" si="2137">CL47-CL257</f>
        <v>4732.4699999999993</v>
      </c>
      <c r="CM251" s="30">
        <f t="shared" si="2136"/>
        <v>5981.9946530933757</v>
      </c>
      <c r="CN251" s="30">
        <f t="shared" si="2136"/>
        <v>5533.7967959664929</v>
      </c>
      <c r="CO251" s="30">
        <f t="shared" si="2136"/>
        <v>5559.577299189732</v>
      </c>
      <c r="CP251" s="30">
        <f t="shared" si="2136"/>
        <v>6923.8808121994462</v>
      </c>
      <c r="CQ251" s="30">
        <f t="shared" si="2136"/>
        <v>6343.9696715545415</v>
      </c>
      <c r="CR251" s="30">
        <f t="shared" si="2136"/>
        <v>6498.0202263531191</v>
      </c>
      <c r="CS251" s="30">
        <f t="shared" si="2136"/>
        <v>6847.8850253424753</v>
      </c>
      <c r="CT251" s="30">
        <f t="shared" si="2136"/>
        <v>8244.059633380748</v>
      </c>
      <c r="CU251" s="30">
        <f t="shared" ref="CU251:DB251" si="2138">CU47-CU257</f>
        <v>7391.0486027171064</v>
      </c>
      <c r="CV251" s="30">
        <f t="shared" si="2138"/>
        <v>7462.5153589348356</v>
      </c>
      <c r="CW251" s="30">
        <f t="shared" si="2138"/>
        <v>8130.0336256083338</v>
      </c>
      <c r="CX251" s="30">
        <f t="shared" si="2138"/>
        <v>9820.5101191568538</v>
      </c>
      <c r="CY251" s="30">
        <f t="shared" si="2138"/>
        <v>8908.187811859174</v>
      </c>
      <c r="CZ251" s="30">
        <f t="shared" si="2138"/>
        <v>9375.0894761358159</v>
      </c>
      <c r="DA251" s="30">
        <f t="shared" si="2138"/>
        <v>9871.6154952958459</v>
      </c>
      <c r="DB251" s="30">
        <f t="shared" si="2138"/>
        <v>12313.508673766199</v>
      </c>
      <c r="DE251" s="139"/>
      <c r="DF251" s="64">
        <v>0</v>
      </c>
    </row>
    <row r="252" spans="1:110" s="89" customFormat="1" hidden="1" outlineLevel="1" x14ac:dyDescent="0.2">
      <c r="A252" s="86" t="s">
        <v>476</v>
      </c>
      <c r="B252" s="86" t="e">
        <f>+B251/B250</f>
        <v>#DIV/0!</v>
      </c>
      <c r="C252" s="86" t="e">
        <f t="shared" ref="C252" si="2139">+C251/C250</f>
        <v>#DIV/0!</v>
      </c>
      <c r="D252" s="86" t="e">
        <f t="shared" ref="D252" si="2140">+D251/D250</f>
        <v>#DIV/0!</v>
      </c>
      <c r="E252" s="86" t="e">
        <f t="shared" ref="E252" si="2141">+E251/E250</f>
        <v>#DIV/0!</v>
      </c>
      <c r="F252" s="86" t="e">
        <f t="shared" ref="F252" si="2142">+F251/F250</f>
        <v>#DIV/0!</v>
      </c>
      <c r="G252" s="86" t="e">
        <f t="shared" ref="G252" si="2143">+G251/G250</f>
        <v>#DIV/0!</v>
      </c>
      <c r="H252" s="86" t="e">
        <f t="shared" ref="H252" si="2144">+H251/H250</f>
        <v>#DIV/0!</v>
      </c>
      <c r="I252" s="86" t="e">
        <f t="shared" ref="I252" si="2145">+I251/I250</f>
        <v>#DIV/0!</v>
      </c>
      <c r="J252" s="86" t="e">
        <f t="shared" ref="J252" si="2146">+J251/J250</f>
        <v>#DIV/0!</v>
      </c>
      <c r="K252" s="86">
        <f t="shared" ref="K252" si="2147">+K251/K250</f>
        <v>0.56066320195005293</v>
      </c>
      <c r="L252" s="86">
        <f t="shared" ref="L252" si="2148">+L251/L250</f>
        <v>0.5833907052768138</v>
      </c>
      <c r="M252" s="86">
        <f t="shared" ref="M252" si="2149">+M251/M250</f>
        <v>0.3238338676884579</v>
      </c>
      <c r="N252" s="86">
        <f t="shared" ref="N252" si="2150">+N251/N250</f>
        <v>0.14154875976493353</v>
      </c>
      <c r="O252" s="86">
        <f t="shared" ref="O252" si="2151">+O251/O250</f>
        <v>0.29703373663823496</v>
      </c>
      <c r="P252" s="86">
        <f t="shared" ref="P252" si="2152">+P251/P250</f>
        <v>0.29866502532113159</v>
      </c>
      <c r="Q252" s="86">
        <f t="shared" ref="Q252" si="2153">+Q251/Q250</f>
        <v>0.34474664707308456</v>
      </c>
      <c r="R252" s="86">
        <f t="shared" ref="R252" si="2154">+R251/R250</f>
        <v>0.2640510870637009</v>
      </c>
      <c r="S252" s="86">
        <f t="shared" ref="S252" si="2155">+S251/S250</f>
        <v>0.26599711981907259</v>
      </c>
      <c r="T252" s="86">
        <f t="shared" ref="T252" si="2156">+T251/T250</f>
        <v>0.20741051189532142</v>
      </c>
      <c r="U252" s="86">
        <f t="shared" ref="U252" si="2157">+U251/U250</f>
        <v>0.21480127491147705</v>
      </c>
      <c r="V252" s="86">
        <f t="shared" ref="V252" si="2158">+V251/V250</f>
        <v>0.33058850987816096</v>
      </c>
      <c r="W252" s="86">
        <f t="shared" ref="W252" si="2159">+W251/W250</f>
        <v>0.35415886295711696</v>
      </c>
      <c r="X252" s="86">
        <f t="shared" ref="X252:Y252" si="2160">+X251/X250</f>
        <v>0.25906126122873219</v>
      </c>
      <c r="Y252" s="86">
        <f t="shared" si="2160"/>
        <v>0.36107743104689555</v>
      </c>
      <c r="Z252" s="86">
        <f t="shared" ref="Z252:AA252" si="2161">+Z251/Z250</f>
        <v>0.3790795132438447</v>
      </c>
      <c r="AA252" s="86">
        <f t="shared" ref="AA252" si="2162">+AA251/AA250</f>
        <v>0.36515339454710244</v>
      </c>
      <c r="AB252" s="87"/>
      <c r="AC252" s="87"/>
      <c r="AD252" s="87"/>
      <c r="AE252" s="87"/>
      <c r="AF252" s="86"/>
      <c r="AG252" s="86"/>
      <c r="AH252" s="86"/>
      <c r="AI252" s="86">
        <f t="shared" ref="AI252" si="2163">+AI251/AI250</f>
        <v>-0.18501812859661371</v>
      </c>
      <c r="AJ252" s="86">
        <f t="shared" ref="AJ252" si="2164">+AJ251/AJ250</f>
        <v>0.11667077041838314</v>
      </c>
      <c r="AK252" s="86">
        <f t="shared" ref="AK252" si="2165">+AK251/AK250</f>
        <v>0.16956240248782092</v>
      </c>
      <c r="AL252" s="86">
        <f t="shared" ref="AL252" si="2166">+AL251/AL250</f>
        <v>0.19473514263179351</v>
      </c>
      <c r="AM252" s="86">
        <f t="shared" ref="AM252" si="2167">+AM251/AM250</f>
        <v>4.2952935472044734E-2</v>
      </c>
      <c r="AN252" s="86">
        <f t="shared" ref="AN252" si="2168">+AN251/AN250</f>
        <v>0.1583977927772576</v>
      </c>
      <c r="AO252" s="86">
        <f t="shared" ref="AO252" si="2169">+AO251/AO250</f>
        <v>0.2339373459242873</v>
      </c>
      <c r="AP252" s="86">
        <f t="shared" ref="AP252" si="2170">+AP251/AP250</f>
        <v>0.45877338242872095</v>
      </c>
      <c r="AQ252" s="86">
        <f t="shared" ref="AQ252" si="2171">+AQ251/AQ250</f>
        <v>0.31882918054120279</v>
      </c>
      <c r="AR252" s="86">
        <f t="shared" ref="AR252" si="2172">+AR251/AR250</f>
        <v>0.29299433693432625</v>
      </c>
      <c r="AS252" s="86">
        <f t="shared" ref="AS252" si="2173">+AS251/AS250</f>
        <v>0.31958648631462294</v>
      </c>
      <c r="AT252" s="86">
        <f t="shared" ref="AT252" si="2174">+AT251/AT250</f>
        <v>0.2566437282006015</v>
      </c>
      <c r="AU252" s="86">
        <f t="shared" ref="AU252" si="2175">+AU251/AU250</f>
        <v>0.26685571848099221</v>
      </c>
      <c r="AV252" s="86">
        <f t="shared" ref="AV252" si="2176">+AV251/AV250</f>
        <v>0.31176931918763678</v>
      </c>
      <c r="AW252" s="86">
        <f t="shared" ref="AW252" si="2177">+AW251/AW250</f>
        <v>0.32475864508511432</v>
      </c>
      <c r="AX252" s="86">
        <f t="shared" ref="AX252" si="2178">+AX251/AX250</f>
        <v>0.44631451447287696</v>
      </c>
      <c r="AY252" s="86">
        <f t="shared" ref="AY252" si="2179">+AY251/AY250</f>
        <v>0.32005458545687487</v>
      </c>
      <c r="AZ252" s="86">
        <f t="shared" ref="AZ252" si="2180">+AZ251/AZ250</f>
        <v>0.29076533805314808</v>
      </c>
      <c r="BA252" s="86">
        <f t="shared" ref="BA252" si="2181">+BA251/BA250</f>
        <v>0.24022093344380011</v>
      </c>
      <c r="BB252" s="86">
        <f t="shared" ref="BB252" si="2182">+BB251/BB250</f>
        <v>0.2080544942484765</v>
      </c>
      <c r="BC252" s="86">
        <f t="shared" ref="BC252" si="2183">+BC251/BC250</f>
        <v>0.28164506725163074</v>
      </c>
      <c r="BD252" s="86">
        <f t="shared" ref="BD252" si="2184">+BD251/BD250</f>
        <v>0.34499801105690009</v>
      </c>
      <c r="BE252" s="86">
        <f t="shared" ref="BE252" si="2185">+BE251/BE250</f>
        <v>0.14552705564706903</v>
      </c>
      <c r="BF252" s="86">
        <f t="shared" ref="BF252" si="2186">+BF251/BF250</f>
        <v>0.30984549923264532</v>
      </c>
      <c r="BG252" s="86">
        <f t="shared" ref="BG252" si="2187">+BG251/BG250</f>
        <v>0.30257358317143984</v>
      </c>
      <c r="BH252" s="86">
        <f t="shared" ref="BH252" si="2188">+BH251/BH250</f>
        <v>0.31714248714144549</v>
      </c>
      <c r="BI252" s="86">
        <f t="shared" ref="BI252" si="2189">+BI251/BI250</f>
        <v>0.16024957811528556</v>
      </c>
      <c r="BJ252" s="86">
        <f t="shared" ref="BJ252" si="2190">+BJ251/BJ250</f>
        <v>9.0470891378992266E-2</v>
      </c>
      <c r="BK252" s="86">
        <f t="shared" ref="BK252" si="2191">+BK251/BK250</f>
        <v>0.34391744546290859</v>
      </c>
      <c r="BL252" s="86">
        <f t="shared" ref="BL252" si="2192">+BL251/BL250</f>
        <v>0.22801059555182915</v>
      </c>
      <c r="BM252" s="86">
        <f t="shared" ref="BM252" si="2193">+BM251/BM250</f>
        <v>0.220188537480874</v>
      </c>
      <c r="BN252" s="86">
        <f t="shared" ref="BN252" si="2194">+BN251/BN250</f>
        <v>3.3140918568537903E-2</v>
      </c>
      <c r="BO252" s="86">
        <f t="shared" ref="BO252" si="2195">+BO251/BO250</f>
        <v>0.26682270558415622</v>
      </c>
      <c r="BP252" s="86">
        <f t="shared" ref="BP252" si="2196">+BP251/BP250</f>
        <v>0.52169705040900938</v>
      </c>
      <c r="BQ252" s="86">
        <f t="shared" ref="BQ252" si="2197">+BQ251/BQ250</f>
        <v>0.23538472248812162</v>
      </c>
      <c r="BR252" s="86">
        <f t="shared" ref="BR252" si="2198">+BR251/BR250</f>
        <v>0.25328542738797538</v>
      </c>
      <c r="BS252" s="86">
        <f t="shared" ref="BS252" si="2199">+BS251/BS250</f>
        <v>0.25088219264834388</v>
      </c>
      <c r="BT252" s="86">
        <f t="shared" ref="BT252" si="2200">+BT251/BT250</f>
        <v>0.22441865400122685</v>
      </c>
      <c r="BU252" s="86">
        <f t="shared" ref="BU252" si="2201">+BU251/BU250</f>
        <v>0.33031330677053028</v>
      </c>
      <c r="BV252" s="86">
        <f t="shared" ref="BV252" si="2202">+BV251/BV250</f>
        <v>0.49369490591425752</v>
      </c>
      <c r="BW252" s="86">
        <f t="shared" ref="BW252" si="2203">+BW251/BW250</f>
        <v>0.41679771129762599</v>
      </c>
      <c r="BX252" s="86">
        <f t="shared" ref="BX252" si="2204">+BX251/BX250</f>
        <v>0.13455578475731045</v>
      </c>
      <c r="BY252" s="86">
        <f t="shared" ref="BY252" si="2205">+BY251/BY250</f>
        <v>0.18929062221083129</v>
      </c>
      <c r="BZ252" s="86">
        <f t="shared" ref="BZ252" si="2206">+BZ251/BZ250</f>
        <v>0.1862330429620602</v>
      </c>
      <c r="CA252" s="86">
        <f t="shared" ref="CA252" si="2207">+CA251/CA250</f>
        <v>0.3193146360832817</v>
      </c>
      <c r="CB252" s="86">
        <f t="shared" ref="CB252:CC252" si="2208">+CB251/CB250</f>
        <v>0.39808769123472548</v>
      </c>
      <c r="CC252" s="86">
        <f t="shared" si="2208"/>
        <v>0.35756929177981822</v>
      </c>
      <c r="CD252" s="86">
        <f t="shared" ref="CD252" si="2209">+CD251/CD250</f>
        <v>0.36290425773121043</v>
      </c>
      <c r="CE252" s="86">
        <f t="shared" ref="CE252:CF252" si="2210">+CE251/CE250</f>
        <v>0.41417914190174537</v>
      </c>
      <c r="CF252" s="86">
        <f t="shared" si="2210"/>
        <v>0.39550397034833507</v>
      </c>
      <c r="CG252" s="86">
        <f t="shared" ref="CG252:CH252" si="2211">+CG251/CG250</f>
        <v>0.3674093969942609</v>
      </c>
      <c r="CH252" s="86">
        <f t="shared" si="2211"/>
        <v>0.33802730835686284</v>
      </c>
      <c r="CI252" s="86">
        <f t="shared" ref="CI252:CJ252" si="2212">+CI251/CI250</f>
        <v>0.40294985877958622</v>
      </c>
      <c r="CJ252" s="86">
        <f t="shared" si="2212"/>
        <v>0.3827265539309378</v>
      </c>
      <c r="CK252" s="47">
        <f t="shared" ref="CK252:DB252" si="2213">+CK251/CK250</f>
        <v>0.34036786106667194</v>
      </c>
      <c r="CL252" s="86">
        <f t="shared" si="2213"/>
        <v>0.33273149505487198</v>
      </c>
      <c r="CM252" s="47">
        <f t="shared" si="2213"/>
        <v>0.38363903004678795</v>
      </c>
      <c r="CN252" s="47">
        <f t="shared" si="2213"/>
        <v>0.37893274430814722</v>
      </c>
      <c r="CO252" s="47">
        <f t="shared" si="2213"/>
        <v>0.37798458944334246</v>
      </c>
      <c r="CP252" s="47">
        <f t="shared" si="2213"/>
        <v>0.3870906137567327</v>
      </c>
      <c r="CQ252" s="47">
        <f t="shared" si="2213"/>
        <v>0.38191174438875247</v>
      </c>
      <c r="CR252" s="47">
        <f t="shared" si="2213"/>
        <v>0.38147992297424371</v>
      </c>
      <c r="CS252" s="47">
        <f t="shared" si="2213"/>
        <v>0.38211671764076788</v>
      </c>
      <c r="CT252" s="47">
        <f t="shared" si="2213"/>
        <v>0.38314974969012411</v>
      </c>
      <c r="CU252" s="47">
        <f t="shared" si="2213"/>
        <v>0.38216453367347208</v>
      </c>
      <c r="CV252" s="47">
        <f t="shared" si="2213"/>
        <v>0.38222773099465196</v>
      </c>
      <c r="CW252" s="47">
        <f t="shared" si="2213"/>
        <v>0.3824146829997539</v>
      </c>
      <c r="CX252" s="47">
        <f t="shared" si="2213"/>
        <v>0.38248917433950042</v>
      </c>
      <c r="CY252" s="47">
        <f t="shared" si="2213"/>
        <v>0.38232403050184449</v>
      </c>
      <c r="CZ252" s="47">
        <f t="shared" si="2213"/>
        <v>0.38236390470893766</v>
      </c>
      <c r="DA252" s="47">
        <f t="shared" si="2213"/>
        <v>0.3823979481375091</v>
      </c>
      <c r="DB252" s="47">
        <f t="shared" si="2213"/>
        <v>0.38239376442194795</v>
      </c>
      <c r="DE252" s="130"/>
      <c r="DF252" s="89" t="e">
        <v>#DIV/0!</v>
      </c>
    </row>
    <row r="253" spans="1:110" s="64" customFormat="1" hidden="1" outlineLevel="1" x14ac:dyDescent="0.2">
      <c r="A253" s="64" t="s">
        <v>477</v>
      </c>
      <c r="B253" s="64">
        <f t="shared" ref="B253:Z253" si="2214">B60-B259</f>
        <v>0</v>
      </c>
      <c r="C253" s="64">
        <f t="shared" si="2214"/>
        <v>0</v>
      </c>
      <c r="D253" s="64">
        <f t="shared" si="2214"/>
        <v>0</v>
      </c>
      <c r="E253" s="64">
        <f t="shared" si="2214"/>
        <v>-1E-3</v>
      </c>
      <c r="F253" s="64">
        <f t="shared" si="2214"/>
        <v>0</v>
      </c>
      <c r="G253" s="64">
        <f t="shared" si="2214"/>
        <v>0</v>
      </c>
      <c r="H253" s="64">
        <f t="shared" si="2214"/>
        <v>0</v>
      </c>
      <c r="I253" s="64">
        <f t="shared" si="2214"/>
        <v>-7.1790000000000003</v>
      </c>
      <c r="J253" s="64">
        <f t="shared" si="2214"/>
        <v>-5.5415999999999999</v>
      </c>
      <c r="K253" s="64">
        <f t="shared" si="2214"/>
        <v>170.00000000000003</v>
      </c>
      <c r="L253" s="64">
        <f t="shared" si="2214"/>
        <v>521.05000000000018</v>
      </c>
      <c r="M253" s="64">
        <f t="shared" si="2214"/>
        <v>-294.50000000000028</v>
      </c>
      <c r="N253" s="64">
        <f t="shared" si="2214"/>
        <v>-2319.0700000000002</v>
      </c>
      <c r="O253" s="64">
        <f t="shared" si="2214"/>
        <v>-195.90999999999917</v>
      </c>
      <c r="P253" s="64">
        <f t="shared" si="2214"/>
        <v>-1346.800000000002</v>
      </c>
      <c r="Q253" s="64">
        <f t="shared" si="2214"/>
        <v>550.79999999999757</v>
      </c>
      <c r="R253" s="64">
        <f t="shared" si="2214"/>
        <v>-2097.4100000000017</v>
      </c>
      <c r="S253" s="64">
        <f t="shared" si="2214"/>
        <v>-2073.77</v>
      </c>
      <c r="T253" s="64">
        <f t="shared" si="2214"/>
        <v>-984.40000000000146</v>
      </c>
      <c r="U253" s="64">
        <f t="shared" si="2214"/>
        <v>-1271.7800000000011</v>
      </c>
      <c r="V253" s="64">
        <f t="shared" si="2214"/>
        <v>1269.9800000000007</v>
      </c>
      <c r="W253" s="64">
        <f t="shared" si="2214"/>
        <v>4911.58</v>
      </c>
      <c r="X253" s="64">
        <f t="shared" si="2214"/>
        <v>10726.640000000003</v>
      </c>
      <c r="Y253" s="64">
        <f t="shared" si="2214"/>
        <v>20828.789999999997</v>
      </c>
      <c r="Z253" s="64">
        <f t="shared" si="2214"/>
        <v>12749.609999999995</v>
      </c>
      <c r="AA253" s="64">
        <f t="shared" ref="AA253" si="2215">AA60-AA259</f>
        <v>12971.08</v>
      </c>
      <c r="AB253" s="30"/>
      <c r="AC253" s="30"/>
      <c r="AD253" s="30"/>
      <c r="AE253" s="30"/>
      <c r="AI253" s="64">
        <f t="shared" ref="AI253:BN253" si="2216">AI60-AI259</f>
        <v>-817.52</v>
      </c>
      <c r="AJ253" s="64">
        <f t="shared" si="2216"/>
        <v>-272.95999999999987</v>
      </c>
      <c r="AK253" s="64">
        <f t="shared" si="2216"/>
        <v>-642.84</v>
      </c>
      <c r="AL253" s="64">
        <f t="shared" si="2216"/>
        <v>-585.52</v>
      </c>
      <c r="AM253" s="64">
        <f t="shared" si="2216"/>
        <v>-1198.29</v>
      </c>
      <c r="AN253" s="64">
        <f t="shared" si="2216"/>
        <v>-1073.9500000000005</v>
      </c>
      <c r="AO253" s="64">
        <f t="shared" si="2216"/>
        <v>-544.8199999999996</v>
      </c>
      <c r="AP253" s="64">
        <f t="shared" si="2216"/>
        <v>2528.5500000000002</v>
      </c>
      <c r="AQ253" s="64">
        <f t="shared" si="2216"/>
        <v>-176.89999999999895</v>
      </c>
      <c r="AR253" s="64">
        <f t="shared" si="2216"/>
        <v>-798.71000000000026</v>
      </c>
      <c r="AS253" s="64">
        <f t="shared" si="2216"/>
        <v>-428.67999999999961</v>
      </c>
      <c r="AT253" s="64">
        <f t="shared" si="2216"/>
        <v>57.489999999999782</v>
      </c>
      <c r="AU253" s="64">
        <f t="shared" si="2216"/>
        <v>-166.1400000000001</v>
      </c>
      <c r="AV253" s="64">
        <f t="shared" si="2216"/>
        <v>-404.74000000000012</v>
      </c>
      <c r="AW253" s="64">
        <f t="shared" si="2216"/>
        <v>109.49000000000052</v>
      </c>
      <c r="AX253" s="64">
        <f t="shared" si="2216"/>
        <v>1012.1899999999997</v>
      </c>
      <c r="AY253" s="64">
        <f t="shared" si="2216"/>
        <v>-232.62999999999923</v>
      </c>
      <c r="AZ253" s="64">
        <f t="shared" si="2216"/>
        <v>-313.05000000000013</v>
      </c>
      <c r="BA253" s="64">
        <f t="shared" si="2216"/>
        <v>-667.88999999999987</v>
      </c>
      <c r="BB253" s="64">
        <f t="shared" si="2216"/>
        <v>-883.84000000000015</v>
      </c>
      <c r="BC253" s="64">
        <f t="shared" si="2216"/>
        <v>-452.84000000000026</v>
      </c>
      <c r="BD253" s="64">
        <f t="shared" si="2216"/>
        <v>316.88000000000056</v>
      </c>
      <c r="BE253" s="64">
        <f t="shared" si="2216"/>
        <v>-1303.4700000000003</v>
      </c>
      <c r="BF253" s="64">
        <f t="shared" si="2216"/>
        <v>-634.34</v>
      </c>
      <c r="BG253" s="64">
        <f t="shared" si="2216"/>
        <v>-825.15000000000009</v>
      </c>
      <c r="BH253" s="64">
        <f t="shared" si="2216"/>
        <v>386.89000000000033</v>
      </c>
      <c r="BI253" s="64">
        <f t="shared" si="2216"/>
        <v>-1180.78</v>
      </c>
      <c r="BJ253" s="64">
        <f t="shared" si="2216"/>
        <v>634.6400000000001</v>
      </c>
      <c r="BK253" s="64">
        <f t="shared" si="2216"/>
        <v>740.79999999999961</v>
      </c>
      <c r="BL253" s="64">
        <f t="shared" si="2216"/>
        <v>2.6800000000002058</v>
      </c>
      <c r="BM253" s="64">
        <f t="shared" si="2216"/>
        <v>-702.40000000000009</v>
      </c>
      <c r="BN253" s="64">
        <f t="shared" si="2216"/>
        <v>-1312.8599999999997</v>
      </c>
      <c r="BO253" s="64">
        <f t="shared" ref="BO253:CT253" si="2217">BO60-BO259</f>
        <v>-682.46000000000038</v>
      </c>
      <c r="BP253" s="64">
        <f t="shared" si="2217"/>
        <v>2228.0499999999993</v>
      </c>
      <c r="BQ253" s="64">
        <f t="shared" si="2217"/>
        <v>-288.73999999999955</v>
      </c>
      <c r="BR253" s="64">
        <f t="shared" si="2217"/>
        <v>13.13000000000028</v>
      </c>
      <c r="BS253" s="64">
        <f t="shared" si="2217"/>
        <v>278.22000000000025</v>
      </c>
      <c r="BT253" s="64">
        <f t="shared" si="2217"/>
        <v>-230.60000000000053</v>
      </c>
      <c r="BU253" s="64">
        <f t="shared" si="2217"/>
        <v>218.49000000000038</v>
      </c>
      <c r="BV253" s="64">
        <f t="shared" si="2217"/>
        <v>4645.4699999999993</v>
      </c>
      <c r="BW253" s="64">
        <f t="shared" si="2217"/>
        <v>4779.8599999999988</v>
      </c>
      <c r="BX253" s="64">
        <f t="shared" si="2217"/>
        <v>695.53000000000065</v>
      </c>
      <c r="BY253" s="64">
        <f t="shared" si="2217"/>
        <v>8.7700000000005502</v>
      </c>
      <c r="BZ253" s="64">
        <f t="shared" si="2217"/>
        <v>5242.4799999999977</v>
      </c>
      <c r="CA253" s="64">
        <f t="shared" si="2217"/>
        <v>8759.42</v>
      </c>
      <c r="CB253" s="64">
        <f t="shared" si="2217"/>
        <v>6594.17</v>
      </c>
      <c r="CC253" s="64">
        <f t="shared" si="2217"/>
        <v>2737.9600000000019</v>
      </c>
      <c r="CD253" s="64">
        <f t="shared" si="2217"/>
        <v>2737.24</v>
      </c>
      <c r="CE253" s="64">
        <f t="shared" si="2217"/>
        <v>3912.7899999999991</v>
      </c>
      <c r="CF253" s="64">
        <f t="shared" si="2217"/>
        <v>3297.5199999999991</v>
      </c>
      <c r="CG253" s="64">
        <f t="shared" si="2217"/>
        <v>2940.0700000000006</v>
      </c>
      <c r="CH253" s="64">
        <f t="shared" si="2217"/>
        <v>2599.2299999999987</v>
      </c>
      <c r="CI253" s="64">
        <f t="shared" si="2217"/>
        <v>3305.1299999999987</v>
      </c>
      <c r="CJ253" s="64">
        <f t="shared" si="2217"/>
        <v>2906.4600000000009</v>
      </c>
      <c r="CK253" s="30">
        <f t="shared" si="2217"/>
        <v>2488.0900000000015</v>
      </c>
      <c r="CL253" s="64">
        <f t="shared" ref="CL253" si="2218">CL60-CL259</f>
        <v>4271.3999999999996</v>
      </c>
      <c r="CM253" s="30">
        <f t="shared" si="2217"/>
        <v>3733.1904004208563</v>
      </c>
      <c r="CN253" s="30">
        <f t="shared" si="2217"/>
        <v>3309.9401205954346</v>
      </c>
      <c r="CO253" s="30">
        <f t="shared" si="2217"/>
        <v>3352.3858083587897</v>
      </c>
      <c r="CP253" s="30">
        <f t="shared" si="2217"/>
        <v>4495.7941189281637</v>
      </c>
      <c r="CQ253" s="30">
        <f t="shared" si="2217"/>
        <v>3999.6075100195044</v>
      </c>
      <c r="CR253" s="30">
        <f t="shared" si="2217"/>
        <v>4084.3509110029881</v>
      </c>
      <c r="CS253" s="30">
        <f t="shared" si="2217"/>
        <v>4322.0653267242551</v>
      </c>
      <c r="CT253" s="30">
        <f t="shared" si="2217"/>
        <v>5430.7446508203839</v>
      </c>
      <c r="CU253" s="30">
        <f t="shared" ref="CU253:DB253" si="2219">CU60-CU259</f>
        <v>4584.2547240223503</v>
      </c>
      <c r="CV253" s="30">
        <f t="shared" si="2219"/>
        <v>4607.1641311661533</v>
      </c>
      <c r="CW253" s="30">
        <f t="shared" si="2219"/>
        <v>5121.5204126530725</v>
      </c>
      <c r="CX253" s="30">
        <f t="shared" si="2219"/>
        <v>6505.0089301029302</v>
      </c>
      <c r="CY253" s="30">
        <f t="shared" si="2219"/>
        <v>5627.2814380032869</v>
      </c>
      <c r="CZ253" s="30">
        <f t="shared" si="2219"/>
        <v>5997.8325436144141</v>
      </c>
      <c r="DA253" s="30">
        <f t="shared" si="2219"/>
        <v>6364.8930328418446</v>
      </c>
      <c r="DB253" s="30">
        <f t="shared" si="2219"/>
        <v>8414.6056066075926</v>
      </c>
      <c r="DE253" s="139"/>
      <c r="DF253" s="64">
        <v>0</v>
      </c>
    </row>
    <row r="254" spans="1:110" s="64" customFormat="1" hidden="1" outlineLevel="1" x14ac:dyDescent="0.2">
      <c r="AB254" s="30"/>
      <c r="AC254" s="30"/>
      <c r="AD254" s="30"/>
      <c r="AE254" s="30"/>
      <c r="CK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4" customFormat="1" hidden="1" outlineLevel="1" x14ac:dyDescent="0.2">
      <c r="A255" s="65" t="s">
        <v>352</v>
      </c>
      <c r="AB255" s="30"/>
      <c r="AC255" s="30"/>
      <c r="AD255" s="30"/>
      <c r="AE255" s="30"/>
      <c r="CK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4" customFormat="1" hidden="1" outlineLevel="1" x14ac:dyDescent="0.2">
      <c r="A256" s="64" t="s">
        <v>478</v>
      </c>
      <c r="AB256" s="30"/>
      <c r="AC256" s="30"/>
      <c r="AD256" s="30"/>
      <c r="AE256" s="30"/>
      <c r="CK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4" customFormat="1" hidden="1" outlineLevel="1" x14ac:dyDescent="0.2">
      <c r="A257" s="64" t="s">
        <v>479</v>
      </c>
      <c r="AB257" s="30"/>
      <c r="AC257" s="30"/>
      <c r="AD257" s="30"/>
      <c r="AE257" s="30"/>
      <c r="CK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89" customFormat="1" hidden="1" outlineLevel="1" x14ac:dyDescent="0.2">
      <c r="A258" s="86" t="s">
        <v>480</v>
      </c>
      <c r="B258" s="86" t="e">
        <f>+B257/B256</f>
        <v>#DIV/0!</v>
      </c>
      <c r="C258" s="86" t="e">
        <f t="shared" ref="C258:X258" si="2220">+C257/C256</f>
        <v>#DIV/0!</v>
      </c>
      <c r="D258" s="86" t="e">
        <f t="shared" si="2220"/>
        <v>#DIV/0!</v>
      </c>
      <c r="E258" s="86" t="e">
        <f t="shared" si="2220"/>
        <v>#DIV/0!</v>
      </c>
      <c r="F258" s="86" t="e">
        <f t="shared" si="2220"/>
        <v>#DIV/0!</v>
      </c>
      <c r="G258" s="86" t="e">
        <f t="shared" si="2220"/>
        <v>#DIV/0!</v>
      </c>
      <c r="H258" s="86" t="e">
        <f t="shared" si="2220"/>
        <v>#DIV/0!</v>
      </c>
      <c r="I258" s="86" t="e">
        <f t="shared" si="2220"/>
        <v>#DIV/0!</v>
      </c>
      <c r="J258" s="86" t="e">
        <f t="shared" si="2220"/>
        <v>#DIV/0!</v>
      </c>
      <c r="K258" s="86" t="e">
        <f t="shared" si="2220"/>
        <v>#DIV/0!</v>
      </c>
      <c r="L258" s="86" t="e">
        <f t="shared" si="2220"/>
        <v>#DIV/0!</v>
      </c>
      <c r="M258" s="86" t="e">
        <f t="shared" si="2220"/>
        <v>#DIV/0!</v>
      </c>
      <c r="N258" s="86" t="e">
        <f t="shared" si="2220"/>
        <v>#DIV/0!</v>
      </c>
      <c r="O258" s="86" t="e">
        <f t="shared" si="2220"/>
        <v>#DIV/0!</v>
      </c>
      <c r="P258" s="86" t="e">
        <f t="shared" si="2220"/>
        <v>#DIV/0!</v>
      </c>
      <c r="Q258" s="86" t="e">
        <f t="shared" si="2220"/>
        <v>#DIV/0!</v>
      </c>
      <c r="R258" s="86" t="e">
        <f t="shared" si="2220"/>
        <v>#DIV/0!</v>
      </c>
      <c r="S258" s="86" t="e">
        <f t="shared" si="2220"/>
        <v>#DIV/0!</v>
      </c>
      <c r="T258" s="86" t="e">
        <f t="shared" si="2220"/>
        <v>#DIV/0!</v>
      </c>
      <c r="U258" s="86" t="e">
        <f t="shared" si="2220"/>
        <v>#DIV/0!</v>
      </c>
      <c r="V258" s="86" t="e">
        <f t="shared" si="2220"/>
        <v>#DIV/0!</v>
      </c>
      <c r="W258" s="86" t="e">
        <f t="shared" si="2220"/>
        <v>#DIV/0!</v>
      </c>
      <c r="X258" s="86" t="e">
        <f t="shared" si="2220"/>
        <v>#DIV/0!</v>
      </c>
      <c r="Y258" s="86" t="e">
        <f t="shared" ref="Y258:Z258" si="2221">+Y257/Y256</f>
        <v>#DIV/0!</v>
      </c>
      <c r="Z258" s="86" t="e">
        <f t="shared" si="2221"/>
        <v>#DIV/0!</v>
      </c>
      <c r="AA258" s="86" t="e">
        <f t="shared" ref="AA258" si="2222">+AA257/AA256</f>
        <v>#DIV/0!</v>
      </c>
      <c r="AB258" s="87"/>
      <c r="AC258" s="87"/>
      <c r="AD258" s="87"/>
      <c r="AE258" s="87"/>
      <c r="AF258" s="86"/>
      <c r="AG258" s="86"/>
      <c r="AH258" s="86"/>
      <c r="AI258" s="86" t="e">
        <f t="shared" ref="AI258" si="2223">+AI257/AI256</f>
        <v>#DIV/0!</v>
      </c>
      <c r="AJ258" s="86" t="e">
        <f t="shared" ref="AJ258" si="2224">+AJ257/AJ256</f>
        <v>#DIV/0!</v>
      </c>
      <c r="AK258" s="86" t="e">
        <f t="shared" ref="AK258" si="2225">+AK257/AK256</f>
        <v>#DIV/0!</v>
      </c>
      <c r="AL258" s="86" t="e">
        <f t="shared" ref="AL258" si="2226">+AL257/AL256</f>
        <v>#DIV/0!</v>
      </c>
      <c r="AM258" s="86" t="e">
        <f t="shared" ref="AM258" si="2227">+AM257/AM256</f>
        <v>#DIV/0!</v>
      </c>
      <c r="AN258" s="86" t="e">
        <f t="shared" ref="AN258" si="2228">+AN257/AN256</f>
        <v>#DIV/0!</v>
      </c>
      <c r="AO258" s="86" t="e">
        <f t="shared" ref="AO258" si="2229">+AO257/AO256</f>
        <v>#DIV/0!</v>
      </c>
      <c r="AP258" s="86" t="e">
        <f t="shared" ref="AP258" si="2230">+AP257/AP256</f>
        <v>#DIV/0!</v>
      </c>
      <c r="AQ258" s="86" t="e">
        <f t="shared" ref="AQ258" si="2231">+AQ257/AQ256</f>
        <v>#DIV/0!</v>
      </c>
      <c r="AR258" s="86" t="e">
        <f t="shared" ref="AR258" si="2232">+AR257/AR256</f>
        <v>#DIV/0!</v>
      </c>
      <c r="AS258" s="86" t="e">
        <f t="shared" ref="AS258" si="2233">+AS257/AS256</f>
        <v>#DIV/0!</v>
      </c>
      <c r="AT258" s="86" t="e">
        <f t="shared" ref="AT258" si="2234">+AT257/AT256</f>
        <v>#DIV/0!</v>
      </c>
      <c r="AU258" s="86" t="e">
        <f t="shared" ref="AU258" si="2235">+AU257/AU256</f>
        <v>#DIV/0!</v>
      </c>
      <c r="AV258" s="86" t="e">
        <f t="shared" ref="AV258" si="2236">+AV257/AV256</f>
        <v>#DIV/0!</v>
      </c>
      <c r="AW258" s="86" t="e">
        <f t="shared" ref="AW258" si="2237">+AW257/AW256</f>
        <v>#DIV/0!</v>
      </c>
      <c r="AX258" s="86" t="e">
        <f t="shared" ref="AX258" si="2238">+AX257/AX256</f>
        <v>#DIV/0!</v>
      </c>
      <c r="AY258" s="86" t="e">
        <f t="shared" ref="AY258" si="2239">+AY257/AY256</f>
        <v>#DIV/0!</v>
      </c>
      <c r="AZ258" s="86" t="e">
        <f t="shared" ref="AZ258" si="2240">+AZ257/AZ256</f>
        <v>#DIV/0!</v>
      </c>
      <c r="BA258" s="86" t="e">
        <f t="shared" ref="BA258" si="2241">+BA257/BA256</f>
        <v>#DIV/0!</v>
      </c>
      <c r="BB258" s="86" t="e">
        <f t="shared" ref="BB258" si="2242">+BB257/BB256</f>
        <v>#DIV/0!</v>
      </c>
      <c r="BC258" s="86" t="e">
        <f t="shared" ref="BC258" si="2243">+BC257/BC256</f>
        <v>#DIV/0!</v>
      </c>
      <c r="BD258" s="86" t="e">
        <f t="shared" ref="BD258" si="2244">+BD257/BD256</f>
        <v>#DIV/0!</v>
      </c>
      <c r="BE258" s="86" t="e">
        <f t="shared" ref="BE258" si="2245">+BE257/BE256</f>
        <v>#DIV/0!</v>
      </c>
      <c r="BF258" s="86" t="e">
        <f t="shared" ref="BF258" si="2246">+BF257/BF256</f>
        <v>#DIV/0!</v>
      </c>
      <c r="BG258" s="86" t="e">
        <f t="shared" ref="BG258" si="2247">+BG257/BG256</f>
        <v>#DIV/0!</v>
      </c>
      <c r="BH258" s="86" t="e">
        <f t="shared" ref="BH258" si="2248">+BH257/BH256</f>
        <v>#DIV/0!</v>
      </c>
      <c r="BI258" s="86" t="e">
        <f t="shared" ref="BI258" si="2249">+BI257/BI256</f>
        <v>#DIV/0!</v>
      </c>
      <c r="BJ258" s="86" t="e">
        <f t="shared" ref="BJ258" si="2250">+BJ257/BJ256</f>
        <v>#DIV/0!</v>
      </c>
      <c r="BK258" s="86" t="e">
        <f t="shared" ref="BK258" si="2251">+BK257/BK256</f>
        <v>#DIV/0!</v>
      </c>
      <c r="BL258" s="86" t="e">
        <f t="shared" ref="BL258" si="2252">+BL257/BL256</f>
        <v>#DIV/0!</v>
      </c>
      <c r="BM258" s="86" t="e">
        <f t="shared" ref="BM258" si="2253">+BM257/BM256</f>
        <v>#DIV/0!</v>
      </c>
      <c r="BN258" s="86" t="e">
        <f t="shared" ref="BN258" si="2254">+BN257/BN256</f>
        <v>#DIV/0!</v>
      </c>
      <c r="BO258" s="86" t="e">
        <f t="shared" ref="BO258" si="2255">+BO257/BO256</f>
        <v>#DIV/0!</v>
      </c>
      <c r="BP258" s="86" t="e">
        <f t="shared" ref="BP258" si="2256">+BP257/BP256</f>
        <v>#DIV/0!</v>
      </c>
      <c r="BQ258" s="86" t="e">
        <f t="shared" ref="BQ258" si="2257">+BQ257/BQ256</f>
        <v>#DIV/0!</v>
      </c>
      <c r="BR258" s="86" t="e">
        <f t="shared" ref="BR258" si="2258">+BR257/BR256</f>
        <v>#DIV/0!</v>
      </c>
      <c r="BS258" s="86" t="e">
        <f t="shared" ref="BS258" si="2259">+BS257/BS256</f>
        <v>#DIV/0!</v>
      </c>
      <c r="BT258" s="86" t="e">
        <f t="shared" ref="BT258" si="2260">+BT257/BT256</f>
        <v>#DIV/0!</v>
      </c>
      <c r="BU258" s="86" t="e">
        <f t="shared" ref="BU258" si="2261">+BU257/BU256</f>
        <v>#DIV/0!</v>
      </c>
      <c r="BV258" s="86" t="e">
        <f t="shared" ref="BV258" si="2262">+BV257/BV256</f>
        <v>#DIV/0!</v>
      </c>
      <c r="BW258" s="86" t="e">
        <f t="shared" ref="BW258" si="2263">+BW257/BW256</f>
        <v>#DIV/0!</v>
      </c>
      <c r="BX258" s="86" t="e">
        <f t="shared" ref="BX258" si="2264">+BX257/BX256</f>
        <v>#DIV/0!</v>
      </c>
      <c r="BY258" s="86" t="e">
        <f t="shared" ref="BY258" si="2265">+BY257/BY256</f>
        <v>#DIV/0!</v>
      </c>
      <c r="BZ258" s="86" t="e">
        <f t="shared" ref="BZ258" si="2266">+BZ257/BZ256</f>
        <v>#DIV/0!</v>
      </c>
      <c r="CA258" s="86" t="e">
        <f t="shared" ref="CA258" si="2267">+CA257/CA256</f>
        <v>#DIV/0!</v>
      </c>
      <c r="CB258" s="86" t="e">
        <f t="shared" ref="CB258:CC258" si="2268">+CB257/CB256</f>
        <v>#DIV/0!</v>
      </c>
      <c r="CC258" s="86" t="e">
        <f t="shared" si="2268"/>
        <v>#DIV/0!</v>
      </c>
      <c r="CD258" s="86" t="e">
        <f t="shared" ref="CD258" si="2269">+CD257/CD256</f>
        <v>#DIV/0!</v>
      </c>
      <c r="CE258" s="86" t="e">
        <f t="shared" ref="CE258:CF258" si="2270">+CE257/CE256</f>
        <v>#DIV/0!</v>
      </c>
      <c r="CF258" s="86" t="e">
        <f t="shared" si="2270"/>
        <v>#DIV/0!</v>
      </c>
      <c r="CG258" s="86" t="e">
        <f t="shared" ref="CG258:CH258" si="2271">+CG257/CG256</f>
        <v>#DIV/0!</v>
      </c>
      <c r="CH258" s="86" t="e">
        <f t="shared" si="2271"/>
        <v>#DIV/0!</v>
      </c>
      <c r="CI258" s="86" t="e">
        <f t="shared" ref="CI258:CJ258" si="2272">+CI257/CI256</f>
        <v>#DIV/0!</v>
      </c>
      <c r="CJ258" s="86" t="e">
        <f t="shared" si="2272"/>
        <v>#DIV/0!</v>
      </c>
      <c r="CK258" s="47" t="e">
        <f t="shared" ref="CK258:DB258" si="2273">+CK257/CK256</f>
        <v>#DIV/0!</v>
      </c>
      <c r="CL258" s="86" t="e">
        <f t="shared" si="2273"/>
        <v>#DIV/0!</v>
      </c>
      <c r="CM258" s="47" t="e">
        <f t="shared" si="2273"/>
        <v>#DIV/0!</v>
      </c>
      <c r="CN258" s="47" t="e">
        <f t="shared" si="2273"/>
        <v>#DIV/0!</v>
      </c>
      <c r="CO258" s="47" t="e">
        <f t="shared" si="2273"/>
        <v>#DIV/0!</v>
      </c>
      <c r="CP258" s="47" t="e">
        <f t="shared" si="2273"/>
        <v>#DIV/0!</v>
      </c>
      <c r="CQ258" s="47" t="e">
        <f t="shared" si="2273"/>
        <v>#DIV/0!</v>
      </c>
      <c r="CR258" s="47" t="e">
        <f t="shared" si="2273"/>
        <v>#DIV/0!</v>
      </c>
      <c r="CS258" s="47" t="e">
        <f t="shared" si="2273"/>
        <v>#DIV/0!</v>
      </c>
      <c r="CT258" s="47" t="e">
        <f t="shared" si="2273"/>
        <v>#DIV/0!</v>
      </c>
      <c r="CU258" s="47" t="e">
        <f t="shared" si="2273"/>
        <v>#DIV/0!</v>
      </c>
      <c r="CV258" s="47" t="e">
        <f t="shared" si="2273"/>
        <v>#DIV/0!</v>
      </c>
      <c r="CW258" s="47" t="e">
        <f t="shared" si="2273"/>
        <v>#DIV/0!</v>
      </c>
      <c r="CX258" s="47" t="e">
        <f t="shared" si="2273"/>
        <v>#DIV/0!</v>
      </c>
      <c r="CY258" s="47" t="e">
        <f t="shared" si="2273"/>
        <v>#DIV/0!</v>
      </c>
      <c r="CZ258" s="47" t="e">
        <f t="shared" si="2273"/>
        <v>#DIV/0!</v>
      </c>
      <c r="DA258" s="47" t="e">
        <f t="shared" si="2273"/>
        <v>#DIV/0!</v>
      </c>
      <c r="DB258" s="47" t="e">
        <f t="shared" si="2273"/>
        <v>#DIV/0!</v>
      </c>
      <c r="DE258" s="130"/>
      <c r="DF258" s="89" t="e">
        <v>#DIV/0!</v>
      </c>
    </row>
    <row r="259" spans="1:110" s="64" customFormat="1" hidden="1" outlineLevel="1" x14ac:dyDescent="0.2">
      <c r="A259" s="64" t="s">
        <v>481</v>
      </c>
      <c r="AB259" s="30"/>
      <c r="AC259" s="30"/>
      <c r="AD259" s="30"/>
      <c r="AE259" s="30"/>
      <c r="CK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62" customFormat="1" hidden="1" outlineLevel="1" x14ac:dyDescent="0.2">
      <c r="AB260" s="63"/>
      <c r="AC260" s="63"/>
      <c r="AD260" s="63"/>
      <c r="AE260" s="63"/>
      <c r="CK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11" customFormat="1" collapsed="1" x14ac:dyDescent="0.2">
      <c r="AB261" s="63"/>
      <c r="AC261" s="63"/>
      <c r="AD261" s="63"/>
      <c r="AE261" s="63"/>
      <c r="CK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62" customFormat="1" x14ac:dyDescent="0.2">
      <c r="A262" s="154" t="s">
        <v>497</v>
      </c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63"/>
      <c r="AC262" s="63"/>
      <c r="AD262" s="63"/>
      <c r="AE262" s="63"/>
      <c r="AL262" s="180"/>
      <c r="CF262" s="180"/>
      <c r="CG262" s="180"/>
      <c r="CH262" s="180"/>
      <c r="CI262" s="180"/>
      <c r="CJ262" s="180"/>
      <c r="CK262" s="30"/>
      <c r="CL262" s="18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84" customFormat="1" x14ac:dyDescent="0.2">
      <c r="A263" s="84" t="s">
        <v>512</v>
      </c>
      <c r="B263" s="84" t="e">
        <f>B27/B184</f>
        <v>#DIV/0!</v>
      </c>
      <c r="C263" s="84" t="e">
        <f>C27/C184</f>
        <v>#DIV/0!</v>
      </c>
      <c r="D263" s="84" t="e">
        <f>D27/D184</f>
        <v>#DIV/0!</v>
      </c>
      <c r="E263" s="84">
        <f t="shared" ref="E263:Y263" si="2274">E29/(E180+E167+E157)</f>
        <v>0</v>
      </c>
      <c r="F263" s="84">
        <f t="shared" si="2274"/>
        <v>0</v>
      </c>
      <c r="G263" s="84">
        <f t="shared" si="2274"/>
        <v>0</v>
      </c>
      <c r="H263" s="84">
        <f t="shared" si="2274"/>
        <v>0</v>
      </c>
      <c r="I263" s="84">
        <f t="shared" si="2274"/>
        <v>0</v>
      </c>
      <c r="J263" s="84">
        <f t="shared" si="2274"/>
        <v>0</v>
      </c>
      <c r="K263" s="84">
        <f t="shared" si="2274"/>
        <v>2.4255871950236586E-2</v>
      </c>
      <c r="L263" s="84">
        <f t="shared" si="2274"/>
        <v>6.1041757137176217E-2</v>
      </c>
      <c r="M263" s="84">
        <f t="shared" si="2274"/>
        <v>7.986743928692018E-2</v>
      </c>
      <c r="N263" s="84">
        <f t="shared" si="2274"/>
        <v>0.12423671050242001</v>
      </c>
      <c r="O263" s="84">
        <f t="shared" si="2274"/>
        <v>0.26409634455436953</v>
      </c>
      <c r="P263" s="84">
        <f t="shared" si="2274"/>
        <v>0.33513748566723428</v>
      </c>
      <c r="Q263" s="84">
        <f t="shared" si="2274"/>
        <v>0.33684094846243789</v>
      </c>
      <c r="R263" s="84">
        <f t="shared" si="2274"/>
        <v>0.3162141566787286</v>
      </c>
      <c r="S263" s="84">
        <f t="shared" si="2274"/>
        <v>0.29194317539038084</v>
      </c>
      <c r="T263" s="84">
        <f t="shared" si="2274"/>
        <v>0.35130024530821202</v>
      </c>
      <c r="U263" s="84">
        <f t="shared" si="2274"/>
        <v>0.3527282152906927</v>
      </c>
      <c r="V263" s="84">
        <f t="shared" si="2274"/>
        <v>0.3327349855784909</v>
      </c>
      <c r="W263" s="84">
        <f t="shared" si="2274"/>
        <v>0.33801949988174085</v>
      </c>
      <c r="X263" s="84">
        <f t="shared" si="2274"/>
        <v>0.45201516086266585</v>
      </c>
      <c r="Y263" s="84">
        <f t="shared" si="2274"/>
        <v>0.54760321058262895</v>
      </c>
      <c r="Z263" s="84">
        <f>Z29/(Z180+Z167+Z157)</f>
        <v>0.49799801626928547</v>
      </c>
      <c r="AA263" s="84">
        <f>AA29/(AA180+AA167+AA157)</f>
        <v>0.38347729265647312</v>
      </c>
      <c r="AB263" s="50">
        <f t="shared" ref="AB263:AE263" si="2275">AB29/(AB180+AB167+AB157)</f>
        <v>0.39770648002173709</v>
      </c>
      <c r="AC263" s="50">
        <f t="shared" si="2275"/>
        <v>0.42047281506856787</v>
      </c>
      <c r="AD263" s="50">
        <f t="shared" si="2275"/>
        <v>0.43521779229812163</v>
      </c>
      <c r="AE263" s="50">
        <f t="shared" si="2275"/>
        <v>0.46405604834353409</v>
      </c>
      <c r="AL263" s="84">
        <f>SUM(AI29:AL29)/(AL180+AL167+AL157)</f>
        <v>0.11514223767028149</v>
      </c>
      <c r="AM263" s="84">
        <f t="shared" ref="AM263:CL263" si="2276">SUM(AJ29:AM29)/(AM180+AM167+AM157)</f>
        <v>0.13637979267420544</v>
      </c>
      <c r="AN263" s="84">
        <f t="shared" si="2276"/>
        <v>0.14507191963291996</v>
      </c>
      <c r="AO263" s="84">
        <f t="shared" si="2276"/>
        <v>0.18252711377891404</v>
      </c>
      <c r="AP263" s="84">
        <f t="shared" si="2276"/>
        <v>0.2573573194675946</v>
      </c>
      <c r="AQ263" s="84">
        <f t="shared" si="2276"/>
        <v>0.31400198409282903</v>
      </c>
      <c r="AR263" s="84">
        <f t="shared" si="2276"/>
        <v>0.32066464369053888</v>
      </c>
      <c r="AS263" s="84">
        <f t="shared" si="2276"/>
        <v>0.33607021066392673</v>
      </c>
      <c r="AT263" s="84">
        <f t="shared" si="2276"/>
        <v>0.3337999778021799</v>
      </c>
      <c r="AU263" s="84">
        <f t="shared" si="2276"/>
        <v>0.33851481512850734</v>
      </c>
      <c r="AV263" s="84">
        <f t="shared" si="2276"/>
        <v>0.32916983276955625</v>
      </c>
      <c r="AW263" s="84">
        <f t="shared" si="2276"/>
        <v>0.33670247994944552</v>
      </c>
      <c r="AX263" s="84">
        <f t="shared" si="2276"/>
        <v>0.33686179153550005</v>
      </c>
      <c r="AY263" s="84">
        <f t="shared" si="2276"/>
        <v>0.33875113403416651</v>
      </c>
      <c r="AZ263" s="84">
        <f t="shared" si="2276"/>
        <v>0.3569230884373657</v>
      </c>
      <c r="BA263" s="84">
        <f t="shared" si="2276"/>
        <v>0.3502075938595316</v>
      </c>
      <c r="BB263" s="84">
        <f t="shared" si="2276"/>
        <v>0.31808053693527599</v>
      </c>
      <c r="BC263" s="84">
        <f t="shared" si="2276"/>
        <v>0.32665295728347188</v>
      </c>
      <c r="BD263" s="84">
        <f t="shared" si="2276"/>
        <v>0.333765115514642</v>
      </c>
      <c r="BE263" s="84">
        <f t="shared" si="2276"/>
        <v>0.33997055040261115</v>
      </c>
      <c r="BF263" s="84">
        <f t="shared" si="2276"/>
        <v>0.29524885348447805</v>
      </c>
      <c r="BG263" s="84">
        <f t="shared" si="2276"/>
        <v>0.27173599655354236</v>
      </c>
      <c r="BH263" s="84">
        <f t="shared" si="2276"/>
        <v>0.27523474162054945</v>
      </c>
      <c r="BI263" s="84">
        <f t="shared" si="2276"/>
        <v>0.30450393875993614</v>
      </c>
      <c r="BJ263" s="84">
        <f t="shared" si="2276"/>
        <v>0.35244251675269356</v>
      </c>
      <c r="BK263" s="84">
        <f t="shared" si="2276"/>
        <v>0.40636045102534962</v>
      </c>
      <c r="BL263" s="84">
        <f t="shared" si="2276"/>
        <v>0.35393758964315031</v>
      </c>
      <c r="BM263" s="84">
        <f t="shared" si="2276"/>
        <v>0.35737776497927493</v>
      </c>
      <c r="BN263" s="84">
        <f t="shared" si="2276"/>
        <v>0.35278538524297043</v>
      </c>
      <c r="BO263" s="84">
        <f t="shared" si="2276"/>
        <v>0.3248754126801105</v>
      </c>
      <c r="BP263" s="84">
        <f t="shared" si="2276"/>
        <v>0.33085827530290574</v>
      </c>
      <c r="BQ263" s="84">
        <f t="shared" si="2276"/>
        <v>0.33797611495450536</v>
      </c>
      <c r="BR263" s="84">
        <f t="shared" si="2276"/>
        <v>0.33273498557849096</v>
      </c>
      <c r="BS263" s="84">
        <f t="shared" si="2276"/>
        <v>0.34831174193109626</v>
      </c>
      <c r="BT263" s="84">
        <f t="shared" si="2276"/>
        <v>0.31775246128064316</v>
      </c>
      <c r="BU263" s="84">
        <f t="shared" si="2276"/>
        <v>0.29709066542230905</v>
      </c>
      <c r="BV263" s="84">
        <f t="shared" si="2276"/>
        <v>0.3380194998817409</v>
      </c>
      <c r="BW263" s="84">
        <f t="shared" si="2276"/>
        <v>0.39712062780572804</v>
      </c>
      <c r="BX263" s="84">
        <f t="shared" si="2276"/>
        <v>0.43155940986727309</v>
      </c>
      <c r="BY263" s="84">
        <f t="shared" si="2276"/>
        <v>0.45779784658057637</v>
      </c>
      <c r="BZ263" s="84">
        <f t="shared" si="2276"/>
        <v>0.45576065586334313</v>
      </c>
      <c r="CA263" s="84">
        <f t="shared" si="2276"/>
        <v>0.38331606729941337</v>
      </c>
      <c r="CB263" s="84">
        <f t="shared" si="2276"/>
        <v>0.47923614924638491</v>
      </c>
      <c r="CC263" s="84">
        <f t="shared" si="2276"/>
        <v>0.52254911633743284</v>
      </c>
      <c r="CD263" s="84">
        <f t="shared" si="2276"/>
        <v>0.54760321058262884</v>
      </c>
      <c r="CE263" s="84">
        <f t="shared" si="2276"/>
        <v>0.56392904637249719</v>
      </c>
      <c r="CF263" s="84">
        <f t="shared" si="2276"/>
        <v>0.49329738482062047</v>
      </c>
      <c r="CG263" s="84">
        <f t="shared" si="2276"/>
        <v>0.48568773818563571</v>
      </c>
      <c r="CH263" s="84">
        <f t="shared" si="2276"/>
        <v>0.49799801626928553</v>
      </c>
      <c r="CI263" s="84">
        <f t="shared" si="2276"/>
        <v>0.47669091929226087</v>
      </c>
      <c r="CJ263" s="84">
        <f t="shared" si="2276"/>
        <v>0.44217744768336681</v>
      </c>
      <c r="CK263" s="50">
        <f t="shared" ref="CK263" si="2277">SUM(CH29:CK29)/(CK180+CK167+CK157)</f>
        <v>0.42727321957162273</v>
      </c>
      <c r="CL263" s="84">
        <f t="shared" si="2276"/>
        <v>0.38372756057163537</v>
      </c>
      <c r="CM263" s="50">
        <f t="shared" ref="CM263:DB263" si="2278">SUM(CJ29:CM29)/(CM180+CM167+CM157)</f>
        <v>0.38148275535761367</v>
      </c>
      <c r="CN263" s="50">
        <f t="shared" si="2278"/>
        <v>0.38509984001299985</v>
      </c>
      <c r="CO263" s="50">
        <f t="shared" si="2278"/>
        <v>0.39270322051331014</v>
      </c>
      <c r="CP263" s="50">
        <f t="shared" si="2278"/>
        <v>0.39770648002173709</v>
      </c>
      <c r="CQ263" s="50">
        <f t="shared" si="2278"/>
        <v>0.40046284526863796</v>
      </c>
      <c r="CR263" s="50">
        <f t="shared" si="2278"/>
        <v>0.40724668981858841</v>
      </c>
      <c r="CS263" s="50">
        <f t="shared" si="2278"/>
        <v>0.41693922227443919</v>
      </c>
      <c r="CT263" s="50">
        <f t="shared" si="2278"/>
        <v>0.42047281506856787</v>
      </c>
      <c r="CU263" s="50">
        <f t="shared" si="2278"/>
        <v>0.43003039983397701</v>
      </c>
      <c r="CV263" s="50">
        <f t="shared" si="2278"/>
        <v>0.43307851443411649</v>
      </c>
      <c r="CW263" s="50">
        <f t="shared" si="2278"/>
        <v>0.43624669426023827</v>
      </c>
      <c r="CX263" s="50">
        <f t="shared" si="2278"/>
        <v>0.43521779229812163</v>
      </c>
      <c r="CY263" s="50">
        <f t="shared" si="2278"/>
        <v>0.44768172761286046</v>
      </c>
      <c r="CZ263" s="50">
        <f t="shared" si="2278"/>
        <v>0.45714143078571101</v>
      </c>
      <c r="DA263" s="50">
        <f t="shared" si="2278"/>
        <v>0.4630113679868163</v>
      </c>
      <c r="DB263" s="50">
        <f t="shared" si="2278"/>
        <v>0.46405604834353409</v>
      </c>
      <c r="DE263" s="138"/>
      <c r="DF263" s="84" t="e">
        <v>#DIV/0!</v>
      </c>
    </row>
    <row r="264" spans="1:110" s="84" customFormat="1" x14ac:dyDescent="0.2">
      <c r="A264" s="84" t="s">
        <v>513</v>
      </c>
      <c r="E264" s="181" t="e">
        <f>+E61</f>
        <v>#DIV/0!</v>
      </c>
      <c r="F264" s="181" t="e">
        <f t="shared" ref="F264:AE264" si="2279">+F61</f>
        <v>#DIV/0!</v>
      </c>
      <c r="G264" s="181" t="e">
        <f t="shared" si="2279"/>
        <v>#DIV/0!</v>
      </c>
      <c r="H264" s="181" t="e">
        <f t="shared" si="2279"/>
        <v>#DIV/0!</v>
      </c>
      <c r="I264" s="181" t="e">
        <f t="shared" si="2279"/>
        <v>#DIV/0!</v>
      </c>
      <c r="J264" s="181" t="e">
        <f t="shared" si="2279"/>
        <v>#DIV/0!</v>
      </c>
      <c r="K264" s="181">
        <f t="shared" si="2279"/>
        <v>0.39093041438623932</v>
      </c>
      <c r="L264" s="181">
        <f t="shared" si="2279"/>
        <v>0.24402980531006616</v>
      </c>
      <c r="M264" s="181">
        <f t="shared" si="2279"/>
        <v>-7.1966883015326943E-2</v>
      </c>
      <c r="N264" s="181">
        <f t="shared" si="2279"/>
        <v>-0.34207801326378895</v>
      </c>
      <c r="O264" s="181">
        <f t="shared" si="2279"/>
        <v>-1.2668861024709108E-2</v>
      </c>
      <c r="P264" s="181">
        <f t="shared" si="2279"/>
        <v>-6.8907860551119735E-2</v>
      </c>
      <c r="Q264" s="181">
        <f t="shared" si="2279"/>
        <v>2.1572784451928589E-2</v>
      </c>
      <c r="R264" s="181">
        <f t="shared" si="2279"/>
        <v>-9.2742104865201E-2</v>
      </c>
      <c r="S264" s="181">
        <f t="shared" si="2279"/>
        <v>-0.10213462383300467</v>
      </c>
      <c r="T264" s="181">
        <f t="shared" si="2279"/>
        <v>-4.1215566119498406E-2</v>
      </c>
      <c r="U264" s="181">
        <f t="shared" si="2279"/>
        <v>-4.8050228731451032E-2</v>
      </c>
      <c r="V264" s="181">
        <f t="shared" si="2279"/>
        <v>4.8432811572802173E-2</v>
      </c>
      <c r="W264" s="181">
        <f t="shared" si="2279"/>
        <v>0.17724182081022893</v>
      </c>
      <c r="X264" s="181">
        <f t="shared" si="2279"/>
        <v>0.27665016905963646</v>
      </c>
      <c r="Y264" s="181">
        <f t="shared" si="2279"/>
        <v>0.41366976986668647</v>
      </c>
      <c r="Z264" s="181">
        <f t="shared" si="2279"/>
        <v>0.2268489152464748</v>
      </c>
      <c r="AA264" s="181">
        <f t="shared" ref="AA264" si="2280">+AA61</f>
        <v>0.23914003774300099</v>
      </c>
      <c r="AB264" s="182">
        <f t="shared" si="2279"/>
        <v>0.2371535171895591</v>
      </c>
      <c r="AC264" s="182">
        <f t="shared" si="2279"/>
        <v>0.24406421902670228</v>
      </c>
      <c r="AD264" s="182">
        <f t="shared" si="2279"/>
        <v>0.24263710267754385</v>
      </c>
      <c r="AE264" s="182">
        <f t="shared" si="2279"/>
        <v>0.24948843476158775</v>
      </c>
      <c r="AL264" s="181">
        <f t="shared" ref="AL264:CW264" si="2281">+AL61</f>
        <v>-0.30994161333523895</v>
      </c>
      <c r="AM264" s="181">
        <f t="shared" si="2281"/>
        <v>-0.56408433797327129</v>
      </c>
      <c r="AN264" s="181">
        <f t="shared" si="2281"/>
        <v>-0.38311435818222705</v>
      </c>
      <c r="AO264" s="181">
        <f t="shared" si="2281"/>
        <v>-0.13001902007250049</v>
      </c>
      <c r="AP264" s="181">
        <f t="shared" si="2281"/>
        <v>0.42167167793159005</v>
      </c>
      <c r="AQ264" s="181">
        <f t="shared" si="2281"/>
        <v>-3.4024792514160761E-2</v>
      </c>
      <c r="AR264" s="181">
        <f t="shared" si="2281"/>
        <v>-0.19255628711188483</v>
      </c>
      <c r="AS264" s="181">
        <f t="shared" si="2281"/>
        <v>-7.7884466892560858E-2</v>
      </c>
      <c r="AT264" s="181">
        <f t="shared" si="2281"/>
        <v>1.2316927902372926E-2</v>
      </c>
      <c r="AU264" s="181">
        <f t="shared" si="2281"/>
        <v>-2.7944011060540327E-2</v>
      </c>
      <c r="AV264" s="181">
        <f t="shared" si="2281"/>
        <v>-7.0381853814277764E-2</v>
      </c>
      <c r="AW264" s="181">
        <f t="shared" si="2281"/>
        <v>1.7685092608894479E-2</v>
      </c>
      <c r="AX264" s="181">
        <f t="shared" si="2281"/>
        <v>0.13239912674836721</v>
      </c>
      <c r="AY264" s="181">
        <f t="shared" si="2281"/>
        <v>-4.3191206914157725E-2</v>
      </c>
      <c r="AZ264" s="181">
        <f t="shared" si="2281"/>
        <v>-5.6137462812629477E-2</v>
      </c>
      <c r="BA264" s="181">
        <f t="shared" si="2281"/>
        <v>-0.12296603148301571</v>
      </c>
      <c r="BB264" s="181">
        <f t="shared" si="2281"/>
        <v>-0.13913853874938412</v>
      </c>
      <c r="BC264" s="181">
        <f t="shared" si="2281"/>
        <v>-8.1690527044969166E-2</v>
      </c>
      <c r="BD264" s="181">
        <f t="shared" si="2281"/>
        <v>5.1449493022462968E-2</v>
      </c>
      <c r="BE264" s="181">
        <f t="shared" si="2281"/>
        <v>-0.2690640442897661</v>
      </c>
      <c r="BF264" s="181">
        <f t="shared" si="2281"/>
        <v>-0.15933346897048889</v>
      </c>
      <c r="BG264" s="181">
        <f t="shared" si="2281"/>
        <v>-0.2154618662655888</v>
      </c>
      <c r="BH264" s="181">
        <f t="shared" si="2281"/>
        <v>5.4459180599699938E-2</v>
      </c>
      <c r="BI264" s="181">
        <f t="shared" si="2281"/>
        <v>-0.18727557636430539</v>
      </c>
      <c r="BJ264" s="181">
        <f t="shared" si="2281"/>
        <v>9.4416310111102533E-2</v>
      </c>
      <c r="BK264" s="181">
        <f t="shared" si="2281"/>
        <v>9.4916192384666781E-2</v>
      </c>
      <c r="BL264" s="181">
        <f t="shared" si="2281"/>
        <v>4.53032528749851E-4</v>
      </c>
      <c r="BM264" s="181">
        <f t="shared" si="2281"/>
        <v>-0.10683182201185738</v>
      </c>
      <c r="BN264" s="181">
        <f t="shared" si="2281"/>
        <v>-0.21269743034752919</v>
      </c>
      <c r="BO264" s="181">
        <f t="shared" si="2281"/>
        <v>-0.13114571383000606</v>
      </c>
      <c r="BP264" s="181">
        <f t="shared" si="2281"/>
        <v>0.28751963103335687</v>
      </c>
      <c r="BQ264" s="181">
        <f t="shared" si="2281"/>
        <v>-4.1877694043661574E-2</v>
      </c>
      <c r="BR264" s="181">
        <f t="shared" si="2281"/>
        <v>2.0600602485252102E-3</v>
      </c>
      <c r="BS264" s="181">
        <f t="shared" si="2281"/>
        <v>4.2354381125492134E-2</v>
      </c>
      <c r="BT264" s="181">
        <f t="shared" si="2281"/>
        <v>-4.4485942365047194E-2</v>
      </c>
      <c r="BU264" s="181">
        <f t="shared" si="2281"/>
        <v>4.0756368357433924E-2</v>
      </c>
      <c r="BV264" s="181">
        <f t="shared" si="2281"/>
        <v>0.43834369084846064</v>
      </c>
      <c r="BW264" s="181">
        <f t="shared" si="2281"/>
        <v>0.34830861338506125</v>
      </c>
      <c r="BX264" s="181">
        <f t="shared" si="2281"/>
        <v>9.8743996467800715E-2</v>
      </c>
      <c r="BY264" s="181">
        <f t="shared" si="2281"/>
        <v>1.1295127382506269E-3</v>
      </c>
      <c r="BZ264" s="181">
        <f t="shared" si="2281"/>
        <v>0.5118579660732312</v>
      </c>
      <c r="CA264" s="181">
        <f t="shared" si="2281"/>
        <v>0.79591005984258834</v>
      </c>
      <c r="CB264" s="181">
        <f t="shared" si="2281"/>
        <v>0.50761166937888835</v>
      </c>
      <c r="CC264" s="181">
        <f t="shared" si="2281"/>
        <v>0.21075107917213193</v>
      </c>
      <c r="CD264" s="181">
        <f t="shared" si="2281"/>
        <v>0.20482666089979637</v>
      </c>
      <c r="CE264" s="181">
        <f t="shared" si="2281"/>
        <v>0.26162655802530549</v>
      </c>
      <c r="CF264" s="181">
        <f t="shared" si="2281"/>
        <v>0.24721116015737449</v>
      </c>
      <c r="CG264" s="181">
        <f t="shared" si="2281"/>
        <v>0.21505605222080321</v>
      </c>
      <c r="CH264" s="181">
        <f t="shared" si="2281"/>
        <v>0.18256352985797961</v>
      </c>
      <c r="CI264" s="181">
        <f t="shared" si="2281"/>
        <v>0.23425436684704598</v>
      </c>
      <c r="CJ264" s="181">
        <f t="shared" si="2281"/>
        <v>0.21598384167456855</v>
      </c>
      <c r="CK264" s="182">
        <f t="shared" si="2281"/>
        <v>0.19982347423269931</v>
      </c>
      <c r="CL264" s="181">
        <f t="shared" ref="CL264" si="2282">+CL61</f>
        <v>0.30031448862378002</v>
      </c>
      <c r="CM264" s="182">
        <f t="shared" si="2281"/>
        <v>0.23941805823193563</v>
      </c>
      <c r="CN264" s="182">
        <f t="shared" si="2281"/>
        <v>0.22665174375522232</v>
      </c>
      <c r="CO264" s="182">
        <f t="shared" si="2281"/>
        <v>0.22792203529805455</v>
      </c>
      <c r="CP264" s="182">
        <f t="shared" si="2281"/>
        <v>0.25134454968571207</v>
      </c>
      <c r="CQ264" s="182">
        <f t="shared" si="2281"/>
        <v>0.24077937949025568</v>
      </c>
      <c r="CR264" s="182">
        <f t="shared" si="2281"/>
        <v>0.23978039720625072</v>
      </c>
      <c r="CS264" s="182">
        <f t="shared" si="2281"/>
        <v>0.24117423262290374</v>
      </c>
      <c r="CT264" s="182">
        <f t="shared" si="2281"/>
        <v>0.25239852040462674</v>
      </c>
      <c r="CU264" s="182">
        <f t="shared" si="2281"/>
        <v>0.23703531975183639</v>
      </c>
      <c r="CV264" s="182">
        <f t="shared" si="2281"/>
        <v>0.23597752332491559</v>
      </c>
      <c r="CW264" s="182">
        <f t="shared" si="2281"/>
        <v>0.24090239908877922</v>
      </c>
      <c r="CX264" s="182">
        <f t="shared" ref="CX264:DB264" si="2283">+CX61</f>
        <v>0.25335705218536692</v>
      </c>
      <c r="CY264" s="182">
        <f t="shared" si="2283"/>
        <v>0.24151319725000464</v>
      </c>
      <c r="CZ264" s="182">
        <f t="shared" si="2283"/>
        <v>0.24462216355422051</v>
      </c>
      <c r="DA264" s="182">
        <f t="shared" si="2283"/>
        <v>0.24655762139776349</v>
      </c>
      <c r="DB264" s="182">
        <f t="shared" si="2283"/>
        <v>0.26131404129287428</v>
      </c>
      <c r="DE264" s="138"/>
      <c r="DF264" s="84" t="e">
        <v>#DIV/0!</v>
      </c>
    </row>
    <row r="265" spans="1:110" s="84" customFormat="1" x14ac:dyDescent="0.2">
      <c r="A265" s="84" t="s">
        <v>514</v>
      </c>
      <c r="E265" s="84">
        <f>(E180+E167+E157+E159)/E139</f>
        <v>1.0010649627263046</v>
      </c>
      <c r="F265" s="84">
        <f t="shared" ref="F265:AE265" si="2284">(F180+F167+F157+F159)/F139</f>
        <v>0.99338736842105269</v>
      </c>
      <c r="G265" s="84">
        <f t="shared" si="2284"/>
        <v>1.2065648148148149</v>
      </c>
      <c r="H265" s="84">
        <f t="shared" si="2284"/>
        <v>2.3364345006947165</v>
      </c>
      <c r="I265" s="84">
        <f t="shared" si="2284"/>
        <v>2.0093159753145486</v>
      </c>
      <c r="J265" s="84">
        <f t="shared" si="2284"/>
        <v>3.4519950139670184</v>
      </c>
      <c r="K265" s="84">
        <f t="shared" si="2284"/>
        <v>3.1027999210802308</v>
      </c>
      <c r="L265" s="84">
        <f t="shared" si="2284"/>
        <v>5.5650388400781257</v>
      </c>
      <c r="M265" s="84">
        <f t="shared" si="2284"/>
        <v>8.4827479470512195</v>
      </c>
      <c r="N265" s="84">
        <f t="shared" si="2284"/>
        <v>12.712063371539173</v>
      </c>
      <c r="O265" s="84">
        <f t="shared" si="2284"/>
        <v>8.9501038452545263</v>
      </c>
      <c r="P265" s="84">
        <f t="shared" si="2284"/>
        <v>10.18743252827262</v>
      </c>
      <c r="Q265" s="84">
        <f t="shared" si="2284"/>
        <v>10.150016202767592</v>
      </c>
      <c r="R265" s="84">
        <f t="shared" si="2284"/>
        <v>23.843367027163985</v>
      </c>
      <c r="S265" s="84">
        <f t="shared" si="2284"/>
        <v>78.203535245634356</v>
      </c>
      <c r="T265" s="84">
        <f t="shared" si="2284"/>
        <v>-236.30721907476311</v>
      </c>
      <c r="U265" s="84">
        <f t="shared" si="2284"/>
        <v>-35.153455513079976</v>
      </c>
      <c r="V265" s="84">
        <f t="shared" si="2284"/>
        <v>158.37518840812714</v>
      </c>
      <c r="W265" s="84">
        <f t="shared" si="2284"/>
        <v>14.937034931601692</v>
      </c>
      <c r="X265" s="84">
        <f t="shared" si="2284"/>
        <v>5.1511326682136236</v>
      </c>
      <c r="Y265" s="84">
        <f t="shared" si="2284"/>
        <v>2.5662392691270419</v>
      </c>
      <c r="Z265" s="84">
        <f t="shared" si="2284"/>
        <v>2.1189193053803352</v>
      </c>
      <c r="AA265" s="84">
        <f t="shared" ref="AA265" si="2285">(AA180+AA167+AA157+AA159)/AA139</f>
        <v>2.1785544670455375</v>
      </c>
      <c r="AB265" s="50">
        <f t="shared" si="2284"/>
        <v>2.0048216635375198</v>
      </c>
      <c r="AC265" s="50">
        <f t="shared" si="2284"/>
        <v>1.8187380023763284</v>
      </c>
      <c r="AD265" s="50">
        <f t="shared" si="2284"/>
        <v>1.708869073050147</v>
      </c>
      <c r="AE265" s="50">
        <f t="shared" si="2284"/>
        <v>1.6203993920382098</v>
      </c>
      <c r="AL265" s="84">
        <f t="shared" ref="AL265:CW265" si="2286">(AL180+AL167+AL157+AL159)/AL139</f>
        <v>12.737628132416891</v>
      </c>
      <c r="AM265" s="84">
        <f t="shared" si="2286"/>
        <v>17.395568534069646</v>
      </c>
      <c r="AN265" s="84">
        <f t="shared" si="2286"/>
        <v>13.050596228993987</v>
      </c>
      <c r="AO265" s="84">
        <f t="shared" si="2286"/>
        <v>15.001258644683364</v>
      </c>
      <c r="AP265" s="84">
        <f t="shared" si="2286"/>
        <v>8.9768361659629043</v>
      </c>
      <c r="AQ265" s="84">
        <f t="shared" si="2286"/>
        <v>9.2846116440353796</v>
      </c>
      <c r="AR265" s="84">
        <f t="shared" si="2286"/>
        <v>11.197732034552471</v>
      </c>
      <c r="AS265" s="84">
        <f t="shared" si="2286"/>
        <v>12.378207207550938</v>
      </c>
      <c r="AT265" s="84">
        <f t="shared" si="2286"/>
        <v>10.214515548630301</v>
      </c>
      <c r="AU265" s="84">
        <f t="shared" si="2286"/>
        <v>10.769931793315649</v>
      </c>
      <c r="AV265" s="84">
        <f t="shared" si="2286"/>
        <v>12.761787763585822</v>
      </c>
      <c r="AW265" s="84">
        <f t="shared" si="2286"/>
        <v>12.603179883096644</v>
      </c>
      <c r="AX265" s="84">
        <f t="shared" si="2286"/>
        <v>10.149401768916086</v>
      </c>
      <c r="AY265" s="84">
        <f t="shared" si="2286"/>
        <v>10.189059618141545</v>
      </c>
      <c r="AZ265" s="84">
        <f t="shared" si="2286"/>
        <v>8.7430584830276512</v>
      </c>
      <c r="BA265" s="84">
        <f t="shared" si="2286"/>
        <v>9.4303557718297437</v>
      </c>
      <c r="BB265" s="84">
        <f t="shared" si="2286"/>
        <v>23.840513275280376</v>
      </c>
      <c r="BC265" s="84">
        <f t="shared" si="2286"/>
        <v>27.53186553323135</v>
      </c>
      <c r="BD265" s="84">
        <f t="shared" si="2286"/>
        <v>24.79860442987788</v>
      </c>
      <c r="BE265" s="84">
        <f t="shared" si="2286"/>
        <v>44.202451924605271</v>
      </c>
      <c r="BF265" s="84">
        <f t="shared" si="2286"/>
        <v>78.180281785164112</v>
      </c>
      <c r="BG265" s="84">
        <f t="shared" si="2286"/>
        <v>77.853890566479194</v>
      </c>
      <c r="BH265" s="84">
        <f t="shared" si="2286"/>
        <v>13.166316380202026</v>
      </c>
      <c r="BI265" s="84">
        <f t="shared" si="2286"/>
        <v>16.31302566210913</v>
      </c>
      <c r="BJ265" s="84">
        <f t="shared" si="2286"/>
        <v>8.8150990172828028</v>
      </c>
      <c r="BK265" s="84">
        <f t="shared" si="2286"/>
        <v>9.2290495238183841</v>
      </c>
      <c r="BL265" s="84">
        <f t="shared" si="2286"/>
        <v>7.8447055062071085</v>
      </c>
      <c r="BM265" s="84">
        <f t="shared" si="2286"/>
        <v>8.4647113787174337</v>
      </c>
      <c r="BN265" s="84">
        <f t="shared" si="2286"/>
        <v>11.57714599625951</v>
      </c>
      <c r="BO265" s="84">
        <f t="shared" si="2286"/>
        <v>12.670686623705462</v>
      </c>
      <c r="BP265" s="84">
        <f t="shared" si="2286"/>
        <v>6.7015254886533038</v>
      </c>
      <c r="BQ265" s="84">
        <f t="shared" si="2286"/>
        <v>6.8117654055438095</v>
      </c>
      <c r="BR265" s="84">
        <f t="shared" si="2286"/>
        <v>6.0099423531125433</v>
      </c>
      <c r="BS265" s="84">
        <f t="shared" si="2286"/>
        <v>5.914551974841773</v>
      </c>
      <c r="BT265" s="84">
        <f t="shared" si="2286"/>
        <v>5.8806866215590494</v>
      </c>
      <c r="BU265" s="84">
        <f t="shared" si="2286"/>
        <v>5.8092795403511053</v>
      </c>
      <c r="BV265" s="84">
        <f t="shared" si="2286"/>
        <v>4.3832054424212865</v>
      </c>
      <c r="BW265" s="84">
        <f t="shared" si="2286"/>
        <v>3.7386333848839315</v>
      </c>
      <c r="BX265" s="84">
        <f t="shared" si="2286"/>
        <v>3.5789091606229522</v>
      </c>
      <c r="BY265" s="84">
        <f t="shared" si="2286"/>
        <v>3.5930090325121249</v>
      </c>
      <c r="BZ265" s="84">
        <f t="shared" si="2286"/>
        <v>2.8726150317683361</v>
      </c>
      <c r="CA265" s="84">
        <f t="shared" si="2286"/>
        <v>2.4539937093920683</v>
      </c>
      <c r="CB265" s="84">
        <f t="shared" si="2286"/>
        <v>2.1809813149171595</v>
      </c>
      <c r="CC265" s="84">
        <f t="shared" si="2286"/>
        <v>2.1062208069537873</v>
      </c>
      <c r="CD265" s="84">
        <f t="shared" si="2286"/>
        <v>2.1311476663708429</v>
      </c>
      <c r="CE265" s="84">
        <f t="shared" si="2286"/>
        <v>2.0462294144565534</v>
      </c>
      <c r="CF265" s="84">
        <f t="shared" si="2286"/>
        <v>1.979908954239068</v>
      </c>
      <c r="CG265" s="84">
        <f t="shared" si="2286"/>
        <v>1.9304658445593947</v>
      </c>
      <c r="CH265" s="84">
        <f t="shared" si="2286"/>
        <v>2.1189193053803352</v>
      </c>
      <c r="CI265" s="84">
        <f t="shared" si="2286"/>
        <v>2.0500447862247348</v>
      </c>
      <c r="CJ265" s="84">
        <f t="shared" si="2286"/>
        <v>2.1479771205046863</v>
      </c>
      <c r="CK265" s="50">
        <f t="shared" si="2286"/>
        <v>2.0855360005991646</v>
      </c>
      <c r="CL265" s="84">
        <f t="shared" ref="CL265" si="2287">(CL180+CL167+CL157+CL159)/CL139</f>
        <v>2.1785544670455375</v>
      </c>
      <c r="CM265" s="50">
        <f t="shared" si="2286"/>
        <v>2.1367797073370718</v>
      </c>
      <c r="CN265" s="50">
        <f t="shared" si="2286"/>
        <v>2.0678953277584875</v>
      </c>
      <c r="CO265" s="50">
        <f t="shared" si="2286"/>
        <v>2.0207132838524133</v>
      </c>
      <c r="CP265" s="50">
        <f t="shared" si="2286"/>
        <v>2.0048216635375198</v>
      </c>
      <c r="CQ265" s="50">
        <f t="shared" si="2286"/>
        <v>1.9315080765843706</v>
      </c>
      <c r="CR265" s="50">
        <f t="shared" si="2286"/>
        <v>1.8842213194516917</v>
      </c>
      <c r="CS265" s="50">
        <f t="shared" si="2286"/>
        <v>1.8428644954537072</v>
      </c>
      <c r="CT265" s="50">
        <f t="shared" si="2286"/>
        <v>1.8187380023763284</v>
      </c>
      <c r="CU265" s="50">
        <f t="shared" si="2286"/>
        <v>1.7647943348773831</v>
      </c>
      <c r="CV265" s="50">
        <f t="shared" si="2286"/>
        <v>1.7343756518303537</v>
      </c>
      <c r="CW265" s="50">
        <f t="shared" si="2286"/>
        <v>1.7151312187671093</v>
      </c>
      <c r="CX265" s="50">
        <f t="shared" ref="CX265:DB265" si="2288">(CX180+CX167+CX157+CX159)/CX139</f>
        <v>1.708869073050147</v>
      </c>
      <c r="CY265" s="50">
        <f t="shared" si="2288"/>
        <v>1.6606554809932061</v>
      </c>
      <c r="CZ265" s="50">
        <f t="shared" si="2288"/>
        <v>1.6388433495962316</v>
      </c>
      <c r="DA265" s="50">
        <f t="shared" si="2288"/>
        <v>1.6177091303509372</v>
      </c>
      <c r="DB265" s="50">
        <f t="shared" si="2288"/>
        <v>1.6203993920382098</v>
      </c>
      <c r="DE265" s="138"/>
      <c r="DF265" s="84" t="e">
        <v>#DIV/0!</v>
      </c>
    </row>
    <row r="266" spans="1:110" s="84" customFormat="1" x14ac:dyDescent="0.2">
      <c r="A266" s="154" t="s">
        <v>498</v>
      </c>
      <c r="AB266" s="50"/>
      <c r="AC266" s="50"/>
      <c r="AD266" s="50"/>
      <c r="AE266" s="50"/>
      <c r="CK266" s="50"/>
      <c r="CM266" s="50"/>
      <c r="CN266" s="50"/>
      <c r="CO266" s="50"/>
      <c r="CP266" s="50"/>
      <c r="CQ266" s="50"/>
      <c r="CR266" s="50"/>
      <c r="CS266" s="50"/>
      <c r="CT266" s="50"/>
      <c r="CU266" s="50"/>
      <c r="CV266" s="50"/>
      <c r="CW266" s="50"/>
      <c r="CX266" s="50"/>
      <c r="CY266" s="50"/>
      <c r="CZ266" s="50"/>
      <c r="DA266" s="50"/>
      <c r="DB266" s="50"/>
      <c r="DE266" s="138"/>
    </row>
    <row r="267" spans="1:110" s="88" customFormat="1" x14ac:dyDescent="0.2">
      <c r="A267" s="88" t="s">
        <v>102</v>
      </c>
      <c r="B267" s="88" t="e">
        <f t="shared" ref="B267:AE267" si="2289">B180/B139</f>
        <v>#DIV/0!</v>
      </c>
      <c r="C267" s="88" t="e">
        <f t="shared" si="2289"/>
        <v>#DIV/0!</v>
      </c>
      <c r="D267" s="88" t="e">
        <f t="shared" si="2289"/>
        <v>#DIV/0!</v>
      </c>
      <c r="F267" s="88">
        <f t="shared" si="2289"/>
        <v>6.3117894736842107E-3</v>
      </c>
      <c r="G267" s="88">
        <f t="shared" si="2289"/>
        <v>2.4722222222222225E-2</v>
      </c>
      <c r="H267" s="88">
        <f t="shared" si="2289"/>
        <v>0.17708005272720795</v>
      </c>
      <c r="I267" s="88">
        <f t="shared" si="2289"/>
        <v>0.17109927532340549</v>
      </c>
      <c r="J267" s="88">
        <f t="shared" si="2289"/>
        <v>0.24404406615717228</v>
      </c>
      <c r="K267" s="88">
        <f t="shared" si="2289"/>
        <v>0.20169365976580214</v>
      </c>
      <c r="L267" s="88">
        <f t="shared" si="2289"/>
        <v>0.15337536502039026</v>
      </c>
      <c r="M267" s="88">
        <f t="shared" si="2289"/>
        <v>0.53792968743534109</v>
      </c>
      <c r="N267" s="88">
        <f t="shared" si="2289"/>
        <v>0.40304792693919284</v>
      </c>
      <c r="O267" s="88">
        <f t="shared" si="2289"/>
        <v>0.14303594925566107</v>
      </c>
      <c r="P267" s="88">
        <f t="shared" si="2289"/>
        <v>0.21198612309638021</v>
      </c>
      <c r="Q267" s="88">
        <f t="shared" si="2289"/>
        <v>0.11633185410545992</v>
      </c>
      <c r="R267" s="88">
        <f t="shared" si="2289"/>
        <v>0.2562009094667218</v>
      </c>
      <c r="S267" s="88">
        <f t="shared" si="2289"/>
        <v>0.96320825790201625</v>
      </c>
      <c r="T267" s="88">
        <f t="shared" si="2289"/>
        <v>-3.1927635466268165</v>
      </c>
      <c r="U267" s="88">
        <f t="shared" si="2289"/>
        <v>-0.92857544411963122</v>
      </c>
      <c r="V267" s="88">
        <f t="shared" si="2289"/>
        <v>3.2705842159207368</v>
      </c>
      <c r="W267" s="88">
        <f t="shared" si="2289"/>
        <v>0.46423391710577139</v>
      </c>
      <c r="X267" s="88">
        <f t="shared" si="2289"/>
        <v>0.14916515912334805</v>
      </c>
      <c r="Y267" s="88">
        <f t="shared" si="2289"/>
        <v>0.21170119031438156</v>
      </c>
      <c r="Z267" s="88">
        <f t="shared" si="2289"/>
        <v>0.13431332645401581</v>
      </c>
      <c r="AA267" s="88">
        <f t="shared" ref="AA267" si="2290">AA180/AA139</f>
        <v>0.12962849462431825</v>
      </c>
      <c r="AB267" s="42">
        <f t="shared" si="2289"/>
        <v>-9.6778009295544448E-2</v>
      </c>
      <c r="AC267" s="42">
        <f t="shared" si="2289"/>
        <v>-0.27639883875493904</v>
      </c>
      <c r="AD267" s="42">
        <f t="shared" si="2289"/>
        <v>-0.28202055876145332</v>
      </c>
      <c r="AE267" s="42">
        <f t="shared" si="2289"/>
        <v>-0.25969155599274979</v>
      </c>
      <c r="AL267" s="88">
        <f t="shared" ref="AL267:CW267" si="2291">AL180/AL139</f>
        <v>0.40304792693919284</v>
      </c>
      <c r="AM267" s="88">
        <f t="shared" si="2291"/>
        <v>0.1925194645093368</v>
      </c>
      <c r="AN267" s="88">
        <f t="shared" si="2291"/>
        <v>0.32208412918148838</v>
      </c>
      <c r="AO267" s="88">
        <f t="shared" si="2291"/>
        <v>0.28409494956851772</v>
      </c>
      <c r="AP267" s="88">
        <f t="shared" si="2291"/>
        <v>0.14303594925566107</v>
      </c>
      <c r="AQ267" s="88">
        <f t="shared" si="2291"/>
        <v>8.1639193384308334E-2</v>
      </c>
      <c r="AR267" s="88">
        <f t="shared" si="2291"/>
        <v>0.33994853887153093</v>
      </c>
      <c r="AS267" s="88">
        <f t="shared" si="2291"/>
        <v>0.27785271106790577</v>
      </c>
      <c r="AT267" s="88">
        <f t="shared" si="2291"/>
        <v>0.21198612309638021</v>
      </c>
      <c r="AU267" s="88">
        <f t="shared" si="2291"/>
        <v>0.21631560979857772</v>
      </c>
      <c r="AV267" s="88">
        <f t="shared" si="2291"/>
        <v>0.14689728965481469</v>
      </c>
      <c r="AW267" s="88">
        <f t="shared" si="2291"/>
        <v>0.11229155640618875</v>
      </c>
      <c r="AX267" s="88">
        <f t="shared" si="2291"/>
        <v>0.11633200988236239</v>
      </c>
      <c r="AY267" s="88">
        <f t="shared" si="2291"/>
        <v>0.4090617674317204</v>
      </c>
      <c r="AZ267" s="88">
        <f t="shared" si="2291"/>
        <v>0.28155031931292662</v>
      </c>
      <c r="BA267" s="88">
        <f t="shared" si="2291"/>
        <v>0.22645056844553901</v>
      </c>
      <c r="BB267" s="88">
        <f t="shared" si="2291"/>
        <v>0.2562009094667218</v>
      </c>
      <c r="BC267" s="88">
        <f t="shared" si="2291"/>
        <v>0.22719405095017101</v>
      </c>
      <c r="BD267" s="88">
        <f t="shared" si="2291"/>
        <v>0.34400098676675295</v>
      </c>
      <c r="BE267" s="88">
        <f t="shared" si="2291"/>
        <v>-0.17337049981137667</v>
      </c>
      <c r="BF267" s="88">
        <f t="shared" si="2291"/>
        <v>0.96320825790201625</v>
      </c>
      <c r="BG267" s="88">
        <f t="shared" si="2291"/>
        <v>0.93399539279713828</v>
      </c>
      <c r="BH267" s="88">
        <f t="shared" si="2291"/>
        <v>0.21916011942751087</v>
      </c>
      <c r="BI267" s="88">
        <f t="shared" si="2291"/>
        <v>5.0905538511864253E-2</v>
      </c>
      <c r="BJ267" s="88">
        <f t="shared" si="2291"/>
        <v>0.1191072949798309</v>
      </c>
      <c r="BK267" s="88">
        <f t="shared" si="2291"/>
        <v>1.4124983925807378E-2</v>
      </c>
      <c r="BL267" s="88">
        <f t="shared" si="2291"/>
        <v>0.12072693601680004</v>
      </c>
      <c r="BM267" s="88">
        <f t="shared" si="2291"/>
        <v>-1.9333944737652976E-2</v>
      </c>
      <c r="BN267" s="88">
        <f t="shared" si="2291"/>
        <v>0.30585886143533458</v>
      </c>
      <c r="BO267" s="88">
        <f t="shared" si="2291"/>
        <v>0.36741528685318037</v>
      </c>
      <c r="BP267" s="88">
        <f t="shared" si="2291"/>
        <v>0.13962336425376842</v>
      </c>
      <c r="BQ267" s="88">
        <f t="shared" si="2291"/>
        <v>0.22391682680367647</v>
      </c>
      <c r="BR267" s="88">
        <f t="shared" si="2291"/>
        <v>0.12411049228260777</v>
      </c>
      <c r="BS267" s="88">
        <f t="shared" si="2291"/>
        <v>0.11929045214800731</v>
      </c>
      <c r="BT267" s="88">
        <f t="shared" si="2291"/>
        <v>0.1241990410897522</v>
      </c>
      <c r="BU267" s="88">
        <f t="shared" si="2291"/>
        <v>0.11339176736064914</v>
      </c>
      <c r="BV267" s="88">
        <f t="shared" si="2291"/>
        <v>0.13622734641328013</v>
      </c>
      <c r="BW267" s="88">
        <f t="shared" si="2291"/>
        <v>0.20767422685965345</v>
      </c>
      <c r="BX267" s="88">
        <f t="shared" si="2291"/>
        <v>8.4247999097626189E-2</v>
      </c>
      <c r="BY267" s="88">
        <f t="shared" si="2291"/>
        <v>3.9951655770771061E-2</v>
      </c>
      <c r="BZ267" s="88">
        <f t="shared" si="2291"/>
        <v>8.3184438435837074E-2</v>
      </c>
      <c r="CA267" s="88">
        <f t="shared" si="2291"/>
        <v>0.26880976659045369</v>
      </c>
      <c r="CB267" s="88">
        <f t="shared" si="2291"/>
        <v>7.0734833366741287E-2</v>
      </c>
      <c r="CC267" s="88">
        <f t="shared" si="2291"/>
        <v>0.12955194680518423</v>
      </c>
      <c r="CD267" s="88">
        <f t="shared" si="2291"/>
        <v>0.17580843031051319</v>
      </c>
      <c r="CE267" s="88">
        <f t="shared" si="2291"/>
        <v>0.21342742453629401</v>
      </c>
      <c r="CF267" s="88">
        <f t="shared" si="2291"/>
        <v>0.11513435612074716</v>
      </c>
      <c r="CG267" s="88">
        <f t="shared" si="2291"/>
        <v>0.15451434525634219</v>
      </c>
      <c r="CH267" s="88">
        <f t="shared" si="2291"/>
        <v>0.13431332645401581</v>
      </c>
      <c r="CI267" s="88">
        <f t="shared" si="2291"/>
        <v>0.20703704590078659</v>
      </c>
      <c r="CJ267" s="88">
        <f t="shared" si="2291"/>
        <v>0.17692225176854504</v>
      </c>
      <c r="CK267" s="42">
        <f t="shared" si="2291"/>
        <v>0.137017736692081</v>
      </c>
      <c r="CL267" s="88">
        <f t="shared" ref="CL267" si="2292">CL180/CL139</f>
        <v>0.12962849462431825</v>
      </c>
      <c r="CM267" s="42">
        <f t="shared" si="2291"/>
        <v>5.9101267343137351E-2</v>
      </c>
      <c r="CN267" s="42">
        <f t="shared" si="2291"/>
        <v>2.6861503221968959E-2</v>
      </c>
      <c r="CO267" s="42">
        <f t="shared" si="2291"/>
        <v>-1.7408900815546097E-2</v>
      </c>
      <c r="CP267" s="42">
        <f t="shared" si="2291"/>
        <v>-9.6778009295544448E-2</v>
      </c>
      <c r="CQ267" s="42">
        <f t="shared" si="2291"/>
        <v>-0.11114336687115366</v>
      </c>
      <c r="CR267" s="42">
        <f t="shared" si="2291"/>
        <v>-0.15124508167813977</v>
      </c>
      <c r="CS267" s="42">
        <f t="shared" si="2291"/>
        <v>-0.19450354545253418</v>
      </c>
      <c r="CT267" s="42">
        <f t="shared" si="2291"/>
        <v>-0.27639883875493904</v>
      </c>
      <c r="CU267" s="42">
        <f t="shared" si="2291"/>
        <v>-0.22456329914786854</v>
      </c>
      <c r="CV267" s="42">
        <f t="shared" si="2291"/>
        <v>-0.22000078548936192</v>
      </c>
      <c r="CW267" s="42">
        <f t="shared" si="2291"/>
        <v>-0.23701721529388517</v>
      </c>
      <c r="CX267" s="42">
        <f t="shared" ref="CX267:DB267" si="2293">CX180/CX139</f>
        <v>-0.28202055876145332</v>
      </c>
      <c r="CY267" s="42">
        <f t="shared" si="2293"/>
        <v>-0.22230299805295209</v>
      </c>
      <c r="CZ267" s="42">
        <f t="shared" si="2293"/>
        <v>-0.21884314866175289</v>
      </c>
      <c r="DA267" s="42">
        <f t="shared" si="2293"/>
        <v>-0.21294714245427435</v>
      </c>
      <c r="DB267" s="42">
        <f t="shared" si="2293"/>
        <v>-0.25969155599274979</v>
      </c>
      <c r="DE267" s="125"/>
      <c r="DF267" s="88" t="e">
        <v>#DIV/0!</v>
      </c>
    </row>
    <row r="268" spans="1:110" s="89" customFormat="1" x14ac:dyDescent="0.2">
      <c r="A268" s="89" t="s">
        <v>103</v>
      </c>
      <c r="C268" s="89" t="e">
        <f t="shared" ref="C268:AE268" si="2294">C147/B147-1</f>
        <v>#DIV/0!</v>
      </c>
      <c r="D268" s="89" t="e">
        <f t="shared" si="2294"/>
        <v>#DIV/0!</v>
      </c>
      <c r="F268" s="89" t="e">
        <f t="shared" si="2294"/>
        <v>#DIV/0!</v>
      </c>
      <c r="G268" s="89" t="e">
        <f t="shared" si="2294"/>
        <v>#DIV/0!</v>
      </c>
      <c r="H268" s="89" t="e">
        <f t="shared" si="2294"/>
        <v>#DIV/0!</v>
      </c>
      <c r="I268" s="89">
        <f t="shared" si="2294"/>
        <v>16.808629799225077</v>
      </c>
      <c r="J268" s="89">
        <f t="shared" si="2294"/>
        <v>3.9345478621879124</v>
      </c>
      <c r="K268" s="89">
        <f>K147/J147-1</f>
        <v>1.1214759684801843</v>
      </c>
      <c r="L268" s="89">
        <f t="shared" si="2294"/>
        <v>1.3147437532473667</v>
      </c>
      <c r="M268" s="89">
        <f t="shared" si="2294"/>
        <v>0.5753491857230546</v>
      </c>
      <c r="N268" s="89">
        <f t="shared" si="2294"/>
        <v>8.2773882302591195E-2</v>
      </c>
      <c r="O268" s="89">
        <f t="shared" si="2294"/>
        <v>5.6340835268153366E-2</v>
      </c>
      <c r="P268" s="89">
        <f t="shared" si="2294"/>
        <v>1.3402648185524724E-2</v>
      </c>
      <c r="Q268" s="89">
        <f t="shared" si="2294"/>
        <v>0.17852056548260298</v>
      </c>
      <c r="R268" s="89">
        <f t="shared" si="2294"/>
        <v>-4.6454230777108751E-3</v>
      </c>
      <c r="S268" s="89">
        <f t="shared" si="2294"/>
        <v>6.6770354678924448E-3</v>
      </c>
      <c r="T268" s="89">
        <f t="shared" si="2294"/>
        <v>4.0596152422995413E-2</v>
      </c>
      <c r="U268" s="89">
        <f t="shared" si="2294"/>
        <v>0.16067857772959826</v>
      </c>
      <c r="V268" s="89">
        <f t="shared" si="2294"/>
        <v>1.9000760964406505E-2</v>
      </c>
      <c r="W268" s="89">
        <f t="shared" si="2294"/>
        <v>-4.6374949693408385E-2</v>
      </c>
      <c r="X268" s="89">
        <f t="shared" si="2294"/>
        <v>-0.10552424195316024</v>
      </c>
      <c r="Y268" s="89">
        <f t="shared" si="2294"/>
        <v>-0.24690676717077986</v>
      </c>
      <c r="Z268" s="89">
        <f t="shared" si="2294"/>
        <v>-9.0984696396090303E-3</v>
      </c>
      <c r="AA268" s="89">
        <f t="shared" si="2294"/>
        <v>0.29386835073613615</v>
      </c>
      <c r="AB268" s="47">
        <f t="shared" si="2294"/>
        <v>0</v>
      </c>
      <c r="AC268" s="47">
        <f t="shared" si="2294"/>
        <v>0</v>
      </c>
      <c r="AD268" s="47">
        <f t="shared" si="2294"/>
        <v>0</v>
      </c>
      <c r="AE268" s="47">
        <f t="shared" si="2294"/>
        <v>0</v>
      </c>
      <c r="AL268" s="89">
        <f t="shared" ref="AL268:CW268" si="2295">AL147/AK147-1</f>
        <v>-1.0379714921024408E-2</v>
      </c>
      <c r="AM268" s="89">
        <f t="shared" si="2295"/>
        <v>0</v>
      </c>
      <c r="AN268" s="89">
        <f t="shared" si="2295"/>
        <v>7.9934494222370311E-2</v>
      </c>
      <c r="AO268" s="89">
        <f t="shared" si="2295"/>
        <v>0</v>
      </c>
      <c r="AP268" s="89">
        <f t="shared" si="2295"/>
        <v>-2.0680127707096152E-2</v>
      </c>
      <c r="AQ268" s="89">
        <f t="shared" si="2295"/>
        <v>0</v>
      </c>
      <c r="AR268" s="89">
        <f t="shared" si="2295"/>
        <v>6.4364340250991026E-2</v>
      </c>
      <c r="AS268" s="89">
        <f t="shared" si="2295"/>
        <v>0</v>
      </c>
      <c r="AT268" s="89">
        <f t="shared" si="2295"/>
        <v>-2.2300367719583436E-2</v>
      </c>
      <c r="AU268" s="89">
        <f t="shared" si="2295"/>
        <v>0</v>
      </c>
      <c r="AV268" s="89">
        <f t="shared" si="2295"/>
        <v>0.17138924684622348</v>
      </c>
      <c r="AW268" s="89">
        <f t="shared" si="2295"/>
        <v>0</v>
      </c>
      <c r="AX268" s="89">
        <f t="shared" si="2295"/>
        <v>7.7535146811802402E-3</v>
      </c>
      <c r="AY268" s="89">
        <f t="shared" si="2295"/>
        <v>0</v>
      </c>
      <c r="AZ268" s="89">
        <f t="shared" si="2295"/>
        <v>1.4211135228697103E-2</v>
      </c>
      <c r="BA268" s="89">
        <f t="shared" si="2295"/>
        <v>0</v>
      </c>
      <c r="BB268" s="89">
        <f t="shared" si="2295"/>
        <v>-6.3956809122559521E-3</v>
      </c>
      <c r="BC268" s="89">
        <f t="shared" si="2295"/>
        <v>0</v>
      </c>
      <c r="BD268" s="89">
        <f t="shared" si="2295"/>
        <v>-3.2930325259020732E-2</v>
      </c>
      <c r="BE268" s="89">
        <f t="shared" si="2295"/>
        <v>0</v>
      </c>
      <c r="BF268" s="89">
        <f t="shared" si="2295"/>
        <v>3.1732368986564286E-2</v>
      </c>
      <c r="BG268" s="89">
        <f t="shared" si="2295"/>
        <v>0</v>
      </c>
      <c r="BH268" s="89">
        <f t="shared" si="2295"/>
        <v>-8.8286710617365372E-2</v>
      </c>
      <c r="BI268" s="89">
        <f t="shared" si="2295"/>
        <v>0</v>
      </c>
      <c r="BJ268" s="89">
        <f t="shared" si="2295"/>
        <v>-2.9022500012839569E-2</v>
      </c>
      <c r="BK268" s="89">
        <f t="shared" si="2295"/>
        <v>0</v>
      </c>
      <c r="BL268" s="89">
        <f t="shared" si="2295"/>
        <v>0.11572493664307171</v>
      </c>
      <c r="BM268" s="89">
        <f t="shared" si="2295"/>
        <v>0</v>
      </c>
      <c r="BN268" s="89">
        <f t="shared" si="2295"/>
        <v>7.9400469453763112E-2</v>
      </c>
      <c r="BO268" s="89">
        <f t="shared" si="2295"/>
        <v>0</v>
      </c>
      <c r="BP268" s="89">
        <f t="shared" si="2295"/>
        <v>-1.9621659348286857E-2</v>
      </c>
      <c r="BQ268" s="89">
        <f t="shared" si="2295"/>
        <v>0</v>
      </c>
      <c r="BR268" s="89">
        <f t="shared" si="2295"/>
        <v>2.085425569627164E-2</v>
      </c>
      <c r="BS268" s="89">
        <f t="shared" si="2295"/>
        <v>0</v>
      </c>
      <c r="BT268" s="89">
        <f t="shared" si="2295"/>
        <v>4.4444639483072201E-3</v>
      </c>
      <c r="BU268" s="89">
        <f t="shared" si="2295"/>
        <v>0</v>
      </c>
      <c r="BV268" s="89">
        <f t="shared" si="2295"/>
        <v>-7.310452564489045E-2</v>
      </c>
      <c r="BW268" s="89">
        <f t="shared" si="2295"/>
        <v>0</v>
      </c>
      <c r="BX268" s="89">
        <f t="shared" si="2295"/>
        <v>-7.5474919091198411E-2</v>
      </c>
      <c r="BY268" s="89">
        <f t="shared" si="2295"/>
        <v>0</v>
      </c>
      <c r="BZ268" s="89">
        <f t="shared" si="2295"/>
        <v>-6.3413889130874534E-2</v>
      </c>
      <c r="CA268" s="89">
        <f t="shared" si="2295"/>
        <v>0</v>
      </c>
      <c r="CB268" s="89">
        <f t="shared" si="2295"/>
        <v>-0.23758563193975213</v>
      </c>
      <c r="CC268" s="89">
        <f t="shared" si="2295"/>
        <v>0</v>
      </c>
      <c r="CD268" s="89">
        <f t="shared" si="2295"/>
        <v>6.9638043843013975E-2</v>
      </c>
      <c r="CE268" s="89">
        <f t="shared" si="2295"/>
        <v>0</v>
      </c>
      <c r="CF268" s="89">
        <f t="shared" si="2295"/>
        <v>8.6207507010215068E-2</v>
      </c>
      <c r="CG268" s="89">
        <f t="shared" si="2295"/>
        <v>0</v>
      </c>
      <c r="CH268" s="89">
        <f t="shared" si="2295"/>
        <v>0.10592535395286329</v>
      </c>
      <c r="CI268" s="89">
        <f t="shared" si="2295"/>
        <v>0</v>
      </c>
      <c r="CJ268" s="89">
        <f t="shared" si="2295"/>
        <v>0.1416195961518949</v>
      </c>
      <c r="CK268" s="47">
        <f t="shared" si="2295"/>
        <v>0</v>
      </c>
      <c r="CL268" s="89">
        <f t="shared" si="2295"/>
        <v>0.13336207182973436</v>
      </c>
      <c r="CM268" s="47">
        <f t="shared" si="2295"/>
        <v>0</v>
      </c>
      <c r="CN268" s="47">
        <f t="shared" si="2295"/>
        <v>0</v>
      </c>
      <c r="CO268" s="47">
        <f t="shared" si="2295"/>
        <v>0</v>
      </c>
      <c r="CP268" s="47">
        <f t="shared" si="2295"/>
        <v>0</v>
      </c>
      <c r="CQ268" s="47">
        <f t="shared" si="2295"/>
        <v>0</v>
      </c>
      <c r="CR268" s="47">
        <f t="shared" si="2295"/>
        <v>0</v>
      </c>
      <c r="CS268" s="47">
        <f t="shared" si="2295"/>
        <v>0</v>
      </c>
      <c r="CT268" s="47">
        <f t="shared" si="2295"/>
        <v>0</v>
      </c>
      <c r="CU268" s="47">
        <f t="shared" si="2295"/>
        <v>0</v>
      </c>
      <c r="CV268" s="47">
        <f t="shared" si="2295"/>
        <v>0</v>
      </c>
      <c r="CW268" s="47">
        <f t="shared" si="2295"/>
        <v>0</v>
      </c>
      <c r="CX268" s="47">
        <f t="shared" ref="CX268:DB268" si="2296">CX147/CW147-1</f>
        <v>0</v>
      </c>
      <c r="CY268" s="47">
        <f t="shared" si="2296"/>
        <v>0</v>
      </c>
      <c r="CZ268" s="47">
        <f t="shared" si="2296"/>
        <v>0</v>
      </c>
      <c r="DA268" s="47">
        <f t="shared" si="2296"/>
        <v>0</v>
      </c>
      <c r="DB268" s="47">
        <f t="shared" si="2296"/>
        <v>0</v>
      </c>
      <c r="DE268" s="130"/>
      <c r="DF268" s="89" t="e">
        <v>#DIV/0!</v>
      </c>
    </row>
    <row r="269" spans="1:110" s="89" customFormat="1" x14ac:dyDescent="0.2">
      <c r="A269" s="89" t="s">
        <v>104</v>
      </c>
      <c r="C269" s="89" t="e">
        <f>C47/B47-1</f>
        <v>#DIV/0!</v>
      </c>
      <c r="D269" s="89" t="e">
        <f>D47/C47-1</f>
        <v>#DIV/0!</v>
      </c>
      <c r="F269" s="89">
        <f t="shared" ref="F269:AE269" si="2297">F47/E47-1</f>
        <v>-1</v>
      </c>
      <c r="G269" s="89" t="e">
        <f t="shared" si="2297"/>
        <v>#DIV/0!</v>
      </c>
      <c r="H269" s="89" t="e">
        <f t="shared" si="2297"/>
        <v>#DIV/0!</v>
      </c>
      <c r="I269" s="89" t="e">
        <f t="shared" si="2297"/>
        <v>#DIV/0!</v>
      </c>
      <c r="J269" s="89">
        <f t="shared" si="2297"/>
        <v>-0.22808190555787722</v>
      </c>
      <c r="K269" s="89">
        <f t="shared" si="2297"/>
        <v>-44.996318752706799</v>
      </c>
      <c r="L269" s="89">
        <f t="shared" si="2297"/>
        <v>4.1091013494114277</v>
      </c>
      <c r="M269" s="89">
        <f t="shared" si="2297"/>
        <v>6.384618472283532E-2</v>
      </c>
      <c r="N269" s="89">
        <f t="shared" si="2297"/>
        <v>-0.27586441087248537</v>
      </c>
      <c r="O269" s="89">
        <f t="shared" si="2297"/>
        <v>3.7866320692781468</v>
      </c>
      <c r="P269" s="89">
        <f t="shared" si="2297"/>
        <v>0.27084884505692997</v>
      </c>
      <c r="Q269" s="89">
        <f t="shared" si="2297"/>
        <v>0.50788794307044771</v>
      </c>
      <c r="R269" s="89">
        <f t="shared" si="2297"/>
        <v>-0.32156762056456789</v>
      </c>
      <c r="S269" s="89">
        <f t="shared" si="2297"/>
        <v>-9.5579948590422847E-2</v>
      </c>
      <c r="T269" s="89">
        <f t="shared" si="2297"/>
        <v>-8.2773548014397846E-2</v>
      </c>
      <c r="U269" s="89">
        <f t="shared" si="2297"/>
        <v>0.14765746906938704</v>
      </c>
      <c r="V269" s="89">
        <f t="shared" si="2297"/>
        <v>0.5247251684167944</v>
      </c>
      <c r="W269" s="89">
        <f t="shared" si="2297"/>
        <v>0.13216096865439542</v>
      </c>
      <c r="X269" s="89">
        <f t="shared" si="2297"/>
        <v>2.3486472606927489E-2</v>
      </c>
      <c r="Y269" s="89">
        <f t="shared" si="2297"/>
        <v>0.80998659984509125</v>
      </c>
      <c r="Z269" s="89">
        <f t="shared" si="2297"/>
        <v>0.17187127008310976</v>
      </c>
      <c r="AA269" s="89">
        <f t="shared" si="2297"/>
        <v>-7.0373106586862133E-2</v>
      </c>
      <c r="AB269" s="47">
        <f t="shared" si="2297"/>
        <v>0.21170939474985473</v>
      </c>
      <c r="AC269" s="47">
        <f t="shared" si="2297"/>
        <v>0.16395033462488873</v>
      </c>
      <c r="AD269" s="47">
        <f t="shared" si="2297"/>
        <v>0.17434612155737916</v>
      </c>
      <c r="AE269" s="47">
        <f t="shared" si="2297"/>
        <v>0.23363823272475814</v>
      </c>
      <c r="AL269" s="89">
        <f t="shared" ref="AL269:CW269" si="2298">AL47/AK47-1</f>
        <v>0.15135202804206349</v>
      </c>
      <c r="AM269" s="89">
        <f t="shared" si="2298"/>
        <v>-0.70381646188974667</v>
      </c>
      <c r="AN269" s="89">
        <f t="shared" si="2298"/>
        <v>3.4259361233480119</v>
      </c>
      <c r="AO269" s="89">
        <f t="shared" si="2298"/>
        <v>1.0327008812856429</v>
      </c>
      <c r="AP269" s="89">
        <f t="shared" si="2298"/>
        <v>1.8064002774745727</v>
      </c>
      <c r="AQ269" s="89">
        <f t="shared" si="2298"/>
        <v>-0.3944050046709775</v>
      </c>
      <c r="AR269" s="89">
        <f t="shared" si="2298"/>
        <v>-0.27052058511053423</v>
      </c>
      <c r="AS269" s="89">
        <f t="shared" si="2298"/>
        <v>0.44737188559391838</v>
      </c>
      <c r="AT269" s="89">
        <f t="shared" si="2298"/>
        <v>-0.31899580448204157</v>
      </c>
      <c r="AU269" s="89">
        <f t="shared" si="2298"/>
        <v>0.32446781868269503</v>
      </c>
      <c r="AV269" s="89">
        <f t="shared" si="2298"/>
        <v>0.13002180791387774</v>
      </c>
      <c r="AW269" s="89">
        <f t="shared" si="2298"/>
        <v>0.12144773463776004</v>
      </c>
      <c r="AX269" s="89">
        <f t="shared" si="2298"/>
        <v>0.69703224394586649</v>
      </c>
      <c r="AY269" s="89">
        <f t="shared" si="2298"/>
        <v>-0.49478469081818344</v>
      </c>
      <c r="AZ269" s="89">
        <f t="shared" si="2298"/>
        <v>-5.9391007233892568E-2</v>
      </c>
      <c r="BA269" s="89">
        <f t="shared" si="2298"/>
        <v>-0.19531283727527804</v>
      </c>
      <c r="BB269" s="89">
        <f t="shared" si="2298"/>
        <v>1.2914252429565121E-2</v>
      </c>
      <c r="BC269" s="89">
        <f t="shared" si="2298"/>
        <v>0.18133186038241256</v>
      </c>
      <c r="BD269" s="89">
        <f t="shared" si="2298"/>
        <v>0.36099048204655282</v>
      </c>
      <c r="BE269" s="89">
        <f t="shared" si="2298"/>
        <v>-0.66821343523808641</v>
      </c>
      <c r="BF269" s="89">
        <f t="shared" si="2298"/>
        <v>0.74973049645390066</v>
      </c>
      <c r="BG269" s="89">
        <f t="shared" si="2298"/>
        <v>-6.0637504458640135E-2</v>
      </c>
      <c r="BH269" s="89">
        <f t="shared" si="2298"/>
        <v>0.94436293969415641</v>
      </c>
      <c r="BI269" s="89">
        <f t="shared" si="2298"/>
        <v>-0.55155012094716049</v>
      </c>
      <c r="BJ269" s="89">
        <f t="shared" si="2298"/>
        <v>-0.39812743720184507</v>
      </c>
      <c r="BK269" s="89">
        <f t="shared" si="2298"/>
        <v>3.413931460895876</v>
      </c>
      <c r="BL269" s="89">
        <f t="shared" si="2298"/>
        <v>-0.49748900976082255</v>
      </c>
      <c r="BM269" s="89">
        <f t="shared" si="2298"/>
        <v>7.3292606980812858E-2</v>
      </c>
      <c r="BN269" s="89">
        <f t="shared" si="2298"/>
        <v>-0.85870000690750814</v>
      </c>
      <c r="BO269" s="89">
        <f t="shared" si="2298"/>
        <v>5.7877395385216897</v>
      </c>
      <c r="BP269" s="89">
        <f t="shared" si="2298"/>
        <v>1.9115880446525035</v>
      </c>
      <c r="BQ269" s="89">
        <f t="shared" si="2298"/>
        <v>-0.59855444574719119</v>
      </c>
      <c r="BR269" s="89">
        <f t="shared" si="2298"/>
        <v>-5.2990252258249271E-3</v>
      </c>
      <c r="BS269" s="89">
        <f t="shared" si="2298"/>
        <v>2.0856820744081128E-2</v>
      </c>
      <c r="BT269" s="89">
        <f t="shared" si="2298"/>
        <v>-0.29411229300793118</v>
      </c>
      <c r="BU269" s="89">
        <f t="shared" si="2298"/>
        <v>0.52218239334313399</v>
      </c>
      <c r="BV269" s="89">
        <f t="shared" si="2298"/>
        <v>1.9546863793716853</v>
      </c>
      <c r="BW269" s="89">
        <f t="shared" si="2298"/>
        <v>9.3207850812393245E-2</v>
      </c>
      <c r="BX269" s="89">
        <f t="shared" si="2298"/>
        <v>-0.83429666383436996</v>
      </c>
      <c r="BY269" s="89">
        <f t="shared" si="2298"/>
        <v>0.55070797020405515</v>
      </c>
      <c r="BZ269" s="89">
        <f t="shared" si="2298"/>
        <v>0.29779619385873413</v>
      </c>
      <c r="CA269" s="89">
        <f t="shared" si="2298"/>
        <v>0.842409340414491</v>
      </c>
      <c r="CB269" s="89">
        <f t="shared" si="2298"/>
        <v>0.47155706940069364</v>
      </c>
      <c r="CC269" s="89">
        <f t="shared" si="2298"/>
        <v>-0.10172313439906844</v>
      </c>
      <c r="CD269" s="89">
        <f t="shared" si="2298"/>
        <v>4.4001084958258829E-2</v>
      </c>
      <c r="CE269" s="89">
        <f t="shared" si="2298"/>
        <v>0.2772457904959853</v>
      </c>
      <c r="CF269" s="89">
        <f t="shared" si="2298"/>
        <v>-0.14831837605802756</v>
      </c>
      <c r="CG269" s="89">
        <f t="shared" si="2298"/>
        <v>-4.7892364441445068E-2</v>
      </c>
      <c r="CH269" s="89">
        <f t="shared" si="2298"/>
        <v>-4.1866085862406921E-2</v>
      </c>
      <c r="CI269" s="89">
        <f t="shared" si="2298"/>
        <v>0.18132497200075637</v>
      </c>
      <c r="CJ269" s="89">
        <f t="shared" si="2298"/>
        <v>-9.4100906199870216E-2</v>
      </c>
      <c r="CK269" s="47">
        <f t="shared" si="2298"/>
        <v>-0.17712012333286076</v>
      </c>
      <c r="CL269" s="89">
        <f t="shared" si="2298"/>
        <v>0.11665687447352169</v>
      </c>
      <c r="CM269" s="47">
        <f t="shared" si="2298"/>
        <v>0.26403223963244904</v>
      </c>
      <c r="CN269" s="47">
        <f t="shared" si="2298"/>
        <v>-7.4924483072734471E-2</v>
      </c>
      <c r="CO269" s="47">
        <f t="shared" si="2298"/>
        <v>4.6587368806223495E-3</v>
      </c>
      <c r="CP269" s="47">
        <f t="shared" si="2298"/>
        <v>0.24539698606376992</v>
      </c>
      <c r="CQ269" s="47">
        <f t="shared" si="2298"/>
        <v>-8.3755217106443736E-2</v>
      </c>
      <c r="CR269" s="47">
        <f t="shared" si="2298"/>
        <v>2.4282990426218287E-2</v>
      </c>
      <c r="CS269" s="47">
        <f t="shared" si="2298"/>
        <v>5.3841752841959245E-2</v>
      </c>
      <c r="CT269" s="47">
        <f t="shared" si="2298"/>
        <v>0.20388406097230694</v>
      </c>
      <c r="CU269" s="47">
        <f t="shared" si="2298"/>
        <v>-0.10346977928322387</v>
      </c>
      <c r="CV269" s="47">
        <f t="shared" si="2298"/>
        <v>9.6693662914699718E-3</v>
      </c>
      <c r="CW269" s="47">
        <f t="shared" si="2298"/>
        <v>8.9449499875974281E-2</v>
      </c>
      <c r="CX269" s="47">
        <f t="shared" ref="CX269:DB269" si="2299">CX47/CW47-1</f>
        <v>0.20792982801741222</v>
      </c>
      <c r="CY269" s="47">
        <f t="shared" si="2299"/>
        <v>-9.2899686088405375E-2</v>
      </c>
      <c r="CZ269" s="47">
        <f t="shared" si="2299"/>
        <v>5.2412642631430639E-2</v>
      </c>
      <c r="DA269" s="47">
        <f t="shared" si="2299"/>
        <v>5.2962269898749303E-2</v>
      </c>
      <c r="DB269" s="47">
        <f t="shared" si="2299"/>
        <v>0.24736510246311716</v>
      </c>
      <c r="DE269" s="130"/>
      <c r="DF269" s="89" t="e">
        <v>#DIV/0!</v>
      </c>
    </row>
    <row r="270" spans="1:110" s="103" customFormat="1" x14ac:dyDescent="0.2">
      <c r="A270" s="147" t="s">
        <v>105</v>
      </c>
      <c r="C270" s="103" t="e">
        <f>IF(C268&gt;C269,"RF",0)</f>
        <v>#DIV/0!</v>
      </c>
      <c r="D270" s="103" t="e">
        <f t="shared" ref="D270:U270" si="2300">IF(D268&gt;D269,"RF",0)</f>
        <v>#DIV/0!</v>
      </c>
      <c r="F270" s="103" t="e">
        <f t="shared" si="2300"/>
        <v>#DIV/0!</v>
      </c>
      <c r="G270" s="103" t="e">
        <f t="shared" si="2300"/>
        <v>#DIV/0!</v>
      </c>
      <c r="H270" s="103" t="e">
        <f t="shared" si="2300"/>
        <v>#DIV/0!</v>
      </c>
      <c r="I270" s="103" t="e">
        <f t="shared" si="2300"/>
        <v>#DIV/0!</v>
      </c>
      <c r="J270" s="103" t="str">
        <f t="shared" si="2300"/>
        <v>RF</v>
      </c>
      <c r="K270" s="103" t="str">
        <f t="shared" si="2300"/>
        <v>RF</v>
      </c>
      <c r="L270" s="103">
        <f t="shared" si="2300"/>
        <v>0</v>
      </c>
      <c r="M270" s="103" t="str">
        <f t="shared" si="2300"/>
        <v>RF</v>
      </c>
      <c r="N270" s="103" t="str">
        <f t="shared" si="2300"/>
        <v>RF</v>
      </c>
      <c r="O270" s="103">
        <f t="shared" si="2300"/>
        <v>0</v>
      </c>
      <c r="P270" s="103">
        <f t="shared" si="2300"/>
        <v>0</v>
      </c>
      <c r="Q270" s="103">
        <f t="shared" si="2300"/>
        <v>0</v>
      </c>
      <c r="R270" s="103" t="str">
        <f t="shared" si="2300"/>
        <v>RF</v>
      </c>
      <c r="S270" s="103" t="str">
        <f t="shared" si="2300"/>
        <v>RF</v>
      </c>
      <c r="T270" s="103" t="str">
        <f t="shared" si="2300"/>
        <v>RF</v>
      </c>
      <c r="U270" s="103" t="str">
        <f t="shared" si="2300"/>
        <v>RF</v>
      </c>
      <c r="V270" s="103">
        <f>IF(V268&gt;V269,"RF",0)</f>
        <v>0</v>
      </c>
      <c r="W270" s="103">
        <f t="shared" ref="W270:AE270" si="2301">IF(W268&gt;W269,"RF",0)</f>
        <v>0</v>
      </c>
      <c r="X270" s="103">
        <f t="shared" si="2301"/>
        <v>0</v>
      </c>
      <c r="Y270" s="103">
        <f t="shared" si="2301"/>
        <v>0</v>
      </c>
      <c r="Z270" s="103">
        <f t="shared" si="2301"/>
        <v>0</v>
      </c>
      <c r="AA270" s="103" t="str">
        <f t="shared" ref="AA270" si="2302">IF(AA268&gt;AA269,"RF",0)</f>
        <v>RF</v>
      </c>
      <c r="AB270" s="73">
        <f t="shared" si="2301"/>
        <v>0</v>
      </c>
      <c r="AC270" s="73">
        <f t="shared" si="2301"/>
        <v>0</v>
      </c>
      <c r="AD270" s="73">
        <f t="shared" si="2301"/>
        <v>0</v>
      </c>
      <c r="AE270" s="73">
        <f t="shared" si="2301"/>
        <v>0</v>
      </c>
      <c r="AL270" s="103">
        <f t="shared" ref="AL270:CW270" si="2303">IF(AL268&gt;AL269,"RF",0)</f>
        <v>0</v>
      </c>
      <c r="AM270" s="103" t="str">
        <f t="shared" si="2303"/>
        <v>RF</v>
      </c>
      <c r="AN270" s="103">
        <f t="shared" si="2303"/>
        <v>0</v>
      </c>
      <c r="AO270" s="103">
        <f t="shared" si="2303"/>
        <v>0</v>
      </c>
      <c r="AP270" s="103">
        <f t="shared" si="2303"/>
        <v>0</v>
      </c>
      <c r="AQ270" s="103" t="str">
        <f t="shared" si="2303"/>
        <v>RF</v>
      </c>
      <c r="AR270" s="103" t="str">
        <f t="shared" si="2303"/>
        <v>RF</v>
      </c>
      <c r="AS270" s="103">
        <f t="shared" si="2303"/>
        <v>0</v>
      </c>
      <c r="AT270" s="103" t="str">
        <f t="shared" si="2303"/>
        <v>RF</v>
      </c>
      <c r="AU270" s="103">
        <f t="shared" si="2303"/>
        <v>0</v>
      </c>
      <c r="AV270" s="103" t="str">
        <f t="shared" si="2303"/>
        <v>RF</v>
      </c>
      <c r="AW270" s="103">
        <f t="shared" si="2303"/>
        <v>0</v>
      </c>
      <c r="AX270" s="103">
        <f t="shared" si="2303"/>
        <v>0</v>
      </c>
      <c r="AY270" s="103" t="str">
        <f t="shared" si="2303"/>
        <v>RF</v>
      </c>
      <c r="AZ270" s="103" t="str">
        <f t="shared" si="2303"/>
        <v>RF</v>
      </c>
      <c r="BA270" s="103" t="str">
        <f t="shared" si="2303"/>
        <v>RF</v>
      </c>
      <c r="BB270" s="103">
        <f t="shared" si="2303"/>
        <v>0</v>
      </c>
      <c r="BC270" s="103">
        <f t="shared" si="2303"/>
        <v>0</v>
      </c>
      <c r="BD270" s="103">
        <f t="shared" si="2303"/>
        <v>0</v>
      </c>
      <c r="BE270" s="103" t="str">
        <f t="shared" si="2303"/>
        <v>RF</v>
      </c>
      <c r="BF270" s="103">
        <f t="shared" si="2303"/>
        <v>0</v>
      </c>
      <c r="BG270" s="103" t="str">
        <f t="shared" si="2303"/>
        <v>RF</v>
      </c>
      <c r="BH270" s="103">
        <f t="shared" si="2303"/>
        <v>0</v>
      </c>
      <c r="BI270" s="103" t="str">
        <f t="shared" si="2303"/>
        <v>RF</v>
      </c>
      <c r="BJ270" s="103" t="str">
        <f t="shared" si="2303"/>
        <v>RF</v>
      </c>
      <c r="BK270" s="103">
        <f t="shared" si="2303"/>
        <v>0</v>
      </c>
      <c r="BL270" s="103" t="str">
        <f t="shared" si="2303"/>
        <v>RF</v>
      </c>
      <c r="BM270" s="103">
        <f t="shared" si="2303"/>
        <v>0</v>
      </c>
      <c r="BN270" s="103" t="str">
        <f t="shared" si="2303"/>
        <v>RF</v>
      </c>
      <c r="BO270" s="103">
        <f t="shared" si="2303"/>
        <v>0</v>
      </c>
      <c r="BP270" s="103">
        <f t="shared" si="2303"/>
        <v>0</v>
      </c>
      <c r="BQ270" s="103" t="str">
        <f t="shared" si="2303"/>
        <v>RF</v>
      </c>
      <c r="BR270" s="103" t="str">
        <f t="shared" si="2303"/>
        <v>RF</v>
      </c>
      <c r="BS270" s="103">
        <f t="shared" si="2303"/>
        <v>0</v>
      </c>
      <c r="BT270" s="103" t="str">
        <f t="shared" si="2303"/>
        <v>RF</v>
      </c>
      <c r="BU270" s="103">
        <f t="shared" si="2303"/>
        <v>0</v>
      </c>
      <c r="BV270" s="103">
        <f t="shared" si="2303"/>
        <v>0</v>
      </c>
      <c r="BW270" s="103">
        <f t="shared" si="2303"/>
        <v>0</v>
      </c>
      <c r="BX270" s="103" t="str">
        <f t="shared" si="2303"/>
        <v>RF</v>
      </c>
      <c r="BY270" s="103">
        <f t="shared" si="2303"/>
        <v>0</v>
      </c>
      <c r="BZ270" s="103">
        <f t="shared" si="2303"/>
        <v>0</v>
      </c>
      <c r="CA270" s="103">
        <f t="shared" si="2303"/>
        <v>0</v>
      </c>
      <c r="CB270" s="103">
        <f t="shared" si="2303"/>
        <v>0</v>
      </c>
      <c r="CC270" s="103" t="str">
        <f t="shared" si="2303"/>
        <v>RF</v>
      </c>
      <c r="CD270" s="103" t="str">
        <f t="shared" si="2303"/>
        <v>RF</v>
      </c>
      <c r="CE270" s="103">
        <f t="shared" si="2303"/>
        <v>0</v>
      </c>
      <c r="CF270" s="103" t="str">
        <f t="shared" si="2303"/>
        <v>RF</v>
      </c>
      <c r="CG270" s="103" t="str">
        <f t="shared" si="2303"/>
        <v>RF</v>
      </c>
      <c r="CH270" s="103" t="str">
        <f t="shared" si="2303"/>
        <v>RF</v>
      </c>
      <c r="CI270" s="103">
        <f t="shared" si="2303"/>
        <v>0</v>
      </c>
      <c r="CJ270" s="103" t="str">
        <f t="shared" si="2303"/>
        <v>RF</v>
      </c>
      <c r="CK270" s="73" t="str">
        <f t="shared" si="2303"/>
        <v>RF</v>
      </c>
      <c r="CL270" s="103" t="str">
        <f t="shared" ref="CL270" si="2304">IF(CL268&gt;CL269,"RF",0)</f>
        <v>RF</v>
      </c>
      <c r="CM270" s="73">
        <f t="shared" si="2303"/>
        <v>0</v>
      </c>
      <c r="CN270" s="73" t="str">
        <f t="shared" si="2303"/>
        <v>RF</v>
      </c>
      <c r="CO270" s="73">
        <f t="shared" si="2303"/>
        <v>0</v>
      </c>
      <c r="CP270" s="73">
        <f t="shared" si="2303"/>
        <v>0</v>
      </c>
      <c r="CQ270" s="73" t="str">
        <f t="shared" si="2303"/>
        <v>RF</v>
      </c>
      <c r="CR270" s="73">
        <f t="shared" si="2303"/>
        <v>0</v>
      </c>
      <c r="CS270" s="73">
        <f t="shared" si="2303"/>
        <v>0</v>
      </c>
      <c r="CT270" s="73">
        <f t="shared" si="2303"/>
        <v>0</v>
      </c>
      <c r="CU270" s="73" t="str">
        <f t="shared" si="2303"/>
        <v>RF</v>
      </c>
      <c r="CV270" s="73">
        <f t="shared" si="2303"/>
        <v>0</v>
      </c>
      <c r="CW270" s="73">
        <f t="shared" si="2303"/>
        <v>0</v>
      </c>
      <c r="CX270" s="73">
        <f t="shared" ref="CX270:DB270" si="2305">IF(CX268&gt;CX269,"RF",0)</f>
        <v>0</v>
      </c>
      <c r="CY270" s="73" t="str">
        <f t="shared" si="2305"/>
        <v>RF</v>
      </c>
      <c r="CZ270" s="73">
        <f t="shared" si="2305"/>
        <v>0</v>
      </c>
      <c r="DA270" s="73">
        <f t="shared" si="2305"/>
        <v>0</v>
      </c>
      <c r="DB270" s="73">
        <f t="shared" si="2305"/>
        <v>0</v>
      </c>
      <c r="DE270" s="142"/>
      <c r="DF270" s="103" t="e">
        <v>#DIV/0!</v>
      </c>
    </row>
    <row r="271" spans="1:110" s="86" customFormat="1" x14ac:dyDescent="0.2">
      <c r="A271" s="86" t="s">
        <v>432</v>
      </c>
      <c r="B271" s="86" t="e">
        <f>B55/B27</f>
        <v>#DIV/0!</v>
      </c>
      <c r="C271" s="86" t="e">
        <f>C55/C27</f>
        <v>#DIV/0!</v>
      </c>
      <c r="D271" s="86" t="e">
        <f>D55/D27</f>
        <v>#DIV/0!</v>
      </c>
      <c r="F271" s="86" t="e">
        <f t="shared" ref="F271:AE271" si="2306">F55/F27</f>
        <v>#DIV/0!</v>
      </c>
      <c r="G271" s="86" t="e">
        <f t="shared" si="2306"/>
        <v>#DIV/0!</v>
      </c>
      <c r="H271" s="86" t="e">
        <f t="shared" si="2306"/>
        <v>#DIV/0!</v>
      </c>
      <c r="I271" s="86" t="e">
        <f t="shared" si="2306"/>
        <v>#DIV/0!</v>
      </c>
      <c r="J271" s="86" t="e">
        <f t="shared" si="2306"/>
        <v>#DIV/0!</v>
      </c>
      <c r="K271" s="86">
        <f t="shared" si="2306"/>
        <v>8.6625580646644898E-2</v>
      </c>
      <c r="L271" s="86">
        <f t="shared" si="2306"/>
        <v>0.11944136119033903</v>
      </c>
      <c r="M271" s="86">
        <f t="shared" si="2306"/>
        <v>0.21613280028151394</v>
      </c>
      <c r="N271" s="86">
        <f t="shared" si="2306"/>
        <v>0.25118300252531212</v>
      </c>
      <c r="O271" s="86">
        <f t="shared" si="2306"/>
        <v>0.26915331837376083</v>
      </c>
      <c r="P271" s="86">
        <f t="shared" si="2306"/>
        <v>0.27470844116175336</v>
      </c>
      <c r="Q271" s="86">
        <f t="shared" si="2306"/>
        <v>0.23355515806137905</v>
      </c>
      <c r="R271" s="86">
        <f t="shared" si="2306"/>
        <v>0.26095940352439545</v>
      </c>
      <c r="S271" s="86">
        <f t="shared" si="2306"/>
        <v>0.27433772583908417</v>
      </c>
      <c r="T271" s="86">
        <f t="shared" si="2306"/>
        <v>0.23790601142681053</v>
      </c>
      <c r="U271" s="86">
        <f t="shared" si="2306"/>
        <v>0.21014163668045452</v>
      </c>
      <c r="V271" s="86">
        <f t="shared" si="2306"/>
        <v>0.19473843581674261</v>
      </c>
      <c r="W271" s="86">
        <f t="shared" si="2306"/>
        <v>0.1479890066031111</v>
      </c>
      <c r="X271" s="86">
        <f t="shared" si="2306"/>
        <v>8.9637198794015466E-2</v>
      </c>
      <c r="Y271" s="86">
        <f t="shared" si="2306"/>
        <v>6.8053722598743829E-2</v>
      </c>
      <c r="Z271" s="86">
        <f t="shared" si="2306"/>
        <v>5.9423601086701819E-2</v>
      </c>
      <c r="AA271" s="86">
        <f t="shared" ref="AA271" si="2307">AA55/AA27</f>
        <v>6.3791792556561033E-2</v>
      </c>
      <c r="AB271" s="87">
        <f t="shared" si="2306"/>
        <v>1.2813086023425683E-2</v>
      </c>
      <c r="AC271" s="87">
        <f t="shared" si="2306"/>
        <v>1.7903384053269248E-2</v>
      </c>
      <c r="AD271" s="87">
        <f t="shared" si="2306"/>
        <v>1.8177916475147535E-2</v>
      </c>
      <c r="AE271" s="87">
        <f t="shared" si="2306"/>
        <v>1.5570197423137633E-2</v>
      </c>
      <c r="AL271" s="86">
        <f t="shared" ref="AL271:CW271" si="2308">AL55/AL27</f>
        <v>0.29761848046455247</v>
      </c>
      <c r="AM271" s="86">
        <f t="shared" si="2308"/>
        <v>0.29767850736972401</v>
      </c>
      <c r="AN271" s="86">
        <f t="shared" si="2308"/>
        <v>0.31088338178055874</v>
      </c>
      <c r="AO271" s="86">
        <f t="shared" si="2308"/>
        <v>0.25526512358274212</v>
      </c>
      <c r="AP271" s="86">
        <f t="shared" si="2308"/>
        <v>0.2033856472703198</v>
      </c>
      <c r="AQ271" s="86">
        <f t="shared" si="2308"/>
        <v>0.23069047345657748</v>
      </c>
      <c r="AR271" s="86">
        <f t="shared" si="2308"/>
        <v>0.32842887898301082</v>
      </c>
      <c r="AS271" s="86">
        <f t="shared" si="2308"/>
        <v>0.26908004106067351</v>
      </c>
      <c r="AT271" s="86">
        <f t="shared" si="2308"/>
        <v>0.28387208734327996</v>
      </c>
      <c r="AU271" s="86">
        <f t="shared" si="2308"/>
        <v>0.24343112223444444</v>
      </c>
      <c r="AV271" s="86">
        <f t="shared" si="2308"/>
        <v>0.2870102927853122</v>
      </c>
      <c r="AW271" s="86">
        <f t="shared" si="2308"/>
        <v>0.21295119276250224</v>
      </c>
      <c r="AX271" s="86">
        <f t="shared" si="2308"/>
        <v>0.20235082060277385</v>
      </c>
      <c r="AY271" s="86">
        <f t="shared" si="2308"/>
        <v>0.26949248521643876</v>
      </c>
      <c r="AZ271" s="86">
        <f t="shared" si="2308"/>
        <v>0.25709720630719324</v>
      </c>
      <c r="BA271" s="86">
        <f t="shared" si="2308"/>
        <v>0.26331031943293753</v>
      </c>
      <c r="BB271" s="86">
        <f t="shared" si="2308"/>
        <v>0.24973277101112523</v>
      </c>
      <c r="BC271" s="86">
        <f t="shared" si="2308"/>
        <v>0.25381537551232469</v>
      </c>
      <c r="BD271" s="86">
        <f t="shared" si="2308"/>
        <v>0.22549581510135489</v>
      </c>
      <c r="BE271" s="86">
        <f t="shared" si="2308"/>
        <v>0.29129562428010553</v>
      </c>
      <c r="BF271" s="86">
        <f t="shared" si="2308"/>
        <v>0.34241599915603549</v>
      </c>
      <c r="BG271" s="86">
        <f t="shared" si="2308"/>
        <v>0.3557190156879948</v>
      </c>
      <c r="BH271" s="86">
        <f t="shared" si="2308"/>
        <v>0.19801188589317334</v>
      </c>
      <c r="BI271" s="86">
        <f t="shared" si="2308"/>
        <v>0.24278355093702816</v>
      </c>
      <c r="BJ271" s="86">
        <f t="shared" si="2308"/>
        <v>0.20184565855168021</v>
      </c>
      <c r="BK271" s="86">
        <f t="shared" si="2308"/>
        <v>0.16936159635505421</v>
      </c>
      <c r="BL271" s="86">
        <f t="shared" si="2308"/>
        <v>0.22420546039430733</v>
      </c>
      <c r="BM271" s="86">
        <f t="shared" si="2308"/>
        <v>0.21639679869562969</v>
      </c>
      <c r="BN271" s="86">
        <f t="shared" si="2308"/>
        <v>0.20152354907224546</v>
      </c>
      <c r="BO271" s="86">
        <f t="shared" si="2308"/>
        <v>0.26747030552496909</v>
      </c>
      <c r="BP271" s="86">
        <f t="shared" si="2308"/>
        <v>0.17602310429063092</v>
      </c>
      <c r="BQ271" s="86">
        <f t="shared" si="2308"/>
        <v>0.17743703987329656</v>
      </c>
      <c r="BR271" s="86">
        <f t="shared" si="2308"/>
        <v>0.17682628341910378</v>
      </c>
      <c r="BS271" s="86">
        <f t="shared" si="2308"/>
        <v>0.16263248113066803</v>
      </c>
      <c r="BT271" s="86">
        <f t="shared" si="2308"/>
        <v>0.18835340280805454</v>
      </c>
      <c r="BU271" s="86">
        <f t="shared" si="2308"/>
        <v>0.18929168345495515</v>
      </c>
      <c r="BV271" s="86">
        <f t="shared" si="2308"/>
        <v>9.7694045356669021E-2</v>
      </c>
      <c r="BW271" s="86">
        <f t="shared" si="2308"/>
        <v>6.0003381170088889E-2</v>
      </c>
      <c r="BX271" s="86">
        <f t="shared" si="2308"/>
        <v>0.11614376960065419</v>
      </c>
      <c r="BY271" s="86">
        <f t="shared" si="2308"/>
        <v>0.12183540024290319</v>
      </c>
      <c r="BZ271" s="86">
        <f t="shared" si="2308"/>
        <v>7.2836909762293914E-2</v>
      </c>
      <c r="CA271" s="86">
        <f t="shared" si="2308"/>
        <v>8.0276842390287068E-2</v>
      </c>
      <c r="CB271" s="86">
        <f t="shared" si="2308"/>
        <v>6.8391095701654595E-2</v>
      </c>
      <c r="CC271" s="86">
        <f t="shared" si="2308"/>
        <v>6.1314219208956043E-2</v>
      </c>
      <c r="CD271" s="86">
        <f t="shared" si="2308"/>
        <v>6.1330366089006855E-2</v>
      </c>
      <c r="CE271" s="86">
        <f t="shared" si="2308"/>
        <v>5.4259833922074834E-2</v>
      </c>
      <c r="CF271" s="86">
        <f t="shared" si="2308"/>
        <v>6.0490086124172351E-2</v>
      </c>
      <c r="CG271" s="86">
        <f t="shared" si="2308"/>
        <v>6.9966893859930157E-2</v>
      </c>
      <c r="CH271" s="86">
        <f t="shared" si="2308"/>
        <v>5.3724696925000349E-2</v>
      </c>
      <c r="CI271" s="86">
        <f t="shared" si="2308"/>
        <v>6.0735763671092867E-2</v>
      </c>
      <c r="CJ271" s="86">
        <f t="shared" si="2308"/>
        <v>6.254291497855366E-2</v>
      </c>
      <c r="CK271" s="87">
        <f t="shared" si="2308"/>
        <v>5.6299512345560028E-2</v>
      </c>
      <c r="CL271" s="86">
        <f t="shared" ref="CL271" si="2309">CL55/CL27</f>
        <v>6.8006319301923843E-2</v>
      </c>
      <c r="CM271" s="87">
        <f t="shared" si="2308"/>
        <v>1.1579180303160802E-2</v>
      </c>
      <c r="CN271" s="87">
        <f t="shared" si="2308"/>
        <v>1.3561574426447634E-2</v>
      </c>
      <c r="CO271" s="87">
        <f t="shared" si="2308"/>
        <v>1.4042436811780089E-2</v>
      </c>
      <c r="CP271" s="87">
        <f t="shared" si="2308"/>
        <v>1.2266737449839209E-2</v>
      </c>
      <c r="CQ271" s="87">
        <f t="shared" si="2308"/>
        <v>1.8416223632869579E-2</v>
      </c>
      <c r="CR271" s="87">
        <f t="shared" si="2308"/>
        <v>1.8413808841637999E-2</v>
      </c>
      <c r="CS271" s="87">
        <f t="shared" si="2308"/>
        <v>1.8587498236053462E-2</v>
      </c>
      <c r="CT271" s="87">
        <f t="shared" si="2308"/>
        <v>1.6533591186714641E-2</v>
      </c>
      <c r="CU271" s="87">
        <f t="shared" si="2308"/>
        <v>2.067937359326627E-2</v>
      </c>
      <c r="CV271" s="87">
        <f t="shared" si="2308"/>
        <v>1.9464241229618779E-2</v>
      </c>
      <c r="CW271" s="87">
        <f t="shared" si="2308"/>
        <v>1.7992823588143782E-2</v>
      </c>
      <c r="CX271" s="87">
        <f t="shared" ref="CX271:DB271" si="2310">CX55/CX27</f>
        <v>1.5468813192126486E-2</v>
      </c>
      <c r="CY271" s="87">
        <f t="shared" si="2310"/>
        <v>1.8478349283533948E-2</v>
      </c>
      <c r="CZ271" s="87">
        <f t="shared" si="2310"/>
        <v>1.6397777051974677E-2</v>
      </c>
      <c r="DA271" s="87">
        <f t="shared" si="2310"/>
        <v>1.5736877735044088E-2</v>
      </c>
      <c r="DB271" s="87">
        <f t="shared" si="2310"/>
        <v>1.2702151118322506E-2</v>
      </c>
      <c r="DE271" s="141"/>
      <c r="DF271" s="86" t="e">
        <v>#DIV/0!</v>
      </c>
    </row>
    <row r="272" spans="1:110" s="86" customFormat="1" x14ac:dyDescent="0.2">
      <c r="A272" s="86" t="s">
        <v>433</v>
      </c>
      <c r="B272" s="86" t="e">
        <f>B51/B27</f>
        <v>#DIV/0!</v>
      </c>
      <c r="C272" s="86" t="e">
        <f>C51/C27</f>
        <v>#DIV/0!</v>
      </c>
      <c r="D272" s="86" t="e">
        <f>D51/D27</f>
        <v>#DIV/0!</v>
      </c>
      <c r="F272" s="86" t="e">
        <f t="shared" ref="F272:AE272" si="2311">F51/F27</f>
        <v>#DIV/0!</v>
      </c>
      <c r="G272" s="86" t="e">
        <f t="shared" si="2311"/>
        <v>#DIV/0!</v>
      </c>
      <c r="H272" s="86" t="e">
        <f t="shared" si="2311"/>
        <v>#DIV/0!</v>
      </c>
      <c r="I272" s="86" t="e">
        <f t="shared" si="2311"/>
        <v>#DIV/0!</v>
      </c>
      <c r="J272" s="86" t="e">
        <f t="shared" si="2311"/>
        <v>#DIV/0!</v>
      </c>
      <c r="K272" s="86">
        <f t="shared" si="2311"/>
        <v>8.1290530285609161E-2</v>
      </c>
      <c r="L272" s="86">
        <f t="shared" si="2311"/>
        <v>8.8315325568216405E-2</v>
      </c>
      <c r="M272" s="86">
        <f t="shared" si="2311"/>
        <v>0.14428565842977795</v>
      </c>
      <c r="N272" s="86">
        <f t="shared" si="2311"/>
        <v>0.19023624648934415</v>
      </c>
      <c r="O272" s="86">
        <f t="shared" si="2311"/>
        <v>0.12528986866185116</v>
      </c>
      <c r="P272" s="86">
        <f t="shared" si="2311"/>
        <v>0.105429845269415</v>
      </c>
      <c r="Q272" s="86">
        <f t="shared" si="2311"/>
        <v>0.10441024010101767</v>
      </c>
      <c r="R272" s="86">
        <f t="shared" si="2311"/>
        <v>0.11816492309923589</v>
      </c>
      <c r="S272" s="86">
        <f t="shared" si="2311"/>
        <v>0.13291384870579009</v>
      </c>
      <c r="T272" s="86">
        <f t="shared" si="2311"/>
        <v>0.1151649334412988</v>
      </c>
      <c r="U272" s="86">
        <f t="shared" si="2311"/>
        <v>0.11359119712615971</v>
      </c>
      <c r="V272" s="86">
        <f t="shared" si="2311"/>
        <v>0.1221002780926172</v>
      </c>
      <c r="W272" s="86">
        <f t="shared" si="2311"/>
        <v>0.1125011637902103</v>
      </c>
      <c r="X272" s="86">
        <f t="shared" si="2311"/>
        <v>8.5205025107483748E-2</v>
      </c>
      <c r="Y272" s="86">
        <f t="shared" si="2311"/>
        <v>7.8078101338099851E-2</v>
      </c>
      <c r="Z272" s="86">
        <f t="shared" si="2311"/>
        <v>7.6666247354015601E-2</v>
      </c>
      <c r="AA272" s="86">
        <f t="shared" ref="AA272" si="2312">AA51/AA27</f>
        <v>8.4153507377879119E-2</v>
      </c>
      <c r="AB272" s="87">
        <f t="shared" si="2311"/>
        <v>9.4426680636629942E-2</v>
      </c>
      <c r="AC272" s="87">
        <f t="shared" si="2311"/>
        <v>8.1573419975467396E-2</v>
      </c>
      <c r="AD272" s="87">
        <f t="shared" si="2311"/>
        <v>8.3347395067192298E-2</v>
      </c>
      <c r="AE272" s="87">
        <f t="shared" si="2311"/>
        <v>7.8105560491643369E-2</v>
      </c>
      <c r="AL272" s="86">
        <f t="shared" ref="AL272:CW272" si="2313">AL51/AL27</f>
        <v>0.21120833399501357</v>
      </c>
      <c r="AM272" s="86">
        <f t="shared" si="2313"/>
        <v>0.19195184351507649</v>
      </c>
      <c r="AN272" s="86">
        <f t="shared" si="2313"/>
        <v>0.19144044275837155</v>
      </c>
      <c r="AO272" s="86">
        <f t="shared" si="2313"/>
        <v>0.13578947619627185</v>
      </c>
      <c r="AP272" s="86">
        <f t="shared" si="2313"/>
        <v>9.6668217573947418E-2</v>
      </c>
      <c r="AQ272" s="86">
        <f t="shared" si="2313"/>
        <v>0.12681325831515289</v>
      </c>
      <c r="AR272" s="86">
        <f t="shared" si="2313"/>
        <v>0.1637515580060416</v>
      </c>
      <c r="AS272" s="86">
        <f t="shared" si="2313"/>
        <v>0.13461360271073117</v>
      </c>
      <c r="AT272" s="86">
        <f t="shared" si="2313"/>
        <v>-4.7519474843387118E-3</v>
      </c>
      <c r="AU272" s="86">
        <f t="shared" si="2313"/>
        <v>9.4964897585720867E-2</v>
      </c>
      <c r="AV272" s="86">
        <f t="shared" si="2313"/>
        <v>0.10325129594496603</v>
      </c>
      <c r="AW272" s="86">
        <f t="shared" si="2313"/>
        <v>9.940898937020784E-2</v>
      </c>
      <c r="AX272" s="86">
        <f t="shared" si="2313"/>
        <v>0.11667641161074116</v>
      </c>
      <c r="AY272" s="86">
        <f t="shared" si="2313"/>
        <v>0.11111296775930413</v>
      </c>
      <c r="AZ272" s="86">
        <f t="shared" si="2313"/>
        <v>0.10717315013565881</v>
      </c>
      <c r="BA272" s="86">
        <f t="shared" si="2313"/>
        <v>0.11189174261253798</v>
      </c>
      <c r="BB272" s="86">
        <f t="shared" si="2313"/>
        <v>0.13672521303542221</v>
      </c>
      <c r="BC272" s="86">
        <f t="shared" si="2313"/>
        <v>0.12016899497777522</v>
      </c>
      <c r="BD272" s="86">
        <f t="shared" si="2313"/>
        <v>0.11012087903166884</v>
      </c>
      <c r="BE272" s="86">
        <f t="shared" si="2313"/>
        <v>0.13891125120240441</v>
      </c>
      <c r="BF272" s="86">
        <f t="shared" si="2313"/>
        <v>0.17115148409654352</v>
      </c>
      <c r="BG272" s="86">
        <f t="shared" si="2313"/>
        <v>0.17738035553884396</v>
      </c>
      <c r="BH272" s="86">
        <f t="shared" si="2313"/>
        <v>9.8175450647643228E-2</v>
      </c>
      <c r="BI272" s="86">
        <f t="shared" si="2313"/>
        <v>0.1081975689289838</v>
      </c>
      <c r="BJ272" s="86">
        <f t="shared" si="2313"/>
        <v>0.10289925792803031</v>
      </c>
      <c r="BK272" s="86">
        <f t="shared" si="2313"/>
        <v>8.8362516304111072E-2</v>
      </c>
      <c r="BL272" s="86">
        <f t="shared" si="2313"/>
        <v>0.12936107199667327</v>
      </c>
      <c r="BM272" s="86">
        <f t="shared" si="2313"/>
        <v>0.11911808992489528</v>
      </c>
      <c r="BN272" s="86">
        <f t="shared" si="2313"/>
        <v>0.12449067871162572</v>
      </c>
      <c r="BO272" s="86">
        <f t="shared" si="2313"/>
        <v>0.15039115420757404</v>
      </c>
      <c r="BP272" s="86">
        <f t="shared" si="2313"/>
        <v>0.10682895417726453</v>
      </c>
      <c r="BQ272" s="86">
        <f t="shared" si="2313"/>
        <v>0.11742839572781964</v>
      </c>
      <c r="BR272" s="86">
        <f t="shared" si="2313"/>
        <v>0.12262300740554787</v>
      </c>
      <c r="BS272" s="86">
        <f t="shared" si="2313"/>
        <v>0.11788042369604468</v>
      </c>
      <c r="BT272" s="86">
        <f t="shared" si="2313"/>
        <v>0.15142968481729127</v>
      </c>
      <c r="BU272" s="86">
        <f t="shared" si="2313"/>
        <v>0.14631179955529688</v>
      </c>
      <c r="BV272" s="86">
        <f t="shared" si="2313"/>
        <v>7.3022840632660804E-2</v>
      </c>
      <c r="BW272" s="86">
        <f t="shared" si="2313"/>
        <v>5.9465600237847825E-2</v>
      </c>
      <c r="BX272" s="86">
        <f t="shared" si="2313"/>
        <v>0.11826479285950563</v>
      </c>
      <c r="BY272" s="86">
        <f t="shared" si="2313"/>
        <v>0.10788327767338407</v>
      </c>
      <c r="BZ272" s="86">
        <f t="shared" si="2313"/>
        <v>7.976422711837268E-2</v>
      </c>
      <c r="CA272" s="86">
        <f t="shared" si="2313"/>
        <v>8.4919958493631389E-2</v>
      </c>
      <c r="CB272" s="86">
        <f t="shared" si="2313"/>
        <v>7.7323722266442296E-2</v>
      </c>
      <c r="CC272" s="86">
        <f t="shared" si="2313"/>
        <v>7.7145412671728461E-2</v>
      </c>
      <c r="CD272" s="86">
        <f t="shared" si="2313"/>
        <v>7.40835802087597E-2</v>
      </c>
      <c r="CE272" s="86">
        <f t="shared" si="2313"/>
        <v>6.6572254060845312E-2</v>
      </c>
      <c r="CF272" s="86">
        <f t="shared" si="2313"/>
        <v>7.9361235725938006E-2</v>
      </c>
      <c r="CG272" s="86">
        <f t="shared" si="2313"/>
        <v>8.5582224796981674E-2</v>
      </c>
      <c r="CH272" s="86">
        <f t="shared" si="2313"/>
        <v>7.6183151418096007E-2</v>
      </c>
      <c r="CI272" s="86">
        <f t="shared" si="2313"/>
        <v>7.7154895936325005E-2</v>
      </c>
      <c r="CJ272" s="86">
        <f t="shared" si="2313"/>
        <v>8.8684267628953012E-2</v>
      </c>
      <c r="CK272" s="87">
        <f t="shared" si="2313"/>
        <v>9.1178209106737851E-2</v>
      </c>
      <c r="CL272" s="86">
        <f t="shared" ref="CL272" si="2314">CL51/CL27</f>
        <v>8.065968787373208E-2</v>
      </c>
      <c r="CM272" s="87">
        <f t="shared" si="2313"/>
        <v>8.5736422262293471E-2</v>
      </c>
      <c r="CN272" s="87">
        <f t="shared" si="2313"/>
        <v>9.827214228811347E-2</v>
      </c>
      <c r="CO272" s="87">
        <f t="shared" si="2313"/>
        <v>0.10411875500154733</v>
      </c>
      <c r="CP272" s="87">
        <f t="shared" si="2313"/>
        <v>9.0892925994583013E-2</v>
      </c>
      <c r="CQ272" s="87">
        <f t="shared" si="2313"/>
        <v>8.2753574762357812E-2</v>
      </c>
      <c r="CR272" s="87">
        <f t="shared" si="2313"/>
        <v>8.5279864782122627E-2</v>
      </c>
      <c r="CS272" s="87">
        <f t="shared" si="2313"/>
        <v>8.5341062196027773E-2</v>
      </c>
      <c r="CT272" s="87">
        <f t="shared" si="2313"/>
        <v>7.4590059120523369E-2</v>
      </c>
      <c r="CU272" s="87">
        <f t="shared" si="2313"/>
        <v>8.6827551904353248E-2</v>
      </c>
      <c r="CV272" s="87">
        <f t="shared" si="2313"/>
        <v>8.9756050898328568E-2</v>
      </c>
      <c r="CW272" s="87">
        <f t="shared" si="2313"/>
        <v>8.5811803780968685E-2</v>
      </c>
      <c r="CX272" s="87">
        <f t="shared" ref="CX272:DB272" si="2315">CX51/CX27</f>
        <v>7.3812158036737699E-2</v>
      </c>
      <c r="CY272" s="87">
        <f t="shared" si="2315"/>
        <v>8.4326860960409269E-2</v>
      </c>
      <c r="CZ272" s="87">
        <f t="shared" si="2315"/>
        <v>8.2931881077451405E-2</v>
      </c>
      <c r="DA272" s="87">
        <f t="shared" si="2315"/>
        <v>8.1380987308944011E-2</v>
      </c>
      <c r="DB272" s="87">
        <f t="shared" si="2315"/>
        <v>6.7303217624965841E-2</v>
      </c>
      <c r="DE272" s="141"/>
      <c r="DF272" s="86" t="e">
        <v>#DIV/0!</v>
      </c>
    </row>
    <row r="273" spans="28:109" s="85" customFormat="1" x14ac:dyDescent="0.2">
      <c r="AB273" s="58"/>
      <c r="AC273" s="58"/>
      <c r="AD273" s="58"/>
      <c r="AE273" s="58"/>
      <c r="CK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E273" s="143"/>
    </row>
  </sheetData>
  <sortState xmlns:xlrd2="http://schemas.microsoft.com/office/spreadsheetml/2017/richdata2" ref="A39:DE44">
    <sortCondition ref="A39:A4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Y26" activePane="bottomRight" state="frozen"/>
      <selection activeCell="A2" sqref="A2"/>
      <selection pane="topRight" activeCell="A2" sqref="A2"/>
      <selection pane="bottomLeft" activeCell="A2" sqref="A2"/>
      <selection pane="bottomRight" activeCell="AB56" sqref="AB5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209867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Adani Power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1501.88</v>
      </c>
      <c r="D6">
        <f>_xll.EQNXTDZ($A$1,$B6,D$1,$B$1)</f>
        <v>1501.68</v>
      </c>
      <c r="E6">
        <f>_xll.EQNXTDZ($A$1,$B6,E$1,$B$1)</f>
        <v>1883.31</v>
      </c>
      <c r="F6">
        <f>_xll.EQNXTDZ($A$1,$B6,F$1,$B$1)</f>
        <v>1887.91</v>
      </c>
      <c r="G6">
        <f>_xll.EQNXTDZ($A$1,$B6,G$1,$B$1)</f>
        <v>2534.86</v>
      </c>
      <c r="H6">
        <f>_xll.EQNXTDZ($A$1,$B6,H$1,$B$1)</f>
        <v>3041.83</v>
      </c>
      <c r="I6">
        <f>_xll.EQNXTDZ($A$1,$B6,I$1,$B$1)</f>
        <v>4186.67</v>
      </c>
      <c r="J6">
        <f>_xll.EQNXTDZ($A$1,$B6,J$1,$B$1)</f>
        <v>5990.71</v>
      </c>
      <c r="K6">
        <f>_xll.EQNXTDZ($A$1,$B6,K$1,$B$1)</f>
        <v>5218.93</v>
      </c>
      <c r="L6">
        <f>_xll.EQNXTDZ($A$1,$B6,L$1,$B$1)</f>
        <v>4140.7299999999996</v>
      </c>
      <c r="M6">
        <f>_xll.EQNXTDZ($A$1,$B6,M$1,$B$1)</f>
        <v>5496.38</v>
      </c>
      <c r="N6">
        <f>_xll.EQNXTDZ($A$1,$B6,N$1,$B$1)</f>
        <v>4661.34</v>
      </c>
      <c r="O6">
        <f>_xll.EQNXTDZ($A$1,$B6,O$1,$B$1)</f>
        <v>5935.61</v>
      </c>
      <c r="P6">
        <f>_xll.EQNXTDZ($A$1,$B6,P$1,$B$1)</f>
        <v>5743.26</v>
      </c>
      <c r="Q6">
        <f>_xll.EQNXTDZ($A$1,$B6,Q$1,$B$1)</f>
        <v>6184.08</v>
      </c>
      <c r="R6">
        <f>_xll.EQNXTDZ($A$1,$B6,R$1,$B$1)</f>
        <v>7644.99</v>
      </c>
      <c r="S6">
        <f>_xll.EQNXTDZ($A$1,$B6,S$1,$B$1)</f>
        <v>5386.05</v>
      </c>
      <c r="T6">
        <f>_xll.EQNXTDZ($A$1,$B6,T$1,$B$1)</f>
        <v>5576.49</v>
      </c>
      <c r="U6">
        <f>_xll.EQNXTDZ($A$1,$B6,U$1,$B$1)</f>
        <v>5431.5</v>
      </c>
      <c r="V6">
        <f>_xll.EQNXTDZ($A$1,$B6,V$1,$B$1)</f>
        <v>6352.23</v>
      </c>
      <c r="W6">
        <f>_xll.EQNXTDZ($A$1,$B6,W$1,$B$1)</f>
        <v>5543.36</v>
      </c>
      <c r="X6">
        <f>_xll.EQNXTDZ($A$1,$B6,X$1,$B$1)</f>
        <v>6159.05</v>
      </c>
      <c r="Y6">
        <f>_xll.EQNXTDZ($A$1,$B6,Y$1,$B$1)</f>
        <v>4844.46</v>
      </c>
      <c r="Z6">
        <f>_xll.EQNXTDZ($A$1,$B6,Z$1,$B$1)</f>
        <v>3981.21</v>
      </c>
      <c r="AA6">
        <f>_xll.EQNXTDZ($A$1,$B6,AA$1,$B$1)</f>
        <v>3829.68</v>
      </c>
      <c r="AB6">
        <f>_xll.EQNXTDZ($A$1,$B6,AB$1,$B$1)</f>
        <v>7104.22</v>
      </c>
      <c r="AC6">
        <f>_xll.EQNXTDZ($A$1,$B6,AC$1,$B$1)</f>
        <v>6305.04</v>
      </c>
      <c r="AD6">
        <f>_xll.EQNXTDZ($A$1,$B6,AD$1,$B$1)</f>
        <v>6721.72</v>
      </c>
      <c r="AE6">
        <f>_xll.EQNXTDZ($A$1,$B6,AE$1,$B$1)</f>
        <v>7804.78</v>
      </c>
      <c r="AF6">
        <f>_xll.EQNXTDZ($A$1,$B6,AF$1,$B$1)</f>
        <v>5915.69</v>
      </c>
      <c r="AG6">
        <f>_xll.EQNXTDZ($A$1,$B6,AG$1,$B$1)</f>
        <v>6574.82</v>
      </c>
      <c r="AH6">
        <f>_xll.EQNXTDZ($A$1,$B6,AH$1,$B$1)</f>
        <v>6172.43</v>
      </c>
      <c r="AI6">
        <f>_xll.EQNXTDZ($A$1,$B6,AI$1,$B$1)</f>
        <v>5203.83</v>
      </c>
      <c r="AJ6">
        <f>_xll.EQNXTDZ($A$1,$B6,AJ$1,$B$1)</f>
        <v>7749.21</v>
      </c>
      <c r="AK6">
        <f>_xll.EQNXTDZ($A$1,$B6,AK$1,$B$1)</f>
        <v>6894.84</v>
      </c>
      <c r="AL6">
        <f>_xll.EQNXTDZ($A$1,$B6,AL$1,$B$1)</f>
        <v>6373.6</v>
      </c>
      <c r="AM6">
        <f>_xll.EQNXTDZ($A$1,$B6,AM$1,$B$1)</f>
        <v>6568.86</v>
      </c>
      <c r="AN6">
        <f>_xll.EQNXTDZ($A$1,$B6,AN$1,$B$1)</f>
        <v>5183.66</v>
      </c>
      <c r="AO6">
        <f>_xll.EQNXTDZ($A$1,$B6,AO$1,$B$1)</f>
        <v>5360.88</v>
      </c>
      <c r="AP6">
        <f>_xll.EQNXTDZ($A$1,$B6,AP$1,$B$1)</f>
        <v>10597.78</v>
      </c>
      <c r="AQ6">
        <f>_xll.EQNXTDZ($A$1,$B6,AQ$1,$B$1)</f>
        <v>13723.06</v>
      </c>
      <c r="AR6">
        <f>_xll.EQNXTDZ($A$1,$B6,AR$1,$B$1)</f>
        <v>7043.77</v>
      </c>
      <c r="AS6">
        <f>_xll.EQNXTDZ($A$1,$B6,AS$1,$B$1)</f>
        <v>7764.41</v>
      </c>
      <c r="AT6">
        <f>_xll.EQNXTDZ($A$1,$B6,AT$1,$B$1)</f>
        <v>10242.06</v>
      </c>
      <c r="AU6">
        <f>_xll.EQNXTDZ($A$1,$B6,AU$1,$B$1)</f>
        <v>11005.54</v>
      </c>
      <c r="AV6">
        <f>_xll.EQNXTDZ($A$1,$B6,AV$1,$B$1)</f>
        <v>12990.58</v>
      </c>
      <c r="AW6">
        <f>_xll.EQNXTDZ($A$1,$B6,AW$1,$B$1)</f>
        <v>12991.44</v>
      </c>
      <c r="AX6">
        <f>_xll.EQNXTDZ($A$1,$B6,AX$1,$B$1)</f>
        <v>13363.69</v>
      </c>
      <c r="AY6">
        <f>_xll.EQNXTDZ($A$1,$B6,AY$1,$B$1)</f>
        <v>14955.63</v>
      </c>
      <c r="AZ6">
        <f>_xll.EQNXTDZ($A$1,$B6,AZ$1,$B$1)</f>
        <v>13338.88</v>
      </c>
      <c r="BA6">
        <f>_xll.EQNXTDZ($A$1,$B6,BA$1,$B$1)</f>
        <v>13671.18</v>
      </c>
      <c r="BB6">
        <f>_xll.EQNXTDZ($A$1,$B6,BB$1,$B$1)</f>
        <v>14237.4</v>
      </c>
      <c r="BC6">
        <f>_xll.EQNXTDZ($A$1,$B6,BC$1,$B$1)</f>
        <v>14109.15</v>
      </c>
      <c r="BD6">
        <f>_xll.EQNXTDZ($A$1,$B6,BD$1,$B$1)</f>
        <v>13456.84</v>
      </c>
      <c r="BE6">
        <f>_xll.EQNXTDZ($A$1,$B6,BE$1,$B$1)</f>
        <v>12451.44</v>
      </c>
      <c r="BF6">
        <f>_xll.EQNXTDZ($A$1,$B6,BF$1,$B$1)</f>
        <v>14223.09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1.27</v>
      </c>
      <c r="D8">
        <f>_xll.EQNXTDZ($A$1,$B8,D$1,$B$1)</f>
        <v>1.01</v>
      </c>
      <c r="E8">
        <f>_xll.EQNXTDZ($A$1,$B8,E$1,$B$1)</f>
        <v>1.07</v>
      </c>
      <c r="F8">
        <f>_xll.EQNXTDZ($A$1,$B8,F$1,$B$1)</f>
        <v>1.22</v>
      </c>
      <c r="G8">
        <f>_xll.EQNXTDZ($A$1,$B8,G$1,$B$1)</f>
        <v>1.87</v>
      </c>
      <c r="H8">
        <f>_xll.EQNXTDZ($A$1,$B8,H$1,$B$1)</f>
        <v>2.72</v>
      </c>
      <c r="I8">
        <f>_xll.EQNXTDZ($A$1,$B8,I$1,$B$1)</f>
        <v>3.64</v>
      </c>
      <c r="J8">
        <f>_xll.EQNXTDZ($A$1,$B8,J$1,$B$1)</f>
        <v>5.78</v>
      </c>
      <c r="K8">
        <f>_xll.EQNXTDZ($A$1,$B8,K$1,$B$1)</f>
        <v>6.47</v>
      </c>
      <c r="L8">
        <f>_xll.EQNXTDZ($A$1,$B8,L$1,$B$1)</f>
        <v>7.2</v>
      </c>
      <c r="M8">
        <f>_xll.EQNXTDZ($A$1,$B8,M$1,$B$1)</f>
        <v>7.67</v>
      </c>
      <c r="N8">
        <f>_xll.EQNXTDZ($A$1,$B8,N$1,$B$1)</f>
        <v>6.22</v>
      </c>
      <c r="O8">
        <f>_xll.EQNXTDZ($A$1,$B8,O$1,$B$1)</f>
        <v>9.85</v>
      </c>
      <c r="P8">
        <f>_xll.EQNXTDZ($A$1,$B8,P$1,$B$1)</f>
        <v>7.37</v>
      </c>
      <c r="Q8">
        <f>_xll.EQNXTDZ($A$1,$B8,Q$1,$B$1)</f>
        <v>7.01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1503.15</v>
      </c>
      <c r="D9">
        <f>_xll.EQNXTDZ($A$1,$B9,D$1,$B$1)</f>
        <v>1502.69</v>
      </c>
      <c r="E9">
        <f>_xll.EQNXTDZ($A$1,$B9,E$1,$B$1)</f>
        <v>1884.38</v>
      </c>
      <c r="F9">
        <f>_xll.EQNXTDZ($A$1,$B9,F$1,$B$1)</f>
        <v>1889.13</v>
      </c>
      <c r="G9">
        <f>_xll.EQNXTDZ($A$1,$B9,G$1,$B$1)</f>
        <v>2536.73</v>
      </c>
      <c r="H9">
        <f>_xll.EQNXTDZ($A$1,$B9,H$1,$B$1)</f>
        <v>3044.55</v>
      </c>
      <c r="I9">
        <f>_xll.EQNXTDZ($A$1,$B9,I$1,$B$1)</f>
        <v>4190.3100000000004</v>
      </c>
      <c r="J9">
        <f>_xll.EQNXTDZ($A$1,$B9,J$1,$B$1)</f>
        <v>5996.49</v>
      </c>
      <c r="K9">
        <f>_xll.EQNXTDZ($A$1,$B9,K$1,$B$1)</f>
        <v>5225.3999999999996</v>
      </c>
      <c r="L9">
        <f>_xll.EQNXTDZ($A$1,$B9,L$1,$B$1)</f>
        <v>4147.93</v>
      </c>
      <c r="M9">
        <f>_xll.EQNXTDZ($A$1,$B9,M$1,$B$1)</f>
        <v>5504.05</v>
      </c>
      <c r="N9">
        <f>_xll.EQNXTDZ($A$1,$B9,N$1,$B$1)</f>
        <v>4667.5600000000004</v>
      </c>
      <c r="O9">
        <f>_xll.EQNXTDZ($A$1,$B9,O$1,$B$1)</f>
        <v>5945.46</v>
      </c>
      <c r="P9">
        <f>_xll.EQNXTDZ($A$1,$B9,P$1,$B$1)</f>
        <v>5750.63</v>
      </c>
      <c r="Q9">
        <f>_xll.EQNXTDZ($A$1,$B9,Q$1,$B$1)</f>
        <v>6191.09</v>
      </c>
      <c r="R9">
        <f>_xll.EQNXTDZ($A$1,$B9,R$1,$B$1)</f>
        <v>7644.99</v>
      </c>
      <c r="S9">
        <f>_xll.EQNXTDZ($A$1,$B9,S$1,$B$1)</f>
        <v>5386.05</v>
      </c>
      <c r="T9">
        <f>_xll.EQNXTDZ($A$1,$B9,T$1,$B$1)</f>
        <v>5576.49</v>
      </c>
      <c r="U9">
        <f>_xll.EQNXTDZ($A$1,$B9,U$1,$B$1)</f>
        <v>5431.5</v>
      </c>
      <c r="V9">
        <f>_xll.EQNXTDZ($A$1,$B9,V$1,$B$1)</f>
        <v>6352.23</v>
      </c>
      <c r="W9">
        <f>_xll.EQNXTDZ($A$1,$B9,W$1,$B$1)</f>
        <v>5543.36</v>
      </c>
      <c r="X9">
        <f>_xll.EQNXTDZ($A$1,$B9,X$1,$B$1)</f>
        <v>6159.05</v>
      </c>
      <c r="Y9">
        <f>_xll.EQNXTDZ($A$1,$B9,Y$1,$B$1)</f>
        <v>4844.46</v>
      </c>
      <c r="Z9">
        <f>_xll.EQNXTDZ($A$1,$B9,Z$1,$B$1)</f>
        <v>3981.21</v>
      </c>
      <c r="AA9">
        <f>_xll.EQNXTDZ($A$1,$B9,AA$1,$B$1)</f>
        <v>3829.68</v>
      </c>
      <c r="AB9">
        <f>_xll.EQNXTDZ($A$1,$B9,AB$1,$B$1)</f>
        <v>7104.22</v>
      </c>
      <c r="AC9">
        <f>_xll.EQNXTDZ($A$1,$B9,AC$1,$B$1)</f>
        <v>6305.04</v>
      </c>
      <c r="AD9">
        <f>_xll.EQNXTDZ($A$1,$B9,AD$1,$B$1)</f>
        <v>6721.72</v>
      </c>
      <c r="AE9">
        <f>_xll.EQNXTDZ($A$1,$B9,AE$1,$B$1)</f>
        <v>7804.78</v>
      </c>
      <c r="AF9">
        <f>_xll.EQNXTDZ($A$1,$B9,AF$1,$B$1)</f>
        <v>5915.69</v>
      </c>
      <c r="AG9">
        <f>_xll.EQNXTDZ($A$1,$B9,AG$1,$B$1)</f>
        <v>6574.82</v>
      </c>
      <c r="AH9">
        <f>_xll.EQNXTDZ($A$1,$B9,AH$1,$B$1)</f>
        <v>6172.43</v>
      </c>
      <c r="AI9">
        <f>_xll.EQNXTDZ($A$1,$B9,AI$1,$B$1)</f>
        <v>5203.83</v>
      </c>
      <c r="AJ9">
        <f>_xll.EQNXTDZ($A$1,$B9,AJ$1,$B$1)</f>
        <v>7749.21</v>
      </c>
      <c r="AK9">
        <f>_xll.EQNXTDZ($A$1,$B9,AK$1,$B$1)</f>
        <v>6894.84</v>
      </c>
      <c r="AL9">
        <f>_xll.EQNXTDZ($A$1,$B9,AL$1,$B$1)</f>
        <v>6373.6</v>
      </c>
      <c r="AM9">
        <f>_xll.EQNXTDZ($A$1,$B9,AM$1,$B$1)</f>
        <v>6568.86</v>
      </c>
      <c r="AN9">
        <f>_xll.EQNXTDZ($A$1,$B9,AN$1,$B$1)</f>
        <v>5183.66</v>
      </c>
      <c r="AO9">
        <f>_xll.EQNXTDZ($A$1,$B9,AO$1,$B$1)</f>
        <v>5360.88</v>
      </c>
      <c r="AP9">
        <f>_xll.EQNXTDZ($A$1,$B9,AP$1,$B$1)</f>
        <v>10597.78</v>
      </c>
      <c r="AQ9">
        <f>_xll.EQNXTDZ($A$1,$B9,AQ$1,$B$1)</f>
        <v>13723.06</v>
      </c>
      <c r="AR9">
        <f>_xll.EQNXTDZ($A$1,$B9,AR$1,$B$1)</f>
        <v>7043.77</v>
      </c>
      <c r="AS9">
        <f>_xll.EQNXTDZ($A$1,$B9,AS$1,$B$1)</f>
        <v>7764.41</v>
      </c>
      <c r="AT9">
        <f>_xll.EQNXTDZ($A$1,$B9,AT$1,$B$1)</f>
        <v>10242.06</v>
      </c>
      <c r="AU9">
        <f>_xll.EQNXTDZ($A$1,$B9,AU$1,$B$1)</f>
        <v>11005.54</v>
      </c>
      <c r="AV9">
        <f>_xll.EQNXTDZ($A$1,$B9,AV$1,$B$1)</f>
        <v>12990.58</v>
      </c>
      <c r="AW9">
        <f>_xll.EQNXTDZ($A$1,$B9,AW$1,$B$1)</f>
        <v>12991.44</v>
      </c>
      <c r="AX9">
        <f>_xll.EQNXTDZ($A$1,$B9,AX$1,$B$1)</f>
        <v>13363.69</v>
      </c>
      <c r="AY9">
        <f>_xll.EQNXTDZ($A$1,$B9,AY$1,$B$1)</f>
        <v>14955.63</v>
      </c>
      <c r="AZ9">
        <f>_xll.EQNXTDZ($A$1,$B9,AZ$1,$B$1)</f>
        <v>13338.88</v>
      </c>
      <c r="BA9">
        <f>_xll.EQNXTDZ($A$1,$B9,BA$1,$B$1)</f>
        <v>13671.18</v>
      </c>
      <c r="BB9">
        <f>_xll.EQNXTDZ($A$1,$B9,BB$1,$B$1)</f>
        <v>14237.4</v>
      </c>
      <c r="BC9">
        <f>_xll.EQNXTDZ($A$1,$B9,BC$1,$B$1)</f>
        <v>14109.15</v>
      </c>
      <c r="BD9">
        <f>_xll.EQNXTDZ($A$1,$B9,BD$1,$B$1)</f>
        <v>13456.84</v>
      </c>
      <c r="BE9">
        <f>_xll.EQNXTDZ($A$1,$B9,BE$1,$B$1)</f>
        <v>12451.44</v>
      </c>
      <c r="BF9">
        <f>_xll.EQNXTDZ($A$1,$B9,BF$1,$B$1)</f>
        <v>14223.09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-10.06</v>
      </c>
      <c r="AL10">
        <f>_xll.EQNXTDZ($A$1,$B10,AL$1,$B$1)</f>
        <v>10.06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-18.43</v>
      </c>
      <c r="AP10">
        <f>_xll.EQNXTDZ($A$1,$B10,AP$1,$B$1)</f>
        <v>18.43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328.54</v>
      </c>
      <c r="J12">
        <f>_xll.EQNXTDZ($A$1,$B12,J$1,$B$1)</f>
        <v>0.48</v>
      </c>
      <c r="K12">
        <f>_xll.EQNXTDZ($A$1,$B12,K$1,$B$1)</f>
        <v>0.19</v>
      </c>
      <c r="L12">
        <f>_xll.EQNXTDZ($A$1,$B12,L$1,$B$1)</f>
        <v>13.45</v>
      </c>
      <c r="M12">
        <f>_xll.EQNXTDZ($A$1,$B12,M$1,$B$1)</f>
        <v>104.74</v>
      </c>
      <c r="N12">
        <f>_xll.EQNXTDZ($A$1,$B12,N$1,$B$1)</f>
        <v>172.22</v>
      </c>
      <c r="O12">
        <f>_xll.EQNXTDZ($A$1,$B12,O$1,$B$1)</f>
        <v>109.09</v>
      </c>
      <c r="P12">
        <f>_xll.EQNXTDZ($A$1,$B12,P$1,$B$1)</f>
        <v>6.87</v>
      </c>
      <c r="Q12">
        <f>_xll.EQNXTDZ($A$1,$B12,Q$1,$B$1)</f>
        <v>0</v>
      </c>
      <c r="R12">
        <f>_xll.EQNXTDZ($A$1,$B12,R$1,$B$1)</f>
        <v>73.59</v>
      </c>
      <c r="S12">
        <f>_xll.EQNXTDZ($A$1,$B12,S$1,$B$1)</f>
        <v>25.19</v>
      </c>
      <c r="T12">
        <f>_xll.EQNXTDZ($A$1,$B12,T$1,$B$1)</f>
        <v>18.62</v>
      </c>
      <c r="U12">
        <f>_xll.EQNXTDZ($A$1,$B12,U$1,$B$1)</f>
        <v>21.62</v>
      </c>
      <c r="V12">
        <f>_xll.EQNXTDZ($A$1,$B12,V$1,$B$1)</f>
        <v>150.25</v>
      </c>
      <c r="W12">
        <f>_xll.EQNXTDZ($A$1,$B12,W$1,$B$1)</f>
        <v>81.22</v>
      </c>
      <c r="X12">
        <f>_xll.EQNXTDZ($A$1,$B12,X$1,$B$1)</f>
        <v>85.08</v>
      </c>
      <c r="Y12">
        <f>_xll.EQNXTDZ($A$1,$B12,Y$1,$B$1)</f>
        <v>85.34</v>
      </c>
      <c r="Z12">
        <f>_xll.EQNXTDZ($A$1,$B12,Z$1,$B$1)</f>
        <v>86.29</v>
      </c>
      <c r="AA12">
        <f>_xll.EQNXTDZ($A$1,$B12,AA$1,$B$1)</f>
        <v>65.67</v>
      </c>
      <c r="AB12">
        <f>_xll.EQNXTDZ($A$1,$B12,AB$1,$B$1)</f>
        <v>236.83</v>
      </c>
      <c r="AC12">
        <f>_xll.EQNXTDZ($A$1,$B12,AC$1,$B$1)</f>
        <v>17.03</v>
      </c>
      <c r="AD12">
        <f>_xll.EQNXTDZ($A$1,$B12,AD$1,$B$1)</f>
        <v>490.38</v>
      </c>
      <c r="AE12">
        <f>_xll.EQNXTDZ($A$1,$B12,AE$1,$B$1)</f>
        <v>2.83</v>
      </c>
      <c r="AF12">
        <f>_xll.EQNXTDZ($A$1,$B12,AF$1,$B$1)</f>
        <v>1.2</v>
      </c>
      <c r="AG12">
        <f>_xll.EQNXTDZ($A$1,$B12,AG$1,$B$1)</f>
        <v>46.57</v>
      </c>
      <c r="AH12">
        <f>_xll.EQNXTDZ($A$1,$B12,AH$1,$B$1)</f>
        <v>416.5</v>
      </c>
      <c r="AI12">
        <f>_xll.EQNXTDZ($A$1,$B12,AI$1,$B$1)</f>
        <v>1.51</v>
      </c>
      <c r="AJ12">
        <f>_xll.EQNXTDZ($A$1,$B12,AJ$1,$B$1)</f>
        <v>3.14</v>
      </c>
      <c r="AK12">
        <f>_xll.EQNXTDZ($A$1,$B12,AK$1,$B$1)</f>
        <v>43.93</v>
      </c>
      <c r="AL12">
        <f>_xll.EQNXTDZ($A$1,$B12,AL$1,$B$1)</f>
        <v>316.72000000000003</v>
      </c>
      <c r="AM12">
        <f>_xll.EQNXTDZ($A$1,$B12,AM$1,$B$1)</f>
        <v>2.42</v>
      </c>
      <c r="AN12">
        <f>_xll.EQNXTDZ($A$1,$B12,AN$1,$B$1)</f>
        <v>9.39</v>
      </c>
      <c r="AO12">
        <f>_xll.EQNXTDZ($A$1,$B12,AO$1,$B$1)</f>
        <v>112.11</v>
      </c>
      <c r="AP12">
        <f>_xll.EQNXTDZ($A$1,$B12,AP$1,$B$1)</f>
        <v>421.64</v>
      </c>
      <c r="AQ12">
        <f>_xll.EQNXTDZ($A$1,$B12,AQ$1,$B$1)</f>
        <v>54.86</v>
      </c>
      <c r="AR12">
        <f>_xll.EQNXTDZ($A$1,$B12,AR$1,$B$1)</f>
        <v>69.319999999999993</v>
      </c>
      <c r="AS12">
        <f>_xll.EQNXTDZ($A$1,$B12,AS$1,$B$1)</f>
        <v>29.78</v>
      </c>
      <c r="AT12">
        <f>_xll.EQNXTDZ($A$1,$B12,AT$1,$B$1)</f>
        <v>60.18</v>
      </c>
      <c r="AU12">
        <f>_xll.EQNXTDZ($A$1,$B12,AU$1,$B$1)</f>
        <v>23.54</v>
      </c>
      <c r="AV12">
        <f>_xll.EQNXTDZ($A$1,$B12,AV$1,$B$1)</f>
        <v>29.01</v>
      </c>
      <c r="AW12">
        <f>_xll.EQNXTDZ($A$1,$B12,AW$1,$B$1)</f>
        <v>68.91</v>
      </c>
      <c r="AX12">
        <f>_xll.EQNXTDZ($A$1,$B12,AX$1,$B$1)</f>
        <v>100.8</v>
      </c>
      <c r="AY12">
        <f>_xll.EQNXTDZ($A$1,$B12,AY$1,$B$1)</f>
        <v>10.73</v>
      </c>
      <c r="AZ12">
        <f>_xll.EQNXTDZ($A$1,$B12,AZ$1,$B$1)</f>
        <v>81.489999999999995</v>
      </c>
      <c r="BA12">
        <f>_xll.EQNXTDZ($A$1,$B12,BA$1,$B$1)</f>
        <v>108.67</v>
      </c>
      <c r="BB12">
        <f>_xll.EQNXTDZ($A$1,$B12,BB$1,$B$1)</f>
        <v>156.1</v>
      </c>
      <c r="BC12">
        <f>_xll.EQNXTDZ($A$1,$B12,BC$1,$B$1)</f>
        <v>9.6199999999999992</v>
      </c>
      <c r="BD12">
        <f>_xll.EQNXTDZ($A$1,$B12,BD$1,$B$1)</f>
        <v>11.16</v>
      </c>
      <c r="BE12">
        <f>_xll.EQNXTDZ($A$1,$B12,BE$1,$B$1)</f>
        <v>42.14</v>
      </c>
      <c r="BF12">
        <f>_xll.EQNXTDZ($A$1,$B12,BF$1,$B$1)</f>
        <v>146.74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137.37</v>
      </c>
      <c r="D14">
        <f>_xll.EQNXTDZ($A$1,$B14,D$1,$B$1)</f>
        <v>179.01</v>
      </c>
      <c r="E14">
        <f>_xll.EQNXTDZ($A$1,$B14,E$1,$B$1)</f>
        <v>157.97999999999999</v>
      </c>
      <c r="F14">
        <f>_xll.EQNXTDZ($A$1,$B14,F$1,$B$1)</f>
        <v>170.59</v>
      </c>
      <c r="G14">
        <f>_xll.EQNXTDZ($A$1,$B14,G$1,$B$1)</f>
        <v>184.79</v>
      </c>
      <c r="H14">
        <f>_xll.EQNXTDZ($A$1,$B14,H$1,$B$1)</f>
        <v>184.48</v>
      </c>
      <c r="I14">
        <f>_xll.EQNXTDZ($A$1,$B14,I$1,$B$1)</f>
        <v>300.88</v>
      </c>
      <c r="J14">
        <f>_xll.EQNXTDZ($A$1,$B14,J$1,$B$1)</f>
        <v>377.33</v>
      </c>
      <c r="K14">
        <f>_xll.EQNXTDZ($A$1,$B14,K$1,$B$1)</f>
        <v>322.98</v>
      </c>
      <c r="L14">
        <f>_xll.EQNXTDZ($A$1,$B14,L$1,$B$1)</f>
        <v>332.08</v>
      </c>
      <c r="M14">
        <f>_xll.EQNXTDZ($A$1,$B14,M$1,$B$1)</f>
        <v>369.16</v>
      </c>
      <c r="N14">
        <f>_xll.EQNXTDZ($A$1,$B14,N$1,$B$1)</f>
        <v>424.35</v>
      </c>
      <c r="O14">
        <f>_xll.EQNXTDZ($A$1,$B14,O$1,$B$1)</f>
        <v>422.28</v>
      </c>
      <c r="P14">
        <f>_xll.EQNXTDZ($A$1,$B14,P$1,$B$1)</f>
        <v>329.57</v>
      </c>
      <c r="Q14">
        <f>_xll.EQNXTDZ($A$1,$B14,Q$1,$B$1)</f>
        <v>317.95999999999998</v>
      </c>
      <c r="R14">
        <f>_xll.EQNXTDZ($A$1,$B14,R$1,$B$1)</f>
        <v>385.62</v>
      </c>
      <c r="S14">
        <f>_xll.EQNXTDZ($A$1,$B14,S$1,$B$1)</f>
        <v>411.23</v>
      </c>
      <c r="T14">
        <f>_xll.EQNXTDZ($A$1,$B14,T$1,$B$1)</f>
        <v>370.34</v>
      </c>
      <c r="U14">
        <f>_xll.EQNXTDZ($A$1,$B14,U$1,$B$1)</f>
        <v>330.28</v>
      </c>
      <c r="V14">
        <f>_xll.EQNXTDZ($A$1,$B14,V$1,$B$1)</f>
        <v>421.79</v>
      </c>
      <c r="W14">
        <f>_xll.EQNXTDZ($A$1,$B14,W$1,$B$1)</f>
        <v>397.71</v>
      </c>
      <c r="X14">
        <f>_xll.EQNXTDZ($A$1,$B14,X$1,$B$1)</f>
        <v>355.36</v>
      </c>
      <c r="Y14">
        <f>_xll.EQNXTDZ($A$1,$B14,Y$1,$B$1)</f>
        <v>473.02</v>
      </c>
      <c r="Z14">
        <f>_xll.EQNXTDZ($A$1,$B14,Z$1,$B$1)</f>
        <v>453.69</v>
      </c>
      <c r="AA14">
        <f>_xll.EQNXTDZ($A$1,$B14,AA$1,$B$1)</f>
        <v>399.4</v>
      </c>
      <c r="AB14">
        <f>_xll.EQNXTDZ($A$1,$B14,AB$1,$B$1)</f>
        <v>537.44000000000005</v>
      </c>
      <c r="AC14">
        <f>_xll.EQNXTDZ($A$1,$B14,AC$1,$B$1)</f>
        <v>326.64999999999998</v>
      </c>
      <c r="AD14">
        <f>_xll.EQNXTDZ($A$1,$B14,AD$1,$B$1)</f>
        <v>544.39</v>
      </c>
      <c r="AE14">
        <f>_xll.EQNXTDZ($A$1,$B14,AE$1,$B$1)</f>
        <v>313.27999999999997</v>
      </c>
      <c r="AF14">
        <f>_xll.EQNXTDZ($A$1,$B14,AF$1,$B$1)</f>
        <v>534.27</v>
      </c>
      <c r="AG14">
        <f>_xll.EQNXTDZ($A$1,$B14,AG$1,$B$1)</f>
        <v>514.62</v>
      </c>
      <c r="AH14">
        <f>_xll.EQNXTDZ($A$1,$B14,AH$1,$B$1)</f>
        <v>945.94</v>
      </c>
      <c r="AI14">
        <f>_xll.EQNXTDZ($A$1,$B14,AI$1,$B$1)</f>
        <v>419.07</v>
      </c>
      <c r="AJ14">
        <f>_xll.EQNXTDZ($A$1,$B14,AJ$1,$B$1)</f>
        <v>435.73</v>
      </c>
      <c r="AK14">
        <f>_xll.EQNXTDZ($A$1,$B14,AK$1,$B$1)</f>
        <v>539.71</v>
      </c>
      <c r="AL14">
        <f>_xll.EQNXTDZ($A$1,$B14,AL$1,$B$1)</f>
        <v>580.46</v>
      </c>
      <c r="AM14">
        <f>_xll.EQNXTDZ($A$1,$B14,AM$1,$B$1)</f>
        <v>452.52</v>
      </c>
      <c r="AN14">
        <f>_xll.EQNXTDZ($A$1,$B14,AN$1,$B$1)</f>
        <v>503.71</v>
      </c>
      <c r="AO14">
        <f>_xll.EQNXTDZ($A$1,$B14,AO$1,$B$1)</f>
        <v>484.23</v>
      </c>
      <c r="AP14">
        <f>_xll.EQNXTDZ($A$1,$B14,AP$1,$B$1)</f>
        <v>678.48</v>
      </c>
      <c r="AQ14">
        <f>_xll.EQNXTDZ($A$1,$B14,AQ$1,$B$1)</f>
        <v>674.54</v>
      </c>
      <c r="AR14">
        <f>_xll.EQNXTDZ($A$1,$B14,AR$1,$B$1)</f>
        <v>620.44000000000005</v>
      </c>
      <c r="AS14">
        <f>_xll.EQNXTDZ($A$1,$B14,AS$1,$B$1)</f>
        <v>590.07000000000005</v>
      </c>
      <c r="AT14">
        <f>_xll.EQNXTDZ($A$1,$B14,AT$1,$B$1)</f>
        <v>578.61</v>
      </c>
      <c r="AU14">
        <f>_xll.EQNXTDZ($A$1,$B14,AU$1,$B$1)</f>
        <v>554.79</v>
      </c>
      <c r="AV14">
        <f>_xll.EQNXTDZ($A$1,$B14,AV$1,$B$1)</f>
        <v>875.77</v>
      </c>
      <c r="AW14">
        <f>_xll.EQNXTDZ($A$1,$B14,AW$1,$B$1)</f>
        <v>577.16999999999996</v>
      </c>
      <c r="AX14">
        <f>_xll.EQNXTDZ($A$1,$B14,AX$1,$B$1)</f>
        <v>844.22</v>
      </c>
      <c r="AY14">
        <f>_xll.EQNXTDZ($A$1,$B14,AY$1,$B$1)</f>
        <v>639.46</v>
      </c>
      <c r="AZ14">
        <f>_xll.EQNXTDZ($A$1,$B14,AZ$1,$B$1)</f>
        <v>779.12</v>
      </c>
      <c r="BA14">
        <f>_xll.EQNXTDZ($A$1,$B14,BA$1,$B$1)</f>
        <v>903.43</v>
      </c>
      <c r="BB14">
        <f>_xll.EQNXTDZ($A$1,$B14,BB$1,$B$1)</f>
        <v>1161</v>
      </c>
      <c r="BC14">
        <f>_xll.EQNXTDZ($A$1,$B14,BC$1,$B$1)</f>
        <v>883.33</v>
      </c>
      <c r="BD14">
        <f>_xll.EQNXTDZ($A$1,$B14,BD$1,$B$1)</f>
        <v>903.46</v>
      </c>
      <c r="BE14">
        <f>_xll.EQNXTDZ($A$1,$B14,BE$1,$B$1)</f>
        <v>1197.1500000000001</v>
      </c>
      <c r="BF14">
        <f>_xll.EQNXTDZ($A$1,$B14,BF$1,$B$1)</f>
        <v>1217.6099999999999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1189.1500000000001</v>
      </c>
      <c r="D15">
        <f>_xll.EQNXTDZ($A$1,$B15,D$1,$B$1)</f>
        <v>1108.3399999999999</v>
      </c>
      <c r="E15">
        <f>_xll.EQNXTDZ($A$1,$B15,E$1,$B$1)</f>
        <v>1312.26</v>
      </c>
      <c r="F15">
        <f>_xll.EQNXTDZ($A$1,$B15,F$1,$B$1)</f>
        <v>1314.45</v>
      </c>
      <c r="G15">
        <f>_xll.EQNXTDZ($A$1,$B15,G$1,$B$1)</f>
        <v>1786.3</v>
      </c>
      <c r="H15">
        <f>_xll.EQNXTDZ($A$1,$B15,H$1,$B$1)</f>
        <v>2071.16</v>
      </c>
      <c r="I15">
        <f>_xll.EQNXTDZ($A$1,$B15,I$1,$B$1)</f>
        <v>2524.77</v>
      </c>
      <c r="J15">
        <f>_xll.EQNXTDZ($A$1,$B15,J$1,$B$1)</f>
        <v>2785.24</v>
      </c>
      <c r="K15">
        <f>_xll.EQNXTDZ($A$1,$B15,K$1,$B$1)</f>
        <v>3142.45</v>
      </c>
      <c r="L15">
        <f>_xll.EQNXTDZ($A$1,$B15,L$1,$B$1)</f>
        <v>2506.02</v>
      </c>
      <c r="M15">
        <f>_xll.EQNXTDZ($A$1,$B15,M$1,$B$1)</f>
        <v>3188.22</v>
      </c>
      <c r="N15">
        <f>_xll.EQNXTDZ($A$1,$B15,N$1,$B$1)</f>
        <v>2777.01</v>
      </c>
      <c r="O15">
        <f>_xll.EQNXTDZ($A$1,$B15,O$1,$B$1)</f>
        <v>3739.63</v>
      </c>
      <c r="P15">
        <f>_xll.EQNXTDZ($A$1,$B15,P$1,$B$1)</f>
        <v>3522.17</v>
      </c>
      <c r="Q15">
        <f>_xll.EQNXTDZ($A$1,$B15,Q$1,$B$1)</f>
        <v>3769.64</v>
      </c>
      <c r="R15">
        <f>_xll.EQNXTDZ($A$1,$B15,R$1,$B$1)</f>
        <v>3694.87</v>
      </c>
      <c r="S15">
        <f>_xll.EQNXTDZ($A$1,$B15,S$1,$B$1)</f>
        <v>3119.5</v>
      </c>
      <c r="T15">
        <f>_xll.EQNXTDZ($A$1,$B15,T$1,$B$1)</f>
        <v>3461.67</v>
      </c>
      <c r="U15">
        <f>_xll.EQNXTDZ($A$1,$B15,U$1,$B$1)</f>
        <v>3679.25</v>
      </c>
      <c r="V15">
        <f>_xll.EQNXTDZ($A$1,$B15,V$1,$B$1)</f>
        <v>4363.1899999999996</v>
      </c>
      <c r="W15">
        <f>_xll.EQNXTDZ($A$1,$B15,W$1,$B$1)</f>
        <v>3404.45</v>
      </c>
      <c r="X15">
        <f>_xll.EQNXTDZ($A$1,$B15,X$1,$B$1)</f>
        <v>3508.85</v>
      </c>
      <c r="Y15">
        <f>_xll.EQNXTDZ($A$1,$B15,Y$1,$B$1)</f>
        <v>3493.37</v>
      </c>
      <c r="Z15">
        <f>_xll.EQNXTDZ($A$1,$B15,Z$1,$B$1)</f>
        <v>2125.2800000000002</v>
      </c>
      <c r="AA15">
        <f>_xll.EQNXTDZ($A$1,$B15,AA$1,$B$1)</f>
        <v>2113.79</v>
      </c>
      <c r="AB15">
        <f>_xll.EQNXTDZ($A$1,$B15,AB$1,$B$1)</f>
        <v>3987.43</v>
      </c>
      <c r="AC15">
        <f>_xll.EQNXTDZ($A$1,$B15,AC$1,$B$1)</f>
        <v>4864.55</v>
      </c>
      <c r="AD15">
        <f>_xll.EQNXTDZ($A$1,$B15,AD$1,$B$1)</f>
        <v>4983.51</v>
      </c>
      <c r="AE15">
        <f>_xll.EQNXTDZ($A$1,$B15,AE$1,$B$1)</f>
        <v>4707.5600000000004</v>
      </c>
      <c r="AF15">
        <f>_xll.EQNXTDZ($A$1,$B15,AF$1,$B$1)</f>
        <v>3926.39</v>
      </c>
      <c r="AG15">
        <f>_xll.EQNXTDZ($A$1,$B15,AG$1,$B$1)</f>
        <v>4458.29</v>
      </c>
      <c r="AH15">
        <f>_xll.EQNXTDZ($A$1,$B15,AH$1,$B$1)</f>
        <v>4488.1499999999996</v>
      </c>
      <c r="AI15">
        <f>_xll.EQNXTDZ($A$1,$B15,AI$1,$B$1)</f>
        <v>3288.46</v>
      </c>
      <c r="AJ15">
        <f>_xll.EQNXTDZ($A$1,$B15,AJ$1,$B$1)</f>
        <v>3161.81</v>
      </c>
      <c r="AK15">
        <f>_xll.EQNXTDZ($A$1,$B15,AK$1,$B$1)</f>
        <v>4592.67</v>
      </c>
      <c r="AL15">
        <f>_xll.EQNXTDZ($A$1,$B15,AL$1,$B$1)</f>
        <v>3738.21</v>
      </c>
      <c r="AM15">
        <f>_xll.EQNXTDZ($A$1,$B15,AM$1,$B$1)</f>
        <v>4355.8599999999997</v>
      </c>
      <c r="AN15">
        <f>_xll.EQNXTDZ($A$1,$B15,AN$1,$B$1)</f>
        <v>3392.59</v>
      </c>
      <c r="AO15">
        <f>_xll.EQNXTDZ($A$1,$B15,AO$1,$B$1)</f>
        <v>2896.17</v>
      </c>
      <c r="AP15">
        <f>_xll.EQNXTDZ($A$1,$B15,AP$1,$B$1)</f>
        <v>4117.59</v>
      </c>
      <c r="AQ15">
        <f>_xll.EQNXTDZ($A$1,$B15,AQ$1,$B$1)</f>
        <v>7139.97</v>
      </c>
      <c r="AR15">
        <f>_xll.EQNXTDZ($A$1,$B15,AR$1,$B$1)</f>
        <v>5261.33</v>
      </c>
      <c r="AS15">
        <f>_xll.EQNXTDZ($A$1,$B15,AS$1,$B$1)</f>
        <v>5532.83</v>
      </c>
      <c r="AT15">
        <f>_xll.EQNXTDZ($A$1,$B15,AT$1,$B$1)</f>
        <v>7546.72</v>
      </c>
      <c r="AU15">
        <f>_xll.EQNXTDZ($A$1,$B15,AU$1,$B$1)</f>
        <v>6762.2</v>
      </c>
      <c r="AV15">
        <f>_xll.EQNXTDZ($A$1,$B15,AV$1,$B$1)</f>
        <v>6761.94</v>
      </c>
      <c r="AW15">
        <f>_xll.EQNXTDZ($A$1,$B15,AW$1,$B$1)</f>
        <v>7548.98</v>
      </c>
      <c r="AX15">
        <f>_xll.EQNXTDZ($A$1,$B15,AX$1,$B$1)</f>
        <v>7379.52</v>
      </c>
      <c r="AY15">
        <f>_xll.EQNXTDZ($A$1,$B15,AY$1,$B$1)</f>
        <v>7898.22</v>
      </c>
      <c r="AZ15">
        <f>_xll.EQNXTDZ($A$1,$B15,AZ$1,$B$1)</f>
        <v>7032.22</v>
      </c>
      <c r="BA15">
        <f>_xll.EQNXTDZ($A$1,$B15,BA$1,$B$1)</f>
        <v>7424.72</v>
      </c>
      <c r="BB15">
        <f>_xll.EQNXTDZ($A$1,$B15,BB$1,$B$1)</f>
        <v>7918.09</v>
      </c>
      <c r="BC15">
        <f>_xll.EQNXTDZ($A$1,$B15,BC$1,$B$1)</f>
        <v>7309.19</v>
      </c>
      <c r="BD15">
        <f>_xll.EQNXTDZ($A$1,$B15,BD$1,$B$1)</f>
        <v>7205.07</v>
      </c>
      <c r="BE15">
        <f>_xll.EQNXTDZ($A$1,$B15,BE$1,$B$1)</f>
        <v>6758.04</v>
      </c>
      <c r="BF15">
        <f>_xll.EQNXTDZ($A$1,$B15,BF$1,$B$1)</f>
        <v>7895.72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30.12</v>
      </c>
      <c r="D16">
        <f>_xll.EQNXTDZ($A$1,$B16,D$1,$B$1)</f>
        <v>40.020000000000003</v>
      </c>
      <c r="E16">
        <f>_xll.EQNXTDZ($A$1,$B16,E$1,$B$1)</f>
        <v>35.619999999999997</v>
      </c>
      <c r="F16">
        <f>_xll.EQNXTDZ($A$1,$B16,F$1,$B$1)</f>
        <v>36.21</v>
      </c>
      <c r="G16">
        <f>_xll.EQNXTDZ($A$1,$B16,G$1,$B$1)</f>
        <v>44.26</v>
      </c>
      <c r="H16">
        <f>_xll.EQNXTDZ($A$1,$B16,H$1,$B$1)</f>
        <v>65.319999999999993</v>
      </c>
      <c r="I16">
        <f>_xll.EQNXTDZ($A$1,$B16,I$1,$B$1)</f>
        <v>55.85</v>
      </c>
      <c r="J16">
        <f>_xll.EQNXTDZ($A$1,$B16,J$1,$B$1)</f>
        <v>82.41</v>
      </c>
      <c r="K16">
        <f>_xll.EQNXTDZ($A$1,$B16,K$1,$B$1)</f>
        <v>67.52</v>
      </c>
      <c r="L16">
        <f>_xll.EQNXTDZ($A$1,$B16,L$1,$B$1)</f>
        <v>81.06</v>
      </c>
      <c r="M16">
        <f>_xll.EQNXTDZ($A$1,$B16,M$1,$B$1)</f>
        <v>82.91</v>
      </c>
      <c r="N16">
        <f>_xll.EQNXTDZ($A$1,$B16,N$1,$B$1)</f>
        <v>96.08</v>
      </c>
      <c r="O16">
        <f>_xll.EQNXTDZ($A$1,$B16,O$1,$B$1)</f>
        <v>87.88</v>
      </c>
      <c r="P16">
        <f>_xll.EQNXTDZ($A$1,$B16,P$1,$B$1)</f>
        <v>99.15</v>
      </c>
      <c r="Q16">
        <f>_xll.EQNXTDZ($A$1,$B16,Q$1,$B$1)</f>
        <v>92.88</v>
      </c>
      <c r="R16">
        <f>_xll.EQNXTDZ($A$1,$B16,R$1,$B$1)</f>
        <v>78.84</v>
      </c>
      <c r="S16">
        <f>_xll.EQNXTDZ($A$1,$B16,S$1,$B$1)</f>
        <v>106.3</v>
      </c>
      <c r="T16">
        <f>_xll.EQNXTDZ($A$1,$B16,T$1,$B$1)</f>
        <v>104.41</v>
      </c>
      <c r="U16">
        <f>_xll.EQNXTDZ($A$1,$B16,U$1,$B$1)</f>
        <v>95.59</v>
      </c>
      <c r="V16">
        <f>_xll.EQNXTDZ($A$1,$B16,V$1,$B$1)</f>
        <v>95.39</v>
      </c>
      <c r="W16">
        <f>_xll.EQNXTDZ($A$1,$B16,W$1,$B$1)</f>
        <v>98.72</v>
      </c>
      <c r="X16">
        <f>_xll.EQNXTDZ($A$1,$B16,X$1,$B$1)</f>
        <v>84.9</v>
      </c>
      <c r="Y16">
        <f>_xll.EQNXTDZ($A$1,$B16,Y$1,$B$1)</f>
        <v>87.73</v>
      </c>
      <c r="Z16">
        <f>_xll.EQNXTDZ($A$1,$B16,Z$1,$B$1)</f>
        <v>82.39</v>
      </c>
      <c r="AA16">
        <f>_xll.EQNXTDZ($A$1,$B16,AA$1,$B$1)</f>
        <v>92.06</v>
      </c>
      <c r="AB16">
        <f>_xll.EQNXTDZ($A$1,$B16,AB$1,$B$1)</f>
        <v>89.47</v>
      </c>
      <c r="AC16">
        <f>_xll.EQNXTDZ($A$1,$B16,AC$1,$B$1)</f>
        <v>86.43</v>
      </c>
      <c r="AD16">
        <f>_xll.EQNXTDZ($A$1,$B16,AD$1,$B$1)</f>
        <v>95.32</v>
      </c>
      <c r="AE16">
        <f>_xll.EQNXTDZ($A$1,$B16,AE$1,$B$1)</f>
        <v>96.91</v>
      </c>
      <c r="AF16">
        <f>_xll.EQNXTDZ($A$1,$B16,AF$1,$B$1)</f>
        <v>104.99</v>
      </c>
      <c r="AG16">
        <f>_xll.EQNXTDZ($A$1,$B16,AG$1,$B$1)</f>
        <v>107.64</v>
      </c>
      <c r="AH16">
        <f>_xll.EQNXTDZ($A$1,$B16,AH$1,$B$1)</f>
        <v>117.28</v>
      </c>
      <c r="AI16">
        <f>_xll.EQNXTDZ($A$1,$B16,AI$1,$B$1)</f>
        <v>106.29</v>
      </c>
      <c r="AJ16">
        <f>_xll.EQNXTDZ($A$1,$B16,AJ$1,$B$1)</f>
        <v>105.79</v>
      </c>
      <c r="AK16">
        <f>_xll.EQNXTDZ($A$1,$B16,AK$1,$B$1)</f>
        <v>105.65</v>
      </c>
      <c r="AL16">
        <f>_xll.EQNXTDZ($A$1,$B16,AL$1,$B$1)</f>
        <v>113.81</v>
      </c>
      <c r="AM16">
        <f>_xll.EQNXTDZ($A$1,$B16,AM$1,$B$1)</f>
        <v>110.05</v>
      </c>
      <c r="AN16">
        <f>_xll.EQNXTDZ($A$1,$B16,AN$1,$B$1)</f>
        <v>114.66</v>
      </c>
      <c r="AO16">
        <f>_xll.EQNXTDZ($A$1,$B16,AO$1,$B$1)</f>
        <v>116.03</v>
      </c>
      <c r="AP16">
        <f>_xll.EQNXTDZ($A$1,$B16,AP$1,$B$1)</f>
        <v>129.57</v>
      </c>
      <c r="AQ16">
        <f>_xll.EQNXTDZ($A$1,$B16,AQ$1,$B$1)</f>
        <v>133.94999999999999</v>
      </c>
      <c r="AR16">
        <f>_xll.EQNXTDZ($A$1,$B16,AR$1,$B$1)</f>
        <v>144.9</v>
      </c>
      <c r="AS16">
        <f>_xll.EQNXTDZ($A$1,$B16,AS$1,$B$1)</f>
        <v>142</v>
      </c>
      <c r="AT16">
        <f>_xll.EQNXTDZ($A$1,$B16,AT$1,$B$1)</f>
        <v>149.13999999999999</v>
      </c>
      <c r="AU16">
        <f>_xll.EQNXTDZ($A$1,$B16,AU$1,$B$1)</f>
        <v>150.78</v>
      </c>
      <c r="AV16">
        <f>_xll.EQNXTDZ($A$1,$B16,AV$1,$B$1)</f>
        <v>152.47</v>
      </c>
      <c r="AW16">
        <f>_xll.EQNXTDZ($A$1,$B16,AW$1,$B$1)</f>
        <v>151.04</v>
      </c>
      <c r="AX16">
        <f>_xll.EQNXTDZ($A$1,$B16,AX$1,$B$1)</f>
        <v>189.41</v>
      </c>
      <c r="AY16">
        <f>_xll.EQNXTDZ($A$1,$B16,AY$1,$B$1)</f>
        <v>212.91</v>
      </c>
      <c r="AZ16">
        <f>_xll.EQNXTDZ($A$1,$B16,AZ$1,$B$1)</f>
        <v>170.47</v>
      </c>
      <c r="BA16">
        <f>_xll.EQNXTDZ($A$1,$B16,BA$1,$B$1)</f>
        <v>211.44</v>
      </c>
      <c r="BB16">
        <f>_xll.EQNXTDZ($A$1,$B16,BB$1,$B$1)</f>
        <v>189.58</v>
      </c>
      <c r="BC16">
        <f>_xll.EQNXTDZ($A$1,$B16,BC$1,$B$1)</f>
        <v>221.73</v>
      </c>
      <c r="BD16">
        <f>_xll.EQNXTDZ($A$1,$B16,BD$1,$B$1)</f>
        <v>186.86</v>
      </c>
      <c r="BE16">
        <f>_xll.EQNXTDZ($A$1,$B16,BE$1,$B$1)</f>
        <v>216.04</v>
      </c>
      <c r="BF16">
        <f>_xll.EQNXTDZ($A$1,$B16,BF$1,$B$1)</f>
        <v>230.55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424.62</v>
      </c>
      <c r="D19">
        <f>_xll.EQNXTDZ($A$1,$B19,D$1,$B$1)</f>
        <v>0</v>
      </c>
      <c r="E19">
        <f>_xll.EQNXTDZ($A$1,$B19,E$1,$B$1)</f>
        <v>59</v>
      </c>
      <c r="F19">
        <f>_xll.EQNXTDZ($A$1,$B19,F$1,$B$1)</f>
        <v>0</v>
      </c>
      <c r="G19">
        <f>_xll.EQNXTDZ($A$1,$B19,G$1,$B$1)</f>
        <v>412.42</v>
      </c>
      <c r="H19">
        <f>_xll.EQNXTDZ($A$1,$B19,H$1,$B$1)</f>
        <v>241.34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26.25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-278.11</v>
      </c>
      <c r="D22">
        <f>_xll.EQNXTDZ($A$1,$B22,D$1,$B$1)</f>
        <v>175.32</v>
      </c>
      <c r="E22">
        <f>_xll.EQNXTDZ($A$1,$B22,E$1,$B$1)</f>
        <v>319.52</v>
      </c>
      <c r="F22">
        <f>_xll.EQNXTDZ($A$1,$B22,F$1,$B$1)</f>
        <v>367.88</v>
      </c>
      <c r="G22">
        <f>_xll.EQNXTDZ($A$1,$B22,G$1,$B$1)</f>
        <v>108.96</v>
      </c>
      <c r="H22">
        <f>_xll.EQNXTDZ($A$1,$B22,H$1,$B$1)</f>
        <v>482.25</v>
      </c>
      <c r="I22">
        <f>_xll.EQNXTDZ($A$1,$B22,I$1,$B$1)</f>
        <v>980.27</v>
      </c>
      <c r="J22">
        <f>_xll.EQNXTDZ($A$1,$B22,J$1,$B$1)</f>
        <v>2751.03</v>
      </c>
      <c r="K22">
        <f>_xll.EQNXTDZ($A$1,$B22,K$1,$B$1)</f>
        <v>1666.01</v>
      </c>
      <c r="L22">
        <f>_xll.EQNXTDZ($A$1,$B22,L$1,$B$1)</f>
        <v>1215.32</v>
      </c>
      <c r="M22">
        <f>_xll.EQNXTDZ($A$1,$B22,M$1,$B$1)</f>
        <v>1759.02</v>
      </c>
      <c r="N22">
        <f>_xll.EQNXTDZ($A$1,$B22,N$1,$B$1)</f>
        <v>1197.9000000000001</v>
      </c>
      <c r="O22">
        <f>_xll.EQNXTDZ($A$1,$B22,O$1,$B$1)</f>
        <v>1586.58</v>
      </c>
      <c r="P22">
        <f>_xll.EQNXTDZ($A$1,$B22,P$1,$B$1)</f>
        <v>1792.87</v>
      </c>
      <c r="Q22">
        <f>_xll.EQNXTDZ($A$1,$B22,Q$1,$B$1)</f>
        <v>2010.61</v>
      </c>
      <c r="R22">
        <f>_xll.EQNXTDZ($A$1,$B22,R$1,$B$1)</f>
        <v>3412.07</v>
      </c>
      <c r="S22">
        <f>_xll.EQNXTDZ($A$1,$B22,S$1,$B$1)</f>
        <v>1723.83</v>
      </c>
      <c r="T22">
        <f>_xll.EQNXTDZ($A$1,$B22,T$1,$B$1)</f>
        <v>1621.45</v>
      </c>
      <c r="U22">
        <f>_xll.EQNXTDZ($A$1,$B22,U$1,$B$1)</f>
        <v>1304.76</v>
      </c>
      <c r="V22">
        <f>_xll.EQNXTDZ($A$1,$B22,V$1,$B$1)</f>
        <v>1321.61</v>
      </c>
      <c r="W22">
        <f>_xll.EQNXTDZ($A$1,$B22,W$1,$B$1)</f>
        <v>1561.26</v>
      </c>
      <c r="X22">
        <f>_xll.EQNXTDZ($A$1,$B22,X$1,$B$1)</f>
        <v>2124.86</v>
      </c>
      <c r="Y22">
        <f>_xll.EQNXTDZ($A$1,$B22,Y$1,$B$1)</f>
        <v>705</v>
      </c>
      <c r="Z22">
        <f>_xll.EQNXTDZ($A$1,$B22,Z$1,$B$1)</f>
        <v>1233.56</v>
      </c>
      <c r="AA22">
        <f>_xll.EQNXTDZ($A$1,$B22,AA$1,$B$1)</f>
        <v>1158.76</v>
      </c>
      <c r="AB22">
        <f>_xll.EQNXTDZ($A$1,$B22,AB$1,$B$1)</f>
        <v>2253.0500000000002</v>
      </c>
      <c r="AC22">
        <f>_xll.EQNXTDZ($A$1,$B22,AC$1,$B$1)</f>
        <v>1010.38</v>
      </c>
      <c r="AD22">
        <f>_xll.EQNXTDZ($A$1,$B22,AD$1,$B$1)</f>
        <v>608.12</v>
      </c>
      <c r="AE22">
        <f>_xll.EQNXTDZ($A$1,$B22,AE$1,$B$1)</f>
        <v>2684.2</v>
      </c>
      <c r="AF22">
        <f>_xll.EQNXTDZ($A$1,$B22,AF$1,$B$1)</f>
        <v>1348.84</v>
      </c>
      <c r="AG22">
        <f>_xll.EQNXTDZ($A$1,$B22,AG$1,$B$1)</f>
        <v>1447.7</v>
      </c>
      <c r="AH22">
        <f>_xll.EQNXTDZ($A$1,$B22,AH$1,$B$1)</f>
        <v>204.56</v>
      </c>
      <c r="AI22">
        <f>_xll.EQNXTDZ($A$1,$B22,AI$1,$B$1)</f>
        <v>1388.5</v>
      </c>
      <c r="AJ22">
        <f>_xll.EQNXTDZ($A$1,$B22,AJ$1,$B$1)</f>
        <v>4042.74</v>
      </c>
      <c r="AK22">
        <f>_xll.EQNXTDZ($A$1,$B22,AK$1,$B$1)</f>
        <v>1622.94</v>
      </c>
      <c r="AL22">
        <f>_xll.EQNXTDZ($A$1,$B22,AL$1,$B$1)</f>
        <v>1614.34</v>
      </c>
      <c r="AM22">
        <f>_xll.EQNXTDZ($A$1,$B22,AM$1,$B$1)</f>
        <v>1648.01</v>
      </c>
      <c r="AN22">
        <f>_xll.EQNXTDZ($A$1,$B22,AN$1,$B$1)</f>
        <v>1163.31</v>
      </c>
      <c r="AO22">
        <f>_xll.EQNXTDZ($A$1,$B22,AO$1,$B$1)</f>
        <v>1770.77</v>
      </c>
      <c r="AP22">
        <f>_xll.EQNXTDZ($A$1,$B22,AP$1,$B$1)</f>
        <v>5232.07</v>
      </c>
      <c r="AQ22">
        <f>_xll.EQNXTDZ($A$1,$B22,AQ$1,$B$1)</f>
        <v>5719.74</v>
      </c>
      <c r="AR22">
        <f>_xll.EQNXTDZ($A$1,$B22,AR$1,$B$1)</f>
        <v>947.78</v>
      </c>
      <c r="AS22">
        <f>_xll.EQNXTDZ($A$1,$B22,AS$1,$B$1)</f>
        <v>1469.73</v>
      </c>
      <c r="AT22">
        <f>_xll.EQNXTDZ($A$1,$B22,AT$1,$B$1)</f>
        <v>1907.41</v>
      </c>
      <c r="AU22">
        <f>_xll.EQNXTDZ($A$1,$B22,AU$1,$B$1)</f>
        <v>3514.23</v>
      </c>
      <c r="AV22">
        <f>_xll.EQNXTDZ($A$1,$B22,AV$1,$B$1)</f>
        <v>5171.3900000000003</v>
      </c>
      <c r="AW22">
        <f>_xll.EQNXTDZ($A$1,$B22,AW$1,$B$1)</f>
        <v>4645.34</v>
      </c>
      <c r="AX22">
        <f>_xll.EQNXTDZ($A$1,$B22,AX$1,$B$1)</f>
        <v>4849.74</v>
      </c>
      <c r="AY22">
        <f>_xll.EQNXTDZ($A$1,$B22,AY$1,$B$1)</f>
        <v>6194.31</v>
      </c>
      <c r="AZ22">
        <f>_xll.EQNXTDZ($A$1,$B22,AZ$1,$B$1)</f>
        <v>5275.58</v>
      </c>
      <c r="BA22">
        <f>_xll.EQNXTDZ($A$1,$B22,BA$1,$B$1)</f>
        <v>5022.92</v>
      </c>
      <c r="BB22">
        <f>_xll.EQNXTDZ($A$1,$B22,BB$1,$B$1)</f>
        <v>4812.63</v>
      </c>
      <c r="BC22">
        <f>_xll.EQNXTDZ($A$1,$B22,BC$1,$B$1)</f>
        <v>5685.28</v>
      </c>
      <c r="BD22">
        <f>_xll.EQNXTDZ($A$1,$B22,BD$1,$B$1)</f>
        <v>5150.29</v>
      </c>
      <c r="BE22">
        <f>_xll.EQNXTDZ($A$1,$B22,BE$1,$B$1)</f>
        <v>4238.07</v>
      </c>
      <c r="BF22">
        <f>_xll.EQNXTDZ($A$1,$B22,BF$1,$B$1)</f>
        <v>4732.47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52.69</v>
      </c>
      <c r="D23">
        <f>_xll.EQNXTDZ($A$1,$B23,D$1,$B$1)</f>
        <v>340.96</v>
      </c>
      <c r="E23">
        <f>_xll.EQNXTDZ($A$1,$B23,E$1,$B$1)</f>
        <v>43.61</v>
      </c>
      <c r="F23">
        <f>_xll.EQNXTDZ($A$1,$B23,F$1,$B$1)</f>
        <v>148.66</v>
      </c>
      <c r="G23">
        <f>_xll.EQNXTDZ($A$1,$B23,G$1,$B$1)</f>
        <v>34.93</v>
      </c>
      <c r="H23">
        <f>_xll.EQNXTDZ($A$1,$B23,H$1,$B$1)</f>
        <v>63.48</v>
      </c>
      <c r="I23">
        <f>_xll.EQNXTDZ($A$1,$B23,I$1,$B$1)</f>
        <v>244.7</v>
      </c>
      <c r="J23">
        <f>_xll.EQNXTDZ($A$1,$B23,J$1,$B$1)</f>
        <v>176.2</v>
      </c>
      <c r="K23">
        <f>_xll.EQNXTDZ($A$1,$B23,K$1,$B$1)</f>
        <v>25.19</v>
      </c>
      <c r="L23">
        <f>_xll.EQNXTDZ($A$1,$B23,L$1,$B$1)</f>
        <v>27.5</v>
      </c>
      <c r="M23">
        <f>_xll.EQNXTDZ($A$1,$B23,M$1,$B$1)</f>
        <v>34.25</v>
      </c>
      <c r="N23">
        <f>_xll.EQNXTDZ($A$1,$B23,N$1,$B$1)</f>
        <v>162.4</v>
      </c>
      <c r="O23">
        <f>_xll.EQNXTDZ($A$1,$B23,O$1,$B$1)</f>
        <v>36.700000000000003</v>
      </c>
      <c r="P23">
        <f>_xll.EQNXTDZ($A$1,$B23,P$1,$B$1)</f>
        <v>33.24</v>
      </c>
      <c r="Q23">
        <f>_xll.EQNXTDZ($A$1,$B23,Q$1,$B$1)</f>
        <v>19.670000000000002</v>
      </c>
      <c r="R23">
        <f>_xll.EQNXTDZ($A$1,$B23,R$1,$B$1)</f>
        <v>111.97</v>
      </c>
      <c r="S23">
        <f>_xll.EQNXTDZ($A$1,$B23,S$1,$B$1)</f>
        <v>31.77</v>
      </c>
      <c r="T23">
        <f>_xll.EQNXTDZ($A$1,$B23,T$1,$B$1)</f>
        <v>93.76</v>
      </c>
      <c r="U23">
        <f>_xll.EQNXTDZ($A$1,$B23,U$1,$B$1)</f>
        <v>59.24</v>
      </c>
      <c r="V23">
        <f>_xll.EQNXTDZ($A$1,$B23,V$1,$B$1)</f>
        <v>234.19</v>
      </c>
      <c r="W23">
        <f>_xll.EQNXTDZ($A$1,$B23,W$1,$B$1)</f>
        <v>57.89</v>
      </c>
      <c r="X23">
        <f>_xll.EQNXTDZ($A$1,$B23,X$1,$B$1)</f>
        <v>255.6</v>
      </c>
      <c r="Y23">
        <f>_xll.EQNXTDZ($A$1,$B23,Y$1,$B$1)</f>
        <v>71.88</v>
      </c>
      <c r="Z23">
        <f>_xll.EQNXTDZ($A$1,$B23,Z$1,$B$1)</f>
        <v>179.98</v>
      </c>
      <c r="AA23">
        <f>_xll.EQNXTDZ($A$1,$B23,AA$1,$B$1)</f>
        <v>129.72</v>
      </c>
      <c r="AB23">
        <f>_xll.EQNXTDZ($A$1,$B23,AB$1,$B$1)</f>
        <v>553.01</v>
      </c>
      <c r="AC23">
        <f>_xll.EQNXTDZ($A$1,$B23,AC$1,$B$1)</f>
        <v>362.07</v>
      </c>
      <c r="AD23">
        <f>_xll.EQNXTDZ($A$1,$B23,AD$1,$B$1)</f>
        <v>1356.17</v>
      </c>
      <c r="AE23">
        <f>_xll.EQNXTDZ($A$1,$B23,AE$1,$B$1)</f>
        <v>209.72</v>
      </c>
      <c r="AF23">
        <f>_xll.EQNXTDZ($A$1,$B23,AF$1,$B$1)</f>
        <v>899.53</v>
      </c>
      <c r="AG23">
        <f>_xll.EQNXTDZ($A$1,$B23,AG$1,$B$1)</f>
        <v>109.7</v>
      </c>
      <c r="AH23">
        <f>_xll.EQNXTDZ($A$1,$B23,AH$1,$B$1)</f>
        <v>155.13999999999999</v>
      </c>
      <c r="AI23">
        <f>_xll.EQNXTDZ($A$1,$B23,AI$1,$B$1)</f>
        <v>152.36000000000001</v>
      </c>
      <c r="AJ23">
        <f>_xll.EQNXTDZ($A$1,$B23,AJ$1,$B$1)</f>
        <v>1043.07</v>
      </c>
      <c r="AK23">
        <f>_xll.EQNXTDZ($A$1,$B23,AK$1,$B$1)</f>
        <v>204.36</v>
      </c>
      <c r="AL23">
        <f>_xll.EQNXTDZ($A$1,$B23,AL$1,$B$1)</f>
        <v>528.41</v>
      </c>
      <c r="AM23">
        <f>_xll.EQNXTDZ($A$1,$B23,AM$1,$B$1)</f>
        <v>644.35</v>
      </c>
      <c r="AN23">
        <f>_xll.EQNXTDZ($A$1,$B23,AN$1,$B$1)</f>
        <v>388.1</v>
      </c>
      <c r="AO23">
        <f>_xll.EQNXTDZ($A$1,$B23,AO$1,$B$1)</f>
        <v>232.7</v>
      </c>
      <c r="AP23">
        <f>_xll.EQNXTDZ($A$1,$B23,AP$1,$B$1)</f>
        <v>2710.14</v>
      </c>
      <c r="AQ23">
        <f>_xll.EQNXTDZ($A$1,$B23,AQ$1,$B$1)</f>
        <v>1785.94</v>
      </c>
      <c r="AR23">
        <f>_xll.EQNXTDZ($A$1,$B23,AR$1,$B$1)</f>
        <v>1402.22</v>
      </c>
      <c r="AS23">
        <f>_xll.EQNXTDZ($A$1,$B23,AS$1,$B$1)</f>
        <v>525.79999999999995</v>
      </c>
      <c r="AT23">
        <f>_xll.EQNXTDZ($A$1,$B23,AT$1,$B$1)</f>
        <v>553.26</v>
      </c>
      <c r="AU23">
        <f>_xll.EQNXTDZ($A$1,$B23,AU$1,$B$1)</f>
        <v>7103.47</v>
      </c>
      <c r="AV23">
        <f>_xll.EQNXTDZ($A$1,$B23,AV$1,$B$1)</f>
        <v>1945.1</v>
      </c>
      <c r="AW23">
        <f>_xll.EQNXTDZ($A$1,$B23,AW$1,$B$1)</f>
        <v>363.83</v>
      </c>
      <c r="AX23">
        <f>_xll.EQNXTDZ($A$1,$B23,AX$1,$B$1)</f>
        <v>517.83000000000004</v>
      </c>
      <c r="AY23">
        <f>_xll.EQNXTDZ($A$1,$B23,AY$1,$B$1)</f>
        <v>518.32000000000005</v>
      </c>
      <c r="AZ23">
        <f>_xll.EQNXTDZ($A$1,$B23,AZ$1,$B$1)</f>
        <v>723.96</v>
      </c>
      <c r="BA23">
        <f>_xll.EQNXTDZ($A$1,$B23,BA$1,$B$1)</f>
        <v>1162.26</v>
      </c>
      <c r="BB23">
        <f>_xll.EQNXTDZ($A$1,$B23,BB$1,$B$1)</f>
        <v>298.2</v>
      </c>
      <c r="BC23">
        <f>_xll.EQNXTDZ($A$1,$B23,BC$1,$B$1)</f>
        <v>464.55</v>
      </c>
      <c r="BD23">
        <f>_xll.EQNXTDZ($A$1,$B23,BD$1,$B$1)</f>
        <v>850.95</v>
      </c>
      <c r="BE23">
        <f>_xll.EQNXTDZ($A$1,$B23,BE$1,$B$1)</f>
        <v>543.26</v>
      </c>
      <c r="BF23">
        <f>_xll.EQNXTDZ($A$1,$B23,BF$1,$B$1)</f>
        <v>1766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-225.42</v>
      </c>
      <c r="D24">
        <f>_xll.EQNXTDZ($A$1,$B24,D$1,$B$1)</f>
        <v>516.28</v>
      </c>
      <c r="E24">
        <f>_xll.EQNXTDZ($A$1,$B24,E$1,$B$1)</f>
        <v>363.13</v>
      </c>
      <c r="F24">
        <f>_xll.EQNXTDZ($A$1,$B24,F$1,$B$1)</f>
        <v>516.54</v>
      </c>
      <c r="G24">
        <f>_xll.EQNXTDZ($A$1,$B24,G$1,$B$1)</f>
        <v>143.88999999999999</v>
      </c>
      <c r="H24">
        <f>_xll.EQNXTDZ($A$1,$B24,H$1,$B$1)</f>
        <v>545.73</v>
      </c>
      <c r="I24">
        <f>_xll.EQNXTDZ($A$1,$B24,I$1,$B$1)</f>
        <v>1224.97</v>
      </c>
      <c r="J24">
        <f>_xll.EQNXTDZ($A$1,$B24,J$1,$B$1)</f>
        <v>2927.23</v>
      </c>
      <c r="K24">
        <f>_xll.EQNXTDZ($A$1,$B24,K$1,$B$1)</f>
        <v>1691.2</v>
      </c>
      <c r="L24">
        <f>_xll.EQNXTDZ($A$1,$B24,L$1,$B$1)</f>
        <v>1242.82</v>
      </c>
      <c r="M24">
        <f>_xll.EQNXTDZ($A$1,$B24,M$1,$B$1)</f>
        <v>1793.27</v>
      </c>
      <c r="N24">
        <f>_xll.EQNXTDZ($A$1,$B24,N$1,$B$1)</f>
        <v>1360.3</v>
      </c>
      <c r="O24">
        <f>_xll.EQNXTDZ($A$1,$B24,O$1,$B$1)</f>
        <v>1623.28</v>
      </c>
      <c r="P24">
        <f>_xll.EQNXTDZ($A$1,$B24,P$1,$B$1)</f>
        <v>1826.11</v>
      </c>
      <c r="Q24">
        <f>_xll.EQNXTDZ($A$1,$B24,Q$1,$B$1)</f>
        <v>2030.28</v>
      </c>
      <c r="R24">
        <f>_xll.EQNXTDZ($A$1,$B24,R$1,$B$1)</f>
        <v>3524.04</v>
      </c>
      <c r="S24">
        <f>_xll.EQNXTDZ($A$1,$B24,S$1,$B$1)</f>
        <v>1755.6</v>
      </c>
      <c r="T24">
        <f>_xll.EQNXTDZ($A$1,$B24,T$1,$B$1)</f>
        <v>1715.21</v>
      </c>
      <c r="U24">
        <f>_xll.EQNXTDZ($A$1,$B24,U$1,$B$1)</f>
        <v>1364</v>
      </c>
      <c r="V24">
        <f>_xll.EQNXTDZ($A$1,$B24,V$1,$B$1)</f>
        <v>1555.8</v>
      </c>
      <c r="W24">
        <f>_xll.EQNXTDZ($A$1,$B24,W$1,$B$1)</f>
        <v>1619.15</v>
      </c>
      <c r="X24">
        <f>_xll.EQNXTDZ($A$1,$B24,X$1,$B$1)</f>
        <v>2380.46</v>
      </c>
      <c r="Y24">
        <f>_xll.EQNXTDZ($A$1,$B24,Y$1,$B$1)</f>
        <v>776.88</v>
      </c>
      <c r="Z24">
        <f>_xll.EQNXTDZ($A$1,$B24,Z$1,$B$1)</f>
        <v>1413.54</v>
      </c>
      <c r="AA24">
        <f>_xll.EQNXTDZ($A$1,$B24,AA$1,$B$1)</f>
        <v>1288.48</v>
      </c>
      <c r="AB24">
        <f>_xll.EQNXTDZ($A$1,$B24,AB$1,$B$1)</f>
        <v>2806.06</v>
      </c>
      <c r="AC24">
        <f>_xll.EQNXTDZ($A$1,$B24,AC$1,$B$1)</f>
        <v>1372.45</v>
      </c>
      <c r="AD24">
        <f>_xll.EQNXTDZ($A$1,$B24,AD$1,$B$1)</f>
        <v>1964.29</v>
      </c>
      <c r="AE24">
        <f>_xll.EQNXTDZ($A$1,$B24,AE$1,$B$1)</f>
        <v>2893.92</v>
      </c>
      <c r="AF24">
        <f>_xll.EQNXTDZ($A$1,$B24,AF$1,$B$1)</f>
        <v>2248.37</v>
      </c>
      <c r="AG24">
        <f>_xll.EQNXTDZ($A$1,$B24,AG$1,$B$1)</f>
        <v>1557.4</v>
      </c>
      <c r="AH24">
        <f>_xll.EQNXTDZ($A$1,$B24,AH$1,$B$1)</f>
        <v>359.69999999999902</v>
      </c>
      <c r="AI24">
        <f>_xll.EQNXTDZ($A$1,$B24,AI$1,$B$1)</f>
        <v>1540.86</v>
      </c>
      <c r="AJ24">
        <f>_xll.EQNXTDZ($A$1,$B24,AJ$1,$B$1)</f>
        <v>5085.8100000000004</v>
      </c>
      <c r="AK24">
        <f>_xll.EQNXTDZ($A$1,$B24,AK$1,$B$1)</f>
        <v>1827.3</v>
      </c>
      <c r="AL24">
        <f>_xll.EQNXTDZ($A$1,$B24,AL$1,$B$1)</f>
        <v>2142.75</v>
      </c>
      <c r="AM24">
        <f>_xll.EQNXTDZ($A$1,$B24,AM$1,$B$1)</f>
        <v>2292.36</v>
      </c>
      <c r="AN24">
        <f>_xll.EQNXTDZ($A$1,$B24,AN$1,$B$1)</f>
        <v>1551.41</v>
      </c>
      <c r="AO24">
        <f>_xll.EQNXTDZ($A$1,$B24,AO$1,$B$1)</f>
        <v>2003.47</v>
      </c>
      <c r="AP24">
        <f>_xll.EQNXTDZ($A$1,$B24,AP$1,$B$1)</f>
        <v>7942.21</v>
      </c>
      <c r="AQ24">
        <f>_xll.EQNXTDZ($A$1,$B24,AQ$1,$B$1)</f>
        <v>7505.68</v>
      </c>
      <c r="AR24">
        <f>_xll.EQNXTDZ($A$1,$B24,AR$1,$B$1)</f>
        <v>2350</v>
      </c>
      <c r="AS24">
        <f>_xll.EQNXTDZ($A$1,$B24,AS$1,$B$1)</f>
        <v>1995.53</v>
      </c>
      <c r="AT24">
        <f>_xll.EQNXTDZ($A$1,$B24,AT$1,$B$1)</f>
        <v>2460.67</v>
      </c>
      <c r="AU24">
        <f>_xll.EQNXTDZ($A$1,$B24,AU$1,$B$1)</f>
        <v>10617.7</v>
      </c>
      <c r="AV24">
        <f>_xll.EQNXTDZ($A$1,$B24,AV$1,$B$1)</f>
        <v>7116.49</v>
      </c>
      <c r="AW24">
        <f>_xll.EQNXTDZ($A$1,$B24,AW$1,$B$1)</f>
        <v>5009.17</v>
      </c>
      <c r="AX24">
        <f>_xll.EQNXTDZ($A$1,$B24,AX$1,$B$1)</f>
        <v>5367.57</v>
      </c>
      <c r="AY24">
        <f>_xll.EQNXTDZ($A$1,$B24,AY$1,$B$1)</f>
        <v>6712.63</v>
      </c>
      <c r="AZ24">
        <f>_xll.EQNXTDZ($A$1,$B24,AZ$1,$B$1)</f>
        <v>5999.54</v>
      </c>
      <c r="BA24">
        <f>_xll.EQNXTDZ($A$1,$B24,BA$1,$B$1)</f>
        <v>6185.18</v>
      </c>
      <c r="BB24">
        <f>_xll.EQNXTDZ($A$1,$B24,BB$1,$B$1)</f>
        <v>5110.83</v>
      </c>
      <c r="BC24">
        <f>_xll.EQNXTDZ($A$1,$B24,BC$1,$B$1)</f>
        <v>6149.83</v>
      </c>
      <c r="BD24">
        <f>_xll.EQNXTDZ($A$1,$B24,BD$1,$B$1)</f>
        <v>6001.24</v>
      </c>
      <c r="BE24">
        <f>_xll.EQNXTDZ($A$1,$B24,BE$1,$B$1)</f>
        <v>4781.33</v>
      </c>
      <c r="BF24">
        <f>_xll.EQNXTDZ($A$1,$B24,BF$1,$B$1)</f>
        <v>6498.47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279.87</v>
      </c>
      <c r="D25">
        <f>_xll.EQNXTDZ($A$1,$B25,D$1,$B$1)</f>
        <v>349.81</v>
      </c>
      <c r="E25">
        <f>_xll.EQNXTDZ($A$1,$B25,E$1,$B$1)</f>
        <v>530.98</v>
      </c>
      <c r="F25">
        <f>_xll.EQNXTDZ($A$1,$B25,F$1,$B$1)</f>
        <v>562.24</v>
      </c>
      <c r="G25">
        <f>_xll.EQNXTDZ($A$1,$B25,G$1,$B$1)</f>
        <v>755.13</v>
      </c>
      <c r="H25">
        <f>_xll.EQNXTDZ($A$1,$B25,H$1,$B$1)</f>
        <v>946.5</v>
      </c>
      <c r="I25">
        <f>_xll.EQNXTDZ($A$1,$B25,I$1,$B$1)</f>
        <v>1069.6400000000001</v>
      </c>
      <c r="J25">
        <f>_xll.EQNXTDZ($A$1,$B25,J$1,$B$1)</f>
        <v>1219.5999999999999</v>
      </c>
      <c r="K25">
        <f>_xll.EQNXTDZ($A$1,$B25,K$1,$B$1)</f>
        <v>1205.45</v>
      </c>
      <c r="L25">
        <f>_xll.EQNXTDZ($A$1,$B25,L$1,$B$1)</f>
        <v>1362.3</v>
      </c>
      <c r="M25">
        <f>_xll.EQNXTDZ($A$1,$B25,M$1,$B$1)</f>
        <v>1481.03</v>
      </c>
      <c r="N25">
        <f>_xll.EQNXTDZ($A$1,$B25,N$1,$B$1)</f>
        <v>1324.99</v>
      </c>
      <c r="O25">
        <f>_xll.EQNXTDZ($A$1,$B25,O$1,$B$1)</f>
        <v>1447.31</v>
      </c>
      <c r="P25">
        <f>_xll.EQNXTDZ($A$1,$B25,P$1,$B$1)</f>
        <v>1650.49</v>
      </c>
      <c r="Q25">
        <f>_xll.EQNXTDZ($A$1,$B25,Q$1,$B$1)</f>
        <v>1318.4</v>
      </c>
      <c r="R25">
        <f>_xll.EQNXTDZ($A$1,$B25,R$1,$B$1)</f>
        <v>1546.97</v>
      </c>
      <c r="S25">
        <f>_xll.EQNXTDZ($A$1,$B25,S$1,$B$1)</f>
        <v>1451.5</v>
      </c>
      <c r="T25">
        <f>_xll.EQNXTDZ($A$1,$B25,T$1,$B$1)</f>
        <v>1433.7</v>
      </c>
      <c r="U25">
        <f>_xll.EQNXTDZ($A$1,$B25,U$1,$B$1)</f>
        <v>1430.17</v>
      </c>
      <c r="V25">
        <f>_xll.EQNXTDZ($A$1,$B25,V$1,$B$1)</f>
        <v>1586.36</v>
      </c>
      <c r="W25">
        <f>_xll.EQNXTDZ($A$1,$B25,W$1,$B$1)</f>
        <v>1406.99</v>
      </c>
      <c r="X25">
        <f>_xll.EQNXTDZ($A$1,$B25,X$1,$B$1)</f>
        <v>1388.84</v>
      </c>
      <c r="Y25">
        <f>_xll.EQNXTDZ($A$1,$B25,Y$1,$B$1)</f>
        <v>1411.17</v>
      </c>
      <c r="Z25">
        <f>_xll.EQNXTDZ($A$1,$B25,Z$1,$B$1)</f>
        <v>1363.23</v>
      </c>
      <c r="AA25">
        <f>_xll.EQNXTDZ($A$1,$B25,AA$1,$B$1)</f>
        <v>1362.29</v>
      </c>
      <c r="AB25">
        <f>_xll.EQNXTDZ($A$1,$B25,AB$1,$B$1)</f>
        <v>1406.72</v>
      </c>
      <c r="AC25">
        <f>_xll.EQNXTDZ($A$1,$B25,AC$1,$B$1)</f>
        <v>1530.76</v>
      </c>
      <c r="AD25">
        <f>_xll.EQNXTDZ($A$1,$B25,AD$1,$B$1)</f>
        <v>1356.75</v>
      </c>
      <c r="AE25">
        <f>_xll.EQNXTDZ($A$1,$B25,AE$1,$B$1)</f>
        <v>1321.83</v>
      </c>
      <c r="AF25">
        <f>_xll.EQNXTDZ($A$1,$B25,AF$1,$B$1)</f>
        <v>1326.33</v>
      </c>
      <c r="AG25">
        <f>_xll.EQNXTDZ($A$1,$B25,AG$1,$B$1)</f>
        <v>1422.77</v>
      </c>
      <c r="AH25">
        <f>_xll.EQNXTDZ($A$1,$B25,AH$1,$B$1)</f>
        <v>1243.8900000000001</v>
      </c>
      <c r="AI25">
        <f>_xll.EQNXTDZ($A$1,$B25,AI$1,$B$1)</f>
        <v>1391.87</v>
      </c>
      <c r="AJ25">
        <f>_xll.EQNXTDZ($A$1,$B25,AJ$1,$B$1)</f>
        <v>1364.04</v>
      </c>
      <c r="AK25">
        <f>_xll.EQNXTDZ($A$1,$B25,AK$1,$B$1)</f>
        <v>1223.4000000000001</v>
      </c>
      <c r="AL25">
        <f>_xll.EQNXTDZ($A$1,$B25,AL$1,$B$1)</f>
        <v>1127.02</v>
      </c>
      <c r="AM25">
        <f>_xll.EQNXTDZ($A$1,$B25,AM$1,$B$1)</f>
        <v>1068.31</v>
      </c>
      <c r="AN25">
        <f>_xll.EQNXTDZ($A$1,$B25,AN$1,$B$1)</f>
        <v>976.36</v>
      </c>
      <c r="AO25">
        <f>_xll.EQNXTDZ($A$1,$B25,AO$1,$B$1)</f>
        <v>1014.77</v>
      </c>
      <c r="AP25">
        <f>_xll.EQNXTDZ($A$1,$B25,AP$1,$B$1)</f>
        <v>1035.3399999999999</v>
      </c>
      <c r="AQ25">
        <f>_xll.EQNXTDZ($A$1,$B25,AQ$1,$B$1)</f>
        <v>823.43</v>
      </c>
      <c r="AR25">
        <f>_xll.EQNXTDZ($A$1,$B25,AR$1,$B$1)</f>
        <v>818.09</v>
      </c>
      <c r="AS25">
        <f>_xll.EQNXTDZ($A$1,$B25,AS$1,$B$1)</f>
        <v>945.98</v>
      </c>
      <c r="AT25">
        <f>_xll.EQNXTDZ($A$1,$B25,AT$1,$B$1)</f>
        <v>746</v>
      </c>
      <c r="AU25">
        <f>_xll.EQNXTDZ($A$1,$B25,AU$1,$B$1)</f>
        <v>883.49</v>
      </c>
      <c r="AV25">
        <f>_xll.EQNXTDZ($A$1,$B25,AV$1,$B$1)</f>
        <v>888.44</v>
      </c>
      <c r="AW25">
        <f>_xll.EQNXTDZ($A$1,$B25,AW$1,$B$1)</f>
        <v>796.56</v>
      </c>
      <c r="AX25">
        <f>_xll.EQNXTDZ($A$1,$B25,AX$1,$B$1)</f>
        <v>819.6</v>
      </c>
      <c r="AY25">
        <f>_xll.EQNXTDZ($A$1,$B25,AY$1,$B$1)</f>
        <v>811.49</v>
      </c>
      <c r="AZ25">
        <f>_xll.EQNXTDZ($A$1,$B25,AZ$1,$B$1)</f>
        <v>806.87</v>
      </c>
      <c r="BA25">
        <f>_xll.EQNXTDZ($A$1,$B25,BA$1,$B$1)</f>
        <v>956.53</v>
      </c>
      <c r="BB25">
        <f>_xll.EQNXTDZ($A$1,$B25,BB$1,$B$1)</f>
        <v>764.9</v>
      </c>
      <c r="BC25">
        <f>_xll.EQNXTDZ($A$1,$B25,BC$1,$B$1)</f>
        <v>856.93</v>
      </c>
      <c r="BD25">
        <f>_xll.EQNXTDZ($A$1,$B25,BD$1,$B$1)</f>
        <v>841.63</v>
      </c>
      <c r="BE25">
        <f>_xll.EQNXTDZ($A$1,$B25,BE$1,$B$1)</f>
        <v>701.01</v>
      </c>
      <c r="BF25">
        <f>_xll.EQNXTDZ($A$1,$B25,BF$1,$B$1)</f>
        <v>967.26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23.83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2.04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-126.39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657.56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-4076.69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-1004.19</v>
      </c>
      <c r="AF26">
        <f>_xll.EQNXTDZ($A$1,$B26,AF$1,$B$1)</f>
        <v>1.2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-505.29</v>
      </c>
      <c r="D27">
        <f>_xll.EQNXTDZ($A$1,$B27,D$1,$B$1)</f>
        <v>166.47</v>
      </c>
      <c r="E27">
        <f>_xll.EQNXTDZ($A$1,$B27,E$1,$B$1)</f>
        <v>-144.02000000000001</v>
      </c>
      <c r="F27">
        <f>_xll.EQNXTDZ($A$1,$B27,F$1,$B$1)</f>
        <v>-45.7</v>
      </c>
      <c r="G27">
        <f>_xll.EQNXTDZ($A$1,$B27,G$1,$B$1)</f>
        <v>-611.24</v>
      </c>
      <c r="H27">
        <f>_xll.EQNXTDZ($A$1,$B27,H$1,$B$1)</f>
        <v>-398.73</v>
      </c>
      <c r="I27">
        <f>_xll.EQNXTDZ($A$1,$B27,I$1,$B$1)</f>
        <v>155.33000000000001</v>
      </c>
      <c r="J27">
        <f>_xll.EQNXTDZ($A$1,$B27,J$1,$B$1)</f>
        <v>1707.63</v>
      </c>
      <c r="K27">
        <f>_xll.EQNXTDZ($A$1,$B27,K$1,$B$1)</f>
        <v>359.36</v>
      </c>
      <c r="L27">
        <f>_xll.EQNXTDZ($A$1,$B27,L$1,$B$1)</f>
        <v>-119.48</v>
      </c>
      <c r="M27">
        <f>_xll.EQNXTDZ($A$1,$B27,M$1,$B$1)</f>
        <v>312.24</v>
      </c>
      <c r="N27">
        <f>_xll.EQNXTDZ($A$1,$B27,N$1,$B$1)</f>
        <v>692.87</v>
      </c>
      <c r="O27">
        <f>_xll.EQNXTDZ($A$1,$B27,O$1,$B$1)</f>
        <v>175.97</v>
      </c>
      <c r="P27">
        <f>_xll.EQNXTDZ($A$1,$B27,P$1,$B$1)</f>
        <v>175.62</v>
      </c>
      <c r="Q27">
        <f>_xll.EQNXTDZ($A$1,$B27,Q$1,$B$1)</f>
        <v>711.88</v>
      </c>
      <c r="R27">
        <f>_xll.EQNXTDZ($A$1,$B27,R$1,$B$1)</f>
        <v>1977.07</v>
      </c>
      <c r="S27">
        <f>_xll.EQNXTDZ($A$1,$B27,S$1,$B$1)</f>
        <v>304.10000000000002</v>
      </c>
      <c r="T27">
        <f>_xll.EQNXTDZ($A$1,$B27,T$1,$B$1)</f>
        <v>281.51</v>
      </c>
      <c r="U27">
        <f>_xll.EQNXTDZ($A$1,$B27,U$1,$B$1)</f>
        <v>-66.17</v>
      </c>
      <c r="V27">
        <f>_xll.EQNXTDZ($A$1,$B27,V$1,$B$1)</f>
        <v>-4107.25</v>
      </c>
      <c r="W27">
        <f>_xll.EQNXTDZ($A$1,$B27,W$1,$B$1)</f>
        <v>212.16</v>
      </c>
      <c r="X27">
        <f>_xll.EQNXTDZ($A$1,$B27,X$1,$B$1)</f>
        <v>991.62</v>
      </c>
      <c r="Y27">
        <f>_xll.EQNXTDZ($A$1,$B27,Y$1,$B$1)</f>
        <v>-634.29</v>
      </c>
      <c r="Z27">
        <f>_xll.EQNXTDZ($A$1,$B27,Z$1,$B$1)</f>
        <v>50.31</v>
      </c>
      <c r="AA27">
        <f>_xll.EQNXTDZ($A$1,$B27,AA$1,$B$1)</f>
        <v>-73.81</v>
      </c>
      <c r="AB27">
        <f>_xll.EQNXTDZ($A$1,$B27,AB$1,$B$1)</f>
        <v>1399.34</v>
      </c>
      <c r="AC27">
        <f>_xll.EQNXTDZ($A$1,$B27,AC$1,$B$1)</f>
        <v>-158.31</v>
      </c>
      <c r="AD27">
        <f>_xll.EQNXTDZ($A$1,$B27,AD$1,$B$1)</f>
        <v>607.53999999999905</v>
      </c>
      <c r="AE27">
        <f>_xll.EQNXTDZ($A$1,$B27,AE$1,$B$1)</f>
        <v>567.9</v>
      </c>
      <c r="AF27">
        <f>_xll.EQNXTDZ($A$1,$B27,AF$1,$B$1)</f>
        <v>923.24</v>
      </c>
      <c r="AG27">
        <f>_xll.EQNXTDZ($A$1,$B27,AG$1,$B$1)</f>
        <v>134.63</v>
      </c>
      <c r="AH27">
        <f>_xll.EQNXTDZ($A$1,$B27,AH$1,$B$1)</f>
        <v>-884.19000000000096</v>
      </c>
      <c r="AI27">
        <f>_xll.EQNXTDZ($A$1,$B27,AI$1,$B$1)</f>
        <v>148.990000000001</v>
      </c>
      <c r="AJ27">
        <f>_xll.EQNXTDZ($A$1,$B27,AJ$1,$B$1)</f>
        <v>3721.77</v>
      </c>
      <c r="AK27">
        <f>_xll.EQNXTDZ($A$1,$B27,AK$1,$B$1)</f>
        <v>603.9</v>
      </c>
      <c r="AL27">
        <f>_xll.EQNXTDZ($A$1,$B27,AL$1,$B$1)</f>
        <v>1015.73</v>
      </c>
      <c r="AM27">
        <f>_xll.EQNXTDZ($A$1,$B27,AM$1,$B$1)</f>
        <v>1224.05</v>
      </c>
      <c r="AN27">
        <f>_xll.EQNXTDZ($A$1,$B27,AN$1,$B$1)</f>
        <v>575.04999999999995</v>
      </c>
      <c r="AO27">
        <f>_xll.EQNXTDZ($A$1,$B27,AO$1,$B$1)</f>
        <v>988.7</v>
      </c>
      <c r="AP27">
        <f>_xll.EQNXTDZ($A$1,$B27,AP$1,$B$1)</f>
        <v>6906.87</v>
      </c>
      <c r="AQ27">
        <f>_xll.EQNXTDZ($A$1,$B27,AQ$1,$B$1)</f>
        <v>6682.25</v>
      </c>
      <c r="AR27">
        <f>_xll.EQNXTDZ($A$1,$B27,AR$1,$B$1)</f>
        <v>1531.91</v>
      </c>
      <c r="AS27">
        <f>_xll.EQNXTDZ($A$1,$B27,AS$1,$B$1)</f>
        <v>1049.55</v>
      </c>
      <c r="AT27">
        <f>_xll.EQNXTDZ($A$1,$B27,AT$1,$B$1)</f>
        <v>1714.67</v>
      </c>
      <c r="AU27">
        <f>_xll.EQNXTDZ($A$1,$B27,AU$1,$B$1)</f>
        <v>9734.2099999999991</v>
      </c>
      <c r="AV27">
        <f>_xll.EQNXTDZ($A$1,$B27,AV$1,$B$1)</f>
        <v>6228.05</v>
      </c>
      <c r="AW27">
        <f>_xll.EQNXTDZ($A$1,$B27,AW$1,$B$1)</f>
        <v>4212.6099999999997</v>
      </c>
      <c r="AX27">
        <f>_xll.EQNXTDZ($A$1,$B27,AX$1,$B$1)</f>
        <v>4547.97</v>
      </c>
      <c r="AY27">
        <f>_xll.EQNXTDZ($A$1,$B27,AY$1,$B$1)</f>
        <v>5901.14</v>
      </c>
      <c r="AZ27">
        <f>_xll.EQNXTDZ($A$1,$B27,AZ$1,$B$1)</f>
        <v>5192.67</v>
      </c>
      <c r="BA27">
        <f>_xll.EQNXTDZ($A$1,$B27,BA$1,$B$1)</f>
        <v>5228.6499999999996</v>
      </c>
      <c r="BB27">
        <f>_xll.EQNXTDZ($A$1,$B27,BB$1,$B$1)</f>
        <v>4345.93</v>
      </c>
      <c r="BC27">
        <f>_xll.EQNXTDZ($A$1,$B27,BC$1,$B$1)</f>
        <v>5292.9</v>
      </c>
      <c r="BD27">
        <f>_xll.EQNXTDZ($A$1,$B27,BD$1,$B$1)</f>
        <v>5159.6099999999997</v>
      </c>
      <c r="BE27">
        <f>_xll.EQNXTDZ($A$1,$B27,BE$1,$B$1)</f>
        <v>4080.32</v>
      </c>
      <c r="BF27">
        <f>_xll.EQNXTDZ($A$1,$B27,BF$1,$B$1)</f>
        <v>5531.21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241.8</v>
      </c>
      <c r="D28">
        <f>_xll.EQNXTDZ($A$1,$B28,D$1,$B$1)</f>
        <v>268.3</v>
      </c>
      <c r="E28">
        <f>_xll.EQNXTDZ($A$1,$B28,E$1,$B$1)</f>
        <v>380.58</v>
      </c>
      <c r="F28">
        <f>_xll.EQNXTDZ($A$1,$B28,F$1,$B$1)</f>
        <v>399</v>
      </c>
      <c r="G28">
        <f>_xll.EQNXTDZ($A$1,$B28,G$1,$B$1)</f>
        <v>486.93</v>
      </c>
      <c r="H28">
        <f>_xll.EQNXTDZ($A$1,$B28,H$1,$B$1)</f>
        <v>582.85</v>
      </c>
      <c r="I28">
        <f>_xll.EQNXTDZ($A$1,$B28,I$1,$B$1)</f>
        <v>569</v>
      </c>
      <c r="J28">
        <f>_xll.EQNXTDZ($A$1,$B28,J$1,$B$1)</f>
        <v>579.66999999999996</v>
      </c>
      <c r="K28">
        <f>_xll.EQNXTDZ($A$1,$B28,K$1,$B$1)</f>
        <v>662.65</v>
      </c>
      <c r="L28">
        <f>_xll.EQNXTDZ($A$1,$B28,L$1,$B$1)</f>
        <v>679.23</v>
      </c>
      <c r="M28">
        <f>_xll.EQNXTDZ($A$1,$B28,M$1,$B$1)</f>
        <v>740.92</v>
      </c>
      <c r="N28">
        <f>_xll.EQNXTDZ($A$1,$B28,N$1,$B$1)</f>
        <v>-22.18</v>
      </c>
      <c r="O28">
        <f>_xll.EQNXTDZ($A$1,$B28,O$1,$B$1)</f>
        <v>564.61</v>
      </c>
      <c r="P28">
        <f>_xll.EQNXTDZ($A$1,$B28,P$1,$B$1)</f>
        <v>593.76</v>
      </c>
      <c r="Q28">
        <f>_xll.EQNXTDZ($A$1,$B28,Q$1,$B$1)</f>
        <v>615.45000000000005</v>
      </c>
      <c r="R28">
        <f>_xll.EQNXTDZ($A$1,$B28,R$1,$B$1)</f>
        <v>891.99</v>
      </c>
      <c r="S28">
        <f>_xll.EQNXTDZ($A$1,$B28,S$1,$B$1)</f>
        <v>598.46</v>
      </c>
      <c r="T28">
        <f>_xll.EQNXTDZ($A$1,$B28,T$1,$B$1)</f>
        <v>597.65</v>
      </c>
      <c r="U28">
        <f>_xll.EQNXTDZ($A$1,$B28,U$1,$B$1)</f>
        <v>607.74</v>
      </c>
      <c r="V28">
        <f>_xll.EQNXTDZ($A$1,$B28,V$1,$B$1)</f>
        <v>868.51</v>
      </c>
      <c r="W28">
        <f>_xll.EQNXTDZ($A$1,$B28,W$1,$B$1)</f>
        <v>666.14</v>
      </c>
      <c r="X28">
        <f>_xll.EQNXTDZ($A$1,$B28,X$1,$B$1)</f>
        <v>678.24</v>
      </c>
      <c r="Y28">
        <f>_xll.EQNXTDZ($A$1,$B28,Y$1,$B$1)</f>
        <v>672.95</v>
      </c>
      <c r="Z28">
        <f>_xll.EQNXTDZ($A$1,$B28,Z$1,$B$1)</f>
        <v>681.39</v>
      </c>
      <c r="AA28">
        <f>_xll.EQNXTDZ($A$1,$B28,AA$1,$B$1)</f>
        <v>679.31</v>
      </c>
      <c r="AB28">
        <f>_xll.EQNXTDZ($A$1,$B28,AB$1,$B$1)</f>
        <v>697.46</v>
      </c>
      <c r="AC28">
        <f>_xll.EQNXTDZ($A$1,$B28,AC$1,$B$1)</f>
        <v>682.19</v>
      </c>
      <c r="AD28">
        <f>_xll.EQNXTDZ($A$1,$B28,AD$1,$B$1)</f>
        <v>691.66</v>
      </c>
      <c r="AE28">
        <f>_xll.EQNXTDZ($A$1,$B28,AE$1,$B$1)</f>
        <v>689.65</v>
      </c>
      <c r="AF28">
        <f>_xll.EQNXTDZ($A$1,$B28,AF$1,$B$1)</f>
        <v>765.26</v>
      </c>
      <c r="AG28">
        <f>_xll.EQNXTDZ($A$1,$B28,AG$1,$B$1)</f>
        <v>783.18</v>
      </c>
      <c r="AH28">
        <f>_xll.EQNXTDZ($A$1,$B28,AH$1,$B$1)</f>
        <v>768.41</v>
      </c>
      <c r="AI28">
        <f>_xll.EQNXTDZ($A$1,$B28,AI$1,$B$1)</f>
        <v>782.61</v>
      </c>
      <c r="AJ28">
        <f>_xll.EQNXTDZ($A$1,$B28,AJ$1,$B$1)</f>
        <v>827.84</v>
      </c>
      <c r="AK28">
        <f>_xll.EQNXTDZ($A$1,$B28,AK$1,$B$1)</f>
        <v>809.65</v>
      </c>
      <c r="AL28">
        <f>_xll.EQNXTDZ($A$1,$B28,AL$1,$B$1)</f>
        <v>781.55</v>
      </c>
      <c r="AM28">
        <f>_xll.EQNXTDZ($A$1,$B28,AM$1,$B$1)</f>
        <v>774.34</v>
      </c>
      <c r="AN28">
        <f>_xll.EQNXTDZ($A$1,$B28,AN$1,$B$1)</f>
        <v>784.96</v>
      </c>
      <c r="AO28">
        <f>_xll.EQNXTDZ($A$1,$B28,AO$1,$B$1)</f>
        <v>784.36</v>
      </c>
      <c r="AP28">
        <f>_xll.EQNXTDZ($A$1,$B28,AP$1,$B$1)</f>
        <v>773.88</v>
      </c>
      <c r="AQ28">
        <f>_xll.EQNXTDZ($A$1,$B28,AQ$1,$B$1)</f>
        <v>816.05</v>
      </c>
      <c r="AR28">
        <f>_xll.EQNXTDZ($A$1,$B28,AR$1,$B$1)</f>
        <v>833.03</v>
      </c>
      <c r="AS28">
        <f>_xll.EQNXTDZ($A$1,$B28,AS$1,$B$1)</f>
        <v>837.65</v>
      </c>
      <c r="AT28">
        <f>_xll.EQNXTDZ($A$1,$B28,AT$1,$B$1)</f>
        <v>816.95</v>
      </c>
      <c r="AU28">
        <f>_xll.EQNXTDZ($A$1,$B28,AU$1,$B$1)</f>
        <v>934.59</v>
      </c>
      <c r="AV28">
        <f>_xll.EQNXTDZ($A$1,$B28,AV$1,$B$1)</f>
        <v>1004.48</v>
      </c>
      <c r="AW28">
        <f>_xll.EQNXTDZ($A$1,$B28,AW$1,$B$1)</f>
        <v>1002.23</v>
      </c>
      <c r="AX28">
        <f>_xll.EQNXTDZ($A$1,$B28,AX$1,$B$1)</f>
        <v>990.03</v>
      </c>
      <c r="AY28">
        <f>_xll.EQNXTDZ($A$1,$B28,AY$1,$B$1)</f>
        <v>995.63</v>
      </c>
      <c r="AZ28">
        <f>_xll.EQNXTDZ($A$1,$B28,AZ$1,$B$1)</f>
        <v>1058.5899999999999</v>
      </c>
      <c r="BA28">
        <f>_xll.EQNXTDZ($A$1,$B28,BA$1,$B$1)</f>
        <v>1170.01</v>
      </c>
      <c r="BB28">
        <f>_xll.EQNXTDZ($A$1,$B28,BB$1,$B$1)</f>
        <v>1084.6500000000001</v>
      </c>
      <c r="BC28">
        <f>_xll.EQNXTDZ($A$1,$B28,BC$1,$B$1)</f>
        <v>1088.5899999999999</v>
      </c>
      <c r="BD28">
        <f>_xll.EQNXTDZ($A$1,$B28,BD$1,$B$1)</f>
        <v>1193.4100000000001</v>
      </c>
      <c r="BE28">
        <f>_xll.EQNXTDZ($A$1,$B28,BE$1,$B$1)</f>
        <v>1135.3</v>
      </c>
      <c r="BF28">
        <f>_xll.EQNXTDZ($A$1,$B28,BF$1,$B$1)</f>
        <v>1147.23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70.430000000000007</v>
      </c>
      <c r="D29">
        <f>_xll.EQNXTDZ($A$1,$B29,D$1,$B$1)</f>
        <v>171.13</v>
      </c>
      <c r="E29">
        <f>_xll.EQNXTDZ($A$1,$B29,E$1,$B$1)</f>
        <v>94.41</v>
      </c>
      <c r="F29">
        <f>_xll.EQNXTDZ($A$1,$B29,F$1,$B$1)</f>
        <v>140.82</v>
      </c>
      <c r="G29">
        <f>_xll.EQNXTDZ($A$1,$B29,G$1,$B$1)</f>
        <v>100.12</v>
      </c>
      <c r="H29">
        <f>_xll.EQNXTDZ($A$1,$B29,H$1,$B$1)</f>
        <v>90.33</v>
      </c>
      <c r="I29">
        <f>_xll.EQNXTDZ($A$1,$B29,I$1,$B$1)</f>
        <v>131.15</v>
      </c>
      <c r="J29">
        <f>_xll.EQNXTDZ($A$1,$B29,J$1,$B$1)</f>
        <v>-1400.59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-222.5</v>
      </c>
      <c r="P29">
        <f>_xll.EQNXTDZ($A$1,$B29,P$1,$B$1)</f>
        <v>-13.4</v>
      </c>
      <c r="Q29">
        <f>_xll.EQNXTDZ($A$1,$B29,Q$1,$B$1)</f>
        <v>-13.06</v>
      </c>
      <c r="R29">
        <f>_xll.EQNXTDZ($A$1,$B29,R$1,$B$1)</f>
        <v>72.89</v>
      </c>
      <c r="S29">
        <f>_xll.EQNXTDZ($A$1,$B29,S$1,$B$1)</f>
        <v>-61.73</v>
      </c>
      <c r="T29">
        <f>_xll.EQNXTDZ($A$1,$B29,T$1,$B$1)</f>
        <v>-3.09</v>
      </c>
      <c r="U29">
        <f>_xll.EQNXTDZ($A$1,$B29,U$1,$B$1)</f>
        <v>-6.02</v>
      </c>
      <c r="V29">
        <f>_xll.EQNXTDZ($A$1,$B29,V$1,$B$1)</f>
        <v>-15.23</v>
      </c>
      <c r="W29">
        <f>_xll.EQNXTDZ($A$1,$B29,W$1,$B$1)</f>
        <v>-1.1399999999999999</v>
      </c>
      <c r="X29">
        <f>_xll.EQNXTDZ($A$1,$B29,X$1,$B$1)</f>
        <v>-3.5</v>
      </c>
      <c r="Y29">
        <f>_xll.EQNXTDZ($A$1,$B29,Y$1,$B$1)</f>
        <v>-3.77</v>
      </c>
      <c r="Z29">
        <f>_xll.EQNXTDZ($A$1,$B29,Z$1,$B$1)</f>
        <v>3.26</v>
      </c>
      <c r="AA29">
        <f>_xll.EQNXTDZ($A$1,$B29,AA$1,$B$1)</f>
        <v>72.03</v>
      </c>
      <c r="AB29">
        <f>_xll.EQNXTDZ($A$1,$B29,AB$1,$B$1)</f>
        <v>314.99</v>
      </c>
      <c r="AC29">
        <f>_xll.EQNXTDZ($A$1,$B29,AC$1,$B$1)</f>
        <v>340.28</v>
      </c>
      <c r="AD29">
        <f>_xll.EQNXTDZ($A$1,$B29,AD$1,$B$1)</f>
        <v>-718.76</v>
      </c>
      <c r="AE29">
        <f>_xll.EQNXTDZ($A$1,$B29,AE$1,$B$1)</f>
        <v>141.63999999999999</v>
      </c>
      <c r="AF29">
        <f>_xll.EQNXTDZ($A$1,$B29,AF$1,$B$1)</f>
        <v>154.1</v>
      </c>
      <c r="AG29">
        <f>_xll.EQNXTDZ($A$1,$B29,AG$1,$B$1)</f>
        <v>53.85</v>
      </c>
      <c r="AH29">
        <f>_xll.EQNXTDZ($A$1,$B29,AH$1,$B$1)</f>
        <v>-339.74</v>
      </c>
      <c r="AI29">
        <f>_xll.EQNXTDZ($A$1,$B29,AI$1,$B$1)</f>
        <v>48.84</v>
      </c>
      <c r="AJ29">
        <f>_xll.EQNXTDZ($A$1,$B29,AJ$1,$B$1)</f>
        <v>665.88</v>
      </c>
      <c r="AK29">
        <f>_xll.EQNXTDZ($A$1,$B29,AK$1,$B$1)</f>
        <v>82.99</v>
      </c>
      <c r="AL29">
        <f>_xll.EQNXTDZ($A$1,$B29,AL$1,$B$1)</f>
        <v>221.05</v>
      </c>
      <c r="AM29">
        <f>_xll.EQNXTDZ($A$1,$B29,AM$1,$B$1)</f>
        <v>171.49</v>
      </c>
      <c r="AN29">
        <f>_xll.EQNXTDZ($A$1,$B29,AN$1,$B$1)</f>
        <v>20.69</v>
      </c>
      <c r="AO29">
        <f>_xll.EQNXTDZ($A$1,$B29,AO$1,$B$1)</f>
        <v>-14.15</v>
      </c>
      <c r="AP29">
        <f>_xll.EQNXTDZ($A$1,$B29,AP$1,$B$1)</f>
        <v>1487.52</v>
      </c>
      <c r="AQ29">
        <f>_xll.EQNXTDZ($A$1,$B29,AQ$1,$B$1)</f>
        <v>1086.3399999999999</v>
      </c>
      <c r="AR29">
        <f>_xll.EQNXTDZ($A$1,$B29,AR$1,$B$1)</f>
        <v>3.35</v>
      </c>
      <c r="AS29">
        <f>_xll.EQNXTDZ($A$1,$B29,AS$1,$B$1)</f>
        <v>203.13</v>
      </c>
      <c r="AT29">
        <f>_xll.EQNXTDZ($A$1,$B29,AT$1,$B$1)</f>
        <v>-4344.76</v>
      </c>
      <c r="AU29">
        <f>_xll.EQNXTDZ($A$1,$B29,AU$1,$B$1)</f>
        <v>40.200000000000003</v>
      </c>
      <c r="AV29">
        <f>_xll.EQNXTDZ($A$1,$B29,AV$1,$B$1)</f>
        <v>-1370.6</v>
      </c>
      <c r="AW29">
        <f>_xll.EQNXTDZ($A$1,$B29,AW$1,$B$1)</f>
        <v>472.42</v>
      </c>
      <c r="AX29">
        <f>_xll.EQNXTDZ($A$1,$B29,AX$1,$B$1)</f>
        <v>820.7</v>
      </c>
      <c r="AY29">
        <f>_xll.EQNXTDZ($A$1,$B29,AY$1,$B$1)</f>
        <v>992.72</v>
      </c>
      <c r="AZ29">
        <f>_xll.EQNXTDZ($A$1,$B29,AZ$1,$B$1)</f>
        <v>836.56</v>
      </c>
      <c r="BA29">
        <f>_xll.EQNXTDZ($A$1,$B29,BA$1,$B$1)</f>
        <v>1118.57</v>
      </c>
      <c r="BB29">
        <f>_xll.EQNXTDZ($A$1,$B29,BB$1,$B$1)</f>
        <v>662.05</v>
      </c>
      <c r="BC29">
        <f>_xll.EQNXTDZ($A$1,$B29,BC$1,$B$1)</f>
        <v>899.18</v>
      </c>
      <c r="BD29">
        <f>_xll.EQNXTDZ($A$1,$B29,BD$1,$B$1)</f>
        <v>1059.74</v>
      </c>
      <c r="BE29">
        <f>_xll.EQNXTDZ($A$1,$B29,BE$1,$B$1)</f>
        <v>456.93</v>
      </c>
      <c r="BF29">
        <f>_xll.EQNXTDZ($A$1,$B29,BF$1,$B$1)</f>
        <v>112.58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-817.52</v>
      </c>
      <c r="D30">
        <f>_xll.EQNXTDZ($A$1,$B30,D$1,$B$1)</f>
        <v>-272.95999999999998</v>
      </c>
      <c r="E30">
        <f>_xll.EQNXTDZ($A$1,$B30,E$1,$B$1)</f>
        <v>-619.01</v>
      </c>
      <c r="F30">
        <f>_xll.EQNXTDZ($A$1,$B30,F$1,$B$1)</f>
        <v>-585.52</v>
      </c>
      <c r="G30">
        <f>_xll.EQNXTDZ($A$1,$B30,G$1,$B$1)</f>
        <v>-1198.29</v>
      </c>
      <c r="H30">
        <f>_xll.EQNXTDZ($A$1,$B30,H$1,$B$1)</f>
        <v>-1071.9100000000001</v>
      </c>
      <c r="I30">
        <f>_xll.EQNXTDZ($A$1,$B30,I$1,$B$1)</f>
        <v>-544.82000000000005</v>
      </c>
      <c r="J30">
        <f>_xll.EQNXTDZ($A$1,$B30,J$1,$B$1)</f>
        <v>2528.5500000000002</v>
      </c>
      <c r="K30">
        <f>_xll.EQNXTDZ($A$1,$B30,K$1,$B$1)</f>
        <v>-303.29000000000002</v>
      </c>
      <c r="L30">
        <f>_xll.EQNXTDZ($A$1,$B30,L$1,$B$1)</f>
        <v>-798.71</v>
      </c>
      <c r="M30">
        <f>_xll.EQNXTDZ($A$1,$B30,M$1,$B$1)</f>
        <v>-428.68</v>
      </c>
      <c r="N30">
        <f>_xll.EQNXTDZ($A$1,$B30,N$1,$B$1)</f>
        <v>715.05</v>
      </c>
      <c r="O30">
        <f>_xll.EQNXTDZ($A$1,$B30,O$1,$B$1)</f>
        <v>-166.14</v>
      </c>
      <c r="P30">
        <f>_xll.EQNXTDZ($A$1,$B30,P$1,$B$1)</f>
        <v>-404.74</v>
      </c>
      <c r="Q30">
        <f>_xll.EQNXTDZ($A$1,$B30,Q$1,$B$1)</f>
        <v>109.49</v>
      </c>
      <c r="R30">
        <f>_xll.EQNXTDZ($A$1,$B30,R$1,$B$1)</f>
        <v>1012.19</v>
      </c>
      <c r="S30">
        <f>_xll.EQNXTDZ($A$1,$B30,S$1,$B$1)</f>
        <v>-232.63</v>
      </c>
      <c r="T30">
        <f>_xll.EQNXTDZ($A$1,$B30,T$1,$B$1)</f>
        <v>-313.05</v>
      </c>
      <c r="U30">
        <f>_xll.EQNXTDZ($A$1,$B30,U$1,$B$1)</f>
        <v>-667.89</v>
      </c>
      <c r="V30">
        <f>_xll.EQNXTDZ($A$1,$B30,V$1,$B$1)</f>
        <v>-4960.53</v>
      </c>
      <c r="W30">
        <f>_xll.EQNXTDZ($A$1,$B30,W$1,$B$1)</f>
        <v>-452.84</v>
      </c>
      <c r="X30">
        <f>_xll.EQNXTDZ($A$1,$B30,X$1,$B$1)</f>
        <v>316.88</v>
      </c>
      <c r="Y30">
        <f>_xll.EQNXTDZ($A$1,$B30,Y$1,$B$1)</f>
        <v>-1303.47</v>
      </c>
      <c r="Z30">
        <f>_xll.EQNXTDZ($A$1,$B30,Z$1,$B$1)</f>
        <v>-634.34</v>
      </c>
      <c r="AA30">
        <f>_xll.EQNXTDZ($A$1,$B30,AA$1,$B$1)</f>
        <v>-825.15</v>
      </c>
      <c r="AB30">
        <f>_xll.EQNXTDZ($A$1,$B30,AB$1,$B$1)</f>
        <v>386.89</v>
      </c>
      <c r="AC30">
        <f>_xll.EQNXTDZ($A$1,$B30,AC$1,$B$1)</f>
        <v>-1180.78</v>
      </c>
      <c r="AD30">
        <f>_xll.EQNXTDZ($A$1,$B30,AD$1,$B$1)</f>
        <v>634.63999999999896</v>
      </c>
      <c r="AE30">
        <f>_xll.EQNXTDZ($A$1,$B30,AE$1,$B$1)</f>
        <v>-263.39</v>
      </c>
      <c r="AF30">
        <f>_xll.EQNXTDZ($A$1,$B30,AF$1,$B$1)</f>
        <v>3.8799999999997499</v>
      </c>
      <c r="AG30">
        <f>_xll.EQNXTDZ($A$1,$B30,AG$1,$B$1)</f>
        <v>-702.4</v>
      </c>
      <c r="AH30">
        <f>_xll.EQNXTDZ($A$1,$B30,AH$1,$B$1)</f>
        <v>-1312.86</v>
      </c>
      <c r="AI30">
        <f>_xll.EQNXTDZ($A$1,$B30,AI$1,$B$1)</f>
        <v>-682.45999999999901</v>
      </c>
      <c r="AJ30">
        <f>_xll.EQNXTDZ($A$1,$B30,AJ$1,$B$1)</f>
        <v>2228.0500000000002</v>
      </c>
      <c r="AK30">
        <f>_xll.EQNXTDZ($A$1,$B30,AK$1,$B$1)</f>
        <v>-288.74</v>
      </c>
      <c r="AL30">
        <f>_xll.EQNXTDZ($A$1,$B30,AL$1,$B$1)</f>
        <v>13.130000000000701</v>
      </c>
      <c r="AM30">
        <f>_xll.EQNXTDZ($A$1,$B30,AM$1,$B$1)</f>
        <v>278.22000000000099</v>
      </c>
      <c r="AN30">
        <f>_xll.EQNXTDZ($A$1,$B30,AN$1,$B$1)</f>
        <v>-230.6</v>
      </c>
      <c r="AO30">
        <f>_xll.EQNXTDZ($A$1,$B30,AO$1,$B$1)</f>
        <v>218.49</v>
      </c>
      <c r="AP30">
        <f>_xll.EQNXTDZ($A$1,$B30,AP$1,$B$1)</f>
        <v>4645.47</v>
      </c>
      <c r="AQ30">
        <f>_xll.EQNXTDZ($A$1,$B30,AQ$1,$B$1)</f>
        <v>4779.8599999999997</v>
      </c>
      <c r="AR30">
        <f>_xll.EQNXTDZ($A$1,$B30,AR$1,$B$1)</f>
        <v>695.52999999999895</v>
      </c>
      <c r="AS30">
        <f>_xll.EQNXTDZ($A$1,$B30,AS$1,$B$1)</f>
        <v>8.7700000000003708</v>
      </c>
      <c r="AT30">
        <f>_xll.EQNXTDZ($A$1,$B30,AT$1,$B$1)</f>
        <v>5242.4799999999996</v>
      </c>
      <c r="AU30">
        <f>_xll.EQNXTDZ($A$1,$B30,AU$1,$B$1)</f>
        <v>8759.42</v>
      </c>
      <c r="AV30">
        <f>_xll.EQNXTDZ($A$1,$B30,AV$1,$B$1)</f>
        <v>6594.17</v>
      </c>
      <c r="AW30">
        <f>_xll.EQNXTDZ($A$1,$B30,AW$1,$B$1)</f>
        <v>2737.96</v>
      </c>
      <c r="AX30">
        <f>_xll.EQNXTDZ($A$1,$B30,AX$1,$B$1)</f>
        <v>2737.24</v>
      </c>
      <c r="AY30">
        <f>_xll.EQNXTDZ($A$1,$B30,AY$1,$B$1)</f>
        <v>3912.79</v>
      </c>
      <c r="AZ30">
        <f>_xll.EQNXTDZ($A$1,$B30,AZ$1,$B$1)</f>
        <v>3297.52</v>
      </c>
      <c r="BA30">
        <f>_xll.EQNXTDZ($A$1,$B30,BA$1,$B$1)</f>
        <v>2940.07</v>
      </c>
      <c r="BB30">
        <f>_xll.EQNXTDZ($A$1,$B30,BB$1,$B$1)</f>
        <v>2599.23</v>
      </c>
      <c r="BC30">
        <f>_xll.EQNXTDZ($A$1,$B30,BC$1,$B$1)</f>
        <v>3305.13</v>
      </c>
      <c r="BD30">
        <f>_xll.EQNXTDZ($A$1,$B30,BD$1,$B$1)</f>
        <v>2906.46</v>
      </c>
      <c r="BE30">
        <f>_xll.EQNXTDZ($A$1,$B30,BE$1,$B$1)</f>
        <v>2488.09</v>
      </c>
      <c r="BF30">
        <f>_xll.EQNXTDZ($A$1,$B30,BF$1,$B$1)</f>
        <v>4271.3999999999996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7.71</v>
      </c>
      <c r="D34">
        <f>_xll.EQNXTDZ($A$1,$B34,D$1,$B$1)</f>
        <v>12.05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0.04</v>
      </c>
      <c r="AH34">
        <f>_xll.EQNXTDZ($A$1,$B34,AH$1,$B$1)</f>
        <v>-0.04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34.28</v>
      </c>
      <c r="BA34">
        <f>_xll.EQNXTDZ($A$1,$B34,BA$1,$B$1)</f>
        <v>117.14</v>
      </c>
      <c r="BB34">
        <f>_xll.EQNXTDZ($A$1,$B34,BB$1,$B$1)</f>
        <v>37.74</v>
      </c>
      <c r="BC34">
        <f>_xll.EQNXTDZ($A$1,$B34,BC$1,$B$1)</f>
        <v>79.73</v>
      </c>
      <c r="BD34">
        <f>_xll.EQNXTDZ($A$1,$B34,BD$1,$B$1)</f>
        <v>46.32</v>
      </c>
      <c r="BE34">
        <f>_xll.EQNXTDZ($A$1,$B34,BE$1,$B$1)</f>
        <v>-8.51</v>
      </c>
      <c r="BF34">
        <f>_xll.EQNXTDZ($A$1,$B34,BF$1,$B$1)</f>
        <v>-254.32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-10.27</v>
      </c>
      <c r="Z35">
        <f>_xll.EQNXTDZ($A$1,$B35,Z$1,$B$1)</f>
        <v>-18.91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-809.81</v>
      </c>
      <c r="D38">
        <f>_xll.EQNXTDZ($A$1,$B38,D$1,$B$1)</f>
        <v>-260.91000000000003</v>
      </c>
      <c r="E38">
        <f>_xll.EQNXTDZ($A$1,$B38,E$1,$B$1)</f>
        <v>-619.01</v>
      </c>
      <c r="F38">
        <f>_xll.EQNXTDZ($A$1,$B38,F$1,$B$1)</f>
        <v>-585.52</v>
      </c>
      <c r="G38">
        <f>_xll.EQNXTDZ($A$1,$B38,G$1,$B$1)</f>
        <v>-1198.29</v>
      </c>
      <c r="H38">
        <f>_xll.EQNXTDZ($A$1,$B38,H$1,$B$1)</f>
        <v>-1071.9100000000001</v>
      </c>
      <c r="I38">
        <f>_xll.EQNXTDZ($A$1,$B38,I$1,$B$1)</f>
        <v>-544.82000000000005</v>
      </c>
      <c r="J38">
        <f>_xll.EQNXTDZ($A$1,$B38,J$1,$B$1)</f>
        <v>2528.5500000000002</v>
      </c>
      <c r="K38">
        <f>_xll.EQNXTDZ($A$1,$B38,K$1,$B$1)</f>
        <v>-303.29000000000002</v>
      </c>
      <c r="L38">
        <f>_xll.EQNXTDZ($A$1,$B38,L$1,$B$1)</f>
        <v>-798.71</v>
      </c>
      <c r="M38">
        <f>_xll.EQNXTDZ($A$1,$B38,M$1,$B$1)</f>
        <v>-428.68</v>
      </c>
      <c r="N38">
        <f>_xll.EQNXTDZ($A$1,$B38,N$1,$B$1)</f>
        <v>715.05</v>
      </c>
      <c r="O38">
        <f>_xll.EQNXTDZ($A$1,$B38,O$1,$B$1)</f>
        <v>-166.14</v>
      </c>
      <c r="P38">
        <f>_xll.EQNXTDZ($A$1,$B38,P$1,$B$1)</f>
        <v>-404.74</v>
      </c>
      <c r="Q38">
        <f>_xll.EQNXTDZ($A$1,$B38,Q$1,$B$1)</f>
        <v>109.49</v>
      </c>
      <c r="R38">
        <f>_xll.EQNXTDZ($A$1,$B38,R$1,$B$1)</f>
        <v>1012.19</v>
      </c>
      <c r="S38">
        <f>_xll.EQNXTDZ($A$1,$B38,S$1,$B$1)</f>
        <v>-232.63</v>
      </c>
      <c r="T38">
        <f>_xll.EQNXTDZ($A$1,$B38,T$1,$B$1)</f>
        <v>-313.05</v>
      </c>
      <c r="U38">
        <f>_xll.EQNXTDZ($A$1,$B38,U$1,$B$1)</f>
        <v>-667.89</v>
      </c>
      <c r="V38">
        <f>_xll.EQNXTDZ($A$1,$B38,V$1,$B$1)</f>
        <v>-4960.53</v>
      </c>
      <c r="W38">
        <f>_xll.EQNXTDZ($A$1,$B38,W$1,$B$1)</f>
        <v>-452.84</v>
      </c>
      <c r="X38">
        <f>_xll.EQNXTDZ($A$1,$B38,X$1,$B$1)</f>
        <v>316.88</v>
      </c>
      <c r="Y38">
        <f>_xll.EQNXTDZ($A$1,$B38,Y$1,$B$1)</f>
        <v>-1313.74</v>
      </c>
      <c r="Z38">
        <f>_xll.EQNXTDZ($A$1,$B38,Z$1,$B$1)</f>
        <v>-653.25</v>
      </c>
      <c r="AA38">
        <f>_xll.EQNXTDZ($A$1,$B38,AA$1,$B$1)</f>
        <v>-825.15</v>
      </c>
      <c r="AB38">
        <f>_xll.EQNXTDZ($A$1,$B38,AB$1,$B$1)</f>
        <v>386.89</v>
      </c>
      <c r="AC38">
        <f>_xll.EQNXTDZ($A$1,$B38,AC$1,$B$1)</f>
        <v>-1180.78</v>
      </c>
      <c r="AD38">
        <f>_xll.EQNXTDZ($A$1,$B38,AD$1,$B$1)</f>
        <v>634.64</v>
      </c>
      <c r="AE38">
        <f>_xll.EQNXTDZ($A$1,$B38,AE$1,$B$1)</f>
        <v>-263.39</v>
      </c>
      <c r="AF38">
        <f>_xll.EQNXTDZ($A$1,$B38,AF$1,$B$1)</f>
        <v>3.88</v>
      </c>
      <c r="AG38">
        <f>_xll.EQNXTDZ($A$1,$B38,AG$1,$B$1)</f>
        <v>-702.36</v>
      </c>
      <c r="AH38">
        <f>_xll.EQNXTDZ($A$1,$B38,AH$1,$B$1)</f>
        <v>-1312.9</v>
      </c>
      <c r="AI38">
        <f>_xll.EQNXTDZ($A$1,$B38,AI$1,$B$1)</f>
        <v>-682.46</v>
      </c>
      <c r="AJ38">
        <f>_xll.EQNXTDZ($A$1,$B38,AJ$1,$B$1)</f>
        <v>2228.0500000000002</v>
      </c>
      <c r="AK38">
        <f>_xll.EQNXTDZ($A$1,$B38,AK$1,$B$1)</f>
        <v>-288.74</v>
      </c>
      <c r="AL38">
        <f>_xll.EQNXTDZ($A$1,$B38,AL$1,$B$1)</f>
        <v>13.13</v>
      </c>
      <c r="AM38">
        <f>_xll.EQNXTDZ($A$1,$B38,AM$1,$B$1)</f>
        <v>278.22000000000003</v>
      </c>
      <c r="AN38">
        <f>_xll.EQNXTDZ($A$1,$B38,AN$1,$B$1)</f>
        <v>-230.6</v>
      </c>
      <c r="AO38">
        <f>_xll.EQNXTDZ($A$1,$B38,AO$1,$B$1)</f>
        <v>218.49</v>
      </c>
      <c r="AP38">
        <f>_xll.EQNXTDZ($A$1,$B38,AP$1,$B$1)</f>
        <v>4645.47</v>
      </c>
      <c r="AQ38">
        <f>_xll.EQNXTDZ($A$1,$B38,AQ$1,$B$1)</f>
        <v>4779.8599999999997</v>
      </c>
      <c r="AR38">
        <f>_xll.EQNXTDZ($A$1,$B38,AR$1,$B$1)</f>
        <v>695.53</v>
      </c>
      <c r="AS38">
        <f>_xll.EQNXTDZ($A$1,$B38,AS$1,$B$1)</f>
        <v>8.77</v>
      </c>
      <c r="AT38">
        <f>_xll.EQNXTDZ($A$1,$B38,AT$1,$B$1)</f>
        <v>5242.4799999999996</v>
      </c>
      <c r="AU38">
        <f>_xll.EQNXTDZ($A$1,$B38,AU$1,$B$1)</f>
        <v>8759.42</v>
      </c>
      <c r="AV38">
        <f>_xll.EQNXTDZ($A$1,$B38,AV$1,$B$1)</f>
        <v>6594.17</v>
      </c>
      <c r="AW38">
        <f>_xll.EQNXTDZ($A$1,$B38,AW$1,$B$1)</f>
        <v>2737.96</v>
      </c>
      <c r="AX38">
        <f>_xll.EQNXTDZ($A$1,$B38,AX$1,$B$1)</f>
        <v>2737.24</v>
      </c>
      <c r="AY38">
        <f>_xll.EQNXTDZ($A$1,$B38,AY$1,$B$1)</f>
        <v>3912.79</v>
      </c>
      <c r="AZ38">
        <f>_xll.EQNXTDZ($A$1,$B38,AZ$1,$B$1)</f>
        <v>3331.8</v>
      </c>
      <c r="BA38">
        <f>_xll.EQNXTDZ($A$1,$B38,BA$1,$B$1)</f>
        <v>3057.21</v>
      </c>
      <c r="BB38">
        <f>_xll.EQNXTDZ($A$1,$B38,BB$1,$B$1)</f>
        <v>2636.97</v>
      </c>
      <c r="BC38">
        <f>_xll.EQNXTDZ($A$1,$B38,BC$1,$B$1)</f>
        <v>3384.86</v>
      </c>
      <c r="BD38">
        <f>_xll.EQNXTDZ($A$1,$B38,BD$1,$B$1)</f>
        <v>2952.78</v>
      </c>
      <c r="BE38">
        <f>_xll.EQNXTDZ($A$1,$B38,BE$1,$B$1)</f>
        <v>2479.58</v>
      </c>
      <c r="BF38">
        <f>_xll.EQNXTDZ($A$1,$B38,BF$1,$B$1)</f>
        <v>4017.08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-5.73</v>
      </c>
      <c r="P40">
        <f>_xll.EQNXTDZ($A$1,$B40,P$1,$B$1)</f>
        <v>-6.18</v>
      </c>
      <c r="Q40">
        <f>_xll.EQNXTDZ($A$1,$B40,Q$1,$B$1)</f>
        <v>-5.62</v>
      </c>
      <c r="R40">
        <f>_xll.EQNXTDZ($A$1,$B40,R$1,$B$1)</f>
        <v>48.51</v>
      </c>
      <c r="S40">
        <f>_xll.EQNXTDZ($A$1,$B40,S$1,$B$1)</f>
        <v>-2.2999999999999998</v>
      </c>
      <c r="T40">
        <f>_xll.EQNXTDZ($A$1,$B40,T$1,$B$1)</f>
        <v>-1</v>
      </c>
      <c r="U40">
        <f>_xll.EQNXTDZ($A$1,$B40,U$1,$B$1)</f>
        <v>-1.66</v>
      </c>
      <c r="V40">
        <f>_xll.EQNXTDZ($A$1,$B40,V$1,$B$1)</f>
        <v>8.93</v>
      </c>
      <c r="W40">
        <f>_xll.EQNXTDZ($A$1,$B40,W$1,$B$1)</f>
        <v>0.99</v>
      </c>
      <c r="X40">
        <f>_xll.EQNXTDZ($A$1,$B40,X$1,$B$1)</f>
        <v>-1.86</v>
      </c>
      <c r="Y40">
        <f>_xll.EQNXTDZ($A$1,$B40,Y$1,$B$1)</f>
        <v>2.76</v>
      </c>
      <c r="Z40">
        <f>_xll.EQNXTDZ($A$1,$B40,Z$1,$B$1)</f>
        <v>2.4500000000000002</v>
      </c>
      <c r="AA40">
        <f>_xll.EQNXTDZ($A$1,$B40,AA$1,$B$1)</f>
        <v>1.1399999999999999</v>
      </c>
      <c r="AB40">
        <f>_xll.EQNXTDZ($A$1,$B40,AB$1,$B$1)</f>
        <v>0.47</v>
      </c>
      <c r="AC40">
        <f>_xll.EQNXTDZ($A$1,$B40,AC$1,$B$1)</f>
        <v>0.8</v>
      </c>
      <c r="AD40">
        <f>_xll.EQNXTDZ($A$1,$B40,AD$1,$B$1)</f>
        <v>-10.15</v>
      </c>
      <c r="AE40">
        <f>_xll.EQNXTDZ($A$1,$B40,AE$1,$B$1)</f>
        <v>-2.17</v>
      </c>
      <c r="AF40">
        <f>_xll.EQNXTDZ($A$1,$B40,AF$1,$B$1)</f>
        <v>-0.56000000000000005</v>
      </c>
      <c r="AG40">
        <f>_xll.EQNXTDZ($A$1,$B40,AG$1,$B$1)</f>
        <v>-1.08</v>
      </c>
      <c r="AH40">
        <f>_xll.EQNXTDZ($A$1,$B40,AH$1,$B$1)</f>
        <v>14.13</v>
      </c>
      <c r="AI40">
        <f>_xll.EQNXTDZ($A$1,$B40,AI$1,$B$1)</f>
        <v>-22.63</v>
      </c>
      <c r="AJ40">
        <f>_xll.EQNXTDZ($A$1,$B40,AJ$1,$B$1)</f>
        <v>-12.36</v>
      </c>
      <c r="AK40">
        <f>_xll.EQNXTDZ($A$1,$B40,AK$1,$B$1)</f>
        <v>-0.62</v>
      </c>
      <c r="AL40">
        <f>_xll.EQNXTDZ($A$1,$B40,AL$1,$B$1)</f>
        <v>5.21</v>
      </c>
      <c r="AM40">
        <f>_xll.EQNXTDZ($A$1,$B40,AM$1,$B$1)</f>
        <v>-8.4499999999999993</v>
      </c>
      <c r="AN40">
        <f>_xll.EQNXTDZ($A$1,$B40,AN$1,$B$1)</f>
        <v>-8.11</v>
      </c>
      <c r="AO40">
        <f>_xll.EQNXTDZ($A$1,$B40,AO$1,$B$1)</f>
        <v>14.71</v>
      </c>
      <c r="AP40">
        <f>_xll.EQNXTDZ($A$1,$B40,AP$1,$B$1)</f>
        <v>45.48</v>
      </c>
      <c r="AQ40">
        <f>_xll.EQNXTDZ($A$1,$B40,AQ$1,$B$1)</f>
        <v>42.5</v>
      </c>
      <c r="AR40">
        <f>_xll.EQNXTDZ($A$1,$B40,AR$1,$B$1)</f>
        <v>-18.5</v>
      </c>
      <c r="AS40">
        <f>_xll.EQNXTDZ($A$1,$B40,AS$1,$B$1)</f>
        <v>-33.64</v>
      </c>
      <c r="AT40">
        <f>_xll.EQNXTDZ($A$1,$B40,AT$1,$B$1)</f>
        <v>43.38</v>
      </c>
      <c r="AU40">
        <f>_xll.EQNXTDZ($A$1,$B40,AU$1,$B$1)</f>
        <v>-42.1</v>
      </c>
      <c r="AV40">
        <f>_xll.EQNXTDZ($A$1,$B40,AV$1,$B$1)</f>
        <v>22.26</v>
      </c>
      <c r="AW40">
        <f>_xll.EQNXTDZ($A$1,$B40,AW$1,$B$1)</f>
        <v>-2.4500000000000002</v>
      </c>
      <c r="AX40">
        <f>_xll.EQNXTDZ($A$1,$B40,AX$1,$B$1)</f>
        <v>-5.2</v>
      </c>
      <c r="AY40">
        <f>_xll.EQNXTDZ($A$1,$B40,AY$1,$B$1)</f>
        <v>7.05</v>
      </c>
      <c r="AZ40">
        <f>_xll.EQNXTDZ($A$1,$B40,AZ$1,$B$1)</f>
        <v>-14.67</v>
      </c>
      <c r="BA40">
        <f>_xll.EQNXTDZ($A$1,$B40,BA$1,$B$1)</f>
        <v>-7.39</v>
      </c>
      <c r="BB40">
        <f>_xll.EQNXTDZ($A$1,$B40,BB$1,$B$1)</f>
        <v>12.32</v>
      </c>
      <c r="BC40">
        <f>_xll.EQNXTDZ($A$1,$B40,BC$1,$B$1)</f>
        <v>2.64</v>
      </c>
      <c r="BD40">
        <f>_xll.EQNXTDZ($A$1,$B40,BD$1,$B$1)</f>
        <v>21.33</v>
      </c>
      <c r="BE40">
        <f>_xll.EQNXTDZ($A$1,$B40,BE$1,$B$1)</f>
        <v>-3.57</v>
      </c>
      <c r="BF40">
        <f>_xll.EQNXTDZ($A$1,$B40,BF$1,$B$1)</f>
        <v>-0.73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-171.87</v>
      </c>
      <c r="P41">
        <f>_xll.EQNXTDZ($A$1,$B41,P$1,$B$1)</f>
        <v>-410.92</v>
      </c>
      <c r="Q41">
        <f>_xll.EQNXTDZ($A$1,$B41,Q$1,$B$1)</f>
        <v>103.87</v>
      </c>
      <c r="R41">
        <f>_xll.EQNXTDZ($A$1,$B41,R$1,$B$1)</f>
        <v>1060.7</v>
      </c>
      <c r="S41">
        <f>_xll.EQNXTDZ($A$1,$B41,S$1,$B$1)</f>
        <v>-234.93</v>
      </c>
      <c r="T41">
        <f>_xll.EQNXTDZ($A$1,$B41,T$1,$B$1)</f>
        <v>-314.05</v>
      </c>
      <c r="U41">
        <f>_xll.EQNXTDZ($A$1,$B41,U$1,$B$1)</f>
        <v>-669.55</v>
      </c>
      <c r="V41">
        <f>_xll.EQNXTDZ($A$1,$B41,V$1,$B$1)</f>
        <v>-4951.6000000000004</v>
      </c>
      <c r="W41">
        <f>_xll.EQNXTDZ($A$1,$B41,W$1,$B$1)</f>
        <v>-451.85</v>
      </c>
      <c r="X41">
        <f>_xll.EQNXTDZ($A$1,$B41,X$1,$B$1)</f>
        <v>315.02</v>
      </c>
      <c r="Y41">
        <f>_xll.EQNXTDZ($A$1,$B41,Y$1,$B$1)</f>
        <v>-1310.98</v>
      </c>
      <c r="Z41">
        <f>_xll.EQNXTDZ($A$1,$B41,Z$1,$B$1)</f>
        <v>-650.79999999999995</v>
      </c>
      <c r="AA41">
        <f>_xll.EQNXTDZ($A$1,$B41,AA$1,$B$1)</f>
        <v>-824.01</v>
      </c>
      <c r="AB41">
        <f>_xll.EQNXTDZ($A$1,$B41,AB$1,$B$1)</f>
        <v>387.36</v>
      </c>
      <c r="AC41">
        <f>_xll.EQNXTDZ($A$1,$B41,AC$1,$B$1)</f>
        <v>-1179.98</v>
      </c>
      <c r="AD41">
        <f>_xll.EQNXTDZ($A$1,$B41,AD$1,$B$1)</f>
        <v>624.49</v>
      </c>
      <c r="AE41">
        <f>_xll.EQNXTDZ($A$1,$B41,AE$1,$B$1)</f>
        <v>-265.56</v>
      </c>
      <c r="AF41">
        <f>_xll.EQNXTDZ($A$1,$B41,AF$1,$B$1)</f>
        <v>3.32</v>
      </c>
      <c r="AG41">
        <f>_xll.EQNXTDZ($A$1,$B41,AG$1,$B$1)</f>
        <v>-703.44</v>
      </c>
      <c r="AH41">
        <f>_xll.EQNXTDZ($A$1,$B41,AH$1,$B$1)</f>
        <v>-1298.77</v>
      </c>
      <c r="AI41">
        <f>_xll.EQNXTDZ($A$1,$B41,AI$1,$B$1)</f>
        <v>-705.09</v>
      </c>
      <c r="AJ41">
        <f>_xll.EQNXTDZ($A$1,$B41,AJ$1,$B$1)</f>
        <v>2215.69</v>
      </c>
      <c r="AK41">
        <f>_xll.EQNXTDZ($A$1,$B41,AK$1,$B$1)</f>
        <v>-289.36</v>
      </c>
      <c r="AL41">
        <f>_xll.EQNXTDZ($A$1,$B41,AL$1,$B$1)</f>
        <v>18.34</v>
      </c>
      <c r="AM41">
        <f>_xll.EQNXTDZ($A$1,$B41,AM$1,$B$1)</f>
        <v>269.77</v>
      </c>
      <c r="AN41">
        <f>_xll.EQNXTDZ($A$1,$B41,AN$1,$B$1)</f>
        <v>-238.71</v>
      </c>
      <c r="AO41">
        <f>_xll.EQNXTDZ($A$1,$B41,AO$1,$B$1)</f>
        <v>233.2</v>
      </c>
      <c r="AP41">
        <f>_xll.EQNXTDZ($A$1,$B41,AP$1,$B$1)</f>
        <v>4690.95</v>
      </c>
      <c r="AQ41">
        <f>_xll.EQNXTDZ($A$1,$B41,AQ$1,$B$1)</f>
        <v>4822.3599999999997</v>
      </c>
      <c r="AR41">
        <f>_xll.EQNXTDZ($A$1,$B41,AR$1,$B$1)</f>
        <v>677.03</v>
      </c>
      <c r="AS41">
        <f>_xll.EQNXTDZ($A$1,$B41,AS$1,$B$1)</f>
        <v>-24.87</v>
      </c>
      <c r="AT41">
        <f>_xll.EQNXTDZ($A$1,$B41,AT$1,$B$1)</f>
        <v>5285.86</v>
      </c>
      <c r="AU41">
        <f>_xll.EQNXTDZ($A$1,$B41,AU$1,$B$1)</f>
        <v>8717.32</v>
      </c>
      <c r="AV41">
        <f>_xll.EQNXTDZ($A$1,$B41,AV$1,$B$1)</f>
        <v>6616.43</v>
      </c>
      <c r="AW41">
        <f>_xll.EQNXTDZ($A$1,$B41,AW$1,$B$1)</f>
        <v>2735.51</v>
      </c>
      <c r="AX41">
        <f>_xll.EQNXTDZ($A$1,$B41,AX$1,$B$1)</f>
        <v>2732.04</v>
      </c>
      <c r="AY41">
        <f>_xll.EQNXTDZ($A$1,$B41,AY$1,$B$1)</f>
        <v>3919.84</v>
      </c>
      <c r="AZ41">
        <f>_xll.EQNXTDZ($A$1,$B41,AZ$1,$B$1)</f>
        <v>3317.13</v>
      </c>
      <c r="BA41">
        <f>_xll.EQNXTDZ($A$1,$B41,BA$1,$B$1)</f>
        <v>3049.82</v>
      </c>
      <c r="BB41">
        <f>_xll.EQNXTDZ($A$1,$B41,BB$1,$B$1)</f>
        <v>2649.48</v>
      </c>
      <c r="BC41">
        <f>_xll.EQNXTDZ($A$1,$B41,BC$1,$B$1)</f>
        <v>3387.56</v>
      </c>
      <c r="BD41">
        <f>_xll.EQNXTDZ($A$1,$B41,BD$1,$B$1)</f>
        <v>2973.95</v>
      </c>
      <c r="BE41">
        <f>_xll.EQNXTDZ($A$1,$B41,BE$1,$B$1)</f>
        <v>2476</v>
      </c>
      <c r="BF41">
        <f>_xll.EQNXTDZ($A$1,$B41,BF$1,$B$1)</f>
        <v>4016.3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-809.81</v>
      </c>
      <c r="D42">
        <f>_xll.EQNXTDZ($A$1,$B42,D$1,$B$1)</f>
        <v>-260.91000000000003</v>
      </c>
      <c r="E42">
        <f>_xll.EQNXTDZ($A$1,$B42,E$1,$B$1)</f>
        <v>-619.01</v>
      </c>
      <c r="F42">
        <f>_xll.EQNXTDZ($A$1,$B42,F$1,$B$1)</f>
        <v>-585.52</v>
      </c>
      <c r="G42">
        <f>_xll.EQNXTDZ($A$1,$B42,G$1,$B$1)</f>
        <v>-1198.29</v>
      </c>
      <c r="H42">
        <f>_xll.EQNXTDZ($A$1,$B42,H$1,$B$1)</f>
        <v>-1071.9100000000001</v>
      </c>
      <c r="I42">
        <f>_xll.EQNXTDZ($A$1,$B42,I$1,$B$1)</f>
        <v>-544.82000000000005</v>
      </c>
      <c r="J42">
        <f>_xll.EQNXTDZ($A$1,$B42,J$1,$B$1)</f>
        <v>2528.5500000000002</v>
      </c>
      <c r="K42">
        <f>_xll.EQNXTDZ($A$1,$B42,K$1,$B$1)</f>
        <v>-303.29000000000002</v>
      </c>
      <c r="L42">
        <f>_xll.EQNXTDZ($A$1,$B42,L$1,$B$1)</f>
        <v>-798.71</v>
      </c>
      <c r="M42">
        <f>_xll.EQNXTDZ($A$1,$B42,M$1,$B$1)</f>
        <v>-428.68</v>
      </c>
      <c r="N42">
        <f>_xll.EQNXTDZ($A$1,$B42,N$1,$B$1)</f>
        <v>715.05</v>
      </c>
      <c r="O42">
        <f>_xll.EQNXTDZ($A$1,$B42,O$1,$B$1)</f>
        <v>-166.14</v>
      </c>
      <c r="P42">
        <f>_xll.EQNXTDZ($A$1,$B42,P$1,$B$1)</f>
        <v>-404.74</v>
      </c>
      <c r="Q42">
        <f>_xll.EQNXTDZ($A$1,$B42,Q$1,$B$1)</f>
        <v>109.49</v>
      </c>
      <c r="R42">
        <f>_xll.EQNXTDZ($A$1,$B42,R$1,$B$1)</f>
        <v>1012.19</v>
      </c>
      <c r="S42">
        <f>_xll.EQNXTDZ($A$1,$B42,S$1,$B$1)</f>
        <v>-232.63</v>
      </c>
      <c r="T42">
        <f>_xll.EQNXTDZ($A$1,$B42,T$1,$B$1)</f>
        <v>-313.05</v>
      </c>
      <c r="U42">
        <f>_xll.EQNXTDZ($A$1,$B42,U$1,$B$1)</f>
        <v>-667.89</v>
      </c>
      <c r="V42">
        <f>_xll.EQNXTDZ($A$1,$B42,V$1,$B$1)</f>
        <v>-4960.53</v>
      </c>
      <c r="W42">
        <f>_xll.EQNXTDZ($A$1,$B42,W$1,$B$1)</f>
        <v>-452.84</v>
      </c>
      <c r="X42">
        <f>_xll.EQNXTDZ($A$1,$B42,X$1,$B$1)</f>
        <v>316.88</v>
      </c>
      <c r="Y42">
        <f>_xll.EQNXTDZ($A$1,$B42,Y$1,$B$1)</f>
        <v>-1313.74</v>
      </c>
      <c r="Z42">
        <f>_xll.EQNXTDZ($A$1,$B42,Z$1,$B$1)</f>
        <v>-653.25</v>
      </c>
      <c r="AA42">
        <f>_xll.EQNXTDZ($A$1,$B42,AA$1,$B$1)</f>
        <v>-825.15</v>
      </c>
      <c r="AB42">
        <f>_xll.EQNXTDZ($A$1,$B42,AB$1,$B$1)</f>
        <v>386.89</v>
      </c>
      <c r="AC42">
        <f>_xll.EQNXTDZ($A$1,$B42,AC$1,$B$1)</f>
        <v>-1180.78</v>
      </c>
      <c r="AD42">
        <f>_xll.EQNXTDZ($A$1,$B42,AD$1,$B$1)</f>
        <v>634.64</v>
      </c>
      <c r="AE42">
        <f>_xll.EQNXTDZ($A$1,$B42,AE$1,$B$1)</f>
        <v>-263.39</v>
      </c>
      <c r="AF42">
        <f>_xll.EQNXTDZ($A$1,$B42,AF$1,$B$1)</f>
        <v>3.88</v>
      </c>
      <c r="AG42">
        <f>_xll.EQNXTDZ($A$1,$B42,AG$1,$B$1)</f>
        <v>-702.36</v>
      </c>
      <c r="AH42">
        <f>_xll.EQNXTDZ($A$1,$B42,AH$1,$B$1)</f>
        <v>-1312.9</v>
      </c>
      <c r="AI42">
        <f>_xll.EQNXTDZ($A$1,$B42,AI$1,$B$1)</f>
        <v>-682.46</v>
      </c>
      <c r="AJ42">
        <f>_xll.EQNXTDZ($A$1,$B42,AJ$1,$B$1)</f>
        <v>2228.0500000000002</v>
      </c>
      <c r="AK42">
        <f>_xll.EQNXTDZ($A$1,$B42,AK$1,$B$1)</f>
        <v>-288.74</v>
      </c>
      <c r="AL42">
        <f>_xll.EQNXTDZ($A$1,$B42,AL$1,$B$1)</f>
        <v>13.13</v>
      </c>
      <c r="AM42">
        <f>_xll.EQNXTDZ($A$1,$B42,AM$1,$B$1)</f>
        <v>278.22000000000003</v>
      </c>
      <c r="AN42">
        <f>_xll.EQNXTDZ($A$1,$B42,AN$1,$B$1)</f>
        <v>-230.6</v>
      </c>
      <c r="AO42">
        <f>_xll.EQNXTDZ($A$1,$B42,AO$1,$B$1)</f>
        <v>218.49</v>
      </c>
      <c r="AP42">
        <f>_xll.EQNXTDZ($A$1,$B42,AP$1,$B$1)</f>
        <v>4645.47</v>
      </c>
      <c r="AQ42">
        <f>_xll.EQNXTDZ($A$1,$B42,AQ$1,$B$1)</f>
        <v>4779.8599999999997</v>
      </c>
      <c r="AR42">
        <f>_xll.EQNXTDZ($A$1,$B42,AR$1,$B$1)</f>
        <v>695.53</v>
      </c>
      <c r="AS42">
        <f>_xll.EQNXTDZ($A$1,$B42,AS$1,$B$1)</f>
        <v>8.77</v>
      </c>
      <c r="AT42">
        <f>_xll.EQNXTDZ($A$1,$B42,AT$1,$B$1)</f>
        <v>5242.4799999999996</v>
      </c>
      <c r="AU42">
        <f>_xll.EQNXTDZ($A$1,$B42,AU$1,$B$1)</f>
        <v>8759.42</v>
      </c>
      <c r="AV42">
        <f>_xll.EQNXTDZ($A$1,$B42,AV$1,$B$1)</f>
        <v>6594.17</v>
      </c>
      <c r="AW42">
        <f>_xll.EQNXTDZ($A$1,$B42,AW$1,$B$1)</f>
        <v>2737.96</v>
      </c>
      <c r="AX42">
        <f>_xll.EQNXTDZ($A$1,$B42,AX$1,$B$1)</f>
        <v>2737.24</v>
      </c>
      <c r="AY42">
        <f>_xll.EQNXTDZ($A$1,$B42,AY$1,$B$1)</f>
        <v>3912.79</v>
      </c>
      <c r="AZ42">
        <f>_xll.EQNXTDZ($A$1,$B42,AZ$1,$B$1)</f>
        <v>3331.8</v>
      </c>
      <c r="BA42">
        <f>_xll.EQNXTDZ($A$1,$B42,BA$1,$B$1)</f>
        <v>3057.21</v>
      </c>
      <c r="BB42">
        <f>_xll.EQNXTDZ($A$1,$B42,BB$1,$B$1)</f>
        <v>2636.97</v>
      </c>
      <c r="BC42">
        <f>_xll.EQNXTDZ($A$1,$B42,BC$1,$B$1)</f>
        <v>3384.86</v>
      </c>
      <c r="BD42">
        <f>_xll.EQNXTDZ($A$1,$B42,BD$1,$B$1)</f>
        <v>2952.78</v>
      </c>
      <c r="BE42">
        <f>_xll.EQNXTDZ($A$1,$B42,BE$1,$B$1)</f>
        <v>2479.58</v>
      </c>
      <c r="BF42">
        <f>_xll.EQNXTDZ($A$1,$B42,BF$1,$B$1)</f>
        <v>4017.08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2180.04</v>
      </c>
      <c r="D45">
        <f>_xll.EQNXTDZ($A$1,$B45,D$1,$B$1)</f>
        <v>2180.04</v>
      </c>
      <c r="E45">
        <f>_xll.EQNXTDZ($A$1,$B45,E$1,$B$1)</f>
        <v>2393.27</v>
      </c>
      <c r="F45">
        <f>_xll.EQNXTDZ($A$1,$B45,F$1,$B$1)</f>
        <v>2393.27</v>
      </c>
      <c r="G45">
        <f>_xll.EQNXTDZ($A$1,$B45,G$1,$B$1)</f>
        <v>2871.92</v>
      </c>
      <c r="H45">
        <f>_xll.EQNXTDZ($A$1,$B45,H$1,$B$1)</f>
        <v>2871.92</v>
      </c>
      <c r="I45">
        <f>_xll.EQNXTDZ($A$1,$B45,I$1,$B$1)</f>
        <v>2871.92</v>
      </c>
      <c r="J45">
        <f>_xll.EQNXTDZ($A$1,$B45,J$1,$B$1)</f>
        <v>2871.92</v>
      </c>
      <c r="K45">
        <f>_xll.EQNXTDZ($A$1,$B45,K$1,$B$1)</f>
        <v>2871.92</v>
      </c>
      <c r="L45">
        <f>_xll.EQNXTDZ($A$1,$B45,L$1,$B$1)</f>
        <v>2871.92</v>
      </c>
      <c r="M45">
        <f>_xll.EQNXTDZ($A$1,$B45,M$1,$B$1)</f>
        <v>2871.92</v>
      </c>
      <c r="N45">
        <f>_xll.EQNXTDZ($A$1,$B45,N$1,$B$1)</f>
        <v>2871.92</v>
      </c>
      <c r="O45">
        <f>_xll.EQNXTDZ($A$1,$B45,O$1,$B$1)</f>
        <v>2935.84</v>
      </c>
      <c r="P45">
        <f>_xll.EQNXTDZ($A$1,$B45,P$1,$B$1)</f>
        <v>2935.84</v>
      </c>
      <c r="Q45">
        <f>_xll.EQNXTDZ($A$1,$B45,Q$1,$B$1)</f>
        <v>2935.84</v>
      </c>
      <c r="R45">
        <f>_xll.EQNXTDZ($A$1,$B45,R$1,$B$1)</f>
        <v>3333.94</v>
      </c>
      <c r="S45">
        <f>_xll.EQNXTDZ($A$1,$B45,S$1,$B$1)</f>
        <v>3333.94</v>
      </c>
      <c r="T45">
        <f>_xll.EQNXTDZ($A$1,$B45,T$1,$B$1)</f>
        <v>3417.45</v>
      </c>
      <c r="U45">
        <f>_xll.EQNXTDZ($A$1,$B45,U$1,$B$1)</f>
        <v>3500.89</v>
      </c>
      <c r="V45">
        <f>_xll.EQNXTDZ($A$1,$B45,V$1,$B$1)</f>
        <v>3856.94</v>
      </c>
      <c r="W45">
        <f>_xll.EQNXTDZ($A$1,$B45,W$1,$B$1)</f>
        <v>3856.94</v>
      </c>
      <c r="X45">
        <f>_xll.EQNXTDZ($A$1,$B45,X$1,$B$1)</f>
        <v>3856.94</v>
      </c>
      <c r="Y45">
        <f>_xll.EQNXTDZ($A$1,$B45,Y$1,$B$1)</f>
        <v>3856.94</v>
      </c>
      <c r="Z45">
        <f>_xll.EQNXTDZ($A$1,$B45,Z$1,$B$1)</f>
        <v>3856.94</v>
      </c>
      <c r="AA45">
        <f>_xll.EQNXTDZ($A$1,$B45,AA$1,$B$1)</f>
        <v>3856.94</v>
      </c>
      <c r="AB45">
        <f>_xll.EQNXTDZ($A$1,$B45,AB$1,$B$1)</f>
        <v>3856.94</v>
      </c>
      <c r="AC45">
        <f>_xll.EQNXTDZ($A$1,$B45,AC$1,$B$1)</f>
        <v>3856.94</v>
      </c>
      <c r="AD45">
        <f>_xll.EQNXTDZ($A$1,$B45,AD$1,$B$1)</f>
        <v>3856.94</v>
      </c>
      <c r="AE45">
        <f>_xll.EQNXTDZ($A$1,$B45,AE$1,$B$1)</f>
        <v>3856.94</v>
      </c>
      <c r="AF45">
        <f>_xll.EQNXTDZ($A$1,$B45,AF$1,$B$1)</f>
        <v>3856.94</v>
      </c>
      <c r="AG45">
        <f>_xll.EQNXTDZ($A$1,$B45,AG$1,$B$1)</f>
        <v>3856.94</v>
      </c>
      <c r="AH45">
        <f>_xll.EQNXTDZ($A$1,$B45,AH$1,$B$1)</f>
        <v>3856.94</v>
      </c>
      <c r="AI45">
        <f>_xll.EQNXTDZ($A$1,$B45,AI$1,$B$1)</f>
        <v>3856.94</v>
      </c>
      <c r="AJ45">
        <f>_xll.EQNXTDZ($A$1,$B45,AJ$1,$B$1)</f>
        <v>3856.94</v>
      </c>
      <c r="AK45">
        <f>_xll.EQNXTDZ($A$1,$B45,AK$1,$B$1)</f>
        <v>3856.94</v>
      </c>
      <c r="AL45">
        <f>_xll.EQNXTDZ($A$1,$B45,AL$1,$B$1)</f>
        <v>3856.94</v>
      </c>
      <c r="AM45">
        <f>_xll.EQNXTDZ($A$1,$B45,AM$1,$B$1)</f>
        <v>3856.94</v>
      </c>
      <c r="AN45">
        <f>_xll.EQNXTDZ($A$1,$B45,AN$1,$B$1)</f>
        <v>3856.94</v>
      </c>
      <c r="AO45">
        <f>_xll.EQNXTDZ($A$1,$B45,AO$1,$B$1)</f>
        <v>3856.94</v>
      </c>
      <c r="AP45">
        <f>_xll.EQNXTDZ($A$1,$B45,AP$1,$B$1)</f>
        <v>3856.94</v>
      </c>
      <c r="AQ45">
        <f>_xll.EQNXTDZ($A$1,$B45,AQ$1,$B$1)</f>
        <v>3856.94</v>
      </c>
      <c r="AR45">
        <f>_xll.EQNXTDZ($A$1,$B45,AR$1,$B$1)</f>
        <v>3856.94</v>
      </c>
      <c r="AS45">
        <f>_xll.EQNXTDZ($A$1,$B45,AS$1,$B$1)</f>
        <v>3856.94</v>
      </c>
      <c r="AT45">
        <f>_xll.EQNXTDZ($A$1,$B45,AT$1,$B$1)</f>
        <v>3856.94</v>
      </c>
      <c r="AU45">
        <f>_xll.EQNXTDZ($A$1,$B45,AU$1,$B$1)</f>
        <v>3856.94</v>
      </c>
      <c r="AV45">
        <f>_xll.EQNXTDZ($A$1,$B45,AV$1,$B$1)</f>
        <v>3856.94</v>
      </c>
      <c r="AW45">
        <f>_xll.EQNXTDZ($A$1,$B45,AW$1,$B$1)</f>
        <v>3856.94</v>
      </c>
      <c r="AX45">
        <f>_xll.EQNXTDZ($A$1,$B45,AX$1,$B$1)</f>
        <v>3856.94</v>
      </c>
      <c r="AY45">
        <f>_xll.EQNXTDZ($A$1,$B45,AY$1,$B$1)</f>
        <v>3856.94</v>
      </c>
      <c r="AZ45">
        <f>_xll.EQNXTDZ($A$1,$B45,AZ$1,$B$1)</f>
        <v>3856.94</v>
      </c>
      <c r="BA45">
        <f>_xll.EQNXTDZ($A$1,$B45,BA$1,$B$1)</f>
        <v>3856.94</v>
      </c>
      <c r="BB45">
        <f>_xll.EQNXTDZ($A$1,$B45,BB$1,$B$1)</f>
        <v>3856.94</v>
      </c>
      <c r="BC45">
        <f>_xll.EQNXTDZ($A$1,$B45,BC$1,$B$1)</f>
        <v>3856.94</v>
      </c>
      <c r="BD45">
        <f>_xll.EQNXTDZ($A$1,$B45,BD$1,$B$1)</f>
        <v>3856.94</v>
      </c>
      <c r="BE45">
        <f>_xll.EQNXTDZ($A$1,$B45,BE$1,$B$1)</f>
        <v>3856.94</v>
      </c>
      <c r="BF45">
        <f>_xll.EQNXTDZ($A$1,$B45,BF$1,$B$1)</f>
        <v>3856.94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9.99</v>
      </c>
      <c r="D48" s="55">
        <f>_xll.EQNXTDZ($A$1,$B48,D$5)</f>
        <v>10.57</v>
      </c>
      <c r="E48" s="55">
        <f>_xll.EQNXTDZ($A$1,$B48,E$5)</f>
        <v>12.34</v>
      </c>
      <c r="F48" s="55">
        <f>_xll.EQNXTDZ($A$1,$B48,F$5)</f>
        <v>8.1300000000000008</v>
      </c>
      <c r="G48" s="55">
        <f>_xll.EQNXTDZ($A$1,$B48,G$5)</f>
        <v>8.2899999999999991</v>
      </c>
      <c r="H48" s="55">
        <f>_xll.EQNXTDZ($A$1,$B48,H$5)</f>
        <v>6.45</v>
      </c>
      <c r="I48" s="55">
        <f>_xll.EQNXTDZ($A$1,$B48,I$5)</f>
        <v>7.8</v>
      </c>
      <c r="J48" s="55">
        <f>_xll.EQNXTDZ($A$1,$B48,J$5)</f>
        <v>9.73</v>
      </c>
      <c r="K48" s="55">
        <f>_xll.EQNXTDZ($A$1,$B48,K$5)</f>
        <v>12.51</v>
      </c>
      <c r="L48" s="55">
        <f>_xll.EQNXTDZ($A$1,$B48,L$5)</f>
        <v>8.68</v>
      </c>
      <c r="M48" s="55">
        <f>_xll.EQNXTDZ($A$1,$B48,M$5)</f>
        <v>8.8699999999999992</v>
      </c>
      <c r="N48" s="55">
        <f>_xll.EQNXTDZ($A$1,$B48,N$5)</f>
        <v>9.4600000000000009</v>
      </c>
      <c r="O48" s="55">
        <f>_xll.EQNXTDZ($A$1,$B48,O$5)</f>
        <v>5.85</v>
      </c>
      <c r="P48" s="55">
        <f>_xll.EQNXTDZ($A$1,$B48,P$5)</f>
        <v>4.9400000000000004</v>
      </c>
      <c r="Q48" s="55">
        <f>_xll.EQNXTDZ($A$1,$B48,Q$5)</f>
        <v>6.45</v>
      </c>
      <c r="R48" s="55">
        <f>_xll.EQNXTDZ($A$1,$B48,R$5)</f>
        <v>6.93</v>
      </c>
      <c r="S48" s="55">
        <f>_xll.EQNXTDZ($A$1,$B48,S$5)</f>
        <v>6.07</v>
      </c>
      <c r="T48" s="55">
        <f>_xll.EQNXTDZ($A$1,$B48,T$5)</f>
        <v>4.99</v>
      </c>
      <c r="U48" s="55">
        <f>_xll.EQNXTDZ($A$1,$B48,U$5)</f>
        <v>6.02</v>
      </c>
      <c r="V48" s="55">
        <f>_xll.EQNXTDZ($A$1,$B48,V$5)</f>
        <v>7.99</v>
      </c>
      <c r="W48" s="55">
        <f>_xll.EQNXTDZ($A$1,$B48,W$5)</f>
        <v>5.94</v>
      </c>
      <c r="X48" s="55">
        <f>_xll.EQNXTDZ($A$1,$B48,X$5)</f>
        <v>5.91</v>
      </c>
      <c r="Y48" s="55">
        <f>_xll.EQNXTDZ($A$1,$B48,Y$5)</f>
        <v>8.33</v>
      </c>
      <c r="Z48" s="55">
        <f>_xll.EQNXTDZ($A$1,$B48,Z$5)</f>
        <v>4.75</v>
      </c>
      <c r="AA48" s="55">
        <f>_xll.EQNXTDZ($A$1,$B48,AA$5)</f>
        <v>3.23</v>
      </c>
      <c r="AB48" s="55">
        <f>_xll.EQNXTDZ($A$1,$B48,AB$5)</f>
        <v>4.7699999999999996</v>
      </c>
      <c r="AC48" s="55">
        <f>_xll.EQNXTDZ($A$1,$B48,AC$5)</f>
        <v>10.18</v>
      </c>
      <c r="AD48" s="55">
        <f>_xll.EQNXTDZ($A$1,$B48,AD$5)</f>
        <v>9.64</v>
      </c>
      <c r="AE48" s="55">
        <f>_xll.EQNXTDZ($A$1,$B48,AE$5)</f>
        <v>10.26</v>
      </c>
      <c r="AF48" s="55">
        <f>_xll.EQNXTDZ($A$1,$B48,AF$5)</f>
        <v>12.86</v>
      </c>
      <c r="AG48" s="55">
        <f>_xll.EQNXTDZ($A$1,$B48,AG$5)</f>
        <v>12.36</v>
      </c>
      <c r="AH48" s="55">
        <f>_xll.EQNXTDZ($A$1,$B48,AH$5)</f>
        <v>5.55</v>
      </c>
      <c r="AI48" s="55">
        <f>_xll.EQNXTDZ($A$1,$B48,AI$5)</f>
        <v>7.2</v>
      </c>
      <c r="AJ48" s="55">
        <f>_xll.EQNXTDZ($A$1,$B48,AJ$5)</f>
        <v>7.37</v>
      </c>
      <c r="AK48" s="55">
        <f>_xll.EQNXTDZ($A$1,$B48,AK$5)</f>
        <v>9.94</v>
      </c>
      <c r="AL48" s="55">
        <f>_xll.EQNXTDZ($A$1,$B48,AL$5)</f>
        <v>17.010000000000002</v>
      </c>
      <c r="AM48" s="55">
        <f>_xll.EQNXTDZ($A$1,$B48,AM$5)</f>
        <v>22.68</v>
      </c>
      <c r="AN48" s="55">
        <f>_xll.EQNXTDZ($A$1,$B48,AN$5)</f>
        <v>19.43</v>
      </c>
      <c r="AO48" s="55">
        <f>_xll.EQNXTDZ($A$1,$B48,AO$5)</f>
        <v>19.95</v>
      </c>
      <c r="AP48" s="55">
        <f>_xll.EQNXTDZ($A$1,$B48,AP$5)</f>
        <v>37.01</v>
      </c>
      <c r="AQ48" s="55">
        <f>_xll.EQNXTDZ($A$1,$B48,AQ$5)</f>
        <v>52.51</v>
      </c>
      <c r="AR48" s="55">
        <f>_xll.EQNXTDZ($A$1,$B48,AR$5)</f>
        <v>74.760000000000005</v>
      </c>
      <c r="AS48" s="55">
        <f>_xll.EQNXTDZ($A$1,$B48,AS$5)</f>
        <v>59.88</v>
      </c>
      <c r="AT48" s="55">
        <f>_xll.EQNXTDZ($A$1,$B48,AT$5)</f>
        <v>38.32</v>
      </c>
      <c r="AU48" s="55">
        <f>_xll.EQNXTDZ($A$1,$B48,AU$5)</f>
        <v>49.99</v>
      </c>
      <c r="AV48" s="55">
        <f>_xll.EQNXTDZ($A$1,$B48,AV$5)</f>
        <v>75.430000000000007</v>
      </c>
      <c r="AW48" s="55">
        <f>_xll.EQNXTDZ($A$1,$B48,AW$5)</f>
        <v>104.97</v>
      </c>
      <c r="AX48" s="55">
        <f>_xll.EQNXTDZ($A$1,$B48,AX$5)</f>
        <v>106.74</v>
      </c>
      <c r="AY48" s="55">
        <f>_xll.EQNXTDZ($A$1,$B48,AY$5)</f>
        <v>143.63999999999999</v>
      </c>
      <c r="AZ48" s="55">
        <f>_xll.EQNXTDZ($A$1,$B48,AZ$5)</f>
        <v>131.21</v>
      </c>
      <c r="BA48" s="55">
        <f>_xll.EQNXTDZ($A$1,$B48,BA$5)</f>
        <v>105.83</v>
      </c>
      <c r="BB48" s="55">
        <f>_xll.EQNXTDZ($A$1,$B48,BB$5)</f>
        <v>101.84</v>
      </c>
      <c r="BC48" s="55">
        <f>_xll.EQNXTDZ($A$1,$B48,BC$5)</f>
        <v>117.16</v>
      </c>
      <c r="BD48" s="55">
        <f>_xll.EQNXTDZ($A$1,$B48,BD$5)</f>
        <v>144.65</v>
      </c>
      <c r="BE48" s="55">
        <f>_xll.EQNXTDZ($A$1,$B48,BE$5)</f>
        <v>143</v>
      </c>
      <c r="BF48" s="55">
        <f>_xll.EQNXTDZ($A$1,$B48,BF$5)</f>
        <v>150.5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76.63</v>
      </c>
      <c r="D49" s="55">
        <f>_xll.EQNXTDZ($A$1,$B49,D$5)</f>
        <v>76.63</v>
      </c>
      <c r="E49" s="55">
        <f>_xll.EQNXTDZ($A$1,$B49,E$5)</f>
        <v>68.319999999999993</v>
      </c>
      <c r="F49" s="55">
        <f>_xll.EQNXTDZ($A$1,$B49,F$5)</f>
        <v>70</v>
      </c>
      <c r="G49" s="55">
        <f>_xll.EQNXTDZ($A$1,$B49,G$5)</f>
        <v>75</v>
      </c>
      <c r="H49" s="55">
        <f>_xll.EQNXTDZ($A$1,$B49,H$5)</f>
        <v>75</v>
      </c>
      <c r="I49" s="55">
        <f>_xll.EQNXTDZ($A$1,$B49,I$5)</f>
        <v>75</v>
      </c>
      <c r="J49" s="55">
        <f>_xll.EQNXTDZ($A$1,$B49,J$5)</f>
        <v>75</v>
      </c>
      <c r="K49" s="55">
        <f>_xll.EQNXTDZ($A$1,$B49,K$5)</f>
        <v>75</v>
      </c>
      <c r="L49" s="55">
        <f>_xll.EQNXTDZ($A$1,$B49,L$5)</f>
        <v>75</v>
      </c>
      <c r="M49" s="55">
        <f>_xll.EQNXTDZ($A$1,$B49,M$5)</f>
        <v>75</v>
      </c>
      <c r="N49" s="55">
        <f>_xll.EQNXTDZ($A$1,$B49,N$5)</f>
        <v>75</v>
      </c>
      <c r="O49" s="55">
        <f>_xll.EQNXTDZ($A$1,$B49,O$5)</f>
        <v>58.13</v>
      </c>
      <c r="P49" s="55">
        <f>_xll.EQNXTDZ($A$1,$B49,P$5)</f>
        <v>58.13</v>
      </c>
      <c r="Q49" s="55">
        <f>_xll.EQNXTDZ($A$1,$B49,Q$5)</f>
        <v>58.13</v>
      </c>
      <c r="R49" s="55">
        <f>_xll.EQNXTDZ($A$1,$B49,R$5)</f>
        <v>63.13</v>
      </c>
      <c r="S49" s="55">
        <f>_xll.EQNXTDZ($A$1,$B49,S$5)</f>
        <v>63.13</v>
      </c>
      <c r="T49" s="55">
        <f>_xll.EQNXTDZ($A$1,$B49,T$5)</f>
        <v>64.03</v>
      </c>
      <c r="U49" s="55">
        <f>_xll.EQNXTDZ($A$1,$B49,U$5)</f>
        <v>64.89</v>
      </c>
      <c r="V49" s="55">
        <f>_xll.EQNXTDZ($A$1,$B49,V$5)</f>
        <v>68.08</v>
      </c>
      <c r="W49" s="55">
        <f>_xll.EQNXTDZ($A$1,$B49,W$5)</f>
        <v>68.08</v>
      </c>
      <c r="X49" s="55">
        <f>_xll.EQNXTDZ($A$1,$B49,X$5)</f>
        <v>69.47</v>
      </c>
      <c r="Y49" s="55">
        <f>_xll.EQNXTDZ($A$1,$B49,Y$5)</f>
        <v>71.55</v>
      </c>
      <c r="Z49" s="55">
        <f>_xll.EQNXTDZ($A$1,$B49,Z$5)</f>
        <v>73.069999999999993</v>
      </c>
      <c r="AA49" s="55">
        <f>_xll.EQNXTDZ($A$1,$B49,AA$5)</f>
        <v>74.97</v>
      </c>
      <c r="AB49" s="55">
        <f>_xll.EQNXTDZ($A$1,$B49,AB$5)</f>
        <v>74.97</v>
      </c>
      <c r="AC49" s="55">
        <f>_xll.EQNXTDZ($A$1,$B49,AC$5)</f>
        <v>74.97</v>
      </c>
      <c r="AD49" s="55">
        <f>_xll.EQNXTDZ($A$1,$B49,AD$5)</f>
        <v>74.97</v>
      </c>
      <c r="AE49" s="55">
        <f>_xll.EQNXTDZ($A$1,$B49,AE$5)</f>
        <v>74.97</v>
      </c>
      <c r="AF49" s="55">
        <f>_xll.EQNXTDZ($A$1,$B49,AF$5)</f>
        <v>74.97</v>
      </c>
      <c r="AG49" s="55">
        <f>_xll.EQNXTDZ($A$1,$B49,AG$5)</f>
        <v>74.97</v>
      </c>
      <c r="AH49" s="55">
        <f>_xll.EQNXTDZ($A$1,$B49,AH$5)</f>
        <v>74.97</v>
      </c>
      <c r="AI49" s="55">
        <f>_xll.EQNXTDZ($A$1,$B49,AI$5)</f>
        <v>74.97</v>
      </c>
      <c r="AJ49" s="55">
        <f>_xll.EQNXTDZ($A$1,$B49,AJ$5)</f>
        <v>74.97</v>
      </c>
      <c r="AK49" s="55">
        <f>_xll.EQNXTDZ($A$1,$B49,AK$5)</f>
        <v>74.97</v>
      </c>
      <c r="AL49" s="55">
        <f>_xll.EQNXTDZ($A$1,$B49,AL$5)</f>
        <v>74.97</v>
      </c>
      <c r="AM49" s="55">
        <f>_xll.EQNXTDZ($A$1,$B49,AM$5)</f>
        <v>74.97</v>
      </c>
      <c r="AN49" s="55">
        <f>_xll.EQNXTDZ($A$1,$B49,AN$5)</f>
        <v>74.97</v>
      </c>
      <c r="AO49" s="55">
        <f>_xll.EQNXTDZ($A$1,$B49,AO$5)</f>
        <v>74.97</v>
      </c>
      <c r="AP49" s="55">
        <f>_xll.EQNXTDZ($A$1,$B49,AP$5)</f>
        <v>74.97</v>
      </c>
      <c r="AQ49" s="55">
        <f>_xll.EQNXTDZ($A$1,$B49,AQ$5)</f>
        <v>74.97</v>
      </c>
      <c r="AR49" s="55">
        <f>_xll.EQNXTDZ($A$1,$B49,AR$5)</f>
        <v>74.97</v>
      </c>
      <c r="AS49" s="55">
        <f>_xll.EQNXTDZ($A$1,$B49,AS$5)</f>
        <v>74.97</v>
      </c>
      <c r="AT49" s="55">
        <f>_xll.EQNXTDZ($A$1,$B49,AT$5)</f>
        <v>74.97</v>
      </c>
      <c r="AU49" s="55">
        <f>_xll.EQNXTDZ($A$1,$B49,AU$5)</f>
        <v>74.97</v>
      </c>
      <c r="AV49" s="55">
        <f>_xll.EQNXTDZ($A$1,$B49,AV$5)</f>
        <v>70.02</v>
      </c>
      <c r="AW49" s="55">
        <f>_xll.EQNXTDZ($A$1,$B49,AW$5)</f>
        <v>71.75</v>
      </c>
      <c r="AX49" s="55">
        <f>_xll.EQNXTDZ($A$1,$B49,AX$5)</f>
        <v>71.75</v>
      </c>
      <c r="AY49" s="55">
        <f>_xll.EQNXTDZ($A$1,$B49,AY$5)</f>
        <v>72.709999999999994</v>
      </c>
      <c r="AZ49" s="55">
        <f>_xll.EQNXTDZ($A$1,$B49,AZ$5)</f>
        <v>74.959999999999994</v>
      </c>
      <c r="BA49" s="55">
        <f>_xll.EQNXTDZ($A$1,$B49,BA$5)</f>
        <v>74.959999999999994</v>
      </c>
      <c r="BB49" s="55">
        <f>_xll.EQNXTDZ($A$1,$B49,BB$5)</f>
        <v>74.959999999999994</v>
      </c>
      <c r="BC49" s="55">
        <f>_xll.EQNXTDZ($A$1,$B49,BC$5)</f>
        <v>74.959999999999994</v>
      </c>
      <c r="BD49" s="55">
        <f>_xll.EQNXTDZ($A$1,$B49,BD$5)</f>
        <v>74.959999999999994</v>
      </c>
      <c r="BE49" s="55">
        <f>_xll.EQNXTDZ($A$1,$B49,BE$5)</f>
        <v>74.959999999999994</v>
      </c>
      <c r="BF49" s="55">
        <f>_xll.EQNXTDZ($A$1,$B49,BF$5)</f>
        <v>74.959999999999994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19.559999999999999</v>
      </c>
      <c r="D50" s="55">
        <f>_xll.EQNXTDZ($A$1,$B50,D$5)</f>
        <v>23.8</v>
      </c>
      <c r="E50" s="55">
        <f>_xll.EQNXTDZ($A$1,$B50,E$5)</f>
        <v>26.66</v>
      </c>
      <c r="F50" s="55">
        <f>_xll.EQNXTDZ($A$1,$B50,F$5)</f>
        <v>24.79</v>
      </c>
      <c r="G50" s="55">
        <f>_xll.EQNXTDZ($A$1,$B50,G$5)</f>
        <v>13.65</v>
      </c>
      <c r="H50" s="55">
        <f>_xll.EQNXTDZ($A$1,$B50,H$5)</f>
        <v>13.65</v>
      </c>
      <c r="I50" s="55">
        <f>_xll.EQNXTDZ($A$1,$B50,I$5)</f>
        <v>13.65</v>
      </c>
      <c r="J50" s="55">
        <f>_xll.EQNXTDZ($A$1,$B50,J$5)</f>
        <v>19.28</v>
      </c>
      <c r="K50" s="55">
        <f>_xll.EQNXTDZ($A$1,$B50,K$5)</f>
        <v>31.96</v>
      </c>
      <c r="L50" s="55">
        <f>_xll.EQNXTDZ($A$1,$B50,L$5)</f>
        <v>39.85</v>
      </c>
      <c r="M50" s="55">
        <f>_xll.EQNXTDZ($A$1,$B50,M$5)</f>
        <v>39.85</v>
      </c>
      <c r="N50" s="55">
        <f>_xll.EQNXTDZ($A$1,$B50,N$5)</f>
        <v>42.03</v>
      </c>
      <c r="O50" s="55">
        <f>_xll.EQNXTDZ($A$1,$B50,O$5)</f>
        <v>44.41</v>
      </c>
      <c r="P50" s="55">
        <f>_xll.EQNXTDZ($A$1,$B50,P$5)</f>
        <v>53.81</v>
      </c>
      <c r="Q50" s="55">
        <f>_xll.EQNXTDZ($A$1,$B50,Q$5)</f>
        <v>53.84</v>
      </c>
      <c r="R50" s="55">
        <f>_xll.EQNXTDZ($A$1,$B50,R$5)</f>
        <v>43.66</v>
      </c>
      <c r="S50" s="55">
        <f>_xll.EQNXTDZ($A$1,$B50,S$5)</f>
        <v>43.66</v>
      </c>
      <c r="T50" s="55">
        <f>_xll.EQNXTDZ($A$1,$B50,T$5)</f>
        <v>46.72</v>
      </c>
      <c r="U50" s="55">
        <f>_xll.EQNXTDZ($A$1,$B50,U$5)</f>
        <v>45</v>
      </c>
      <c r="V50" s="55">
        <f>_xll.EQNXTDZ($A$1,$B50,V$5)</f>
        <v>31.62</v>
      </c>
      <c r="W50" s="55">
        <f>_xll.EQNXTDZ($A$1,$B50,W$5)</f>
        <v>35.15</v>
      </c>
      <c r="X50" s="55">
        <f>_xll.EQNXTDZ($A$1,$B50,X$5)</f>
        <v>33.11</v>
      </c>
      <c r="Y50" s="55">
        <f>_xll.EQNXTDZ($A$1,$B50,Y$5)</f>
        <v>31.99</v>
      </c>
      <c r="Z50" s="55">
        <f>_xll.EQNXTDZ($A$1,$B50,Z$5)</f>
        <v>31.92</v>
      </c>
      <c r="AA50" s="55">
        <f>_xll.EQNXTDZ($A$1,$B50,AA$5)</f>
        <v>32.049999999999997</v>
      </c>
      <c r="AB50" s="55">
        <f>_xll.EQNXTDZ($A$1,$B50,AB$5)</f>
        <v>32.049999999999997</v>
      </c>
      <c r="AC50" s="55">
        <f>_xll.EQNXTDZ($A$1,$B50,AC$5)</f>
        <v>29.34</v>
      </c>
      <c r="AD50" s="55">
        <f>_xll.EQNXTDZ($A$1,$B50,AD$5)</f>
        <v>30.2</v>
      </c>
      <c r="AE50" s="55">
        <f>_xll.EQNXTDZ($A$1,$B50,AE$5)</f>
        <v>29.32</v>
      </c>
      <c r="AF50" s="55">
        <f>_xll.EQNXTDZ($A$1,$B50,AF$5)</f>
        <v>29.32</v>
      </c>
      <c r="AG50" s="55">
        <f>_xll.EQNXTDZ($A$1,$B50,AG$5)</f>
        <v>29.9</v>
      </c>
      <c r="AH50" s="55">
        <f>_xll.EQNXTDZ($A$1,$B50,AH$5)</f>
        <v>32.46</v>
      </c>
      <c r="AI50" s="55">
        <f>_xll.EQNXTDZ($A$1,$B50,AI$5)</f>
        <v>31.64</v>
      </c>
      <c r="AJ50" s="55">
        <f>_xll.EQNXTDZ($A$1,$B50,AJ$5)</f>
        <v>30.05</v>
      </c>
      <c r="AK50" s="55">
        <f>_xll.EQNXTDZ($A$1,$B50,AK$5)</f>
        <v>29.21</v>
      </c>
      <c r="AL50" s="55">
        <f>_xll.EQNXTDZ($A$1,$B50,AL$5)</f>
        <v>29.11</v>
      </c>
      <c r="AM50" s="55">
        <f>_xll.EQNXTDZ($A$1,$B50,AM$5)</f>
        <v>28.6</v>
      </c>
      <c r="AN50" s="55">
        <f>_xll.EQNXTDZ($A$1,$B50,AN$5)</f>
        <v>27.37</v>
      </c>
      <c r="AO50" s="55">
        <f>_xll.EQNXTDZ($A$1,$B50,AO$5)</f>
        <v>27.37</v>
      </c>
      <c r="AP50" s="55">
        <f>_xll.EQNXTDZ($A$1,$B50,AP$5)</f>
        <v>27.37</v>
      </c>
      <c r="AQ50" s="55">
        <f>_xll.EQNXTDZ($A$1,$B50,AQ$5)</f>
        <v>25.33</v>
      </c>
      <c r="AR50" s="55">
        <f>_xll.EQNXTDZ($A$1,$B50,AR$5)</f>
        <v>25.01</v>
      </c>
      <c r="AS50" s="55">
        <f>_xll.EQNXTDZ($A$1,$B50,AS$5)</f>
        <v>25.01</v>
      </c>
      <c r="AT50" s="55">
        <f>_xll.EQNXTDZ($A$1,$B50,AT$5)</f>
        <v>25.15</v>
      </c>
      <c r="AU50" s="55">
        <f>_xll.EQNXTDZ($A$1,$B50,AU$5)</f>
        <v>25.06</v>
      </c>
      <c r="AV50" s="55">
        <f>_xll.EQNXTDZ($A$1,$B50,AV$5)</f>
        <v>16.239999999999998</v>
      </c>
      <c r="AW50" s="55">
        <f>_xll.EQNXTDZ($A$1,$B50,AW$5)</f>
        <v>15.85</v>
      </c>
      <c r="AX50" s="55">
        <f>_xll.EQNXTDZ($A$1,$B50,AX$5)</f>
        <v>16.100000000000001</v>
      </c>
      <c r="AY50" s="55">
        <f>_xll.EQNXTDZ($A$1,$B50,AY$5)</f>
        <v>0.45</v>
      </c>
      <c r="AZ50" s="55">
        <f>_xll.EQNXTDZ($A$1,$B50,AZ$5)</f>
        <v>1.46</v>
      </c>
      <c r="BA50" s="55">
        <f>_xll.EQNXTDZ($A$1,$B50,BA$5)</f>
        <v>1.81</v>
      </c>
      <c r="BB50" s="55">
        <f>_xll.EQNXTDZ($A$1,$B50,BB$5)</f>
        <v>1.81</v>
      </c>
      <c r="BC50" s="55">
        <f>_xll.EQNXTDZ($A$1,$B50,BC$5)</f>
        <v>1.81</v>
      </c>
      <c r="BD50" s="55">
        <f>_xll.EQNXTDZ($A$1,$B50,BD$5)</f>
        <v>1.81</v>
      </c>
      <c r="BE50" s="55">
        <f>_xll.EQNXTDZ($A$1,$B50,BE$5)</f>
        <v>1.81</v>
      </c>
      <c r="BF50" s="55">
        <f>_xll.EQNXTDZ($A$1,$B50,BF$5)</f>
        <v>1.81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2180.04</v>
      </c>
      <c r="E56" s="55">
        <f>_xll.EQNXTDZ($A$1,$B56,E$5,$B$1)</f>
        <v>0</v>
      </c>
      <c r="F56" s="55">
        <f>_xll.EQNXTDZ($A$1,$B56,F$5,$B$1)</f>
        <v>2393.27</v>
      </c>
      <c r="G56" s="55">
        <f>_xll.EQNXTDZ($A$1,$B56,G$5,$B$1)</f>
        <v>0</v>
      </c>
      <c r="H56" s="55">
        <f>_xll.EQNXTDZ($A$1,$B56,H$5,$B$1)</f>
        <v>2871.92</v>
      </c>
      <c r="I56" s="55">
        <f>_xll.EQNXTDZ($A$1,$B56,I$5,$B$1)</f>
        <v>0</v>
      </c>
      <c r="J56" s="55">
        <f>_xll.EQNXTDZ($A$1,$B56,J$5,$B$1)</f>
        <v>2871.92</v>
      </c>
      <c r="K56" s="55">
        <f>_xll.EQNXTDZ($A$1,$B56,K$5,$B$1)</f>
        <v>0</v>
      </c>
      <c r="L56" s="55">
        <f>_xll.EQNXTDZ($A$1,$B56,L$5,$B$1)</f>
        <v>2871.92</v>
      </c>
      <c r="M56" s="55">
        <f>_xll.EQNXTDZ($A$1,$B56,M$5,$B$1)</f>
        <v>0</v>
      </c>
      <c r="N56" s="55">
        <f>_xll.EQNXTDZ($A$1,$B56,N$5,$B$1)</f>
        <v>2871.92</v>
      </c>
      <c r="O56" s="55">
        <f>_xll.EQNXTDZ($A$1,$B56,O$5,$B$1)</f>
        <v>0</v>
      </c>
      <c r="P56" s="55">
        <f>_xll.EQNXTDZ($A$1,$B56,P$5,$B$1)</f>
        <v>2935.84</v>
      </c>
      <c r="Q56" s="55">
        <f>_xll.EQNXTDZ($A$1,$B56,Q$5,$B$1)</f>
        <v>0</v>
      </c>
      <c r="R56" s="55">
        <f>_xll.EQNXTDZ($A$1,$B56,R$5,$B$1)</f>
        <v>3333.94</v>
      </c>
      <c r="S56" s="55">
        <f>_xll.EQNXTDZ($A$1,$B56,S$5,$B$1)</f>
        <v>0</v>
      </c>
      <c r="T56" s="55">
        <f>_xll.EQNXTDZ($A$1,$B56,T$5,$B$1)</f>
        <v>3417.45</v>
      </c>
      <c r="U56" s="55">
        <f>_xll.EQNXTDZ($A$1,$B56,U$5,$B$1)</f>
        <v>0</v>
      </c>
      <c r="V56" s="55">
        <f>_xll.EQNXTDZ($A$1,$B56,V$5,$B$1)</f>
        <v>3856.94</v>
      </c>
      <c r="W56" s="55">
        <f>_xll.EQNXTDZ($A$1,$B56,W$5,$B$1)</f>
        <v>0</v>
      </c>
      <c r="X56" s="55">
        <f>_xll.EQNXTDZ($A$1,$B56,X$5,$B$1)</f>
        <v>3856.94</v>
      </c>
      <c r="Y56" s="55">
        <f>_xll.EQNXTDZ($A$1,$B56,Y$5,$B$1)</f>
        <v>0</v>
      </c>
      <c r="Z56" s="55">
        <f>_xll.EQNXTDZ($A$1,$B56,Z$5,$B$1)</f>
        <v>3856.94</v>
      </c>
      <c r="AA56" s="55">
        <f>_xll.EQNXTDZ($A$1,$B56,AA$5,$B$1)</f>
        <v>0</v>
      </c>
      <c r="AB56" s="55">
        <f>_xll.EQNXTDZ($A$1,$B56,AB$5,$B$1)</f>
        <v>8856.94</v>
      </c>
      <c r="AC56" s="55">
        <f>_xll.EQNXTDZ($A$1,$B56,AC$5,$B$1)</f>
        <v>0</v>
      </c>
      <c r="AD56" s="55">
        <f>_xll.EQNXTDZ($A$1,$B56,AD$5,$B$1)</f>
        <v>3856.94</v>
      </c>
      <c r="AE56" s="55">
        <f>_xll.EQNXTDZ($A$1,$B56,AE$5,$B$1)</f>
        <v>0</v>
      </c>
      <c r="AF56" s="55">
        <f>_xll.EQNXTDZ($A$1,$B56,AF$5,$B$1)</f>
        <v>3856.94</v>
      </c>
      <c r="AG56" s="55">
        <f>_xll.EQNXTDZ($A$1,$B56,AG$5,$B$1)</f>
        <v>0</v>
      </c>
      <c r="AH56" s="55">
        <f>_xll.EQNXTDZ($A$1,$B56,AH$5,$B$1)</f>
        <v>3856.94</v>
      </c>
      <c r="AI56" s="55">
        <f>_xll.EQNXTDZ($A$1,$B56,AI$5,$B$1)</f>
        <v>0</v>
      </c>
      <c r="AJ56" s="55">
        <f>_xll.EQNXTDZ($A$1,$B56,AJ$5,$B$1)</f>
        <v>3856.94</v>
      </c>
      <c r="AK56" s="55">
        <f>_xll.EQNXTDZ($A$1,$B56,AK$5,$B$1)</f>
        <v>0</v>
      </c>
      <c r="AL56" s="55">
        <f>_xll.EQNXTDZ($A$1,$B56,AL$5,$B$1)</f>
        <v>3856.94</v>
      </c>
      <c r="AM56" s="55">
        <f>_xll.EQNXTDZ($A$1,$B56,AM$5,$B$1)</f>
        <v>0</v>
      </c>
      <c r="AN56" s="55">
        <f>_xll.EQNXTDZ($A$1,$B56,AN$5,$B$1)</f>
        <v>3856.94</v>
      </c>
      <c r="AO56" s="55">
        <f>_xll.EQNXTDZ($A$1,$B56,AO$5,$B$1)</f>
        <v>0</v>
      </c>
      <c r="AP56" s="55">
        <f>_xll.EQNXTDZ($A$1,$B56,AP$5,$B$1)</f>
        <v>3856.94</v>
      </c>
      <c r="AQ56" s="55">
        <f>_xll.EQNXTDZ($A$1,$B56,AQ$5,$B$1)</f>
        <v>0</v>
      </c>
      <c r="AR56" s="55">
        <f>_xll.EQNXTDZ($A$1,$B56,AR$5,$B$1)</f>
        <v>3856.94</v>
      </c>
      <c r="AS56" s="55">
        <f>_xll.EQNXTDZ($A$1,$B56,AS$5,$B$1)</f>
        <v>0</v>
      </c>
      <c r="AT56" s="55">
        <f>_xll.EQNXTDZ($A$1,$B56,AT$5,$B$1)</f>
        <v>3856.94</v>
      </c>
      <c r="AU56" s="55">
        <f>_xll.EQNXTDZ($A$1,$B56,AU$5,$B$1)</f>
        <v>0</v>
      </c>
      <c r="AV56" s="55">
        <f>_xll.EQNXTDZ($A$1,$B56,AV$5,$B$1)</f>
        <v>3856.94</v>
      </c>
      <c r="AW56" s="55">
        <f>_xll.EQNXTDZ($A$1,$B56,AW$5,$B$1)</f>
        <v>0</v>
      </c>
      <c r="AX56" s="55">
        <f>_xll.EQNXTDZ($A$1,$B56,AX$5,$B$1)</f>
        <v>3856.94</v>
      </c>
      <c r="AY56" s="55">
        <f>_xll.EQNXTDZ($A$1,$B56,AY$5,$B$1)</f>
        <v>0</v>
      </c>
      <c r="AZ56" s="55">
        <f>_xll.EQNXTDZ($A$1,$B56,AZ$5,$B$1)</f>
        <v>3856.94</v>
      </c>
      <c r="BA56" s="55">
        <f>_xll.EQNXTDZ($A$1,$B56,BA$5,$B$1)</f>
        <v>0</v>
      </c>
      <c r="BB56" s="55">
        <f>_xll.EQNXTDZ($A$1,$B56,BB$5,$B$1)</f>
        <v>3856.94</v>
      </c>
      <c r="BC56" s="55">
        <f>_xll.EQNXTDZ($A$1,$B56,BC$5,$B$1)</f>
        <v>0</v>
      </c>
      <c r="BD56" s="55">
        <f>_xll.EQNXTDZ($A$1,$B56,BD$5,$B$1)</f>
        <v>3856.94</v>
      </c>
      <c r="BE56" s="55">
        <f>_xll.EQNXTDZ($A$1,$B56,BE$5,$B$1)</f>
        <v>0</v>
      </c>
      <c r="BF56" s="55">
        <f>_xll.EQNXTDZ($A$1,$B56,BF$5,$B$1)</f>
        <v>3856.94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2801.66</v>
      </c>
      <c r="E58" s="55">
        <f>_xll.EQNXTDZ($A$1,$B58,E$5,$B$1)</f>
        <v>0</v>
      </c>
      <c r="F58" s="55">
        <f>_xll.EQNXTDZ($A$1,$B58,F$5,$B$1)</f>
        <v>1900.14</v>
      </c>
      <c r="G58" s="55">
        <f>_xll.EQNXTDZ($A$1,$B58,G$5,$B$1)</f>
        <v>0</v>
      </c>
      <c r="H58" s="55">
        <f>_xll.EQNXTDZ($A$1,$B58,H$5,$B$1)</f>
        <v>1693.44</v>
      </c>
      <c r="I58" s="55">
        <f>_xll.EQNXTDZ($A$1,$B58,I$5,$B$1)</f>
        <v>0</v>
      </c>
      <c r="J58" s="55">
        <f>_xll.EQNXTDZ($A$1,$B58,J$5,$B$1)</f>
        <v>3671.47</v>
      </c>
      <c r="K58" s="55">
        <f>_xll.EQNXTDZ($A$1,$B58,K$5,$B$1)</f>
        <v>0</v>
      </c>
      <c r="L58" s="55">
        <f>_xll.EQNXTDZ($A$1,$B58,L$5,$B$1)</f>
        <v>2569.08</v>
      </c>
      <c r="M58" s="55">
        <f>_xll.EQNXTDZ($A$1,$B58,M$5,$B$1)</f>
        <v>0</v>
      </c>
      <c r="N58" s="55">
        <f>_xll.EQNXTDZ($A$1,$B58,N$5,$B$1)</f>
        <v>2852.7</v>
      </c>
      <c r="O58" s="55">
        <f>_xll.EQNXTDZ($A$1,$B58,O$5,$B$1)</f>
        <v>0</v>
      </c>
      <c r="P58" s="55">
        <f>_xll.EQNXTDZ($A$1,$B58,P$5,$B$1)</f>
        <v>2269.77</v>
      </c>
      <c r="Q58" s="55">
        <f>_xll.EQNXTDZ($A$1,$B58,Q$5,$B$1)</f>
        <v>0</v>
      </c>
      <c r="R58" s="55">
        <f>_xll.EQNXTDZ($A$1,$B58,R$5,$B$1)</f>
        <v>4133.91</v>
      </c>
      <c r="S58" s="55">
        <f>_xll.EQNXTDZ($A$1,$B58,S$5,$B$1)</f>
        <v>0</v>
      </c>
      <c r="T58" s="55">
        <f>_xll.EQNXTDZ($A$1,$B58,T$5,$B$1)</f>
        <v>4529.3</v>
      </c>
      <c r="U58" s="55">
        <f>_xll.EQNXTDZ($A$1,$B58,U$5,$B$1)</f>
        <v>0</v>
      </c>
      <c r="V58" s="55">
        <f>_xll.EQNXTDZ($A$1,$B58,V$5,$B$1)</f>
        <v>-857.38</v>
      </c>
      <c r="W58" s="55">
        <f>_xll.EQNXTDZ($A$1,$B58,W$5,$B$1)</f>
        <v>0</v>
      </c>
      <c r="X58" s="55">
        <f>_xll.EQNXTDZ($A$1,$B58,X$5,$B$1)</f>
        <v>-1019.39</v>
      </c>
      <c r="Y58" s="55">
        <f>_xll.EQNXTDZ($A$1,$B58,Y$5,$B$1)</f>
        <v>0</v>
      </c>
      <c r="Z58" s="55">
        <f>_xll.EQNXTDZ($A$1,$B58,Z$5,$B$1)</f>
        <v>-2967.61</v>
      </c>
      <c r="AA58" s="55">
        <f>_xll.EQNXTDZ($A$1,$B58,AA$5,$B$1)</f>
        <v>0</v>
      </c>
      <c r="AB58" s="55">
        <f>_xll.EQNXTDZ($A$1,$B58,AB$5,$B$1)</f>
        <v>-3404.26</v>
      </c>
      <c r="AC58" s="55">
        <f>_xll.EQNXTDZ($A$1,$B58,AC$5,$B$1)</f>
        <v>0</v>
      </c>
      <c r="AD58" s="55">
        <f>_xll.EQNXTDZ($A$1,$B58,AD$5,$B$1)</f>
        <v>3855.35</v>
      </c>
      <c r="AE58" s="55">
        <f>_xll.EQNXTDZ($A$1,$B58,AE$5,$B$1)</f>
        <v>0</v>
      </c>
      <c r="AF58" s="55">
        <f>_xll.EQNXTDZ($A$1,$B58,AF$5,$B$1)</f>
        <v>5776.37</v>
      </c>
      <c r="AG58" s="55">
        <f>_xll.EQNXTDZ($A$1,$B58,AG$5,$B$1)</f>
        <v>0</v>
      </c>
      <c r="AH58" s="55">
        <f>_xll.EQNXTDZ($A$1,$B58,AH$5,$B$1)</f>
        <v>2623.5</v>
      </c>
      <c r="AI58" s="55">
        <f>_xll.EQNXTDZ($A$1,$B58,AI$5,$B$1)</f>
        <v>0</v>
      </c>
      <c r="AJ58" s="55">
        <f>_xll.EQNXTDZ($A$1,$B58,AJ$5,$B$1)</f>
        <v>7734.1</v>
      </c>
      <c r="AK58" s="55">
        <f>_xll.EQNXTDZ($A$1,$B58,AK$5,$B$1)</f>
        <v>0</v>
      </c>
      <c r="AL58" s="55">
        <f>_xll.EQNXTDZ($A$1,$B58,AL$5,$B$1)</f>
        <v>9255.65</v>
      </c>
      <c r="AM58" s="55">
        <f>_xll.EQNXTDZ($A$1,$B58,AM$5,$B$1)</f>
        <v>0</v>
      </c>
      <c r="AN58" s="55">
        <f>_xll.EQNXTDZ($A$1,$B58,AN$5,$B$1)</f>
        <v>9533.26</v>
      </c>
      <c r="AO58" s="55">
        <f>_xll.EQNXTDZ($A$1,$B58,AO$5,$B$1)</f>
        <v>0</v>
      </c>
      <c r="AP58" s="55">
        <f>_xll.EQNXTDZ($A$1,$B58,AP$5,$B$1)</f>
        <v>14846.5</v>
      </c>
      <c r="AQ58" s="55">
        <f>_xll.EQNXTDZ($A$1,$B58,AQ$5,$B$1)</f>
        <v>0</v>
      </c>
      <c r="AR58" s="55">
        <f>_xll.EQNXTDZ($A$1,$B58,AR$5,$B$1)</f>
        <v>20345.89</v>
      </c>
      <c r="AS58" s="55">
        <f>_xll.EQNXTDZ($A$1,$B58,AS$5,$B$1)</f>
        <v>0</v>
      </c>
      <c r="AT58" s="55">
        <f>_xll.EQNXTDZ($A$1,$B58,AT$5,$B$1)</f>
        <v>26018.720000000001</v>
      </c>
      <c r="AU58" s="55">
        <f>_xll.EQNXTDZ($A$1,$B58,AU$5,$B$1)</f>
        <v>0</v>
      </c>
      <c r="AV58" s="55">
        <f>_xll.EQNXTDZ($A$1,$B58,AV$5,$B$1)</f>
        <v>36652.379999999997</v>
      </c>
      <c r="AW58" s="55">
        <f>_xll.EQNXTDZ($A$1,$B58,AW$5,$B$1)</f>
        <v>0</v>
      </c>
      <c r="AX58" s="55">
        <f>_xll.EQNXTDZ($A$1,$B58,AX$5,$B$1)</f>
        <v>39288.089999999997</v>
      </c>
      <c r="AY58" s="55">
        <f>_xll.EQNXTDZ($A$1,$B58,AY$5,$B$1)</f>
        <v>0</v>
      </c>
      <c r="AZ58" s="55">
        <f>_xll.EQNXTDZ($A$1,$B58,AZ$5,$B$1)</f>
        <v>52097.34</v>
      </c>
      <c r="BA58" s="55">
        <f>_xll.EQNXTDZ($A$1,$B58,BA$5,$B$1)</f>
        <v>0</v>
      </c>
      <c r="BB58" s="55">
        <f>_xll.EQNXTDZ($A$1,$B58,BB$5,$B$1)</f>
        <v>52490.15</v>
      </c>
      <c r="BC58" s="55">
        <f>_xll.EQNXTDZ($A$1,$B58,BC$5,$B$1)</f>
        <v>0</v>
      </c>
      <c r="BD58" s="55">
        <f>_xll.EQNXTDZ($A$1,$B58,BD$5,$B$1)</f>
        <v>54593.65</v>
      </c>
      <c r="BE58" s="55">
        <f>_xll.EQNXTDZ($A$1,$B58,BE$5,$B$1)</f>
        <v>0</v>
      </c>
      <c r="BF58" s="55">
        <f>_xll.EQNXTDZ($A$1,$B58,BF$5,$B$1)</f>
        <v>61079.94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4981.7</v>
      </c>
      <c r="E59" s="55">
        <f>_xll.EQNXTDZ($A$1,$B59,E$5,$B$1)</f>
        <v>0</v>
      </c>
      <c r="F59" s="55">
        <f>_xll.EQNXTDZ($A$1,$B59,F$5,$B$1)</f>
        <v>4293.41</v>
      </c>
      <c r="G59" s="55">
        <f>_xll.EQNXTDZ($A$1,$B59,G$5,$B$1)</f>
        <v>0</v>
      </c>
      <c r="H59" s="55">
        <f>_xll.EQNXTDZ($A$1,$B59,H$5,$B$1)</f>
        <v>4565.3599999999997</v>
      </c>
      <c r="I59" s="55">
        <f>_xll.EQNXTDZ($A$1,$B59,I$5,$B$1)</f>
        <v>0</v>
      </c>
      <c r="J59" s="55">
        <f>_xll.EQNXTDZ($A$1,$B59,J$5,$B$1)</f>
        <v>6543.39</v>
      </c>
      <c r="K59" s="55">
        <f>_xll.EQNXTDZ($A$1,$B59,K$5,$B$1)</f>
        <v>0</v>
      </c>
      <c r="L59" s="55">
        <f>_xll.EQNXTDZ($A$1,$B59,L$5,$B$1)</f>
        <v>5441</v>
      </c>
      <c r="M59" s="55">
        <f>_xll.EQNXTDZ($A$1,$B59,M$5,$B$1)</f>
        <v>0</v>
      </c>
      <c r="N59" s="55">
        <f>_xll.EQNXTDZ($A$1,$B59,N$5,$B$1)</f>
        <v>5724.62</v>
      </c>
      <c r="O59" s="55">
        <f>_xll.EQNXTDZ($A$1,$B59,O$5,$B$1)</f>
        <v>0</v>
      </c>
      <c r="P59" s="55">
        <f>_xll.EQNXTDZ($A$1,$B59,P$5,$B$1)</f>
        <v>5205.6099999999997</v>
      </c>
      <c r="Q59" s="55">
        <f>_xll.EQNXTDZ($A$1,$B59,Q$5,$B$1)</f>
        <v>0</v>
      </c>
      <c r="R59" s="55">
        <f>_xll.EQNXTDZ($A$1,$B59,R$5,$B$1)</f>
        <v>7467.85</v>
      </c>
      <c r="S59" s="55">
        <f>_xll.EQNXTDZ($A$1,$B59,S$5,$B$1)</f>
        <v>0</v>
      </c>
      <c r="T59" s="55">
        <f>_xll.EQNXTDZ($A$1,$B59,T$5,$B$1)</f>
        <v>7946.75</v>
      </c>
      <c r="U59" s="55">
        <f>_xll.EQNXTDZ($A$1,$B59,U$5,$B$1)</f>
        <v>0</v>
      </c>
      <c r="V59" s="55">
        <f>_xll.EQNXTDZ($A$1,$B59,V$5,$B$1)</f>
        <v>2999.56</v>
      </c>
      <c r="W59" s="55">
        <f>_xll.EQNXTDZ($A$1,$B59,W$5,$B$1)</f>
        <v>0</v>
      </c>
      <c r="X59" s="55">
        <f>_xll.EQNXTDZ($A$1,$B59,X$5,$B$1)</f>
        <v>2837.55</v>
      </c>
      <c r="Y59" s="55">
        <f>_xll.EQNXTDZ($A$1,$B59,Y$5,$B$1)</f>
        <v>0</v>
      </c>
      <c r="Z59" s="55">
        <f>_xll.EQNXTDZ($A$1,$B59,Z$5,$B$1)</f>
        <v>889.33</v>
      </c>
      <c r="AA59" s="55">
        <f>_xll.EQNXTDZ($A$1,$B59,AA$5,$B$1)</f>
        <v>0</v>
      </c>
      <c r="AB59" s="55">
        <f>_xll.EQNXTDZ($A$1,$B59,AB$5,$B$1)</f>
        <v>5452.68</v>
      </c>
      <c r="AC59" s="55">
        <f>_xll.EQNXTDZ($A$1,$B59,AC$5,$B$1)</f>
        <v>0</v>
      </c>
      <c r="AD59" s="55">
        <f>_xll.EQNXTDZ($A$1,$B59,AD$5,$B$1)</f>
        <v>7712.29</v>
      </c>
      <c r="AE59" s="55">
        <f>_xll.EQNXTDZ($A$1,$B59,AE$5,$B$1)</f>
        <v>0</v>
      </c>
      <c r="AF59" s="55">
        <f>_xll.EQNXTDZ($A$1,$B59,AF$5,$B$1)</f>
        <v>9633.31</v>
      </c>
      <c r="AG59" s="55">
        <f>_xll.EQNXTDZ($A$1,$B59,AG$5,$B$1)</f>
        <v>0</v>
      </c>
      <c r="AH59" s="55">
        <f>_xll.EQNXTDZ($A$1,$B59,AH$5,$B$1)</f>
        <v>6480.44</v>
      </c>
      <c r="AI59" s="55">
        <f>_xll.EQNXTDZ($A$1,$B59,AI$5,$B$1)</f>
        <v>0</v>
      </c>
      <c r="AJ59" s="55">
        <f>_xll.EQNXTDZ($A$1,$B59,AJ$5,$B$1)</f>
        <v>11591.04</v>
      </c>
      <c r="AK59" s="55">
        <f>_xll.EQNXTDZ($A$1,$B59,AK$5,$B$1)</f>
        <v>0</v>
      </c>
      <c r="AL59" s="55">
        <f>_xll.EQNXTDZ($A$1,$B59,AL$5,$B$1)</f>
        <v>13112.59</v>
      </c>
      <c r="AM59" s="55">
        <f>_xll.EQNXTDZ($A$1,$B59,AM$5,$B$1)</f>
        <v>0</v>
      </c>
      <c r="AN59" s="55">
        <f>_xll.EQNXTDZ($A$1,$B59,AN$5,$B$1)</f>
        <v>13390.2</v>
      </c>
      <c r="AO59" s="55">
        <f>_xll.EQNXTDZ($A$1,$B59,AO$5,$B$1)</f>
        <v>0</v>
      </c>
      <c r="AP59" s="55">
        <f>_xll.EQNXTDZ($A$1,$B59,AP$5,$B$1)</f>
        <v>18703.439999999999</v>
      </c>
      <c r="AQ59" s="55">
        <f>_xll.EQNXTDZ($A$1,$B59,AQ$5,$B$1)</f>
        <v>0</v>
      </c>
      <c r="AR59" s="55">
        <f>_xll.EQNXTDZ($A$1,$B59,AR$5,$B$1)</f>
        <v>24202.83</v>
      </c>
      <c r="AS59" s="55">
        <f>_xll.EQNXTDZ($A$1,$B59,AS$5,$B$1)</f>
        <v>0</v>
      </c>
      <c r="AT59" s="55">
        <f>_xll.EQNXTDZ($A$1,$B59,AT$5,$B$1)</f>
        <v>29875.66</v>
      </c>
      <c r="AU59" s="55">
        <f>_xll.EQNXTDZ($A$1,$B59,AU$5,$B$1)</f>
        <v>0</v>
      </c>
      <c r="AV59" s="55">
        <f>_xll.EQNXTDZ($A$1,$B59,AV$5,$B$1)</f>
        <v>40509.32</v>
      </c>
      <c r="AW59" s="55">
        <f>_xll.EQNXTDZ($A$1,$B59,AW$5,$B$1)</f>
        <v>0</v>
      </c>
      <c r="AX59" s="55">
        <f>_xll.EQNXTDZ($A$1,$B59,AX$5,$B$1)</f>
        <v>43145.03</v>
      </c>
      <c r="AY59" s="55">
        <f>_xll.EQNXTDZ($A$1,$B59,AY$5,$B$1)</f>
        <v>0</v>
      </c>
      <c r="AZ59" s="55">
        <f>_xll.EQNXTDZ($A$1,$B59,AZ$5,$B$1)</f>
        <v>55954.28</v>
      </c>
      <c r="BA59" s="55">
        <f>_xll.EQNXTDZ($A$1,$B59,BA$5,$B$1)</f>
        <v>0</v>
      </c>
      <c r="BB59" s="55">
        <f>_xll.EQNXTDZ($A$1,$B59,BB$5,$B$1)</f>
        <v>56347.09</v>
      </c>
      <c r="BC59" s="55">
        <f>_xll.EQNXTDZ($A$1,$B59,BC$5,$B$1)</f>
        <v>0</v>
      </c>
      <c r="BD59" s="55">
        <f>_xll.EQNXTDZ($A$1,$B59,BD$5,$B$1)</f>
        <v>58450.59</v>
      </c>
      <c r="BE59" s="55">
        <f>_xll.EQNXTDZ($A$1,$B59,BE$5,$B$1)</f>
        <v>0</v>
      </c>
      <c r="BF59" s="55">
        <f>_xll.EQNXTDZ($A$1,$B59,BF$5,$B$1)</f>
        <v>64936.88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539.27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0.01</v>
      </c>
      <c r="AI60" s="55">
        <f>_xll.EQNXTDZ($A$1,$B60,AI$5,$B$1)</f>
        <v>0</v>
      </c>
      <c r="AJ60" s="55">
        <f>_xll.EQNXTDZ($A$1,$B60,AJ$5,$B$1)</f>
        <v>0.01</v>
      </c>
      <c r="AK60" s="55">
        <f>_xll.EQNXTDZ($A$1,$B60,AK$5,$B$1)</f>
        <v>0</v>
      </c>
      <c r="AL60" s="55">
        <f>_xll.EQNXTDZ($A$1,$B60,AL$5,$B$1)</f>
        <v>0.01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2041.33</v>
      </c>
      <c r="BA60" s="55">
        <f>_xll.EQNXTDZ($A$1,$B60,BA$5,$B$1)</f>
        <v>0</v>
      </c>
      <c r="BB60" s="55">
        <f>_xll.EQNXTDZ($A$1,$B60,BB$5,$B$1)</f>
        <v>1326.47</v>
      </c>
      <c r="BC60" s="55">
        <f>_xll.EQNXTDZ($A$1,$B60,BC$5,$B$1)</f>
        <v>0</v>
      </c>
      <c r="BD60" s="55">
        <f>_xll.EQNXTDZ($A$1,$B60,BD$5,$B$1)</f>
        <v>1196.1500000000001</v>
      </c>
      <c r="BE60" s="55">
        <f>_xll.EQNXTDZ($A$1,$B60,BE$5,$B$1)</f>
        <v>0</v>
      </c>
      <c r="BF60" s="55">
        <f>_xll.EQNXTDZ($A$1,$B60,BF$5,$B$1)</f>
        <v>1465.04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33663.15</v>
      </c>
      <c r="E61" s="55">
        <f>_xll.EQNXTDZ($A$1,$B61,E$5,$B$1)</f>
        <v>0</v>
      </c>
      <c r="F61" s="55">
        <f>_xll.EQNXTDZ($A$1,$B61,F$5,$B$1)</f>
        <v>33191.599999999999</v>
      </c>
      <c r="G61" s="55">
        <f>_xll.EQNXTDZ($A$1,$B61,G$5,$B$1)</f>
        <v>0</v>
      </c>
      <c r="H61" s="55">
        <f>_xll.EQNXTDZ($A$1,$B61,H$5,$B$1)</f>
        <v>34852.28</v>
      </c>
      <c r="I61" s="55">
        <f>_xll.EQNXTDZ($A$1,$B61,I$5,$B$1)</f>
        <v>0</v>
      </c>
      <c r="J61" s="55">
        <f>_xll.EQNXTDZ($A$1,$B61,J$5,$B$1)</f>
        <v>33131.480000000003</v>
      </c>
      <c r="K61" s="55">
        <f>_xll.EQNXTDZ($A$1,$B61,K$5,$B$1)</f>
        <v>0</v>
      </c>
      <c r="L61" s="55">
        <f>_xll.EQNXTDZ($A$1,$B61,L$5,$B$1)</f>
        <v>33766.050000000003</v>
      </c>
      <c r="M61" s="55">
        <f>_xll.EQNXTDZ($A$1,$B61,M$5,$B$1)</f>
        <v>0</v>
      </c>
      <c r="N61" s="55">
        <f>_xll.EQNXTDZ($A$1,$B61,N$5,$B$1)</f>
        <v>35089.660000000003</v>
      </c>
      <c r="O61" s="55">
        <f>_xll.EQNXTDZ($A$1,$B61,O$5,$B$1)</f>
        <v>0</v>
      </c>
      <c r="P61" s="55">
        <f>_xll.EQNXTDZ($A$1,$B61,P$5,$B$1)</f>
        <v>34077.58</v>
      </c>
      <c r="Q61" s="55">
        <f>_xll.EQNXTDZ($A$1,$B61,Q$5,$B$1)</f>
        <v>0</v>
      </c>
      <c r="R61" s="55">
        <f>_xll.EQNXTDZ($A$1,$B61,R$5,$B$1)</f>
        <v>35417.550000000003</v>
      </c>
      <c r="S61" s="55">
        <f>_xll.EQNXTDZ($A$1,$B61,S$5,$B$1)</f>
        <v>0</v>
      </c>
      <c r="T61" s="55">
        <f>_xll.EQNXTDZ($A$1,$B61,T$5,$B$1)</f>
        <v>36212.43</v>
      </c>
      <c r="U61" s="55">
        <f>_xll.EQNXTDZ($A$1,$B61,U$5,$B$1)</f>
        <v>0</v>
      </c>
      <c r="V61" s="55">
        <f>_xll.EQNXTDZ($A$1,$B61,V$5,$B$1)</f>
        <v>36650.61</v>
      </c>
      <c r="W61" s="55">
        <f>_xll.EQNXTDZ($A$1,$B61,W$5,$B$1)</f>
        <v>0</v>
      </c>
      <c r="X61" s="55">
        <f>_xll.EQNXTDZ($A$1,$B61,X$5,$B$1)</f>
        <v>38179.69</v>
      </c>
      <c r="Y61" s="55">
        <f>_xll.EQNXTDZ($A$1,$B61,Y$5,$B$1)</f>
        <v>0</v>
      </c>
      <c r="Z61" s="55">
        <f>_xll.EQNXTDZ($A$1,$B61,Z$5,$B$1)</f>
        <v>34559.85</v>
      </c>
      <c r="AA61" s="55">
        <f>_xll.EQNXTDZ($A$1,$B61,AA$5,$B$1)</f>
        <v>0</v>
      </c>
      <c r="AB61" s="55">
        <f>_xll.EQNXTDZ($A$1,$B61,AB$5,$B$1)</f>
        <v>32732.26</v>
      </c>
      <c r="AC61" s="55">
        <f>_xll.EQNXTDZ($A$1,$B61,AC$5,$B$1)</f>
        <v>0</v>
      </c>
      <c r="AD61" s="55">
        <f>_xll.EQNXTDZ($A$1,$B61,AD$5,$B$1)</f>
        <v>36410.269999999997</v>
      </c>
      <c r="AE61" s="55">
        <f>_xll.EQNXTDZ($A$1,$B61,AE$5,$B$1)</f>
        <v>0</v>
      </c>
      <c r="AF61" s="55">
        <f>_xll.EQNXTDZ($A$1,$B61,AF$5,$B$1)</f>
        <v>40537.65</v>
      </c>
      <c r="AG61" s="55">
        <f>_xll.EQNXTDZ($A$1,$B61,AG$5,$B$1)</f>
        <v>0</v>
      </c>
      <c r="AH61" s="55">
        <f>_xll.EQNXTDZ($A$1,$B61,AH$5,$B$1)</f>
        <v>44566.34</v>
      </c>
      <c r="AI61" s="55">
        <f>_xll.EQNXTDZ($A$1,$B61,AI$5,$B$1)</f>
        <v>0</v>
      </c>
      <c r="AJ61" s="55">
        <f>_xll.EQNXTDZ($A$1,$B61,AJ$5,$B$1)</f>
        <v>41114.050000000003</v>
      </c>
      <c r="AK61" s="55">
        <f>_xll.EQNXTDZ($A$1,$B61,AK$5,$B$1)</f>
        <v>0</v>
      </c>
      <c r="AL61" s="55">
        <f>_xll.EQNXTDZ($A$1,$B61,AL$5,$B$1)</f>
        <v>39957</v>
      </c>
      <c r="AM61" s="55">
        <f>_xll.EQNXTDZ($A$1,$B61,AM$5,$B$1)</f>
        <v>0</v>
      </c>
      <c r="AN61" s="55">
        <f>_xll.EQNXTDZ($A$1,$B61,AN$5,$B$1)</f>
        <v>40105.65</v>
      </c>
      <c r="AO61" s="55">
        <f>_xll.EQNXTDZ($A$1,$B61,AO$5,$B$1)</f>
        <v>0</v>
      </c>
      <c r="AP61" s="55">
        <f>_xll.EQNXTDZ($A$1,$B61,AP$5,$B$1)</f>
        <v>37871.32</v>
      </c>
      <c r="AQ61" s="55">
        <f>_xll.EQNXTDZ($A$1,$B61,AQ$5,$B$1)</f>
        <v>0</v>
      </c>
      <c r="AR61" s="55">
        <f>_xll.EQNXTDZ($A$1,$B61,AR$5,$B$1)</f>
        <v>34623.769999999997</v>
      </c>
      <c r="AS61" s="55">
        <f>_xll.EQNXTDZ($A$1,$B61,AS$5,$B$1)</f>
        <v>0</v>
      </c>
      <c r="AT61" s="55">
        <f>_xll.EQNXTDZ($A$1,$B61,AT$5,$B$1)</f>
        <v>33702.6</v>
      </c>
      <c r="AU61" s="55">
        <f>_xll.EQNXTDZ($A$1,$B61,AU$5,$B$1)</f>
        <v>0</v>
      </c>
      <c r="AV61" s="55">
        <f>_xll.EQNXTDZ($A$1,$B61,AV$5,$B$1)</f>
        <v>25079.93</v>
      </c>
      <c r="AW61" s="55">
        <f>_xll.EQNXTDZ($A$1,$B61,AW$5,$B$1)</f>
        <v>0</v>
      </c>
      <c r="AX61" s="55">
        <f>_xll.EQNXTDZ($A$1,$B61,AX$5,$B$1)</f>
        <v>26595.01</v>
      </c>
      <c r="AY61" s="55">
        <f>_xll.EQNXTDZ($A$1,$B61,AY$5,$B$1)</f>
        <v>0</v>
      </c>
      <c r="AZ61" s="55">
        <f>_xll.EQNXTDZ($A$1,$B61,AZ$5,$B$1)</f>
        <v>28855.02</v>
      </c>
      <c r="BA61" s="55">
        <f>_xll.EQNXTDZ($A$1,$B61,BA$5,$B$1)</f>
        <v>0</v>
      </c>
      <c r="BB61" s="55">
        <f>_xll.EQNXTDZ($A$1,$B61,BB$5,$B$1)</f>
        <v>27646.959999999999</v>
      </c>
      <c r="BC61" s="55">
        <f>_xll.EQNXTDZ($A$1,$B61,BC$5,$B$1)</f>
        <v>0</v>
      </c>
      <c r="BD61" s="55">
        <f>_xll.EQNXTDZ($A$1,$B61,BD$5,$B$1)</f>
        <v>36109.82</v>
      </c>
      <c r="BE61" s="55">
        <f>_xll.EQNXTDZ($A$1,$B61,BE$5,$B$1)</f>
        <v>0</v>
      </c>
      <c r="BF61" s="55">
        <f>_xll.EQNXTDZ($A$1,$B61,BF$5,$B$1)</f>
        <v>42829.599999999999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33663.15</v>
      </c>
      <c r="E63" s="55">
        <f>_xll.EQNXTDZ($A$1,$B63,E$5,$B$1)</f>
        <v>0</v>
      </c>
      <c r="F63" s="55">
        <f>_xll.EQNXTDZ($A$1,$B63,F$5,$B$1)</f>
        <v>33191.599999999999</v>
      </c>
      <c r="G63" s="55">
        <f>_xll.EQNXTDZ($A$1,$B63,G$5,$B$1)</f>
        <v>0</v>
      </c>
      <c r="H63" s="55">
        <f>_xll.EQNXTDZ($A$1,$B63,H$5,$B$1)</f>
        <v>34852.28</v>
      </c>
      <c r="I63" s="55">
        <f>_xll.EQNXTDZ($A$1,$B63,I$5,$B$1)</f>
        <v>0</v>
      </c>
      <c r="J63" s="55">
        <f>_xll.EQNXTDZ($A$1,$B63,J$5,$B$1)</f>
        <v>33131.480000000003</v>
      </c>
      <c r="K63" s="55">
        <f>_xll.EQNXTDZ($A$1,$B63,K$5,$B$1)</f>
        <v>0</v>
      </c>
      <c r="L63" s="55">
        <f>_xll.EQNXTDZ($A$1,$B63,L$5,$B$1)</f>
        <v>33766.050000000003</v>
      </c>
      <c r="M63" s="55">
        <f>_xll.EQNXTDZ($A$1,$B63,M$5,$B$1)</f>
        <v>0</v>
      </c>
      <c r="N63" s="55">
        <f>_xll.EQNXTDZ($A$1,$B63,N$5,$B$1)</f>
        <v>35089.660000000003</v>
      </c>
      <c r="O63" s="55">
        <f>_xll.EQNXTDZ($A$1,$B63,O$5,$B$1)</f>
        <v>0</v>
      </c>
      <c r="P63" s="55">
        <f>_xll.EQNXTDZ($A$1,$B63,P$5,$B$1)</f>
        <v>34077.58</v>
      </c>
      <c r="Q63" s="55">
        <f>_xll.EQNXTDZ($A$1,$B63,Q$5,$B$1)</f>
        <v>0</v>
      </c>
      <c r="R63" s="55">
        <f>_xll.EQNXTDZ($A$1,$B63,R$5,$B$1)</f>
        <v>35417.550000000003</v>
      </c>
      <c r="S63" s="55">
        <f>_xll.EQNXTDZ($A$1,$B63,S$5,$B$1)</f>
        <v>0</v>
      </c>
      <c r="T63" s="55">
        <f>_xll.EQNXTDZ($A$1,$B63,T$5,$B$1)</f>
        <v>36212.43</v>
      </c>
      <c r="U63" s="55">
        <f>_xll.EQNXTDZ($A$1,$B63,U$5,$B$1)</f>
        <v>0</v>
      </c>
      <c r="V63" s="55">
        <f>_xll.EQNXTDZ($A$1,$B63,V$5,$B$1)</f>
        <v>36650.61</v>
      </c>
      <c r="W63" s="55">
        <f>_xll.EQNXTDZ($A$1,$B63,W$5,$B$1)</f>
        <v>0</v>
      </c>
      <c r="X63" s="55">
        <f>_xll.EQNXTDZ($A$1,$B63,X$5,$B$1)</f>
        <v>38179.69</v>
      </c>
      <c r="Y63" s="55">
        <f>_xll.EQNXTDZ($A$1,$B63,Y$5,$B$1)</f>
        <v>0</v>
      </c>
      <c r="Z63" s="55">
        <f>_xll.EQNXTDZ($A$1,$B63,Z$5,$B$1)</f>
        <v>34559.85</v>
      </c>
      <c r="AA63" s="55">
        <f>_xll.EQNXTDZ($A$1,$B63,AA$5,$B$1)</f>
        <v>0</v>
      </c>
      <c r="AB63" s="55">
        <f>_xll.EQNXTDZ($A$1,$B63,AB$5,$B$1)</f>
        <v>32732.26</v>
      </c>
      <c r="AC63" s="55">
        <f>_xll.EQNXTDZ($A$1,$B63,AC$5,$B$1)</f>
        <v>0</v>
      </c>
      <c r="AD63" s="55">
        <f>_xll.EQNXTDZ($A$1,$B63,AD$5,$B$1)</f>
        <v>36410.269999999997</v>
      </c>
      <c r="AE63" s="55">
        <f>_xll.EQNXTDZ($A$1,$B63,AE$5,$B$1)</f>
        <v>0</v>
      </c>
      <c r="AF63" s="55">
        <f>_xll.EQNXTDZ($A$1,$B63,AF$5,$B$1)</f>
        <v>40537.65</v>
      </c>
      <c r="AG63" s="55">
        <f>_xll.EQNXTDZ($A$1,$B63,AG$5,$B$1)</f>
        <v>0</v>
      </c>
      <c r="AH63" s="55">
        <f>_xll.EQNXTDZ($A$1,$B63,AH$5,$B$1)</f>
        <v>44566.34</v>
      </c>
      <c r="AI63" s="55">
        <f>_xll.EQNXTDZ($A$1,$B63,AI$5,$B$1)</f>
        <v>0</v>
      </c>
      <c r="AJ63" s="55">
        <f>_xll.EQNXTDZ($A$1,$B63,AJ$5,$B$1)</f>
        <v>41114.050000000003</v>
      </c>
      <c r="AK63" s="55">
        <f>_xll.EQNXTDZ($A$1,$B63,AK$5,$B$1)</f>
        <v>0</v>
      </c>
      <c r="AL63" s="55">
        <f>_xll.EQNXTDZ($A$1,$B63,AL$5,$B$1)</f>
        <v>39957</v>
      </c>
      <c r="AM63" s="55">
        <f>_xll.EQNXTDZ($A$1,$B63,AM$5,$B$1)</f>
        <v>0</v>
      </c>
      <c r="AN63" s="55">
        <f>_xll.EQNXTDZ($A$1,$B63,AN$5,$B$1)</f>
        <v>40105.65</v>
      </c>
      <c r="AO63" s="55">
        <f>_xll.EQNXTDZ($A$1,$B63,AO$5,$B$1)</f>
        <v>0</v>
      </c>
      <c r="AP63" s="55">
        <f>_xll.EQNXTDZ($A$1,$B63,AP$5,$B$1)</f>
        <v>37871.32</v>
      </c>
      <c r="AQ63" s="55">
        <f>_xll.EQNXTDZ($A$1,$B63,AQ$5,$B$1)</f>
        <v>0</v>
      </c>
      <c r="AR63" s="55">
        <f>_xll.EQNXTDZ($A$1,$B63,AR$5,$B$1)</f>
        <v>34623.769999999997</v>
      </c>
      <c r="AS63" s="55">
        <f>_xll.EQNXTDZ($A$1,$B63,AS$5,$B$1)</f>
        <v>0</v>
      </c>
      <c r="AT63" s="55">
        <f>_xll.EQNXTDZ($A$1,$B63,AT$5,$B$1)</f>
        <v>33702.6</v>
      </c>
      <c r="AU63" s="55">
        <f>_xll.EQNXTDZ($A$1,$B63,AU$5,$B$1)</f>
        <v>0</v>
      </c>
      <c r="AV63" s="55">
        <f>_xll.EQNXTDZ($A$1,$B63,AV$5,$B$1)</f>
        <v>25079.93</v>
      </c>
      <c r="AW63" s="55">
        <f>_xll.EQNXTDZ($A$1,$B63,AW$5,$B$1)</f>
        <v>0</v>
      </c>
      <c r="AX63" s="55">
        <f>_xll.EQNXTDZ($A$1,$B63,AX$5,$B$1)</f>
        <v>26595.01</v>
      </c>
      <c r="AY63" s="55">
        <f>_xll.EQNXTDZ($A$1,$B63,AY$5,$B$1)</f>
        <v>0</v>
      </c>
      <c r="AZ63" s="55">
        <f>_xll.EQNXTDZ($A$1,$B63,AZ$5,$B$1)</f>
        <v>28855.02</v>
      </c>
      <c r="BA63" s="55">
        <f>_xll.EQNXTDZ($A$1,$B63,BA$5,$B$1)</f>
        <v>0</v>
      </c>
      <c r="BB63" s="55">
        <f>_xll.EQNXTDZ($A$1,$B63,BB$5,$B$1)</f>
        <v>27646.959999999999</v>
      </c>
      <c r="BC63" s="55">
        <f>_xll.EQNXTDZ($A$1,$B63,BC$5,$B$1)</f>
        <v>0</v>
      </c>
      <c r="BD63" s="55">
        <f>_xll.EQNXTDZ($A$1,$B63,BD$5,$B$1)</f>
        <v>36109.82</v>
      </c>
      <c r="BE63" s="55">
        <f>_xll.EQNXTDZ($A$1,$B63,BE$5,$B$1)</f>
        <v>0</v>
      </c>
      <c r="BF63" s="55">
        <f>_xll.EQNXTDZ($A$1,$B63,BF$5,$B$1)</f>
        <v>42829.599999999999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1424.07</v>
      </c>
      <c r="E64" s="55">
        <f>_xll.EQNXTDZ($A$1,$B64,E$5,$B$1)</f>
        <v>0</v>
      </c>
      <c r="F64" s="55">
        <f>_xll.EQNXTDZ($A$1,$B64,F$5,$B$1)</f>
        <v>343.59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396.84</v>
      </c>
      <c r="K64" s="55">
        <f>_xll.EQNXTDZ($A$1,$B64,K$5,$B$1)</f>
        <v>0</v>
      </c>
      <c r="L64" s="55">
        <f>_xll.EQNXTDZ($A$1,$B64,L$5,$B$1)</f>
        <v>485.04</v>
      </c>
      <c r="M64" s="55">
        <f>_xll.EQNXTDZ($A$1,$B64,M$5,$B$1)</f>
        <v>0</v>
      </c>
      <c r="N64" s="55">
        <f>_xll.EQNXTDZ($A$1,$B64,N$5,$B$1)</f>
        <v>60.53</v>
      </c>
      <c r="O64" s="55">
        <f>_xll.EQNXTDZ($A$1,$B64,O$5,$B$1)</f>
        <v>0</v>
      </c>
      <c r="P64" s="55">
        <f>_xll.EQNXTDZ($A$1,$B64,P$5,$B$1)</f>
        <v>51</v>
      </c>
      <c r="Q64" s="55">
        <f>_xll.EQNXTDZ($A$1,$B64,Q$5,$B$1)</f>
        <v>0</v>
      </c>
      <c r="R64" s="55">
        <f>_xll.EQNXTDZ($A$1,$B64,R$5,$B$1)</f>
        <v>6509.85</v>
      </c>
      <c r="S64" s="55">
        <f>_xll.EQNXTDZ($A$1,$B64,S$5,$B$1)</f>
        <v>0</v>
      </c>
      <c r="T64" s="55">
        <f>_xll.EQNXTDZ($A$1,$B64,T$5,$B$1)</f>
        <v>335.69</v>
      </c>
      <c r="U64" s="55">
        <f>_xll.EQNXTDZ($A$1,$B64,U$5,$B$1)</f>
        <v>0</v>
      </c>
      <c r="V64" s="55">
        <f>_xll.EQNXTDZ($A$1,$B64,V$5,$B$1)</f>
        <v>5942.15</v>
      </c>
      <c r="W64" s="55">
        <f>_xll.EQNXTDZ($A$1,$B64,W$5,$B$1)</f>
        <v>0</v>
      </c>
      <c r="X64" s="55">
        <f>_xll.EQNXTDZ($A$1,$B64,X$5,$B$1)</f>
        <v>5798.43</v>
      </c>
      <c r="Y64" s="55">
        <f>_xll.EQNXTDZ($A$1,$B64,Y$5,$B$1)</f>
        <v>0</v>
      </c>
      <c r="Z64" s="55">
        <f>_xll.EQNXTDZ($A$1,$B64,Z$5,$B$1)</f>
        <v>5782.18</v>
      </c>
      <c r="AA64" s="55">
        <f>_xll.EQNXTDZ($A$1,$B64,AA$5,$B$1)</f>
        <v>0</v>
      </c>
      <c r="AB64" s="55">
        <f>_xll.EQNXTDZ($A$1,$B64,AB$5,$B$1)</f>
        <v>5597.29</v>
      </c>
      <c r="AC64" s="55">
        <f>_xll.EQNXTDZ($A$1,$B64,AC$5,$B$1)</f>
        <v>0</v>
      </c>
      <c r="AD64" s="55">
        <f>_xll.EQNXTDZ($A$1,$B64,AD$5,$B$1)</f>
        <v>5462.27</v>
      </c>
      <c r="AE64" s="55">
        <f>_xll.EQNXTDZ($A$1,$B64,AE$5,$B$1)</f>
        <v>0</v>
      </c>
      <c r="AF64" s="55">
        <f>_xll.EQNXTDZ($A$1,$B64,AF$5,$B$1)</f>
        <v>5390.76</v>
      </c>
      <c r="AG64" s="55">
        <f>_xll.EQNXTDZ($A$1,$B64,AG$5,$B$1)</f>
        <v>0</v>
      </c>
      <c r="AH64" s="55">
        <f>_xll.EQNXTDZ($A$1,$B64,AH$5,$B$1)</f>
        <v>5434.56</v>
      </c>
      <c r="AI64" s="55">
        <f>_xll.EQNXTDZ($A$1,$B64,AI$5,$B$1)</f>
        <v>0</v>
      </c>
      <c r="AJ64" s="55">
        <f>_xll.EQNXTDZ($A$1,$B64,AJ$5,$B$1)</f>
        <v>5583.92</v>
      </c>
      <c r="AK64" s="55">
        <f>_xll.EQNXTDZ($A$1,$B64,AK$5,$B$1)</f>
        <v>0</v>
      </c>
      <c r="AL64" s="55">
        <f>_xll.EQNXTDZ($A$1,$B64,AL$5,$B$1)</f>
        <v>5593.93</v>
      </c>
      <c r="AM64" s="55">
        <f>_xll.EQNXTDZ($A$1,$B64,AM$5,$B$1)</f>
        <v>0</v>
      </c>
      <c r="AN64" s="55">
        <f>_xll.EQNXTDZ($A$1,$B64,AN$5,$B$1)</f>
        <v>5924.48</v>
      </c>
      <c r="AO64" s="55">
        <f>_xll.EQNXTDZ($A$1,$B64,AO$5,$B$1)</f>
        <v>0</v>
      </c>
      <c r="AP64" s="55">
        <f>_xll.EQNXTDZ($A$1,$B64,AP$5,$B$1)</f>
        <v>5541.94</v>
      </c>
      <c r="AQ64" s="55">
        <f>_xll.EQNXTDZ($A$1,$B64,AQ$5,$B$1)</f>
        <v>0</v>
      </c>
      <c r="AR64" s="55">
        <f>_xll.EQNXTDZ($A$1,$B64,AR$5,$B$1)</f>
        <v>5699.01</v>
      </c>
      <c r="AS64" s="55">
        <f>_xll.EQNXTDZ($A$1,$B64,AS$5,$B$1)</f>
        <v>0</v>
      </c>
      <c r="AT64" s="55">
        <f>_xll.EQNXTDZ($A$1,$B64,AT$5,$B$1)</f>
        <v>4271.47</v>
      </c>
      <c r="AU64" s="55">
        <f>_xll.EQNXTDZ($A$1,$B64,AU$5,$B$1)</f>
        <v>0</v>
      </c>
      <c r="AV64" s="55">
        <f>_xll.EQNXTDZ($A$1,$B64,AV$5,$B$1)</f>
        <v>6440.68</v>
      </c>
      <c r="AW64" s="55">
        <f>_xll.EQNXTDZ($A$1,$B64,AW$5,$B$1)</f>
        <v>0</v>
      </c>
      <c r="AX64" s="55">
        <f>_xll.EQNXTDZ($A$1,$B64,AX$5,$B$1)</f>
        <v>6242.81</v>
      </c>
      <c r="AY64" s="55">
        <f>_xll.EQNXTDZ($A$1,$B64,AY$5,$B$1)</f>
        <v>0</v>
      </c>
      <c r="AZ64" s="55">
        <f>_xll.EQNXTDZ($A$1,$B64,AZ$5,$B$1)</f>
        <v>6159.18</v>
      </c>
      <c r="BA64" s="55">
        <f>_xll.EQNXTDZ($A$1,$B64,BA$5,$B$1)</f>
        <v>0</v>
      </c>
      <c r="BB64" s="55">
        <f>_xll.EQNXTDZ($A$1,$B64,BB$5,$B$1)</f>
        <v>6793.69</v>
      </c>
      <c r="BC64" s="55">
        <f>_xll.EQNXTDZ($A$1,$B64,BC$5,$B$1)</f>
        <v>0</v>
      </c>
      <c r="BD64" s="55">
        <f>_xll.EQNXTDZ($A$1,$B64,BD$5,$B$1)</f>
        <v>6821.34</v>
      </c>
      <c r="BE64" s="55">
        <f>_xll.EQNXTDZ($A$1,$B64,BE$5,$B$1)</f>
        <v>0</v>
      </c>
      <c r="BF64" s="55">
        <f>_xll.EQNXTDZ($A$1,$B64,BF$5,$B$1)</f>
        <v>6533.14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255.54</v>
      </c>
      <c r="E66" s="55">
        <f>_xll.EQNXTDZ($A$1,$B66,E$5,$B$1)</f>
        <v>0</v>
      </c>
      <c r="F66" s="55">
        <f>_xll.EQNXTDZ($A$1,$B66,F$5,$B$1)</f>
        <v>166.05</v>
      </c>
      <c r="G66" s="55">
        <f>_xll.EQNXTDZ($A$1,$B66,G$5,$B$1)</f>
        <v>0</v>
      </c>
      <c r="H66" s="55">
        <f>_xll.EQNXTDZ($A$1,$B66,H$5,$B$1)</f>
        <v>334.06</v>
      </c>
      <c r="I66" s="55">
        <f>_xll.EQNXTDZ($A$1,$B66,I$5,$B$1)</f>
        <v>0</v>
      </c>
      <c r="J66" s="55">
        <f>_xll.EQNXTDZ($A$1,$B66,J$5,$B$1)</f>
        <v>378.25</v>
      </c>
      <c r="K66" s="55">
        <f>_xll.EQNXTDZ($A$1,$B66,K$5,$B$1)</f>
        <v>0</v>
      </c>
      <c r="L66" s="55">
        <f>_xll.EQNXTDZ($A$1,$B66,L$5,$B$1)</f>
        <v>113.65</v>
      </c>
      <c r="M66" s="55">
        <f>_xll.EQNXTDZ($A$1,$B66,M$5,$B$1)</f>
        <v>0</v>
      </c>
      <c r="N66" s="55">
        <f>_xll.EQNXTDZ($A$1,$B66,N$5,$B$1)</f>
        <v>158.68</v>
      </c>
      <c r="O66" s="55">
        <f>_xll.EQNXTDZ($A$1,$B66,O$5,$B$1)</f>
        <v>0</v>
      </c>
      <c r="P66" s="55">
        <f>_xll.EQNXTDZ($A$1,$B66,P$5,$B$1)</f>
        <v>88.15</v>
      </c>
      <c r="Q66" s="55">
        <f>_xll.EQNXTDZ($A$1,$B66,Q$5,$B$1)</f>
        <v>0</v>
      </c>
      <c r="R66" s="55">
        <f>_xll.EQNXTDZ($A$1,$B66,R$5,$B$1)</f>
        <v>29.59</v>
      </c>
      <c r="S66" s="55">
        <f>_xll.EQNXTDZ($A$1,$B66,S$5,$B$1)</f>
        <v>0</v>
      </c>
      <c r="T66" s="55">
        <f>_xll.EQNXTDZ($A$1,$B66,T$5,$B$1)</f>
        <v>39.96</v>
      </c>
      <c r="U66" s="55">
        <f>_xll.EQNXTDZ($A$1,$B66,U$5,$B$1)</f>
        <v>0</v>
      </c>
      <c r="V66" s="55">
        <f>_xll.EQNXTDZ($A$1,$B66,V$5,$B$1)</f>
        <v>32.380000000000003</v>
      </c>
      <c r="W66" s="55">
        <f>_xll.EQNXTDZ($A$1,$B66,W$5,$B$1)</f>
        <v>0</v>
      </c>
      <c r="X66" s="55">
        <f>_xll.EQNXTDZ($A$1,$B66,X$5,$B$1)</f>
        <v>38.200000000000003</v>
      </c>
      <c r="Y66" s="55">
        <f>_xll.EQNXTDZ($A$1,$B66,Y$5,$B$1)</f>
        <v>0</v>
      </c>
      <c r="Z66" s="55">
        <f>_xll.EQNXTDZ($A$1,$B66,Z$5,$B$1)</f>
        <v>46.07</v>
      </c>
      <c r="AA66" s="55">
        <f>_xll.EQNXTDZ($A$1,$B66,AA$5,$B$1)</f>
        <v>0</v>
      </c>
      <c r="AB66" s="55">
        <f>_xll.EQNXTDZ($A$1,$B66,AB$5,$B$1)</f>
        <v>45.75</v>
      </c>
      <c r="AC66" s="55">
        <f>_xll.EQNXTDZ($A$1,$B66,AC$5,$B$1)</f>
        <v>0</v>
      </c>
      <c r="AD66" s="55">
        <f>_xll.EQNXTDZ($A$1,$B66,AD$5,$B$1)</f>
        <v>61.48</v>
      </c>
      <c r="AE66" s="55">
        <f>_xll.EQNXTDZ($A$1,$B66,AE$5,$B$1)</f>
        <v>0</v>
      </c>
      <c r="AF66" s="55">
        <f>_xll.EQNXTDZ($A$1,$B66,AF$5,$B$1)</f>
        <v>111.88</v>
      </c>
      <c r="AG66" s="55">
        <f>_xll.EQNXTDZ($A$1,$B66,AG$5,$B$1)</f>
        <v>0</v>
      </c>
      <c r="AH66" s="55">
        <f>_xll.EQNXTDZ($A$1,$B66,AH$5,$B$1)</f>
        <v>88.43</v>
      </c>
      <c r="AI66" s="55">
        <f>_xll.EQNXTDZ($A$1,$B66,AI$5,$B$1)</f>
        <v>0</v>
      </c>
      <c r="AJ66" s="55">
        <f>_xll.EQNXTDZ($A$1,$B66,AJ$5,$B$1)</f>
        <v>96.27</v>
      </c>
      <c r="AK66" s="55">
        <f>_xll.EQNXTDZ($A$1,$B66,AK$5,$B$1)</f>
        <v>0</v>
      </c>
      <c r="AL66" s="55">
        <f>_xll.EQNXTDZ($A$1,$B66,AL$5,$B$1)</f>
        <v>86.95</v>
      </c>
      <c r="AM66" s="55">
        <f>_xll.EQNXTDZ($A$1,$B66,AM$5,$B$1)</f>
        <v>0</v>
      </c>
      <c r="AN66" s="55">
        <f>_xll.EQNXTDZ($A$1,$B66,AN$5,$B$1)</f>
        <v>88.44</v>
      </c>
      <c r="AO66" s="55">
        <f>_xll.EQNXTDZ($A$1,$B66,AO$5,$B$1)</f>
        <v>0</v>
      </c>
      <c r="AP66" s="55">
        <f>_xll.EQNXTDZ($A$1,$B66,AP$5,$B$1)</f>
        <v>220.87</v>
      </c>
      <c r="AQ66" s="55">
        <f>_xll.EQNXTDZ($A$1,$B66,AQ$5,$B$1)</f>
        <v>0</v>
      </c>
      <c r="AR66" s="55">
        <f>_xll.EQNXTDZ($A$1,$B66,AR$5,$B$1)</f>
        <v>247.51</v>
      </c>
      <c r="AS66" s="55">
        <f>_xll.EQNXTDZ($A$1,$B66,AS$5,$B$1)</f>
        <v>0</v>
      </c>
      <c r="AT66" s="55">
        <f>_xll.EQNXTDZ($A$1,$B66,AT$5,$B$1)</f>
        <v>226.95</v>
      </c>
      <c r="AU66" s="55">
        <f>_xll.EQNXTDZ($A$1,$B66,AU$5,$B$1)</f>
        <v>0</v>
      </c>
      <c r="AV66" s="55">
        <f>_xll.EQNXTDZ($A$1,$B66,AV$5,$B$1)</f>
        <v>207.9</v>
      </c>
      <c r="AW66" s="55">
        <f>_xll.EQNXTDZ($A$1,$B66,AW$5,$B$1)</f>
        <v>0</v>
      </c>
      <c r="AX66" s="55">
        <f>_xll.EQNXTDZ($A$1,$B66,AX$5,$B$1)</f>
        <v>237.45</v>
      </c>
      <c r="AY66" s="55">
        <f>_xll.EQNXTDZ($A$1,$B66,AY$5,$B$1)</f>
        <v>0</v>
      </c>
      <c r="AZ66" s="55">
        <f>_xll.EQNXTDZ($A$1,$B66,AZ$5,$B$1)</f>
        <v>364.08</v>
      </c>
      <c r="BA66" s="55">
        <f>_xll.EQNXTDZ($A$1,$B66,BA$5,$B$1)</f>
        <v>0</v>
      </c>
      <c r="BB66" s="55">
        <f>_xll.EQNXTDZ($A$1,$B66,BB$5,$B$1)</f>
        <v>339.64</v>
      </c>
      <c r="BC66" s="55">
        <f>_xll.EQNXTDZ($A$1,$B66,BC$5,$B$1)</f>
        <v>0</v>
      </c>
      <c r="BD66" s="55">
        <f>_xll.EQNXTDZ($A$1,$B66,BD$5,$B$1)</f>
        <v>267.95</v>
      </c>
      <c r="BE66" s="55">
        <f>_xll.EQNXTDZ($A$1,$B66,BE$5,$B$1)</f>
        <v>0</v>
      </c>
      <c r="BF66" s="55">
        <f>_xll.EQNXTDZ($A$1,$B66,BF$5,$B$1)</f>
        <v>359.9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40863.730000000003</v>
      </c>
      <c r="E67" s="55">
        <f>_xll.EQNXTDZ($A$1,$B67,E$5,$B$1)</f>
        <v>0</v>
      </c>
      <c r="F67" s="55">
        <f>_xll.EQNXTDZ($A$1,$B67,F$5,$B$1)</f>
        <v>37994.65</v>
      </c>
      <c r="G67" s="55">
        <f>_xll.EQNXTDZ($A$1,$B67,G$5,$B$1)</f>
        <v>0</v>
      </c>
      <c r="H67" s="55">
        <f>_xll.EQNXTDZ($A$1,$B67,H$5,$B$1)</f>
        <v>39751.699999999997</v>
      </c>
      <c r="I67" s="55">
        <f>_xll.EQNXTDZ($A$1,$B67,I$5,$B$1)</f>
        <v>0</v>
      </c>
      <c r="J67" s="55">
        <f>_xll.EQNXTDZ($A$1,$B67,J$5,$B$1)</f>
        <v>40449.96</v>
      </c>
      <c r="K67" s="55">
        <f>_xll.EQNXTDZ($A$1,$B67,K$5,$B$1)</f>
        <v>0</v>
      </c>
      <c r="L67" s="55">
        <f>_xll.EQNXTDZ($A$1,$B67,L$5,$B$1)</f>
        <v>39805.74</v>
      </c>
      <c r="M67" s="55">
        <f>_xll.EQNXTDZ($A$1,$B67,M$5,$B$1)</f>
        <v>0</v>
      </c>
      <c r="N67" s="55">
        <f>_xll.EQNXTDZ($A$1,$B67,N$5,$B$1)</f>
        <v>41033.49</v>
      </c>
      <c r="O67" s="55">
        <f>_xll.EQNXTDZ($A$1,$B67,O$5,$B$1)</f>
        <v>0</v>
      </c>
      <c r="P67" s="55">
        <f>_xll.EQNXTDZ($A$1,$B67,P$5,$B$1)</f>
        <v>39422.339999999997</v>
      </c>
      <c r="Q67" s="55">
        <f>_xll.EQNXTDZ($A$1,$B67,Q$5,$B$1)</f>
        <v>0</v>
      </c>
      <c r="R67" s="55">
        <f>_xll.EQNXTDZ($A$1,$B67,R$5,$B$1)</f>
        <v>49424.84</v>
      </c>
      <c r="S67" s="55">
        <f>_xll.EQNXTDZ($A$1,$B67,S$5,$B$1)</f>
        <v>0</v>
      </c>
      <c r="T67" s="55">
        <f>_xll.EQNXTDZ($A$1,$B67,T$5,$B$1)</f>
        <v>44534.83</v>
      </c>
      <c r="U67" s="55">
        <f>_xll.EQNXTDZ($A$1,$B67,U$5,$B$1)</f>
        <v>0</v>
      </c>
      <c r="V67" s="55">
        <f>_xll.EQNXTDZ($A$1,$B67,V$5,$B$1)</f>
        <v>45624.7</v>
      </c>
      <c r="W67" s="55">
        <f>_xll.EQNXTDZ($A$1,$B67,W$5,$B$1)</f>
        <v>0</v>
      </c>
      <c r="X67" s="55">
        <f>_xll.EQNXTDZ($A$1,$B67,X$5,$B$1)</f>
        <v>46853.87</v>
      </c>
      <c r="Y67" s="55">
        <f>_xll.EQNXTDZ($A$1,$B67,Y$5,$B$1)</f>
        <v>0</v>
      </c>
      <c r="Z67" s="55">
        <f>_xll.EQNXTDZ($A$1,$B67,Z$5,$B$1)</f>
        <v>41277.43</v>
      </c>
      <c r="AA67" s="55">
        <f>_xll.EQNXTDZ($A$1,$B67,AA$5,$B$1)</f>
        <v>0</v>
      </c>
      <c r="AB67" s="55">
        <f>_xll.EQNXTDZ($A$1,$B67,AB$5,$B$1)</f>
        <v>43827.98</v>
      </c>
      <c r="AC67" s="55">
        <f>_xll.EQNXTDZ($A$1,$B67,AC$5,$B$1)</f>
        <v>0</v>
      </c>
      <c r="AD67" s="55">
        <f>_xll.EQNXTDZ($A$1,$B67,AD$5,$B$1)</f>
        <v>49646.31</v>
      </c>
      <c r="AE67" s="55">
        <f>_xll.EQNXTDZ($A$1,$B67,AE$5,$B$1)</f>
        <v>0</v>
      </c>
      <c r="AF67" s="55">
        <f>_xll.EQNXTDZ($A$1,$B67,AF$5,$B$1)</f>
        <v>55673.599999999999</v>
      </c>
      <c r="AG67" s="55">
        <f>_xll.EQNXTDZ($A$1,$B67,AG$5,$B$1)</f>
        <v>0</v>
      </c>
      <c r="AH67" s="55">
        <f>_xll.EQNXTDZ($A$1,$B67,AH$5,$B$1)</f>
        <v>56569.78</v>
      </c>
      <c r="AI67" s="55">
        <f>_xll.EQNXTDZ($A$1,$B67,AI$5,$B$1)</f>
        <v>0</v>
      </c>
      <c r="AJ67" s="55">
        <f>_xll.EQNXTDZ($A$1,$B67,AJ$5,$B$1)</f>
        <v>58385.29</v>
      </c>
      <c r="AK67" s="55">
        <f>_xll.EQNXTDZ($A$1,$B67,AK$5,$B$1)</f>
        <v>0</v>
      </c>
      <c r="AL67" s="55">
        <f>_xll.EQNXTDZ($A$1,$B67,AL$5,$B$1)</f>
        <v>58750.48</v>
      </c>
      <c r="AM67" s="55">
        <f>_xll.EQNXTDZ($A$1,$B67,AM$5,$B$1)</f>
        <v>0</v>
      </c>
      <c r="AN67" s="55">
        <f>_xll.EQNXTDZ($A$1,$B67,AN$5,$B$1)</f>
        <v>59508.77</v>
      </c>
      <c r="AO67" s="55">
        <f>_xll.EQNXTDZ($A$1,$B67,AO$5,$B$1)</f>
        <v>0</v>
      </c>
      <c r="AP67" s="55">
        <f>_xll.EQNXTDZ($A$1,$B67,AP$5,$B$1)</f>
        <v>62337.57</v>
      </c>
      <c r="AQ67" s="55">
        <f>_xll.EQNXTDZ($A$1,$B67,AQ$5,$B$1)</f>
        <v>0</v>
      </c>
      <c r="AR67" s="55">
        <f>_xll.EQNXTDZ($A$1,$B67,AR$5,$B$1)</f>
        <v>64773.120000000003</v>
      </c>
      <c r="AS67" s="55">
        <f>_xll.EQNXTDZ($A$1,$B67,AS$5,$B$1)</f>
        <v>0</v>
      </c>
      <c r="AT67" s="55">
        <f>_xll.EQNXTDZ($A$1,$B67,AT$5,$B$1)</f>
        <v>68076.679999999993</v>
      </c>
      <c r="AU67" s="55">
        <f>_xll.EQNXTDZ($A$1,$B67,AU$5,$B$1)</f>
        <v>0</v>
      </c>
      <c r="AV67" s="55">
        <f>_xll.EQNXTDZ($A$1,$B67,AV$5,$B$1)</f>
        <v>72237.83</v>
      </c>
      <c r="AW67" s="55">
        <f>_xll.EQNXTDZ($A$1,$B67,AW$5,$B$1)</f>
        <v>0</v>
      </c>
      <c r="AX67" s="55">
        <f>_xll.EQNXTDZ($A$1,$B67,AX$5,$B$1)</f>
        <v>76220.3</v>
      </c>
      <c r="AY67" s="55">
        <f>_xll.EQNXTDZ($A$1,$B67,AY$5,$B$1)</f>
        <v>0</v>
      </c>
      <c r="AZ67" s="55">
        <f>_xll.EQNXTDZ($A$1,$B67,AZ$5,$B$1)</f>
        <v>93373.89</v>
      </c>
      <c r="BA67" s="55">
        <f>_xll.EQNXTDZ($A$1,$B67,BA$5,$B$1)</f>
        <v>0</v>
      </c>
      <c r="BB67" s="55">
        <f>_xll.EQNXTDZ($A$1,$B67,BB$5,$B$1)</f>
        <v>92453.85</v>
      </c>
      <c r="BC67" s="55">
        <f>_xll.EQNXTDZ($A$1,$B67,BC$5,$B$1)</f>
        <v>0</v>
      </c>
      <c r="BD67" s="55">
        <f>_xll.EQNXTDZ($A$1,$B67,BD$5,$B$1)</f>
        <v>102845.85</v>
      </c>
      <c r="BE67" s="55">
        <f>_xll.EQNXTDZ($A$1,$B67,BE$5,$B$1)</f>
        <v>0</v>
      </c>
      <c r="BF67" s="55">
        <f>_xll.EQNXTDZ($A$1,$B67,BF$5,$B$1)</f>
        <v>116124.56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46988.66</v>
      </c>
      <c r="E68" s="55">
        <f>_xll.EQNXTDZ($A$1,$B68,E$5,$B$1)</f>
        <v>0</v>
      </c>
      <c r="F68" s="55">
        <f>_xll.EQNXTDZ($A$1,$B68,F$5,$B$1)</f>
        <v>48058.15</v>
      </c>
      <c r="G68" s="55">
        <f>_xll.EQNXTDZ($A$1,$B68,G$5,$B$1)</f>
        <v>0</v>
      </c>
      <c r="H68" s="55">
        <f>_xll.EQNXTDZ($A$1,$B68,H$5,$B$1)</f>
        <v>50442.32</v>
      </c>
      <c r="I68" s="55">
        <f>_xll.EQNXTDZ($A$1,$B68,I$5,$B$1)</f>
        <v>0</v>
      </c>
      <c r="J68" s="55">
        <f>_xll.EQNXTDZ($A$1,$B68,J$5,$B$1)</f>
        <v>50017.41</v>
      </c>
      <c r="K68" s="55">
        <f>_xll.EQNXTDZ($A$1,$B68,K$5,$B$1)</f>
        <v>0</v>
      </c>
      <c r="L68" s="55">
        <f>_xll.EQNXTDZ($A$1,$B68,L$5,$B$1)</f>
        <v>49513.61</v>
      </c>
      <c r="M68" s="55">
        <f>_xll.EQNXTDZ($A$1,$B68,M$5,$B$1)</f>
        <v>0</v>
      </c>
      <c r="N68" s="55">
        <f>_xll.EQNXTDZ($A$1,$B68,N$5,$B$1)</f>
        <v>45264.07</v>
      </c>
      <c r="O68" s="55">
        <f>_xll.EQNXTDZ($A$1,$B68,O$5,$B$1)</f>
        <v>0</v>
      </c>
      <c r="P68" s="55">
        <f>_xll.EQNXTDZ($A$1,$B68,P$5,$B$1)</f>
        <v>50625.71</v>
      </c>
      <c r="Q68" s="55">
        <f>_xll.EQNXTDZ($A$1,$B68,Q$5,$B$1)</f>
        <v>0</v>
      </c>
      <c r="R68" s="55">
        <f>_xll.EQNXTDZ($A$1,$B68,R$5,$B$1)</f>
        <v>56750.61</v>
      </c>
      <c r="S68" s="55">
        <f>_xll.EQNXTDZ($A$1,$B68,S$5,$B$1)</f>
        <v>0</v>
      </c>
      <c r="T68" s="55">
        <f>_xll.EQNXTDZ($A$1,$B68,T$5,$B$1)</f>
        <v>49251.87</v>
      </c>
      <c r="U68" s="55">
        <f>_xll.EQNXTDZ($A$1,$B68,U$5,$B$1)</f>
        <v>0</v>
      </c>
      <c r="V68" s="55">
        <f>_xll.EQNXTDZ($A$1,$B68,V$5,$B$1)</f>
        <v>54200.32</v>
      </c>
      <c r="W68" s="55">
        <f>_xll.EQNXTDZ($A$1,$B68,W$5,$B$1)</f>
        <v>0</v>
      </c>
      <c r="X68" s="55">
        <f>_xll.EQNXTDZ($A$1,$B68,X$5,$B$1)</f>
        <v>53019.22</v>
      </c>
      <c r="Y68" s="55">
        <f>_xll.EQNXTDZ($A$1,$B68,Y$5,$B$1)</f>
        <v>0</v>
      </c>
      <c r="Z68" s="55">
        <f>_xll.EQNXTDZ($A$1,$B68,Z$5,$B$1)</f>
        <v>51946.53</v>
      </c>
      <c r="AA68" s="55">
        <f>_xll.EQNXTDZ($A$1,$B68,AA$5,$B$1)</f>
        <v>0</v>
      </c>
      <c r="AB68" s="55">
        <f>_xll.EQNXTDZ($A$1,$B68,AB$5,$B$1)</f>
        <v>51305.63</v>
      </c>
      <c r="AC68" s="55">
        <f>_xll.EQNXTDZ($A$1,$B68,AC$5,$B$1)</f>
        <v>0</v>
      </c>
      <c r="AD68" s="55">
        <f>_xll.EQNXTDZ($A$1,$B68,AD$5,$B$1)</f>
        <v>50228.15</v>
      </c>
      <c r="AE68" s="55">
        <f>_xll.EQNXTDZ($A$1,$B68,AE$5,$B$1)</f>
        <v>0</v>
      </c>
      <c r="AF68" s="55">
        <f>_xll.EQNXTDZ($A$1,$B68,AF$5,$B$1)</f>
        <v>57827.1</v>
      </c>
      <c r="AG68" s="55">
        <f>_xll.EQNXTDZ($A$1,$B68,AG$5,$B$1)</f>
        <v>0</v>
      </c>
      <c r="AH68" s="55">
        <f>_xll.EQNXTDZ($A$1,$B68,AH$5,$B$1)</f>
        <v>55655.199999999997</v>
      </c>
      <c r="AI68" s="55">
        <f>_xll.EQNXTDZ($A$1,$B68,AI$5,$B$1)</f>
        <v>0</v>
      </c>
      <c r="AJ68" s="55">
        <f>_xll.EQNXTDZ($A$1,$B68,AJ$5,$B$1)</f>
        <v>54047.27</v>
      </c>
      <c r="AK68" s="55">
        <f>_xll.EQNXTDZ($A$1,$B68,AK$5,$B$1)</f>
        <v>0</v>
      </c>
      <c r="AL68" s="55">
        <f>_xll.EQNXTDZ($A$1,$B68,AL$5,$B$1)</f>
        <v>52660.69</v>
      </c>
      <c r="AM68" s="55">
        <f>_xll.EQNXTDZ($A$1,$B68,AM$5,$B$1)</f>
        <v>0</v>
      </c>
      <c r="AN68" s="55">
        <f>_xll.EQNXTDZ($A$1,$B68,AN$5,$B$1)</f>
        <v>51219.69</v>
      </c>
      <c r="AO68" s="55">
        <f>_xll.EQNXTDZ($A$1,$B68,AO$5,$B$1)</f>
        <v>0</v>
      </c>
      <c r="AP68" s="55">
        <f>_xll.EQNXTDZ($A$1,$B68,AP$5,$B$1)</f>
        <v>53083.6</v>
      </c>
      <c r="AQ68" s="55">
        <f>_xll.EQNXTDZ($A$1,$B68,AQ$5,$B$1)</f>
        <v>0</v>
      </c>
      <c r="AR68" s="55">
        <f>_xll.EQNXTDZ($A$1,$B68,AR$5,$B$1)</f>
        <v>51772.73</v>
      </c>
      <c r="AS68" s="55">
        <f>_xll.EQNXTDZ($A$1,$B68,AS$5,$B$1)</f>
        <v>0</v>
      </c>
      <c r="AT68" s="55">
        <f>_xll.EQNXTDZ($A$1,$B68,AT$5,$B$1)</f>
        <v>50555.83</v>
      </c>
      <c r="AU68" s="55">
        <f>_xll.EQNXTDZ($A$1,$B68,AU$5,$B$1)</f>
        <v>0</v>
      </c>
      <c r="AV68" s="55">
        <f>_xll.EQNXTDZ($A$1,$B68,AV$5,$B$1)</f>
        <v>64614.84</v>
      </c>
      <c r="AW68" s="55">
        <f>_xll.EQNXTDZ($A$1,$B68,AW$5,$B$1)</f>
        <v>0</v>
      </c>
      <c r="AX68" s="55">
        <f>_xll.EQNXTDZ($A$1,$B68,AX$5,$B$1)</f>
        <v>62042.720000000001</v>
      </c>
      <c r="AY68" s="55">
        <f>_xll.EQNXTDZ($A$1,$B68,AY$5,$B$1)</f>
        <v>0</v>
      </c>
      <c r="AZ68" s="55">
        <f>_xll.EQNXTDZ($A$1,$B68,AZ$5,$B$1)</f>
        <v>70956.03</v>
      </c>
      <c r="BA68" s="55">
        <f>_xll.EQNXTDZ($A$1,$B68,BA$5,$B$1)</f>
        <v>0</v>
      </c>
      <c r="BB68" s="55">
        <f>_xll.EQNXTDZ($A$1,$B68,BB$5,$B$1)</f>
        <v>66724.42</v>
      </c>
      <c r="BC68" s="55">
        <f>_xll.EQNXTDZ($A$1,$B68,BC$5,$B$1)</f>
        <v>0</v>
      </c>
      <c r="BD68" s="55">
        <f>_xll.EQNXTDZ($A$1,$B68,BD$5,$B$1)</f>
        <v>68572.41</v>
      </c>
      <c r="BE68" s="55">
        <f>_xll.EQNXTDZ($A$1,$B68,BE$5,$B$1)</f>
        <v>0</v>
      </c>
      <c r="BF68" s="55">
        <f>_xll.EQNXTDZ($A$1,$B68,BF$5,$B$1)</f>
        <v>66843.41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46988.66</v>
      </c>
      <c r="E71" s="55">
        <f>_xll.EQNXTDZ($A$1,$B71,E$5,$B$1)</f>
        <v>0</v>
      </c>
      <c r="F71" s="55">
        <f>_xll.EQNXTDZ($A$1,$B71,F$5,$B$1)</f>
        <v>48058.15</v>
      </c>
      <c r="G71" s="55">
        <f>_xll.EQNXTDZ($A$1,$B71,G$5,$B$1)</f>
        <v>0</v>
      </c>
      <c r="H71" s="55">
        <f>_xll.EQNXTDZ($A$1,$B71,H$5,$B$1)</f>
        <v>50442.32</v>
      </c>
      <c r="I71" s="55">
        <f>_xll.EQNXTDZ($A$1,$B71,I$5,$B$1)</f>
        <v>0</v>
      </c>
      <c r="J71" s="55">
        <f>_xll.EQNXTDZ($A$1,$B71,J$5,$B$1)</f>
        <v>50017.41</v>
      </c>
      <c r="K71" s="55">
        <f>_xll.EQNXTDZ($A$1,$B71,K$5,$B$1)</f>
        <v>0</v>
      </c>
      <c r="L71" s="55">
        <f>_xll.EQNXTDZ($A$1,$B71,L$5,$B$1)</f>
        <v>49513.61</v>
      </c>
      <c r="M71" s="55">
        <f>_xll.EQNXTDZ($A$1,$B71,M$5,$B$1)</f>
        <v>0</v>
      </c>
      <c r="N71" s="55">
        <f>_xll.EQNXTDZ($A$1,$B71,N$5,$B$1)</f>
        <v>45264.07</v>
      </c>
      <c r="O71" s="55">
        <f>_xll.EQNXTDZ($A$1,$B71,O$5,$B$1)</f>
        <v>0</v>
      </c>
      <c r="P71" s="55">
        <f>_xll.EQNXTDZ($A$1,$B71,P$5,$B$1)</f>
        <v>50625.71</v>
      </c>
      <c r="Q71" s="55">
        <f>_xll.EQNXTDZ($A$1,$B71,Q$5,$B$1)</f>
        <v>0</v>
      </c>
      <c r="R71" s="55">
        <f>_xll.EQNXTDZ($A$1,$B71,R$5,$B$1)</f>
        <v>56750.61</v>
      </c>
      <c r="S71" s="55">
        <f>_xll.EQNXTDZ($A$1,$B71,S$5,$B$1)</f>
        <v>0</v>
      </c>
      <c r="T71" s="55">
        <f>_xll.EQNXTDZ($A$1,$B71,T$5,$B$1)</f>
        <v>49251.87</v>
      </c>
      <c r="U71" s="55">
        <f>_xll.EQNXTDZ($A$1,$B71,U$5,$B$1)</f>
        <v>0</v>
      </c>
      <c r="V71" s="55">
        <f>_xll.EQNXTDZ($A$1,$B71,V$5,$B$1)</f>
        <v>54200.32</v>
      </c>
      <c r="W71" s="55">
        <f>_xll.EQNXTDZ($A$1,$B71,W$5,$B$1)</f>
        <v>0</v>
      </c>
      <c r="X71" s="55">
        <f>_xll.EQNXTDZ($A$1,$B71,X$5,$B$1)</f>
        <v>53019.22</v>
      </c>
      <c r="Y71" s="55">
        <f>_xll.EQNXTDZ($A$1,$B71,Y$5,$B$1)</f>
        <v>0</v>
      </c>
      <c r="Z71" s="55">
        <f>_xll.EQNXTDZ($A$1,$B71,Z$5,$B$1)</f>
        <v>51946.53</v>
      </c>
      <c r="AA71" s="55">
        <f>_xll.EQNXTDZ($A$1,$B71,AA$5,$B$1)</f>
        <v>0</v>
      </c>
      <c r="AB71" s="55">
        <f>_xll.EQNXTDZ($A$1,$B71,AB$5,$B$1)</f>
        <v>51305.63</v>
      </c>
      <c r="AC71" s="55">
        <f>_xll.EQNXTDZ($A$1,$B71,AC$5,$B$1)</f>
        <v>0</v>
      </c>
      <c r="AD71" s="55">
        <f>_xll.EQNXTDZ($A$1,$B71,AD$5,$B$1)</f>
        <v>50228.15</v>
      </c>
      <c r="AE71" s="55">
        <f>_xll.EQNXTDZ($A$1,$B71,AE$5,$B$1)</f>
        <v>0</v>
      </c>
      <c r="AF71" s="55">
        <f>_xll.EQNXTDZ($A$1,$B71,AF$5,$B$1)</f>
        <v>57827.1</v>
      </c>
      <c r="AG71" s="55">
        <f>_xll.EQNXTDZ($A$1,$B71,AG$5,$B$1)</f>
        <v>0</v>
      </c>
      <c r="AH71" s="55">
        <f>_xll.EQNXTDZ($A$1,$B71,AH$5,$B$1)</f>
        <v>55655.199999999997</v>
      </c>
      <c r="AI71" s="55">
        <f>_xll.EQNXTDZ($A$1,$B71,AI$5,$B$1)</f>
        <v>0</v>
      </c>
      <c r="AJ71" s="55">
        <f>_xll.EQNXTDZ($A$1,$B71,AJ$5,$B$1)</f>
        <v>54047.27</v>
      </c>
      <c r="AK71" s="55">
        <f>_xll.EQNXTDZ($A$1,$B71,AK$5,$B$1)</f>
        <v>0</v>
      </c>
      <c r="AL71" s="55">
        <f>_xll.EQNXTDZ($A$1,$B71,AL$5,$B$1)</f>
        <v>52660.69</v>
      </c>
      <c r="AM71" s="55">
        <f>_xll.EQNXTDZ($A$1,$B71,AM$5,$B$1)</f>
        <v>0</v>
      </c>
      <c r="AN71" s="55">
        <f>_xll.EQNXTDZ($A$1,$B71,AN$5,$B$1)</f>
        <v>51219.69</v>
      </c>
      <c r="AO71" s="55">
        <f>_xll.EQNXTDZ($A$1,$B71,AO$5,$B$1)</f>
        <v>0</v>
      </c>
      <c r="AP71" s="55">
        <f>_xll.EQNXTDZ($A$1,$B71,AP$5,$B$1)</f>
        <v>53083.6</v>
      </c>
      <c r="AQ71" s="55">
        <f>_xll.EQNXTDZ($A$1,$B71,AQ$5,$B$1)</f>
        <v>0</v>
      </c>
      <c r="AR71" s="55">
        <f>_xll.EQNXTDZ($A$1,$B71,AR$5,$B$1)</f>
        <v>51772.73</v>
      </c>
      <c r="AS71" s="55">
        <f>_xll.EQNXTDZ($A$1,$B71,AS$5,$B$1)</f>
        <v>0</v>
      </c>
      <c r="AT71" s="55">
        <f>_xll.EQNXTDZ($A$1,$B71,AT$5,$B$1)</f>
        <v>50555.83</v>
      </c>
      <c r="AU71" s="55">
        <f>_xll.EQNXTDZ($A$1,$B71,AU$5,$B$1)</f>
        <v>0</v>
      </c>
      <c r="AV71" s="55">
        <f>_xll.EQNXTDZ($A$1,$B71,AV$5,$B$1)</f>
        <v>64614.84</v>
      </c>
      <c r="AW71" s="55">
        <f>_xll.EQNXTDZ($A$1,$B71,AW$5,$B$1)</f>
        <v>0</v>
      </c>
      <c r="AX71" s="55">
        <f>_xll.EQNXTDZ($A$1,$B71,AX$5,$B$1)</f>
        <v>62042.720000000001</v>
      </c>
      <c r="AY71" s="55">
        <f>_xll.EQNXTDZ($A$1,$B71,AY$5,$B$1)</f>
        <v>0</v>
      </c>
      <c r="AZ71" s="55">
        <f>_xll.EQNXTDZ($A$1,$B71,AZ$5,$B$1)</f>
        <v>70956.03</v>
      </c>
      <c r="BA71" s="55">
        <f>_xll.EQNXTDZ($A$1,$B71,BA$5,$B$1)</f>
        <v>0</v>
      </c>
      <c r="BB71" s="55">
        <f>_xll.EQNXTDZ($A$1,$B71,BB$5,$B$1)</f>
        <v>66724.42</v>
      </c>
      <c r="BC71" s="55">
        <f>_xll.EQNXTDZ($A$1,$B71,BC$5,$B$1)</f>
        <v>0</v>
      </c>
      <c r="BD71" s="55">
        <f>_xll.EQNXTDZ($A$1,$B71,BD$5,$B$1)</f>
        <v>68572.41</v>
      </c>
      <c r="BE71" s="55">
        <f>_xll.EQNXTDZ($A$1,$B71,BE$5,$B$1)</f>
        <v>0</v>
      </c>
      <c r="BF71" s="55">
        <f>_xll.EQNXTDZ($A$1,$B71,BF$5,$B$1)</f>
        <v>66843.41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6.95</v>
      </c>
      <c r="G72" s="55">
        <f>_xll.EQNXTDZ($A$1,$B72,G$5,$B$1)</f>
        <v>0</v>
      </c>
      <c r="H72" s="55">
        <f>_xll.EQNXTDZ($A$1,$B72,H$5,$B$1)</f>
        <v>6.95</v>
      </c>
      <c r="I72" s="55">
        <f>_xll.EQNXTDZ($A$1,$B72,I$5,$B$1)</f>
        <v>0</v>
      </c>
      <c r="J72" s="55">
        <f>_xll.EQNXTDZ($A$1,$B72,J$5,$B$1)</f>
        <v>6.95</v>
      </c>
      <c r="K72" s="55">
        <f>_xll.EQNXTDZ($A$1,$B72,K$5,$B$1)</f>
        <v>0</v>
      </c>
      <c r="L72" s="55">
        <f>_xll.EQNXTDZ($A$1,$B72,L$5,$B$1)</f>
        <v>6.95</v>
      </c>
      <c r="M72" s="55">
        <f>_xll.EQNXTDZ($A$1,$B72,M$5,$B$1)</f>
        <v>0</v>
      </c>
      <c r="N72" s="55">
        <f>_xll.EQNXTDZ($A$1,$B72,N$5,$B$1)</f>
        <v>6.95</v>
      </c>
      <c r="O72" s="55">
        <f>_xll.EQNXTDZ($A$1,$B72,O$5,$B$1)</f>
        <v>0</v>
      </c>
      <c r="P72" s="55">
        <f>_xll.EQNXTDZ($A$1,$B72,P$5,$B$1)</f>
        <v>736.07</v>
      </c>
      <c r="Q72" s="55">
        <f>_xll.EQNXTDZ($A$1,$B72,Q$5,$B$1)</f>
        <v>0</v>
      </c>
      <c r="R72" s="55">
        <f>_xll.EQNXTDZ($A$1,$B72,R$5,$B$1)</f>
        <v>190.61</v>
      </c>
      <c r="S72" s="55">
        <f>_xll.EQNXTDZ($A$1,$B72,S$5,$B$1)</f>
        <v>0</v>
      </c>
      <c r="T72" s="55">
        <f>_xll.EQNXTDZ($A$1,$B72,T$5,$B$1)</f>
        <v>190.61</v>
      </c>
      <c r="U72" s="55">
        <f>_xll.EQNXTDZ($A$1,$B72,U$5,$B$1)</f>
        <v>0</v>
      </c>
      <c r="V72" s="55">
        <f>_xll.EQNXTDZ($A$1,$B72,V$5,$B$1)</f>
        <v>190.61</v>
      </c>
      <c r="W72" s="55">
        <f>_xll.EQNXTDZ($A$1,$B72,W$5,$B$1)</f>
        <v>0</v>
      </c>
      <c r="X72" s="55">
        <f>_xll.EQNXTDZ($A$1,$B72,X$5,$B$1)</f>
        <v>190.61</v>
      </c>
      <c r="Y72" s="55">
        <f>_xll.EQNXTDZ($A$1,$B72,Y$5,$B$1)</f>
        <v>0</v>
      </c>
      <c r="Z72" s="55">
        <f>_xll.EQNXTDZ($A$1,$B72,Z$5,$B$1)</f>
        <v>190.61</v>
      </c>
      <c r="AA72" s="55">
        <f>_xll.EQNXTDZ($A$1,$B72,AA$5,$B$1)</f>
        <v>0</v>
      </c>
      <c r="AB72" s="55">
        <f>_xll.EQNXTDZ($A$1,$B72,AB$5,$B$1)</f>
        <v>190.61</v>
      </c>
      <c r="AC72" s="55">
        <f>_xll.EQNXTDZ($A$1,$B72,AC$5,$B$1)</f>
        <v>0</v>
      </c>
      <c r="AD72" s="55">
        <f>_xll.EQNXTDZ($A$1,$B72,AD$5,$B$1)</f>
        <v>190.61</v>
      </c>
      <c r="AE72" s="55">
        <f>_xll.EQNXTDZ($A$1,$B72,AE$5,$B$1)</f>
        <v>0</v>
      </c>
      <c r="AF72" s="55">
        <f>_xll.EQNXTDZ($A$1,$B72,AF$5,$B$1)</f>
        <v>190.61</v>
      </c>
      <c r="AG72" s="55">
        <f>_xll.EQNXTDZ($A$1,$B72,AG$5,$B$1)</f>
        <v>0</v>
      </c>
      <c r="AH72" s="55">
        <f>_xll.EQNXTDZ($A$1,$B72,AH$5,$B$1)</f>
        <v>190.61</v>
      </c>
      <c r="AI72" s="55">
        <f>_xll.EQNXTDZ($A$1,$B72,AI$5,$B$1)</f>
        <v>0</v>
      </c>
      <c r="AJ72" s="55">
        <f>_xll.EQNXTDZ($A$1,$B72,AJ$5,$B$1)</f>
        <v>190.61</v>
      </c>
      <c r="AK72" s="55">
        <f>_xll.EQNXTDZ($A$1,$B72,AK$5,$B$1)</f>
        <v>0</v>
      </c>
      <c r="AL72" s="55">
        <f>_xll.EQNXTDZ($A$1,$B72,AL$5,$B$1)</f>
        <v>190.61</v>
      </c>
      <c r="AM72" s="55">
        <f>_xll.EQNXTDZ($A$1,$B72,AM$5,$B$1)</f>
        <v>0</v>
      </c>
      <c r="AN72" s="55">
        <f>_xll.EQNXTDZ($A$1,$B72,AN$5,$B$1)</f>
        <v>190.61</v>
      </c>
      <c r="AO72" s="55">
        <f>_xll.EQNXTDZ($A$1,$B72,AO$5,$B$1)</f>
        <v>0</v>
      </c>
      <c r="AP72" s="55">
        <f>_xll.EQNXTDZ($A$1,$B72,AP$5,$B$1)</f>
        <v>190.61</v>
      </c>
      <c r="AQ72" s="55">
        <f>_xll.EQNXTDZ($A$1,$B72,AQ$5,$B$1)</f>
        <v>0</v>
      </c>
      <c r="AR72" s="55">
        <f>_xll.EQNXTDZ($A$1,$B72,AR$5,$B$1)</f>
        <v>190.61</v>
      </c>
      <c r="AS72" s="55">
        <f>_xll.EQNXTDZ($A$1,$B72,AS$5,$B$1)</f>
        <v>0</v>
      </c>
      <c r="AT72" s="55">
        <f>_xll.EQNXTDZ($A$1,$B72,AT$5,$B$1)</f>
        <v>190.61</v>
      </c>
      <c r="AU72" s="55">
        <f>_xll.EQNXTDZ($A$1,$B72,AU$5,$B$1)</f>
        <v>0</v>
      </c>
      <c r="AV72" s="55">
        <f>_xll.EQNXTDZ($A$1,$B72,AV$5,$B$1)</f>
        <v>190.61</v>
      </c>
      <c r="AW72" s="55">
        <f>_xll.EQNXTDZ($A$1,$B72,AW$5,$B$1)</f>
        <v>0</v>
      </c>
      <c r="AX72" s="55">
        <f>_xll.EQNXTDZ($A$1,$B72,AX$5,$B$1)</f>
        <v>190.61</v>
      </c>
      <c r="AY72" s="55">
        <f>_xll.EQNXTDZ($A$1,$B72,AY$5,$B$1)</f>
        <v>0</v>
      </c>
      <c r="AZ72" s="55">
        <f>_xll.EQNXTDZ($A$1,$B72,AZ$5,$B$1)</f>
        <v>190.61</v>
      </c>
      <c r="BA72" s="55">
        <f>_xll.EQNXTDZ($A$1,$B72,BA$5,$B$1)</f>
        <v>0</v>
      </c>
      <c r="BB72" s="55">
        <f>_xll.EQNXTDZ($A$1,$B72,BB$5,$B$1)</f>
        <v>204.52</v>
      </c>
      <c r="BC72" s="55">
        <f>_xll.EQNXTDZ($A$1,$B72,BC$5,$B$1)</f>
        <v>0</v>
      </c>
      <c r="BD72" s="55">
        <f>_xll.EQNXTDZ($A$1,$B72,BD$5,$B$1)</f>
        <v>204.52</v>
      </c>
      <c r="BE72" s="55">
        <f>_xll.EQNXTDZ($A$1,$B72,BE$5,$B$1)</f>
        <v>0</v>
      </c>
      <c r="BF72" s="55">
        <f>_xll.EQNXTDZ($A$1,$B72,BF$5,$B$1)</f>
        <v>204.52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87.92</v>
      </c>
      <c r="S74" s="55">
        <f>_xll.EQNXTDZ($A$1,$B74,S$5,$B$1)</f>
        <v>0</v>
      </c>
      <c r="T74" s="55">
        <f>_xll.EQNXTDZ($A$1,$B74,T$5,$B$1)</f>
        <v>94.33</v>
      </c>
      <c r="U74" s="55">
        <f>_xll.EQNXTDZ($A$1,$B74,U$5,$B$1)</f>
        <v>0</v>
      </c>
      <c r="V74" s="55">
        <f>_xll.EQNXTDZ($A$1,$B74,V$5,$B$1)</f>
        <v>124.61</v>
      </c>
      <c r="W74" s="55">
        <f>_xll.EQNXTDZ($A$1,$B74,W$5,$B$1)</f>
        <v>0</v>
      </c>
      <c r="X74" s="55">
        <f>_xll.EQNXTDZ($A$1,$B74,X$5,$B$1)</f>
        <v>126.2</v>
      </c>
      <c r="Y74" s="55">
        <f>_xll.EQNXTDZ($A$1,$B74,Y$5,$B$1)</f>
        <v>0</v>
      </c>
      <c r="Z74" s="55">
        <f>_xll.EQNXTDZ($A$1,$B74,Z$5,$B$1)</f>
        <v>119.86</v>
      </c>
      <c r="AA74" s="55">
        <f>_xll.EQNXTDZ($A$1,$B74,AA$5,$B$1)</f>
        <v>0</v>
      </c>
      <c r="AB74" s="55">
        <f>_xll.EQNXTDZ($A$1,$B74,AB$5,$B$1)</f>
        <v>179.1</v>
      </c>
      <c r="AC74" s="55">
        <f>_xll.EQNXTDZ($A$1,$B74,AC$5,$B$1)</f>
        <v>0</v>
      </c>
      <c r="AD74" s="55">
        <f>_xll.EQNXTDZ($A$1,$B74,AD$5,$B$1)</f>
        <v>350.08</v>
      </c>
      <c r="AE74" s="55">
        <f>_xll.EQNXTDZ($A$1,$B74,AE$5,$B$1)</f>
        <v>0</v>
      </c>
      <c r="AF74" s="55">
        <f>_xll.EQNXTDZ($A$1,$B74,AF$5,$B$1)</f>
        <v>641.54</v>
      </c>
      <c r="AG74" s="55">
        <f>_xll.EQNXTDZ($A$1,$B74,AG$5,$B$1)</f>
        <v>0</v>
      </c>
      <c r="AH74" s="55">
        <f>_xll.EQNXTDZ($A$1,$B74,AH$5,$B$1)</f>
        <v>2346.77</v>
      </c>
      <c r="AI74" s="55">
        <f>_xll.EQNXTDZ($A$1,$B74,AI$5,$B$1)</f>
        <v>0</v>
      </c>
      <c r="AJ74" s="55">
        <f>_xll.EQNXTDZ($A$1,$B74,AJ$5,$B$1)</f>
        <v>3929.15</v>
      </c>
      <c r="AK74" s="55">
        <f>_xll.EQNXTDZ($A$1,$B74,AK$5,$B$1)</f>
        <v>0</v>
      </c>
      <c r="AL74" s="55">
        <f>_xll.EQNXTDZ($A$1,$B74,AL$5,$B$1)</f>
        <v>6439.42</v>
      </c>
      <c r="AM74" s="55">
        <f>_xll.EQNXTDZ($A$1,$B74,AM$5,$B$1)</f>
        <v>0</v>
      </c>
      <c r="AN74" s="55">
        <f>_xll.EQNXTDZ($A$1,$B74,AN$5,$B$1)</f>
        <v>8538.26</v>
      </c>
      <c r="AO74" s="55">
        <f>_xll.EQNXTDZ($A$1,$B74,AO$5,$B$1)</f>
        <v>0</v>
      </c>
      <c r="AP74" s="55">
        <f>_xll.EQNXTDZ($A$1,$B74,AP$5,$B$1)</f>
        <v>10269.74</v>
      </c>
      <c r="AQ74" s="55">
        <f>_xll.EQNXTDZ($A$1,$B74,AQ$5,$B$1)</f>
        <v>0</v>
      </c>
      <c r="AR74" s="55">
        <f>_xll.EQNXTDZ($A$1,$B74,AR$5,$B$1)</f>
        <v>11550.27</v>
      </c>
      <c r="AS74" s="55">
        <f>_xll.EQNXTDZ($A$1,$B74,AS$5,$B$1)</f>
        <v>0</v>
      </c>
      <c r="AT74" s="55">
        <f>_xll.EQNXTDZ($A$1,$B74,AT$5,$B$1)</f>
        <v>12879.54</v>
      </c>
      <c r="AU74" s="55">
        <f>_xll.EQNXTDZ($A$1,$B74,AU$5,$B$1)</f>
        <v>0</v>
      </c>
      <c r="AV74" s="55">
        <f>_xll.EQNXTDZ($A$1,$B74,AV$5,$B$1)</f>
        <v>461.13</v>
      </c>
      <c r="AW74" s="55">
        <f>_xll.EQNXTDZ($A$1,$B74,AW$5,$B$1)</f>
        <v>0</v>
      </c>
      <c r="AX74" s="55">
        <f>_xll.EQNXTDZ($A$1,$B74,AX$5,$B$1)</f>
        <v>925.12</v>
      </c>
      <c r="AY74" s="55">
        <f>_xll.EQNXTDZ($A$1,$B74,AY$5,$B$1)</f>
        <v>0</v>
      </c>
      <c r="AZ74" s="55">
        <f>_xll.EQNXTDZ($A$1,$B74,AZ$5,$B$1)</f>
        <v>9454.5499999999993</v>
      </c>
      <c r="BA74" s="55">
        <f>_xll.EQNXTDZ($A$1,$B74,BA$5,$B$1)</f>
        <v>0</v>
      </c>
      <c r="BB74" s="55">
        <f>_xll.EQNXTDZ($A$1,$B74,BB$5,$B$1)</f>
        <v>12104.42</v>
      </c>
      <c r="BC74" s="55">
        <f>_xll.EQNXTDZ($A$1,$B74,BC$5,$B$1)</f>
        <v>0</v>
      </c>
      <c r="BD74" s="55">
        <f>_xll.EQNXTDZ($A$1,$B74,BD$5,$B$1)</f>
        <v>19778.650000000001</v>
      </c>
      <c r="BE74" s="55">
        <f>_xll.EQNXTDZ($A$1,$B74,BE$5,$B$1)</f>
        <v>0</v>
      </c>
      <c r="BF74" s="55">
        <f>_xll.EQNXTDZ($A$1,$B74,BF$5,$B$1)</f>
        <v>35053.46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10.01</v>
      </c>
      <c r="E77" s="55">
        <f>_xll.EQNXTDZ($A$1,$B77,E$5,$B$1)</f>
        <v>0</v>
      </c>
      <c r="F77" s="55">
        <f>_xll.EQNXTDZ($A$1,$B77,F$5,$B$1)</f>
        <v>10.01</v>
      </c>
      <c r="G77" s="55">
        <f>_xll.EQNXTDZ($A$1,$B77,G$5,$B$1)</f>
        <v>0</v>
      </c>
      <c r="H77" s="55">
        <f>_xll.EQNXTDZ($A$1,$B77,H$5,$B$1)</f>
        <v>10.01</v>
      </c>
      <c r="I77" s="55">
        <f>_xll.EQNXTDZ($A$1,$B77,I$5,$B$1)</f>
        <v>0</v>
      </c>
      <c r="J77" s="55">
        <f>_xll.EQNXTDZ($A$1,$B77,J$5,$B$1)</f>
        <v>10.01</v>
      </c>
      <c r="K77" s="55">
        <f>_xll.EQNXTDZ($A$1,$B77,K$5,$B$1)</f>
        <v>0</v>
      </c>
      <c r="L77" s="55">
        <f>_xll.EQNXTDZ($A$1,$B77,L$5,$B$1)</f>
        <v>10.01</v>
      </c>
      <c r="M77" s="55">
        <f>_xll.EQNXTDZ($A$1,$B77,M$5,$B$1)</f>
        <v>0</v>
      </c>
      <c r="N77" s="55">
        <f>_xll.EQNXTDZ($A$1,$B77,N$5,$B$1)</f>
        <v>0.01</v>
      </c>
      <c r="O77" s="55">
        <f>_xll.EQNXTDZ($A$1,$B77,O$5,$B$1)</f>
        <v>0</v>
      </c>
      <c r="P77" s="55">
        <f>_xll.EQNXTDZ($A$1,$B77,P$5,$B$1)</f>
        <v>0.01</v>
      </c>
      <c r="Q77" s="55">
        <f>_xll.EQNXTDZ($A$1,$B77,Q$5,$B$1)</f>
        <v>0</v>
      </c>
      <c r="R77" s="55">
        <f>_xll.EQNXTDZ($A$1,$B77,R$5,$B$1)</f>
        <v>0.01</v>
      </c>
      <c r="S77" s="55">
        <f>_xll.EQNXTDZ($A$1,$B77,S$5,$B$1)</f>
        <v>0</v>
      </c>
      <c r="T77" s="55">
        <f>_xll.EQNXTDZ($A$1,$B77,T$5,$B$1)</f>
        <v>0.01</v>
      </c>
      <c r="U77" s="55">
        <f>_xll.EQNXTDZ($A$1,$B77,U$5,$B$1)</f>
        <v>0</v>
      </c>
      <c r="V77" s="55">
        <f>_xll.EQNXTDZ($A$1,$B77,V$5,$B$1)</f>
        <v>0.01</v>
      </c>
      <c r="W77" s="55">
        <f>_xll.EQNXTDZ($A$1,$B77,W$5,$B$1)</f>
        <v>0</v>
      </c>
      <c r="X77" s="55">
        <f>_xll.EQNXTDZ($A$1,$B77,X$5,$B$1)</f>
        <v>0.01</v>
      </c>
      <c r="Y77" s="55">
        <f>_xll.EQNXTDZ($A$1,$B77,Y$5,$B$1)</f>
        <v>0</v>
      </c>
      <c r="Z77" s="55">
        <f>_xll.EQNXTDZ($A$1,$B77,Z$5,$B$1)</f>
        <v>0.01</v>
      </c>
      <c r="AA77" s="55">
        <f>_xll.EQNXTDZ($A$1,$B77,AA$5,$B$1)</f>
        <v>0</v>
      </c>
      <c r="AB77" s="55">
        <f>_xll.EQNXTDZ($A$1,$B77,AB$5,$B$1)</f>
        <v>0.01</v>
      </c>
      <c r="AC77" s="55">
        <f>_xll.EQNXTDZ($A$1,$B77,AC$5,$B$1)</f>
        <v>0</v>
      </c>
      <c r="AD77" s="55">
        <f>_xll.EQNXTDZ($A$1,$B77,AD$5,$B$1)</f>
        <v>0.01</v>
      </c>
      <c r="AE77" s="55">
        <f>_xll.EQNXTDZ($A$1,$B77,AE$5,$B$1)</f>
        <v>0</v>
      </c>
      <c r="AF77" s="55">
        <f>_xll.EQNXTDZ($A$1,$B77,AF$5,$B$1)</f>
        <v>0.01</v>
      </c>
      <c r="AG77" s="55">
        <f>_xll.EQNXTDZ($A$1,$B77,AG$5,$B$1)</f>
        <v>0</v>
      </c>
      <c r="AH77" s="55">
        <f>_xll.EQNXTDZ($A$1,$B77,AH$5,$B$1)</f>
        <v>0.01</v>
      </c>
      <c r="AI77" s="55">
        <f>_xll.EQNXTDZ($A$1,$B77,AI$5,$B$1)</f>
        <v>0</v>
      </c>
      <c r="AJ77" s="55">
        <f>_xll.EQNXTDZ($A$1,$B77,AJ$5,$B$1)</f>
        <v>0.01</v>
      </c>
      <c r="AK77" s="55">
        <f>_xll.EQNXTDZ($A$1,$B77,AK$5,$B$1)</f>
        <v>0</v>
      </c>
      <c r="AL77" s="55">
        <f>_xll.EQNXTDZ($A$1,$B77,AL$5,$B$1)</f>
        <v>0.01</v>
      </c>
      <c r="AM77" s="55">
        <f>_xll.EQNXTDZ($A$1,$B77,AM$5,$B$1)</f>
        <v>0</v>
      </c>
      <c r="AN77" s="55">
        <f>_xll.EQNXTDZ($A$1,$B77,AN$5,$B$1)</f>
        <v>0.01</v>
      </c>
      <c r="AO77" s="55">
        <f>_xll.EQNXTDZ($A$1,$B77,AO$5,$B$1)</f>
        <v>0</v>
      </c>
      <c r="AP77" s="55">
        <f>_xll.EQNXTDZ($A$1,$B77,AP$5,$B$1)</f>
        <v>0.01</v>
      </c>
      <c r="AQ77" s="55">
        <f>_xll.EQNXTDZ($A$1,$B77,AQ$5,$B$1)</f>
        <v>0</v>
      </c>
      <c r="AR77" s="55">
        <f>_xll.EQNXTDZ($A$1,$B77,AR$5,$B$1)</f>
        <v>1520.23</v>
      </c>
      <c r="AS77" s="55">
        <f>_xll.EQNXTDZ($A$1,$B77,AS$5,$B$1)</f>
        <v>0</v>
      </c>
      <c r="AT77" s="55">
        <f>_xll.EQNXTDZ($A$1,$B77,AT$5,$B$1)</f>
        <v>747.45</v>
      </c>
      <c r="AU77" s="55">
        <f>_xll.EQNXTDZ($A$1,$B77,AU$5,$B$1)</f>
        <v>0</v>
      </c>
      <c r="AV77" s="55">
        <f>_xll.EQNXTDZ($A$1,$B77,AV$5,$B$1)</f>
        <v>705.2</v>
      </c>
      <c r="AW77" s="55">
        <f>_xll.EQNXTDZ($A$1,$B77,AW$5,$B$1)</f>
        <v>0</v>
      </c>
      <c r="AX77" s="55">
        <f>_xll.EQNXTDZ($A$1,$B77,AX$5,$B$1)</f>
        <v>0.01</v>
      </c>
      <c r="AY77" s="55">
        <f>_xll.EQNXTDZ($A$1,$B77,AY$5,$B$1)</f>
        <v>0</v>
      </c>
      <c r="AZ77" s="55">
        <f>_xll.EQNXTDZ($A$1,$B77,AZ$5,$B$1)</f>
        <v>0.01</v>
      </c>
      <c r="BA77" s="55">
        <f>_xll.EQNXTDZ($A$1,$B77,BA$5,$B$1)</f>
        <v>0</v>
      </c>
      <c r="BB77" s="55">
        <f>_xll.EQNXTDZ($A$1,$B77,BB$5,$B$1)</f>
        <v>108.2</v>
      </c>
      <c r="BC77" s="55">
        <f>_xll.EQNXTDZ($A$1,$B77,BC$5,$B$1)</f>
        <v>0</v>
      </c>
      <c r="BD77" s="55">
        <f>_xll.EQNXTDZ($A$1,$B77,BD$5,$B$1)</f>
        <v>92.82</v>
      </c>
      <c r="BE77" s="55">
        <f>_xll.EQNXTDZ($A$1,$B77,BE$5,$B$1)</f>
        <v>0</v>
      </c>
      <c r="BF77" s="55">
        <f>_xll.EQNXTDZ($A$1,$B77,BF$5,$B$1)</f>
        <v>116.89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2504.61</v>
      </c>
      <c r="E78" s="55">
        <f>_xll.EQNXTDZ($A$1,$B78,E$5,$B$1)</f>
        <v>0</v>
      </c>
      <c r="F78" s="55">
        <f>_xll.EQNXTDZ($A$1,$B78,F$5,$B$1)</f>
        <v>1405.47</v>
      </c>
      <c r="G78" s="55">
        <f>_xll.EQNXTDZ($A$1,$B78,G$5,$B$1)</f>
        <v>0</v>
      </c>
      <c r="H78" s="55">
        <f>_xll.EQNXTDZ($A$1,$B78,H$5,$B$1)</f>
        <v>2590.88</v>
      </c>
      <c r="I78" s="55">
        <f>_xll.EQNXTDZ($A$1,$B78,I$5,$B$1)</f>
        <v>0</v>
      </c>
      <c r="J78" s="55">
        <f>_xll.EQNXTDZ($A$1,$B78,J$5,$B$1)</f>
        <v>724.94</v>
      </c>
      <c r="K78" s="55">
        <f>_xll.EQNXTDZ($A$1,$B78,K$5,$B$1)</f>
        <v>0</v>
      </c>
      <c r="L78" s="55">
        <f>_xll.EQNXTDZ($A$1,$B78,L$5,$B$1)</f>
        <v>676.94</v>
      </c>
      <c r="M78" s="55">
        <f>_xll.EQNXTDZ($A$1,$B78,M$5,$B$1)</f>
        <v>0</v>
      </c>
      <c r="N78" s="55">
        <f>_xll.EQNXTDZ($A$1,$B78,N$5,$B$1)</f>
        <v>581.08000000000004</v>
      </c>
      <c r="O78" s="55">
        <f>_xll.EQNXTDZ($A$1,$B78,O$5,$B$1)</f>
        <v>0</v>
      </c>
      <c r="P78" s="55">
        <f>_xll.EQNXTDZ($A$1,$B78,P$5,$B$1)</f>
        <v>719.78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951.58</v>
      </c>
      <c r="U78" s="55">
        <f>_xll.EQNXTDZ($A$1,$B78,U$5,$B$1)</f>
        <v>0</v>
      </c>
      <c r="V78" s="55">
        <f>_xll.EQNXTDZ($A$1,$B78,V$5,$B$1)</f>
        <v>1249.5</v>
      </c>
      <c r="W78" s="55">
        <f>_xll.EQNXTDZ($A$1,$B78,W$5,$B$1)</f>
        <v>0</v>
      </c>
      <c r="X78" s="55">
        <f>_xll.EQNXTDZ($A$1,$B78,X$5,$B$1)</f>
        <v>1362.9</v>
      </c>
      <c r="Y78" s="55">
        <f>_xll.EQNXTDZ($A$1,$B78,Y$5,$B$1)</f>
        <v>0</v>
      </c>
      <c r="Z78" s="55">
        <f>_xll.EQNXTDZ($A$1,$B78,Z$5,$B$1)</f>
        <v>1389.95</v>
      </c>
      <c r="AA78" s="55">
        <f>_xll.EQNXTDZ($A$1,$B78,AA$5,$B$1)</f>
        <v>0</v>
      </c>
      <c r="AB78" s="55">
        <f>_xll.EQNXTDZ($A$1,$B78,AB$5,$B$1)</f>
        <v>1389.95</v>
      </c>
      <c r="AC78" s="55">
        <f>_xll.EQNXTDZ($A$1,$B78,AC$5,$B$1)</f>
        <v>0</v>
      </c>
      <c r="AD78" s="55">
        <f>_xll.EQNXTDZ($A$1,$B78,AD$5,$B$1)</f>
        <v>1584.18</v>
      </c>
      <c r="AE78" s="55">
        <f>_xll.EQNXTDZ($A$1,$B78,AE$5,$B$1)</f>
        <v>0</v>
      </c>
      <c r="AF78" s="55">
        <f>_xll.EQNXTDZ($A$1,$B78,AF$5,$B$1)</f>
        <v>0.56000000000000005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3.44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7.57</v>
      </c>
      <c r="BE78" s="55">
        <f>_xll.EQNXTDZ($A$1,$B78,BE$5,$B$1)</f>
        <v>0</v>
      </c>
      <c r="BF78" s="55">
        <f>_xll.EQNXTDZ($A$1,$B78,BF$5,$B$1)</f>
        <v>7.5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342.01</v>
      </c>
      <c r="E79" s="55">
        <f>_xll.EQNXTDZ($A$1,$B79,E$5,$B$1)</f>
        <v>0</v>
      </c>
      <c r="F79" s="55">
        <f>_xll.EQNXTDZ($A$1,$B79,F$5,$B$1)</f>
        <v>154.87</v>
      </c>
      <c r="G79" s="55">
        <f>_xll.EQNXTDZ($A$1,$B79,G$5,$B$1)</f>
        <v>0</v>
      </c>
      <c r="H79" s="55">
        <f>_xll.EQNXTDZ($A$1,$B79,H$5,$B$1)</f>
        <v>144.37</v>
      </c>
      <c r="I79" s="55">
        <f>_xll.EQNXTDZ($A$1,$B79,I$5,$B$1)</f>
        <v>0</v>
      </c>
      <c r="J79" s="55">
        <f>_xll.EQNXTDZ($A$1,$B79,J$5,$B$1)</f>
        <v>875.4</v>
      </c>
      <c r="K79" s="55">
        <f>_xll.EQNXTDZ($A$1,$B79,K$5,$B$1)</f>
        <v>0</v>
      </c>
      <c r="L79" s="55">
        <f>_xll.EQNXTDZ($A$1,$B79,L$5,$B$1)</f>
        <v>664.7</v>
      </c>
      <c r="M79" s="55">
        <f>_xll.EQNXTDZ($A$1,$B79,M$5,$B$1)</f>
        <v>0</v>
      </c>
      <c r="N79" s="55">
        <f>_xll.EQNXTDZ($A$1,$B79,N$5,$B$1)</f>
        <v>2230.15</v>
      </c>
      <c r="O79" s="55">
        <f>_xll.EQNXTDZ($A$1,$B79,O$5,$B$1)</f>
        <v>0</v>
      </c>
      <c r="P79" s="55">
        <f>_xll.EQNXTDZ($A$1,$B79,P$5,$B$1)</f>
        <v>1793.7</v>
      </c>
      <c r="Q79" s="55">
        <f>_xll.EQNXTDZ($A$1,$B79,Q$5,$B$1)</f>
        <v>0</v>
      </c>
      <c r="R79" s="55">
        <f>_xll.EQNXTDZ($A$1,$B79,R$5,$B$1)</f>
        <v>2539.88</v>
      </c>
      <c r="S79" s="55">
        <f>_xll.EQNXTDZ($A$1,$B79,S$5,$B$1)</f>
        <v>0</v>
      </c>
      <c r="T79" s="55">
        <f>_xll.EQNXTDZ($A$1,$B79,T$5,$B$1)</f>
        <v>2520.9899999999998</v>
      </c>
      <c r="U79" s="55">
        <f>_xll.EQNXTDZ($A$1,$B79,U$5,$B$1)</f>
        <v>0</v>
      </c>
      <c r="V79" s="55">
        <f>_xll.EQNXTDZ($A$1,$B79,V$5,$B$1)</f>
        <v>2215.0700000000002</v>
      </c>
      <c r="W79" s="55">
        <f>_xll.EQNXTDZ($A$1,$B79,W$5,$B$1)</f>
        <v>0</v>
      </c>
      <c r="X79" s="55">
        <f>_xll.EQNXTDZ($A$1,$B79,X$5,$B$1)</f>
        <v>1809.14</v>
      </c>
      <c r="Y79" s="55">
        <f>_xll.EQNXTDZ($A$1,$B79,Y$5,$B$1)</f>
        <v>0</v>
      </c>
      <c r="Z79" s="55">
        <f>_xll.EQNXTDZ($A$1,$B79,Z$5,$B$1)</f>
        <v>1924.59</v>
      </c>
      <c r="AA79" s="55">
        <f>_xll.EQNXTDZ($A$1,$B79,AA$5,$B$1)</f>
        <v>0</v>
      </c>
      <c r="AB79" s="55">
        <f>_xll.EQNXTDZ($A$1,$B79,AB$5,$B$1)</f>
        <v>2521.62</v>
      </c>
      <c r="AC79" s="55">
        <f>_xll.EQNXTDZ($A$1,$B79,AC$5,$B$1)</f>
        <v>0</v>
      </c>
      <c r="AD79" s="55">
        <f>_xll.EQNXTDZ($A$1,$B79,AD$5,$B$1)</f>
        <v>2429.04</v>
      </c>
      <c r="AE79" s="55">
        <f>_xll.EQNXTDZ($A$1,$B79,AE$5,$B$1)</f>
        <v>0</v>
      </c>
      <c r="AF79" s="55">
        <f>_xll.EQNXTDZ($A$1,$B79,AF$5,$B$1)</f>
        <v>1874.62</v>
      </c>
      <c r="AG79" s="55">
        <f>_xll.EQNXTDZ($A$1,$B79,AG$5,$B$1)</f>
        <v>0</v>
      </c>
      <c r="AH79" s="55">
        <f>_xll.EQNXTDZ($A$1,$B79,AH$5,$B$1)</f>
        <v>2239.23</v>
      </c>
      <c r="AI79" s="55">
        <f>_xll.EQNXTDZ($A$1,$B79,AI$5,$B$1)</f>
        <v>0</v>
      </c>
      <c r="AJ79" s="55">
        <f>_xll.EQNXTDZ($A$1,$B79,AJ$5,$B$1)</f>
        <v>1685.75</v>
      </c>
      <c r="AK79" s="55">
        <f>_xll.EQNXTDZ($A$1,$B79,AK$5,$B$1)</f>
        <v>0</v>
      </c>
      <c r="AL79" s="55">
        <f>_xll.EQNXTDZ($A$1,$B79,AL$5,$B$1)</f>
        <v>1872.83</v>
      </c>
      <c r="AM79" s="55">
        <f>_xll.EQNXTDZ($A$1,$B79,AM$5,$B$1)</f>
        <v>0</v>
      </c>
      <c r="AN79" s="55">
        <f>_xll.EQNXTDZ($A$1,$B79,AN$5,$B$1)</f>
        <v>1632.85</v>
      </c>
      <c r="AO79" s="55">
        <f>_xll.EQNXTDZ($A$1,$B79,AO$5,$B$1)</f>
        <v>0</v>
      </c>
      <c r="AP79" s="55">
        <f>_xll.EQNXTDZ($A$1,$B79,AP$5,$B$1)</f>
        <v>2208.9899999999998</v>
      </c>
      <c r="AQ79" s="55">
        <f>_xll.EQNXTDZ($A$1,$B79,AQ$5,$B$1)</f>
        <v>0</v>
      </c>
      <c r="AR79" s="55">
        <f>_xll.EQNXTDZ($A$1,$B79,AR$5,$B$1)</f>
        <v>2242.06</v>
      </c>
      <c r="AS79" s="55">
        <f>_xll.EQNXTDZ($A$1,$B79,AS$5,$B$1)</f>
        <v>0</v>
      </c>
      <c r="AT79" s="55">
        <f>_xll.EQNXTDZ($A$1,$B79,AT$5,$B$1)</f>
        <v>1894.84</v>
      </c>
      <c r="AU79" s="55">
        <f>_xll.EQNXTDZ($A$1,$B79,AU$5,$B$1)</f>
        <v>0</v>
      </c>
      <c r="AV79" s="55">
        <f>_xll.EQNXTDZ($A$1,$B79,AV$5,$B$1)</f>
        <v>2776.33</v>
      </c>
      <c r="AW79" s="55">
        <f>_xll.EQNXTDZ($A$1,$B79,AW$5,$B$1)</f>
        <v>0</v>
      </c>
      <c r="AX79" s="55">
        <f>_xll.EQNXTDZ($A$1,$B79,AX$5,$B$1)</f>
        <v>3203.39</v>
      </c>
      <c r="AY79" s="55">
        <f>_xll.EQNXTDZ($A$1,$B79,AY$5,$B$1)</f>
        <v>0</v>
      </c>
      <c r="AZ79" s="55">
        <f>_xll.EQNXTDZ($A$1,$B79,AZ$5,$B$1)</f>
        <v>3284.72</v>
      </c>
      <c r="BA79" s="55">
        <f>_xll.EQNXTDZ($A$1,$B79,BA$5,$B$1)</f>
        <v>0</v>
      </c>
      <c r="BB79" s="55">
        <f>_xll.EQNXTDZ($A$1,$B79,BB$5,$B$1)</f>
        <v>7462.56</v>
      </c>
      <c r="BC79" s="55">
        <f>_xll.EQNXTDZ($A$1,$B79,BC$5,$B$1)</f>
        <v>0</v>
      </c>
      <c r="BD79" s="55">
        <f>_xll.EQNXTDZ($A$1,$B79,BD$5,$B$1)</f>
        <v>10242.85</v>
      </c>
      <c r="BE79" s="55">
        <f>_xll.EQNXTDZ($A$1,$B79,BE$5,$B$1)</f>
        <v>0</v>
      </c>
      <c r="BF79" s="55">
        <f>_xll.EQNXTDZ($A$1,$B79,BF$5,$B$1)</f>
        <v>10554.67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12.36</v>
      </c>
      <c r="G80" s="55">
        <f>_xll.EQNXTDZ($A$1,$B80,G$5,$B$1)</f>
        <v>0</v>
      </c>
      <c r="H80" s="55">
        <f>_xll.EQNXTDZ($A$1,$B80,H$5,$B$1)</f>
        <v>15</v>
      </c>
      <c r="I80" s="55">
        <f>_xll.EQNXTDZ($A$1,$B80,I$5,$B$1)</f>
        <v>0</v>
      </c>
      <c r="J80" s="55">
        <f>_xll.EQNXTDZ($A$1,$B80,J$5,$B$1)</f>
        <v>105.31</v>
      </c>
      <c r="K80" s="55">
        <f>_xll.EQNXTDZ($A$1,$B80,K$5,$B$1)</f>
        <v>0</v>
      </c>
      <c r="L80" s="55">
        <f>_xll.EQNXTDZ($A$1,$B80,L$5,$B$1)</f>
        <v>497.81</v>
      </c>
      <c r="M80" s="55">
        <f>_xll.EQNXTDZ($A$1,$B80,M$5,$B$1)</f>
        <v>0</v>
      </c>
      <c r="N80" s="55">
        <f>_xll.EQNXTDZ($A$1,$B80,N$5,$B$1)</f>
        <v>357.29</v>
      </c>
      <c r="O80" s="55">
        <f>_xll.EQNXTDZ($A$1,$B80,O$5,$B$1)</f>
        <v>0</v>
      </c>
      <c r="P80" s="55">
        <f>_xll.EQNXTDZ($A$1,$B80,P$5,$B$1)</f>
        <v>39.65</v>
      </c>
      <c r="Q80" s="55">
        <f>_xll.EQNXTDZ($A$1,$B80,Q$5,$B$1)</f>
        <v>0</v>
      </c>
      <c r="R80" s="55">
        <f>_xll.EQNXTDZ($A$1,$B80,R$5,$B$1)</f>
        <v>0.05</v>
      </c>
      <c r="S80" s="55">
        <f>_xll.EQNXTDZ($A$1,$B80,S$5,$B$1)</f>
        <v>0</v>
      </c>
      <c r="T80" s="55">
        <f>_xll.EQNXTDZ($A$1,$B80,T$5,$B$1)</f>
        <v>1618.94</v>
      </c>
      <c r="U80" s="55">
        <f>_xll.EQNXTDZ($A$1,$B80,U$5,$B$1)</f>
        <v>0</v>
      </c>
      <c r="V80" s="55">
        <f>_xll.EQNXTDZ($A$1,$B80,V$5,$B$1)</f>
        <v>164.32</v>
      </c>
      <c r="W80" s="55">
        <f>_xll.EQNXTDZ($A$1,$B80,W$5,$B$1)</f>
        <v>0</v>
      </c>
      <c r="X80" s="55">
        <f>_xll.EQNXTDZ($A$1,$B80,X$5,$B$1)</f>
        <v>139.81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2.71</v>
      </c>
      <c r="AE80" s="55">
        <f>_xll.EQNXTDZ($A$1,$B80,AE$5,$B$1)</f>
        <v>0</v>
      </c>
      <c r="AF80" s="55">
        <f>_xll.EQNXTDZ($A$1,$B80,AF$5,$B$1)</f>
        <v>3.35</v>
      </c>
      <c r="AG80" s="55">
        <f>_xll.EQNXTDZ($A$1,$B80,AG$5,$B$1)</f>
        <v>0</v>
      </c>
      <c r="AH80" s="55">
        <f>_xll.EQNXTDZ($A$1,$B80,AH$5,$B$1)</f>
        <v>2.79</v>
      </c>
      <c r="AI80" s="55">
        <f>_xll.EQNXTDZ($A$1,$B80,AI$5,$B$1)</f>
        <v>0</v>
      </c>
      <c r="AJ80" s="55">
        <f>_xll.EQNXTDZ($A$1,$B80,AJ$5,$B$1)</f>
        <v>0.16</v>
      </c>
      <c r="AK80" s="55">
        <f>_xll.EQNXTDZ($A$1,$B80,AK$5,$B$1)</f>
        <v>0</v>
      </c>
      <c r="AL80" s="55">
        <f>_xll.EQNXTDZ($A$1,$B80,AL$5,$B$1)</f>
        <v>20.09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183.24</v>
      </c>
      <c r="AQ80" s="55">
        <f>_xll.EQNXTDZ($A$1,$B80,AQ$5,$B$1)</f>
        <v>0</v>
      </c>
      <c r="AR80" s="55">
        <f>_xll.EQNXTDZ($A$1,$B80,AR$5,$B$1)</f>
        <v>20</v>
      </c>
      <c r="AS80" s="55">
        <f>_xll.EQNXTDZ($A$1,$B80,AS$5,$B$1)</f>
        <v>0</v>
      </c>
      <c r="AT80" s="55">
        <f>_xll.EQNXTDZ($A$1,$B80,AT$5,$B$1)</f>
        <v>611.54</v>
      </c>
      <c r="AU80" s="55">
        <f>_xll.EQNXTDZ($A$1,$B80,AU$5,$B$1)</f>
        <v>0</v>
      </c>
      <c r="AV80" s="55">
        <f>_xll.EQNXTDZ($A$1,$B80,AV$5,$B$1)</f>
        <v>100.03</v>
      </c>
      <c r="AW80" s="55">
        <f>_xll.EQNXTDZ($A$1,$B80,AW$5,$B$1)</f>
        <v>0</v>
      </c>
      <c r="AX80" s="55">
        <f>_xll.EQNXTDZ($A$1,$B80,AX$5,$B$1)</f>
        <v>373.5</v>
      </c>
      <c r="AY80" s="55">
        <f>_xll.EQNXTDZ($A$1,$B80,AY$5,$B$1)</f>
        <v>0</v>
      </c>
      <c r="AZ80" s="55">
        <f>_xll.EQNXTDZ($A$1,$B80,AZ$5,$B$1)</f>
        <v>320.62</v>
      </c>
      <c r="BA80" s="55">
        <f>_xll.EQNXTDZ($A$1,$B80,BA$5,$B$1)</f>
        <v>0</v>
      </c>
      <c r="BB80" s="55">
        <f>_xll.EQNXTDZ($A$1,$B80,BB$5,$B$1)</f>
        <v>1037.7</v>
      </c>
      <c r="BC80" s="55">
        <f>_xll.EQNXTDZ($A$1,$B80,BC$5,$B$1)</f>
        <v>0</v>
      </c>
      <c r="BD80" s="55">
        <f>_xll.EQNXTDZ($A$1,$B80,BD$5,$B$1)</f>
        <v>50.17</v>
      </c>
      <c r="BE80" s="55">
        <f>_xll.EQNXTDZ($A$1,$B80,BE$5,$B$1)</f>
        <v>0</v>
      </c>
      <c r="BF80" s="55">
        <f>_xll.EQNXTDZ($A$1,$B80,BF$5,$B$1)</f>
        <v>1491.35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1162.58</v>
      </c>
      <c r="E81" s="55">
        <f>_xll.EQNXTDZ($A$1,$B81,E$5,$B$1)</f>
        <v>0</v>
      </c>
      <c r="F81" s="55">
        <f>_xll.EQNXTDZ($A$1,$B81,F$5,$B$1)</f>
        <v>1555.67</v>
      </c>
      <c r="G81" s="55">
        <f>_xll.EQNXTDZ($A$1,$B81,G$5,$B$1)</f>
        <v>0</v>
      </c>
      <c r="H81" s="55">
        <f>_xll.EQNXTDZ($A$1,$B81,H$5,$B$1)</f>
        <v>1195.47</v>
      </c>
      <c r="I81" s="55">
        <f>_xll.EQNXTDZ($A$1,$B81,I$5,$B$1)</f>
        <v>0</v>
      </c>
      <c r="J81" s="55">
        <f>_xll.EQNXTDZ($A$1,$B81,J$5,$B$1)</f>
        <v>1280.96</v>
      </c>
      <c r="K81" s="55">
        <f>_xll.EQNXTDZ($A$1,$B81,K$5,$B$1)</f>
        <v>0</v>
      </c>
      <c r="L81" s="55">
        <f>_xll.EQNXTDZ($A$1,$B81,L$5,$B$1)</f>
        <v>1937.15</v>
      </c>
      <c r="M81" s="55">
        <f>_xll.EQNXTDZ($A$1,$B81,M$5,$B$1)</f>
        <v>0</v>
      </c>
      <c r="N81" s="55">
        <f>_xll.EQNXTDZ($A$1,$B81,N$5,$B$1)</f>
        <v>1629.05</v>
      </c>
      <c r="O81" s="55">
        <f>_xll.EQNXTDZ($A$1,$B81,O$5,$B$1)</f>
        <v>0</v>
      </c>
      <c r="P81" s="55">
        <f>_xll.EQNXTDZ($A$1,$B81,P$5,$B$1)</f>
        <v>1582.89</v>
      </c>
      <c r="Q81" s="55">
        <f>_xll.EQNXTDZ($A$1,$B81,Q$5,$B$1)</f>
        <v>0</v>
      </c>
      <c r="R81" s="55">
        <f>_xll.EQNXTDZ($A$1,$B81,R$5,$B$1)</f>
        <v>1619.2</v>
      </c>
      <c r="S81" s="55">
        <f>_xll.EQNXTDZ($A$1,$B81,S$5,$B$1)</f>
        <v>0</v>
      </c>
      <c r="T81" s="55">
        <f>_xll.EQNXTDZ($A$1,$B81,T$5,$B$1)</f>
        <v>0.2</v>
      </c>
      <c r="U81" s="55">
        <f>_xll.EQNXTDZ($A$1,$B81,U$5,$B$1)</f>
        <v>0</v>
      </c>
      <c r="V81" s="55">
        <f>_xll.EQNXTDZ($A$1,$B81,V$5,$B$1)</f>
        <v>1760.41</v>
      </c>
      <c r="W81" s="55">
        <f>_xll.EQNXTDZ($A$1,$B81,W$5,$B$1)</f>
        <v>0</v>
      </c>
      <c r="X81" s="55">
        <f>_xll.EQNXTDZ($A$1,$B81,X$5,$B$1)</f>
        <v>1695.15</v>
      </c>
      <c r="Y81" s="55">
        <f>_xll.EQNXTDZ($A$1,$B81,Y$5,$B$1)</f>
        <v>0</v>
      </c>
      <c r="Z81" s="55">
        <f>_xll.EQNXTDZ($A$1,$B81,Z$5,$B$1)</f>
        <v>873.98</v>
      </c>
      <c r="AA81" s="55">
        <f>_xll.EQNXTDZ($A$1,$B81,AA$5,$B$1)</f>
        <v>0</v>
      </c>
      <c r="AB81" s="55">
        <f>_xll.EQNXTDZ($A$1,$B81,AB$5,$B$1)</f>
        <v>1627.18</v>
      </c>
      <c r="AC81" s="55">
        <f>_xll.EQNXTDZ($A$1,$B81,AC$5,$B$1)</f>
        <v>0</v>
      </c>
      <c r="AD81" s="55">
        <f>_xll.EQNXTDZ($A$1,$B81,AD$5,$B$1)</f>
        <v>1224.08</v>
      </c>
      <c r="AE81" s="55">
        <f>_xll.EQNXTDZ($A$1,$B81,AE$5,$B$1)</f>
        <v>0</v>
      </c>
      <c r="AF81" s="55">
        <f>_xll.EQNXTDZ($A$1,$B81,AF$5,$B$1)</f>
        <v>1803.09</v>
      </c>
      <c r="AG81" s="55">
        <f>_xll.EQNXTDZ($A$1,$B81,AG$5,$B$1)</f>
        <v>0</v>
      </c>
      <c r="AH81" s="55">
        <f>_xll.EQNXTDZ($A$1,$B81,AH$5,$B$1)</f>
        <v>2522.77</v>
      </c>
      <c r="AI81" s="55">
        <f>_xll.EQNXTDZ($A$1,$B81,AI$5,$B$1)</f>
        <v>0</v>
      </c>
      <c r="AJ81" s="55">
        <f>_xll.EQNXTDZ($A$1,$B81,AJ$5,$B$1)</f>
        <v>1888.74</v>
      </c>
      <c r="AK81" s="55">
        <f>_xll.EQNXTDZ($A$1,$B81,AK$5,$B$1)</f>
        <v>0</v>
      </c>
      <c r="AL81" s="55">
        <f>_xll.EQNXTDZ($A$1,$B81,AL$5,$B$1)</f>
        <v>2025.11</v>
      </c>
      <c r="AM81" s="55">
        <f>_xll.EQNXTDZ($A$1,$B81,AM$5,$B$1)</f>
        <v>0</v>
      </c>
      <c r="AN81" s="55">
        <f>_xll.EQNXTDZ($A$1,$B81,AN$5,$B$1)</f>
        <v>957.51</v>
      </c>
      <c r="AO81" s="55">
        <f>_xll.EQNXTDZ($A$1,$B81,AO$5,$B$1)</f>
        <v>0</v>
      </c>
      <c r="AP81" s="55">
        <f>_xll.EQNXTDZ($A$1,$B81,AP$5,$B$1)</f>
        <v>2258.27</v>
      </c>
      <c r="AQ81" s="55">
        <f>_xll.EQNXTDZ($A$1,$B81,AQ$5,$B$1)</f>
        <v>0</v>
      </c>
      <c r="AR81" s="55">
        <f>_xll.EQNXTDZ($A$1,$B81,AR$5,$B$1)</f>
        <v>4967.32</v>
      </c>
      <c r="AS81" s="55">
        <f>_xll.EQNXTDZ($A$1,$B81,AS$5,$B$1)</f>
        <v>0</v>
      </c>
      <c r="AT81" s="55">
        <f>_xll.EQNXTDZ($A$1,$B81,AT$5,$B$1)</f>
        <v>3075.2</v>
      </c>
      <c r="AU81" s="55">
        <f>_xll.EQNXTDZ($A$1,$B81,AU$5,$B$1)</f>
        <v>0</v>
      </c>
      <c r="AV81" s="55">
        <f>_xll.EQNXTDZ($A$1,$B81,AV$5,$B$1)</f>
        <v>3073.65</v>
      </c>
      <c r="AW81" s="55">
        <f>_xll.EQNXTDZ($A$1,$B81,AW$5,$B$1)</f>
        <v>0</v>
      </c>
      <c r="AX81" s="55">
        <f>_xll.EQNXTDZ($A$1,$B81,AX$5,$B$1)</f>
        <v>4142.1000000000004</v>
      </c>
      <c r="AY81" s="55">
        <f>_xll.EQNXTDZ($A$1,$B81,AY$5,$B$1)</f>
        <v>0</v>
      </c>
      <c r="AZ81" s="55">
        <f>_xll.EQNXTDZ($A$1,$B81,AZ$5,$B$1)</f>
        <v>3739.21</v>
      </c>
      <c r="BA81" s="55">
        <f>_xll.EQNXTDZ($A$1,$B81,BA$5,$B$1)</f>
        <v>0</v>
      </c>
      <c r="BB81" s="55">
        <f>_xll.EQNXTDZ($A$1,$B81,BB$5,$B$1)</f>
        <v>3317.28</v>
      </c>
      <c r="BC81" s="55">
        <f>_xll.EQNXTDZ($A$1,$B81,BC$5,$B$1)</f>
        <v>0</v>
      </c>
      <c r="BD81" s="55">
        <f>_xll.EQNXTDZ($A$1,$B81,BD$5,$B$1)</f>
        <v>3140.31</v>
      </c>
      <c r="BE81" s="55">
        <f>_xll.EQNXTDZ($A$1,$B81,BE$5,$B$1)</f>
        <v>0</v>
      </c>
      <c r="BF81" s="55">
        <f>_xll.EQNXTDZ($A$1,$B81,BF$5,$B$1)</f>
        <v>3623.48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513.97</v>
      </c>
      <c r="E82" s="55">
        <f>_xll.EQNXTDZ($A$1,$B82,E$5,$B$1)</f>
        <v>0</v>
      </c>
      <c r="F82" s="55">
        <f>_xll.EQNXTDZ($A$1,$B82,F$5,$B$1)</f>
        <v>758.48</v>
      </c>
      <c r="G82" s="55">
        <f>_xll.EQNXTDZ($A$1,$B82,G$5,$B$1)</f>
        <v>0</v>
      </c>
      <c r="H82" s="55">
        <f>_xll.EQNXTDZ($A$1,$B82,H$5,$B$1)</f>
        <v>1623.07</v>
      </c>
      <c r="I82" s="55">
        <f>_xll.EQNXTDZ($A$1,$B82,I$5,$B$1)</f>
        <v>0</v>
      </c>
      <c r="J82" s="55">
        <f>_xll.EQNXTDZ($A$1,$B82,J$5,$B$1)</f>
        <v>1543.27</v>
      </c>
      <c r="K82" s="55">
        <f>_xll.EQNXTDZ($A$1,$B82,K$5,$B$1)</f>
        <v>0</v>
      </c>
      <c r="L82" s="55">
        <f>_xll.EQNXTDZ($A$1,$B82,L$5,$B$1)</f>
        <v>2876.13</v>
      </c>
      <c r="M82" s="55">
        <f>_xll.EQNXTDZ($A$1,$B82,M$5,$B$1)</f>
        <v>0</v>
      </c>
      <c r="N82" s="55">
        <f>_xll.EQNXTDZ($A$1,$B82,N$5,$B$1)</f>
        <v>3489.54</v>
      </c>
      <c r="O82" s="55">
        <f>_xll.EQNXTDZ($A$1,$B82,O$5,$B$1)</f>
        <v>0</v>
      </c>
      <c r="P82" s="55">
        <f>_xll.EQNXTDZ($A$1,$B82,P$5,$B$1)</f>
        <v>7845.09</v>
      </c>
      <c r="Q82" s="55">
        <f>_xll.EQNXTDZ($A$1,$B82,Q$5,$B$1)</f>
        <v>0</v>
      </c>
      <c r="R82" s="55">
        <f>_xll.EQNXTDZ($A$1,$B82,R$5,$B$1)</f>
        <v>12476.6</v>
      </c>
      <c r="S82" s="55">
        <f>_xll.EQNXTDZ($A$1,$B82,S$5,$B$1)</f>
        <v>0</v>
      </c>
      <c r="T82" s="55">
        <f>_xll.EQNXTDZ($A$1,$B82,T$5,$B$1)</f>
        <v>9520.9699999999993</v>
      </c>
      <c r="U82" s="55">
        <f>_xll.EQNXTDZ($A$1,$B82,U$5,$B$1)</f>
        <v>0</v>
      </c>
      <c r="V82" s="55">
        <f>_xll.EQNXTDZ($A$1,$B82,V$5,$B$1)</f>
        <v>7704.34</v>
      </c>
      <c r="W82" s="55">
        <f>_xll.EQNXTDZ($A$1,$B82,W$5,$B$1)</f>
        <v>0</v>
      </c>
      <c r="X82" s="55">
        <f>_xll.EQNXTDZ($A$1,$B82,X$5,$B$1)</f>
        <v>6601.49</v>
      </c>
      <c r="Y82" s="55">
        <f>_xll.EQNXTDZ($A$1,$B82,Y$5,$B$1)</f>
        <v>0</v>
      </c>
      <c r="Z82" s="55">
        <f>_xll.EQNXTDZ($A$1,$B82,Z$5,$B$1)</f>
        <v>6069.81</v>
      </c>
      <c r="AA82" s="55">
        <f>_xll.EQNXTDZ($A$1,$B82,AA$5,$B$1)</f>
        <v>0</v>
      </c>
      <c r="AB82" s="55">
        <f>_xll.EQNXTDZ($A$1,$B82,AB$5,$B$1)</f>
        <v>8387.15</v>
      </c>
      <c r="AC82" s="55">
        <f>_xll.EQNXTDZ($A$1,$B82,AC$5,$B$1)</f>
        <v>0</v>
      </c>
      <c r="AD82" s="55">
        <f>_xll.EQNXTDZ($A$1,$B82,AD$5,$B$1)</f>
        <v>8550.99</v>
      </c>
      <c r="AE82" s="55">
        <f>_xll.EQNXTDZ($A$1,$B82,AE$5,$B$1)</f>
        <v>0</v>
      </c>
      <c r="AF82" s="55">
        <f>_xll.EQNXTDZ($A$1,$B82,AF$5,$B$1)</f>
        <v>10430.77</v>
      </c>
      <c r="AG82" s="55">
        <f>_xll.EQNXTDZ($A$1,$B82,AG$5,$B$1)</f>
        <v>0</v>
      </c>
      <c r="AH82" s="55">
        <f>_xll.EQNXTDZ($A$1,$B82,AH$5,$B$1)</f>
        <v>8366.4699999999993</v>
      </c>
      <c r="AI82" s="55">
        <f>_xll.EQNXTDZ($A$1,$B82,AI$5,$B$1)</f>
        <v>0</v>
      </c>
      <c r="AJ82" s="55">
        <f>_xll.EQNXTDZ($A$1,$B82,AJ$5,$B$1)</f>
        <v>12636.36</v>
      </c>
      <c r="AK82" s="55">
        <f>_xll.EQNXTDZ($A$1,$B82,AK$5,$B$1)</f>
        <v>0</v>
      </c>
      <c r="AL82" s="55">
        <f>_xll.EQNXTDZ($A$1,$B82,AL$5,$B$1)</f>
        <v>11839.28</v>
      </c>
      <c r="AM82" s="55">
        <f>_xll.EQNXTDZ($A$1,$B82,AM$5,$B$1)</f>
        <v>0</v>
      </c>
      <c r="AN82" s="55">
        <f>_xll.EQNXTDZ($A$1,$B82,AN$5,$B$1)</f>
        <v>11709.17</v>
      </c>
      <c r="AO82" s="55">
        <f>_xll.EQNXTDZ($A$1,$B82,AO$5,$B$1)</f>
        <v>0</v>
      </c>
      <c r="AP82" s="55">
        <f>_xll.EQNXTDZ($A$1,$B82,AP$5,$B$1)</f>
        <v>9560.92</v>
      </c>
      <c r="AQ82" s="55">
        <f>_xll.EQNXTDZ($A$1,$B82,AQ$5,$B$1)</f>
        <v>0</v>
      </c>
      <c r="AR82" s="55">
        <f>_xll.EQNXTDZ($A$1,$B82,AR$5,$B$1)</f>
        <v>9151.83</v>
      </c>
      <c r="AS82" s="55">
        <f>_xll.EQNXTDZ($A$1,$B82,AS$5,$B$1)</f>
        <v>0</v>
      </c>
      <c r="AT82" s="55">
        <f>_xll.EQNXTDZ($A$1,$B82,AT$5,$B$1)</f>
        <v>11529.36</v>
      </c>
      <c r="AU82" s="55">
        <f>_xll.EQNXTDZ($A$1,$B82,AU$5,$B$1)</f>
        <v>0</v>
      </c>
      <c r="AV82" s="55">
        <f>_xll.EQNXTDZ($A$1,$B82,AV$5,$B$1)</f>
        <v>10546.25</v>
      </c>
      <c r="AW82" s="55">
        <f>_xll.EQNXTDZ($A$1,$B82,AW$5,$B$1)</f>
        <v>0</v>
      </c>
      <c r="AX82" s="55">
        <f>_xll.EQNXTDZ($A$1,$B82,AX$5,$B$1)</f>
        <v>11677.48</v>
      </c>
      <c r="AY82" s="55">
        <f>_xll.EQNXTDZ($A$1,$B82,AY$5,$B$1)</f>
        <v>0</v>
      </c>
      <c r="AZ82" s="55">
        <f>_xll.EQNXTDZ($A$1,$B82,AZ$5,$B$1)</f>
        <v>14702.57</v>
      </c>
      <c r="BA82" s="55">
        <f>_xll.EQNXTDZ($A$1,$B82,BA$5,$B$1)</f>
        <v>0</v>
      </c>
      <c r="BB82" s="55">
        <f>_xll.EQNXTDZ($A$1,$B82,BB$5,$B$1)</f>
        <v>13022.07</v>
      </c>
      <c r="BC82" s="55">
        <f>_xll.EQNXTDZ($A$1,$B82,BC$5,$B$1)</f>
        <v>0</v>
      </c>
      <c r="BD82" s="55">
        <f>_xll.EQNXTDZ($A$1,$B82,BD$5,$B$1)</f>
        <v>9437.92</v>
      </c>
      <c r="BE82" s="55">
        <f>_xll.EQNXTDZ($A$1,$B82,BE$5,$B$1)</f>
        <v>0</v>
      </c>
      <c r="BF82" s="55">
        <f>_xll.EQNXTDZ($A$1,$B82,BF$5,$B$1)</f>
        <v>11791.37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2497.4699999999998</v>
      </c>
      <c r="E83" s="55">
        <f>_xll.EQNXTDZ($A$1,$B83,E$5,$B$1)</f>
        <v>0</v>
      </c>
      <c r="F83" s="55">
        <f>_xll.EQNXTDZ($A$1,$B83,F$5,$B$1)</f>
        <v>1718.09</v>
      </c>
      <c r="G83" s="55">
        <f>_xll.EQNXTDZ($A$1,$B83,G$5,$B$1)</f>
        <v>0</v>
      </c>
      <c r="H83" s="55">
        <f>_xll.EQNXTDZ($A$1,$B83,H$5,$B$1)</f>
        <v>1455.43</v>
      </c>
      <c r="I83" s="55">
        <f>_xll.EQNXTDZ($A$1,$B83,I$5,$B$1)</f>
        <v>0</v>
      </c>
      <c r="J83" s="55">
        <f>_xll.EQNXTDZ($A$1,$B83,J$5,$B$1)</f>
        <v>830.63</v>
      </c>
      <c r="K83" s="55">
        <f>_xll.EQNXTDZ($A$1,$B83,K$5,$B$1)</f>
        <v>0</v>
      </c>
      <c r="L83" s="55">
        <f>_xll.EQNXTDZ($A$1,$B83,L$5,$B$1)</f>
        <v>1351.85</v>
      </c>
      <c r="M83" s="55">
        <f>_xll.EQNXTDZ($A$1,$B83,M$5,$B$1)</f>
        <v>0</v>
      </c>
      <c r="N83" s="55">
        <f>_xll.EQNXTDZ($A$1,$B83,N$5,$B$1)</f>
        <v>856.25</v>
      </c>
      <c r="O83" s="55">
        <f>_xll.EQNXTDZ($A$1,$B83,O$5,$B$1)</f>
        <v>0</v>
      </c>
      <c r="P83" s="55">
        <f>_xll.EQNXTDZ($A$1,$B83,P$5,$B$1)</f>
        <v>725.04</v>
      </c>
      <c r="Q83" s="55">
        <f>_xll.EQNXTDZ($A$1,$B83,Q$5,$B$1)</f>
        <v>0</v>
      </c>
      <c r="R83" s="55">
        <f>_xll.EQNXTDZ($A$1,$B83,R$5,$B$1)</f>
        <v>868.7</v>
      </c>
      <c r="S83" s="55">
        <f>_xll.EQNXTDZ($A$1,$B83,S$5,$B$1)</f>
        <v>0</v>
      </c>
      <c r="T83" s="55">
        <f>_xll.EQNXTDZ($A$1,$B83,T$5,$B$1)</f>
        <v>618.47</v>
      </c>
      <c r="U83" s="55">
        <f>_xll.EQNXTDZ($A$1,$B83,U$5,$B$1)</f>
        <v>0</v>
      </c>
      <c r="V83" s="55">
        <f>_xll.EQNXTDZ($A$1,$B83,V$5,$B$1)</f>
        <v>604.16999999999996</v>
      </c>
      <c r="W83" s="55">
        <f>_xll.EQNXTDZ($A$1,$B83,W$5,$B$1)</f>
        <v>0</v>
      </c>
      <c r="X83" s="55">
        <f>_xll.EQNXTDZ($A$1,$B83,X$5,$B$1)</f>
        <v>836.31</v>
      </c>
      <c r="Y83" s="55">
        <f>_xll.EQNXTDZ($A$1,$B83,Y$5,$B$1)</f>
        <v>0</v>
      </c>
      <c r="Z83" s="55">
        <f>_xll.EQNXTDZ($A$1,$B83,Z$5,$B$1)</f>
        <v>856.61</v>
      </c>
      <c r="AA83" s="55">
        <f>_xll.EQNXTDZ($A$1,$B83,AA$5,$B$1)</f>
        <v>0</v>
      </c>
      <c r="AB83" s="55">
        <f>_xll.EQNXTDZ($A$1,$B83,AB$5,$B$1)</f>
        <v>1195.01</v>
      </c>
      <c r="AC83" s="55">
        <f>_xll.EQNXTDZ($A$1,$B83,AC$5,$B$1)</f>
        <v>0</v>
      </c>
      <c r="AD83" s="55">
        <f>_xll.EQNXTDZ($A$1,$B83,AD$5,$B$1)</f>
        <v>915.88</v>
      </c>
      <c r="AE83" s="55">
        <f>_xll.EQNXTDZ($A$1,$B83,AE$5,$B$1)</f>
        <v>0</v>
      </c>
      <c r="AF83" s="55">
        <f>_xll.EQNXTDZ($A$1,$B83,AF$5,$B$1)</f>
        <v>1159.6500000000001</v>
      </c>
      <c r="AG83" s="55">
        <f>_xll.EQNXTDZ($A$1,$B83,AG$5,$B$1)</f>
        <v>0</v>
      </c>
      <c r="AH83" s="55">
        <f>_xll.EQNXTDZ($A$1,$B83,AH$5,$B$1)</f>
        <v>1979.31</v>
      </c>
      <c r="AI83" s="55">
        <f>_xll.EQNXTDZ($A$1,$B83,AI$5,$B$1)</f>
        <v>0</v>
      </c>
      <c r="AJ83" s="55">
        <f>_xll.EQNXTDZ($A$1,$B83,AJ$5,$B$1)</f>
        <v>1618.22</v>
      </c>
      <c r="AK83" s="55">
        <f>_xll.EQNXTDZ($A$1,$B83,AK$5,$B$1)</f>
        <v>0</v>
      </c>
      <c r="AL83" s="55">
        <f>_xll.EQNXTDZ($A$1,$B83,AL$5,$B$1)</f>
        <v>1607.32</v>
      </c>
      <c r="AM83" s="55">
        <f>_xll.EQNXTDZ($A$1,$B83,AM$5,$B$1)</f>
        <v>0</v>
      </c>
      <c r="AN83" s="55">
        <f>_xll.EQNXTDZ($A$1,$B83,AN$5,$B$1)</f>
        <v>1663.05</v>
      </c>
      <c r="AO83" s="55">
        <f>_xll.EQNXTDZ($A$1,$B83,AO$5,$B$1)</f>
        <v>0</v>
      </c>
      <c r="AP83" s="55">
        <f>_xll.EQNXTDZ($A$1,$B83,AP$5,$B$1)</f>
        <v>2364.6799999999998</v>
      </c>
      <c r="AQ83" s="55">
        <f>_xll.EQNXTDZ($A$1,$B83,AQ$5,$B$1)</f>
        <v>0</v>
      </c>
      <c r="AR83" s="55">
        <f>_xll.EQNXTDZ($A$1,$B83,AR$5,$B$1)</f>
        <v>2019.04</v>
      </c>
      <c r="AS83" s="55">
        <f>_xll.EQNXTDZ($A$1,$B83,AS$5,$B$1)</f>
        <v>0</v>
      </c>
      <c r="AT83" s="55">
        <f>_xll.EQNXTDZ($A$1,$B83,AT$5,$B$1)</f>
        <v>1873.65</v>
      </c>
      <c r="AU83" s="55">
        <f>_xll.EQNXTDZ($A$1,$B83,AU$5,$B$1)</f>
        <v>0</v>
      </c>
      <c r="AV83" s="55">
        <f>_xll.EQNXTDZ($A$1,$B83,AV$5,$B$1)</f>
        <v>2765.39</v>
      </c>
      <c r="AW83" s="55">
        <f>_xll.EQNXTDZ($A$1,$B83,AW$5,$B$1)</f>
        <v>0</v>
      </c>
      <c r="AX83" s="55">
        <f>_xll.EQNXTDZ($A$1,$B83,AX$5,$B$1)</f>
        <v>7211.76</v>
      </c>
      <c r="AY83" s="55">
        <f>_xll.EQNXTDZ($A$1,$B83,AY$5,$B$1)</f>
        <v>0</v>
      </c>
      <c r="AZ83" s="55">
        <f>_xll.EQNXTDZ($A$1,$B83,AZ$5,$B$1)</f>
        <v>6121.64</v>
      </c>
      <c r="BA83" s="55">
        <f>_xll.EQNXTDZ($A$1,$B83,BA$5,$B$1)</f>
        <v>0</v>
      </c>
      <c r="BB83" s="55">
        <f>_xll.EQNXTDZ($A$1,$B83,BB$5,$B$1)</f>
        <v>6119.88</v>
      </c>
      <c r="BC83" s="55">
        <f>_xll.EQNXTDZ($A$1,$B83,BC$5,$B$1)</f>
        <v>0</v>
      </c>
      <c r="BD83" s="55">
        <f>_xll.EQNXTDZ($A$1,$B83,BD$5,$B$1)</f>
        <v>10291.040000000001</v>
      </c>
      <c r="BE83" s="55">
        <f>_xll.EQNXTDZ($A$1,$B83,BE$5,$B$1)</f>
        <v>0</v>
      </c>
      <c r="BF83" s="55">
        <f>_xll.EQNXTDZ($A$1,$B83,BF$5,$B$1)</f>
        <v>6926.32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569.54999999999995</v>
      </c>
      <c r="E84" s="55">
        <f>_xll.EQNXTDZ($A$1,$B84,E$5,$B$1)</f>
        <v>0</v>
      </c>
      <c r="F84" s="55">
        <f>_xll.EQNXTDZ($A$1,$B84,F$5,$B$1)</f>
        <v>635.96</v>
      </c>
      <c r="G84" s="55">
        <f>_xll.EQNXTDZ($A$1,$B84,G$5,$B$1)</f>
        <v>0</v>
      </c>
      <c r="H84" s="55">
        <f>_xll.EQNXTDZ($A$1,$B84,H$5,$B$1)</f>
        <v>1317.43</v>
      </c>
      <c r="I84" s="55">
        <f>_xll.EQNXTDZ($A$1,$B84,I$5,$B$1)</f>
        <v>0</v>
      </c>
      <c r="J84" s="55">
        <f>_xll.EQNXTDZ($A$1,$B84,J$5,$B$1)</f>
        <v>2874.25</v>
      </c>
      <c r="K84" s="55">
        <f>_xll.EQNXTDZ($A$1,$B84,K$5,$B$1)</f>
        <v>0</v>
      </c>
      <c r="L84" s="55">
        <f>_xll.EQNXTDZ($A$1,$B84,L$5,$B$1)</f>
        <v>2482.9499999999998</v>
      </c>
      <c r="M84" s="55">
        <f>_xll.EQNXTDZ($A$1,$B84,M$5,$B$1)</f>
        <v>0</v>
      </c>
      <c r="N84" s="55">
        <f>_xll.EQNXTDZ($A$1,$B84,N$5,$B$1)</f>
        <v>3253.89</v>
      </c>
      <c r="O84" s="55">
        <f>_xll.EQNXTDZ($A$1,$B84,O$5,$B$1)</f>
        <v>0</v>
      </c>
      <c r="P84" s="55">
        <f>_xll.EQNXTDZ($A$1,$B84,P$5,$B$1)</f>
        <v>1739.9</v>
      </c>
      <c r="Q84" s="55">
        <f>_xll.EQNXTDZ($A$1,$B84,Q$5,$B$1)</f>
        <v>0</v>
      </c>
      <c r="R84" s="55">
        <f>_xll.EQNXTDZ($A$1,$B84,R$5,$B$1)</f>
        <v>555.64</v>
      </c>
      <c r="S84" s="55">
        <f>_xll.EQNXTDZ($A$1,$B84,S$5,$B$1)</f>
        <v>0</v>
      </c>
      <c r="T84" s="55">
        <f>_xll.EQNXTDZ($A$1,$B84,T$5,$B$1)</f>
        <v>4709.53</v>
      </c>
      <c r="U84" s="55">
        <f>_xll.EQNXTDZ($A$1,$B84,U$5,$B$1)</f>
        <v>0</v>
      </c>
      <c r="V84" s="55">
        <f>_xll.EQNXTDZ($A$1,$B84,V$5,$B$1)</f>
        <v>3295.69</v>
      </c>
      <c r="W84" s="55">
        <f>_xll.EQNXTDZ($A$1,$B84,W$5,$B$1)</f>
        <v>0</v>
      </c>
      <c r="X84" s="55">
        <f>_xll.EQNXTDZ($A$1,$B84,X$5,$B$1)</f>
        <v>4584.03</v>
      </c>
      <c r="Y84" s="55">
        <f>_xll.EQNXTDZ($A$1,$B84,Y$5,$B$1)</f>
        <v>0</v>
      </c>
      <c r="Z84" s="55">
        <f>_xll.EQNXTDZ($A$1,$B84,Z$5,$B$1)</f>
        <v>6152.46</v>
      </c>
      <c r="AA84" s="55">
        <f>_xll.EQNXTDZ($A$1,$B84,AA$5,$B$1)</f>
        <v>0</v>
      </c>
      <c r="AB84" s="55">
        <f>_xll.EQNXTDZ($A$1,$B84,AB$5,$B$1)</f>
        <v>4991.78</v>
      </c>
      <c r="AC84" s="55">
        <f>_xll.EQNXTDZ($A$1,$B84,AC$5,$B$1)</f>
        <v>0</v>
      </c>
      <c r="AD84" s="55">
        <f>_xll.EQNXTDZ($A$1,$B84,AD$5,$B$1)</f>
        <v>2503.17</v>
      </c>
      <c r="AE84" s="55">
        <f>_xll.EQNXTDZ($A$1,$B84,AE$5,$B$1)</f>
        <v>0</v>
      </c>
      <c r="AF84" s="55">
        <f>_xll.EQNXTDZ($A$1,$B84,AF$5,$B$1)</f>
        <v>1632.86</v>
      </c>
      <c r="AG84" s="55">
        <f>_xll.EQNXTDZ($A$1,$B84,AG$5,$B$1)</f>
        <v>0</v>
      </c>
      <c r="AH84" s="55">
        <f>_xll.EQNXTDZ($A$1,$B84,AH$5,$B$1)</f>
        <v>1718.79</v>
      </c>
      <c r="AI84" s="55">
        <f>_xll.EQNXTDZ($A$1,$B84,AI$5,$B$1)</f>
        <v>0</v>
      </c>
      <c r="AJ84" s="55">
        <f>_xll.EQNXTDZ($A$1,$B84,AJ$5,$B$1)</f>
        <v>1675.49</v>
      </c>
      <c r="AK84" s="55">
        <f>_xll.EQNXTDZ($A$1,$B84,AK$5,$B$1)</f>
        <v>0</v>
      </c>
      <c r="AL84" s="55">
        <f>_xll.EQNXTDZ($A$1,$B84,AL$5,$B$1)</f>
        <v>2141.7199999999998</v>
      </c>
      <c r="AM84" s="55">
        <f>_xll.EQNXTDZ($A$1,$B84,AM$5,$B$1)</f>
        <v>0</v>
      </c>
      <c r="AN84" s="55">
        <f>_xll.EQNXTDZ($A$1,$B84,AN$5,$B$1)</f>
        <v>2825.05</v>
      </c>
      <c r="AO84" s="55">
        <f>_xll.EQNXTDZ($A$1,$B84,AO$5,$B$1)</f>
        <v>0</v>
      </c>
      <c r="AP84" s="55">
        <f>_xll.EQNXTDZ($A$1,$B84,AP$5,$B$1)</f>
        <v>1853.34</v>
      </c>
      <c r="AQ84" s="55">
        <f>_xll.EQNXTDZ($A$1,$B84,AQ$5,$B$1)</f>
        <v>0</v>
      </c>
      <c r="AR84" s="55">
        <f>_xll.EQNXTDZ($A$1,$B84,AR$5,$B$1)</f>
        <v>3178.48</v>
      </c>
      <c r="AS84" s="55">
        <f>_xll.EQNXTDZ($A$1,$B84,AS$5,$B$1)</f>
        <v>0</v>
      </c>
      <c r="AT84" s="55">
        <f>_xll.EQNXTDZ($A$1,$B84,AT$5,$B$1)</f>
        <v>2460.06</v>
      </c>
      <c r="AU84" s="55">
        <f>_xll.EQNXTDZ($A$1,$B84,AU$5,$B$1)</f>
        <v>0</v>
      </c>
      <c r="AV84" s="55">
        <f>_xll.EQNXTDZ($A$1,$B84,AV$5,$B$1)</f>
        <v>3113.78</v>
      </c>
      <c r="AW84" s="55">
        <f>_xll.EQNXTDZ($A$1,$B84,AW$5,$B$1)</f>
        <v>0</v>
      </c>
      <c r="AX84" s="55">
        <f>_xll.EQNXTDZ($A$1,$B84,AX$5,$B$1)</f>
        <v>2178.25</v>
      </c>
      <c r="AY84" s="55">
        <f>_xll.EQNXTDZ($A$1,$B84,AY$5,$B$1)</f>
        <v>0</v>
      </c>
      <c r="AZ84" s="55">
        <f>_xll.EQNXTDZ($A$1,$B84,AZ$5,$B$1)</f>
        <v>2002.88</v>
      </c>
      <c r="BA84" s="55">
        <f>_xll.EQNXTDZ($A$1,$B84,BA$5,$B$1)</f>
        <v>0</v>
      </c>
      <c r="BB84" s="55">
        <f>_xll.EQNXTDZ($A$1,$B84,BB$5,$B$1)</f>
        <v>2809.7</v>
      </c>
      <c r="BC84" s="55">
        <f>_xll.EQNXTDZ($A$1,$B84,BC$5,$B$1)</f>
        <v>0</v>
      </c>
      <c r="BD84" s="55">
        <f>_xll.EQNXTDZ($A$1,$B84,BD$5,$B$1)</f>
        <v>3724.21</v>
      </c>
      <c r="BE84" s="55">
        <f>_xll.EQNXTDZ($A$1,$B84,BE$5,$B$1)</f>
        <v>0</v>
      </c>
      <c r="BF84" s="55">
        <f>_xll.EQNXTDZ($A$1,$B84,BF$5,$B$1)</f>
        <v>4844.57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303.79000000000002</v>
      </c>
      <c r="E85" s="55">
        <f>_xll.EQNXTDZ($A$1,$B85,E$5,$B$1)</f>
        <v>0</v>
      </c>
      <c r="F85" s="55">
        <f>_xll.EQNXTDZ($A$1,$B85,F$5,$B$1)</f>
        <v>371.85</v>
      </c>
      <c r="G85" s="55">
        <f>_xll.EQNXTDZ($A$1,$B85,G$5,$B$1)</f>
        <v>0</v>
      </c>
      <c r="H85" s="55">
        <f>_xll.EQNXTDZ($A$1,$B85,H$5,$B$1)</f>
        <v>779.74</v>
      </c>
      <c r="I85" s="55">
        <f>_xll.EQNXTDZ($A$1,$B85,I$5,$B$1)</f>
        <v>0</v>
      </c>
      <c r="J85" s="55">
        <f>_xll.EQNXTDZ($A$1,$B85,J$5,$B$1)</f>
        <v>469.81</v>
      </c>
      <c r="K85" s="55">
        <f>_xll.EQNXTDZ($A$1,$B85,K$5,$B$1)</f>
        <v>0</v>
      </c>
      <c r="L85" s="55">
        <f>_xll.EQNXTDZ($A$1,$B85,L$5,$B$1)</f>
        <v>908.76</v>
      </c>
      <c r="M85" s="55">
        <f>_xll.EQNXTDZ($A$1,$B85,M$5,$B$1)</f>
        <v>0</v>
      </c>
      <c r="N85" s="55">
        <f>_xll.EQNXTDZ($A$1,$B85,N$5,$B$1)</f>
        <v>805.94</v>
      </c>
      <c r="O85" s="55">
        <f>_xll.EQNXTDZ($A$1,$B85,O$5,$B$1)</f>
        <v>0</v>
      </c>
      <c r="P85" s="55">
        <f>_xll.EQNXTDZ($A$1,$B85,P$5,$B$1)</f>
        <v>625.04999999999995</v>
      </c>
      <c r="Q85" s="55">
        <f>_xll.EQNXTDZ($A$1,$B85,Q$5,$B$1)</f>
        <v>0</v>
      </c>
      <c r="R85" s="55">
        <f>_xll.EQNXTDZ($A$1,$B85,R$5,$B$1)</f>
        <v>704.99</v>
      </c>
      <c r="S85" s="55">
        <f>_xll.EQNXTDZ($A$1,$B85,S$5,$B$1)</f>
        <v>0</v>
      </c>
      <c r="T85" s="55">
        <f>_xll.EQNXTDZ($A$1,$B85,T$5,$B$1)</f>
        <v>1.4</v>
      </c>
      <c r="U85" s="55">
        <f>_xll.EQNXTDZ($A$1,$B85,U$5,$B$1)</f>
        <v>0</v>
      </c>
      <c r="V85" s="55">
        <f>_xll.EQNXTDZ($A$1,$B85,V$5,$B$1)</f>
        <v>2</v>
      </c>
      <c r="W85" s="55">
        <f>_xll.EQNXTDZ($A$1,$B85,W$5,$B$1)</f>
        <v>0</v>
      </c>
      <c r="X85" s="55">
        <f>_xll.EQNXTDZ($A$1,$B85,X$5,$B$1)</f>
        <v>2.41</v>
      </c>
      <c r="Y85" s="55">
        <f>_xll.EQNXTDZ($A$1,$B85,Y$5,$B$1)</f>
        <v>0</v>
      </c>
      <c r="Z85" s="55">
        <f>_xll.EQNXTDZ($A$1,$B85,Z$5,$B$1)</f>
        <v>3.66</v>
      </c>
      <c r="AA85" s="55">
        <f>_xll.EQNXTDZ($A$1,$B85,AA$5,$B$1)</f>
        <v>0</v>
      </c>
      <c r="AB85" s="55">
        <f>_xll.EQNXTDZ($A$1,$B85,AB$5,$B$1)</f>
        <v>3.67</v>
      </c>
      <c r="AC85" s="55">
        <f>_xll.EQNXTDZ($A$1,$B85,AC$5,$B$1)</f>
        <v>0</v>
      </c>
      <c r="AD85" s="55">
        <f>_xll.EQNXTDZ($A$1,$B85,AD$5,$B$1)</f>
        <v>5.7</v>
      </c>
      <c r="AE85" s="55">
        <f>_xll.EQNXTDZ($A$1,$B85,AE$5,$B$1)</f>
        <v>0</v>
      </c>
      <c r="AF85" s="55">
        <f>_xll.EQNXTDZ($A$1,$B85,AF$5,$B$1)</f>
        <v>6.32</v>
      </c>
      <c r="AG85" s="55">
        <f>_xll.EQNXTDZ($A$1,$B85,AG$5,$B$1)</f>
        <v>0</v>
      </c>
      <c r="AH85" s="55">
        <f>_xll.EQNXTDZ($A$1,$B85,AH$5,$B$1)</f>
        <v>3.05</v>
      </c>
      <c r="AI85" s="55">
        <f>_xll.EQNXTDZ($A$1,$B85,AI$5,$B$1)</f>
        <v>0</v>
      </c>
      <c r="AJ85" s="55">
        <f>_xll.EQNXTDZ($A$1,$B85,AJ$5,$B$1)</f>
        <v>5.89</v>
      </c>
      <c r="AK85" s="55">
        <f>_xll.EQNXTDZ($A$1,$B85,AK$5,$B$1)</f>
        <v>0</v>
      </c>
      <c r="AL85" s="55">
        <f>_xll.EQNXTDZ($A$1,$B85,AL$5,$B$1)</f>
        <v>8.83</v>
      </c>
      <c r="AM85" s="55">
        <f>_xll.EQNXTDZ($A$1,$B85,AM$5,$B$1)</f>
        <v>0</v>
      </c>
      <c r="AN85" s="55">
        <f>_xll.EQNXTDZ($A$1,$B85,AN$5,$B$1)</f>
        <v>7.37</v>
      </c>
      <c r="AO85" s="55">
        <f>_xll.EQNXTDZ($A$1,$B85,AO$5,$B$1)</f>
        <v>0</v>
      </c>
      <c r="AP85" s="55">
        <f>_xll.EQNXTDZ($A$1,$B85,AP$5,$B$1)</f>
        <v>7.62</v>
      </c>
      <c r="AQ85" s="55">
        <f>_xll.EQNXTDZ($A$1,$B85,AQ$5,$B$1)</f>
        <v>0</v>
      </c>
      <c r="AR85" s="55">
        <f>_xll.EQNXTDZ($A$1,$B85,AR$5,$B$1)</f>
        <v>7.16</v>
      </c>
      <c r="AS85" s="55">
        <f>_xll.EQNXTDZ($A$1,$B85,AS$5,$B$1)</f>
        <v>0</v>
      </c>
      <c r="AT85" s="55">
        <f>_xll.EQNXTDZ($A$1,$B85,AT$5,$B$1)</f>
        <v>3.19</v>
      </c>
      <c r="AU85" s="55">
        <f>_xll.EQNXTDZ($A$1,$B85,AU$5,$B$1)</f>
        <v>0</v>
      </c>
      <c r="AV85" s="55">
        <f>_xll.EQNXTDZ($A$1,$B85,AV$5,$B$1)</f>
        <v>2.86</v>
      </c>
      <c r="AW85" s="55">
        <f>_xll.EQNXTDZ($A$1,$B85,AW$5,$B$1)</f>
        <v>0</v>
      </c>
      <c r="AX85" s="55">
        <f>_xll.EQNXTDZ($A$1,$B85,AX$5,$B$1)</f>
        <v>3.49</v>
      </c>
      <c r="AY85" s="55">
        <f>_xll.EQNXTDZ($A$1,$B85,AY$5,$B$1)</f>
        <v>0</v>
      </c>
      <c r="AZ85" s="55">
        <f>_xll.EQNXTDZ($A$1,$B85,AZ$5,$B$1)</f>
        <v>8.1</v>
      </c>
      <c r="BA85" s="55">
        <f>_xll.EQNXTDZ($A$1,$B85,BA$5,$B$1)</f>
        <v>0</v>
      </c>
      <c r="BB85" s="55">
        <f>_xll.EQNXTDZ($A$1,$B85,BB$5,$B$1)</f>
        <v>6.82</v>
      </c>
      <c r="BC85" s="55">
        <f>_xll.EQNXTDZ($A$1,$B85,BC$5,$B$1)</f>
        <v>0</v>
      </c>
      <c r="BD85" s="55">
        <f>_xll.EQNXTDZ($A$1,$B85,BD$5,$B$1)</f>
        <v>8.06</v>
      </c>
      <c r="BE85" s="55">
        <f>_xll.EQNXTDZ($A$1,$B85,BE$5,$B$1)</f>
        <v>0</v>
      </c>
      <c r="BF85" s="55">
        <f>_xll.EQNXTDZ($A$1,$B85,BF$5,$B$1)</f>
        <v>10.99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5047.3599999999997</v>
      </c>
      <c r="E86" s="55">
        <f>_xll.EQNXTDZ($A$1,$B86,E$5,$B$1)</f>
        <v>0</v>
      </c>
      <c r="F86" s="55">
        <f>_xll.EQNXTDZ($A$1,$B86,F$5,$B$1)</f>
        <v>5052.41</v>
      </c>
      <c r="G86" s="55">
        <f>_xll.EQNXTDZ($A$1,$B86,G$5,$B$1)</f>
        <v>0</v>
      </c>
      <c r="H86" s="55">
        <f>_xll.EQNXTDZ($A$1,$B86,H$5,$B$1)</f>
        <v>6386.14</v>
      </c>
      <c r="I86" s="55">
        <f>_xll.EQNXTDZ($A$1,$B86,I$5,$B$1)</f>
        <v>0</v>
      </c>
      <c r="J86" s="55">
        <f>_xll.EQNXTDZ($A$1,$B86,J$5,$B$1)</f>
        <v>7104.23</v>
      </c>
      <c r="K86" s="55">
        <f>_xll.EQNXTDZ($A$1,$B86,K$5,$B$1)</f>
        <v>0</v>
      </c>
      <c r="L86" s="55">
        <f>_xll.EQNXTDZ($A$1,$B86,L$5,$B$1)</f>
        <v>10054.65</v>
      </c>
      <c r="M86" s="55">
        <f>_xll.EQNXTDZ($A$1,$B86,M$5,$B$1)</f>
        <v>0</v>
      </c>
      <c r="N86" s="55">
        <f>_xll.EQNXTDZ($A$1,$B86,N$5,$B$1)</f>
        <v>10391.959999999999</v>
      </c>
      <c r="O86" s="55">
        <f>_xll.EQNXTDZ($A$1,$B86,O$5,$B$1)</f>
        <v>0</v>
      </c>
      <c r="P86" s="55">
        <f>_xll.EQNXTDZ($A$1,$B86,P$5,$B$1)</f>
        <v>12557.62</v>
      </c>
      <c r="Q86" s="55">
        <f>_xll.EQNXTDZ($A$1,$B86,Q$5,$B$1)</f>
        <v>0</v>
      </c>
      <c r="R86" s="55">
        <f>_xll.EQNXTDZ($A$1,$B86,R$5,$B$1)</f>
        <v>16225.18</v>
      </c>
      <c r="S86" s="55">
        <f>_xll.EQNXTDZ($A$1,$B86,S$5,$B$1)</f>
        <v>0</v>
      </c>
      <c r="T86" s="55">
        <f>_xll.EQNXTDZ($A$1,$B86,T$5,$B$1)</f>
        <v>16469.509999999998</v>
      </c>
      <c r="U86" s="55">
        <f>_xll.EQNXTDZ($A$1,$B86,U$5,$B$1)</f>
        <v>0</v>
      </c>
      <c r="V86" s="55">
        <f>_xll.EQNXTDZ($A$1,$B86,V$5,$B$1)</f>
        <v>13530.93</v>
      </c>
      <c r="W86" s="55">
        <f>_xll.EQNXTDZ($A$1,$B86,W$5,$B$1)</f>
        <v>0</v>
      </c>
      <c r="X86" s="55">
        <f>_xll.EQNXTDZ($A$1,$B86,X$5,$B$1)</f>
        <v>13859.2</v>
      </c>
      <c r="Y86" s="55">
        <f>_xll.EQNXTDZ($A$1,$B86,Y$5,$B$1)</f>
        <v>0</v>
      </c>
      <c r="Z86" s="55">
        <f>_xll.EQNXTDZ($A$1,$B86,Z$5,$B$1)</f>
        <v>13956.52</v>
      </c>
      <c r="AA86" s="55">
        <f>_xll.EQNXTDZ($A$1,$B86,AA$5,$B$1)</f>
        <v>0</v>
      </c>
      <c r="AB86" s="55">
        <f>_xll.EQNXTDZ($A$1,$B86,AB$5,$B$1)</f>
        <v>16204.79</v>
      </c>
      <c r="AC86" s="55">
        <f>_xll.EQNXTDZ($A$1,$B86,AC$5,$B$1)</f>
        <v>0</v>
      </c>
      <c r="AD86" s="55">
        <f>_xll.EQNXTDZ($A$1,$B86,AD$5,$B$1)</f>
        <v>13202.53</v>
      </c>
      <c r="AE86" s="55">
        <f>_xll.EQNXTDZ($A$1,$B86,AE$5,$B$1)</f>
        <v>0</v>
      </c>
      <c r="AF86" s="55">
        <f>_xll.EQNXTDZ($A$1,$B86,AF$5,$B$1)</f>
        <v>15036.04</v>
      </c>
      <c r="AG86" s="55">
        <f>_xll.EQNXTDZ($A$1,$B86,AG$5,$B$1)</f>
        <v>0</v>
      </c>
      <c r="AH86" s="55">
        <f>_xll.EQNXTDZ($A$1,$B86,AH$5,$B$1)</f>
        <v>14593.18</v>
      </c>
      <c r="AI86" s="55">
        <f>_xll.EQNXTDZ($A$1,$B86,AI$5,$B$1)</f>
        <v>0</v>
      </c>
      <c r="AJ86" s="55">
        <f>_xll.EQNXTDZ($A$1,$B86,AJ$5,$B$1)</f>
        <v>17824.86</v>
      </c>
      <c r="AK86" s="55">
        <f>_xll.EQNXTDZ($A$1,$B86,AK$5,$B$1)</f>
        <v>0</v>
      </c>
      <c r="AL86" s="55">
        <f>_xll.EQNXTDZ($A$1,$B86,AL$5,$B$1)</f>
        <v>17642.349999999999</v>
      </c>
      <c r="AM86" s="55">
        <f>_xll.EQNXTDZ($A$1,$B86,AM$5,$B$1)</f>
        <v>0</v>
      </c>
      <c r="AN86" s="55">
        <f>_xll.EQNXTDZ($A$1,$B86,AN$5,$B$1)</f>
        <v>17162.150000000001</v>
      </c>
      <c r="AO86" s="55">
        <f>_xll.EQNXTDZ($A$1,$B86,AO$5,$B$1)</f>
        <v>0</v>
      </c>
      <c r="AP86" s="55">
        <f>_xll.EQNXTDZ($A$1,$B86,AP$5,$B$1)</f>
        <v>16228.07</v>
      </c>
      <c r="AQ86" s="55">
        <f>_xll.EQNXTDZ($A$1,$B86,AQ$5,$B$1)</f>
        <v>0</v>
      </c>
      <c r="AR86" s="55">
        <f>_xll.EQNXTDZ($A$1,$B86,AR$5,$B$1)</f>
        <v>19343.830000000002</v>
      </c>
      <c r="AS86" s="55">
        <f>_xll.EQNXTDZ($A$1,$B86,AS$5,$B$1)</f>
        <v>0</v>
      </c>
      <c r="AT86" s="55">
        <f>_xll.EQNXTDZ($A$1,$B86,AT$5,$B$1)</f>
        <v>19553</v>
      </c>
      <c r="AU86" s="55">
        <f>_xll.EQNXTDZ($A$1,$B86,AU$5,$B$1)</f>
        <v>0</v>
      </c>
      <c r="AV86" s="55">
        <f>_xll.EQNXTDZ($A$1,$B86,AV$5,$B$1)</f>
        <v>19601.96</v>
      </c>
      <c r="AW86" s="55">
        <f>_xll.EQNXTDZ($A$1,$B86,AW$5,$B$1)</f>
        <v>0</v>
      </c>
      <c r="AX86" s="55">
        <f>_xll.EQNXTDZ($A$1,$B86,AX$5,$B$1)</f>
        <v>25586.58</v>
      </c>
      <c r="AY86" s="55">
        <f>_xll.EQNXTDZ($A$1,$B86,AY$5,$B$1)</f>
        <v>0</v>
      </c>
      <c r="AZ86" s="55">
        <f>_xll.EQNXTDZ($A$1,$B86,AZ$5,$B$1)</f>
        <v>26895.02</v>
      </c>
      <c r="BA86" s="55">
        <f>_xll.EQNXTDZ($A$1,$B86,BA$5,$B$1)</f>
        <v>0</v>
      </c>
      <c r="BB86" s="55">
        <f>_xll.EQNXTDZ($A$1,$B86,BB$5,$B$1)</f>
        <v>26313.45</v>
      </c>
      <c r="BC86" s="55">
        <f>_xll.EQNXTDZ($A$1,$B86,BC$5,$B$1)</f>
        <v>0</v>
      </c>
      <c r="BD86" s="55">
        <f>_xll.EQNXTDZ($A$1,$B86,BD$5,$B$1)</f>
        <v>26651.71</v>
      </c>
      <c r="BE86" s="55">
        <f>_xll.EQNXTDZ($A$1,$B86,BE$5,$B$1)</f>
        <v>0</v>
      </c>
      <c r="BF86" s="55">
        <f>_xll.EQNXTDZ($A$1,$B86,BF$5,$B$1)</f>
        <v>28688.080000000002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8415.5300000000007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4334.04</v>
      </c>
      <c r="E88" s="55">
        <f>_xll.EQNXTDZ($A$1,$B88,E$5,$B$1)</f>
        <v>0</v>
      </c>
      <c r="F88" s="55">
        <f>_xll.EQNXTDZ($A$1,$B88,F$5,$B$1)</f>
        <v>4411.1899999999996</v>
      </c>
      <c r="G88" s="55">
        <f>_xll.EQNXTDZ($A$1,$B88,G$5,$B$1)</f>
        <v>0</v>
      </c>
      <c r="H88" s="55">
        <f>_xll.EQNXTDZ($A$1,$B88,H$5,$B$1)</f>
        <v>5756.27</v>
      </c>
      <c r="I88" s="55">
        <f>_xll.EQNXTDZ($A$1,$B88,I$5,$B$1)</f>
        <v>0</v>
      </c>
      <c r="J88" s="55">
        <f>_xll.EQNXTDZ($A$1,$B88,J$5,$B$1)</f>
        <v>6637.28</v>
      </c>
      <c r="K88" s="55">
        <f>_xll.EQNXTDZ($A$1,$B88,K$5,$B$1)</f>
        <v>0</v>
      </c>
      <c r="L88" s="55">
        <f>_xll.EQNXTDZ($A$1,$B88,L$5,$B$1)</f>
        <v>8562.4</v>
      </c>
      <c r="M88" s="55">
        <f>_xll.EQNXTDZ($A$1,$B88,M$5,$B$1)</f>
        <v>0</v>
      </c>
      <c r="N88" s="55">
        <f>_xll.EQNXTDZ($A$1,$B88,N$5,$B$1)</f>
        <v>6294.85</v>
      </c>
      <c r="O88" s="55">
        <f>_xll.EQNXTDZ($A$1,$B88,O$5,$B$1)</f>
        <v>0</v>
      </c>
      <c r="P88" s="55">
        <f>_xll.EQNXTDZ($A$1,$B88,P$5,$B$1)</f>
        <v>14399.79</v>
      </c>
      <c r="Q88" s="55">
        <f>_xll.EQNXTDZ($A$1,$B88,Q$5,$B$1)</f>
        <v>0</v>
      </c>
      <c r="R88" s="55">
        <f>_xll.EQNXTDZ($A$1,$B88,R$5,$B$1)</f>
        <v>13435.69</v>
      </c>
      <c r="S88" s="55">
        <f>_xll.EQNXTDZ($A$1,$B88,S$5,$B$1)</f>
        <v>0</v>
      </c>
      <c r="T88" s="55">
        <f>_xll.EQNXTDZ($A$1,$B88,T$5,$B$1)</f>
        <v>13335.07</v>
      </c>
      <c r="U88" s="55">
        <f>_xll.EQNXTDZ($A$1,$B88,U$5,$B$1)</f>
        <v>0</v>
      </c>
      <c r="V88" s="55">
        <f>_xll.EQNXTDZ($A$1,$B88,V$5,$B$1)</f>
        <v>12580</v>
      </c>
      <c r="W88" s="55">
        <f>_xll.EQNXTDZ($A$1,$B88,W$5,$B$1)</f>
        <v>0</v>
      </c>
      <c r="X88" s="55">
        <f>_xll.EQNXTDZ($A$1,$B88,X$5,$B$1)</f>
        <v>9429.74</v>
      </c>
      <c r="Y88" s="55">
        <f>_xll.EQNXTDZ($A$1,$B88,Y$5,$B$1)</f>
        <v>0</v>
      </c>
      <c r="Z88" s="55">
        <f>_xll.EQNXTDZ($A$1,$B88,Z$5,$B$1)</f>
        <v>14560.34</v>
      </c>
      <c r="AA88" s="55">
        <f>_xll.EQNXTDZ($A$1,$B88,AA$5,$B$1)</f>
        <v>0</v>
      </c>
      <c r="AB88" s="55">
        <f>_xll.EQNXTDZ($A$1,$B88,AB$5,$B$1)</f>
        <v>12051.27</v>
      </c>
      <c r="AC88" s="55">
        <f>_xll.EQNXTDZ($A$1,$B88,AC$5,$B$1)</f>
        <v>0</v>
      </c>
      <c r="AD88" s="55">
        <f>_xll.EQNXTDZ($A$1,$B88,AD$5,$B$1)</f>
        <v>7073.53</v>
      </c>
      <c r="AE88" s="55">
        <f>_xll.EQNXTDZ($A$1,$B88,AE$5,$B$1)</f>
        <v>0</v>
      </c>
      <c r="AF88" s="55">
        <f>_xll.EQNXTDZ($A$1,$B88,AF$5,$B$1)</f>
        <v>7978.31</v>
      </c>
      <c r="AG88" s="55">
        <f>_xll.EQNXTDZ($A$1,$B88,AG$5,$B$1)</f>
        <v>0</v>
      </c>
      <c r="AH88" s="55">
        <f>_xll.EQNXTDZ($A$1,$B88,AH$5,$B$1)</f>
        <v>7801.81</v>
      </c>
      <c r="AI88" s="55">
        <f>_xll.EQNXTDZ($A$1,$B88,AI$5,$B$1)</f>
        <v>0</v>
      </c>
      <c r="AJ88" s="55">
        <f>_xll.EQNXTDZ($A$1,$B88,AJ$5,$B$1)</f>
        <v>10226.549999999999</v>
      </c>
      <c r="AK88" s="55">
        <f>_xll.EQNXTDZ($A$1,$B88,AK$5,$B$1)</f>
        <v>0</v>
      </c>
      <c r="AL88" s="55">
        <f>_xll.EQNXTDZ($A$1,$B88,AL$5,$B$1)</f>
        <v>12454.27</v>
      </c>
      <c r="AM88" s="55">
        <f>_xll.EQNXTDZ($A$1,$B88,AM$5,$B$1)</f>
        <v>0</v>
      </c>
      <c r="AN88" s="55">
        <f>_xll.EQNXTDZ($A$1,$B88,AN$5,$B$1)</f>
        <v>12538.56</v>
      </c>
      <c r="AO88" s="55">
        <f>_xll.EQNXTDZ($A$1,$B88,AO$5,$B$1)</f>
        <v>0</v>
      </c>
      <c r="AP88" s="55">
        <f>_xll.EQNXTDZ($A$1,$B88,AP$5,$B$1)</f>
        <v>10924.36</v>
      </c>
      <c r="AQ88" s="55">
        <f>_xll.EQNXTDZ($A$1,$B88,AQ$5,$B$1)</f>
        <v>0</v>
      </c>
      <c r="AR88" s="55">
        <f>_xll.EQNXTDZ($A$1,$B88,AR$5,$B$1)</f>
        <v>10489.06</v>
      </c>
      <c r="AS88" s="55">
        <f>_xll.EQNXTDZ($A$1,$B88,AS$5,$B$1)</f>
        <v>0</v>
      </c>
      <c r="AT88" s="55">
        <f>_xll.EQNXTDZ($A$1,$B88,AT$5,$B$1)</f>
        <v>8549.4500000000007</v>
      </c>
      <c r="AU88" s="55">
        <f>_xll.EQNXTDZ($A$1,$B88,AU$5,$B$1)</f>
        <v>0</v>
      </c>
      <c r="AV88" s="55">
        <f>_xll.EQNXTDZ($A$1,$B88,AV$5,$B$1)</f>
        <v>7133.64</v>
      </c>
      <c r="AW88" s="55">
        <f>_xll.EQNXTDZ($A$1,$B88,AW$5,$B$1)</f>
        <v>0</v>
      </c>
      <c r="AX88" s="55">
        <f>_xll.EQNXTDZ($A$1,$B88,AX$5,$B$1)</f>
        <v>7861.85</v>
      </c>
      <c r="AY88" s="55">
        <f>_xll.EQNXTDZ($A$1,$B88,AY$5,$B$1)</f>
        <v>0</v>
      </c>
      <c r="AZ88" s="55">
        <f>_xll.EQNXTDZ($A$1,$B88,AZ$5,$B$1)</f>
        <v>8572.2800000000007</v>
      </c>
      <c r="BA88" s="55">
        <f>_xll.EQNXTDZ($A$1,$B88,BA$5,$B$1)</f>
        <v>0</v>
      </c>
      <c r="BB88" s="55">
        <f>_xll.EQNXTDZ($A$1,$B88,BB$5,$B$1)</f>
        <v>10687.92</v>
      </c>
      <c r="BC88" s="55">
        <f>_xll.EQNXTDZ($A$1,$B88,BC$5,$B$1)</f>
        <v>0</v>
      </c>
      <c r="BD88" s="55">
        <f>_xll.EQNXTDZ($A$1,$B88,BD$5,$B$1)</f>
        <v>11143.87</v>
      </c>
      <c r="BE88" s="55">
        <f>_xll.EQNXTDZ($A$1,$B88,BE$5,$B$1)</f>
        <v>0</v>
      </c>
      <c r="BF88" s="55">
        <f>_xll.EQNXTDZ($A$1,$B88,BF$5,$B$1)</f>
        <v>10725.94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2825.92</v>
      </c>
      <c r="G89" s="55">
        <f>_xll.EQNXTDZ($A$1,$B89,G$5,$B$1)</f>
        <v>0</v>
      </c>
      <c r="H89" s="55">
        <f>_xll.EQNXTDZ($A$1,$B89,H$5,$B$1)</f>
        <v>3394.11</v>
      </c>
      <c r="I89" s="55">
        <f>_xll.EQNXTDZ($A$1,$B89,I$5,$B$1)</f>
        <v>0</v>
      </c>
      <c r="J89" s="55">
        <f>_xll.EQNXTDZ($A$1,$B89,J$5,$B$1)</f>
        <v>3750.87</v>
      </c>
      <c r="K89" s="55">
        <f>_xll.EQNXTDZ($A$1,$B89,K$5,$B$1)</f>
        <v>0</v>
      </c>
      <c r="L89" s="55">
        <f>_xll.EQNXTDZ($A$1,$B89,L$5,$B$1)</f>
        <v>4726.74</v>
      </c>
      <c r="M89" s="55">
        <f>_xll.EQNXTDZ($A$1,$B89,M$5,$B$1)</f>
        <v>0</v>
      </c>
      <c r="N89" s="55">
        <f>_xll.EQNXTDZ($A$1,$B89,N$5,$B$1)</f>
        <v>5684.68</v>
      </c>
      <c r="O89" s="55">
        <f>_xll.EQNXTDZ($A$1,$B89,O$5,$B$1)</f>
        <v>0</v>
      </c>
      <c r="P89" s="55">
        <f>_xll.EQNXTDZ($A$1,$B89,P$5,$B$1)</f>
        <v>5807.05</v>
      </c>
      <c r="Q89" s="55">
        <f>_xll.EQNXTDZ($A$1,$B89,Q$5,$B$1)</f>
        <v>0</v>
      </c>
      <c r="R89" s="55">
        <f>_xll.EQNXTDZ($A$1,$B89,R$5,$B$1)</f>
        <v>6232.21</v>
      </c>
      <c r="S89" s="55">
        <f>_xll.EQNXTDZ($A$1,$B89,S$5,$B$1)</f>
        <v>0</v>
      </c>
      <c r="T89" s="55">
        <f>_xll.EQNXTDZ($A$1,$B89,T$5,$B$1)</f>
        <v>6491.12</v>
      </c>
      <c r="U89" s="55">
        <f>_xll.EQNXTDZ($A$1,$B89,U$5,$B$1)</f>
        <v>0</v>
      </c>
      <c r="V89" s="55">
        <f>_xll.EQNXTDZ($A$1,$B89,V$5,$B$1)</f>
        <v>7399.75</v>
      </c>
      <c r="W89" s="55">
        <f>_xll.EQNXTDZ($A$1,$B89,W$5,$B$1)</f>
        <v>0</v>
      </c>
      <c r="X89" s="55">
        <f>_xll.EQNXTDZ($A$1,$B89,X$5,$B$1)</f>
        <v>7952.58</v>
      </c>
      <c r="Y89" s="55">
        <f>_xll.EQNXTDZ($A$1,$B89,Y$5,$B$1)</f>
        <v>0</v>
      </c>
      <c r="Z89" s="55">
        <f>_xll.EQNXTDZ($A$1,$B89,Z$5,$B$1)</f>
        <v>7626.37</v>
      </c>
      <c r="AA89" s="55">
        <f>_xll.EQNXTDZ($A$1,$B89,AA$5,$B$1)</f>
        <v>0</v>
      </c>
      <c r="AB89" s="55">
        <f>_xll.EQNXTDZ($A$1,$B89,AB$5,$B$1)</f>
        <v>8207.7099999999991</v>
      </c>
      <c r="AC89" s="55">
        <f>_xll.EQNXTDZ($A$1,$B89,AC$5,$B$1)</f>
        <v>0</v>
      </c>
      <c r="AD89" s="55">
        <f>_xll.EQNXTDZ($A$1,$B89,AD$5,$B$1)</f>
        <v>6361.74</v>
      </c>
      <c r="AE89" s="55">
        <f>_xll.EQNXTDZ($A$1,$B89,AE$5,$B$1)</f>
        <v>0</v>
      </c>
      <c r="AF89" s="55">
        <f>_xll.EQNXTDZ($A$1,$B89,AF$5,$B$1)</f>
        <v>6549.9</v>
      </c>
      <c r="AG89" s="55">
        <f>_xll.EQNXTDZ($A$1,$B89,AG$5,$B$1)</f>
        <v>0</v>
      </c>
      <c r="AH89" s="55">
        <f>_xll.EQNXTDZ($A$1,$B89,AH$5,$B$1)</f>
        <v>5596.05</v>
      </c>
      <c r="AI89" s="55">
        <f>_xll.EQNXTDZ($A$1,$B89,AI$5,$B$1)</f>
        <v>0</v>
      </c>
      <c r="AJ89" s="55">
        <f>_xll.EQNXTDZ($A$1,$B89,AJ$5,$B$1)</f>
        <v>3630.7</v>
      </c>
      <c r="AK89" s="55">
        <f>_xll.EQNXTDZ($A$1,$B89,AK$5,$B$1)</f>
        <v>0</v>
      </c>
      <c r="AL89" s="55">
        <f>_xll.EQNXTDZ($A$1,$B89,AL$5,$B$1)</f>
        <v>3803.13</v>
      </c>
      <c r="AM89" s="55">
        <f>_xll.EQNXTDZ($A$1,$B89,AM$5,$B$1)</f>
        <v>0</v>
      </c>
      <c r="AN89" s="55">
        <f>_xll.EQNXTDZ($A$1,$B89,AN$5,$B$1)</f>
        <v>2767.75</v>
      </c>
      <c r="AO89" s="55">
        <f>_xll.EQNXTDZ($A$1,$B89,AO$5,$B$1)</f>
        <v>0</v>
      </c>
      <c r="AP89" s="55">
        <f>_xll.EQNXTDZ($A$1,$B89,AP$5,$B$1)</f>
        <v>3508.21</v>
      </c>
      <c r="AQ89" s="55">
        <f>_xll.EQNXTDZ($A$1,$B89,AQ$5,$B$1)</f>
        <v>0</v>
      </c>
      <c r="AR89" s="55">
        <f>_xll.EQNXTDZ($A$1,$B89,AR$5,$B$1)</f>
        <v>3557.83</v>
      </c>
      <c r="AS89" s="55">
        <f>_xll.EQNXTDZ($A$1,$B89,AS$5,$B$1)</f>
        <v>0</v>
      </c>
      <c r="AT89" s="55">
        <f>_xll.EQNXTDZ($A$1,$B89,AT$5,$B$1)</f>
        <v>3079.45</v>
      </c>
      <c r="AU89" s="55">
        <f>_xll.EQNXTDZ($A$1,$B89,AU$5,$B$1)</f>
        <v>0</v>
      </c>
      <c r="AV89" s="55">
        <f>_xll.EQNXTDZ($A$1,$B89,AV$5,$B$1)</f>
        <v>4395.3500000000004</v>
      </c>
      <c r="AW89" s="55">
        <f>_xll.EQNXTDZ($A$1,$B89,AW$5,$B$1)</f>
        <v>0</v>
      </c>
      <c r="AX89" s="55">
        <f>_xll.EQNXTDZ($A$1,$B89,AX$5,$B$1)</f>
        <v>3608.63</v>
      </c>
      <c r="AY89" s="55">
        <f>_xll.EQNXTDZ($A$1,$B89,AY$5,$B$1)</f>
        <v>0</v>
      </c>
      <c r="AZ89" s="55">
        <f>_xll.EQNXTDZ($A$1,$B89,AZ$5,$B$1)</f>
        <v>3134.05</v>
      </c>
      <c r="BA89" s="55">
        <f>_xll.EQNXTDZ($A$1,$B89,BA$5,$B$1)</f>
        <v>0</v>
      </c>
      <c r="BB89" s="55">
        <f>_xll.EQNXTDZ($A$1,$B89,BB$5,$B$1)</f>
        <v>2977.66</v>
      </c>
      <c r="BC89" s="55">
        <f>_xll.EQNXTDZ($A$1,$B89,BC$5,$B$1)</f>
        <v>0</v>
      </c>
      <c r="BD89" s="55">
        <f>_xll.EQNXTDZ($A$1,$B89,BD$5,$B$1)</f>
        <v>2976.65</v>
      </c>
      <c r="BE89" s="55">
        <f>_xll.EQNXTDZ($A$1,$B89,BE$5,$B$1)</f>
        <v>0</v>
      </c>
      <c r="BF89" s="55">
        <f>_xll.EQNXTDZ($A$1,$B89,BF$5,$B$1)</f>
        <v>2840.53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8055.87</v>
      </c>
      <c r="G91" s="55">
        <f>_xll.EQNXTDZ($A$1,$B91,G$5,$B$1)</f>
        <v>0</v>
      </c>
      <c r="H91" s="55">
        <f>_xll.EQNXTDZ($A$1,$B91,H$5,$B$1)</f>
        <v>8407.42</v>
      </c>
      <c r="I91" s="55">
        <f>_xll.EQNXTDZ($A$1,$B91,I$5,$B$1)</f>
        <v>0</v>
      </c>
      <c r="J91" s="55">
        <f>_xll.EQNXTDZ($A$1,$B91,J$5,$B$1)</f>
        <v>7383.2</v>
      </c>
      <c r="K91" s="55">
        <f>_xll.EQNXTDZ($A$1,$B91,K$5,$B$1)</f>
        <v>0</v>
      </c>
      <c r="L91" s="55">
        <f>_xll.EQNXTDZ($A$1,$B91,L$5,$B$1)</f>
        <v>7457.5</v>
      </c>
      <c r="M91" s="55">
        <f>_xll.EQNXTDZ($A$1,$B91,M$5,$B$1)</f>
        <v>0</v>
      </c>
      <c r="N91" s="55">
        <f>_xll.EQNXTDZ($A$1,$B91,N$5,$B$1)</f>
        <v>5190.4799999999996</v>
      </c>
      <c r="O91" s="55">
        <f>_xll.EQNXTDZ($A$1,$B91,O$5,$B$1)</f>
        <v>0</v>
      </c>
      <c r="P91" s="55">
        <f>_xll.EQNXTDZ($A$1,$B91,P$5,$B$1)</f>
        <v>6654.06</v>
      </c>
      <c r="Q91" s="55">
        <f>_xll.EQNXTDZ($A$1,$B91,Q$5,$B$1)</f>
        <v>0</v>
      </c>
      <c r="R91" s="55">
        <f>_xll.EQNXTDZ($A$1,$B91,R$5,$B$1)</f>
        <v>6369.64</v>
      </c>
      <c r="S91" s="55">
        <f>_xll.EQNXTDZ($A$1,$B91,S$5,$B$1)</f>
        <v>0</v>
      </c>
      <c r="T91" s="55">
        <f>_xll.EQNXTDZ($A$1,$B91,T$5,$B$1)</f>
        <v>4851.5</v>
      </c>
      <c r="U91" s="55">
        <f>_xll.EQNXTDZ($A$1,$B91,U$5,$B$1)</f>
        <v>0</v>
      </c>
      <c r="V91" s="55">
        <f>_xll.EQNXTDZ($A$1,$B91,V$5,$B$1)</f>
        <v>5672.04</v>
      </c>
      <c r="W91" s="55">
        <f>_xll.EQNXTDZ($A$1,$B91,W$5,$B$1)</f>
        <v>0</v>
      </c>
      <c r="X91" s="55">
        <f>_xll.EQNXTDZ($A$1,$B91,X$5,$B$1)</f>
        <v>5901.31</v>
      </c>
      <c r="Y91" s="55">
        <f>_xll.EQNXTDZ($A$1,$B91,Y$5,$B$1)</f>
        <v>0</v>
      </c>
      <c r="Z91" s="55">
        <f>_xll.EQNXTDZ($A$1,$B91,Z$5,$B$1)</f>
        <v>5841.28</v>
      </c>
      <c r="AA91" s="55">
        <f>_xll.EQNXTDZ($A$1,$B91,AA$5,$B$1)</f>
        <v>0</v>
      </c>
      <c r="AB91" s="55">
        <f>_xll.EQNXTDZ($A$1,$B91,AB$5,$B$1)</f>
        <v>7481.68</v>
      </c>
      <c r="AC91" s="55">
        <f>_xll.EQNXTDZ($A$1,$B91,AC$5,$B$1)</f>
        <v>0</v>
      </c>
      <c r="AD91" s="55">
        <f>_xll.EQNXTDZ($A$1,$B91,AD$5,$B$1)</f>
        <v>4713.33</v>
      </c>
      <c r="AE91" s="55">
        <f>_xll.EQNXTDZ($A$1,$B91,AE$5,$B$1)</f>
        <v>0</v>
      </c>
      <c r="AF91" s="55">
        <f>_xll.EQNXTDZ($A$1,$B91,AF$5,$B$1)</f>
        <v>4868.3100000000004</v>
      </c>
      <c r="AG91" s="55">
        <f>_xll.EQNXTDZ($A$1,$B91,AG$5,$B$1)</f>
        <v>0</v>
      </c>
      <c r="AH91" s="55">
        <f>_xll.EQNXTDZ($A$1,$B91,AH$5,$B$1)</f>
        <v>4751.8500000000004</v>
      </c>
      <c r="AI91" s="55">
        <f>_xll.EQNXTDZ($A$1,$B91,AI$5,$B$1)</f>
        <v>0</v>
      </c>
      <c r="AJ91" s="55">
        <f>_xll.EQNXTDZ($A$1,$B91,AJ$5,$B$1)</f>
        <v>4396.93</v>
      </c>
      <c r="AK91" s="55">
        <f>_xll.EQNXTDZ($A$1,$B91,AK$5,$B$1)</f>
        <v>0</v>
      </c>
      <c r="AL91" s="55">
        <f>_xll.EQNXTDZ($A$1,$B91,AL$5,$B$1)</f>
        <v>2409.7800000000002</v>
      </c>
      <c r="AM91" s="55">
        <f>_xll.EQNXTDZ($A$1,$B91,AM$5,$B$1)</f>
        <v>0</v>
      </c>
      <c r="AN91" s="55">
        <f>_xll.EQNXTDZ($A$1,$B91,AN$5,$B$1)</f>
        <v>2330.2199999999998</v>
      </c>
      <c r="AO91" s="55">
        <f>_xll.EQNXTDZ($A$1,$B91,AO$5,$B$1)</f>
        <v>0</v>
      </c>
      <c r="AP91" s="55">
        <f>_xll.EQNXTDZ($A$1,$B91,AP$5,$B$1)</f>
        <v>2682.39</v>
      </c>
      <c r="AQ91" s="55">
        <f>_xll.EQNXTDZ($A$1,$B91,AQ$5,$B$1)</f>
        <v>0</v>
      </c>
      <c r="AR91" s="55">
        <f>_xll.EQNXTDZ($A$1,$B91,AR$5,$B$1)</f>
        <v>4599.37</v>
      </c>
      <c r="AS91" s="55">
        <f>_xll.EQNXTDZ($A$1,$B91,AS$5,$B$1)</f>
        <v>0</v>
      </c>
      <c r="AT91" s="55">
        <f>_xll.EQNXTDZ($A$1,$B91,AT$5,$B$1)</f>
        <v>6094.05</v>
      </c>
      <c r="AU91" s="55">
        <f>_xll.EQNXTDZ($A$1,$B91,AU$5,$B$1)</f>
        <v>0</v>
      </c>
      <c r="AV91" s="55">
        <f>_xll.EQNXTDZ($A$1,$B91,AV$5,$B$1)</f>
        <v>5885.11</v>
      </c>
      <c r="AW91" s="55">
        <f>_xll.EQNXTDZ($A$1,$B91,AW$5,$B$1)</f>
        <v>0</v>
      </c>
      <c r="AX91" s="55">
        <f>_xll.EQNXTDZ($A$1,$B91,AX$5,$B$1)</f>
        <v>4292.5</v>
      </c>
      <c r="AY91" s="55">
        <f>_xll.EQNXTDZ($A$1,$B91,AY$5,$B$1)</f>
        <v>0</v>
      </c>
      <c r="AZ91" s="55">
        <f>_xll.EQNXTDZ($A$1,$B91,AZ$5,$B$1)</f>
        <v>3594.11</v>
      </c>
      <c r="BA91" s="55">
        <f>_xll.EQNXTDZ($A$1,$B91,BA$5,$B$1)</f>
        <v>0</v>
      </c>
      <c r="BB91" s="55">
        <f>_xll.EQNXTDZ($A$1,$B91,BB$5,$B$1)</f>
        <v>2705.17</v>
      </c>
      <c r="BC91" s="55">
        <f>_xll.EQNXTDZ($A$1,$B91,BC$5,$B$1)</f>
        <v>0</v>
      </c>
      <c r="BD91" s="55">
        <f>_xll.EQNXTDZ($A$1,$B91,BD$5,$B$1)</f>
        <v>2649.2</v>
      </c>
      <c r="BE91" s="55">
        <f>_xll.EQNXTDZ($A$1,$B91,BE$5,$B$1)</f>
        <v>0</v>
      </c>
      <c r="BF91" s="55">
        <f>_xll.EQNXTDZ($A$1,$B91,BF$5,$B$1)</f>
        <v>6664.78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435.48</v>
      </c>
      <c r="E92" s="55">
        <f>_xll.EQNXTDZ($A$1,$B92,E$5,$B$1)</f>
        <v>0</v>
      </c>
      <c r="F92" s="55">
        <f>_xll.EQNXTDZ($A$1,$B92,F$5,$B$1)</f>
        <v>321.24</v>
      </c>
      <c r="G92" s="55">
        <f>_xll.EQNXTDZ($A$1,$B92,G$5,$B$1)</f>
        <v>0</v>
      </c>
      <c r="H92" s="55">
        <f>_xll.EQNXTDZ($A$1,$B92,H$5,$B$1)</f>
        <v>1001.72</v>
      </c>
      <c r="I92" s="55">
        <f>_xll.EQNXTDZ($A$1,$B92,I$5,$B$1)</f>
        <v>0</v>
      </c>
      <c r="J92" s="55">
        <f>_xll.EQNXTDZ($A$1,$B92,J$5,$B$1)</f>
        <v>517.63</v>
      </c>
      <c r="K92" s="55">
        <f>_xll.EQNXTDZ($A$1,$B92,K$5,$B$1)</f>
        <v>0</v>
      </c>
      <c r="L92" s="55">
        <f>_xll.EQNXTDZ($A$1,$B92,L$5,$B$1)</f>
        <v>374.48</v>
      </c>
      <c r="M92" s="55">
        <f>_xll.EQNXTDZ($A$1,$B92,M$5,$B$1)</f>
        <v>0</v>
      </c>
      <c r="N92" s="55">
        <f>_xll.EQNXTDZ($A$1,$B92,N$5,$B$1)</f>
        <v>270.72000000000003</v>
      </c>
      <c r="O92" s="55">
        <f>_xll.EQNXTDZ($A$1,$B92,O$5,$B$1)</f>
        <v>0</v>
      </c>
      <c r="P92" s="55">
        <f>_xll.EQNXTDZ($A$1,$B92,P$5,$B$1)</f>
        <v>149.65</v>
      </c>
      <c r="Q92" s="55">
        <f>_xll.EQNXTDZ($A$1,$B92,Q$5,$B$1)</f>
        <v>0</v>
      </c>
      <c r="R92" s="55">
        <f>_xll.EQNXTDZ($A$1,$B92,R$5,$B$1)</f>
        <v>8.4</v>
      </c>
      <c r="S92" s="55">
        <f>_xll.EQNXTDZ($A$1,$B92,S$5,$B$1)</f>
        <v>0</v>
      </c>
      <c r="T92" s="55">
        <f>_xll.EQNXTDZ($A$1,$B92,T$5,$B$1)</f>
        <v>7.78</v>
      </c>
      <c r="U92" s="55">
        <f>_xll.EQNXTDZ($A$1,$B92,U$5,$B$1)</f>
        <v>0</v>
      </c>
      <c r="V92" s="55">
        <f>_xll.EQNXTDZ($A$1,$B92,V$5,$B$1)</f>
        <v>9.7100000000000009</v>
      </c>
      <c r="W92" s="55">
        <f>_xll.EQNXTDZ($A$1,$B92,W$5,$B$1)</f>
        <v>0</v>
      </c>
      <c r="X92" s="55">
        <f>_xll.EQNXTDZ($A$1,$B92,X$5,$B$1)</f>
        <v>9.56</v>
      </c>
      <c r="Y92" s="55">
        <f>_xll.EQNXTDZ($A$1,$B92,Y$5,$B$1)</f>
        <v>0</v>
      </c>
      <c r="Z92" s="55">
        <f>_xll.EQNXTDZ($A$1,$B92,Z$5,$B$1)</f>
        <v>9.82</v>
      </c>
      <c r="AA92" s="55">
        <f>_xll.EQNXTDZ($A$1,$B92,AA$5,$B$1)</f>
        <v>0</v>
      </c>
      <c r="AB92" s="55">
        <f>_xll.EQNXTDZ($A$1,$B92,AB$5,$B$1)</f>
        <v>11.8</v>
      </c>
      <c r="AC92" s="55">
        <f>_xll.EQNXTDZ($A$1,$B92,AC$5,$B$1)</f>
        <v>0</v>
      </c>
      <c r="AD92" s="55">
        <f>_xll.EQNXTDZ($A$1,$B92,AD$5,$B$1)</f>
        <v>11.2</v>
      </c>
      <c r="AE92" s="55">
        <f>_xll.EQNXTDZ($A$1,$B92,AE$5,$B$1)</f>
        <v>0</v>
      </c>
      <c r="AF92" s="55">
        <f>_xll.EQNXTDZ($A$1,$B92,AF$5,$B$1)</f>
        <v>28.71</v>
      </c>
      <c r="AG92" s="55">
        <f>_xll.EQNXTDZ($A$1,$B92,AG$5,$B$1)</f>
        <v>0</v>
      </c>
      <c r="AH92" s="55">
        <f>_xll.EQNXTDZ($A$1,$B92,AH$5,$B$1)</f>
        <v>39.44</v>
      </c>
      <c r="AI92" s="55">
        <f>_xll.EQNXTDZ($A$1,$B92,AI$5,$B$1)</f>
        <v>0</v>
      </c>
      <c r="AJ92" s="55">
        <f>_xll.EQNXTDZ($A$1,$B92,AJ$5,$B$1)</f>
        <v>40.04</v>
      </c>
      <c r="AK92" s="55">
        <f>_xll.EQNXTDZ($A$1,$B92,AK$5,$B$1)</f>
        <v>0</v>
      </c>
      <c r="AL92" s="55">
        <f>_xll.EQNXTDZ($A$1,$B92,AL$5,$B$1)</f>
        <v>60.17</v>
      </c>
      <c r="AM92" s="55">
        <f>_xll.EQNXTDZ($A$1,$B92,AM$5,$B$1)</f>
        <v>0</v>
      </c>
      <c r="AN92" s="55">
        <f>_xll.EQNXTDZ($A$1,$B92,AN$5,$B$1)</f>
        <v>63.07</v>
      </c>
      <c r="AO92" s="55">
        <f>_xll.EQNXTDZ($A$1,$B92,AO$5,$B$1)</f>
        <v>0</v>
      </c>
      <c r="AP92" s="55">
        <f>_xll.EQNXTDZ($A$1,$B92,AP$5,$B$1)</f>
        <v>28.71</v>
      </c>
      <c r="AQ92" s="55">
        <f>_xll.EQNXTDZ($A$1,$B92,AQ$5,$B$1)</f>
        <v>0</v>
      </c>
      <c r="AR92" s="55">
        <f>_xll.EQNXTDZ($A$1,$B92,AR$5,$B$1)</f>
        <v>31.79</v>
      </c>
      <c r="AS92" s="55">
        <f>_xll.EQNXTDZ($A$1,$B92,AS$5,$B$1)</f>
        <v>0</v>
      </c>
      <c r="AT92" s="55">
        <f>_xll.EQNXTDZ($A$1,$B92,AT$5,$B$1)</f>
        <v>21.64</v>
      </c>
      <c r="AU92" s="55">
        <f>_xll.EQNXTDZ($A$1,$B92,AU$5,$B$1)</f>
        <v>0</v>
      </c>
      <c r="AV92" s="55">
        <f>_xll.EQNXTDZ($A$1,$B92,AV$5,$B$1)</f>
        <v>24.82</v>
      </c>
      <c r="AW92" s="55">
        <f>_xll.EQNXTDZ($A$1,$B92,AW$5,$B$1)</f>
        <v>0</v>
      </c>
      <c r="AX92" s="55">
        <f>_xll.EQNXTDZ($A$1,$B92,AX$5,$B$1)</f>
        <v>25.69</v>
      </c>
      <c r="AY92" s="55">
        <f>_xll.EQNXTDZ($A$1,$B92,AY$5,$B$1)</f>
        <v>0</v>
      </c>
      <c r="AZ92" s="55">
        <f>_xll.EQNXTDZ($A$1,$B92,AZ$5,$B$1)</f>
        <v>53.34</v>
      </c>
      <c r="BA92" s="55">
        <f>_xll.EQNXTDZ($A$1,$B92,BA$5,$B$1)</f>
        <v>0</v>
      </c>
      <c r="BB92" s="55">
        <f>_xll.EQNXTDZ($A$1,$B92,BB$5,$B$1)</f>
        <v>70.239999999999995</v>
      </c>
      <c r="BC92" s="55">
        <f>_xll.EQNXTDZ($A$1,$B92,BC$5,$B$1)</f>
        <v>0</v>
      </c>
      <c r="BD92" s="55">
        <f>_xll.EQNXTDZ($A$1,$B92,BD$5,$B$1)</f>
        <v>107.9</v>
      </c>
      <c r="BE92" s="55">
        <f>_xll.EQNXTDZ($A$1,$B92,BE$5,$B$1)</f>
        <v>0</v>
      </c>
      <c r="BF92" s="55">
        <f>_xll.EQNXTDZ($A$1,$B92,BF$5,$B$1)</f>
        <v>96.96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13185.05</v>
      </c>
      <c r="E93" s="55">
        <f>_xll.EQNXTDZ($A$1,$B93,E$5,$B$1)</f>
        <v>0</v>
      </c>
      <c r="F93" s="55">
        <f>_xll.EQNXTDZ($A$1,$B93,F$5,$B$1)</f>
        <v>15614.22</v>
      </c>
      <c r="G93" s="55">
        <f>_xll.EQNXTDZ($A$1,$B93,G$5,$B$1)</f>
        <v>0</v>
      </c>
      <c r="H93" s="55">
        <f>_xll.EQNXTDZ($A$1,$B93,H$5,$B$1)</f>
        <v>18559.52</v>
      </c>
      <c r="I93" s="55">
        <f>_xll.EQNXTDZ($A$1,$B93,I$5,$B$1)</f>
        <v>0</v>
      </c>
      <c r="J93" s="55">
        <f>_xll.EQNXTDZ($A$1,$B93,J$5,$B$1)</f>
        <v>18288.98</v>
      </c>
      <c r="K93" s="55">
        <f>_xll.EQNXTDZ($A$1,$B93,K$5,$B$1)</f>
        <v>0</v>
      </c>
      <c r="L93" s="55">
        <f>_xll.EQNXTDZ($A$1,$B93,L$5,$B$1)</f>
        <v>21121.119999999999</v>
      </c>
      <c r="M93" s="55">
        <f>_xll.EQNXTDZ($A$1,$B93,M$5,$B$1)</f>
        <v>0</v>
      </c>
      <c r="N93" s="55">
        <f>_xll.EQNXTDZ($A$1,$B93,N$5,$B$1)</f>
        <v>17440.73</v>
      </c>
      <c r="O93" s="55">
        <f>_xll.EQNXTDZ($A$1,$B93,O$5,$B$1)</f>
        <v>0</v>
      </c>
      <c r="P93" s="55">
        <f>_xll.EQNXTDZ($A$1,$B93,P$5,$B$1)</f>
        <v>27010.55</v>
      </c>
      <c r="Q93" s="55">
        <f>_xll.EQNXTDZ($A$1,$B93,Q$5,$B$1)</f>
        <v>0</v>
      </c>
      <c r="R93" s="55">
        <f>_xll.EQNXTDZ($A$1,$B93,R$5,$B$1)</f>
        <v>26045.94</v>
      </c>
      <c r="S93" s="55">
        <f>_xll.EQNXTDZ($A$1,$B93,S$5,$B$1)</f>
        <v>0</v>
      </c>
      <c r="T93" s="55">
        <f>_xll.EQNXTDZ($A$1,$B93,T$5,$B$1)</f>
        <v>24685.47</v>
      </c>
      <c r="U93" s="55">
        <f>_xll.EQNXTDZ($A$1,$B93,U$5,$B$1)</f>
        <v>0</v>
      </c>
      <c r="V93" s="55">
        <f>_xll.EQNXTDZ($A$1,$B93,V$5,$B$1)</f>
        <v>25661.5</v>
      </c>
      <c r="W93" s="55">
        <f>_xll.EQNXTDZ($A$1,$B93,W$5,$B$1)</f>
        <v>0</v>
      </c>
      <c r="X93" s="55">
        <f>_xll.EQNXTDZ($A$1,$B93,X$5,$B$1)</f>
        <v>23293.19</v>
      </c>
      <c r="Y93" s="55">
        <f>_xll.EQNXTDZ($A$1,$B93,Y$5,$B$1)</f>
        <v>0</v>
      </c>
      <c r="Z93" s="55">
        <f>_xll.EQNXTDZ($A$1,$B93,Z$5,$B$1)</f>
        <v>28037.81</v>
      </c>
      <c r="AA93" s="55">
        <f>_xll.EQNXTDZ($A$1,$B93,AA$5,$B$1)</f>
        <v>0</v>
      </c>
      <c r="AB93" s="55">
        <f>_xll.EQNXTDZ($A$1,$B93,AB$5,$B$1)</f>
        <v>27752.46</v>
      </c>
      <c r="AC93" s="55">
        <f>_xll.EQNXTDZ($A$1,$B93,AC$5,$B$1)</f>
        <v>0</v>
      </c>
      <c r="AD93" s="55">
        <f>_xll.EQNXTDZ($A$1,$B93,AD$5,$B$1)</f>
        <v>18159.8</v>
      </c>
      <c r="AE93" s="55">
        <f>_xll.EQNXTDZ($A$1,$B93,AE$5,$B$1)</f>
        <v>0</v>
      </c>
      <c r="AF93" s="55">
        <f>_xll.EQNXTDZ($A$1,$B93,AF$5,$B$1)</f>
        <v>19425.23</v>
      </c>
      <c r="AG93" s="55">
        <f>_xll.EQNXTDZ($A$1,$B93,AG$5,$B$1)</f>
        <v>0</v>
      </c>
      <c r="AH93" s="55">
        <f>_xll.EQNXTDZ($A$1,$B93,AH$5,$B$1)</f>
        <v>18189.150000000001</v>
      </c>
      <c r="AI93" s="55">
        <f>_xll.EQNXTDZ($A$1,$B93,AI$5,$B$1)</f>
        <v>0</v>
      </c>
      <c r="AJ93" s="55">
        <f>_xll.EQNXTDZ($A$1,$B93,AJ$5,$B$1)</f>
        <v>18294.22</v>
      </c>
      <c r="AK93" s="55">
        <f>_xll.EQNXTDZ($A$1,$B93,AK$5,$B$1)</f>
        <v>0</v>
      </c>
      <c r="AL93" s="55">
        <f>_xll.EQNXTDZ($A$1,$B93,AL$5,$B$1)</f>
        <v>18727.349999999999</v>
      </c>
      <c r="AM93" s="55">
        <f>_xll.EQNXTDZ($A$1,$B93,AM$5,$B$1)</f>
        <v>0</v>
      </c>
      <c r="AN93" s="55">
        <f>_xll.EQNXTDZ($A$1,$B93,AN$5,$B$1)</f>
        <v>17699.599999999999</v>
      </c>
      <c r="AO93" s="55">
        <f>_xll.EQNXTDZ($A$1,$B93,AO$5,$B$1)</f>
        <v>0</v>
      </c>
      <c r="AP93" s="55">
        <f>_xll.EQNXTDZ($A$1,$B93,AP$5,$B$1)</f>
        <v>17143.669999999998</v>
      </c>
      <c r="AQ93" s="55">
        <f>_xll.EQNXTDZ($A$1,$B93,AQ$5,$B$1)</f>
        <v>0</v>
      </c>
      <c r="AR93" s="55">
        <f>_xll.EQNXTDZ($A$1,$B93,AR$5,$B$1)</f>
        <v>18678.05</v>
      </c>
      <c r="AS93" s="55">
        <f>_xll.EQNXTDZ($A$1,$B93,AS$5,$B$1)</f>
        <v>0</v>
      </c>
      <c r="AT93" s="55">
        <f>_xll.EQNXTDZ($A$1,$B93,AT$5,$B$1)</f>
        <v>17744.59</v>
      </c>
      <c r="AU93" s="55">
        <f>_xll.EQNXTDZ($A$1,$B93,AU$5,$B$1)</f>
        <v>0</v>
      </c>
      <c r="AV93" s="55">
        <f>_xll.EQNXTDZ($A$1,$B93,AV$5,$B$1)</f>
        <v>17438.919999999998</v>
      </c>
      <c r="AW93" s="55">
        <f>_xll.EQNXTDZ($A$1,$B93,AW$5,$B$1)</f>
        <v>0</v>
      </c>
      <c r="AX93" s="55">
        <f>_xll.EQNXTDZ($A$1,$B93,AX$5,$B$1)</f>
        <v>15788.67</v>
      </c>
      <c r="AY93" s="55">
        <f>_xll.EQNXTDZ($A$1,$B93,AY$5,$B$1)</f>
        <v>0</v>
      </c>
      <c r="AZ93" s="55">
        <f>_xll.EQNXTDZ($A$1,$B93,AZ$5,$B$1)</f>
        <v>15353.78</v>
      </c>
      <c r="BA93" s="55">
        <f>_xll.EQNXTDZ($A$1,$B93,BA$5,$B$1)</f>
        <v>0</v>
      </c>
      <c r="BB93" s="55">
        <f>_xll.EQNXTDZ($A$1,$B93,BB$5,$B$1)</f>
        <v>16440.990000000002</v>
      </c>
      <c r="BC93" s="55">
        <f>_xll.EQNXTDZ($A$1,$B93,BC$5,$B$1)</f>
        <v>0</v>
      </c>
      <c r="BD93" s="55">
        <f>_xll.EQNXTDZ($A$1,$B93,BD$5,$B$1)</f>
        <v>16877.62</v>
      </c>
      <c r="BE93" s="55">
        <f>_xll.EQNXTDZ($A$1,$B93,BE$5,$B$1)</f>
        <v>0</v>
      </c>
      <c r="BF93" s="55">
        <f>_xll.EQNXTDZ($A$1,$B93,BF$5,$B$1)</f>
        <v>20328.21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-8137.69</v>
      </c>
      <c r="E94" s="55">
        <f>_xll.EQNXTDZ($A$1,$B94,E$5,$B$1)</f>
        <v>0</v>
      </c>
      <c r="F94" s="55">
        <f>_xll.EQNXTDZ($A$1,$B94,F$5,$B$1)</f>
        <v>-10561.81</v>
      </c>
      <c r="G94" s="55">
        <f>_xll.EQNXTDZ($A$1,$B94,G$5,$B$1)</f>
        <v>0</v>
      </c>
      <c r="H94" s="55">
        <f>_xll.EQNXTDZ($A$1,$B94,H$5,$B$1)</f>
        <v>-12173.38</v>
      </c>
      <c r="I94" s="55">
        <f>_xll.EQNXTDZ($A$1,$B94,I$5,$B$1)</f>
        <v>0</v>
      </c>
      <c r="J94" s="55">
        <f>_xll.EQNXTDZ($A$1,$B94,J$5,$B$1)</f>
        <v>-11184.75</v>
      </c>
      <c r="K94" s="55">
        <f>_xll.EQNXTDZ($A$1,$B94,K$5,$B$1)</f>
        <v>0</v>
      </c>
      <c r="L94" s="55">
        <f>_xll.EQNXTDZ($A$1,$B94,L$5,$B$1)</f>
        <v>-11066.47</v>
      </c>
      <c r="M94" s="55">
        <f>_xll.EQNXTDZ($A$1,$B94,M$5,$B$1)</f>
        <v>0</v>
      </c>
      <c r="N94" s="55">
        <f>_xll.EQNXTDZ($A$1,$B94,N$5,$B$1)</f>
        <v>-7048.77</v>
      </c>
      <c r="O94" s="55">
        <f>_xll.EQNXTDZ($A$1,$B94,O$5,$B$1)</f>
        <v>0</v>
      </c>
      <c r="P94" s="55">
        <f>_xll.EQNXTDZ($A$1,$B94,P$5,$B$1)</f>
        <v>-14452.93</v>
      </c>
      <c r="Q94" s="55">
        <f>_xll.EQNXTDZ($A$1,$B94,Q$5,$B$1)</f>
        <v>0</v>
      </c>
      <c r="R94" s="55">
        <f>_xll.EQNXTDZ($A$1,$B94,R$5,$B$1)</f>
        <v>-9820.76</v>
      </c>
      <c r="S94" s="55">
        <f>_xll.EQNXTDZ($A$1,$B94,S$5,$B$1)</f>
        <v>0</v>
      </c>
      <c r="T94" s="55">
        <f>_xll.EQNXTDZ($A$1,$B94,T$5,$B$1)</f>
        <v>-8215.9599999999991</v>
      </c>
      <c r="U94" s="55">
        <f>_xll.EQNXTDZ($A$1,$B94,U$5,$B$1)</f>
        <v>0</v>
      </c>
      <c r="V94" s="55">
        <f>_xll.EQNXTDZ($A$1,$B94,V$5,$B$1)</f>
        <v>-12130.57</v>
      </c>
      <c r="W94" s="55">
        <f>_xll.EQNXTDZ($A$1,$B94,W$5,$B$1)</f>
        <v>0</v>
      </c>
      <c r="X94" s="55">
        <f>_xll.EQNXTDZ($A$1,$B94,X$5,$B$1)</f>
        <v>-9433.99</v>
      </c>
      <c r="Y94" s="55">
        <f>_xll.EQNXTDZ($A$1,$B94,Y$5,$B$1)</f>
        <v>0</v>
      </c>
      <c r="Z94" s="55">
        <f>_xll.EQNXTDZ($A$1,$B94,Z$5,$B$1)</f>
        <v>-14081.29</v>
      </c>
      <c r="AA94" s="55">
        <f>_xll.EQNXTDZ($A$1,$B94,AA$5,$B$1)</f>
        <v>0</v>
      </c>
      <c r="AB94" s="55">
        <f>_xll.EQNXTDZ($A$1,$B94,AB$5,$B$1)</f>
        <v>-11547.67</v>
      </c>
      <c r="AC94" s="55">
        <f>_xll.EQNXTDZ($A$1,$B94,AC$5,$B$1)</f>
        <v>0</v>
      </c>
      <c r="AD94" s="55">
        <f>_xll.EQNXTDZ($A$1,$B94,AD$5,$B$1)</f>
        <v>-4957.2700000000004</v>
      </c>
      <c r="AE94" s="55">
        <f>_xll.EQNXTDZ($A$1,$B94,AE$5,$B$1)</f>
        <v>0</v>
      </c>
      <c r="AF94" s="55">
        <f>_xll.EQNXTDZ($A$1,$B94,AF$5,$B$1)</f>
        <v>-4389.1899999999996</v>
      </c>
      <c r="AG94" s="55">
        <f>_xll.EQNXTDZ($A$1,$B94,AG$5,$B$1)</f>
        <v>0</v>
      </c>
      <c r="AH94" s="55">
        <f>_xll.EQNXTDZ($A$1,$B94,AH$5,$B$1)</f>
        <v>-3595.97</v>
      </c>
      <c r="AI94" s="55">
        <f>_xll.EQNXTDZ($A$1,$B94,AI$5,$B$1)</f>
        <v>0</v>
      </c>
      <c r="AJ94" s="55">
        <f>_xll.EQNXTDZ($A$1,$B94,AJ$5,$B$1)</f>
        <v>-469.35999999999802</v>
      </c>
      <c r="AK94" s="55">
        <f>_xll.EQNXTDZ($A$1,$B94,AK$5,$B$1)</f>
        <v>0</v>
      </c>
      <c r="AL94" s="55">
        <f>_xll.EQNXTDZ($A$1,$B94,AL$5,$B$1)</f>
        <v>-1085</v>
      </c>
      <c r="AM94" s="55">
        <f>_xll.EQNXTDZ($A$1,$B94,AM$5,$B$1)</f>
        <v>0</v>
      </c>
      <c r="AN94" s="55">
        <f>_xll.EQNXTDZ($A$1,$B94,AN$5,$B$1)</f>
        <v>-537.45000000000005</v>
      </c>
      <c r="AO94" s="55">
        <f>_xll.EQNXTDZ($A$1,$B94,AO$5,$B$1)</f>
        <v>0</v>
      </c>
      <c r="AP94" s="55">
        <f>_xll.EQNXTDZ($A$1,$B94,AP$5,$B$1)</f>
        <v>-915.60000000000298</v>
      </c>
      <c r="AQ94" s="55">
        <f>_xll.EQNXTDZ($A$1,$B94,AQ$5,$B$1)</f>
        <v>0</v>
      </c>
      <c r="AR94" s="55">
        <f>_xll.EQNXTDZ($A$1,$B94,AR$5,$B$1)</f>
        <v>665.77999999999895</v>
      </c>
      <c r="AS94" s="55">
        <f>_xll.EQNXTDZ($A$1,$B94,AS$5,$B$1)</f>
        <v>0</v>
      </c>
      <c r="AT94" s="55">
        <f>_xll.EQNXTDZ($A$1,$B94,AT$5,$B$1)</f>
        <v>1808.41</v>
      </c>
      <c r="AU94" s="55">
        <f>_xll.EQNXTDZ($A$1,$B94,AU$5,$B$1)</f>
        <v>0</v>
      </c>
      <c r="AV94" s="55">
        <f>_xll.EQNXTDZ($A$1,$B94,AV$5,$B$1)</f>
        <v>2163.04</v>
      </c>
      <c r="AW94" s="55">
        <f>_xll.EQNXTDZ($A$1,$B94,AW$5,$B$1)</f>
        <v>0</v>
      </c>
      <c r="AX94" s="55">
        <f>_xll.EQNXTDZ($A$1,$B94,AX$5,$B$1)</f>
        <v>9797.91</v>
      </c>
      <c r="AY94" s="55">
        <f>_xll.EQNXTDZ($A$1,$B94,AY$5,$B$1)</f>
        <v>0</v>
      </c>
      <c r="AZ94" s="55">
        <f>_xll.EQNXTDZ($A$1,$B94,AZ$5,$B$1)</f>
        <v>11541.24</v>
      </c>
      <c r="BA94" s="55">
        <f>_xll.EQNXTDZ($A$1,$B94,BA$5,$B$1)</f>
        <v>0</v>
      </c>
      <c r="BB94" s="55">
        <f>_xll.EQNXTDZ($A$1,$B94,BB$5,$B$1)</f>
        <v>9872.4599999999991</v>
      </c>
      <c r="BC94" s="55">
        <f>_xll.EQNXTDZ($A$1,$B94,BC$5,$B$1)</f>
        <v>0</v>
      </c>
      <c r="BD94" s="55">
        <f>_xll.EQNXTDZ($A$1,$B94,BD$5,$B$1)</f>
        <v>9774.09</v>
      </c>
      <c r="BE94" s="55">
        <f>_xll.EQNXTDZ($A$1,$B94,BE$5,$B$1)</f>
        <v>0</v>
      </c>
      <c r="BF94" s="55">
        <f>_xll.EQNXTDZ($A$1,$B94,BF$5,$B$1)</f>
        <v>8359.8700000000008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-843.87</v>
      </c>
      <c r="E96" s="55">
        <f>_xll.EQNXTDZ($A$1,$B96,E$5,$B$1)</f>
        <v>0</v>
      </c>
      <c r="F96" s="55">
        <f>_xll.EQNXTDZ($A$1,$B96,F$5,$B$1)</f>
        <v>-1078.99</v>
      </c>
      <c r="G96" s="55">
        <f>_xll.EQNXTDZ($A$1,$B96,G$5,$B$1)</f>
        <v>0</v>
      </c>
      <c r="H96" s="55">
        <f>_xll.EQNXTDZ($A$1,$B96,H$5,$B$1)</f>
        <v>-1269.45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-323.43</v>
      </c>
      <c r="S96" s="55">
        <f>_xll.EQNXTDZ($A$1,$B96,S$5,$B$1)</f>
        <v>0</v>
      </c>
      <c r="T96" s="55">
        <f>_xll.EQNXTDZ($A$1,$B96,T$5,$B$1)</f>
        <v>-258.60000000000002</v>
      </c>
      <c r="U96" s="55">
        <f>_xll.EQNXTDZ($A$1,$B96,U$5,$B$1)</f>
        <v>0</v>
      </c>
      <c r="V96" s="55">
        <f>_xll.EQNXTDZ($A$1,$B96,V$5,$B$1)</f>
        <v>-224.85</v>
      </c>
      <c r="W96" s="55">
        <f>_xll.EQNXTDZ($A$1,$B96,W$5,$B$1)</f>
        <v>0</v>
      </c>
      <c r="X96" s="55">
        <f>_xll.EQNXTDZ($A$1,$B96,X$5,$B$1)</f>
        <v>-220.22</v>
      </c>
      <c r="Y96" s="55">
        <f>_xll.EQNXTDZ($A$1,$B96,Y$5,$B$1)</f>
        <v>0</v>
      </c>
      <c r="Z96" s="55">
        <f>_xll.EQNXTDZ($A$1,$B96,Z$5,$B$1)</f>
        <v>-212.83</v>
      </c>
      <c r="AA96" s="55">
        <f>_xll.EQNXTDZ($A$1,$B96,AA$5,$B$1)</f>
        <v>0</v>
      </c>
      <c r="AB96" s="55">
        <f>_xll.EQNXTDZ($A$1,$B96,AB$5,$B$1)</f>
        <v>-211.27</v>
      </c>
      <c r="AC96" s="55">
        <f>_xll.EQNXTDZ($A$1,$B96,AC$5,$B$1)</f>
        <v>0</v>
      </c>
      <c r="AD96" s="55">
        <f>_xll.EQNXTDZ($A$1,$B96,AD$5,$B$1)</f>
        <v>-178.49</v>
      </c>
      <c r="AE96" s="55">
        <f>_xll.EQNXTDZ($A$1,$B96,AE$5,$B$1)</f>
        <v>0</v>
      </c>
      <c r="AF96" s="55">
        <f>_xll.EQNXTDZ($A$1,$B96,AF$5,$B$1)</f>
        <v>-471.65</v>
      </c>
      <c r="AG96" s="55">
        <f>_xll.EQNXTDZ($A$1,$B96,AG$5,$B$1)</f>
        <v>0</v>
      </c>
      <c r="AH96" s="55">
        <f>_xll.EQNXTDZ($A$1,$B96,AH$5,$B$1)</f>
        <v>-266.07</v>
      </c>
      <c r="AI96" s="55">
        <f>_xll.EQNXTDZ($A$1,$B96,AI$5,$B$1)</f>
        <v>0</v>
      </c>
      <c r="AJ96" s="55">
        <f>_xll.EQNXTDZ($A$1,$B96,AJ$5,$B$1)</f>
        <v>-998.14</v>
      </c>
      <c r="AK96" s="55">
        <f>_xll.EQNXTDZ($A$1,$B96,AK$5,$B$1)</f>
        <v>0</v>
      </c>
      <c r="AL96" s="55">
        <f>_xll.EQNXTDZ($A$1,$B96,AL$5,$B$1)</f>
        <v>-1328.08</v>
      </c>
      <c r="AM96" s="55">
        <f>_xll.EQNXTDZ($A$1,$B96,AM$5,$B$1)</f>
        <v>0</v>
      </c>
      <c r="AN96" s="55">
        <f>_xll.EQNXTDZ($A$1,$B96,AN$5,$B$1)</f>
        <v>-1535.2</v>
      </c>
      <c r="AO96" s="55">
        <f>_xll.EQNXTDZ($A$1,$B96,AO$5,$B$1)</f>
        <v>0</v>
      </c>
      <c r="AP96" s="55">
        <f>_xll.EQNXTDZ($A$1,$B96,AP$5,$B$1)</f>
        <v>-2499.7800000000002</v>
      </c>
      <c r="AQ96" s="55">
        <f>_xll.EQNXTDZ($A$1,$B96,AQ$5,$B$1)</f>
        <v>0</v>
      </c>
      <c r="AR96" s="55">
        <f>_xll.EQNXTDZ($A$1,$B96,AR$5,$B$1)</f>
        <v>-3168.56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1326.68</v>
      </c>
      <c r="AW96" s="55">
        <f>_xll.EQNXTDZ($A$1,$B96,AW$5,$B$1)</f>
        <v>0</v>
      </c>
      <c r="AX96" s="55">
        <f>_xll.EQNXTDZ($A$1,$B96,AX$5,$B$1)</f>
        <v>60.54</v>
      </c>
      <c r="AY96" s="55">
        <f>_xll.EQNXTDZ($A$1,$B96,AY$5,$B$1)</f>
        <v>0</v>
      </c>
      <c r="AZ96" s="55">
        <f>_xll.EQNXTDZ($A$1,$B96,AZ$5,$B$1)</f>
        <v>-2056.71</v>
      </c>
      <c r="BA96" s="55">
        <f>_xll.EQNXTDZ($A$1,$B96,BA$5,$B$1)</f>
        <v>0</v>
      </c>
      <c r="BB96" s="55">
        <f>_xll.EQNXTDZ($A$1,$B96,BB$5,$B$1)</f>
        <v>-4022.73</v>
      </c>
      <c r="BC96" s="55">
        <f>_xll.EQNXTDZ($A$1,$B96,BC$5,$B$1)</f>
        <v>0</v>
      </c>
      <c r="BD96" s="55">
        <f>_xll.EQNXTDZ($A$1,$B96,BD$5,$B$1)</f>
        <v>-5827.06</v>
      </c>
      <c r="BE96" s="55">
        <f>_xll.EQNXTDZ($A$1,$B96,BE$5,$B$1)</f>
        <v>0</v>
      </c>
      <c r="BF96" s="55">
        <f>_xll.EQNXTDZ($A$1,$B96,BF$5,$B$1)</f>
        <v>-5015.76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40863.730000000003</v>
      </c>
      <c r="E97" s="55">
        <f>_xll.EQNXTDZ($A$1,$B97,E$5,$B$1)</f>
        <v>0</v>
      </c>
      <c r="F97" s="55">
        <f>_xll.EQNXTDZ($A$1,$B97,F$5,$B$1)</f>
        <v>37994.65</v>
      </c>
      <c r="G97" s="55">
        <f>_xll.EQNXTDZ($A$1,$B97,G$5,$B$1)</f>
        <v>0</v>
      </c>
      <c r="H97" s="55">
        <f>_xll.EQNXTDZ($A$1,$B97,H$5,$B$1)</f>
        <v>39751.699999999997</v>
      </c>
      <c r="I97" s="55">
        <f>_xll.EQNXTDZ($A$1,$B97,I$5,$B$1)</f>
        <v>0</v>
      </c>
      <c r="J97" s="55">
        <f>_xll.EQNXTDZ($A$1,$B97,J$5,$B$1)</f>
        <v>40449.96</v>
      </c>
      <c r="K97" s="55">
        <f>_xll.EQNXTDZ($A$1,$B97,K$5,$B$1)</f>
        <v>0</v>
      </c>
      <c r="L97" s="55">
        <f>_xll.EQNXTDZ($A$1,$B97,L$5,$B$1)</f>
        <v>39805.74</v>
      </c>
      <c r="M97" s="55">
        <f>_xll.EQNXTDZ($A$1,$B97,M$5,$B$1)</f>
        <v>0</v>
      </c>
      <c r="N97" s="55">
        <f>_xll.EQNXTDZ($A$1,$B97,N$5,$B$1)</f>
        <v>41033.49</v>
      </c>
      <c r="O97" s="55">
        <f>_xll.EQNXTDZ($A$1,$B97,O$5,$B$1)</f>
        <v>0</v>
      </c>
      <c r="P97" s="55">
        <f>_xll.EQNXTDZ($A$1,$B97,P$5,$B$1)</f>
        <v>39422.339999999997</v>
      </c>
      <c r="Q97" s="55">
        <f>_xll.EQNXTDZ($A$1,$B97,Q$5,$B$1)</f>
        <v>0</v>
      </c>
      <c r="R97" s="55">
        <f>_xll.EQNXTDZ($A$1,$B97,R$5,$B$1)</f>
        <v>49424.84</v>
      </c>
      <c r="S97" s="55">
        <f>_xll.EQNXTDZ($A$1,$B97,S$5,$B$1)</f>
        <v>0</v>
      </c>
      <c r="T97" s="55">
        <f>_xll.EQNXTDZ($A$1,$B97,T$5,$B$1)</f>
        <v>44534.83</v>
      </c>
      <c r="U97" s="55">
        <f>_xll.EQNXTDZ($A$1,$B97,U$5,$B$1)</f>
        <v>0</v>
      </c>
      <c r="V97" s="55">
        <f>_xll.EQNXTDZ($A$1,$B97,V$5,$B$1)</f>
        <v>45624.7</v>
      </c>
      <c r="W97" s="55">
        <f>_xll.EQNXTDZ($A$1,$B97,W$5,$B$1)</f>
        <v>0</v>
      </c>
      <c r="X97" s="55">
        <f>_xll.EQNXTDZ($A$1,$B97,X$5,$B$1)</f>
        <v>46853.87</v>
      </c>
      <c r="Y97" s="55">
        <f>_xll.EQNXTDZ($A$1,$B97,Y$5,$B$1)</f>
        <v>0</v>
      </c>
      <c r="Z97" s="55">
        <f>_xll.EQNXTDZ($A$1,$B97,Z$5,$B$1)</f>
        <v>41277.43</v>
      </c>
      <c r="AA97" s="55">
        <f>_xll.EQNXTDZ($A$1,$B97,AA$5,$B$1)</f>
        <v>0</v>
      </c>
      <c r="AB97" s="55">
        <f>_xll.EQNXTDZ($A$1,$B97,AB$5,$B$1)</f>
        <v>43827.98</v>
      </c>
      <c r="AC97" s="55">
        <f>_xll.EQNXTDZ($A$1,$B97,AC$5,$B$1)</f>
        <v>0</v>
      </c>
      <c r="AD97" s="55">
        <f>_xll.EQNXTDZ($A$1,$B97,AD$5,$B$1)</f>
        <v>49646.31</v>
      </c>
      <c r="AE97" s="55">
        <f>_xll.EQNXTDZ($A$1,$B97,AE$5,$B$1)</f>
        <v>0</v>
      </c>
      <c r="AF97" s="55">
        <f>_xll.EQNXTDZ($A$1,$B97,AF$5,$B$1)</f>
        <v>55673.599999999999</v>
      </c>
      <c r="AG97" s="55">
        <f>_xll.EQNXTDZ($A$1,$B97,AG$5,$B$1)</f>
        <v>0</v>
      </c>
      <c r="AH97" s="55">
        <f>_xll.EQNXTDZ($A$1,$B97,AH$5,$B$1)</f>
        <v>56569.78</v>
      </c>
      <c r="AI97" s="55">
        <f>_xll.EQNXTDZ($A$1,$B97,AI$5,$B$1)</f>
        <v>0</v>
      </c>
      <c r="AJ97" s="55">
        <f>_xll.EQNXTDZ($A$1,$B97,AJ$5,$B$1)</f>
        <v>58385.29</v>
      </c>
      <c r="AK97" s="55">
        <f>_xll.EQNXTDZ($A$1,$B97,AK$5,$B$1)</f>
        <v>0</v>
      </c>
      <c r="AL97" s="55">
        <f>_xll.EQNXTDZ($A$1,$B97,AL$5,$B$1)</f>
        <v>58750.48</v>
      </c>
      <c r="AM97" s="55">
        <f>_xll.EQNXTDZ($A$1,$B97,AM$5,$B$1)</f>
        <v>0</v>
      </c>
      <c r="AN97" s="55">
        <f>_xll.EQNXTDZ($A$1,$B97,AN$5,$B$1)</f>
        <v>59508.77</v>
      </c>
      <c r="AO97" s="55">
        <f>_xll.EQNXTDZ($A$1,$B97,AO$5,$B$1)</f>
        <v>0</v>
      </c>
      <c r="AP97" s="55">
        <f>_xll.EQNXTDZ($A$1,$B97,AP$5,$B$1)</f>
        <v>62337.57</v>
      </c>
      <c r="AQ97" s="55">
        <f>_xll.EQNXTDZ($A$1,$B97,AQ$5,$B$1)</f>
        <v>0</v>
      </c>
      <c r="AR97" s="55">
        <f>_xll.EQNXTDZ($A$1,$B97,AR$5,$B$1)</f>
        <v>64773.120000000003</v>
      </c>
      <c r="AS97" s="55">
        <f>_xll.EQNXTDZ($A$1,$B97,AS$5,$B$1)</f>
        <v>0</v>
      </c>
      <c r="AT97" s="55">
        <f>_xll.EQNXTDZ($A$1,$B97,AT$5,$B$1)</f>
        <v>68076.679999999993</v>
      </c>
      <c r="AU97" s="55">
        <f>_xll.EQNXTDZ($A$1,$B97,AU$5,$B$1)</f>
        <v>0</v>
      </c>
      <c r="AV97" s="55">
        <f>_xll.EQNXTDZ($A$1,$B97,AV$5,$B$1)</f>
        <v>72237.83</v>
      </c>
      <c r="AW97" s="55">
        <f>_xll.EQNXTDZ($A$1,$B97,AW$5,$B$1)</f>
        <v>0</v>
      </c>
      <c r="AX97" s="55">
        <f>_xll.EQNXTDZ($A$1,$B97,AX$5,$B$1)</f>
        <v>76220.3</v>
      </c>
      <c r="AY97" s="55">
        <f>_xll.EQNXTDZ($A$1,$B97,AY$5,$B$1)</f>
        <v>0</v>
      </c>
      <c r="AZ97" s="55">
        <f>_xll.EQNXTDZ($A$1,$B97,AZ$5,$B$1)</f>
        <v>93373.89</v>
      </c>
      <c r="BA97" s="55">
        <f>_xll.EQNXTDZ($A$1,$B97,BA$5,$B$1)</f>
        <v>0</v>
      </c>
      <c r="BB97" s="55">
        <f>_xll.EQNXTDZ($A$1,$B97,BB$5,$B$1)</f>
        <v>92453.85</v>
      </c>
      <c r="BC97" s="55">
        <f>_xll.EQNXTDZ($A$1,$B97,BC$5,$B$1)</f>
        <v>0</v>
      </c>
      <c r="BD97" s="55">
        <f>_xll.EQNXTDZ($A$1,$B97,BD$5,$B$1)</f>
        <v>102845.85</v>
      </c>
      <c r="BE97" s="55">
        <f>_xll.EQNXTDZ($A$1,$B97,BE$5,$B$1)</f>
        <v>0</v>
      </c>
      <c r="BF97" s="55">
        <f>_xll.EQNXTDZ($A$1,$B97,BF$5,$B$1)</f>
        <v>116124.56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209867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Adani Power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434.86</v>
      </c>
      <c r="M6" s="100">
        <f>_xll.EQNXTDZ($A$1,$B6,M$1,$B$1)</f>
        <v>2135.19</v>
      </c>
      <c r="N6" s="100">
        <f>_xll.EQNXTDZ($A$1,$B6,N$1,$B$1)</f>
        <v>4092.16</v>
      </c>
      <c r="O6" s="100">
        <f>_xll.EQNXTDZ($A$1,$B6,O$1,$B$1)</f>
        <v>6779.36</v>
      </c>
      <c r="P6" s="100">
        <f>_xll.EQNXTDZ($A$1,$B6,P$1,$B$1)</f>
        <v>15463.9</v>
      </c>
      <c r="Q6" s="100">
        <f>_xll.EQNXTDZ($A$1,$B6,Q$1,$B$1)</f>
        <v>19544.939999999999</v>
      </c>
      <c r="R6" s="100">
        <f>_xll.EQNXTDZ($A$1,$B6,R$1,$B$1)</f>
        <v>25532.17</v>
      </c>
      <c r="S6" s="100">
        <f>_xll.EQNXTDZ($A$1,$B6,S$1,$B$1)</f>
        <v>22615.51</v>
      </c>
      <c r="T6" s="100">
        <f>_xll.EQNXTDZ($A$1,$B6,T$1,$B$1)</f>
        <v>20304.28</v>
      </c>
      <c r="U6" s="100">
        <f>_xll.EQNXTDZ($A$1,$B6,U$1,$B$1)</f>
        <v>23884.18</v>
      </c>
      <c r="V6" s="100">
        <f>_xll.EQNXTDZ($A$1,$B6,V$1,$B$1)</f>
        <v>26467.72</v>
      </c>
      <c r="W6" s="100">
        <f>_xll.EQNXTDZ($A$1,$B6,W$1,$B$1)</f>
        <v>26221.48</v>
      </c>
      <c r="X6" s="100">
        <f>_xll.EQNXTDZ($A$1,$B6,X$1,$B$1)</f>
        <v>27711.18</v>
      </c>
      <c r="Y6" s="100">
        <f>_xll.EQNXTDZ($A$1,$B6,Y$1,$B$1)</f>
        <v>38773.300000000003</v>
      </c>
      <c r="Z6" s="100">
        <f>_xll.EQNXTDZ($A$1,$B6,Z$1,$B$1)</f>
        <v>50351.25</v>
      </c>
      <c r="AA6" s="100">
        <f>_xll.EQNXTDZ($A$1,$B6,AA$1,$B$1)</f>
        <v>56203.09</v>
      </c>
      <c r="AB6" s="100">
        <f>_xll.EQNXTDZ($A$1,$B6,AB$1,$B$1)</f>
        <v>54240.52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434.86</v>
      </c>
      <c r="M10" s="100">
        <f>_xll.EQNXTDZ($A$1,$B10,M$1,$B$1)</f>
        <v>2135.19</v>
      </c>
      <c r="N10" s="100">
        <f>_xll.EQNXTDZ($A$1,$B10,N$1,$B$1)</f>
        <v>4092.16</v>
      </c>
      <c r="O10" s="100">
        <f>_xll.EQNXTDZ($A$1,$B10,O$1,$B$1)</f>
        <v>6779.36</v>
      </c>
      <c r="P10" s="100">
        <f>_xll.EQNXTDZ($A$1,$B10,P$1,$B$1)</f>
        <v>15463.9</v>
      </c>
      <c r="Q10" s="100">
        <f>_xll.EQNXTDZ($A$1,$B10,Q$1,$B$1)</f>
        <v>19544.939999999999</v>
      </c>
      <c r="R10" s="100">
        <f>_xll.EQNXTDZ($A$1,$B10,R$1,$B$1)</f>
        <v>25532.17</v>
      </c>
      <c r="S10" s="100">
        <f>_xll.EQNXTDZ($A$1,$B10,S$1,$B$1)</f>
        <v>22615.51</v>
      </c>
      <c r="T10" s="100">
        <f>_xll.EQNXTDZ($A$1,$B10,T$1,$B$1)</f>
        <v>20304.28</v>
      </c>
      <c r="U10" s="100">
        <f>_xll.EQNXTDZ($A$1,$B10,U$1,$B$1)</f>
        <v>23884.18</v>
      </c>
      <c r="V10" s="100">
        <f>_xll.EQNXTDZ($A$1,$B10,V$1,$B$1)</f>
        <v>26467.72</v>
      </c>
      <c r="W10" s="100">
        <f>_xll.EQNXTDZ($A$1,$B10,W$1,$B$1)</f>
        <v>26221.48</v>
      </c>
      <c r="X10" s="100">
        <f>_xll.EQNXTDZ($A$1,$B10,X$1,$B$1)</f>
        <v>27711.18</v>
      </c>
      <c r="Y10" s="100">
        <f>_xll.EQNXTDZ($A$1,$B10,Y$1,$B$1)</f>
        <v>38773.300000000003</v>
      </c>
      <c r="Z10" s="100">
        <f>_xll.EQNXTDZ($A$1,$B10,Z$1,$B$1)</f>
        <v>50351.25</v>
      </c>
      <c r="AA10" s="100">
        <f>_xll.EQNXTDZ($A$1,$B10,AA$1,$B$1)</f>
        <v>56203.09</v>
      </c>
      <c r="AB10" s="100">
        <f>_xll.EQNXTDZ($A$1,$B10,AB$1,$B$1)</f>
        <v>54240.52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174.77</v>
      </c>
      <c r="M13" s="100">
        <f>_xll.EQNXTDZ($A$1,$B13,M$1,$B$1)</f>
        <v>724.05</v>
      </c>
      <c r="N13" s="100">
        <f>_xll.EQNXTDZ($A$1,$B13,N$1,$B$1)</f>
        <v>2219.86</v>
      </c>
      <c r="O13" s="100">
        <f>_xll.EQNXTDZ($A$1,$B13,O$1,$B$1)</f>
        <v>5050.75</v>
      </c>
      <c r="P13" s="100">
        <f>_xll.EQNXTDZ($A$1,$B13,P$1,$B$1)</f>
        <v>9905.74</v>
      </c>
      <c r="Q13" s="100">
        <f>_xll.EQNXTDZ($A$1,$B13,Q$1,$B$1)</f>
        <v>12412.33</v>
      </c>
      <c r="R13" s="100">
        <f>_xll.EQNXTDZ($A$1,$B13,R$1,$B$1)</f>
        <v>15313.87</v>
      </c>
      <c r="S13" s="100">
        <f>_xll.EQNXTDZ($A$1,$B13,S$1,$B$1)</f>
        <v>15400.15</v>
      </c>
      <c r="T13" s="100">
        <f>_xll.EQNXTDZ($A$1,$B13,T$1,$B$1)</f>
        <v>13581.43</v>
      </c>
      <c r="U13" s="100">
        <f>_xll.EQNXTDZ($A$1,$B13,U$1,$B$1)</f>
        <v>17199.650000000001</v>
      </c>
      <c r="V13" s="100">
        <f>_xll.EQNXTDZ($A$1,$B13,V$1,$B$1)</f>
        <v>18669.310000000001</v>
      </c>
      <c r="W13" s="100">
        <f>_xll.EQNXTDZ($A$1,$B13,W$1,$B$1)</f>
        <v>15810.76</v>
      </c>
      <c r="X13" s="100">
        <f>_xll.EQNXTDZ($A$1,$B13,X$1,$B$1)</f>
        <v>15950.54</v>
      </c>
      <c r="Y13" s="100">
        <f>_xll.EQNXTDZ($A$1,$B13,Y$1,$B$1)</f>
        <v>26214.6</v>
      </c>
      <c r="Z13" s="100">
        <f>_xll.EQNXTDZ($A$1,$B13,Z$1,$B$1)</f>
        <v>29178.89</v>
      </c>
      <c r="AA13" s="100">
        <f>_xll.EQNXTDZ($A$1,$B13,AA$1,$B$1)</f>
        <v>31089.33</v>
      </c>
      <c r="AB13" s="100">
        <f>_xll.EQNXTDZ($A$1,$B13,AB$1,$B$1)</f>
        <v>29935.1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4.12</v>
      </c>
      <c r="M14" s="100">
        <f>_xll.EQNXTDZ($A$1,$B14,M$1,$B$1)</f>
        <v>26.72</v>
      </c>
      <c r="N14" s="100">
        <f>_xll.EQNXTDZ($A$1,$B14,N$1,$B$1)</f>
        <v>62.56</v>
      </c>
      <c r="O14" s="100">
        <f>_xll.EQNXTDZ($A$1,$B14,O$1,$B$1)</f>
        <v>148.97</v>
      </c>
      <c r="P14" s="100">
        <f>_xll.EQNXTDZ($A$1,$B14,P$1,$B$1)</f>
        <v>234.97</v>
      </c>
      <c r="Q14" s="100">
        <f>_xll.EQNXTDZ($A$1,$B14,Q$1,$B$1)</f>
        <v>327.43</v>
      </c>
      <c r="R14" s="100">
        <f>_xll.EQNXTDZ($A$1,$B14,R$1,$B$1)</f>
        <v>358.75</v>
      </c>
      <c r="S14" s="100">
        <f>_xll.EQNXTDZ($A$1,$B14,S$1,$B$1)</f>
        <v>360.89</v>
      </c>
      <c r="T14" s="100">
        <f>_xll.EQNXTDZ($A$1,$B14,T$1,$B$1)</f>
        <v>353.74</v>
      </c>
      <c r="U14" s="100">
        <f>_xll.EQNXTDZ($A$1,$B14,U$1,$B$1)</f>
        <v>363.28</v>
      </c>
      <c r="V14" s="100">
        <f>_xll.EQNXTDZ($A$1,$B14,V$1,$B$1)</f>
        <v>426.82</v>
      </c>
      <c r="W14" s="100">
        <f>_xll.EQNXTDZ($A$1,$B14,W$1,$B$1)</f>
        <v>431.54</v>
      </c>
      <c r="X14" s="100">
        <f>_xll.EQNXTDZ($A$1,$B14,X$1,$B$1)</f>
        <v>470.31</v>
      </c>
      <c r="Y14" s="100">
        <f>_xll.EQNXTDZ($A$1,$B14,Y$1,$B$1)</f>
        <v>569.99</v>
      </c>
      <c r="Z14" s="100">
        <f>_xll.EQNXTDZ($A$1,$B14,Z$1,$B$1)</f>
        <v>643.70000000000005</v>
      </c>
      <c r="AA14" s="100">
        <f>_xll.EQNXTDZ($A$1,$B14,AA$1,$B$1)</f>
        <v>784.4</v>
      </c>
      <c r="AB14" s="100">
        <f>_xll.EQNXTDZ($A$1,$B14,AB$1,$B$1)</f>
        <v>855.18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0.4</v>
      </c>
      <c r="M15" s="100">
        <f>_xll.EQNXTDZ($A$1,$B15,M$1,$B$1)</f>
        <v>17.72</v>
      </c>
      <c r="N15" s="100">
        <f>_xll.EQNXTDZ($A$1,$B15,N$1,$B$1)</f>
        <v>59.7</v>
      </c>
      <c r="O15" s="100">
        <f>_xll.EQNXTDZ($A$1,$B15,O$1,$B$1)</f>
        <v>127</v>
      </c>
      <c r="P15" s="100">
        <f>_xll.EQNXTDZ($A$1,$B15,P$1,$B$1)</f>
        <v>191.54</v>
      </c>
      <c r="Q15" s="100">
        <f>_xll.EQNXTDZ($A$1,$B15,Q$1,$B$1)</f>
        <v>327</v>
      </c>
      <c r="R15" s="100">
        <f>_xll.EQNXTDZ($A$1,$B15,R$1,$B$1)</f>
        <v>456.52</v>
      </c>
      <c r="S15" s="100">
        <f>_xll.EQNXTDZ($A$1,$B15,S$1,$B$1)</f>
        <v>472.11</v>
      </c>
      <c r="T15" s="100">
        <f>_xll.EQNXTDZ($A$1,$B15,T$1,$B$1)</f>
        <v>480.37</v>
      </c>
      <c r="U15" s="100">
        <f>_xll.EQNXTDZ($A$1,$B15,U$1,$B$1)</f>
        <v>433.39</v>
      </c>
      <c r="V15" s="100">
        <f>_xll.EQNXTDZ($A$1,$B15,V$1,$B$1)</f>
        <v>769.85</v>
      </c>
      <c r="W15" s="100">
        <f>_xll.EQNXTDZ($A$1,$B15,W$1,$B$1)</f>
        <v>802.47</v>
      </c>
      <c r="X15" s="100">
        <f>_xll.EQNXTDZ($A$1,$B15,X$1,$B$1)</f>
        <v>872.66</v>
      </c>
      <c r="Y15" s="100">
        <f>_xll.EQNXTDZ($A$1,$B15,Y$1,$B$1)</f>
        <v>973.92</v>
      </c>
      <c r="Z15" s="100">
        <f>_xll.EQNXTDZ($A$1,$B15,Z$1,$B$1)</f>
        <v>1113.8399999999999</v>
      </c>
      <c r="AA15" s="100">
        <f>_xll.EQNXTDZ($A$1,$B15,AA$1,$B$1)</f>
        <v>1401.03</v>
      </c>
      <c r="AB15" s="100">
        <f>_xll.EQNXTDZ($A$1,$B15,AB$1,$B$1)</f>
        <v>1785.99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1E-3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7.1790000000000003</v>
      </c>
      <c r="K17" s="100">
        <f>_xll.EQNXTDZ($A$1,$B17,K$1,$B$1)</f>
        <v>5.5415999999999999</v>
      </c>
      <c r="L17" s="100">
        <f>_xll.EQNXTDZ($A$1,$B17,L$1,$B$1)</f>
        <v>1.83</v>
      </c>
      <c r="M17" s="100">
        <f>_xll.EQNXTDZ($A$1,$B17,M$1,$B$1)</f>
        <v>68.23</v>
      </c>
      <c r="N17" s="100">
        <f>_xll.EQNXTDZ($A$1,$B17,N$1,$B$1)</f>
        <v>171.77</v>
      </c>
      <c r="O17" s="100">
        <f>_xll.EQNXTDZ($A$1,$B17,O$1,$B$1)</f>
        <v>233.93</v>
      </c>
      <c r="P17" s="100">
        <f>_xll.EQNXTDZ($A$1,$B17,P$1,$B$1)</f>
        <v>294.39999999999998</v>
      </c>
      <c r="Q17" s="100">
        <f>_xll.EQNXTDZ($A$1,$B17,Q$1,$B$1)</f>
        <v>370.83</v>
      </c>
      <c r="R17" s="100">
        <f>_xll.EQNXTDZ($A$1,$B17,R$1,$B$1)</f>
        <v>351.26</v>
      </c>
      <c r="S17" s="100">
        <f>_xll.EQNXTDZ($A$1,$B17,S$1,$B$1)</f>
        <v>325.62</v>
      </c>
      <c r="T17" s="100">
        <f>_xll.EQNXTDZ($A$1,$B17,T$1,$B$1)</f>
        <v>250.77</v>
      </c>
      <c r="U17" s="100">
        <f>_xll.EQNXTDZ($A$1,$B17,U$1,$B$1)</f>
        <v>222.92</v>
      </c>
      <c r="V17" s="100">
        <f>_xll.EQNXTDZ($A$1,$B17,V$1,$B$1)</f>
        <v>461.03</v>
      </c>
      <c r="W17" s="100">
        <f>_xll.EQNXTDZ($A$1,$B17,W$1,$B$1)</f>
        <v>287.58999999999997</v>
      </c>
      <c r="X17" s="100">
        <f>_xll.EQNXTDZ($A$1,$B17,X$1,$B$1)</f>
        <v>239.77</v>
      </c>
      <c r="Y17" s="100">
        <f>_xll.EQNXTDZ($A$1,$B17,Y$1,$B$1)</f>
        <v>454.72</v>
      </c>
      <c r="Z17" s="100">
        <f>_xll.EQNXTDZ($A$1,$B17,Z$1,$B$1)</f>
        <v>472.04</v>
      </c>
      <c r="AA17" s="100">
        <f>_xll.EQNXTDZ($A$1,$B17,AA$1,$B$1)</f>
        <v>559.74</v>
      </c>
      <c r="AB17" s="100">
        <f>_xll.EQNXTDZ($A$1,$B17,AB$1,$B$1)</f>
        <v>595.96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8.3000000000000007</v>
      </c>
      <c r="M18" s="100">
        <f>_xll.EQNXTDZ($A$1,$B18,M$1,$B$1)</f>
        <v>37.950000000000003</v>
      </c>
      <c r="N18" s="100">
        <f>_xll.EQNXTDZ($A$1,$B18,N$1,$B$1)</f>
        <v>57.65</v>
      </c>
      <c r="O18" s="100">
        <f>_xll.EQNXTDZ($A$1,$B18,O$1,$B$1)</f>
        <v>87.32</v>
      </c>
      <c r="P18" s="100">
        <f>_xll.EQNXTDZ($A$1,$B18,P$1,$B$1)</f>
        <v>135.82</v>
      </c>
      <c r="Q18" s="100">
        <f>_xll.EQNXTDZ($A$1,$B18,Q$1,$B$1)</f>
        <v>140.52000000000001</v>
      </c>
      <c r="R18" s="100">
        <f>_xll.EQNXTDZ($A$1,$B18,R$1,$B$1)</f>
        <v>154.84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1.63</v>
      </c>
      <c r="M19" s="100">
        <f>_xll.EQNXTDZ($A$1,$B19,M$1,$B$1)</f>
        <v>14.87</v>
      </c>
      <c r="N19" s="100">
        <f>_xll.EQNXTDZ($A$1,$B19,N$1,$B$1)</f>
        <v>195.44</v>
      </c>
      <c r="O19" s="100">
        <f>_xll.EQNXTDZ($A$1,$B19,O$1,$B$1)</f>
        <v>171.78</v>
      </c>
      <c r="P19" s="100">
        <f>_xll.EQNXTDZ($A$1,$B19,P$1,$B$1)</f>
        <v>108.13</v>
      </c>
      <c r="Q19" s="100">
        <f>_xll.EQNXTDZ($A$1,$B19,Q$1,$B$1)</f>
        <v>129.44</v>
      </c>
      <c r="R19" s="100">
        <f>_xll.EQNXTDZ($A$1,$B19,R$1,$B$1)</f>
        <v>94.8</v>
      </c>
      <c r="S19" s="100">
        <f>_xll.EQNXTDZ($A$1,$B19,S$1,$B$1)</f>
        <v>85.09</v>
      </c>
      <c r="T19" s="100">
        <f>_xll.EQNXTDZ($A$1,$B19,T$1,$B$1)</f>
        <v>237.09</v>
      </c>
      <c r="U19" s="100">
        <f>_xll.EQNXTDZ($A$1,$B19,U$1,$B$1)</f>
        <v>711.11</v>
      </c>
      <c r="V19" s="100">
        <f>_xll.EQNXTDZ($A$1,$B19,V$1,$B$1)</f>
        <v>455.41</v>
      </c>
      <c r="W19" s="100">
        <f>_xll.EQNXTDZ($A$1,$B19,W$1,$B$1)</f>
        <v>220.6</v>
      </c>
      <c r="X19" s="100">
        <f>_xll.EQNXTDZ($A$1,$B19,X$1,$B$1)</f>
        <v>363.74</v>
      </c>
      <c r="Y19" s="100">
        <f>_xll.EQNXTDZ($A$1,$B19,Y$1,$B$1)</f>
        <v>515.41</v>
      </c>
      <c r="Z19" s="100">
        <f>_xll.EQNXTDZ($A$1,$B19,Z$1,$B$1)</f>
        <v>762.08</v>
      </c>
      <c r="AA19" s="100">
        <f>_xll.EQNXTDZ($A$1,$B19,AA$1,$B$1)</f>
        <v>1063.1500000000001</v>
      </c>
      <c r="AB19" s="100">
        <f>_xll.EQNXTDZ($A$1,$B19,AB$1,$B$1)</f>
        <v>1262.18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1E-3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7.1790000000000003</v>
      </c>
      <c r="K21" s="100">
        <f>_xll.EQNXTDZ($A$1,$B21,K$1,$B$1)</f>
        <v>5.5415999999999999</v>
      </c>
      <c r="L21" s="100">
        <f>_xll.EQNXTDZ($A$1,$B21,L$1,$B$1)</f>
        <v>191.05</v>
      </c>
      <c r="M21" s="100">
        <f>_xll.EQNXTDZ($A$1,$B21,M$1,$B$1)</f>
        <v>889.54</v>
      </c>
      <c r="N21" s="100">
        <f>_xll.EQNXTDZ($A$1,$B21,N$1,$B$1)</f>
        <v>2766.98</v>
      </c>
      <c r="O21" s="100">
        <f>_xll.EQNXTDZ($A$1,$B21,O$1,$B$1)</f>
        <v>5819.75</v>
      </c>
      <c r="P21" s="100">
        <f>_xll.EQNXTDZ($A$1,$B21,P$1,$B$1)</f>
        <v>10870.6</v>
      </c>
      <c r="Q21" s="100">
        <f>_xll.EQNXTDZ($A$1,$B21,Q$1,$B$1)</f>
        <v>13707.55</v>
      </c>
      <c r="R21" s="100">
        <f>_xll.EQNXTDZ($A$1,$B21,R$1,$B$1)</f>
        <v>16730.04</v>
      </c>
      <c r="S21" s="100">
        <f>_xll.EQNXTDZ($A$1,$B21,S$1,$B$1)</f>
        <v>16643.86</v>
      </c>
      <c r="T21" s="100">
        <f>_xll.EQNXTDZ($A$1,$B21,T$1,$B$1)</f>
        <v>14903.4</v>
      </c>
      <c r="U21" s="100">
        <f>_xll.EQNXTDZ($A$1,$B21,U$1,$B$1)</f>
        <v>18930.349999999999</v>
      </c>
      <c r="V21" s="100">
        <f>_xll.EQNXTDZ($A$1,$B21,V$1,$B$1)</f>
        <v>20782.419999999998</v>
      </c>
      <c r="W21" s="100">
        <f>_xll.EQNXTDZ($A$1,$B21,W$1,$B$1)</f>
        <v>17552.96</v>
      </c>
      <c r="X21" s="100">
        <f>_xll.EQNXTDZ($A$1,$B21,X$1,$B$1)</f>
        <v>17897.02</v>
      </c>
      <c r="Y21" s="100">
        <f>_xll.EQNXTDZ($A$1,$B21,Y$1,$B$1)</f>
        <v>28728.639999999999</v>
      </c>
      <c r="Z21" s="100">
        <f>_xll.EQNXTDZ($A$1,$B21,Z$1,$B$1)</f>
        <v>32170.55</v>
      </c>
      <c r="AA21" s="100">
        <f>_xll.EQNXTDZ($A$1,$B21,AA$1,$B$1)</f>
        <v>34897.65</v>
      </c>
      <c r="AB21" s="100">
        <f>_xll.EQNXTDZ($A$1,$B21,AB$1,$B$1)</f>
        <v>34434.410000000003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-1E-3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-7.1790000000000003</v>
      </c>
      <c r="K22" s="100">
        <f>_xll.EQNXTDZ($A$1,$B22,K$1,$B$1)</f>
        <v>-5.5415999999999999</v>
      </c>
      <c r="L22" s="100">
        <f>_xll.EQNXTDZ($A$1,$B22,L$1,$B$1)</f>
        <v>243.81</v>
      </c>
      <c r="M22" s="100">
        <f>_xll.EQNXTDZ($A$1,$B22,M$1,$B$1)</f>
        <v>1245.6500000000001</v>
      </c>
      <c r="N22" s="100">
        <f>_xll.EQNXTDZ($A$1,$B22,N$1,$B$1)</f>
        <v>1325.18</v>
      </c>
      <c r="O22" s="100">
        <f>_xll.EQNXTDZ($A$1,$B22,O$1,$B$1)</f>
        <v>959.61</v>
      </c>
      <c r="P22" s="100">
        <f>_xll.EQNXTDZ($A$1,$B22,P$1,$B$1)</f>
        <v>4593.3</v>
      </c>
      <c r="Q22" s="100">
        <f>_xll.EQNXTDZ($A$1,$B22,Q$1,$B$1)</f>
        <v>5837.39</v>
      </c>
      <c r="R22" s="100">
        <f>_xll.EQNXTDZ($A$1,$B22,R$1,$B$1)</f>
        <v>8802.1299999999992</v>
      </c>
      <c r="S22" s="100">
        <f>_xll.EQNXTDZ($A$1,$B22,S$1,$B$1)</f>
        <v>5971.65</v>
      </c>
      <c r="T22" s="100">
        <f>_xll.EQNXTDZ($A$1,$B22,T$1,$B$1)</f>
        <v>5400.88</v>
      </c>
      <c r="U22" s="100">
        <f>_xll.EQNXTDZ($A$1,$B22,U$1,$B$1)</f>
        <v>4953.83</v>
      </c>
      <c r="V22" s="100">
        <f>_xll.EQNXTDZ($A$1,$B22,V$1,$B$1)</f>
        <v>5685.3</v>
      </c>
      <c r="W22" s="100">
        <f>_xll.EQNXTDZ($A$1,$B22,W$1,$B$1)</f>
        <v>8668.52</v>
      </c>
      <c r="X22" s="100">
        <f>_xll.EQNXTDZ($A$1,$B22,X$1,$B$1)</f>
        <v>9814.16</v>
      </c>
      <c r="Y22" s="100">
        <f>_xll.EQNXTDZ($A$1,$B22,Y$1,$B$1)</f>
        <v>10044.66</v>
      </c>
      <c r="Z22" s="100">
        <f>_xll.EQNXTDZ($A$1,$B22,Z$1,$B$1)</f>
        <v>18180.7</v>
      </c>
      <c r="AA22" s="100">
        <f>_xll.EQNXTDZ($A$1,$B22,AA$1,$B$1)</f>
        <v>21305.439999999999</v>
      </c>
      <c r="AB22" s="100">
        <f>_xll.EQNXTDZ($A$1,$B22,AB$1,$B$1)</f>
        <v>19806.11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31.93</v>
      </c>
      <c r="M23" s="100">
        <f>_xll.EQNXTDZ($A$1,$B23,M$1,$B$1)</f>
        <v>19.02</v>
      </c>
      <c r="N23" s="100">
        <f>_xll.EQNXTDZ($A$1,$B23,N$1,$B$1)</f>
        <v>150.05000000000001</v>
      </c>
      <c r="O23" s="100">
        <f>_xll.EQNXTDZ($A$1,$B23,O$1,$B$1)</f>
        <v>190.65</v>
      </c>
      <c r="P23" s="100">
        <f>_xll.EQNXTDZ($A$1,$B23,P$1,$B$1)</f>
        <v>231.43</v>
      </c>
      <c r="Q23" s="100">
        <f>_xll.EQNXTDZ($A$1,$B23,Q$1,$B$1)</f>
        <v>245.59</v>
      </c>
      <c r="R23" s="100">
        <f>_xll.EQNXTDZ($A$1,$B23,R$1,$B$1)</f>
        <v>201.58</v>
      </c>
      <c r="S23" s="100">
        <f>_xll.EQNXTDZ($A$1,$B23,S$1,$B$1)</f>
        <v>418.96</v>
      </c>
      <c r="T23" s="100">
        <f>_xll.EQNXTDZ($A$1,$B23,T$1,$B$1)</f>
        <v>789.15</v>
      </c>
      <c r="U23" s="100">
        <f>_xll.EQNXTDZ($A$1,$B23,U$1,$B$1)</f>
        <v>2503.12</v>
      </c>
      <c r="V23" s="100">
        <f>_xll.EQNXTDZ($A$1,$B23,V$1,$B$1)</f>
        <v>1621.24</v>
      </c>
      <c r="W23" s="100">
        <f>_xll.EQNXTDZ($A$1,$B23,W$1,$B$1)</f>
        <v>1928.2</v>
      </c>
      <c r="X23" s="100">
        <f>_xll.EQNXTDZ($A$1,$B23,X$1,$B$1)</f>
        <v>3981.46</v>
      </c>
      <c r="Y23" s="100">
        <f>_xll.EQNXTDZ($A$1,$B23,Y$1,$B$1)</f>
        <v>4409.25</v>
      </c>
      <c r="Z23" s="100">
        <f>_xll.EQNXTDZ($A$1,$B23,Z$1,$B$1)</f>
        <v>9968.73</v>
      </c>
      <c r="AA23" s="100">
        <f>_xll.EQNXTDZ($A$1,$B23,AA$1,$B$1)</f>
        <v>2702.74</v>
      </c>
      <c r="AB23" s="100">
        <f>_xll.EQNXTDZ($A$1,$B23,AB$1,$B$1)</f>
        <v>3718.03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-1E-3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-7.1790000000000003</v>
      </c>
      <c r="K24" s="100">
        <f>_xll.EQNXTDZ($A$1,$B24,K$1,$B$1)</f>
        <v>-5.5415999999999999</v>
      </c>
      <c r="L24" s="100">
        <f>_xll.EQNXTDZ($A$1,$B24,L$1,$B$1)</f>
        <v>275.74</v>
      </c>
      <c r="M24" s="100">
        <f>_xll.EQNXTDZ($A$1,$B24,M$1,$B$1)</f>
        <v>1264.67</v>
      </c>
      <c r="N24" s="100">
        <f>_xll.EQNXTDZ($A$1,$B24,N$1,$B$1)</f>
        <v>1475.23</v>
      </c>
      <c r="O24" s="100">
        <f>_xll.EQNXTDZ($A$1,$B24,O$1,$B$1)</f>
        <v>1150.26</v>
      </c>
      <c r="P24" s="100">
        <f>_xll.EQNXTDZ($A$1,$B24,P$1,$B$1)</f>
        <v>4824.7299999999996</v>
      </c>
      <c r="Q24" s="100">
        <f>_xll.EQNXTDZ($A$1,$B24,Q$1,$B$1)</f>
        <v>6082.98</v>
      </c>
      <c r="R24" s="100">
        <f>_xll.EQNXTDZ($A$1,$B24,R$1,$B$1)</f>
        <v>9003.7099999999991</v>
      </c>
      <c r="S24" s="100">
        <f>_xll.EQNXTDZ($A$1,$B24,S$1,$B$1)</f>
        <v>6390.61</v>
      </c>
      <c r="T24" s="100">
        <f>_xll.EQNXTDZ($A$1,$B24,T$1,$B$1)</f>
        <v>6190.03</v>
      </c>
      <c r="U24" s="100">
        <f>_xll.EQNXTDZ($A$1,$B24,U$1,$B$1)</f>
        <v>7456.95</v>
      </c>
      <c r="V24" s="100">
        <f>_xll.EQNXTDZ($A$1,$B24,V$1,$B$1)</f>
        <v>7306.54</v>
      </c>
      <c r="W24" s="100">
        <f>_xll.EQNXTDZ($A$1,$B24,W$1,$B$1)</f>
        <v>10596.72</v>
      </c>
      <c r="X24" s="100">
        <f>_xll.EQNXTDZ($A$1,$B24,X$1,$B$1)</f>
        <v>13795.62</v>
      </c>
      <c r="Y24" s="100">
        <f>_xll.EQNXTDZ($A$1,$B24,Y$1,$B$1)</f>
        <v>14453.91</v>
      </c>
      <c r="Z24" s="100">
        <f>_xll.EQNXTDZ($A$1,$B24,Z$1,$B$1)</f>
        <v>28149.43</v>
      </c>
      <c r="AA24" s="100">
        <f>_xll.EQNXTDZ($A$1,$B24,AA$1,$B$1)</f>
        <v>24008.18</v>
      </c>
      <c r="AB24" s="100">
        <f>_xll.EQNXTDZ($A$1,$B24,AB$1,$B$1)</f>
        <v>23524.14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37.67</v>
      </c>
      <c r="M25" s="100">
        <f>_xll.EQNXTDZ($A$1,$B25,M$1,$B$1)</f>
        <v>255.03</v>
      </c>
      <c r="N25" s="100">
        <f>_xll.EQNXTDZ($A$1,$B25,N$1,$B$1)</f>
        <v>884.45</v>
      </c>
      <c r="O25" s="100">
        <f>_xll.EQNXTDZ($A$1,$B25,O$1,$B$1)</f>
        <v>1702.86</v>
      </c>
      <c r="P25" s="100">
        <f>_xll.EQNXTDZ($A$1,$B25,P$1,$B$1)</f>
        <v>4162.16</v>
      </c>
      <c r="Q25" s="100">
        <f>_xll.EQNXTDZ($A$1,$B25,Q$1,$B$1)</f>
        <v>5369.16</v>
      </c>
      <c r="R25" s="100">
        <f>_xll.EQNXTDZ($A$1,$B25,R$1,$B$1)</f>
        <v>5963.17</v>
      </c>
      <c r="S25" s="100">
        <f>_xll.EQNXTDZ($A$1,$B25,S$1,$B$1)</f>
        <v>5901.73</v>
      </c>
      <c r="T25" s="100">
        <f>_xll.EQNXTDZ($A$1,$B25,T$1,$B$1)</f>
        <v>5570.23</v>
      </c>
      <c r="U25" s="100">
        <f>_xll.EQNXTDZ($A$1,$B25,U$1,$B$1)</f>
        <v>5682.19</v>
      </c>
      <c r="V25" s="100">
        <f>_xll.EQNXTDZ($A$1,$B25,V$1,$B$1)</f>
        <v>5561.97</v>
      </c>
      <c r="W25" s="100">
        <f>_xll.EQNXTDZ($A$1,$B25,W$1,$B$1)</f>
        <v>5106.33</v>
      </c>
      <c r="X25" s="100">
        <f>_xll.EQNXTDZ($A$1,$B25,X$1,$B$1)</f>
        <v>4100.95</v>
      </c>
      <c r="Y25" s="100">
        <f>_xll.EQNXTDZ($A$1,$B25,Y$1,$B$1)</f>
        <v>3475.53</v>
      </c>
      <c r="Z25" s="100">
        <f>_xll.EQNXTDZ($A$1,$B25,Z$1,$B$1)</f>
        <v>3426.59</v>
      </c>
      <c r="AA25" s="100">
        <f>_xll.EQNXTDZ($A$1,$B25,AA$1,$B$1)</f>
        <v>3339.79</v>
      </c>
      <c r="AB25" s="100">
        <f>_xll.EQNXTDZ($A$1,$B25,AB$1,$B$1)</f>
        <v>3460.1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-1E-3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-7.1790000000000003</v>
      </c>
      <c r="K26" s="100">
        <f>_xll.EQNXTDZ($A$1,$B26,K$1,$B$1)</f>
        <v>-5.5415999999999999</v>
      </c>
      <c r="L26" s="100">
        <f>_xll.EQNXTDZ($A$1,$B26,L$1,$B$1)</f>
        <v>238.07</v>
      </c>
      <c r="M26" s="100">
        <f>_xll.EQNXTDZ($A$1,$B26,M$1,$B$1)</f>
        <v>1009.64</v>
      </c>
      <c r="N26" s="100">
        <f>_xll.EQNXTDZ($A$1,$B26,N$1,$B$1)</f>
        <v>590.78</v>
      </c>
      <c r="O26" s="100">
        <f>_xll.EQNXTDZ($A$1,$B26,O$1,$B$1)</f>
        <v>-552.6</v>
      </c>
      <c r="P26" s="100">
        <f>_xll.EQNXTDZ($A$1,$B26,P$1,$B$1)</f>
        <v>662.57</v>
      </c>
      <c r="Q26" s="100">
        <f>_xll.EQNXTDZ($A$1,$B26,Q$1,$B$1)</f>
        <v>713.82</v>
      </c>
      <c r="R26" s="100">
        <f>_xll.EQNXTDZ($A$1,$B26,R$1,$B$1)</f>
        <v>3040.54</v>
      </c>
      <c r="S26" s="100">
        <f>_xll.EQNXTDZ($A$1,$B26,S$1,$B$1)</f>
        <v>488.88</v>
      </c>
      <c r="T26" s="100">
        <f>_xll.EQNXTDZ($A$1,$B26,T$1,$B$1)</f>
        <v>619.79999999999995</v>
      </c>
      <c r="U26" s="100">
        <f>_xll.EQNXTDZ($A$1,$B26,U$1,$B$1)</f>
        <v>1774.76</v>
      </c>
      <c r="V26" s="100">
        <f>_xll.EQNXTDZ($A$1,$B26,V$1,$B$1)</f>
        <v>1744.57</v>
      </c>
      <c r="W26" s="100">
        <f>_xll.EQNXTDZ($A$1,$B26,W$1,$B$1)</f>
        <v>5490.39</v>
      </c>
      <c r="X26" s="100">
        <f>_xll.EQNXTDZ($A$1,$B26,X$1,$B$1)</f>
        <v>9694.67</v>
      </c>
      <c r="Y26" s="100">
        <f>_xll.EQNXTDZ($A$1,$B26,Y$1,$B$1)</f>
        <v>10978.38</v>
      </c>
      <c r="Z26" s="100">
        <f>_xll.EQNXTDZ($A$1,$B26,Z$1,$B$1)</f>
        <v>24722.84</v>
      </c>
      <c r="AA26" s="100">
        <f>_xll.EQNXTDZ($A$1,$B26,AA$1,$B$1)</f>
        <v>20668.39</v>
      </c>
      <c r="AB26" s="100">
        <f>_xll.EQNXTDZ($A$1,$B26,AB$1,$B$1)</f>
        <v>20064.04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35.35</v>
      </c>
      <c r="M27" s="100">
        <f>_xll.EQNXTDZ($A$1,$B27,M$1,$B$1)</f>
        <v>188.57</v>
      </c>
      <c r="N27" s="100">
        <f>_xll.EQNXTDZ($A$1,$B27,N$1,$B$1)</f>
        <v>590.44000000000005</v>
      </c>
      <c r="O27" s="100">
        <f>_xll.EQNXTDZ($A$1,$B27,O$1,$B$1)</f>
        <v>1289.68</v>
      </c>
      <c r="P27" s="100">
        <f>_xll.EQNXTDZ($A$1,$B27,P$1,$B$1)</f>
        <v>1937.47</v>
      </c>
      <c r="Q27" s="100">
        <f>_xll.EQNXTDZ($A$1,$B27,Q$1,$B$1)</f>
        <v>2060.62</v>
      </c>
      <c r="R27" s="100">
        <f>_xll.EQNXTDZ($A$1,$B27,R$1,$B$1)</f>
        <v>2665.82</v>
      </c>
      <c r="S27" s="100">
        <f>_xll.EQNXTDZ($A$1,$B27,S$1,$B$1)</f>
        <v>2672.36</v>
      </c>
      <c r="T27" s="100">
        <f>_xll.EQNXTDZ($A$1,$B27,T$1,$B$1)</f>
        <v>2698.72</v>
      </c>
      <c r="U27" s="100">
        <f>_xll.EQNXTDZ($A$1,$B27,U$1,$B$1)</f>
        <v>2750.62</v>
      </c>
      <c r="V27" s="100">
        <f>_xll.EQNXTDZ($A$1,$B27,V$1,$B$1)</f>
        <v>3006.5</v>
      </c>
      <c r="W27" s="100">
        <f>_xll.EQNXTDZ($A$1,$B27,W$1,$B$1)</f>
        <v>3201.65</v>
      </c>
      <c r="X27" s="100">
        <f>_xll.EQNXTDZ($A$1,$B27,X$1,$B$1)</f>
        <v>3117.54</v>
      </c>
      <c r="Y27" s="100">
        <f>_xll.EQNXTDZ($A$1,$B27,Y$1,$B$1)</f>
        <v>3303.68</v>
      </c>
      <c r="Z27" s="100">
        <f>_xll.EQNXTDZ($A$1,$B27,Z$1,$B$1)</f>
        <v>3931.33</v>
      </c>
      <c r="AA27" s="100">
        <f>_xll.EQNXTDZ($A$1,$B27,AA$1,$B$1)</f>
        <v>4308.88</v>
      </c>
      <c r="AB27" s="100">
        <f>_xll.EQNXTDZ($A$1,$B27,AB$1,$B$1)</f>
        <v>4564.53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-7.87</v>
      </c>
      <c r="N29" s="100">
        <f>_xll.EQNXTDZ($A$1,$B29,N$1,$B$1)</f>
        <v>0</v>
      </c>
      <c r="O29" s="100">
        <f>_xll.EQNXTDZ($A$1,$B29,O$1,$B$1)</f>
        <v>24.06</v>
      </c>
      <c r="P29" s="100">
        <f>_xll.EQNXTDZ($A$1,$B29,P$1,$B$1)</f>
        <v>0</v>
      </c>
      <c r="Q29" s="100">
        <f>_xll.EQNXTDZ($A$1,$B29,Q$1,$B$1)</f>
        <v>-16.850000000000001</v>
      </c>
      <c r="R29" s="100">
        <f>_xll.EQNXTDZ($A$1,$B29,R$1,$B$1)</f>
        <v>0</v>
      </c>
      <c r="S29" s="100">
        <f>_xll.EQNXTDZ($A$1,$B29,S$1,$B$1)</f>
        <v>-4076.69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-1002.99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32.72</v>
      </c>
      <c r="M30" s="100">
        <f>_xll.EQNXTDZ($A$1,$B30,M$1,$B$1)</f>
        <v>300.02</v>
      </c>
      <c r="N30" s="100">
        <f>_xll.EQNXTDZ($A$1,$B30,N$1,$B$1)</f>
        <v>294.83999999999997</v>
      </c>
      <c r="O30" s="100">
        <f>_xll.EQNXTDZ($A$1,$B30,O$1,$B$1)</f>
        <v>476.79</v>
      </c>
      <c r="P30" s="100">
        <f>_xll.EQNXTDZ($A$1,$B30,P$1,$B$1)</f>
        <v>-1078.99</v>
      </c>
      <c r="Q30" s="100">
        <f>_xll.EQNXTDZ($A$1,$B30,Q$1,$B$1)</f>
        <v>0</v>
      </c>
      <c r="R30" s="100">
        <f>_xll.EQNXTDZ($A$1,$B30,R$1,$B$1)</f>
        <v>-176.08</v>
      </c>
      <c r="S30" s="100">
        <f>_xll.EQNXTDZ($A$1,$B30,S$1,$B$1)</f>
        <v>-86.07</v>
      </c>
      <c r="T30" s="100">
        <f>_xll.EQNXTDZ($A$1,$B30,T$1,$B$1)</f>
        <v>-5.15</v>
      </c>
      <c r="U30" s="100">
        <f>_xll.EQNXTDZ($A$1,$B30,U$1,$B$1)</f>
        <v>8.5399999999999991</v>
      </c>
      <c r="V30" s="100">
        <f>_xll.EQNXTDZ($A$1,$B30,V$1,$B$1)</f>
        <v>9.85</v>
      </c>
      <c r="W30" s="100">
        <f>_xll.EQNXTDZ($A$1,$B30,W$1,$B$1)</f>
        <v>1018.76</v>
      </c>
      <c r="X30" s="100">
        <f>_xll.EQNXTDZ($A$1,$B30,X$1,$B$1)</f>
        <v>1665.55</v>
      </c>
      <c r="Y30" s="100">
        <f>_xll.EQNXTDZ($A$1,$B30,Y$1,$B$1)</f>
        <v>-3051.94</v>
      </c>
      <c r="Z30" s="100">
        <f>_xll.EQNXTDZ($A$1,$B30,Z$1,$B$1)</f>
        <v>-37.28</v>
      </c>
      <c r="AA30" s="100">
        <f>_xll.EQNXTDZ($A$1,$B30,AA$1,$B$1)</f>
        <v>3609.9</v>
      </c>
      <c r="AB30" s="100">
        <f>_xll.EQNXTDZ($A$1,$B30,AB$1,$B$1)</f>
        <v>2528.4299999999998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0.55479999999999996</v>
      </c>
      <c r="L32" s="100">
        <f>_xll.EQNXTDZ($A$1,$B32,L$1,$B$1)</f>
        <v>0.11</v>
      </c>
      <c r="M32" s="100">
        <f>_xll.EQNXTDZ($A$1,$B32,M$1,$B$1)</f>
        <v>0.39</v>
      </c>
      <c r="N32" s="100">
        <f>_xll.EQNXTDZ($A$1,$B32,N$1,$B$1)</f>
        <v>7.23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189.16</v>
      </c>
      <c r="AB32" s="100">
        <f>_xll.EQNXTDZ($A$1,$B32,AB$1,$B$1)</f>
        <v>-136.78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-29.18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-1E-3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-7.1790000000000003</v>
      </c>
      <c r="K35" s="100">
        <f>_xll.EQNXTDZ($A$1,$B35,K$1,$B$1)</f>
        <v>-4.9867999999999997</v>
      </c>
      <c r="L35" s="100">
        <f>_xll.EQNXTDZ($A$1,$B35,L$1,$B$1)</f>
        <v>170.11</v>
      </c>
      <c r="M35" s="100">
        <f>_xll.EQNXTDZ($A$1,$B35,M$1,$B$1)</f>
        <v>513.57000000000005</v>
      </c>
      <c r="N35" s="100">
        <f>_xll.EQNXTDZ($A$1,$B35,N$1,$B$1)</f>
        <v>-287.27</v>
      </c>
      <c r="O35" s="100">
        <f>_xll.EQNXTDZ($A$1,$B35,O$1,$B$1)</f>
        <v>-2295.0100000000002</v>
      </c>
      <c r="P35" s="100">
        <f>_xll.EQNXTDZ($A$1,$B35,P$1,$B$1)</f>
        <v>-290.55</v>
      </c>
      <c r="Q35" s="100">
        <f>_xll.EQNXTDZ($A$1,$B35,Q$1,$B$1)</f>
        <v>-815.63</v>
      </c>
      <c r="R35" s="100">
        <f>_xll.EQNXTDZ($A$1,$B35,R$1,$B$1)</f>
        <v>550.79999999999995</v>
      </c>
      <c r="S35" s="100">
        <f>_xll.EQNXTDZ($A$1,$B35,S$1,$B$1)</f>
        <v>-6174.1</v>
      </c>
      <c r="T35" s="100">
        <f>_xll.EQNXTDZ($A$1,$B35,T$1,$B$1)</f>
        <v>-2102.9499999999998</v>
      </c>
      <c r="U35" s="100">
        <f>_xll.EQNXTDZ($A$1,$B35,U$1,$B$1)</f>
        <v>-984.4</v>
      </c>
      <c r="V35" s="100">
        <f>_xll.EQNXTDZ($A$1,$B35,V$1,$B$1)</f>
        <v>-2274.77</v>
      </c>
      <c r="W35" s="100">
        <f>_xll.EQNXTDZ($A$1,$B35,W$1,$B$1)</f>
        <v>1269.98</v>
      </c>
      <c r="X35" s="100">
        <f>_xll.EQNXTDZ($A$1,$B35,X$1,$B$1)</f>
        <v>4911.58</v>
      </c>
      <c r="Y35" s="100">
        <f>_xll.EQNXTDZ($A$1,$B35,Y$1,$B$1)</f>
        <v>10726.64</v>
      </c>
      <c r="Z35" s="100">
        <f>_xll.EQNXTDZ($A$1,$B35,Z$1,$B$1)</f>
        <v>20828.79</v>
      </c>
      <c r="AA35" s="100">
        <f>_xll.EQNXTDZ($A$1,$B35,AA$1,$B$1)</f>
        <v>12938.77</v>
      </c>
      <c r="AB35" s="100">
        <f>_xll.EQNXTDZ($A$1,$B35,AB$1,$B$1)</f>
        <v>12834.3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-94.64</v>
      </c>
      <c r="Q36" s="100">
        <f>_xll.EQNXTDZ($A$1,$B36,Q$1,$B$1)</f>
        <v>548.02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0.95</v>
      </c>
      <c r="G41" s="55">
        <f>_xll.EQNXTDZ($A$1,$B41,G$1,$B$1)</f>
        <v>0.95</v>
      </c>
      <c r="H41" s="55">
        <f>_xll.EQNXTDZ($A$1,$B41,H$1,$B$1)</f>
        <v>0.95</v>
      </c>
      <c r="I41" s="55">
        <f>_xll.EQNXTDZ($A$1,$B41,I$1,$B$1)</f>
        <v>260.69</v>
      </c>
      <c r="J41" s="55">
        <f>_xll.EQNXTDZ($A$1,$B41,J$1,$B$1)</f>
        <v>702.08299999999997</v>
      </c>
      <c r="K41" s="55">
        <f>_xll.EQNXTDZ($A$1,$B41,K$1,$B$1)</f>
        <v>1841.9762000000001</v>
      </c>
      <c r="L41" s="55">
        <f>_xll.EQNXTDZ($A$1,$B41,L$1,$B$1)</f>
        <v>2180.04</v>
      </c>
      <c r="M41" s="55">
        <f>_xll.EQNXTDZ($A$1,$B41,M$1,$B$1)</f>
        <v>2180.04</v>
      </c>
      <c r="N41" s="55">
        <f>_xll.EQNXTDZ($A$1,$B41,N$1,$B$1)</f>
        <v>2180.04</v>
      </c>
      <c r="O41" s="55">
        <f>_xll.EQNXTDZ($A$1,$B41,O$1,$B$1)</f>
        <v>2393.27</v>
      </c>
      <c r="P41" s="55">
        <f>_xll.EQNXTDZ($A$1,$B41,P$1,$B$1)</f>
        <v>2871.92</v>
      </c>
      <c r="Q41" s="55">
        <f>_xll.EQNXTDZ($A$1,$B41,Q$1,$B$1)</f>
        <v>2871.92</v>
      </c>
      <c r="R41" s="55">
        <f>_xll.EQNXTDZ($A$1,$B41,R$1,$B$1)</f>
        <v>3333.94</v>
      </c>
      <c r="S41" s="55">
        <f>_xll.EQNXTDZ($A$1,$B41,S$1,$B$1)</f>
        <v>3856.94</v>
      </c>
      <c r="T41" s="55">
        <f>_xll.EQNXTDZ($A$1,$B41,T$1,$B$1)</f>
        <v>3856.94</v>
      </c>
      <c r="U41" s="55">
        <f>_xll.EQNXTDZ($A$1,$B41,U$1,$B$1)</f>
        <v>3856.94</v>
      </c>
      <c r="V41" s="55">
        <f>_xll.EQNXTDZ($A$1,$B41,V$1,$B$1)</f>
        <v>3856.94</v>
      </c>
      <c r="W41" s="55">
        <f>_xll.EQNXTDZ($A$1,$B41,W$1,$B$1)</f>
        <v>3856.94</v>
      </c>
      <c r="X41" s="55">
        <f>_xll.EQNXTDZ($A$1,$B41,X$1,$B$1)</f>
        <v>3856.94</v>
      </c>
      <c r="Y41" s="55">
        <f>_xll.EQNXTDZ($A$1,$B41,Y$1,$B$1)</f>
        <v>3856.94</v>
      </c>
      <c r="Z41" s="55">
        <f>_xll.EQNXTDZ($A$1,$B41,Z$1,$B$1)</f>
        <v>3856.94</v>
      </c>
      <c r="AA41" s="55">
        <f>_xll.EQNXTDZ($A$1,$B41,AA$1,$B$1)</f>
        <v>3856.94</v>
      </c>
      <c r="AB41" s="55">
        <f>_xll.EQNXTDZ($A$1,$B41,AB$1,$B$1)</f>
        <v>3856.94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9.85</v>
      </c>
      <c r="I42" s="55">
        <f>_xll.EQNXTDZ($A$1,$B42,I$1,$B$1)</f>
        <v>20</v>
      </c>
      <c r="J42" s="55">
        <f>_xll.EQNXTDZ($A$1,$B42,J$1,$B$1)</f>
        <v>41.06</v>
      </c>
      <c r="K42" s="55">
        <f>_xll.EQNXTDZ($A$1,$B42,K$1,$B$1)</f>
        <v>5.9900000000000002E-2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-1.0999999999999999E-2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690.73800000000006</v>
      </c>
      <c r="K43" s="55">
        <f>_xll.EQNXTDZ($A$1,$B43,K$1,$B$1)</f>
        <v>446.67720000000003</v>
      </c>
      <c r="L43" s="55">
        <f>_xll.EQNXTDZ($A$1,$B43,L$1,$B$1)</f>
        <v>3597.98</v>
      </c>
      <c r="M43" s="55">
        <f>_xll.EQNXTDZ($A$1,$B43,M$1,$B$1)</f>
        <v>4107.28</v>
      </c>
      <c r="N43" s="55">
        <f>_xll.EQNXTDZ($A$1,$B43,N$1,$B$1)</f>
        <v>3861.27</v>
      </c>
      <c r="O43" s="55">
        <f>_xll.EQNXTDZ($A$1,$B43,O$1,$B$1)</f>
        <v>1900.14</v>
      </c>
      <c r="P43" s="55">
        <f>_xll.EQNXTDZ($A$1,$B43,P$1,$B$1)</f>
        <v>3671.47</v>
      </c>
      <c r="Q43" s="55">
        <f>_xll.EQNXTDZ($A$1,$B43,Q$1,$B$1)</f>
        <v>2852.7</v>
      </c>
      <c r="R43" s="55">
        <f>_xll.EQNXTDZ($A$1,$B43,R$1,$B$1)</f>
        <v>4133.92</v>
      </c>
      <c r="S43" s="55">
        <f>_xll.EQNXTDZ($A$1,$B43,S$1,$B$1)</f>
        <v>-857.38</v>
      </c>
      <c r="T43" s="55">
        <f>_xll.EQNXTDZ($A$1,$B43,T$1,$B$1)</f>
        <v>-2967.61</v>
      </c>
      <c r="U43" s="55">
        <f>_xll.EQNXTDZ($A$1,$B43,U$1,$B$1)</f>
        <v>-4144.6499999999996</v>
      </c>
      <c r="V43" s="55">
        <f>_xll.EQNXTDZ($A$1,$B43,V$1,$B$1)</f>
        <v>-5991.5</v>
      </c>
      <c r="W43" s="55">
        <f>_xll.EQNXTDZ($A$1,$B43,W$1,$B$1)</f>
        <v>-3359.35</v>
      </c>
      <c r="X43" s="55">
        <f>_xll.EQNXTDZ($A$1,$B43,X$1,$B$1)</f>
        <v>1631.5</v>
      </c>
      <c r="Y43" s="55">
        <f>_xll.EQNXTDZ($A$1,$B43,Y$1,$B$1)</f>
        <v>12803.72</v>
      </c>
      <c r="Z43" s="55">
        <f>_xll.EQNXTDZ($A$1,$B43,Z$1,$B$1)</f>
        <v>31973.09</v>
      </c>
      <c r="AA43" s="55">
        <f>_xll.EQNXTDZ($A$1,$B43,AA$1,$B$1)</f>
        <v>49433.23</v>
      </c>
      <c r="AB43" s="55">
        <f>_xll.EQNXTDZ($A$1,$B43,AB$1,$B$1)</f>
        <v>61079.94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0.93899999999999995</v>
      </c>
      <c r="G44" s="55">
        <f>_xll.EQNXTDZ($A$1,$B44,G$1,$B$1)</f>
        <v>0.95</v>
      </c>
      <c r="H44" s="55">
        <f>_xll.EQNXTDZ($A$1,$B44,H$1,$B$1)</f>
        <v>10.8</v>
      </c>
      <c r="I44" s="55">
        <f>_xll.EQNXTDZ($A$1,$B44,I$1,$B$1)</f>
        <v>280.69</v>
      </c>
      <c r="J44" s="55">
        <f>_xll.EQNXTDZ($A$1,$B44,J$1,$B$1)</f>
        <v>1433.8810000000001</v>
      </c>
      <c r="K44" s="55">
        <f>_xll.EQNXTDZ($A$1,$B44,K$1,$B$1)</f>
        <v>2288.7132999999999</v>
      </c>
      <c r="L44" s="55">
        <f>_xll.EQNXTDZ($A$1,$B44,L$1,$B$1)</f>
        <v>5778.02</v>
      </c>
      <c r="M44" s="55">
        <f>_xll.EQNXTDZ($A$1,$B44,M$1,$B$1)</f>
        <v>6287.32</v>
      </c>
      <c r="N44" s="55">
        <f>_xll.EQNXTDZ($A$1,$B44,N$1,$B$1)</f>
        <v>6041.31</v>
      </c>
      <c r="O44" s="55">
        <f>_xll.EQNXTDZ($A$1,$B44,O$1,$B$1)</f>
        <v>4293.41</v>
      </c>
      <c r="P44" s="55">
        <f>_xll.EQNXTDZ($A$1,$B44,P$1,$B$1)</f>
        <v>6543.39</v>
      </c>
      <c r="Q44" s="55">
        <f>_xll.EQNXTDZ($A$1,$B44,Q$1,$B$1)</f>
        <v>5724.62</v>
      </c>
      <c r="R44" s="55">
        <f>_xll.EQNXTDZ($A$1,$B44,R$1,$B$1)</f>
        <v>7467.86</v>
      </c>
      <c r="S44" s="55">
        <f>_xll.EQNXTDZ($A$1,$B44,S$1,$B$1)</f>
        <v>2999.56</v>
      </c>
      <c r="T44" s="55">
        <f>_xll.EQNXTDZ($A$1,$B44,T$1,$B$1)</f>
        <v>889.33</v>
      </c>
      <c r="U44" s="55">
        <f>_xll.EQNXTDZ($A$1,$B44,U$1,$B$1)</f>
        <v>-287.70999999999998</v>
      </c>
      <c r="V44" s="55">
        <f>_xll.EQNXTDZ($A$1,$B44,V$1,$B$1)</f>
        <v>-2134.56</v>
      </c>
      <c r="W44" s="55">
        <f>_xll.EQNXTDZ($A$1,$B44,W$1,$B$1)</f>
        <v>497.59</v>
      </c>
      <c r="X44" s="55">
        <f>_xll.EQNXTDZ($A$1,$B44,X$1,$B$1)</f>
        <v>5488.44</v>
      </c>
      <c r="Y44" s="55">
        <f>_xll.EQNXTDZ($A$1,$B44,Y$1,$B$1)</f>
        <v>16660.66</v>
      </c>
      <c r="Z44" s="55">
        <f>_xll.EQNXTDZ($A$1,$B44,Z$1,$B$1)</f>
        <v>35830.03</v>
      </c>
      <c r="AA44" s="55">
        <f>_xll.EQNXTDZ($A$1,$B44,AA$1,$B$1)</f>
        <v>53290.17</v>
      </c>
      <c r="AB44" s="55">
        <f>_xll.EQNXTDZ($A$1,$B44,AB$1,$B$1)</f>
        <v>64936.88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69.9422</v>
      </c>
      <c r="L45" s="55">
        <f>_xll.EQNXTDZ($A$1,$B45,L$1,$B$1)</f>
        <v>102.33</v>
      </c>
      <c r="M45" s="55">
        <f>_xll.EQNXTDZ($A$1,$B45,M$1,$B$1)</f>
        <v>566.26</v>
      </c>
      <c r="N45" s="55">
        <f>_xll.EQNXTDZ($A$1,$B45,N$1,$B$1)</f>
        <v>559.03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0.01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1326.47</v>
      </c>
      <c r="AB45" s="55">
        <f>_xll.EQNXTDZ($A$1,$B45,AB$1,$B$1)</f>
        <v>1465.04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56.78</v>
      </c>
      <c r="J47" s="55">
        <f>_xll.EQNXTDZ($A$1,$B47,J$1,$B$1)</f>
        <v>1011.174</v>
      </c>
      <c r="K47" s="55">
        <f>_xll.EQNXTDZ($A$1,$B47,K$1,$B$1)</f>
        <v>4089.6864999999998</v>
      </c>
      <c r="L47" s="55">
        <f>_xll.EQNXTDZ($A$1,$B47,L$1,$B$1)</f>
        <v>10022</v>
      </c>
      <c r="M47" s="55">
        <f>_xll.EQNXTDZ($A$1,$B47,M$1,$B$1)</f>
        <v>18825.099999999999</v>
      </c>
      <c r="N47" s="55">
        <f>_xll.EQNXTDZ($A$1,$B47,N$1,$B$1)</f>
        <v>27062.59</v>
      </c>
      <c r="O47" s="55">
        <f>_xll.EQNXTDZ($A$1,$B47,O$1,$B$1)</f>
        <v>27763.83</v>
      </c>
      <c r="P47" s="55">
        <f>_xll.EQNXTDZ($A$1,$B47,P$1,$B$1)</f>
        <v>29651.37</v>
      </c>
      <c r="Q47" s="55">
        <f>_xll.EQNXTDZ($A$1,$B47,Q$1,$B$1)</f>
        <v>28433.38</v>
      </c>
      <c r="R47" s="55">
        <f>_xll.EQNXTDZ($A$1,$B47,R$1,$B$1)</f>
        <v>31790.45</v>
      </c>
      <c r="S47" s="55">
        <f>_xll.EQNXTDZ($A$1,$B47,S$1,$B$1)</f>
        <v>32466.13</v>
      </c>
      <c r="T47" s="55">
        <f>_xll.EQNXTDZ($A$1,$B47,T$1,$B$1)</f>
        <v>29847.25</v>
      </c>
      <c r="U47" s="55">
        <f>_xll.EQNXTDZ($A$1,$B47,U$1,$B$1)</f>
        <v>27695.63</v>
      </c>
      <c r="V47" s="55">
        <f>_xll.EQNXTDZ($A$1,$B47,V$1,$B$1)</f>
        <v>31643.8</v>
      </c>
      <c r="W47" s="55">
        <f>_xll.EQNXTDZ($A$1,$B47,W$1,$B$1)</f>
        <v>30980.87</v>
      </c>
      <c r="X47" s="55">
        <f>_xll.EQNXTDZ($A$1,$B47,X$1,$B$1)</f>
        <v>31043.24</v>
      </c>
      <c r="Y47" s="55">
        <f>_xll.EQNXTDZ($A$1,$B47,Y$1,$B$1)</f>
        <v>26743.52</v>
      </c>
      <c r="Z47" s="55">
        <f>_xll.EQNXTDZ($A$1,$B47,Z$1,$B$1)</f>
        <v>26410.52</v>
      </c>
      <c r="AA47" s="55">
        <f>_xll.EQNXTDZ($A$1,$B47,AA$1,$B$1)</f>
        <v>27129.02</v>
      </c>
      <c r="AB47" s="55">
        <f>_xll.EQNXTDZ($A$1,$B47,AB$1,$B$1)</f>
        <v>42567.88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900</v>
      </c>
      <c r="L48" s="55">
        <f>_xll.EQNXTDZ($A$1,$B48,L$1,$B$1)</f>
        <v>563.5</v>
      </c>
      <c r="M48" s="55">
        <f>_xll.EQNXTDZ($A$1,$B48,M$1,$B$1)</f>
        <v>2862.72</v>
      </c>
      <c r="N48" s="55">
        <f>_xll.EQNXTDZ($A$1,$B48,N$1,$B$1)</f>
        <v>2522.2399999999998</v>
      </c>
      <c r="O48" s="55">
        <f>_xll.EQNXTDZ($A$1,$B48,O$1,$B$1)</f>
        <v>5427.77</v>
      </c>
      <c r="P48" s="55">
        <f>_xll.EQNXTDZ($A$1,$B48,P$1,$B$1)</f>
        <v>3480.11</v>
      </c>
      <c r="Q48" s="55">
        <f>_xll.EQNXTDZ($A$1,$B48,Q$1,$B$1)</f>
        <v>6656.28</v>
      </c>
      <c r="R48" s="55">
        <f>_xll.EQNXTDZ($A$1,$B48,R$1,$B$1)</f>
        <v>3627.1</v>
      </c>
      <c r="S48" s="55">
        <f>_xll.EQNXTDZ($A$1,$B48,S$1,$B$1)</f>
        <v>4184.4799999999996</v>
      </c>
      <c r="T48" s="55">
        <f>_xll.EQNXTDZ($A$1,$B48,T$1,$B$1)</f>
        <v>4712.6000000000004</v>
      </c>
      <c r="U48" s="55">
        <f>_xll.EQNXTDZ($A$1,$B48,U$1,$B$1)</f>
        <v>16714.64</v>
      </c>
      <c r="V48" s="55">
        <f>_xll.EQNXTDZ($A$1,$B48,V$1,$B$1)</f>
        <v>21537.54</v>
      </c>
      <c r="W48" s="55">
        <f>_xll.EQNXTDZ($A$1,$B48,W$1,$B$1)</f>
        <v>21591.13</v>
      </c>
      <c r="X48" s="55">
        <f>_xll.EQNXTDZ($A$1,$B48,X$1,$B$1)</f>
        <v>20043.080000000002</v>
      </c>
      <c r="Y48" s="55">
        <f>_xll.EQNXTDZ($A$1,$B48,Y$1,$B$1)</f>
        <v>20174.080000000002</v>
      </c>
      <c r="Z48" s="55">
        <f>_xll.EQNXTDZ($A$1,$B48,Z$1,$B$1)</f>
        <v>7499.49</v>
      </c>
      <c r="AA48" s="55">
        <f>_xll.EQNXTDZ($A$1,$B48,AA$1,$B$1)</f>
        <v>3574.86</v>
      </c>
      <c r="AB48" s="55">
        <f>_xll.EQNXTDZ($A$1,$B48,AB$1,$B$1)</f>
        <v>261.72000000000003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11.99</v>
      </c>
      <c r="M49" s="55">
        <f>_xll.EQNXTDZ($A$1,$B49,M$1,$B$1)</f>
        <v>312.01</v>
      </c>
      <c r="N49" s="55">
        <f>_xll.EQNXTDZ($A$1,$B49,N$1,$B$1)</f>
        <v>602.30999999999995</v>
      </c>
      <c r="O49" s="55">
        <f>_xll.EQNXTDZ($A$1,$B49,O$1,$B$1)</f>
        <v>1078.99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323.42</v>
      </c>
      <c r="S49" s="55">
        <f>_xll.EQNXTDZ($A$1,$B49,S$1,$B$1)</f>
        <v>224.85</v>
      </c>
      <c r="T49" s="55">
        <f>_xll.EQNXTDZ($A$1,$B49,T$1,$B$1)</f>
        <v>212.83</v>
      </c>
      <c r="U49" s="55">
        <f>_xll.EQNXTDZ($A$1,$B49,U$1,$B$1)</f>
        <v>178.49</v>
      </c>
      <c r="V49" s="55">
        <f>_xll.EQNXTDZ($A$1,$B49,V$1,$B$1)</f>
        <v>266.07</v>
      </c>
      <c r="W49" s="55">
        <f>_xll.EQNXTDZ($A$1,$B49,W$1,$B$1)</f>
        <v>1328.08</v>
      </c>
      <c r="X49" s="55">
        <f>_xll.EQNXTDZ($A$1,$B49,X$1,$B$1)</f>
        <v>2499.7800000000002</v>
      </c>
      <c r="Y49" s="55">
        <f>_xll.EQNXTDZ($A$1,$B49,Y$1,$B$1)</f>
        <v>0</v>
      </c>
      <c r="Z49" s="55">
        <f>_xll.EQNXTDZ($A$1,$B49,Z$1,$B$1)</f>
        <v>-60.54</v>
      </c>
      <c r="AA49" s="55">
        <f>_xll.EQNXTDZ($A$1,$B49,AA$1,$B$1)</f>
        <v>4022.73</v>
      </c>
      <c r="AB49" s="55">
        <f>_xll.EQNXTDZ($A$1,$B49,AB$1,$B$1)</f>
        <v>5015.76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1676.15</v>
      </c>
      <c r="N50" s="55">
        <f>_xll.EQNXTDZ($A$1,$B50,N$1,$B$1)</f>
        <v>1038.99</v>
      </c>
      <c r="O50" s="55">
        <f>_xll.EQNXTDZ($A$1,$B50,O$1,$B$1)</f>
        <v>343.59</v>
      </c>
      <c r="P50" s="55">
        <f>_xll.EQNXTDZ($A$1,$B50,P$1,$B$1)</f>
        <v>19.989999999999998</v>
      </c>
      <c r="Q50" s="55">
        <f>_xll.EQNXTDZ($A$1,$B50,Q$1,$B$1)</f>
        <v>60.53</v>
      </c>
      <c r="R50" s="55">
        <f>_xll.EQNXTDZ($A$1,$B50,R$1,$B$1)</f>
        <v>6509.85</v>
      </c>
      <c r="S50" s="55">
        <f>_xll.EQNXTDZ($A$1,$B50,S$1,$B$1)</f>
        <v>5942.15</v>
      </c>
      <c r="T50" s="55">
        <f>_xll.EQNXTDZ($A$1,$B50,T$1,$B$1)</f>
        <v>5782.18</v>
      </c>
      <c r="U50" s="55">
        <f>_xll.EQNXTDZ($A$1,$B50,U$1,$B$1)</f>
        <v>5462.27</v>
      </c>
      <c r="V50" s="55">
        <f>_xll.EQNXTDZ($A$1,$B50,V$1,$B$1)</f>
        <v>5434.57</v>
      </c>
      <c r="W50" s="55">
        <f>_xll.EQNXTDZ($A$1,$B50,W$1,$B$1)</f>
        <v>5593.93</v>
      </c>
      <c r="X50" s="55">
        <f>_xll.EQNXTDZ($A$1,$B50,X$1,$B$1)</f>
        <v>5541.94</v>
      </c>
      <c r="Y50" s="55">
        <f>_xll.EQNXTDZ($A$1,$B50,Y$1,$B$1)</f>
        <v>4271.47</v>
      </c>
      <c r="Z50" s="55">
        <f>_xll.EQNXTDZ($A$1,$B50,Z$1,$B$1)</f>
        <v>6242.81</v>
      </c>
      <c r="AA50" s="55">
        <f>_xll.EQNXTDZ($A$1,$B50,AA$1,$B$1)</f>
        <v>6793.69</v>
      </c>
      <c r="AB50" s="55">
        <f>_xll.EQNXTDZ($A$1,$B50,AB$1,$B$1)</f>
        <v>6533.14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376.85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74.180000000000007</v>
      </c>
      <c r="N52" s="55">
        <f>_xll.EQNXTDZ($A$1,$B52,N$1,$B$1)</f>
        <v>218.51</v>
      </c>
      <c r="O52" s="55">
        <f>_xll.EQNXTDZ($A$1,$B52,O$1,$B$1)</f>
        <v>175.83</v>
      </c>
      <c r="P52" s="55">
        <f>_xll.EQNXTDZ($A$1,$B52,P$1,$B$1)</f>
        <v>383.3</v>
      </c>
      <c r="Q52" s="55">
        <f>_xll.EQNXTDZ($A$1,$B52,Q$1,$B$1)</f>
        <v>163.72999999999999</v>
      </c>
      <c r="R52" s="55">
        <f>_xll.EQNXTDZ($A$1,$B52,R$1,$B$1)</f>
        <v>34.28</v>
      </c>
      <c r="S52" s="55">
        <f>_xll.EQNXTDZ($A$1,$B52,S$1,$B$1)</f>
        <v>36.93</v>
      </c>
      <c r="T52" s="55">
        <f>_xll.EQNXTDZ($A$1,$B52,T$1,$B$1)</f>
        <v>59.84</v>
      </c>
      <c r="U52" s="55">
        <f>_xll.EQNXTDZ($A$1,$B52,U$1,$B$1)</f>
        <v>61.48</v>
      </c>
      <c r="V52" s="55">
        <f>_xll.EQNXTDZ($A$1,$B52,V$1,$B$1)</f>
        <v>88.43</v>
      </c>
      <c r="W52" s="55">
        <f>_xll.EQNXTDZ($A$1,$B52,W$1,$B$1)</f>
        <v>86.95</v>
      </c>
      <c r="X52" s="55">
        <f>_xll.EQNXTDZ($A$1,$B52,X$1,$B$1)</f>
        <v>220.87</v>
      </c>
      <c r="Y52" s="55">
        <f>_xll.EQNXTDZ($A$1,$B52,Y$1,$B$1)</f>
        <v>226.95</v>
      </c>
      <c r="Z52" s="55">
        <f>_xll.EQNXTDZ($A$1,$B52,Z$1,$B$1)</f>
        <v>237.45</v>
      </c>
      <c r="AA52" s="55">
        <f>_xll.EQNXTDZ($A$1,$B52,AA$1,$B$1)</f>
        <v>339.64</v>
      </c>
      <c r="AB52" s="55">
        <f>_xll.EQNXTDZ($A$1,$B52,AB$1,$B$1)</f>
        <v>359.9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56.78</v>
      </c>
      <c r="J53" s="55">
        <f>_xll.EQNXTDZ($A$1,$B53,J$1,$B$1)</f>
        <v>1011.174</v>
      </c>
      <c r="K53" s="55">
        <f>_xll.EQNXTDZ($A$1,$B53,K$1,$B$1)</f>
        <v>4989.6864999999998</v>
      </c>
      <c r="L53" s="55">
        <f>_xll.EQNXTDZ($A$1,$B53,L$1,$B$1)</f>
        <v>10597.49</v>
      </c>
      <c r="M53" s="55">
        <f>_xll.EQNXTDZ($A$1,$B53,M$1,$B$1)</f>
        <v>23750.16</v>
      </c>
      <c r="N53" s="55">
        <f>_xll.EQNXTDZ($A$1,$B53,N$1,$B$1)</f>
        <v>31444.639999999999</v>
      </c>
      <c r="O53" s="55">
        <f>_xll.EQNXTDZ($A$1,$B53,O$1,$B$1)</f>
        <v>34790.01</v>
      </c>
      <c r="P53" s="55">
        <f>_xll.EQNXTDZ($A$1,$B53,P$1,$B$1)</f>
        <v>33911.620000000003</v>
      </c>
      <c r="Q53" s="55">
        <f>_xll.EQNXTDZ($A$1,$B53,Q$1,$B$1)</f>
        <v>35313.919999999998</v>
      </c>
      <c r="R53" s="55">
        <f>_xll.EQNXTDZ($A$1,$B53,R$1,$B$1)</f>
        <v>42285.1</v>
      </c>
      <c r="S53" s="55">
        <f>_xll.EQNXTDZ($A$1,$B53,S$1,$B$1)</f>
        <v>42854.54</v>
      </c>
      <c r="T53" s="55">
        <f>_xll.EQNXTDZ($A$1,$B53,T$1,$B$1)</f>
        <v>40614.699999999997</v>
      </c>
      <c r="U53" s="55">
        <f>_xll.EQNXTDZ($A$1,$B53,U$1,$B$1)</f>
        <v>50112.51</v>
      </c>
      <c r="V53" s="55">
        <f>_xll.EQNXTDZ($A$1,$B53,V$1,$B$1)</f>
        <v>58970.41</v>
      </c>
      <c r="W53" s="55">
        <f>_xll.EQNXTDZ($A$1,$B53,W$1,$B$1)</f>
        <v>59580.959999999999</v>
      </c>
      <c r="X53" s="55">
        <f>_xll.EQNXTDZ($A$1,$B53,X$1,$B$1)</f>
        <v>59348.91</v>
      </c>
      <c r="Y53" s="55">
        <f>_xll.EQNXTDZ($A$1,$B53,Y$1,$B$1)</f>
        <v>51416.02</v>
      </c>
      <c r="Z53" s="55">
        <f>_xll.EQNXTDZ($A$1,$B53,Z$1,$B$1)</f>
        <v>40329.730000000003</v>
      </c>
      <c r="AA53" s="55">
        <f>_xll.EQNXTDZ($A$1,$B53,AA$1,$B$1)</f>
        <v>41859.94</v>
      </c>
      <c r="AB53" s="55">
        <f>_xll.EQNXTDZ($A$1,$B53,AB$1,$B$1)</f>
        <v>54738.400000000001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2.2376999999999998</v>
      </c>
      <c r="I54" s="55">
        <f>_xll.EQNXTDZ($A$1,$B54,I$1,$B$1)</f>
        <v>317.10079999999999</v>
      </c>
      <c r="J54" s="55">
        <f>_xll.EQNXTDZ($A$1,$B54,J$1,$B$1)</f>
        <v>414.23099999999999</v>
      </c>
      <c r="K54" s="55">
        <f>_xll.EQNXTDZ($A$1,$B54,K$1,$B$1)</f>
        <v>514.1979</v>
      </c>
      <c r="L54" s="55">
        <f>_xll.EQNXTDZ($A$1,$B54,L$1,$B$1)</f>
        <v>1344.46</v>
      </c>
      <c r="M54" s="55">
        <f>_xll.EQNXTDZ($A$1,$B54,M$1,$B$1)</f>
        <v>364.6</v>
      </c>
      <c r="N54" s="55">
        <f>_xll.EQNXTDZ($A$1,$B54,N$1,$B$1)</f>
        <v>801.64</v>
      </c>
      <c r="O54" s="55">
        <f>_xll.EQNXTDZ($A$1,$B54,O$1,$B$1)</f>
        <v>2825.92</v>
      </c>
      <c r="P54" s="55">
        <f>_xll.EQNXTDZ($A$1,$B54,P$1,$B$1)</f>
        <v>3750.87</v>
      </c>
      <c r="Q54" s="55">
        <f>_xll.EQNXTDZ($A$1,$B54,Q$1,$B$1)</f>
        <v>5684.68</v>
      </c>
      <c r="R54" s="55">
        <f>_xll.EQNXTDZ($A$1,$B54,R$1,$B$1)</f>
        <v>6232.21</v>
      </c>
      <c r="S54" s="55">
        <f>_xll.EQNXTDZ($A$1,$B54,S$1,$B$1)</f>
        <v>7399.75</v>
      </c>
      <c r="T54" s="55">
        <f>_xll.EQNXTDZ($A$1,$B54,T$1,$B$1)</f>
        <v>7626.37</v>
      </c>
      <c r="U54" s="55">
        <f>_xll.EQNXTDZ($A$1,$B54,U$1,$B$1)</f>
        <v>6361.74</v>
      </c>
      <c r="V54" s="55">
        <f>_xll.EQNXTDZ($A$1,$B54,V$1,$B$1)</f>
        <v>5596.05</v>
      </c>
      <c r="W54" s="55">
        <f>_xll.EQNXTDZ($A$1,$B54,W$1,$B$1)</f>
        <v>3803.13</v>
      </c>
      <c r="X54" s="55">
        <f>_xll.EQNXTDZ($A$1,$B54,X$1,$B$1)</f>
        <v>3508.21</v>
      </c>
      <c r="Y54" s="55">
        <f>_xll.EQNXTDZ($A$1,$B54,Y$1,$B$1)</f>
        <v>3079.45</v>
      </c>
      <c r="Z54" s="55">
        <f>_xll.EQNXTDZ($A$1,$B54,Z$1,$B$1)</f>
        <v>3608.63</v>
      </c>
      <c r="AA54" s="55">
        <f>_xll.EQNXTDZ($A$1,$B54,AA$1,$B$1)</f>
        <v>2977.66</v>
      </c>
      <c r="AB54" s="55">
        <f>_xll.EQNXTDZ($A$1,$B54,AB$1,$B$1)</f>
        <v>2840.53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1E-3</v>
      </c>
      <c r="G55" s="55">
        <f>_xll.EQNXTDZ($A$1,$B55,G$1,$B$1)</f>
        <v>5.5099999999999995E-4</v>
      </c>
      <c r="H55" s="55">
        <f>_xll.EQNXTDZ($A$1,$B55,H$1,$B$1)</f>
        <v>0</v>
      </c>
      <c r="I55" s="55">
        <f>_xll.EQNXTDZ($A$1,$B55,I$1,$B$1)</f>
        <v>1.1518999999999899</v>
      </c>
      <c r="J55" s="55">
        <f>_xll.EQNXTDZ($A$1,$B55,J$1,$B$1)</f>
        <v>21.210999999999999</v>
      </c>
      <c r="K55" s="55">
        <f>_xll.EQNXTDZ($A$1,$B55,K$1,$B$1)</f>
        <v>46.629399999999997</v>
      </c>
      <c r="L55" s="55">
        <f>_xll.EQNXTDZ($A$1,$B55,L$1,$B$1)</f>
        <v>102.26</v>
      </c>
      <c r="M55" s="55">
        <f>_xll.EQNXTDZ($A$1,$B55,M$1,$B$1)</f>
        <v>1939.04</v>
      </c>
      <c r="N55" s="55">
        <f>_xll.EQNXTDZ($A$1,$B55,N$1,$B$1)</f>
        <v>5843.6</v>
      </c>
      <c r="O55" s="55">
        <f>_xll.EQNXTDZ($A$1,$B55,O$1,$B$1)</f>
        <v>8055.87</v>
      </c>
      <c r="P55" s="55">
        <f>_xll.EQNXTDZ($A$1,$B55,P$1,$B$1)</f>
        <v>7383.2</v>
      </c>
      <c r="Q55" s="55">
        <f>_xll.EQNXTDZ($A$1,$B55,Q$1,$B$1)</f>
        <v>5190.4799999999996</v>
      </c>
      <c r="R55" s="55">
        <f>_xll.EQNXTDZ($A$1,$B55,R$1,$B$1)</f>
        <v>6369.64</v>
      </c>
      <c r="S55" s="55">
        <f>_xll.EQNXTDZ($A$1,$B55,S$1,$B$1)</f>
        <v>5663.23</v>
      </c>
      <c r="T55" s="55">
        <f>_xll.EQNXTDZ($A$1,$B55,T$1,$B$1)</f>
        <v>5841.28</v>
      </c>
      <c r="U55" s="55">
        <f>_xll.EQNXTDZ($A$1,$B55,U$1,$B$1)</f>
        <v>4645.18</v>
      </c>
      <c r="V55" s="55">
        <f>_xll.EQNXTDZ($A$1,$B55,V$1,$B$1)</f>
        <v>4721.88</v>
      </c>
      <c r="W55" s="55">
        <f>_xll.EQNXTDZ($A$1,$B55,W$1,$B$1)</f>
        <v>5135.0200000000004</v>
      </c>
      <c r="X55" s="55">
        <f>_xll.EQNXTDZ($A$1,$B55,X$1,$B$1)</f>
        <v>5721.06</v>
      </c>
      <c r="Y55" s="55">
        <f>_xll.EQNXTDZ($A$1,$B55,Y$1,$B$1)</f>
        <v>8971.43</v>
      </c>
      <c r="Z55" s="55">
        <f>_xll.EQNXTDZ($A$1,$B55,Z$1,$B$1)</f>
        <v>5757.4</v>
      </c>
      <c r="AA55" s="55">
        <f>_xll.EQNXTDZ($A$1,$B55,AA$1,$B$1)</f>
        <v>4245.87</v>
      </c>
      <c r="AB55" s="55">
        <f>_xll.EQNXTDZ($A$1,$B55,AB$1,$B$1)</f>
        <v>6769.81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2004.72</v>
      </c>
      <c r="N56" s="55">
        <f>_xll.EQNXTDZ($A$1,$B56,N$1,$B$1)</f>
        <v>6420.5</v>
      </c>
      <c r="O56" s="55">
        <f>_xll.EQNXTDZ($A$1,$B56,O$1,$B$1)</f>
        <v>4411.1899999999996</v>
      </c>
      <c r="P56" s="55">
        <f>_xll.EQNXTDZ($A$1,$B56,P$1,$B$1)</f>
        <v>6637.28</v>
      </c>
      <c r="Q56" s="55">
        <f>_xll.EQNXTDZ($A$1,$B56,Q$1,$B$1)</f>
        <v>6294.85</v>
      </c>
      <c r="R56" s="55">
        <f>_xll.EQNXTDZ($A$1,$B56,R$1,$B$1)</f>
        <v>13435.69</v>
      </c>
      <c r="S56" s="55">
        <f>_xll.EQNXTDZ($A$1,$B56,S$1,$B$1)</f>
        <v>12580</v>
      </c>
      <c r="T56" s="55">
        <f>_xll.EQNXTDZ($A$1,$B56,T$1,$B$1)</f>
        <v>14560.34</v>
      </c>
      <c r="U56" s="55">
        <f>_xll.EQNXTDZ($A$1,$B56,U$1,$B$1)</f>
        <v>7073.53</v>
      </c>
      <c r="V56" s="55">
        <f>_xll.EQNXTDZ($A$1,$B56,V$1,$B$1)</f>
        <v>7801.81</v>
      </c>
      <c r="W56" s="55">
        <f>_xll.EQNXTDZ($A$1,$B56,W$1,$B$1)</f>
        <v>9683.32</v>
      </c>
      <c r="X56" s="55">
        <f>_xll.EQNXTDZ($A$1,$B56,X$1,$B$1)</f>
        <v>7240.37</v>
      </c>
      <c r="Y56" s="55">
        <f>_xll.EQNXTDZ($A$1,$B56,Y$1,$B$1)</f>
        <v>5671.58</v>
      </c>
      <c r="Z56" s="55">
        <f>_xll.EQNXTDZ($A$1,$B56,Z$1,$B$1)</f>
        <v>6396.95</v>
      </c>
      <c r="AA56" s="55">
        <f>_xll.EQNXTDZ($A$1,$B56,AA$1,$B$1)</f>
        <v>9087.36</v>
      </c>
      <c r="AB56" s="55">
        <f>_xll.EQNXTDZ($A$1,$B56,AB$1,$B$1)</f>
        <v>9065.64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9.7900000000000001E-2</v>
      </c>
      <c r="J57" s="55">
        <f>_xll.EQNXTDZ($A$1,$B57,J$1,$B$1)</f>
        <v>0.623</v>
      </c>
      <c r="K57" s="55">
        <f>_xll.EQNXTDZ($A$1,$B57,K$1,$B$1)</f>
        <v>1.1288</v>
      </c>
      <c r="L57" s="55">
        <f>_xll.EQNXTDZ($A$1,$B57,L$1,$B$1)</f>
        <v>3.48</v>
      </c>
      <c r="M57" s="55">
        <f>_xll.EQNXTDZ($A$1,$B57,M$1,$B$1)</f>
        <v>77.08</v>
      </c>
      <c r="N57" s="55">
        <f>_xll.EQNXTDZ($A$1,$B57,N$1,$B$1)</f>
        <v>273.02</v>
      </c>
      <c r="O57" s="55">
        <f>_xll.EQNXTDZ($A$1,$B57,O$1,$B$1)</f>
        <v>321.24</v>
      </c>
      <c r="P57" s="55">
        <f>_xll.EQNXTDZ($A$1,$B57,P$1,$B$1)</f>
        <v>517.63</v>
      </c>
      <c r="Q57" s="55">
        <f>_xll.EQNXTDZ($A$1,$B57,Q$1,$B$1)</f>
        <v>270.72000000000003</v>
      </c>
      <c r="R57" s="55">
        <f>_xll.EQNXTDZ($A$1,$B57,R$1,$B$1)</f>
        <v>8.4</v>
      </c>
      <c r="S57" s="55">
        <f>_xll.EQNXTDZ($A$1,$B57,S$1,$B$1)</f>
        <v>22.53</v>
      </c>
      <c r="T57" s="55">
        <f>_xll.EQNXTDZ($A$1,$B57,T$1,$B$1)</f>
        <v>16.73</v>
      </c>
      <c r="U57" s="55">
        <f>_xll.EQNXTDZ($A$1,$B57,U$1,$B$1)</f>
        <v>82.7</v>
      </c>
      <c r="V57" s="55">
        <f>_xll.EQNXTDZ($A$1,$B57,V$1,$B$1)</f>
        <v>81.569999999999993</v>
      </c>
      <c r="W57" s="55">
        <f>_xll.EQNXTDZ($A$1,$B57,W$1,$B$1)</f>
        <v>105.88</v>
      </c>
      <c r="X57" s="55">
        <f>_xll.EQNXTDZ($A$1,$B57,X$1,$B$1)</f>
        <v>674.03</v>
      </c>
      <c r="Y57" s="55">
        <f>_xll.EQNXTDZ($A$1,$B57,Y$1,$B$1)</f>
        <v>22.13</v>
      </c>
      <c r="Z57" s="55">
        <f>_xll.EQNXTDZ($A$1,$B57,Z$1,$B$1)</f>
        <v>25.69</v>
      </c>
      <c r="AA57" s="55">
        <f>_xll.EQNXTDZ($A$1,$B57,AA$1,$B$1)</f>
        <v>130.1</v>
      </c>
      <c r="AB57" s="55">
        <f>_xll.EQNXTDZ($A$1,$B57,AB$1,$B$1)</f>
        <v>1652.23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1E-3</v>
      </c>
      <c r="G59" s="55">
        <f>_xll.EQNXTDZ($A$1,$B59,G$1,$B$1)</f>
        <v>5.5099999999999995E-4</v>
      </c>
      <c r="H59" s="55">
        <f>_xll.EQNXTDZ($A$1,$B59,H$1,$B$1)</f>
        <v>2.2376999999999998</v>
      </c>
      <c r="I59" s="55">
        <f>_xll.EQNXTDZ($A$1,$B59,I$1,$B$1)</f>
        <v>318.35059999999999</v>
      </c>
      <c r="J59" s="55">
        <f>_xll.EQNXTDZ($A$1,$B59,J$1,$B$1)</f>
        <v>436.065</v>
      </c>
      <c r="K59" s="55">
        <f>_xll.EQNXTDZ($A$1,$B59,K$1,$B$1)</f>
        <v>561.95609999999999</v>
      </c>
      <c r="L59" s="55">
        <f>_xll.EQNXTDZ($A$1,$B59,L$1,$B$1)</f>
        <v>1450.2</v>
      </c>
      <c r="M59" s="55">
        <f>_xll.EQNXTDZ($A$1,$B59,M$1,$B$1)</f>
        <v>4385.4399999999996</v>
      </c>
      <c r="N59" s="55">
        <f>_xll.EQNXTDZ($A$1,$B59,N$1,$B$1)</f>
        <v>13338.76</v>
      </c>
      <c r="O59" s="55">
        <f>_xll.EQNXTDZ($A$1,$B59,O$1,$B$1)</f>
        <v>15614.22</v>
      </c>
      <c r="P59" s="55">
        <f>_xll.EQNXTDZ($A$1,$B59,P$1,$B$1)</f>
        <v>18288.98</v>
      </c>
      <c r="Q59" s="55">
        <f>_xll.EQNXTDZ($A$1,$B59,Q$1,$B$1)</f>
        <v>17440.73</v>
      </c>
      <c r="R59" s="55">
        <f>_xll.EQNXTDZ($A$1,$B59,R$1,$B$1)</f>
        <v>26045.94</v>
      </c>
      <c r="S59" s="55">
        <f>_xll.EQNXTDZ($A$1,$B59,S$1,$B$1)</f>
        <v>25665.51</v>
      </c>
      <c r="T59" s="55">
        <f>_xll.EQNXTDZ($A$1,$B59,T$1,$B$1)</f>
        <v>28044.720000000001</v>
      </c>
      <c r="U59" s="55">
        <f>_xll.EQNXTDZ($A$1,$B59,U$1,$B$1)</f>
        <v>18163.150000000001</v>
      </c>
      <c r="V59" s="55">
        <f>_xll.EQNXTDZ($A$1,$B59,V$1,$B$1)</f>
        <v>18201.310000000001</v>
      </c>
      <c r="W59" s="55">
        <f>_xll.EQNXTDZ($A$1,$B59,W$1,$B$1)</f>
        <v>18727.349999999999</v>
      </c>
      <c r="X59" s="55">
        <f>_xll.EQNXTDZ($A$1,$B59,X$1,$B$1)</f>
        <v>17143.669999999998</v>
      </c>
      <c r="Y59" s="55">
        <f>_xll.EQNXTDZ($A$1,$B59,Y$1,$B$1)</f>
        <v>17744.59</v>
      </c>
      <c r="Z59" s="55">
        <f>_xll.EQNXTDZ($A$1,$B59,Z$1,$B$1)</f>
        <v>15788.67</v>
      </c>
      <c r="AA59" s="55">
        <f>_xll.EQNXTDZ($A$1,$B59,AA$1,$B$1)</f>
        <v>16440.990000000002</v>
      </c>
      <c r="AB59" s="55">
        <f>_xll.EQNXTDZ($A$1,$B59,AB$1,$B$1)</f>
        <v>20328.21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0.94</v>
      </c>
      <c r="G60" s="55">
        <f>_xll.EQNXTDZ($A$1,$B60,G$1,$B$1)</f>
        <v>0.95055100000000003</v>
      </c>
      <c r="H60" s="55">
        <f>_xll.EQNXTDZ($A$1,$B60,H$1,$B$1)</f>
        <v>13.037699999999999</v>
      </c>
      <c r="I60" s="55">
        <f>_xll.EQNXTDZ($A$1,$B60,I$1,$B$1)</f>
        <v>655.82060000000001</v>
      </c>
      <c r="J60" s="55">
        <f>_xll.EQNXTDZ($A$1,$B60,J$1,$B$1)</f>
        <v>2881.12</v>
      </c>
      <c r="K60" s="55">
        <f>_xll.EQNXTDZ($A$1,$B60,K$1,$B$1)</f>
        <v>7910.2981</v>
      </c>
      <c r="L60" s="55">
        <f>_xll.EQNXTDZ($A$1,$B60,L$1,$B$1)</f>
        <v>17928.04</v>
      </c>
      <c r="M60" s="55">
        <f>_xll.EQNXTDZ($A$1,$B60,M$1,$B$1)</f>
        <v>34989.18</v>
      </c>
      <c r="N60" s="55">
        <f>_xll.EQNXTDZ($A$1,$B60,N$1,$B$1)</f>
        <v>51383.74</v>
      </c>
      <c r="O60" s="55">
        <f>_xll.EQNXTDZ($A$1,$B60,O$1,$B$1)</f>
        <v>54697.64</v>
      </c>
      <c r="P60" s="55">
        <f>_xll.EQNXTDZ($A$1,$B60,P$1,$B$1)</f>
        <v>58743.99</v>
      </c>
      <c r="Q60" s="55">
        <f>_xll.EQNXTDZ($A$1,$B60,Q$1,$B$1)</f>
        <v>58479.27</v>
      </c>
      <c r="R60" s="55">
        <f>_xll.EQNXTDZ($A$1,$B60,R$1,$B$1)</f>
        <v>75798.899999999994</v>
      </c>
      <c r="S60" s="55">
        <f>_xll.EQNXTDZ($A$1,$B60,S$1,$B$1)</f>
        <v>71519.61</v>
      </c>
      <c r="T60" s="55">
        <f>_xll.EQNXTDZ($A$1,$B60,T$1,$B$1)</f>
        <v>69548.75</v>
      </c>
      <c r="U60" s="55">
        <f>_xll.EQNXTDZ($A$1,$B60,U$1,$B$1)</f>
        <v>67987.95</v>
      </c>
      <c r="V60" s="55">
        <f>_xll.EQNXTDZ($A$1,$B60,V$1,$B$1)</f>
        <v>75037.16</v>
      </c>
      <c r="W60" s="55">
        <f>_xll.EQNXTDZ($A$1,$B60,W$1,$B$1)</f>
        <v>78805.91</v>
      </c>
      <c r="X60" s="55">
        <f>_xll.EQNXTDZ($A$1,$B60,X$1,$B$1)</f>
        <v>81981.02</v>
      </c>
      <c r="Y60" s="55">
        <f>_xll.EQNXTDZ($A$1,$B60,Y$1,$B$1)</f>
        <v>85821.27</v>
      </c>
      <c r="Z60" s="55">
        <f>_xll.EQNXTDZ($A$1,$B60,Z$1,$B$1)</f>
        <v>91948.43</v>
      </c>
      <c r="AA60" s="55">
        <f>_xll.EQNXTDZ($A$1,$B60,AA$1,$B$1)</f>
        <v>112917.57</v>
      </c>
      <c r="AB60" s="55">
        <f>_xll.EQNXTDZ($A$1,$B60,AB$1,$B$1)</f>
        <v>141468.53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0.183</v>
      </c>
      <c r="I62" s="55">
        <f>_xll.EQNXTDZ($A$1,$B62,I$1,$B$1)</f>
        <v>1.1931</v>
      </c>
      <c r="J62" s="55">
        <f>_xll.EQNXTDZ($A$1,$B62,J$1,$B$1)</f>
        <v>18.350999999999999</v>
      </c>
      <c r="K62" s="55">
        <f>_xll.EQNXTDZ($A$1,$B62,K$1,$B$1)</f>
        <v>347.17259999999999</v>
      </c>
      <c r="L62" s="55">
        <f>_xll.EQNXTDZ($A$1,$B62,L$1,$B$1)</f>
        <v>2854.92</v>
      </c>
      <c r="M62" s="55">
        <f>_xll.EQNXTDZ($A$1,$B62,M$1,$B$1)</f>
        <v>9028.34</v>
      </c>
      <c r="N62" s="55">
        <f>_xll.EQNXTDZ($A$1,$B62,N$1,$B$1)</f>
        <v>16702.169999999998</v>
      </c>
      <c r="O62" s="55">
        <f>_xll.EQNXTDZ($A$1,$B62,O$1,$B$1)</f>
        <v>31218.23</v>
      </c>
      <c r="P62" s="55">
        <f>_xll.EQNXTDZ($A$1,$B62,P$1,$B$1)</f>
        <v>50704.959999999999</v>
      </c>
      <c r="Q62" s="55">
        <f>_xll.EQNXTDZ($A$1,$B62,Q$1,$B$1)</f>
        <v>50758.98</v>
      </c>
      <c r="R62" s="55">
        <f>_xll.EQNXTDZ($A$1,$B62,R$1,$B$1)</f>
        <v>60283.23</v>
      </c>
      <c r="S62" s="55">
        <f>_xll.EQNXTDZ($A$1,$B62,S$1,$B$1)</f>
        <v>60402.03</v>
      </c>
      <c r="T62" s="55">
        <f>_xll.EQNXTDZ($A$1,$B62,T$1,$B$1)</f>
        <v>60836.24</v>
      </c>
      <c r="U62" s="55">
        <f>_xll.EQNXTDZ($A$1,$B62,U$1,$B$1)</f>
        <v>61860.22</v>
      </c>
      <c r="V62" s="55">
        <f>_xll.EQNXTDZ($A$1,$B62,V$1,$B$1)</f>
        <v>70276.88</v>
      </c>
      <c r="W62" s="55">
        <f>_xll.EQNXTDZ($A$1,$B62,W$1,$B$1)</f>
        <v>70463.92</v>
      </c>
      <c r="X62" s="55">
        <f>_xll.EQNXTDZ($A$1,$B62,X$1,$B$1)</f>
        <v>73944.960000000006</v>
      </c>
      <c r="Y62" s="55">
        <f>_xll.EQNXTDZ($A$1,$B62,Y$1,$B$1)</f>
        <v>74608.789999999994</v>
      </c>
      <c r="Z62" s="55">
        <f>_xll.EQNXTDZ($A$1,$B62,Z$1,$B$1)</f>
        <v>90709.26</v>
      </c>
      <c r="AA62" s="55">
        <f>_xll.EQNXTDZ($A$1,$B62,AA$1,$B$1)</f>
        <v>101061.62</v>
      </c>
      <c r="AB62" s="55">
        <f>_xll.EQNXTDZ($A$1,$B62,AB$1,$B$1)</f>
        <v>105627.82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3.3999999999999998E-3</v>
      </c>
      <c r="I63" s="55">
        <f>_xll.EQNXTDZ($A$1,$B63,I$1,$B$1)</f>
        <v>0.14879999999999999</v>
      </c>
      <c r="J63" s="55">
        <f>_xll.EQNXTDZ($A$1,$B63,J$1,$B$1)</f>
        <v>1.254</v>
      </c>
      <c r="K63" s="55">
        <f>_xll.EQNXTDZ($A$1,$B63,K$1,$B$1)</f>
        <v>10.355</v>
      </c>
      <c r="L63" s="55">
        <f>_xll.EQNXTDZ($A$1,$B63,L$1,$B$1)</f>
        <v>67.8</v>
      </c>
      <c r="M63" s="55">
        <f>_xll.EQNXTDZ($A$1,$B63,M$1,$B$1)</f>
        <v>281.10000000000002</v>
      </c>
      <c r="N63" s="55">
        <f>_xll.EQNXTDZ($A$1,$B63,N$1,$B$1)</f>
        <v>897.98</v>
      </c>
      <c r="O63" s="55">
        <f>_xll.EQNXTDZ($A$1,$B63,O$1,$B$1)</f>
        <v>2129.63</v>
      </c>
      <c r="P63" s="55">
        <f>_xll.EQNXTDZ($A$1,$B63,P$1,$B$1)</f>
        <v>4340.43</v>
      </c>
      <c r="Q63" s="55">
        <f>_xll.EQNXTDZ($A$1,$B63,Q$1,$B$1)</f>
        <v>5679.3</v>
      </c>
      <c r="R63" s="55">
        <f>_xll.EQNXTDZ($A$1,$B63,R$1,$B$1)</f>
        <v>3342.01</v>
      </c>
      <c r="S63" s="55">
        <f>_xll.EQNXTDZ($A$1,$B63,S$1,$B$1)</f>
        <v>6011.1</v>
      </c>
      <c r="T63" s="55">
        <f>_xll.EQNXTDZ($A$1,$B63,T$1,$B$1)</f>
        <v>8699.1</v>
      </c>
      <c r="U63" s="55">
        <f>_xll.EQNXTDZ($A$1,$B63,U$1,$B$1)</f>
        <v>11441.46</v>
      </c>
      <c r="V63" s="55">
        <f>_xll.EQNXTDZ($A$1,$B63,V$1,$B$1)</f>
        <v>14431.07</v>
      </c>
      <c r="W63" s="55">
        <f>_xll.EQNXTDZ($A$1,$B63,W$1,$B$1)</f>
        <v>17612.62</v>
      </c>
      <c r="X63" s="55">
        <f>_xll.EQNXTDZ($A$1,$B63,X$1,$B$1)</f>
        <v>20670.75</v>
      </c>
      <c r="Y63" s="55">
        <f>_xll.EQNXTDZ($A$1,$B63,Y$1,$B$1)</f>
        <v>23862.35</v>
      </c>
      <c r="Z63" s="55">
        <f>_xll.EQNXTDZ($A$1,$B63,Z$1,$B$1)</f>
        <v>27693.41</v>
      </c>
      <c r="AA63" s="55">
        <f>_xll.EQNXTDZ($A$1,$B63,AA$1,$B$1)</f>
        <v>31812.86</v>
      </c>
      <c r="AB63" s="55">
        <f>_xll.EQNXTDZ($A$1,$B63,AB$1,$B$1)</f>
        <v>36318.61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0.17960000000000001</v>
      </c>
      <c r="I65" s="55">
        <f>_xll.EQNXTDZ($A$1,$B65,I$1,$B$1)</f>
        <v>1.0443</v>
      </c>
      <c r="J65" s="55">
        <f>_xll.EQNXTDZ($A$1,$B65,J$1,$B$1)</f>
        <v>17.097000000000001</v>
      </c>
      <c r="K65" s="55">
        <f>_xll.EQNXTDZ($A$1,$B65,K$1,$B$1)</f>
        <v>336.81760000000003</v>
      </c>
      <c r="L65" s="55">
        <f>_xll.EQNXTDZ($A$1,$B65,L$1,$B$1)</f>
        <v>2787.12</v>
      </c>
      <c r="M65" s="55">
        <f>_xll.EQNXTDZ($A$1,$B65,M$1,$B$1)</f>
        <v>8747.24</v>
      </c>
      <c r="N65" s="55">
        <f>_xll.EQNXTDZ($A$1,$B65,N$1,$B$1)</f>
        <v>15804.19</v>
      </c>
      <c r="O65" s="55">
        <f>_xll.EQNXTDZ($A$1,$B65,O$1,$B$1)</f>
        <v>29088.6</v>
      </c>
      <c r="P65" s="55">
        <f>_xll.EQNXTDZ($A$1,$B65,P$1,$B$1)</f>
        <v>46364.53</v>
      </c>
      <c r="Q65" s="55">
        <f>_xll.EQNXTDZ($A$1,$B65,Q$1,$B$1)</f>
        <v>45079.68</v>
      </c>
      <c r="R65" s="55">
        <f>_xll.EQNXTDZ($A$1,$B65,R$1,$B$1)</f>
        <v>56941.22</v>
      </c>
      <c r="S65" s="55">
        <f>_xll.EQNXTDZ($A$1,$B65,S$1,$B$1)</f>
        <v>54390.93</v>
      </c>
      <c r="T65" s="55">
        <f>_xll.EQNXTDZ($A$1,$B65,T$1,$B$1)</f>
        <v>52137.14</v>
      </c>
      <c r="U65" s="55">
        <f>_xll.EQNXTDZ($A$1,$B65,U$1,$B$1)</f>
        <v>50418.76</v>
      </c>
      <c r="V65" s="55">
        <f>_xll.EQNXTDZ($A$1,$B65,V$1,$B$1)</f>
        <v>55845.81</v>
      </c>
      <c r="W65" s="55">
        <f>_xll.EQNXTDZ($A$1,$B65,W$1,$B$1)</f>
        <v>52851.3</v>
      </c>
      <c r="X65" s="55">
        <f>_xll.EQNXTDZ($A$1,$B65,X$1,$B$1)</f>
        <v>53274.21</v>
      </c>
      <c r="Y65" s="55">
        <f>_xll.EQNXTDZ($A$1,$B65,Y$1,$B$1)</f>
        <v>50746.44</v>
      </c>
      <c r="Z65" s="55">
        <f>_xll.EQNXTDZ($A$1,$B65,Z$1,$B$1)</f>
        <v>63015.85</v>
      </c>
      <c r="AA65" s="55">
        <f>_xll.EQNXTDZ($A$1,$B65,AA$1,$B$1)</f>
        <v>69248.759999999995</v>
      </c>
      <c r="AB65" s="55">
        <f>_xll.EQNXTDZ($A$1,$B65,AB$1,$B$1)</f>
        <v>69309.210000000006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0.93772180000000005</v>
      </c>
      <c r="H67" s="55">
        <f>_xll.EQNXTDZ($A$1,$B67,H$1,$B$1)</f>
        <v>2.8400000000000002E-2</v>
      </c>
      <c r="I67" s="55">
        <f>_xll.EQNXTDZ($A$1,$B67,I$1,$B$1)</f>
        <v>556.30449999999996</v>
      </c>
      <c r="J67" s="55">
        <f>_xll.EQNXTDZ($A$1,$B67,J$1,$B$1)</f>
        <v>2242.3490000000002</v>
      </c>
      <c r="K67" s="55">
        <f>_xll.EQNXTDZ($A$1,$B67,K$1,$B$1)</f>
        <v>6588.9132</v>
      </c>
      <c r="L67" s="55">
        <f>_xll.EQNXTDZ($A$1,$B67,L$1,$B$1)</f>
        <v>12769.08</v>
      </c>
      <c r="M67" s="55">
        <f>_xll.EQNXTDZ($A$1,$B67,M$1,$B$1)</f>
        <v>20304.7</v>
      </c>
      <c r="N67" s="55">
        <f>_xll.EQNXTDZ($A$1,$B67,N$1,$B$1)</f>
        <v>26721.48</v>
      </c>
      <c r="O67" s="55">
        <f>_xll.EQNXTDZ($A$1,$B67,O$1,$B$1)</f>
        <v>18976.5</v>
      </c>
      <c r="P67" s="55">
        <f>_xll.EQNXTDZ($A$1,$B67,P$1,$B$1)</f>
        <v>3659.83</v>
      </c>
      <c r="Q67" s="55">
        <f>_xll.EQNXTDZ($A$1,$B67,Q$1,$B$1)</f>
        <v>191.34</v>
      </c>
      <c r="R67" s="55">
        <f>_xll.EQNXTDZ($A$1,$B67,R$1,$B$1)</f>
        <v>87.92</v>
      </c>
      <c r="S67" s="55">
        <f>_xll.EQNXTDZ($A$1,$B67,S$1,$B$1)</f>
        <v>124.61</v>
      </c>
      <c r="T67" s="55">
        <f>_xll.EQNXTDZ($A$1,$B67,T$1,$B$1)</f>
        <v>119.86</v>
      </c>
      <c r="U67" s="55">
        <f>_xll.EQNXTDZ($A$1,$B67,U$1,$B$1)</f>
        <v>350.08</v>
      </c>
      <c r="V67" s="55">
        <f>_xll.EQNXTDZ($A$1,$B67,V$1,$B$1)</f>
        <v>2346.77</v>
      </c>
      <c r="W67" s="55">
        <f>_xll.EQNXTDZ($A$1,$B67,W$1,$B$1)</f>
        <v>6439.42</v>
      </c>
      <c r="X67" s="55">
        <f>_xll.EQNXTDZ($A$1,$B67,X$1,$B$1)</f>
        <v>10269.74</v>
      </c>
      <c r="Y67" s="55">
        <f>_xll.EQNXTDZ($A$1,$B67,Y$1,$B$1)</f>
        <v>12879.54</v>
      </c>
      <c r="Z67" s="55">
        <f>_xll.EQNXTDZ($A$1,$B67,Z$1,$B$1)</f>
        <v>925.12</v>
      </c>
      <c r="AA67" s="55">
        <f>_xll.EQNXTDZ($A$1,$B67,AA$1,$B$1)</f>
        <v>12104.42</v>
      </c>
      <c r="AB67" s="55">
        <f>_xll.EQNXTDZ($A$1,$B67,AB$1,$B$1)</f>
        <v>35053.46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0.93300000000000005</v>
      </c>
      <c r="G69" s="55">
        <f>_xll.EQNXTDZ($A$1,$B69,G$1,$B$1)</f>
        <v>0</v>
      </c>
      <c r="H69" s="55">
        <f>_xll.EQNXTDZ($A$1,$B69,H$1,$B$1)</f>
        <v>11.484400000000001</v>
      </c>
      <c r="I69" s="55">
        <f>_xll.EQNXTDZ($A$1,$B69,I$1,$B$1)</f>
        <v>47.5749</v>
      </c>
      <c r="J69" s="55">
        <f>_xll.EQNXTDZ($A$1,$B69,J$1,$B$1)</f>
        <v>200.09200000000001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704.94</v>
      </c>
      <c r="Z70" s="55">
        <f>_xll.EQNXTDZ($A$1,$B70,Z$1,$B$1)</f>
        <v>0</v>
      </c>
      <c r="AA70" s="55">
        <f>_xll.EQNXTDZ($A$1,$B70,AA$1,$B$1)</f>
        <v>48.69</v>
      </c>
      <c r="AB70" s="55">
        <f>_xll.EQNXTDZ($A$1,$B70,AB$1,$B$1)</f>
        <v>92.25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1E-3</v>
      </c>
      <c r="J71" s="55">
        <f>_xll.EQNXTDZ($A$1,$B71,J$1,$B$1)</f>
        <v>9.9999999999909103E-4</v>
      </c>
      <c r="K71" s="55">
        <f>_xll.EQNXTDZ($A$1,$B71,K$1,$B$1)</f>
        <v>1.1999999999999999E-3</v>
      </c>
      <c r="L71" s="55">
        <f>_xll.EQNXTDZ($A$1,$B71,L$1,$B$1)</f>
        <v>0.01</v>
      </c>
      <c r="M71" s="55">
        <f>_xll.EQNXTDZ($A$1,$B71,M$1,$B$1)</f>
        <v>10.01</v>
      </c>
      <c r="N71" s="55">
        <f>_xll.EQNXTDZ($A$1,$B71,N$1,$B$1)</f>
        <v>10.01</v>
      </c>
      <c r="O71" s="55">
        <f>_xll.EQNXTDZ($A$1,$B71,O$1,$B$1)</f>
        <v>10.01</v>
      </c>
      <c r="P71" s="55">
        <f>_xll.EQNXTDZ($A$1,$B71,P$1,$B$1)</f>
        <v>10.01</v>
      </c>
      <c r="Q71" s="55">
        <f>_xll.EQNXTDZ($A$1,$B71,Q$1,$B$1)</f>
        <v>0.01</v>
      </c>
      <c r="R71" s="55">
        <f>_xll.EQNXTDZ($A$1,$B71,R$1,$B$1)</f>
        <v>0.01</v>
      </c>
      <c r="S71" s="55">
        <f>_xll.EQNXTDZ($A$1,$B71,S$1,$B$1)</f>
        <v>0.01</v>
      </c>
      <c r="T71" s="55">
        <f>_xll.EQNXTDZ($A$1,$B71,T$1,$B$1)</f>
        <v>0.01</v>
      </c>
      <c r="U71" s="55">
        <f>_xll.EQNXTDZ($A$1,$B71,U$1,$B$1)</f>
        <v>0.01</v>
      </c>
      <c r="V71" s="55">
        <f>_xll.EQNXTDZ($A$1,$B71,V$1,$B$1)</f>
        <v>0.01</v>
      </c>
      <c r="W71" s="55">
        <f>_xll.EQNXTDZ($A$1,$B71,W$1,$B$1)</f>
        <v>0.01</v>
      </c>
      <c r="X71" s="55">
        <f>_xll.EQNXTDZ($A$1,$B71,X$1,$B$1)</f>
        <v>0.01</v>
      </c>
      <c r="Y71" s="55">
        <f>_xll.EQNXTDZ($A$1,$B71,Y$1,$B$1)</f>
        <v>42.51</v>
      </c>
      <c r="Z71" s="55">
        <f>_xll.EQNXTDZ($A$1,$B71,Z$1,$B$1)</f>
        <v>0.01</v>
      </c>
      <c r="AA71" s="55">
        <f>_xll.EQNXTDZ($A$1,$B71,AA$1,$B$1)</f>
        <v>59.51</v>
      </c>
      <c r="AB71" s="55">
        <f>_xll.EQNXTDZ($A$1,$B71,AB$1,$B$1)</f>
        <v>24.64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3774.96</v>
      </c>
      <c r="N72" s="55">
        <f>_xll.EQNXTDZ($A$1,$B72,N$1,$B$1)</f>
        <v>2294.7800000000002</v>
      </c>
      <c r="O72" s="55">
        <f>_xll.EQNXTDZ($A$1,$B72,O$1,$B$1)</f>
        <v>1295.71</v>
      </c>
      <c r="P72" s="55">
        <f>_xll.EQNXTDZ($A$1,$B72,P$1,$B$1)</f>
        <v>1283.1600000000001</v>
      </c>
      <c r="Q72" s="55">
        <f>_xll.EQNXTDZ($A$1,$B72,Q$1,$B$1)</f>
        <v>2619.71</v>
      </c>
      <c r="R72" s="55">
        <f>_xll.EQNXTDZ($A$1,$B72,R$1,$B$1)</f>
        <v>2306.4</v>
      </c>
      <c r="S72" s="55">
        <f>_xll.EQNXTDZ($A$1,$B72,S$1,$B$1)</f>
        <v>3221.11</v>
      </c>
      <c r="T72" s="55">
        <f>_xll.EQNXTDZ($A$1,$B72,T$1,$B$1)</f>
        <v>2823.29</v>
      </c>
      <c r="U72" s="55">
        <f>_xll.EQNXTDZ($A$1,$B72,U$1,$B$1)</f>
        <v>3242.19</v>
      </c>
      <c r="V72" s="55">
        <f>_xll.EQNXTDZ($A$1,$B72,V$1,$B$1)</f>
        <v>1800.97</v>
      </c>
      <c r="W72" s="55">
        <f>_xll.EQNXTDZ($A$1,$B72,W$1,$B$1)</f>
        <v>1442.56</v>
      </c>
      <c r="X72" s="55">
        <f>_xll.EQNXTDZ($A$1,$B72,X$1,$B$1)</f>
        <v>1068.32</v>
      </c>
      <c r="Y72" s="55">
        <f>_xll.EQNXTDZ($A$1,$B72,Y$1,$B$1)</f>
        <v>1190.96</v>
      </c>
      <c r="Z72" s="55">
        <f>_xll.EQNXTDZ($A$1,$B72,Z$1,$B$1)</f>
        <v>1916.38</v>
      </c>
      <c r="AA72" s="55">
        <f>_xll.EQNXTDZ($A$1,$B72,AA$1,$B$1)</f>
        <v>4866.29</v>
      </c>
      <c r="AB72" s="55">
        <f>_xll.EQNXTDZ($A$1,$B72,AB$1,$B$1)</f>
        <v>8057.22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290.75</v>
      </c>
      <c r="N73" s="55">
        <f>_xll.EQNXTDZ($A$1,$B73,N$1,$B$1)</f>
        <v>427.84</v>
      </c>
      <c r="O73" s="55">
        <f>_xll.EQNXTDZ($A$1,$B73,O$1,$B$1)</f>
        <v>154.87</v>
      </c>
      <c r="P73" s="55">
        <f>_xll.EQNXTDZ($A$1,$B73,P$1,$B$1)</f>
        <v>142.26</v>
      </c>
      <c r="Q73" s="55">
        <f>_xll.EQNXTDZ($A$1,$B73,Q$1,$B$1)</f>
        <v>36.479999999999997</v>
      </c>
      <c r="R73" s="55">
        <f>_xll.EQNXTDZ($A$1,$B73,R$1,$B$1)</f>
        <v>238.17</v>
      </c>
      <c r="S73" s="55">
        <f>_xll.EQNXTDZ($A$1,$B73,S$1,$B$1)</f>
        <v>248.01</v>
      </c>
      <c r="T73" s="55">
        <f>_xll.EQNXTDZ($A$1,$B73,T$1,$B$1)</f>
        <v>505.02</v>
      </c>
      <c r="U73" s="55">
        <f>_xll.EQNXTDZ($A$1,$B73,U$1,$B$1)</f>
        <v>771.03</v>
      </c>
      <c r="V73" s="55">
        <f>_xll.EQNXTDZ($A$1,$B73,V$1,$B$1)</f>
        <v>438.26</v>
      </c>
      <c r="W73" s="55">
        <f>_xll.EQNXTDZ($A$1,$B73,W$1,$B$1)</f>
        <v>430.27</v>
      </c>
      <c r="X73" s="55">
        <f>_xll.EQNXTDZ($A$1,$B73,X$1,$B$1)</f>
        <v>1140.67</v>
      </c>
      <c r="Y73" s="55">
        <f>_xll.EQNXTDZ($A$1,$B73,Y$1,$B$1)</f>
        <v>703.88</v>
      </c>
      <c r="Z73" s="55">
        <f>_xll.EQNXTDZ($A$1,$B73,Z$1,$B$1)</f>
        <v>504.49</v>
      </c>
      <c r="AA73" s="55">
        <f>_xll.EQNXTDZ($A$1,$B73,AA$1,$B$1)</f>
        <v>260.67</v>
      </c>
      <c r="AB73" s="55">
        <f>_xll.EQNXTDZ($A$1,$B73,AB$1,$B$1)</f>
        <v>243.67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0.93300000000000005</v>
      </c>
      <c r="G74" s="55">
        <f>_xll.EQNXTDZ($A$1,$B74,G$1,$B$1)</f>
        <v>0.93772180000000005</v>
      </c>
      <c r="H74" s="55">
        <f>_xll.EQNXTDZ($A$1,$B74,H$1,$B$1)</f>
        <v>11.692399999999999</v>
      </c>
      <c r="I74" s="55">
        <f>_xll.EQNXTDZ($A$1,$B74,I$1,$B$1)</f>
        <v>604.92470000000003</v>
      </c>
      <c r="J74" s="55">
        <f>_xll.EQNXTDZ($A$1,$B74,J$1,$B$1)</f>
        <v>2459.5390000000002</v>
      </c>
      <c r="K74" s="55">
        <f>_xll.EQNXTDZ($A$1,$B74,K$1,$B$1)</f>
        <v>6925.732</v>
      </c>
      <c r="L74" s="55">
        <f>_xll.EQNXTDZ($A$1,$B74,L$1,$B$1)</f>
        <v>15556.21</v>
      </c>
      <c r="M74" s="55">
        <f>_xll.EQNXTDZ($A$1,$B74,M$1,$B$1)</f>
        <v>33127.660000000003</v>
      </c>
      <c r="N74" s="55">
        <f>_xll.EQNXTDZ($A$1,$B74,N$1,$B$1)</f>
        <v>45258.3</v>
      </c>
      <c r="O74" s="55">
        <f>_xll.EQNXTDZ($A$1,$B74,O$1,$B$1)</f>
        <v>49525.69</v>
      </c>
      <c r="P74" s="55">
        <f>_xll.EQNXTDZ($A$1,$B74,P$1,$B$1)</f>
        <v>51459.79</v>
      </c>
      <c r="Q74" s="55">
        <f>_xll.EQNXTDZ($A$1,$B74,Q$1,$B$1)</f>
        <v>47927.22</v>
      </c>
      <c r="R74" s="55">
        <f>_xll.EQNXTDZ($A$1,$B74,R$1,$B$1)</f>
        <v>59573.72</v>
      </c>
      <c r="S74" s="55">
        <f>_xll.EQNXTDZ($A$1,$B74,S$1,$B$1)</f>
        <v>57984.67</v>
      </c>
      <c r="T74" s="55">
        <f>_xll.EQNXTDZ($A$1,$B74,T$1,$B$1)</f>
        <v>55585.32</v>
      </c>
      <c r="U74" s="55">
        <f>_xll.EQNXTDZ($A$1,$B74,U$1,$B$1)</f>
        <v>54782.07</v>
      </c>
      <c r="V74" s="55">
        <f>_xll.EQNXTDZ($A$1,$B74,V$1,$B$1)</f>
        <v>60431.82</v>
      </c>
      <c r="W74" s="55">
        <f>_xll.EQNXTDZ($A$1,$B74,W$1,$B$1)</f>
        <v>61163.56</v>
      </c>
      <c r="X74" s="55">
        <f>_xll.EQNXTDZ($A$1,$B74,X$1,$B$1)</f>
        <v>65752.95</v>
      </c>
      <c r="Y74" s="55">
        <f>_xll.EQNXTDZ($A$1,$B74,Y$1,$B$1)</f>
        <v>66268.27</v>
      </c>
      <c r="Z74" s="55">
        <f>_xll.EQNXTDZ($A$1,$B74,Z$1,$B$1)</f>
        <v>66361.850000000006</v>
      </c>
      <c r="AA74" s="55">
        <f>_xll.EQNXTDZ($A$1,$B74,AA$1,$B$1)</f>
        <v>86588.34</v>
      </c>
      <c r="AB74" s="55">
        <f>_xll.EQNXTDZ($A$1,$B74,AB$1,$B$1)</f>
        <v>112780.45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53.238999999999997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9</v>
      </c>
      <c r="O75" s="55">
        <f>_xll.EQNXTDZ($A$1,$B75,O$1,$B$1)</f>
        <v>12.36</v>
      </c>
      <c r="P75" s="55">
        <f>_xll.EQNXTDZ($A$1,$B75,P$1,$B$1)</f>
        <v>105.31</v>
      </c>
      <c r="Q75" s="55">
        <f>_xll.EQNXTDZ($A$1,$B75,Q$1,$B$1)</f>
        <v>357.29</v>
      </c>
      <c r="R75" s="55">
        <f>_xll.EQNXTDZ($A$1,$B75,R$1,$B$1)</f>
        <v>0.05</v>
      </c>
      <c r="S75" s="55">
        <f>_xll.EQNXTDZ($A$1,$B75,S$1,$B$1)</f>
        <v>164.32</v>
      </c>
      <c r="T75" s="55">
        <f>_xll.EQNXTDZ($A$1,$B75,T$1,$B$1)</f>
        <v>0</v>
      </c>
      <c r="U75" s="55">
        <f>_xll.EQNXTDZ($A$1,$B75,U$1,$B$1)</f>
        <v>2.71</v>
      </c>
      <c r="V75" s="55">
        <f>_xll.EQNXTDZ($A$1,$B75,V$1,$B$1)</f>
        <v>2.79</v>
      </c>
      <c r="W75" s="55">
        <f>_xll.EQNXTDZ($A$1,$B75,W$1,$B$1)</f>
        <v>20.09</v>
      </c>
      <c r="X75" s="55">
        <f>_xll.EQNXTDZ($A$1,$B75,X$1,$B$1)</f>
        <v>183.24</v>
      </c>
      <c r="Y75" s="55">
        <f>_xll.EQNXTDZ($A$1,$B75,Y$1,$B$1)</f>
        <v>611.54</v>
      </c>
      <c r="Z75" s="55">
        <f>_xll.EQNXTDZ($A$1,$B75,Z$1,$B$1)</f>
        <v>373.5</v>
      </c>
      <c r="AA75" s="55">
        <f>_xll.EQNXTDZ($A$1,$B75,AA$1,$B$1)</f>
        <v>1037.7</v>
      </c>
      <c r="AB75" s="55">
        <f>_xll.EQNXTDZ($A$1,$B75,AB$1,$B$1)</f>
        <v>1491.35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9.52</v>
      </c>
      <c r="M76" s="55">
        <f>_xll.EQNXTDZ($A$1,$B76,M$1,$B$1)</f>
        <v>283.61</v>
      </c>
      <c r="N76" s="55">
        <f>_xll.EQNXTDZ($A$1,$B76,N$1,$B$1)</f>
        <v>826.75</v>
      </c>
      <c r="O76" s="55">
        <f>_xll.EQNXTDZ($A$1,$B76,O$1,$B$1)</f>
        <v>1555.67</v>
      </c>
      <c r="P76" s="55">
        <f>_xll.EQNXTDZ($A$1,$B76,P$1,$B$1)</f>
        <v>1280.96</v>
      </c>
      <c r="Q76" s="55">
        <f>_xll.EQNXTDZ($A$1,$B76,Q$1,$B$1)</f>
        <v>1629.05</v>
      </c>
      <c r="R76" s="55">
        <f>_xll.EQNXTDZ($A$1,$B76,R$1,$B$1)</f>
        <v>1619.2</v>
      </c>
      <c r="S76" s="55">
        <f>_xll.EQNXTDZ($A$1,$B76,S$1,$B$1)</f>
        <v>1760.41</v>
      </c>
      <c r="T76" s="55">
        <f>_xll.EQNXTDZ($A$1,$B76,T$1,$B$1)</f>
        <v>873.98</v>
      </c>
      <c r="U76" s="55">
        <f>_xll.EQNXTDZ($A$1,$B76,U$1,$B$1)</f>
        <v>1224.08</v>
      </c>
      <c r="V76" s="55">
        <f>_xll.EQNXTDZ($A$1,$B76,V$1,$B$1)</f>
        <v>2522.77</v>
      </c>
      <c r="W76" s="55">
        <f>_xll.EQNXTDZ($A$1,$B76,W$1,$B$1)</f>
        <v>2025.11</v>
      </c>
      <c r="X76" s="55">
        <f>_xll.EQNXTDZ($A$1,$B76,X$1,$B$1)</f>
        <v>2258.27</v>
      </c>
      <c r="Y76" s="55">
        <f>_xll.EQNXTDZ($A$1,$B76,Y$1,$B$1)</f>
        <v>3075.2</v>
      </c>
      <c r="Z76" s="55">
        <f>_xll.EQNXTDZ($A$1,$B76,Z$1,$B$1)</f>
        <v>4142.1000000000004</v>
      </c>
      <c r="AA76" s="55">
        <f>_xll.EQNXTDZ($A$1,$B76,AA$1,$B$1)</f>
        <v>3317.28</v>
      </c>
      <c r="AB76" s="55">
        <f>_xll.EQNXTDZ($A$1,$B76,AB$1,$B$1)</f>
        <v>3623.48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256.3</v>
      </c>
      <c r="M77" s="55">
        <f>_xll.EQNXTDZ($A$1,$B77,M$1,$B$1)</f>
        <v>45.91</v>
      </c>
      <c r="N77" s="55">
        <f>_xll.EQNXTDZ($A$1,$B77,N$1,$B$1)</f>
        <v>449.2</v>
      </c>
      <c r="O77" s="55">
        <f>_xll.EQNXTDZ($A$1,$B77,O$1,$B$1)</f>
        <v>758.48</v>
      </c>
      <c r="P77" s="55">
        <f>_xll.EQNXTDZ($A$1,$B77,P$1,$B$1)</f>
        <v>1543.27</v>
      </c>
      <c r="Q77" s="55">
        <f>_xll.EQNXTDZ($A$1,$B77,Q$1,$B$1)</f>
        <v>3489.54</v>
      </c>
      <c r="R77" s="55">
        <f>_xll.EQNXTDZ($A$1,$B77,R$1,$B$1)</f>
        <v>12476.6</v>
      </c>
      <c r="S77" s="55">
        <f>_xll.EQNXTDZ($A$1,$B77,S$1,$B$1)</f>
        <v>7704.34</v>
      </c>
      <c r="T77" s="55">
        <f>_xll.EQNXTDZ($A$1,$B77,T$1,$B$1)</f>
        <v>6069.81</v>
      </c>
      <c r="U77" s="55">
        <f>_xll.EQNXTDZ($A$1,$B77,U$1,$B$1)</f>
        <v>8550.99</v>
      </c>
      <c r="V77" s="55">
        <f>_xll.EQNXTDZ($A$1,$B77,V$1,$B$1)</f>
        <v>8366.4699999999993</v>
      </c>
      <c r="W77" s="55">
        <f>_xll.EQNXTDZ($A$1,$B77,W$1,$B$1)</f>
        <v>11839.28</v>
      </c>
      <c r="X77" s="55">
        <f>_xll.EQNXTDZ($A$1,$B77,X$1,$B$1)</f>
        <v>9560.92</v>
      </c>
      <c r="Y77" s="55">
        <f>_xll.EQNXTDZ($A$1,$B77,Y$1,$B$1)</f>
        <v>11529.36</v>
      </c>
      <c r="Z77" s="55">
        <f>_xll.EQNXTDZ($A$1,$B77,Z$1,$B$1)</f>
        <v>11677.48</v>
      </c>
      <c r="AA77" s="55">
        <f>_xll.EQNXTDZ($A$1,$B77,AA$1,$B$1)</f>
        <v>13022.07</v>
      </c>
      <c r="AB77" s="55">
        <f>_xll.EQNXTDZ($A$1,$B77,AB$1,$B$1)</f>
        <v>11791.37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7.0000000000000001E-3</v>
      </c>
      <c r="G78" s="55">
        <f>_xll.EQNXTDZ($A$1,$B78,G$1,$B$1)</f>
        <v>5.9962000000000001E-3</v>
      </c>
      <c r="H78" s="55">
        <f>_xll.EQNXTDZ($A$1,$B78,H$1,$B$1)</f>
        <v>0.26700000000000002</v>
      </c>
      <c r="I78" s="55">
        <f>_xll.EQNXTDZ($A$1,$B78,I$1,$B$1)</f>
        <v>49.704599999999999</v>
      </c>
      <c r="J78" s="55">
        <f>_xll.EQNXTDZ($A$1,$B78,J$1,$B$1)</f>
        <v>192.09700000000001</v>
      </c>
      <c r="K78" s="55">
        <f>_xll.EQNXTDZ($A$1,$B78,K$1,$B$1)</f>
        <v>558.54690000000005</v>
      </c>
      <c r="L78" s="55">
        <f>_xll.EQNXTDZ($A$1,$B78,L$1,$B$1)</f>
        <v>1165.3900000000001</v>
      </c>
      <c r="M78" s="55">
        <f>_xll.EQNXTDZ($A$1,$B78,M$1,$B$1)</f>
        <v>964.32</v>
      </c>
      <c r="N78" s="55">
        <f>_xll.EQNXTDZ($A$1,$B78,N$1,$B$1)</f>
        <v>3240.8</v>
      </c>
      <c r="O78" s="55">
        <f>_xll.EQNXTDZ($A$1,$B78,O$1,$B$1)</f>
        <v>1718.09</v>
      </c>
      <c r="P78" s="55">
        <f>_xll.EQNXTDZ($A$1,$B78,P$1,$B$1)</f>
        <v>830.63</v>
      </c>
      <c r="Q78" s="55">
        <f>_xll.EQNXTDZ($A$1,$B78,Q$1,$B$1)</f>
        <v>856.25</v>
      </c>
      <c r="R78" s="55">
        <f>_xll.EQNXTDZ($A$1,$B78,R$1,$B$1)</f>
        <v>868.7</v>
      </c>
      <c r="S78" s="55">
        <f>_xll.EQNXTDZ($A$1,$B78,S$1,$B$1)</f>
        <v>604.16999999999996</v>
      </c>
      <c r="T78" s="55">
        <f>_xll.EQNXTDZ($A$1,$B78,T$1,$B$1)</f>
        <v>856.61</v>
      </c>
      <c r="U78" s="55">
        <f>_xll.EQNXTDZ($A$1,$B78,U$1,$B$1)</f>
        <v>915.88</v>
      </c>
      <c r="V78" s="55">
        <f>_xll.EQNXTDZ($A$1,$B78,V$1,$B$1)</f>
        <v>1979.31</v>
      </c>
      <c r="W78" s="55">
        <f>_xll.EQNXTDZ($A$1,$B78,W$1,$B$1)</f>
        <v>1607.32</v>
      </c>
      <c r="X78" s="55">
        <f>_xll.EQNXTDZ($A$1,$B78,X$1,$B$1)</f>
        <v>2364.6799999999998</v>
      </c>
      <c r="Y78" s="55">
        <f>_xll.EQNXTDZ($A$1,$B78,Y$1,$B$1)</f>
        <v>1873.65</v>
      </c>
      <c r="Z78" s="55">
        <f>_xll.EQNXTDZ($A$1,$B78,Z$1,$B$1)</f>
        <v>7211.76</v>
      </c>
      <c r="AA78" s="55">
        <f>_xll.EQNXTDZ($A$1,$B78,AA$1,$B$1)</f>
        <v>6119.88</v>
      </c>
      <c r="AB78" s="55">
        <f>_xll.EQNXTDZ($A$1,$B78,AB$1,$B$1)</f>
        <v>6926.32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0.1366</v>
      </c>
      <c r="J79" s="55">
        <f>_xll.EQNXTDZ($A$1,$B79,J$1,$B$1)</f>
        <v>5.1319999999999997</v>
      </c>
      <c r="K79" s="55">
        <f>_xll.EQNXTDZ($A$1,$B79,K$1,$B$1)</f>
        <v>8.6350999999999996</v>
      </c>
      <c r="L79" s="55">
        <f>_xll.EQNXTDZ($A$1,$B79,L$1,$B$1)</f>
        <v>18.940000000000001</v>
      </c>
      <c r="M79" s="55">
        <f>_xll.EQNXTDZ($A$1,$B79,M$1,$B$1)</f>
        <v>139.49</v>
      </c>
      <c r="N79" s="55">
        <f>_xll.EQNXTDZ($A$1,$B79,N$1,$B$1)</f>
        <v>125.1</v>
      </c>
      <c r="O79" s="55">
        <f>_xll.EQNXTDZ($A$1,$B79,O$1,$B$1)</f>
        <v>205.69</v>
      </c>
      <c r="P79" s="55">
        <f>_xll.EQNXTDZ($A$1,$B79,P$1,$B$1)</f>
        <v>251.5</v>
      </c>
      <c r="Q79" s="55">
        <f>_xll.EQNXTDZ($A$1,$B79,Q$1,$B$1)</f>
        <v>221.88</v>
      </c>
      <c r="R79" s="55">
        <f>_xll.EQNXTDZ($A$1,$B79,R$1,$B$1)</f>
        <v>189.72</v>
      </c>
      <c r="S79" s="55">
        <f>_xll.EQNXTDZ($A$1,$B79,S$1,$B$1)</f>
        <v>288.07</v>
      </c>
      <c r="T79" s="55">
        <f>_xll.EQNXTDZ($A$1,$B79,T$1,$B$1)</f>
        <v>643.75</v>
      </c>
      <c r="U79" s="55">
        <f>_xll.EQNXTDZ($A$1,$B79,U$1,$B$1)</f>
        <v>466.63</v>
      </c>
      <c r="V79" s="55">
        <f>_xll.EQNXTDZ($A$1,$B79,V$1,$B$1)</f>
        <v>578.36</v>
      </c>
      <c r="W79" s="55">
        <f>_xll.EQNXTDZ($A$1,$B79,W$1,$B$1)</f>
        <v>367.54</v>
      </c>
      <c r="X79" s="55">
        <f>_xll.EQNXTDZ($A$1,$B79,X$1,$B$1)</f>
        <v>332.49</v>
      </c>
      <c r="Y79" s="55">
        <f>_xll.EQNXTDZ($A$1,$B79,Y$1,$B$1)</f>
        <v>636.30999999999995</v>
      </c>
      <c r="Z79" s="55">
        <f>_xll.EQNXTDZ($A$1,$B79,Z$1,$B$1)</f>
        <v>473.44</v>
      </c>
      <c r="AA79" s="55">
        <f>_xll.EQNXTDZ($A$1,$B79,AA$1,$B$1)</f>
        <v>1222.77</v>
      </c>
      <c r="AB79" s="55">
        <f>_xll.EQNXTDZ($A$1,$B79,AB$1,$B$1)</f>
        <v>3131.54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1.0714999999999999</v>
      </c>
      <c r="I80" s="55">
        <f>_xll.EQNXTDZ($A$1,$B80,I$1,$B$1)</f>
        <v>1.0479000000000001</v>
      </c>
      <c r="J80" s="55">
        <f>_xll.EQNXTDZ($A$1,$B80,J$1,$B$1)</f>
        <v>171.113</v>
      </c>
      <c r="K80" s="55">
        <f>_xll.EQNXTDZ($A$1,$B80,K$1,$B$1)</f>
        <v>407.71289999999999</v>
      </c>
      <c r="L80" s="55">
        <f>_xll.EQNXTDZ($A$1,$B80,L$1,$B$1)</f>
        <v>921.68</v>
      </c>
      <c r="M80" s="55">
        <f>_xll.EQNXTDZ($A$1,$B80,M$1,$B$1)</f>
        <v>428.19</v>
      </c>
      <c r="N80" s="55">
        <f>_xll.EQNXTDZ($A$1,$B80,N$1,$B$1)</f>
        <v>1337.76</v>
      </c>
      <c r="O80" s="55">
        <f>_xll.EQNXTDZ($A$1,$B80,O$1,$B$1)</f>
        <v>802.12</v>
      </c>
      <c r="P80" s="55">
        <f>_xll.EQNXTDZ($A$1,$B80,P$1,$B$1)</f>
        <v>3092.56</v>
      </c>
      <c r="Q80" s="55">
        <f>_xll.EQNXTDZ($A$1,$B80,Q$1,$B$1)</f>
        <v>3837.95</v>
      </c>
      <c r="R80" s="55">
        <f>_xll.EQNXTDZ($A$1,$B80,R$1,$B$1)</f>
        <v>1070.9100000000001</v>
      </c>
      <c r="S80" s="55">
        <f>_xll.EQNXTDZ($A$1,$B80,S$1,$B$1)</f>
        <v>3013.63</v>
      </c>
      <c r="T80" s="55">
        <f>_xll.EQNXTDZ($A$1,$B80,T$1,$B$1)</f>
        <v>5519.28</v>
      </c>
      <c r="U80" s="55">
        <f>_xll.EQNXTDZ($A$1,$B80,U$1,$B$1)</f>
        <v>2041.39</v>
      </c>
      <c r="V80" s="55">
        <f>_xll.EQNXTDZ($A$1,$B80,V$1,$B$1)</f>
        <v>1155.6400000000001</v>
      </c>
      <c r="W80" s="55">
        <f>_xll.EQNXTDZ($A$1,$B80,W$1,$B$1)</f>
        <v>989.49</v>
      </c>
      <c r="X80" s="55">
        <f>_xll.EQNXTDZ($A$1,$B80,X$1,$B$1)</f>
        <v>1528.47</v>
      </c>
      <c r="Y80" s="55">
        <f>_xll.EQNXTDZ($A$1,$B80,Y$1,$B$1)</f>
        <v>1826.94</v>
      </c>
      <c r="Z80" s="55">
        <f>_xll.EQNXTDZ($A$1,$B80,Z$1,$B$1)</f>
        <v>1708.3</v>
      </c>
      <c r="AA80" s="55">
        <f>_xll.EQNXTDZ($A$1,$B80,AA$1,$B$1)</f>
        <v>1593.75</v>
      </c>
      <c r="AB80" s="55">
        <f>_xll.EQNXTDZ($A$1,$B80,AB$1,$B$1)</f>
        <v>1724.02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4.2</v>
      </c>
      <c r="V81" s="55">
        <f>_xll.EQNXTDZ($A$1,$B81,V$1,$B$1)</f>
        <v>0</v>
      </c>
      <c r="W81" s="55">
        <f>_xll.EQNXTDZ($A$1,$B81,W$1,$B$1)</f>
        <v>793.52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15.78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7.0000000000000001E-3</v>
      </c>
      <c r="G82" s="55">
        <f>_xll.EQNXTDZ($A$1,$B82,G$1,$B$1)</f>
        <v>5.9962000000000001E-3</v>
      </c>
      <c r="H82" s="55">
        <f>_xll.EQNXTDZ($A$1,$B82,H$1,$B$1)</f>
        <v>1.3385</v>
      </c>
      <c r="I82" s="55">
        <f>_xll.EQNXTDZ($A$1,$B82,I$1,$B$1)</f>
        <v>50.889099999999999</v>
      </c>
      <c r="J82" s="55">
        <f>_xll.EQNXTDZ($A$1,$B82,J$1,$B$1)</f>
        <v>421.58100000000002</v>
      </c>
      <c r="K82" s="55">
        <f>_xll.EQNXTDZ($A$1,$B82,K$1,$B$1)</f>
        <v>974.89490000000001</v>
      </c>
      <c r="L82" s="55">
        <f>_xll.EQNXTDZ($A$1,$B82,L$1,$B$1)</f>
        <v>2371.83</v>
      </c>
      <c r="M82" s="55">
        <f>_xll.EQNXTDZ($A$1,$B82,M$1,$B$1)</f>
        <v>1861.52</v>
      </c>
      <c r="N82" s="55">
        <f>_xll.EQNXTDZ($A$1,$B82,N$1,$B$1)</f>
        <v>5988.61</v>
      </c>
      <c r="O82" s="55">
        <f>_xll.EQNXTDZ($A$1,$B82,O$1,$B$1)</f>
        <v>5052.41</v>
      </c>
      <c r="P82" s="55">
        <f>_xll.EQNXTDZ($A$1,$B82,P$1,$B$1)</f>
        <v>7104.23</v>
      </c>
      <c r="Q82" s="55">
        <f>_xll.EQNXTDZ($A$1,$B82,Q$1,$B$1)</f>
        <v>10391.959999999999</v>
      </c>
      <c r="R82" s="55">
        <f>_xll.EQNXTDZ($A$1,$B82,R$1,$B$1)</f>
        <v>16225.18</v>
      </c>
      <c r="S82" s="55">
        <f>_xll.EQNXTDZ($A$1,$B82,S$1,$B$1)</f>
        <v>13534.94</v>
      </c>
      <c r="T82" s="55">
        <f>_xll.EQNXTDZ($A$1,$B82,T$1,$B$1)</f>
        <v>13963.43</v>
      </c>
      <c r="U82" s="55">
        <f>_xll.EQNXTDZ($A$1,$B82,U$1,$B$1)</f>
        <v>13201.68</v>
      </c>
      <c r="V82" s="55">
        <f>_xll.EQNXTDZ($A$1,$B82,V$1,$B$1)</f>
        <v>14605.34</v>
      </c>
      <c r="W82" s="55">
        <f>_xll.EQNXTDZ($A$1,$B82,W$1,$B$1)</f>
        <v>16848.830000000002</v>
      </c>
      <c r="X82" s="55">
        <f>_xll.EQNXTDZ($A$1,$B82,X$1,$B$1)</f>
        <v>16228.07</v>
      </c>
      <c r="Y82" s="55">
        <f>_xll.EQNXTDZ($A$1,$B82,Y$1,$B$1)</f>
        <v>19553</v>
      </c>
      <c r="Z82" s="55">
        <f>_xll.EQNXTDZ($A$1,$B82,Z$1,$B$1)</f>
        <v>25586.58</v>
      </c>
      <c r="AA82" s="55">
        <f>_xll.EQNXTDZ($A$1,$B82,AA$1,$B$1)</f>
        <v>26313.45</v>
      </c>
      <c r="AB82" s="55">
        <f>_xll.EQNXTDZ($A$1,$B82,AB$1,$B$1)</f>
        <v>28688.080000000002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6.8329999999999997E-3</v>
      </c>
      <c r="H83" s="55">
        <f>_xll.EQNXTDZ($A$1,$B83,H$1,$B$1)</f>
        <v>6.7999999999999996E-3</v>
      </c>
      <c r="I83" s="55">
        <f>_xll.EQNXTDZ($A$1,$B83,I$1,$B$1)</f>
        <v>6.7999999999999996E-3</v>
      </c>
      <c r="J83" s="55">
        <f>_xll.EQNXTDZ($A$1,$B83,J$1,$B$1)</f>
        <v>0</v>
      </c>
      <c r="K83" s="55">
        <f>_xll.EQNXTDZ($A$1,$B83,K$1,$B$1)</f>
        <v>9.6712000000000007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136.83000000000001</v>
      </c>
      <c r="O83" s="55">
        <f>_xll.EQNXTDZ($A$1,$B83,O$1,$B$1)</f>
        <v>119.54</v>
      </c>
      <c r="P83" s="55">
        <f>_xll.EQNXTDZ($A$1,$B83,P$1,$B$1)</f>
        <v>179.97</v>
      </c>
      <c r="Q83" s="55">
        <f>_xll.EQNXTDZ($A$1,$B83,Q$1,$B$1)</f>
        <v>160.09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0.94</v>
      </c>
      <c r="G84" s="55">
        <f>_xll.EQNXTDZ($A$1,$B84,G$1,$B$1)</f>
        <v>0.95055100000000003</v>
      </c>
      <c r="H84" s="55">
        <f>_xll.EQNXTDZ($A$1,$B84,H$1,$B$1)</f>
        <v>13.037699999999999</v>
      </c>
      <c r="I84" s="55">
        <f>_xll.EQNXTDZ($A$1,$B84,I$1,$B$1)</f>
        <v>655.82060000000001</v>
      </c>
      <c r="J84" s="55">
        <f>_xll.EQNXTDZ($A$1,$B84,J$1,$B$1)</f>
        <v>2881.12</v>
      </c>
      <c r="K84" s="55">
        <f>_xll.EQNXTDZ($A$1,$B84,K$1,$B$1)</f>
        <v>7910.2981</v>
      </c>
      <c r="L84" s="55">
        <f>_xll.EQNXTDZ($A$1,$B84,L$1,$B$1)</f>
        <v>17928.04</v>
      </c>
      <c r="M84" s="55">
        <f>_xll.EQNXTDZ($A$1,$B84,M$1,$B$1)</f>
        <v>34989.18</v>
      </c>
      <c r="N84" s="55">
        <f>_xll.EQNXTDZ($A$1,$B84,N$1,$B$1)</f>
        <v>51383.74</v>
      </c>
      <c r="O84" s="55">
        <f>_xll.EQNXTDZ($A$1,$B84,O$1,$B$1)</f>
        <v>54697.64</v>
      </c>
      <c r="P84" s="55">
        <f>_xll.EQNXTDZ($A$1,$B84,P$1,$B$1)</f>
        <v>58743.99</v>
      </c>
      <c r="Q84" s="55">
        <f>_xll.EQNXTDZ($A$1,$B84,Q$1,$B$1)</f>
        <v>58479.27</v>
      </c>
      <c r="R84" s="55">
        <f>_xll.EQNXTDZ($A$1,$B84,R$1,$B$1)</f>
        <v>75798.899999999994</v>
      </c>
      <c r="S84" s="55">
        <f>_xll.EQNXTDZ($A$1,$B84,S$1,$B$1)</f>
        <v>71519.61</v>
      </c>
      <c r="T84" s="55">
        <f>_xll.EQNXTDZ($A$1,$B84,T$1,$B$1)</f>
        <v>69548.75</v>
      </c>
      <c r="U84" s="55">
        <f>_xll.EQNXTDZ($A$1,$B84,U$1,$B$1)</f>
        <v>67987.95</v>
      </c>
      <c r="V84" s="55">
        <f>_xll.EQNXTDZ($A$1,$B84,V$1,$B$1)</f>
        <v>75037.16</v>
      </c>
      <c r="W84" s="55">
        <f>_xll.EQNXTDZ($A$1,$B84,W$1,$B$1)</f>
        <v>78805.91</v>
      </c>
      <c r="X84" s="55">
        <f>_xll.EQNXTDZ($A$1,$B84,X$1,$B$1)</f>
        <v>81981.02</v>
      </c>
      <c r="Y84" s="55">
        <f>_xll.EQNXTDZ($A$1,$B84,Y$1,$B$1)</f>
        <v>85821.27</v>
      </c>
      <c r="Z84" s="55">
        <f>_xll.EQNXTDZ($A$1,$B84,Z$1,$B$1)</f>
        <v>91948.43</v>
      </c>
      <c r="AA84" s="55">
        <f>_xll.EQNXTDZ($A$1,$B84,AA$1,$B$1)</f>
        <v>112917.57</v>
      </c>
      <c r="AB84" s="55">
        <f>_xll.EQNXTDZ($A$1,$B84,AB$1,$B$1)</f>
        <v>141468.53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5.67</v>
      </c>
      <c r="I85" s="55">
        <f>_xll.EQNXTDZ($A$1,$B85,I$1,$B$1)</f>
        <v>1921.4740999999999</v>
      </c>
      <c r="J85" s="55">
        <f>_xll.EQNXTDZ($A$1,$B85,J$1,$B$1)</f>
        <v>19256.272000000001</v>
      </c>
      <c r="K85" s="55">
        <f>_xll.EQNXTDZ($A$1,$B85,K$1,$B$1)</f>
        <v>3318.4702000000002</v>
      </c>
      <c r="L85" s="55">
        <f>_xll.EQNXTDZ($A$1,$B85,L$1,$B$1)</f>
        <v>11484.5</v>
      </c>
      <c r="M85" s="55">
        <f>_xll.EQNXTDZ($A$1,$B85,M$1,$B$1)</f>
        <v>16655.36</v>
      </c>
      <c r="N85" s="55">
        <f>_xll.EQNXTDZ($A$1,$B85,N$1,$B$1)</f>
        <v>18755.73</v>
      </c>
      <c r="O85" s="55">
        <f>_xll.EQNXTDZ($A$1,$B85,O$1,$B$1)</f>
        <v>161.01</v>
      </c>
      <c r="P85" s="55">
        <f>_xll.EQNXTDZ($A$1,$B85,P$1,$B$1)</f>
        <v>289.33999999999997</v>
      </c>
      <c r="Q85" s="55">
        <f>_xll.EQNXTDZ($A$1,$B85,Q$1,$B$1)</f>
        <v>291.70999999999998</v>
      </c>
      <c r="R85" s="55">
        <f>_xll.EQNXTDZ($A$1,$B85,R$1,$B$1)</f>
        <v>602.36</v>
      </c>
      <c r="S85" s="55">
        <f>_xll.EQNXTDZ($A$1,$B85,S$1,$B$1)</f>
        <v>628.74</v>
      </c>
      <c r="T85" s="55">
        <f>_xll.EQNXTDZ($A$1,$B85,T$1,$B$1)</f>
        <v>633.32000000000005</v>
      </c>
      <c r="U85" s="55">
        <f>_xll.EQNXTDZ($A$1,$B85,U$1,$B$1)</f>
        <v>509.06</v>
      </c>
      <c r="V85" s="55">
        <f>_xll.EQNXTDZ($A$1,$B85,V$1,$B$1)</f>
        <v>1646.29</v>
      </c>
      <c r="W85" s="55">
        <f>_xll.EQNXTDZ($A$1,$B85,W$1,$B$1)</f>
        <v>1441.09</v>
      </c>
      <c r="X85" s="55">
        <f>_xll.EQNXTDZ($A$1,$B85,X$1,$B$1)</f>
        <v>1470.75</v>
      </c>
      <c r="Y85" s="55">
        <f>_xll.EQNXTDZ($A$1,$B85,Y$1,$B$1)</f>
        <v>1679.26</v>
      </c>
      <c r="Z85" s="55">
        <f>_xll.EQNXTDZ($A$1,$B85,Z$1,$B$1)</f>
        <v>1675.54</v>
      </c>
      <c r="AA85" s="55">
        <f>_xll.EQNXTDZ($A$1,$B85,AA$1,$B$1)</f>
        <v>1140.6600000000001</v>
      </c>
      <c r="AB85" s="55">
        <f>_xll.EQNXTDZ($A$1,$B85,AB$1,$B$1)</f>
        <v>707.26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6.95</v>
      </c>
      <c r="Q86" s="55">
        <f>_xll.EQNXTDZ($A$1,$B86,Q$1,$B$1)</f>
        <v>6.95</v>
      </c>
      <c r="R86" s="55">
        <f>_xll.EQNXTDZ($A$1,$B86,R$1,$B$1)</f>
        <v>190.61</v>
      </c>
      <c r="S86" s="55">
        <f>_xll.EQNXTDZ($A$1,$B86,S$1,$B$1)</f>
        <v>190.61</v>
      </c>
      <c r="T86" s="55">
        <f>_xll.EQNXTDZ($A$1,$B86,T$1,$B$1)</f>
        <v>190.61</v>
      </c>
      <c r="U86" s="55">
        <f>_xll.EQNXTDZ($A$1,$B86,U$1,$B$1)</f>
        <v>190.61</v>
      </c>
      <c r="V86" s="55">
        <f>_xll.EQNXTDZ($A$1,$B86,V$1,$B$1)</f>
        <v>190.61</v>
      </c>
      <c r="W86" s="55">
        <f>_xll.EQNXTDZ($A$1,$B86,W$1,$B$1)</f>
        <v>190.61</v>
      </c>
      <c r="X86" s="55">
        <f>_xll.EQNXTDZ($A$1,$B86,X$1,$B$1)</f>
        <v>190.61</v>
      </c>
      <c r="Y86" s="55">
        <f>_xll.EQNXTDZ($A$1,$B86,Y$1,$B$1)</f>
        <v>190.61</v>
      </c>
      <c r="Z86" s="55">
        <f>_xll.EQNXTDZ($A$1,$B86,Z$1,$B$1)</f>
        <v>190.61</v>
      </c>
      <c r="AA86" s="55">
        <f>_xll.EQNXTDZ($A$1,$B86,AA$1,$B$1)</f>
        <v>204.52</v>
      </c>
      <c r="AB86" s="55">
        <f>_xll.EQNXTDZ($A$1,$B86,AB$1,$B$1)</f>
        <v>204.52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800</v>
      </c>
      <c r="U87" s="55">
        <f>_xll.EQNXTDZ($A$1,$B87,U$1,$B$1)</f>
        <v>330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810.18</v>
      </c>
      <c r="N88" s="55">
        <f>_xll.EQNXTDZ($A$1,$B88,N$1,$B$1)</f>
        <v>2595.0100000000002</v>
      </c>
      <c r="O88" s="55">
        <f>_xll.EQNXTDZ($A$1,$B88,O$1,$B$1)</f>
        <v>4192.6499999999996</v>
      </c>
      <c r="P88" s="55">
        <f>_xll.EQNXTDZ($A$1,$B88,P$1,$B$1)</f>
        <v>4381.47</v>
      </c>
      <c r="Q88" s="55">
        <f>_xll.EQNXTDZ($A$1,$B88,Q$1,$B$1)</f>
        <v>3357.45</v>
      </c>
      <c r="R88" s="55">
        <f>_xll.EQNXTDZ($A$1,$B88,R$1,$B$1)</f>
        <v>3876.08</v>
      </c>
      <c r="S88" s="55">
        <f>_xll.EQNXTDZ($A$1,$B88,S$1,$B$1)</f>
        <v>3239.7</v>
      </c>
      <c r="T88" s="55">
        <f>_xll.EQNXTDZ($A$1,$B88,T$1,$B$1)</f>
        <v>2914.62</v>
      </c>
      <c r="U88" s="55">
        <f>_xll.EQNXTDZ($A$1,$B88,U$1,$B$1)</f>
        <v>3165.9</v>
      </c>
      <c r="V88" s="55">
        <f>_xll.EQNXTDZ($A$1,$B88,V$1,$B$1)</f>
        <v>2830.61</v>
      </c>
      <c r="W88" s="55">
        <f>_xll.EQNXTDZ($A$1,$B88,W$1,$B$1)</f>
        <v>2770.95</v>
      </c>
      <c r="X88" s="55">
        <f>_xll.EQNXTDZ($A$1,$B88,X$1,$B$1)</f>
        <v>3683.99</v>
      </c>
      <c r="Y88" s="55">
        <f>_xll.EQNXTDZ($A$1,$B88,Y$1,$B$1)</f>
        <v>2877.87</v>
      </c>
      <c r="Z88" s="55">
        <f>_xll.EQNXTDZ($A$1,$B88,Z$1,$B$1)</f>
        <v>1464.9</v>
      </c>
      <c r="AA88" s="55">
        <f>_xll.EQNXTDZ($A$1,$B88,AA$1,$B$1)</f>
        <v>1600.56</v>
      </c>
      <c r="AB88" s="55">
        <f>_xll.EQNXTDZ($A$1,$B88,AB$1,$B$1)</f>
        <v>1660.3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14.06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6.95</v>
      </c>
      <c r="P91" s="55">
        <f>_xll.EQNXTDZ($A$1,$B91,P$1,$B$1)</f>
        <v>6.95</v>
      </c>
      <c r="Q91" s="55">
        <f>_xll.EQNXTDZ($A$1,$B91,Q$1,$B$1)</f>
        <v>6.95</v>
      </c>
      <c r="R91" s="55">
        <f>_xll.EQNXTDZ($A$1,$B91,R$1,$B$1)</f>
        <v>190.61</v>
      </c>
      <c r="S91" s="55">
        <f>_xll.EQNXTDZ($A$1,$B91,S$1,$B$1)</f>
        <v>190.61</v>
      </c>
      <c r="T91" s="55">
        <f>_xll.EQNXTDZ($A$1,$B91,T$1,$B$1)</f>
        <v>190.61</v>
      </c>
      <c r="U91" s="55">
        <f>_xll.EQNXTDZ($A$1,$B91,U$1,$B$1)</f>
        <v>190.61</v>
      </c>
      <c r="V91" s="55">
        <f>_xll.EQNXTDZ($A$1,$B91,V$1,$B$1)</f>
        <v>190.61</v>
      </c>
      <c r="W91" s="55">
        <f>_xll.EQNXTDZ($A$1,$B91,W$1,$B$1)</f>
        <v>190.61</v>
      </c>
      <c r="X91" s="55">
        <f>_xll.EQNXTDZ($A$1,$B91,X$1,$B$1)</f>
        <v>190.61</v>
      </c>
      <c r="Y91" s="55">
        <f>_xll.EQNXTDZ($A$1,$B91,Y$1,$B$1)</f>
        <v>190.61</v>
      </c>
      <c r="Z91" s="55">
        <f>_xll.EQNXTDZ($A$1,$B91,Z$1,$B$1)</f>
        <v>190.61</v>
      </c>
      <c r="AA91" s="55">
        <f>_xll.EQNXTDZ($A$1,$B91,AA$1,$B$1)</f>
        <v>204.52</v>
      </c>
      <c r="AB91" s="55">
        <f>_xll.EQNXTDZ($A$1,$B91,AB$1,$B$1)</f>
        <v>204.52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0.46</v>
      </c>
      <c r="N93" s="55">
        <f>_xll.EQNXTDZ($A$1,$B93,N$1,$B$1)</f>
        <v>24.23</v>
      </c>
      <c r="O93" s="55">
        <f>_xll.EQNXTDZ($A$1,$B93,O$1,$B$1)</f>
        <v>161.01</v>
      </c>
      <c r="P93" s="55">
        <f>_xll.EQNXTDZ($A$1,$B93,P$1,$B$1)</f>
        <v>154.13999999999999</v>
      </c>
      <c r="Q93" s="55">
        <f>_xll.EQNXTDZ($A$1,$B93,Q$1,$B$1)</f>
        <v>156.51</v>
      </c>
      <c r="R93" s="55">
        <f>_xll.EQNXTDZ($A$1,$B93,R$1,$B$1)</f>
        <v>467.16</v>
      </c>
      <c r="S93" s="55">
        <f>_xll.EQNXTDZ($A$1,$B93,S$1,$B$1)</f>
        <v>493.54</v>
      </c>
      <c r="T93" s="55">
        <f>_xll.EQNXTDZ($A$1,$B93,T$1,$B$1)</f>
        <v>498.12</v>
      </c>
      <c r="U93" s="55">
        <f>_xll.EQNXTDZ($A$1,$B93,U$1,$B$1)</f>
        <v>509.06</v>
      </c>
      <c r="V93" s="55">
        <f>_xll.EQNXTDZ($A$1,$B93,V$1,$B$1)</f>
        <v>1646.29</v>
      </c>
      <c r="W93" s="55">
        <f>_xll.EQNXTDZ($A$1,$B93,W$1,$B$1)</f>
        <v>1441.09</v>
      </c>
      <c r="X93" s="55">
        <f>_xll.EQNXTDZ($A$1,$B93,X$1,$B$1)</f>
        <v>1470.75</v>
      </c>
      <c r="Y93" s="55">
        <f>_xll.EQNXTDZ($A$1,$B93,Y$1,$B$1)</f>
        <v>1679.26</v>
      </c>
      <c r="Z93" s="55">
        <f>_xll.EQNXTDZ($A$1,$B93,Z$1,$B$1)</f>
        <v>1675.54</v>
      </c>
      <c r="AA93" s="55">
        <f>_xll.EQNXTDZ($A$1,$B93,AA$1,$B$1)</f>
        <v>1140.6600000000001</v>
      </c>
      <c r="AB93" s="55">
        <f>_xll.EQNXTDZ($A$1,$B93,AB$1,$B$1)</f>
        <v>707.26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798.06</v>
      </c>
      <c r="J95" s="55">
        <f>_xll.EQNXTDZ($A$1,$B95,J$1,$B$1)</f>
        <v>808.42</v>
      </c>
      <c r="K95" s="55">
        <f>_xll.EQNXTDZ($A$1,$B95,K$1,$B$1)</f>
        <v>1031.7524000000001</v>
      </c>
      <c r="L95" s="55">
        <f>_xll.EQNXTDZ($A$1,$B95,L$1,$B$1)</f>
        <v>4538.2</v>
      </c>
      <c r="M95" s="55">
        <f>_xll.EQNXTDZ($A$1,$B95,M$1,$B$1)</f>
        <v>4609.95</v>
      </c>
      <c r="N95" s="55">
        <f>_xll.EQNXTDZ($A$1,$B95,N$1,$B$1)</f>
        <v>2924.66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2225</v>
      </c>
      <c r="K98" s="55">
        <f>_xll.EQNXTDZ($A$1,$B98,K$1,$B$1)</f>
        <v>2286.7177999999999</v>
      </c>
      <c r="L98" s="55">
        <f>_xll.EQNXTDZ($A$1,$B98,L$1,$B$1)</f>
        <v>6946.3</v>
      </c>
      <c r="M98" s="55">
        <f>_xll.EQNXTDZ($A$1,$B98,M$1,$B$1)</f>
        <v>12044.95</v>
      </c>
      <c r="N98" s="55">
        <f>_xll.EQNXTDZ($A$1,$B98,N$1,$B$1)</f>
        <v>15806.84</v>
      </c>
      <c r="O98" s="55">
        <f>_xll.EQNXTDZ($A$1,$B98,O$1,$B$1)</f>
        <v>0</v>
      </c>
      <c r="P98" s="55">
        <f>_xll.EQNXTDZ($A$1,$B98,P$1,$B$1)</f>
        <v>135.19999999999999</v>
      </c>
      <c r="Q98" s="55">
        <f>_xll.EQNXTDZ($A$1,$B98,Q$1,$B$1)</f>
        <v>135.19999999999999</v>
      </c>
      <c r="R98" s="55">
        <f>_xll.EQNXTDZ($A$1,$B98,R$1,$B$1)</f>
        <v>135.19999999999999</v>
      </c>
      <c r="S98" s="55">
        <f>_xll.EQNXTDZ($A$1,$B98,S$1,$B$1)</f>
        <v>135.19999999999999</v>
      </c>
      <c r="T98" s="55">
        <f>_xll.EQNXTDZ($A$1,$B98,T$1,$B$1)</f>
        <v>135.19999999999999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5.67</v>
      </c>
      <c r="I99" s="55">
        <f>_xll.EQNXTDZ($A$1,$B99,I$1,$B$1)</f>
        <v>1123.4141</v>
      </c>
      <c r="J99" s="55">
        <f>_xll.EQNXTDZ($A$1,$B99,J$1,$B$1)</f>
        <v>16222.852000000001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0.95</v>
      </c>
      <c r="G104" s="55">
        <f>_xll.EQNXTDZ($A$1,$B104,G$1,$B$1)</f>
        <v>0.95</v>
      </c>
      <c r="H104" s="55">
        <f>_xll.EQNXTDZ($A$1,$B104,H$1,$B$1)</f>
        <v>0.95</v>
      </c>
      <c r="I104" s="55">
        <f>_xll.EQNXTDZ($A$1,$B104,I$1,$B$1)</f>
        <v>260.69</v>
      </c>
      <c r="J104" s="55">
        <f>_xll.EQNXTDZ($A$1,$B104,J$1,$B$1)</f>
        <v>552.08299999999997</v>
      </c>
      <c r="K104" s="55">
        <f>_xll.EQNXTDZ($A$1,$B104,K$1,$B$1)</f>
        <v>1841.9762000000001</v>
      </c>
      <c r="L104" s="55">
        <f>_xll.EQNXTDZ($A$1,$B104,L$1,$B$1)</f>
        <v>2180.04</v>
      </c>
      <c r="M104" s="55">
        <f>_xll.EQNXTDZ($A$1,$B104,M$1,$B$1)</f>
        <v>2180.04</v>
      </c>
      <c r="N104" s="55">
        <f>_xll.EQNXTDZ($A$1,$B104,N$1,$B$1)</f>
        <v>2180.04</v>
      </c>
      <c r="O104" s="55">
        <f>_xll.EQNXTDZ($A$1,$B104,O$1,$B$1)</f>
        <v>2393.27</v>
      </c>
      <c r="P104" s="55">
        <f>_xll.EQNXTDZ($A$1,$B104,P$1,$B$1)</f>
        <v>2871.92</v>
      </c>
      <c r="Q104" s="55">
        <f>_xll.EQNXTDZ($A$1,$B104,Q$1,$B$1)</f>
        <v>2871.92</v>
      </c>
      <c r="R104" s="55">
        <f>_xll.EQNXTDZ($A$1,$B104,R$1,$B$1)</f>
        <v>3333.94</v>
      </c>
      <c r="S104" s="55">
        <f>_xll.EQNXTDZ($A$1,$B104,S$1,$B$1)</f>
        <v>3856.94</v>
      </c>
      <c r="T104" s="55">
        <f>_xll.EQNXTDZ($A$1,$B104,T$1,$B$1)</f>
        <v>3856.94</v>
      </c>
      <c r="U104" s="55">
        <f>_xll.EQNXTDZ($A$1,$B104,U$1,$B$1)</f>
        <v>3856.94</v>
      </c>
      <c r="V104" s="55">
        <f>_xll.EQNXTDZ($A$1,$B104,V$1,$B$1)</f>
        <v>3856.94</v>
      </c>
      <c r="W104" s="55">
        <f>_xll.EQNXTDZ($A$1,$B104,W$1,$B$1)</f>
        <v>3856.94</v>
      </c>
      <c r="X104" s="55">
        <f>_xll.EQNXTDZ($A$1,$B104,X$1,$B$1)</f>
        <v>3856.94</v>
      </c>
      <c r="Y104" s="55">
        <f>_xll.EQNXTDZ($A$1,$B104,Y$1,$B$1)</f>
        <v>3856.94</v>
      </c>
      <c r="Z104" s="55">
        <f>_xll.EQNXTDZ($A$1,$B104,Z$1,$B$1)</f>
        <v>3856.94</v>
      </c>
      <c r="AA104" s="55">
        <f>_xll.EQNXTDZ($A$1,$B104,AA$1,$B$1)</f>
        <v>3856.94</v>
      </c>
      <c r="AB104" s="55">
        <f>_xll.EQNXTDZ($A$1,$B104,AB$1,$B$1)</f>
        <v>3856.94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23.19</v>
      </c>
      <c r="M106" s="55">
        <f>_xll.EQNXTDZ($A$1,$B106,M$1,$B$1)</f>
        <v>22.56</v>
      </c>
      <c r="N106" s="55">
        <f>_xll.EQNXTDZ($A$1,$B106,N$1,$B$1)</f>
        <v>13.66</v>
      </c>
      <c r="O106" s="55">
        <f>_xll.EQNXTDZ($A$1,$B106,O$1,$B$1)</f>
        <v>8.1300000000000008</v>
      </c>
      <c r="P106" s="55">
        <f>_xll.EQNXTDZ($A$1,$B106,P$1,$B$1)</f>
        <v>9.73</v>
      </c>
      <c r="Q106" s="55">
        <f>_xll.EQNXTDZ($A$1,$B106,Q$1,$B$1)</f>
        <v>9.4600000000000009</v>
      </c>
      <c r="R106" s="55">
        <f>_xll.EQNXTDZ($A$1,$B106,R$1,$B$1)</f>
        <v>6.93</v>
      </c>
      <c r="S106" s="55">
        <f>_xll.EQNXTDZ($A$1,$B106,S$1,$B$1)</f>
        <v>7.99</v>
      </c>
      <c r="T106" s="55">
        <f>_xll.EQNXTDZ($A$1,$B106,T$1,$B$1)</f>
        <v>4.75</v>
      </c>
      <c r="U106" s="55">
        <f>_xll.EQNXTDZ($A$1,$B106,U$1,$B$1)</f>
        <v>9.64</v>
      </c>
      <c r="V106" s="55">
        <f>_xll.EQNXTDZ($A$1,$B106,V$1,$B$1)</f>
        <v>5.55</v>
      </c>
      <c r="W106" s="55">
        <f>_xll.EQNXTDZ($A$1,$B106,W$1,$B$1)</f>
        <v>17.010000000000002</v>
      </c>
      <c r="X106" s="55">
        <f>_xll.EQNXTDZ($A$1,$B106,X$1,$B$1)</f>
        <v>37.01</v>
      </c>
      <c r="Y106" s="55">
        <f>_xll.EQNXTDZ($A$1,$B106,Y$1,$B$1)</f>
        <v>38.32</v>
      </c>
      <c r="Z106" s="55">
        <f>_xll.EQNXTDZ($A$1,$B106,Z$1,$B$1)</f>
        <v>106.74</v>
      </c>
      <c r="AA106" s="55">
        <f>_xll.EQNXTDZ($A$1,$B106,AA$1,$B$1)</f>
        <v>101.84</v>
      </c>
      <c r="AB106" s="55">
        <f>_xll.EQNXTDZ($A$1,$B106,AB$1,$B$1)</f>
        <v>150.5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23.56</v>
      </c>
      <c r="M107" s="55">
        <f>_xll.EQNXTDZ($A$1,$B107,M$1,$B$1)</f>
        <v>28.91</v>
      </c>
      <c r="N107" s="55">
        <f>_xll.EQNXTDZ($A$1,$B107,N$1,$B$1)</f>
        <v>24.3</v>
      </c>
      <c r="O107" s="55">
        <f>_xll.EQNXTDZ($A$1,$B107,O$1,$B$1)</f>
        <v>14.77</v>
      </c>
      <c r="P107" s="55">
        <f>_xll.EQNXTDZ($A$1,$B107,P$1,$B$1)</f>
        <v>12.48</v>
      </c>
      <c r="Q107" s="55">
        <f>_xll.EQNXTDZ($A$1,$B107,Q$1,$B$1)</f>
        <v>13.7</v>
      </c>
      <c r="R107" s="55">
        <f>_xll.EQNXTDZ($A$1,$B107,R$1,$B$1)</f>
        <v>10.09</v>
      </c>
      <c r="S107" s="55">
        <f>_xll.EQNXTDZ($A$1,$B107,S$1,$B$1)</f>
        <v>8.26</v>
      </c>
      <c r="T107" s="55">
        <f>_xll.EQNXTDZ($A$1,$B107,T$1,$B$1)</f>
        <v>9.5500000000000007</v>
      </c>
      <c r="U107" s="55">
        <f>_xll.EQNXTDZ($A$1,$B107,U$1,$B$1)</f>
        <v>11.64</v>
      </c>
      <c r="V107" s="55">
        <f>_xll.EQNXTDZ($A$1,$B107,V$1,$B$1)</f>
        <v>14.75</v>
      </c>
      <c r="W107" s="55">
        <f>_xll.EQNXTDZ($A$1,$B107,W$1,$B$1)</f>
        <v>21.8</v>
      </c>
      <c r="X107" s="55">
        <f>_xll.EQNXTDZ($A$1,$B107,X$1,$B$1)</f>
        <v>37.520000000000003</v>
      </c>
      <c r="Y107" s="55">
        <f>_xll.EQNXTDZ($A$1,$B107,Y$1,$B$1)</f>
        <v>86.56</v>
      </c>
      <c r="Z107" s="55">
        <f>_xll.EQNXTDZ($A$1,$B107,Z$1,$B$1)</f>
        <v>117.86</v>
      </c>
      <c r="AA107" s="55">
        <f>_xll.EQNXTDZ($A$1,$B107,AA$1,$B$1)</f>
        <v>179.35</v>
      </c>
      <c r="AB107" s="55">
        <f>_xll.EQNXTDZ($A$1,$B107,AB$1,$B$1)</f>
        <v>182.75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18.05</v>
      </c>
      <c r="M108" s="55">
        <f>_xll.EQNXTDZ($A$1,$B108,M$1,$B$1)</f>
        <v>21.5</v>
      </c>
      <c r="N108" s="55">
        <f>_xll.EQNXTDZ($A$1,$B108,N$1,$B$1)</f>
        <v>11.88</v>
      </c>
      <c r="O108" s="55">
        <f>_xll.EQNXTDZ($A$1,$B108,O$1,$B$1)</f>
        <v>7.36</v>
      </c>
      <c r="P108" s="55">
        <f>_xll.EQNXTDZ($A$1,$B108,P$1,$B$1)</f>
        <v>5.89</v>
      </c>
      <c r="Q108" s="55">
        <f>_xll.EQNXTDZ($A$1,$B108,Q$1,$B$1)</f>
        <v>7.76</v>
      </c>
      <c r="R108" s="55">
        <f>_xll.EQNXTDZ($A$1,$B108,R$1,$B$1)</f>
        <v>3.93</v>
      </c>
      <c r="S108" s="55">
        <f>_xll.EQNXTDZ($A$1,$B108,S$1,$B$1)</f>
        <v>4.67</v>
      </c>
      <c r="T108" s="55">
        <f>_xll.EQNXTDZ($A$1,$B108,T$1,$B$1)</f>
        <v>4.63</v>
      </c>
      <c r="U108" s="55">
        <f>_xll.EQNXTDZ($A$1,$B108,U$1,$B$1)</f>
        <v>3.04</v>
      </c>
      <c r="V108" s="55">
        <f>_xll.EQNXTDZ($A$1,$B108,V$1,$B$1)</f>
        <v>4.8600000000000003</v>
      </c>
      <c r="W108" s="55">
        <f>_xll.EQNXTDZ($A$1,$B108,W$1,$B$1)</f>
        <v>5.2</v>
      </c>
      <c r="X108" s="55">
        <f>_xll.EQNXTDZ($A$1,$B108,X$1,$B$1)</f>
        <v>13.99</v>
      </c>
      <c r="Y108" s="55">
        <f>_xll.EQNXTDZ($A$1,$B108,Y$1,$B$1)</f>
        <v>26.51</v>
      </c>
      <c r="Z108" s="55">
        <f>_xll.EQNXTDZ($A$1,$B108,Z$1,$B$1)</f>
        <v>37.020000000000003</v>
      </c>
      <c r="AA108" s="55">
        <f>_xll.EQNXTDZ($A$1,$B108,AA$1,$B$1)</f>
        <v>86.17</v>
      </c>
      <c r="AB108" s="55">
        <f>_xll.EQNXTDZ($A$1,$B108,AB$1,$B$1)</f>
        <v>94.41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25277.5638</v>
      </c>
      <c r="M109" s="55">
        <f>_xll.EQNXTDZ($A$1,$B109,M$1,$B$1)</f>
        <v>24590.851200000001</v>
      </c>
      <c r="N109" s="55">
        <f>_xll.EQNXTDZ($A$1,$B109,N$1,$B$1)</f>
        <v>14889.673199999999</v>
      </c>
      <c r="O109" s="55">
        <f>_xll.EQNXTDZ($A$1,$B109,O$1,$B$1)</f>
        <v>9728.6425500000005</v>
      </c>
      <c r="P109" s="55">
        <f>_xll.EQNXTDZ($A$1,$B109,P$1,$B$1)</f>
        <v>13971.890799999999</v>
      </c>
      <c r="Q109" s="55">
        <f>_xll.EQNXTDZ($A$1,$B109,Q$1,$B$1)</f>
        <v>13584.1816</v>
      </c>
      <c r="R109" s="55">
        <f>_xll.EQNXTDZ($A$1,$B109,R$1,$B$1)</f>
        <v>11552.1021</v>
      </c>
      <c r="S109" s="55">
        <f>_xll.EQNXTDZ($A$1,$B109,S$1,$B$1)</f>
        <v>15408.4753</v>
      </c>
      <c r="T109" s="55">
        <f>_xll.EQNXTDZ($A$1,$B109,T$1,$B$1)</f>
        <v>9160.2325000000001</v>
      </c>
      <c r="U109" s="55">
        <f>_xll.EQNXTDZ($A$1,$B109,U$1,$B$1)</f>
        <v>18590.450799999999</v>
      </c>
      <c r="V109" s="55">
        <f>_xll.EQNXTDZ($A$1,$B109,V$1,$B$1)</f>
        <v>10703.0085</v>
      </c>
      <c r="W109" s="55">
        <f>_xll.EQNXTDZ($A$1,$B109,W$1,$B$1)</f>
        <v>32803.274700000002</v>
      </c>
      <c r="X109" s="55">
        <f>_xll.EQNXTDZ($A$1,$B109,X$1,$B$1)</f>
        <v>71372.674700000003</v>
      </c>
      <c r="Y109" s="55">
        <f>_xll.EQNXTDZ($A$1,$B109,Y$1,$B$1)</f>
        <v>73898.970400000006</v>
      </c>
      <c r="Z109" s="55">
        <f>_xll.EQNXTDZ($A$1,$B109,Z$1,$B$1)</f>
        <v>205844.8878</v>
      </c>
      <c r="AA109" s="55">
        <f>_xll.EQNXTDZ($A$1,$B109,AA$1,$B$1)</f>
        <v>196395.3848</v>
      </c>
      <c r="AB109" s="55">
        <f>_xll.EQNXTDZ($A$1,$B109,AB$1,$B$1)</f>
        <v>290234.73499999999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73.5</v>
      </c>
      <c r="M112" s="56">
        <f>_xll.EQNXTDZ($A$1,$B112,M$5)</f>
        <v>73.5</v>
      </c>
      <c r="N112" s="56">
        <f>_xll.EQNXTDZ($A$1,$B112,N$5)</f>
        <v>73.5</v>
      </c>
      <c r="O112" s="56">
        <f>_xll.EQNXTDZ($A$1,$B112,O$5)</f>
        <v>70</v>
      </c>
      <c r="P112" s="56">
        <f>_xll.EQNXTDZ($A$1,$B112,P$5)</f>
        <v>75</v>
      </c>
      <c r="Q112" s="56">
        <f>_xll.EQNXTDZ($A$1,$B112,Q$5)</f>
        <v>75</v>
      </c>
      <c r="R112" s="56">
        <f>_xll.EQNXTDZ($A$1,$B112,R$5)</f>
        <v>63.13</v>
      </c>
      <c r="S112" s="56">
        <f>_xll.EQNXTDZ($A$1,$B112,S$5)</f>
        <v>68.08</v>
      </c>
      <c r="T112" s="56">
        <f>_xll.EQNXTDZ($A$1,$B112,T$5)</f>
        <v>73.069999999999993</v>
      </c>
      <c r="U112" s="56">
        <f>_xll.EQNXTDZ($A$1,$B112,U$5)</f>
        <v>74.97</v>
      </c>
      <c r="V112" s="56">
        <f>_xll.EQNXTDZ($A$1,$B112,V$5)</f>
        <v>74.97</v>
      </c>
      <c r="W112" s="56">
        <f>_xll.EQNXTDZ($A$1,$B112,W$5)</f>
        <v>74.97</v>
      </c>
      <c r="X112" s="56">
        <f>_xll.EQNXTDZ($A$1,$B112,X$5)</f>
        <v>74.97</v>
      </c>
      <c r="Y112" s="56">
        <f>_xll.EQNXTDZ($A$1,$B112,Y$5)</f>
        <v>74.97</v>
      </c>
      <c r="Z112" s="56">
        <f>_xll.EQNXTDZ($A$1,$B112,Z$5)</f>
        <v>71.75</v>
      </c>
      <c r="AA112" s="56">
        <f>_xll.EQNXTDZ($A$1,$B112,AA$5)</f>
        <v>74.959999999999994</v>
      </c>
      <c r="AB112" s="56">
        <f>_xll.EQNXTDZ($A$1,$B112,AB$5)</f>
        <v>74.959999999999994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55.3</v>
      </c>
      <c r="M113" s="56">
        <f>_xll.EQNXTDZ($A$1,$B113,M$5)</f>
        <v>53.56</v>
      </c>
      <c r="N113" s="56">
        <f>_xll.EQNXTDZ($A$1,$B113,N$5)</f>
        <v>20.39</v>
      </c>
      <c r="O113" s="56">
        <f>_xll.EQNXTDZ($A$1,$B113,O$5)</f>
        <v>24.79</v>
      </c>
      <c r="P113" s="56">
        <f>_xll.EQNXTDZ($A$1,$B113,P$5)</f>
        <v>19.28</v>
      </c>
      <c r="Q113" s="56">
        <f>_xll.EQNXTDZ($A$1,$B113,Q$5)</f>
        <v>42.03</v>
      </c>
      <c r="R113" s="56">
        <f>_xll.EQNXTDZ($A$1,$B113,R$5)</f>
        <v>43.66</v>
      </c>
      <c r="S113" s="56">
        <f>_xll.EQNXTDZ($A$1,$B113,S$5)</f>
        <v>31.62</v>
      </c>
      <c r="T113" s="56">
        <f>_xll.EQNXTDZ($A$1,$B113,T$5)</f>
        <v>31.92</v>
      </c>
      <c r="U113" s="56">
        <f>_xll.EQNXTDZ($A$1,$B113,U$5)</f>
        <v>30.2</v>
      </c>
      <c r="V113" s="56">
        <f>_xll.EQNXTDZ($A$1,$B113,V$5)</f>
        <v>32.46</v>
      </c>
      <c r="W113" s="56">
        <f>_xll.EQNXTDZ($A$1,$B113,W$5)</f>
        <v>29.11</v>
      </c>
      <c r="X113" s="56">
        <f>_xll.EQNXTDZ($A$1,$B113,X$5)</f>
        <v>27.37</v>
      </c>
      <c r="Y113" s="56">
        <f>_xll.EQNXTDZ($A$1,$B113,Y$5)</f>
        <v>25.15</v>
      </c>
      <c r="Z113" s="56">
        <f>_xll.EQNXTDZ($A$1,$B113,Z$5)</f>
        <v>16.100000000000001</v>
      </c>
      <c r="AA113" s="56">
        <f>_xll.EQNXTDZ($A$1,$B113,AA$5)</f>
        <v>1.81</v>
      </c>
      <c r="AB113" s="56">
        <f>_xll.EQNXTDZ($A$1,$B113,AB$5)</f>
        <v>1.81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209867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9.3800000000000008</v>
      </c>
      <c r="D6" cm="1">
        <f t="array" ref="D6">_xll.EQNXTDZ($A$1,$B6,D$1)</f>
        <v>10.06</v>
      </c>
      <c r="E6" cm="1">
        <f t="array" ref="E6">_xll.EQNXTDZ($A$1,$B6,E$1)</f>
        <v>8.7799999999999994</v>
      </c>
      <c r="F6" cm="1">
        <f t="array" ref="F6">_xll.EQNXTDZ($A$1,$B6,F$1)</f>
        <v>8.01</v>
      </c>
      <c r="G6" cm="1">
        <f t="array" ref="G6">_xll.EQNXTDZ($A$1,$B6,G$1)</f>
        <v>10.6</v>
      </c>
      <c r="H6" cm="1">
        <f t="array" ref="H6">_xll.EQNXTDZ($A$1,$B6,H$1)</f>
        <v>9.61</v>
      </c>
      <c r="I6" cm="1">
        <f t="array" ref="I6">_xll.EQNXTDZ($A$1,$B6,I$1)</f>
        <v>10.77</v>
      </c>
      <c r="J6" cm="1">
        <f t="array" ref="J6">_xll.EQNXTDZ($A$1,$B6,J$1)</f>
        <v>12.31</v>
      </c>
      <c r="K6" cm="1">
        <f t="array" ref="K6">_xll.EQNXTDZ($A$1,$B6,K$1)</f>
        <v>12.19</v>
      </c>
      <c r="L6" cm="1">
        <f t="array" ref="L6">_xll.EQNXTDZ($A$1,$B6,L$1)</f>
        <v>8.9499999999999993</v>
      </c>
      <c r="M6" cm="1">
        <f t="array" ref="M6">_xll.EQNXTDZ($A$1,$B6,M$1)</f>
        <v>8.34</v>
      </c>
      <c r="N6" cm="1">
        <f t="array" ref="N6">_xll.EQNXTDZ($A$1,$B6,N$1)</f>
        <v>9.86</v>
      </c>
      <c r="O6" cm="1">
        <f t="array" ref="O6">_xll.EQNXTDZ($A$1,$B6,O$1)</f>
        <v>11.23</v>
      </c>
      <c r="P6" cm="1">
        <f t="array" ref="P6">_xll.EQNXTDZ($A$1,$B6,P$1)</f>
        <v>8.2899999999999991</v>
      </c>
      <c r="Q6" cm="1">
        <f t="array" ref="Q6">_xll.EQNXTDZ($A$1,$B6,Q$1)</f>
        <v>6.82</v>
      </c>
      <c r="R6" cm="1">
        <f t="array" ref="R6">_xll.EQNXTDZ($A$1,$B6,R$1)</f>
        <v>6.79</v>
      </c>
      <c r="S6" cm="1">
        <f t="array" ref="S6">_xll.EQNXTDZ($A$1,$B6,S$1)</f>
        <v>6.41</v>
      </c>
      <c r="T6" cm="1">
        <f t="array" ref="T6">_xll.EQNXTDZ($A$1,$B6,T$1)</f>
        <v>6.46</v>
      </c>
      <c r="U6" cm="1">
        <f t="array" ref="U6">_xll.EQNXTDZ($A$1,$B6,U$1)</f>
        <v>7.16</v>
      </c>
      <c r="V6" cm="1">
        <f t="array" ref="V6">_xll.EQNXTDZ($A$1,$B6,V$1)</f>
        <v>7.92</v>
      </c>
      <c r="W6" cm="1">
        <f t="array" ref="W6">_xll.EQNXTDZ($A$1,$B6,W$1)</f>
        <v>6.5</v>
      </c>
      <c r="X6" cm="1">
        <f t="array" ref="X6">_xll.EQNXTDZ($A$1,$B6,X$1)</f>
        <v>7.16</v>
      </c>
      <c r="Y6" cm="1">
        <f t="array" ref="Y6">_xll.EQNXTDZ($A$1,$B6,Y$1)</f>
        <v>9.8000000000000007</v>
      </c>
      <c r="Z6" cm="1">
        <f t="array" ref="Z6">_xll.EQNXTDZ($A$1,$B6,Z$1)</f>
        <v>9.65</v>
      </c>
      <c r="AA6" cm="1">
        <f t="array" ref="AA6">_xll.EQNXTDZ($A$1,$B6,AA$1)</f>
        <v>12.16</v>
      </c>
      <c r="AB6" cm="1">
        <f t="array" ref="AB6">_xll.EQNXTDZ($A$1,$B6,AB$1)</f>
        <v>12.59</v>
      </c>
      <c r="AC6" cm="1">
        <f t="array" ref="AC6">_xll.EQNXTDZ($A$1,$B6,AC$1)</f>
        <v>11.2</v>
      </c>
      <c r="AD6" cm="1">
        <f t="array" ref="AD6">_xll.EQNXTDZ($A$1,$B6,AD$1)</f>
        <v>9.44</v>
      </c>
      <c r="AE6" cm="1">
        <f t="array" ref="AE6">_xll.EQNXTDZ($A$1,$B6,AE$1)</f>
        <v>8.6199999999999992</v>
      </c>
      <c r="AF6" cm="1">
        <f t="array" ref="AF6">_xll.EQNXTDZ($A$1,$B6,AF$1)</f>
        <v>9.67</v>
      </c>
      <c r="AG6" cm="1">
        <f t="array" ref="AG6">_xll.EQNXTDZ($A$1,$B6,AG$1)</f>
        <v>9.14</v>
      </c>
      <c r="AH6" cm="1">
        <f t="array" ref="AH6">_xll.EQNXTDZ($A$1,$B6,AH$1)</f>
        <v>8.82</v>
      </c>
      <c r="AI6" cm="1">
        <f t="array" ref="AI6">_xll.EQNXTDZ($A$1,$B6,AI$1)</f>
        <v>10.48</v>
      </c>
      <c r="AJ6" cm="1">
        <f t="array" ref="AJ6">_xll.EQNXTDZ($A$1,$B6,AJ$1)</f>
        <v>11.29</v>
      </c>
      <c r="AK6" cm="1">
        <f t="array" ref="AK6">_xll.EQNXTDZ($A$1,$B6,AK$1)</f>
        <v>9.34</v>
      </c>
      <c r="AL6" cm="1">
        <f t="array" ref="AL6">_xll.EQNXTDZ($A$1,$B6,AL$1)</f>
        <v>8.66</v>
      </c>
      <c r="AM6" cm="1">
        <f t="array" ref="AM6">_xll.EQNXTDZ($A$1,$B6,AM$1)</f>
        <v>7.83</v>
      </c>
      <c r="AN6" cm="1">
        <f t="array" ref="AN6">_xll.EQNXTDZ($A$1,$B6,AN$1)</f>
        <v>5.87</v>
      </c>
      <c r="AO6" cm="1">
        <f t="array" ref="AO6">_xll.EQNXTDZ($A$1,$B6,AO$1)</f>
        <v>5.48</v>
      </c>
      <c r="AP6" cm="1">
        <f t="array" ref="AP6">_xll.EQNXTDZ($A$1,$B6,AP$1)</f>
        <v>4.4800000000000004</v>
      </c>
      <c r="AQ6" cm="1">
        <f t="array" ref="AQ6">_xll.EQNXTDZ($A$1,$B6,AQ$1)</f>
        <v>4.99</v>
      </c>
      <c r="AR6" cm="1">
        <f t="array" ref="AR6">_xll.EQNXTDZ($A$1,$B6,AR$1)</f>
        <v>6.34</v>
      </c>
      <c r="AS6" cm="1">
        <f t="array" ref="AS6">_xll.EQNXTDZ($A$1,$B6,AS$1)</f>
        <v>6.18</v>
      </c>
      <c r="AT6" cm="1">
        <f t="array" ref="AT6">_xll.EQNXTDZ($A$1,$B6,AT$1)</f>
        <v>6.5</v>
      </c>
      <c r="AU6" cm="1">
        <f t="array" ref="AU6">_xll.EQNXTDZ($A$1,$B6,AU$1)</f>
        <v>5.8</v>
      </c>
      <c r="AV6" cm="1">
        <f t="array" ref="AV6">_xll.EQNXTDZ($A$1,$B6,AV$1)</f>
        <v>5.53</v>
      </c>
      <c r="AW6" cm="1">
        <f t="array" ref="AW6">_xll.EQNXTDZ($A$1,$B6,AW$1)</f>
        <v>6.79</v>
      </c>
      <c r="AX6" cm="1">
        <f t="array" ref="AX6">_xll.EQNXTDZ($A$1,$B6,AX$1)</f>
        <v>6.32</v>
      </c>
      <c r="AY6" cm="1">
        <f t="array" ref="AY6">_xll.EQNXTDZ($A$1,$B6,AY$1)</f>
        <v>6</v>
      </c>
      <c r="AZ6" cm="1">
        <f t="array" ref="AZ6">_xll.EQNXTDZ($A$1,$B6,AZ$1)</f>
        <v>6.1</v>
      </c>
      <c r="BA6" cm="1">
        <f t="array" ref="BA6">_xll.EQNXTDZ($A$1,$B6,BA$1)</f>
        <v>5.62</v>
      </c>
      <c r="BB6" cm="1">
        <f t="array" ref="BB6">_xll.EQNXTDZ($A$1,$B6,BB$1)</f>
        <v>5.56</v>
      </c>
      <c r="BC6" cm="1">
        <f t="array" ref="BC6">_xll.EQNXTDZ($A$1,$B6,BC$1)</f>
        <v>5.03</v>
      </c>
      <c r="BD6" cm="1">
        <f t="array" ref="BD6">_xll.EQNXTDZ($A$1,$B6,BD$1)</f>
        <v>5.46</v>
      </c>
      <c r="BE6" cm="1">
        <f t="array" ref="BE6">_xll.EQNXTDZ($A$1,$B6,BE$1)</f>
        <v>5.74</v>
      </c>
      <c r="BF6" cm="1">
        <f t="array" ref="BF6">_xll.EQNXTDZ($A$1,$B6,BF$1)</f>
        <v>6.01</v>
      </c>
      <c r="BG6" cm="1">
        <f t="array" ref="BG6">_xll.EQNXTDZ($A$1,$B6,BG$1)</f>
        <v>7.3</v>
      </c>
      <c r="BH6" cm="1">
        <f t="array" ref="BH6">_xll.EQNXTDZ($A$1,$B6,BH$1)</f>
        <v>7.75</v>
      </c>
      <c r="BI6" cm="1">
        <f t="array" ref="BI6">_xll.EQNXTDZ($A$1,$B6,BI$1)</f>
        <v>8.0299999999999994</v>
      </c>
      <c r="BJ6" cm="1">
        <f t="array" ref="BJ6">_xll.EQNXTDZ($A$1,$B6,BJ$1)</f>
        <v>6.66</v>
      </c>
      <c r="BK6" cm="1">
        <f t="array" ref="BK6">_xll.EQNXTDZ($A$1,$B6,BK$1)</f>
        <v>5.55</v>
      </c>
      <c r="BL6" cm="1">
        <f t="array" ref="BL6">_xll.EQNXTDZ($A$1,$B6,BL$1)</f>
        <v>5.96</v>
      </c>
      <c r="BM6" cm="1">
        <f t="array" ref="BM6">_xll.EQNXTDZ($A$1,$B6,BM$1)</f>
        <v>6.73</v>
      </c>
      <c r="BN6" cm="1">
        <f t="array" ref="BN6">_xll.EQNXTDZ($A$1,$B6,BN$1)</f>
        <v>6.73</v>
      </c>
      <c r="BO6" cm="1">
        <f t="array" ref="BO6">_xll.EQNXTDZ($A$1,$B6,BO$1)</f>
        <v>5.9</v>
      </c>
      <c r="BP6" cm="1">
        <f t="array" ref="BP6">_xll.EQNXTDZ($A$1,$B6,BP$1)</f>
        <v>6.57</v>
      </c>
      <c r="BQ6" cm="1">
        <f t="array" ref="BQ6">_xll.EQNXTDZ($A$1,$B6,BQ$1)</f>
        <v>7.1</v>
      </c>
      <c r="BR6" cm="1">
        <f t="array" ref="BR6">_xll.EQNXTDZ($A$1,$B6,BR$1)</f>
        <v>8.32</v>
      </c>
      <c r="BS6" cm="1">
        <f t="array" ref="BS6">_xll.EQNXTDZ($A$1,$B6,BS$1)</f>
        <v>7.34</v>
      </c>
      <c r="BT6" cm="1">
        <f t="array" ref="BT6">_xll.EQNXTDZ($A$1,$B6,BT$1)</f>
        <v>6.32</v>
      </c>
      <c r="BU6" cm="1">
        <f t="array" ref="BU6">_xll.EQNXTDZ($A$1,$B6,BU$1)</f>
        <v>4.9000000000000004</v>
      </c>
      <c r="BV6" cm="1">
        <f t="array" ref="BV6">_xll.EQNXTDZ($A$1,$B6,BV$1)</f>
        <v>5.1100000000000003</v>
      </c>
      <c r="BW6" cm="1">
        <f t="array" ref="BW6">_xll.EQNXTDZ($A$1,$B6,BW$1)</f>
        <v>3.98</v>
      </c>
      <c r="BX6" cm="1">
        <f t="array" ref="BX6">_xll.EQNXTDZ($A$1,$B6,BX$1)</f>
        <v>3.24</v>
      </c>
      <c r="BY6" cm="1">
        <f t="array" ref="BY6">_xll.EQNXTDZ($A$1,$B6,BY$1)</f>
        <v>6.38</v>
      </c>
      <c r="BZ6" cm="1">
        <f t="array" ref="BZ6">_xll.EQNXTDZ($A$1,$B6,BZ$1)</f>
        <v>7.13</v>
      </c>
      <c r="CA6" cm="1">
        <f t="array" ref="CA6">_xll.EQNXTDZ($A$1,$B6,CA$1)</f>
        <v>4.7</v>
      </c>
      <c r="CB6" cm="1">
        <f t="array" ref="CB6">_xll.EQNXTDZ($A$1,$B6,CB$1)</f>
        <v>9.16</v>
      </c>
      <c r="CC6" cm="1">
        <f t="array" ref="CC6">_xll.EQNXTDZ($A$1,$B6,CC$1)</f>
        <v>11.27</v>
      </c>
      <c r="CD6" cm="1">
        <f t="array" ref="CD6">_xll.EQNXTDZ($A$1,$B6,CD$1)</f>
        <v>10.199999999999999</v>
      </c>
      <c r="CE6" cm="1">
        <f t="array" ref="CE6">_xll.EQNXTDZ($A$1,$B6,CE$1)</f>
        <v>9.27</v>
      </c>
      <c r="CF6" cm="1">
        <f t="array" ref="CF6">_xll.EQNXTDZ($A$1,$B6,CF$1)</f>
        <v>9.67</v>
      </c>
      <c r="CG6" cm="1">
        <f t="array" ref="CG6">_xll.EQNXTDZ($A$1,$B6,CG$1)</f>
        <v>9.69</v>
      </c>
      <c r="CH6" cm="1">
        <f t="array" ref="CH6">_xll.EQNXTDZ($A$1,$B6,CH$1)</f>
        <v>8.98</v>
      </c>
      <c r="CI6" cm="1">
        <f t="array" ref="CI6">_xll.EQNXTDZ($A$1,$B6,CI$1)</f>
        <v>10.09</v>
      </c>
      <c r="CJ6" cm="1">
        <f t="array" ref="CJ6">_xll.EQNXTDZ($A$1,$B6,CJ$1)</f>
        <v>10.45</v>
      </c>
      <c r="CK6" cm="1">
        <f t="array" ref="CK6">_xll.EQNXTDZ($A$1,$B6,CK$1)</f>
        <v>12.2</v>
      </c>
      <c r="CL6" cm="1">
        <f t="array" ref="CL6">_xll.EQNXTDZ($A$1,$B6,CL$1)</f>
        <v>11.53</v>
      </c>
      <c r="CM6" cm="1">
        <f t="array" ref="CM6">_xll.EQNXTDZ($A$1,$B6,CM$1)</f>
        <v>12.96</v>
      </c>
      <c r="CN6" cm="1">
        <f t="array" ref="CN6">_xll.EQNXTDZ($A$1,$B6,CN$1)</f>
        <v>13.22</v>
      </c>
      <c r="CO6" cm="1">
        <f t="array" ref="CO6">_xll.EQNXTDZ($A$1,$B6,CO$1)</f>
        <v>12.79</v>
      </c>
      <c r="CP6" cm="1">
        <f t="array" ref="CP6">_xll.EQNXTDZ($A$1,$B6,CP$1)</f>
        <v>12.36</v>
      </c>
      <c r="CQ6" cm="1">
        <f t="array" ref="CQ6">_xll.EQNXTDZ($A$1,$B6,CQ$1)</f>
        <v>12.1</v>
      </c>
      <c r="CR6" cm="1">
        <f t="array" ref="CR6">_xll.EQNXTDZ($A$1,$B6,CR$1)</f>
        <v>9.84</v>
      </c>
      <c r="CS6" cm="1">
        <f t="array" ref="CS6">_xll.EQNXTDZ($A$1,$B6,CS$1)</f>
        <v>5.55</v>
      </c>
      <c r="CT6" cm="1">
        <f t="array" ref="CT6">_xll.EQNXTDZ($A$1,$B6,CT$1)</f>
        <v>6.2</v>
      </c>
      <c r="CU6" cm="1">
        <f t="array" ref="CU6">_xll.EQNXTDZ($A$1,$B6,CU$1)</f>
        <v>8</v>
      </c>
      <c r="CV6" cm="1">
        <f t="array" ref="CV6">_xll.EQNXTDZ($A$1,$B6,CV$1)</f>
        <v>7.16</v>
      </c>
      <c r="CW6" cm="1">
        <f t="array" ref="CW6">_xll.EQNXTDZ($A$1,$B6,CW$1)</f>
        <v>7.02</v>
      </c>
      <c r="CX6" cm="1">
        <f t="array" ref="CX6">_xll.EQNXTDZ($A$1,$B6,CX$1)</f>
        <v>7.8</v>
      </c>
      <c r="CY6" cm="1">
        <f t="array" ref="CY6">_xll.EQNXTDZ($A$1,$B6,CY$1)</f>
        <v>7.4</v>
      </c>
      <c r="CZ6" cm="1">
        <f t="array" ref="CZ6">_xll.EQNXTDZ($A$1,$B6,CZ$1)</f>
        <v>7.2</v>
      </c>
      <c r="DA6" cm="1">
        <f t="array" ref="DA6">_xll.EQNXTDZ($A$1,$B6,DA$1)</f>
        <v>7.75</v>
      </c>
      <c r="DB6" cm="1">
        <f t="array" ref="DB6">_xll.EQNXTDZ($A$1,$B6,DB$1)</f>
        <v>9.9600000000000009</v>
      </c>
      <c r="DC6" cm="1">
        <f t="array" ref="DC6">_xll.EQNXTDZ($A$1,$B6,DC$1)</f>
        <v>10.4</v>
      </c>
      <c r="DD6" cm="1">
        <f t="array" ref="DD6">_xll.EQNXTDZ($A$1,$B6,DD$1)</f>
        <v>11.17</v>
      </c>
      <c r="DE6" cm="1">
        <f t="array" ref="DE6">_xll.EQNXTDZ($A$1,$B6,DE$1)</f>
        <v>16.64</v>
      </c>
      <c r="DF6" cm="1">
        <f t="array" ref="DF6">_xll.EQNXTDZ($A$1,$B6,DF$1)</f>
        <v>18.8</v>
      </c>
      <c r="DG6" cm="1">
        <f t="array" ref="DG6">_xll.EQNXTDZ($A$1,$B6,DG$1)</f>
        <v>18.8</v>
      </c>
      <c r="DH6" cm="1">
        <f t="array" ref="DH6">_xll.EQNXTDZ($A$1,$B6,DH$1)</f>
        <v>22.69</v>
      </c>
      <c r="DI6" cm="1">
        <f t="array" ref="DI6">_xll.EQNXTDZ($A$1,$B6,DI$1)</f>
        <v>19.3</v>
      </c>
      <c r="DJ6" cm="1">
        <f t="array" ref="DJ6">_xll.EQNXTDZ($A$1,$B6,DJ$1)</f>
        <v>20.399999999999999</v>
      </c>
      <c r="DK6" cm="1">
        <f t="array" ref="DK6">_xll.EQNXTDZ($A$1,$B6,DK$1)</f>
        <v>19.2</v>
      </c>
      <c r="DL6" cm="1">
        <f t="array" ref="DL6">_xll.EQNXTDZ($A$1,$B6,DL$1)</f>
        <v>19.63</v>
      </c>
      <c r="DM6" cm="1">
        <f t="array" ref="DM6">_xll.EQNXTDZ($A$1,$B6,DM$1)</f>
        <v>20.399999999999999</v>
      </c>
      <c r="DN6" cm="1">
        <f t="array" ref="DN6">_xll.EQNXTDZ($A$1,$B6,DN$1)</f>
        <v>20.03</v>
      </c>
      <c r="DO6" cm="1">
        <f t="array" ref="DO6">_xll.EQNXTDZ($A$1,$B6,DO$1)</f>
        <v>21.59</v>
      </c>
      <c r="DP6" cm="1">
        <f t="array" ref="DP6">_xll.EQNXTDZ($A$1,$B6,DP$1)</f>
        <v>24.67</v>
      </c>
      <c r="DQ6" cm="1">
        <f t="array" ref="DQ6">_xll.EQNXTDZ($A$1,$B6,DQ$1)</f>
        <v>37.54</v>
      </c>
      <c r="DR6" cm="1">
        <f t="array" ref="DR6">_xll.EQNXTDZ($A$1,$B6,DR$1)</f>
        <v>56</v>
      </c>
      <c r="DS6" cm="1">
        <f t="array" ref="DS6">_xll.EQNXTDZ($A$1,$B6,DS$1)</f>
        <v>62.1</v>
      </c>
      <c r="DT6" cm="1">
        <f t="array" ref="DT6">_xll.EQNXTDZ($A$1,$B6,DT$1)</f>
        <v>52.57</v>
      </c>
      <c r="DU6" cm="1">
        <f t="array" ref="DU6">_xll.EQNXTDZ($A$1,$B6,DU$1)</f>
        <v>62.93</v>
      </c>
      <c r="DV6" cm="1">
        <f t="array" ref="DV6">_xll.EQNXTDZ($A$1,$B6,DV$1)</f>
        <v>83.4</v>
      </c>
      <c r="DW6" cm="1">
        <f t="array" ref="DW6">_xll.EQNXTDZ($A$1,$B6,DW$1)</f>
        <v>75</v>
      </c>
      <c r="DX6" cm="1">
        <f t="array" ref="DX6">_xll.EQNXTDZ($A$1,$B6,DX$1)</f>
        <v>67.42</v>
      </c>
      <c r="DY6" cm="1">
        <f t="array" ref="DY6">_xll.EQNXTDZ($A$1,$B6,DY$1)</f>
        <v>67.3</v>
      </c>
      <c r="DZ6" cm="1">
        <f t="array" ref="DZ6">_xll.EQNXTDZ($A$1,$B6,DZ$1)</f>
        <v>60.6</v>
      </c>
      <c r="EA6" cm="1">
        <f t="array" ref="EA6">_xll.EQNXTDZ($A$1,$B6,EA$1)</f>
        <v>43.8</v>
      </c>
      <c r="EB6" cm="1">
        <f t="array" ref="EB6">_xll.EQNXTDZ($A$1,$B6,EB$1)</f>
        <v>30.6</v>
      </c>
      <c r="EC6" cm="1">
        <f t="array" ref="EC6">_xll.EQNXTDZ($A$1,$B6,EC$1)</f>
        <v>39</v>
      </c>
      <c r="ED6" cm="1">
        <f t="array" ref="ED6">_xll.EQNXTDZ($A$1,$B6,ED$1)</f>
        <v>46</v>
      </c>
      <c r="EE6" cm="1">
        <f t="array" ref="EE6">_xll.EQNXTDZ($A$1,$B6,EE$1)</f>
        <v>50.51</v>
      </c>
      <c r="EF6" cm="1">
        <f t="array" ref="EF6">_xll.EQNXTDZ($A$1,$B6,EF$1)</f>
        <v>50.45</v>
      </c>
      <c r="EG6" cm="1">
        <f t="array" ref="EG6">_xll.EQNXTDZ($A$1,$B6,EG$1)</f>
        <v>55.17</v>
      </c>
      <c r="EH6" cm="1">
        <f t="array" ref="EH6">_xll.EQNXTDZ($A$1,$B6,EH$1)</f>
        <v>63</v>
      </c>
      <c r="EI6" cm="1">
        <f t="array" ref="EI6">_xll.EQNXTDZ($A$1,$B6,EI$1)</f>
        <v>75.38</v>
      </c>
      <c r="EJ6" cm="1">
        <f t="array" ref="EJ6">_xll.EQNXTDZ($A$1,$B6,EJ$1)</f>
        <v>72.900000000000006</v>
      </c>
      <c r="EK6" cm="1">
        <f t="array" ref="EK6">_xll.EQNXTDZ($A$1,$B6,EK$1)</f>
        <v>87.4</v>
      </c>
      <c r="EL6" cm="1">
        <f t="array" ref="EL6">_xll.EQNXTDZ($A$1,$B6,EL$1)</f>
        <v>105.03</v>
      </c>
      <c r="EM6" cm="1">
        <f t="array" ref="EM6">_xll.EQNXTDZ($A$1,$B6,EM$1)</f>
        <v>113.6</v>
      </c>
      <c r="EN6" cm="1">
        <f t="array" ref="EN6">_xll.EQNXTDZ($A$1,$B6,EN$1)</f>
        <v>110.48</v>
      </c>
      <c r="EO6" cm="1">
        <f t="array" ref="EO6">_xll.EQNXTDZ($A$1,$B6,EO$1)</f>
        <v>109.54</v>
      </c>
      <c r="EP6" cm="1">
        <f t="array" ref="EP6">_xll.EQNXTDZ($A$1,$B6,EP$1)</f>
        <v>123.6</v>
      </c>
      <c r="EQ6" cm="1">
        <f t="array" ref="EQ6">_xll.EQNXTDZ($A$1,$B6,EQ$1)</f>
        <v>174</v>
      </c>
      <c r="ER6" cm="1">
        <f t="array" ref="ER6">_xll.EQNXTDZ($A$1,$B6,ER$1)</f>
        <v>143.4</v>
      </c>
      <c r="ES6" cm="1">
        <f t="array" ref="ES6">_xll.EQNXTDZ($A$1,$B6,ES$1)</f>
        <v>144</v>
      </c>
      <c r="ET6" cm="1">
        <f t="array" ref="ET6">_xll.EQNXTDZ($A$1,$B6,ET$1)</f>
        <v>127</v>
      </c>
      <c r="EU6" cm="1">
        <f t="array" ref="EU6">_xll.EQNXTDZ($A$1,$B6,EU$1)</f>
        <v>131</v>
      </c>
      <c r="EV6" cm="1">
        <f t="array" ref="EV6">_xll.EQNXTDZ($A$1,$B6,EV$1)</f>
        <v>119.14</v>
      </c>
      <c r="EW6" cm="1">
        <f t="array" ref="EW6">_xll.EQNXTDZ($A$1,$B6,EW$1)</f>
        <v>111.41</v>
      </c>
      <c r="EX6" cm="1">
        <f t="array" ref="EX6">_xll.EQNXTDZ($A$1,$B6,EX$1)</f>
        <v>106.2</v>
      </c>
      <c r="EY6" cm="1">
        <f t="array" ref="EY6">_xll.EQNXTDZ($A$1,$B6,EY$1)</f>
        <v>102.64</v>
      </c>
      <c r="EZ6" cm="1">
        <f t="array" ref="EZ6">_xll.EQNXTDZ($A$1,$B6,EZ$1)</f>
        <v>97.52</v>
      </c>
      <c r="FA6" cm="1">
        <f t="array" ref="FA6">_xll.EQNXTDZ($A$1,$B6,FA$1)</f>
        <v>101.57</v>
      </c>
      <c r="FB6" cm="1">
        <f t="array" ref="FB6">_xll.EQNXTDZ($A$1,$B6,FB$1)</f>
        <v>105.9</v>
      </c>
      <c r="FC6" cm="1">
        <f t="array" ref="FC6">_xll.EQNXTDZ($A$1,$B6,FC$1)</f>
        <v>109.4</v>
      </c>
      <c r="FD6" cm="1">
        <f t="array" ref="FD6">_xll.EQNXTDZ($A$1,$B6,FD$1)</f>
        <v>117.68</v>
      </c>
      <c r="FE6" cm="1">
        <f t="array" ref="FE6">_xll.EQNXTDZ($A$1,$B6,FE$1)</f>
        <v>117.6</v>
      </c>
      <c r="FF6" cm="1">
        <f t="array" ref="FF6">_xll.EQNXTDZ($A$1,$B6,FF$1)</f>
        <v>121.18</v>
      </c>
      <c r="FG6" cm="1">
        <f t="array" ref="FG6">_xll.EQNXTDZ($A$1,$B6,FG$1)</f>
        <v>144.94999999999999</v>
      </c>
      <c r="FH6" cm="1">
        <f t="array" ref="FH6">_xll.EQNXTDZ($A$1,$B6,FH$1)</f>
        <v>158.99</v>
      </c>
      <c r="FI6" cm="1">
        <f t="array" ref="FI6">_xll.EQNXTDZ($A$1,$B6,FI$1)</f>
        <v>148.21</v>
      </c>
      <c r="FJ6" cm="1">
        <f t="array" ref="FJ6">_xll.EQNXTDZ($A$1,$B6,FJ$1)</f>
        <v>143.25</v>
      </c>
      <c r="FK6" cm="1">
        <f t="array" ref="FK6">_xll.EQNXTDZ($A$1,$B6,FK$1)</f>
        <v>136.5</v>
      </c>
      <c r="FL6" cm="1">
        <f t="array" ref="FL6">_xll.EQNXTDZ($A$1,$B6,FL$1)</f>
        <v>133</v>
      </c>
      <c r="FM6" cm="1">
        <f t="array" ref="FM6">_xll.EQNXTDZ($A$1,$B6,FM$1)</f>
        <v>155</v>
      </c>
      <c r="FN6" cm="1">
        <f t="array" ref="FN6">_xll.EQNXTDZ($A$1,$B6,FN$1)</f>
        <v>223</v>
      </c>
      <c r="FO6" cm="1">
        <f t="array" ref="FO6">_xll.EQNXTDZ($A$1,$B6,FO$1)</f>
        <v>245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10.4</v>
      </c>
      <c r="D7" s="116" cm="1">
        <f t="array" ref="D7">_xll.EQNXTDZ($A$1,$B7,D$1)</f>
        <v>10.67</v>
      </c>
      <c r="E7" s="116" cm="1">
        <f t="array" ref="E7">_xll.EQNXTDZ($A$1,$B7,E$1)</f>
        <v>8.89</v>
      </c>
      <c r="F7" s="116" cm="1">
        <f t="array" ref="F7">_xll.EQNXTDZ($A$1,$B7,F$1)</f>
        <v>10.81</v>
      </c>
      <c r="G7" s="116" cm="1">
        <f t="array" ref="G7">_xll.EQNXTDZ($A$1,$B7,G$1)</f>
        <v>11.16</v>
      </c>
      <c r="H7" s="116" cm="1">
        <f t="array" ref="H7">_xll.EQNXTDZ($A$1,$B7,H$1)</f>
        <v>10.7</v>
      </c>
      <c r="I7" s="116" cm="1">
        <f t="array" ref="I7">_xll.EQNXTDZ($A$1,$B7,I$1)</f>
        <v>13.95</v>
      </c>
      <c r="J7" s="116" cm="1">
        <f t="array" ref="J7">_xll.EQNXTDZ($A$1,$B7,J$1)</f>
        <v>13.68</v>
      </c>
      <c r="K7" s="116" cm="1">
        <f t="array" ref="K7">_xll.EQNXTDZ($A$1,$B7,K$1)</f>
        <v>12.26</v>
      </c>
      <c r="L7" s="116" cm="1">
        <f t="array" ref="L7">_xll.EQNXTDZ($A$1,$B7,L$1)</f>
        <v>10.28</v>
      </c>
      <c r="M7" s="116" cm="1">
        <f t="array" ref="M7">_xll.EQNXTDZ($A$1,$B7,M$1)</f>
        <v>10.15</v>
      </c>
      <c r="N7" s="116" cm="1">
        <f t="array" ref="N7">_xll.EQNXTDZ($A$1,$B7,N$1)</f>
        <v>12.49</v>
      </c>
      <c r="O7" s="116" cm="1">
        <f t="array" ref="O7">_xll.EQNXTDZ($A$1,$B7,O$1)</f>
        <v>11.96</v>
      </c>
      <c r="P7" s="116" cm="1">
        <f t="array" ref="P7">_xll.EQNXTDZ($A$1,$B7,P$1)</f>
        <v>8.9700000000000006</v>
      </c>
      <c r="Q7" s="116" cm="1">
        <f t="array" ref="Q7">_xll.EQNXTDZ($A$1,$B7,Q$1)</f>
        <v>7.68</v>
      </c>
      <c r="R7" s="116" cm="1">
        <f t="array" ref="R7">_xll.EQNXTDZ($A$1,$B7,R$1)</f>
        <v>7.37</v>
      </c>
      <c r="S7" s="116" cm="1">
        <f t="array" ref="S7">_xll.EQNXTDZ($A$1,$B7,S$1)</f>
        <v>7.48</v>
      </c>
      <c r="T7" s="116" cm="1">
        <f t="array" ref="T7">_xll.EQNXTDZ($A$1,$B7,T$1)</f>
        <v>7.45</v>
      </c>
      <c r="U7" s="116" cm="1">
        <f t="array" ref="U7">_xll.EQNXTDZ($A$1,$B7,U$1)</f>
        <v>8.5399999999999991</v>
      </c>
      <c r="V7" s="116" cm="1">
        <f t="array" ref="V7">_xll.EQNXTDZ($A$1,$B7,V$1)</f>
        <v>7.95</v>
      </c>
      <c r="W7" s="116" cm="1">
        <f t="array" ref="W7">_xll.EQNXTDZ($A$1,$B7,W$1)</f>
        <v>7.69</v>
      </c>
      <c r="X7" s="116" cm="1">
        <f t="array" ref="X7">_xll.EQNXTDZ($A$1,$B7,X$1)</f>
        <v>10.4</v>
      </c>
      <c r="Y7" s="116" cm="1">
        <f t="array" ref="Y7">_xll.EQNXTDZ($A$1,$B7,Y$1)</f>
        <v>11.85</v>
      </c>
      <c r="Z7" s="116" cm="1">
        <f t="array" ref="Z7">_xll.EQNXTDZ($A$1,$B7,Z$1)</f>
        <v>13.67</v>
      </c>
      <c r="AA7" s="116" cm="1">
        <f t="array" ref="AA7">_xll.EQNXTDZ($A$1,$B7,AA$1)</f>
        <v>13.02</v>
      </c>
      <c r="AB7" s="116" cm="1">
        <f t="array" ref="AB7">_xll.EQNXTDZ($A$1,$B7,AB$1)</f>
        <v>13.45</v>
      </c>
      <c r="AC7" s="116" cm="1">
        <f t="array" ref="AC7">_xll.EQNXTDZ($A$1,$B7,AC$1)</f>
        <v>11.58</v>
      </c>
      <c r="AD7" s="116" cm="1">
        <f t="array" ref="AD7">_xll.EQNXTDZ($A$1,$B7,AD$1)</f>
        <v>10.94</v>
      </c>
      <c r="AE7" s="116" cm="1">
        <f t="array" ref="AE7">_xll.EQNXTDZ($A$1,$B7,AE$1)</f>
        <v>9.65</v>
      </c>
      <c r="AF7" s="116" cm="1">
        <f t="array" ref="AF7">_xll.EQNXTDZ($A$1,$B7,AF$1)</f>
        <v>10.029999999999999</v>
      </c>
      <c r="AG7" s="116" cm="1">
        <f t="array" ref="AG7">_xll.EQNXTDZ($A$1,$B7,AG$1)</f>
        <v>9.2100000000000009</v>
      </c>
      <c r="AH7" s="116" cm="1">
        <f t="array" ref="AH7">_xll.EQNXTDZ($A$1,$B7,AH$1)</f>
        <v>10.62</v>
      </c>
      <c r="AI7" s="116" cm="1">
        <f t="array" ref="AI7">_xll.EQNXTDZ($A$1,$B7,AI$1)</f>
        <v>11.72</v>
      </c>
      <c r="AJ7" s="116" cm="1">
        <f t="array" ref="AJ7">_xll.EQNXTDZ($A$1,$B7,AJ$1)</f>
        <v>12.03</v>
      </c>
      <c r="AK7" s="116" cm="1">
        <f t="array" ref="AK7">_xll.EQNXTDZ($A$1,$B7,AK$1)</f>
        <v>10.09</v>
      </c>
      <c r="AL7" s="116" cm="1">
        <f t="array" ref="AL7">_xll.EQNXTDZ($A$1,$B7,AL$1)</f>
        <v>9.09</v>
      </c>
      <c r="AM7" s="116" cm="1">
        <f t="array" ref="AM7">_xll.EQNXTDZ($A$1,$B7,AM$1)</f>
        <v>7.83</v>
      </c>
      <c r="AN7" s="116" cm="1">
        <f t="array" ref="AN7">_xll.EQNXTDZ($A$1,$B7,AN$1)</f>
        <v>6.23</v>
      </c>
      <c r="AO7" s="116" cm="1">
        <f t="array" ref="AO7">_xll.EQNXTDZ($A$1,$B7,AO$1)</f>
        <v>5.9</v>
      </c>
      <c r="AP7" s="116" cm="1">
        <f t="array" ref="AP7">_xll.EQNXTDZ($A$1,$B7,AP$1)</f>
        <v>5.09</v>
      </c>
      <c r="AQ7" s="116" cm="1">
        <f t="array" ref="AQ7">_xll.EQNXTDZ($A$1,$B7,AQ$1)</f>
        <v>6.53</v>
      </c>
      <c r="AR7" s="116" cm="1">
        <f t="array" ref="AR7">_xll.EQNXTDZ($A$1,$B7,AR$1)</f>
        <v>6.5</v>
      </c>
      <c r="AS7" s="116" cm="1">
        <f t="array" ref="AS7">_xll.EQNXTDZ($A$1,$B7,AS$1)</f>
        <v>6.5</v>
      </c>
      <c r="AT7" s="116" cm="1">
        <f t="array" ref="AT7">_xll.EQNXTDZ($A$1,$B7,AT$1)</f>
        <v>7.03</v>
      </c>
      <c r="AU7" s="116" cm="1">
        <f t="array" ref="AU7">_xll.EQNXTDZ($A$1,$B7,AU$1)</f>
        <v>5.88</v>
      </c>
      <c r="AV7" s="116" cm="1">
        <f t="array" ref="AV7">_xll.EQNXTDZ($A$1,$B7,AV$1)</f>
        <v>7.12</v>
      </c>
      <c r="AW7" s="116" cm="1">
        <f t="array" ref="AW7">_xll.EQNXTDZ($A$1,$B7,AW$1)</f>
        <v>7.22</v>
      </c>
      <c r="AX7" s="116" cm="1">
        <f t="array" ref="AX7">_xll.EQNXTDZ($A$1,$B7,AX$1)</f>
        <v>6.58</v>
      </c>
      <c r="AY7" s="116" cm="1">
        <f t="array" ref="AY7">_xll.EQNXTDZ($A$1,$B7,AY$1)</f>
        <v>6.28</v>
      </c>
      <c r="AZ7" s="116" cm="1">
        <f t="array" ref="AZ7">_xll.EQNXTDZ($A$1,$B7,AZ$1)</f>
        <v>6.2</v>
      </c>
      <c r="BA7" s="116" cm="1">
        <f t="array" ref="BA7">_xll.EQNXTDZ($A$1,$B7,BA$1)</f>
        <v>5.72</v>
      </c>
      <c r="BB7" s="116" cm="1">
        <f t="array" ref="BB7">_xll.EQNXTDZ($A$1,$B7,BB$1)</f>
        <v>5.87</v>
      </c>
      <c r="BC7" s="116" cm="1">
        <f t="array" ref="BC7">_xll.EQNXTDZ($A$1,$B7,BC$1)</f>
        <v>5.64</v>
      </c>
      <c r="BD7" s="116" cm="1">
        <f t="array" ref="BD7">_xll.EQNXTDZ($A$1,$B7,BD$1)</f>
        <v>5.78</v>
      </c>
      <c r="BE7" s="116" cm="1">
        <f t="array" ref="BE7">_xll.EQNXTDZ($A$1,$B7,BE$1)</f>
        <v>6.81</v>
      </c>
      <c r="BF7" s="116" cm="1">
        <f t="array" ref="BF7">_xll.EQNXTDZ($A$1,$B7,BF$1)</f>
        <v>7.81</v>
      </c>
      <c r="BG7" s="116" cm="1">
        <f t="array" ref="BG7">_xll.EQNXTDZ($A$1,$B7,BG$1)</f>
        <v>7.86</v>
      </c>
      <c r="BH7" s="116" cm="1">
        <f t="array" ref="BH7">_xll.EQNXTDZ($A$1,$B7,BH$1)</f>
        <v>8.26</v>
      </c>
      <c r="BI7" s="116" cm="1">
        <f t="array" ref="BI7">_xll.EQNXTDZ($A$1,$B7,BI$1)</f>
        <v>9.27</v>
      </c>
      <c r="BJ7" s="116" cm="1">
        <f t="array" ref="BJ7">_xll.EQNXTDZ($A$1,$B7,BJ$1)</f>
        <v>6.75</v>
      </c>
      <c r="BK7" s="116" cm="1">
        <f t="array" ref="BK7">_xll.EQNXTDZ($A$1,$B7,BK$1)</f>
        <v>6.02</v>
      </c>
      <c r="BL7" s="116" cm="1">
        <f t="array" ref="BL7">_xll.EQNXTDZ($A$1,$B7,BL$1)</f>
        <v>7.08</v>
      </c>
      <c r="BM7" s="116" cm="1">
        <f t="array" ref="BM7">_xll.EQNXTDZ($A$1,$B7,BM$1)</f>
        <v>6.76</v>
      </c>
      <c r="BN7" s="116" cm="1">
        <f t="array" ref="BN7">_xll.EQNXTDZ($A$1,$B7,BN$1)</f>
        <v>6.73</v>
      </c>
      <c r="BO7" s="116" cm="1">
        <f t="array" ref="BO7">_xll.EQNXTDZ($A$1,$B7,BO$1)</f>
        <v>6.79</v>
      </c>
      <c r="BP7" s="116" cm="1">
        <f t="array" ref="BP7">_xll.EQNXTDZ($A$1,$B7,BP$1)</f>
        <v>7.43</v>
      </c>
      <c r="BQ7" s="116" cm="1">
        <f t="array" ref="BQ7">_xll.EQNXTDZ($A$1,$B7,BQ$1)</f>
        <v>8.42</v>
      </c>
      <c r="BR7" s="116" cm="1">
        <f t="array" ref="BR7">_xll.EQNXTDZ($A$1,$B7,BR$1)</f>
        <v>9.56</v>
      </c>
      <c r="BS7" s="116" cm="1">
        <f t="array" ref="BS7">_xll.EQNXTDZ($A$1,$B7,BS$1)</f>
        <v>7.45</v>
      </c>
      <c r="BT7" s="116" cm="1">
        <f t="array" ref="BT7">_xll.EQNXTDZ($A$1,$B7,BT$1)</f>
        <v>6.39</v>
      </c>
      <c r="BU7" s="116" cm="1">
        <f t="array" ref="BU7">_xll.EQNXTDZ($A$1,$B7,BU$1)</f>
        <v>5.38</v>
      </c>
      <c r="BV7" s="116" cm="1">
        <f t="array" ref="BV7">_xll.EQNXTDZ($A$1,$B7,BV$1)</f>
        <v>5.22</v>
      </c>
      <c r="BW7" s="116" cm="1">
        <f t="array" ref="BW7">_xll.EQNXTDZ($A$1,$B7,BW$1)</f>
        <v>4.04</v>
      </c>
      <c r="BX7" s="116" cm="1">
        <f t="array" ref="BX7">_xll.EQNXTDZ($A$1,$B7,BX$1)</f>
        <v>6.33</v>
      </c>
      <c r="BY7" s="116" cm="1">
        <f t="array" ref="BY7">_xll.EQNXTDZ($A$1,$B7,BY$1)</f>
        <v>7.2</v>
      </c>
      <c r="BZ7" s="116" cm="1">
        <f t="array" ref="BZ7">_xll.EQNXTDZ($A$1,$B7,BZ$1)</f>
        <v>7.22</v>
      </c>
      <c r="CA7" s="116" cm="1">
        <f t="array" ref="CA7">_xll.EQNXTDZ($A$1,$B7,CA$1)</f>
        <v>9.33</v>
      </c>
      <c r="CB7" s="116" cm="1">
        <f t="array" ref="CB7">_xll.EQNXTDZ($A$1,$B7,CB$1)</f>
        <v>11.5</v>
      </c>
      <c r="CC7" s="116" cm="1">
        <f t="array" ref="CC7">_xll.EQNXTDZ($A$1,$B7,CC$1)</f>
        <v>11.67</v>
      </c>
      <c r="CD7" s="116" cm="1">
        <f t="array" ref="CD7">_xll.EQNXTDZ($A$1,$B7,CD$1)</f>
        <v>10.54</v>
      </c>
      <c r="CE7" s="116" cm="1">
        <f t="array" ref="CE7">_xll.EQNXTDZ($A$1,$B7,CE$1)</f>
        <v>9.99</v>
      </c>
      <c r="CF7" s="116" cm="1">
        <f t="array" ref="CF7">_xll.EQNXTDZ($A$1,$B7,CF$1)</f>
        <v>10.65</v>
      </c>
      <c r="CG7" s="116" cm="1">
        <f t="array" ref="CG7">_xll.EQNXTDZ($A$1,$B7,CG$1)</f>
        <v>11.16</v>
      </c>
      <c r="CH7" s="116" cm="1">
        <f t="array" ref="CH7">_xll.EQNXTDZ($A$1,$B7,CH$1)</f>
        <v>10.66</v>
      </c>
      <c r="CI7" s="116" cm="1">
        <f t="array" ref="CI7">_xll.EQNXTDZ($A$1,$B7,CI$1)</f>
        <v>10.47</v>
      </c>
      <c r="CJ7" s="116" cm="1">
        <f t="array" ref="CJ7">_xll.EQNXTDZ($A$1,$B7,CJ$1)</f>
        <v>13.75</v>
      </c>
      <c r="CK7" s="116" cm="1">
        <f t="array" ref="CK7">_xll.EQNXTDZ($A$1,$B7,CK$1)</f>
        <v>12.7</v>
      </c>
      <c r="CL7" s="116" cm="1">
        <f t="array" ref="CL7">_xll.EQNXTDZ($A$1,$B7,CL$1)</f>
        <v>13.98</v>
      </c>
      <c r="CM7" s="116" cm="1">
        <f t="array" ref="CM7">_xll.EQNXTDZ($A$1,$B7,CM$1)</f>
        <v>13.56</v>
      </c>
      <c r="CN7" s="116" cm="1">
        <f t="array" ref="CN7">_xll.EQNXTDZ($A$1,$B7,CN$1)</f>
        <v>14.76</v>
      </c>
      <c r="CO7" s="116" cm="1">
        <f t="array" ref="CO7">_xll.EQNXTDZ($A$1,$B7,CO$1)</f>
        <v>12.84</v>
      </c>
      <c r="CP7" s="116" cm="1">
        <f t="array" ref="CP7">_xll.EQNXTDZ($A$1,$B7,CP$1)</f>
        <v>13.19</v>
      </c>
      <c r="CQ7" s="116" cm="1">
        <f t="array" ref="CQ7">_xll.EQNXTDZ($A$1,$B7,CQ$1)</f>
        <v>12.53</v>
      </c>
      <c r="CR7" s="116" cm="1">
        <f t="array" ref="CR7">_xll.EQNXTDZ($A$1,$B7,CR$1)</f>
        <v>10.01</v>
      </c>
      <c r="CS7" s="116" cm="1">
        <f t="array" ref="CS7">_xll.EQNXTDZ($A$1,$B7,CS$1)</f>
        <v>7.1</v>
      </c>
      <c r="CT7" s="116" cm="1">
        <f t="array" ref="CT7">_xll.EQNXTDZ($A$1,$B7,CT$1)</f>
        <v>7.65</v>
      </c>
      <c r="CU7" s="116" cm="1">
        <f t="array" ref="CU7">_xll.EQNXTDZ($A$1,$B7,CU$1)</f>
        <v>8.3800000000000008</v>
      </c>
      <c r="CV7" s="116" cm="1">
        <f t="array" ref="CV7">_xll.EQNXTDZ($A$1,$B7,CV$1)</f>
        <v>7.3</v>
      </c>
      <c r="CW7" s="116" cm="1">
        <f t="array" ref="CW7">_xll.EQNXTDZ($A$1,$B7,CW$1)</f>
        <v>8.32</v>
      </c>
      <c r="CX7" s="116" cm="1">
        <f t="array" ref="CX7">_xll.EQNXTDZ($A$1,$B7,CX$1)</f>
        <v>7.89</v>
      </c>
      <c r="CY7" s="116" cm="1">
        <f t="array" ref="CY7">_xll.EQNXTDZ($A$1,$B7,CY$1)</f>
        <v>7.47</v>
      </c>
      <c r="CZ7" s="116" cm="1">
        <f t="array" ref="CZ7">_xll.EQNXTDZ($A$1,$B7,CZ$1)</f>
        <v>8</v>
      </c>
      <c r="DA7" s="116" cm="1">
        <f t="array" ref="DA7">_xll.EQNXTDZ($A$1,$B7,DA$1)</f>
        <v>12.79</v>
      </c>
      <c r="DB7" s="116" cm="1">
        <f t="array" ref="DB7">_xll.EQNXTDZ($A$1,$B7,DB$1)</f>
        <v>11.48</v>
      </c>
      <c r="DC7" s="116" cm="1">
        <f t="array" ref="DC7">_xll.EQNXTDZ($A$1,$B7,DC$1)</f>
        <v>11.82</v>
      </c>
      <c r="DD7" s="116" cm="1">
        <f t="array" ref="DD7">_xll.EQNXTDZ($A$1,$B7,DD$1)</f>
        <v>21.74</v>
      </c>
      <c r="DE7" s="116" cm="1">
        <f t="array" ref="DE7">_xll.EQNXTDZ($A$1,$B7,DE$1)</f>
        <v>20.66</v>
      </c>
      <c r="DF7" s="116" cm="1">
        <f t="array" ref="DF7">_xll.EQNXTDZ($A$1,$B7,DF$1)</f>
        <v>21.39</v>
      </c>
      <c r="DG7" s="116" cm="1">
        <f t="array" ref="DG7">_xll.EQNXTDZ($A$1,$B7,DG$1)</f>
        <v>33.380000000000003</v>
      </c>
      <c r="DH7" s="116" cm="1">
        <f t="array" ref="DH7">_xll.EQNXTDZ($A$1,$B7,DH$1)</f>
        <v>23</v>
      </c>
      <c r="DI7" s="116" cm="1">
        <f t="array" ref="DI7">_xll.EQNXTDZ($A$1,$B7,DI$1)</f>
        <v>19.7</v>
      </c>
      <c r="DJ7" s="116" cm="1">
        <f t="array" ref="DJ7">_xll.EQNXTDZ($A$1,$B7,DJ$1)</f>
        <v>22.65</v>
      </c>
      <c r="DK7" s="116" cm="1">
        <f t="array" ref="DK7">_xll.EQNXTDZ($A$1,$B7,DK$1)</f>
        <v>27.1</v>
      </c>
      <c r="DL7" s="116" cm="1">
        <f t="array" ref="DL7">_xll.EQNXTDZ($A$1,$B7,DL$1)</f>
        <v>22.74</v>
      </c>
      <c r="DM7" s="116" cm="1">
        <f t="array" ref="DM7">_xll.EQNXTDZ($A$1,$B7,DM$1)</f>
        <v>21.5</v>
      </c>
      <c r="DN7" s="116" cm="1">
        <f t="array" ref="DN7">_xll.EQNXTDZ($A$1,$B7,DN$1)</f>
        <v>24.88</v>
      </c>
      <c r="DO7" s="116" cm="1">
        <f t="array" ref="DO7">_xll.EQNXTDZ($A$1,$B7,DO$1)</f>
        <v>27.54</v>
      </c>
      <c r="DP7" s="116" cm="1">
        <f t="array" ref="DP7">_xll.EQNXTDZ($A$1,$B7,DP$1)</f>
        <v>37.5</v>
      </c>
      <c r="DQ7" s="116" cm="1">
        <f t="array" ref="DQ7">_xll.EQNXTDZ($A$1,$B7,DQ$1)</f>
        <v>62.4</v>
      </c>
      <c r="DR7" s="116" cm="1">
        <f t="array" ref="DR7">_xll.EQNXTDZ($A$1,$B7,DR$1)</f>
        <v>68.900000000000006</v>
      </c>
      <c r="DS7" s="116" cm="1">
        <f t="array" ref="DS7">_xll.EQNXTDZ($A$1,$B7,DS$1)</f>
        <v>63.34</v>
      </c>
      <c r="DT7" s="116" cm="1">
        <f t="array" ref="DT7">_xll.EQNXTDZ($A$1,$B7,DT$1)</f>
        <v>65.38</v>
      </c>
      <c r="DU7" s="116" cm="1">
        <f t="array" ref="DU7">_xll.EQNXTDZ($A$1,$B7,DU$1)</f>
        <v>86.5</v>
      </c>
      <c r="DV7" s="116" cm="1">
        <f t="array" ref="DV7">_xll.EQNXTDZ($A$1,$B7,DV$1)</f>
        <v>83.77</v>
      </c>
      <c r="DW7" s="116" cm="1">
        <f t="array" ref="DW7">_xll.EQNXTDZ($A$1,$B7,DW$1)</f>
        <v>75.56</v>
      </c>
      <c r="DX7" s="116" cm="1">
        <f t="array" ref="DX7">_xll.EQNXTDZ($A$1,$B7,DX$1)</f>
        <v>75.599999999999994</v>
      </c>
      <c r="DY7" s="116" cm="1">
        <f t="array" ref="DY7">_xll.EQNXTDZ($A$1,$B7,DY$1)</f>
        <v>67.98</v>
      </c>
      <c r="DZ7" s="116" cm="1">
        <f t="array" ref="DZ7">_xll.EQNXTDZ($A$1,$B7,DZ$1)</f>
        <v>60.98</v>
      </c>
      <c r="EA7" s="116" cm="1">
        <f t="array" ref="EA7">_xll.EQNXTDZ($A$1,$B7,EA$1)</f>
        <v>44.6</v>
      </c>
      <c r="EB7" s="116" cm="1">
        <f t="array" ref="EB7">_xll.EQNXTDZ($A$1,$B7,EB$1)</f>
        <v>43.47</v>
      </c>
      <c r="EC7" s="116" cm="1">
        <f t="array" ref="EC7">_xll.EQNXTDZ($A$1,$B7,EC$1)</f>
        <v>44.97</v>
      </c>
      <c r="ED7" s="116" cm="1">
        <f t="array" ref="ED7">_xll.EQNXTDZ($A$1,$B7,ED$1)</f>
        <v>54.58</v>
      </c>
      <c r="EE7" s="116" cm="1">
        <f t="array" ref="EE7">_xll.EQNXTDZ($A$1,$B7,EE$1)</f>
        <v>57.2</v>
      </c>
      <c r="EF7" s="116" cm="1">
        <f t="array" ref="EF7">_xll.EQNXTDZ($A$1,$B7,EF$1)</f>
        <v>55.1</v>
      </c>
      <c r="EG7" s="116" cm="1">
        <f t="array" ref="EG7">_xll.EQNXTDZ($A$1,$B7,EG$1)</f>
        <v>71.849999999999994</v>
      </c>
      <c r="EH7" s="116" cm="1">
        <f t="array" ref="EH7">_xll.EQNXTDZ($A$1,$B7,EH$1)</f>
        <v>81.94</v>
      </c>
      <c r="EI7" s="116" cm="1">
        <f t="array" ref="EI7">_xll.EQNXTDZ($A$1,$B7,EI$1)</f>
        <v>75.5</v>
      </c>
      <c r="EJ7" s="116" cm="1">
        <f t="array" ref="EJ7">_xll.EQNXTDZ($A$1,$B7,EJ$1)</f>
        <v>94.16</v>
      </c>
      <c r="EK7" s="116" cm="1">
        <f t="array" ref="EK7">_xll.EQNXTDZ($A$1,$B7,EK$1)</f>
        <v>117.89</v>
      </c>
      <c r="EL7" s="116" cm="1">
        <f t="array" ref="EL7">_xll.EQNXTDZ($A$1,$B7,EL$1)</f>
        <v>115.96</v>
      </c>
      <c r="EM7" s="116" cm="1">
        <f t="array" ref="EM7">_xll.EQNXTDZ($A$1,$B7,EM$1)</f>
        <v>116.99</v>
      </c>
      <c r="EN7" s="116" cm="1">
        <f t="array" ref="EN7">_xll.EQNXTDZ($A$1,$B7,EN$1)</f>
        <v>116</v>
      </c>
      <c r="EO7" s="116" cm="1">
        <f t="array" ref="EO7">_xll.EQNXTDZ($A$1,$B7,EO$1)</f>
        <v>129.38</v>
      </c>
      <c r="EP7" s="116" cm="1">
        <f t="array" ref="EP7">_xll.EQNXTDZ($A$1,$B7,EP$1)</f>
        <v>159.4</v>
      </c>
      <c r="EQ7" s="116" cm="1">
        <f t="array" ref="EQ7">_xll.EQNXTDZ($A$1,$B7,EQ$1)</f>
        <v>179.17</v>
      </c>
      <c r="ER7" s="116" cm="1">
        <f t="array" ref="ER7">_xll.EQNXTDZ($A$1,$B7,ER$1)</f>
        <v>149.86000000000001</v>
      </c>
      <c r="ES7" s="116" cm="1">
        <f t="array" ref="ES7">_xll.EQNXTDZ($A$1,$B7,ES$1)</f>
        <v>150.58000000000001</v>
      </c>
      <c r="ET7" s="116" cm="1">
        <f t="array" ref="ET7">_xll.EQNXTDZ($A$1,$B7,ET$1)</f>
        <v>136.88999999999999</v>
      </c>
      <c r="EU7" s="116" cm="1">
        <f t="array" ref="EU7">_xll.EQNXTDZ($A$1,$B7,EU$1)</f>
        <v>132.16</v>
      </c>
      <c r="EV7" s="116" cm="1">
        <f t="array" ref="EV7">_xll.EQNXTDZ($A$1,$B7,EV$1)</f>
        <v>125.4</v>
      </c>
      <c r="EW7" s="116" cm="1">
        <f t="array" ref="EW7">_xll.EQNXTDZ($A$1,$B7,EW$1)</f>
        <v>113.32</v>
      </c>
      <c r="EX7" s="116" cm="1">
        <f t="array" ref="EX7">_xll.EQNXTDZ($A$1,$B7,EX$1)</f>
        <v>119.68</v>
      </c>
      <c r="EY7" s="116" cm="1">
        <f t="array" ref="EY7">_xll.EQNXTDZ($A$1,$B7,EY$1)</f>
        <v>107.35</v>
      </c>
      <c r="EZ7" s="116" cm="1">
        <f t="array" ref="EZ7">_xll.EQNXTDZ($A$1,$B7,EZ$1)</f>
        <v>108.3</v>
      </c>
      <c r="FA7" s="116" cm="1">
        <f t="array" ref="FA7">_xll.EQNXTDZ($A$1,$B7,FA$1)</f>
        <v>117.11</v>
      </c>
      <c r="FB7" s="116" cm="1">
        <f t="array" ref="FB7">_xll.EQNXTDZ($A$1,$B7,FB$1)</f>
        <v>116.87</v>
      </c>
      <c r="FC7" s="116" cm="1">
        <f t="array" ref="FC7">_xll.EQNXTDZ($A$1,$B7,FC$1)</f>
        <v>122.12</v>
      </c>
      <c r="FD7" s="116" cm="1">
        <f t="array" ref="FD7">_xll.EQNXTDZ($A$1,$B7,FD$1)</f>
        <v>124</v>
      </c>
      <c r="FE7" s="116" cm="1">
        <f t="array" ref="FE7">_xll.EQNXTDZ($A$1,$B7,FE$1)</f>
        <v>121.6</v>
      </c>
      <c r="FF7" s="116" cm="1">
        <f t="array" ref="FF7">_xll.EQNXTDZ($A$1,$B7,FF$1)</f>
        <v>182.7</v>
      </c>
      <c r="FG7" s="116" cm="1">
        <f t="array" ref="FG7">_xll.EQNXTDZ($A$1,$B7,FG$1)</f>
        <v>174.39</v>
      </c>
      <c r="FH7" s="116" cm="1">
        <f t="array" ref="FH7">_xll.EQNXTDZ($A$1,$B7,FH$1)</f>
        <v>159.5</v>
      </c>
      <c r="FI7" s="116" cm="1">
        <f t="array" ref="FI7">_xll.EQNXTDZ($A$1,$B7,FI$1)</f>
        <v>148.82</v>
      </c>
      <c r="FJ7" s="116" cm="1">
        <f t="array" ref="FJ7">_xll.EQNXTDZ($A$1,$B7,FJ$1)</f>
        <v>153.16</v>
      </c>
      <c r="FK7" s="116" cm="1">
        <f t="array" ref="FK7">_xll.EQNXTDZ($A$1,$B7,FK$1)</f>
        <v>156.9</v>
      </c>
      <c r="FL7" s="116" cm="1">
        <f t="array" ref="FL7">_xll.EQNXTDZ($A$1,$B7,FL$1)</f>
        <v>158.19999999999999</v>
      </c>
      <c r="FM7" s="116" cm="1">
        <f t="array" ref="FM7">_xll.EQNXTDZ($A$1,$B7,FM$1)</f>
        <v>226.24</v>
      </c>
      <c r="FN7" s="116" cm="1">
        <f t="array" ref="FN7">_xll.EQNXTDZ($A$1,$B7,FN$1)</f>
        <v>254.2</v>
      </c>
      <c r="FO7" s="116" cm="1">
        <f t="array" ref="FO7">_xll.EQNXTDZ($A$1,$B7,FO$1)</f>
        <v>245.69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10.81</v>
      </c>
      <c r="HQ7" s="116">
        <f>+MAX(G7:I7)</f>
        <v>13.95</v>
      </c>
      <c r="HR7" s="116">
        <f>+MAX(J7:L7)</f>
        <v>13.68</v>
      </c>
      <c r="HS7" s="116">
        <f>+MAX(M7:O7)</f>
        <v>12.49</v>
      </c>
      <c r="HT7" s="116">
        <f>+MAX(P7:R7)</f>
        <v>8.9700000000000006</v>
      </c>
      <c r="HU7" s="116">
        <f>+MAX(S7:U7)</f>
        <v>8.5399999999999991</v>
      </c>
      <c r="HV7" s="116">
        <f>+MAX(V7:X7)</f>
        <v>10.4</v>
      </c>
      <c r="HW7" s="116">
        <f>+MAX(Y7:AA7)</f>
        <v>13.67</v>
      </c>
      <c r="HX7" s="116">
        <f>+MAX(AB7:AD7)</f>
        <v>13.45</v>
      </c>
      <c r="HY7" s="116">
        <f>+MAX(AE7:AG7)</f>
        <v>10.029999999999999</v>
      </c>
      <c r="HZ7" s="116">
        <f>+MAX(AH7:AJ7)</f>
        <v>12.03</v>
      </c>
      <c r="IA7" s="116">
        <f>+MAX(AK7:AM7)</f>
        <v>10.09</v>
      </c>
      <c r="IB7" s="116">
        <f>+MAX(AN7:AP7)</f>
        <v>6.23</v>
      </c>
      <c r="IC7" s="116">
        <f>+MAX(AQ7:AS7)</f>
        <v>6.53</v>
      </c>
      <c r="ID7" s="116">
        <f>+MAX(AT7:AV7)</f>
        <v>7.12</v>
      </c>
      <c r="IE7" s="116">
        <f>+MAX(AW7:AY7)</f>
        <v>7.22</v>
      </c>
      <c r="IF7" s="116">
        <f>+MAX(AZ7:BB7)</f>
        <v>6.2</v>
      </c>
      <c r="IG7" s="116">
        <f>+MAX(BC7:BE7)</f>
        <v>6.81</v>
      </c>
      <c r="IH7" s="116">
        <f>+MAX(BF7:BH7)</f>
        <v>8.26</v>
      </c>
      <c r="II7" s="116">
        <f>+MAX(BI7:BK7)</f>
        <v>9.27</v>
      </c>
      <c r="IJ7" s="116">
        <f>+MAX(BL7:BN7)</f>
        <v>7.08</v>
      </c>
      <c r="IK7" s="116">
        <f>+MAX(BO7:BQ7)</f>
        <v>8.42</v>
      </c>
      <c r="IL7" s="116">
        <f>+MAX(BR7:BT7)</f>
        <v>9.56</v>
      </c>
      <c r="IM7" s="116">
        <f>+MAX(BU7:BW7)</f>
        <v>5.38</v>
      </c>
      <c r="IN7" s="116">
        <f>+MAX(BX7:BZ7)</f>
        <v>7.22</v>
      </c>
      <c r="IO7" s="116">
        <f>+MAX(CA7:CC7)</f>
        <v>11.67</v>
      </c>
      <c r="IP7" s="116">
        <f>+MAX(CD7:CF7)</f>
        <v>10.65</v>
      </c>
      <c r="IQ7" s="116">
        <f>+MAX(CG7:CI7)</f>
        <v>11.16</v>
      </c>
      <c r="IR7" s="116">
        <f>+MAX(CJ7:CL7)</f>
        <v>13.98</v>
      </c>
      <c r="IS7" s="116">
        <f>+MAX(CM7:CO7)</f>
        <v>14.76</v>
      </c>
      <c r="IT7" s="116">
        <f>+MAX(CP7:CR7)</f>
        <v>13.19</v>
      </c>
      <c r="IU7" s="116">
        <f>+MAX(CS7:CU7)</f>
        <v>8.3800000000000008</v>
      </c>
      <c r="IV7" s="116">
        <f>+MAX(CV7:CX7)</f>
        <v>8.32</v>
      </c>
      <c r="IW7" s="116">
        <f>+MAX(CY7:DA7)</f>
        <v>12.79</v>
      </c>
      <c r="IX7" s="116">
        <f>+MAX(DB7:DD7)</f>
        <v>21.74</v>
      </c>
      <c r="IY7" s="116">
        <f>+MAX(DE7:DG7)</f>
        <v>33.380000000000003</v>
      </c>
      <c r="IZ7" s="116">
        <f>+MAX(DH7:DJ7)</f>
        <v>23</v>
      </c>
      <c r="JA7" s="116">
        <f>+MAX(DK7:DM7)</f>
        <v>27.1</v>
      </c>
      <c r="JB7" s="116">
        <f>+MAX(DN7:DP7)</f>
        <v>37.5</v>
      </c>
      <c r="JC7" s="116">
        <f>+MAX(DQ7:DS7)</f>
        <v>68.900000000000006</v>
      </c>
      <c r="JD7" s="116">
        <f>+MAX(DT7:DV7)</f>
        <v>86.5</v>
      </c>
      <c r="JE7" s="116">
        <f>+MAX(DW7:DY7)</f>
        <v>75.599999999999994</v>
      </c>
      <c r="JF7" s="116">
        <f>+MAX(DZ7:EB7)</f>
        <v>60.98</v>
      </c>
      <c r="JG7" s="116">
        <f>+MAX(EC7:EE7)</f>
        <v>57.2</v>
      </c>
      <c r="JH7" s="116">
        <f>+MAX(EF7:EH7)</f>
        <v>81.94</v>
      </c>
      <c r="JI7" s="116">
        <f>+MAX(EI7:EK7)</f>
        <v>117.89</v>
      </c>
      <c r="JJ7" s="116">
        <f>+MAX(EL7:EN7)</f>
        <v>116.99</v>
      </c>
      <c r="JK7" s="116">
        <f>MAX(EO7:EQ7)</f>
        <v>179.17</v>
      </c>
      <c r="JL7" s="116">
        <f>MAX(ER7:ET7)</f>
        <v>150.58000000000001</v>
      </c>
      <c r="JM7" s="116">
        <f>MAX(EU7:EW7)</f>
        <v>132.16</v>
      </c>
      <c r="JN7" s="116">
        <f>MAX(EX7:EZ7)</f>
        <v>119.68</v>
      </c>
      <c r="JO7" s="116">
        <f>MAX(FA7:FC7)</f>
        <v>122.12</v>
      </c>
      <c r="JP7" s="116">
        <f>MAX(FD7:FF7)</f>
        <v>182.7</v>
      </c>
      <c r="JQ7" s="116">
        <f>MAX(FG7:FI7)</f>
        <v>174.39</v>
      </c>
      <c r="JR7" s="116">
        <f>MAX(FJ7:FL7)</f>
        <v>158.19999999999999</v>
      </c>
      <c r="JS7" s="116">
        <f>MAX(FM7:FO7)</f>
        <v>254.2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8.82</v>
      </c>
      <c r="D8" s="116" cm="1">
        <f t="array" ref="D8">_xll.EQNXTDZ($A$1,$B8,D$1)</f>
        <v>8.14</v>
      </c>
      <c r="E8" s="116" cm="1">
        <f t="array" ref="E8">_xll.EQNXTDZ($A$1,$B8,E$1)</f>
        <v>7.36</v>
      </c>
      <c r="F8" s="116" cm="1">
        <f t="array" ref="F8">_xll.EQNXTDZ($A$1,$B8,F$1)</f>
        <v>7.82</v>
      </c>
      <c r="G8" s="116" cm="1">
        <f t="array" ref="G8">_xll.EQNXTDZ($A$1,$B8,G$1)</f>
        <v>9.26</v>
      </c>
      <c r="H8" s="116" cm="1">
        <f t="array" ref="H8">_xll.EQNXTDZ($A$1,$B8,H$1)</f>
        <v>9.2799999999999994</v>
      </c>
      <c r="I8" s="116" cm="1">
        <f t="array" ref="I8">_xll.EQNXTDZ($A$1,$B8,I$1)</f>
        <v>10.55</v>
      </c>
      <c r="J8" s="116" cm="1">
        <f t="array" ref="J8">_xll.EQNXTDZ($A$1,$B8,J$1)</f>
        <v>11.78</v>
      </c>
      <c r="K8" s="116" cm="1">
        <f t="array" ref="K8">_xll.EQNXTDZ($A$1,$B8,K$1)</f>
        <v>8.65</v>
      </c>
      <c r="L8" s="116" cm="1">
        <f t="array" ref="L8">_xll.EQNXTDZ($A$1,$B8,L$1)</f>
        <v>7.65</v>
      </c>
      <c r="M8" s="116" cm="1">
        <f t="array" ref="M8">_xll.EQNXTDZ($A$1,$B8,M$1)</f>
        <v>8.11</v>
      </c>
      <c r="N8" s="116" cm="1">
        <f t="array" ref="N8">_xll.EQNXTDZ($A$1,$B8,N$1)</f>
        <v>9.3000000000000007</v>
      </c>
      <c r="O8" s="116" cm="1">
        <f t="array" ref="O8">_xll.EQNXTDZ($A$1,$B8,O$1)</f>
        <v>7.75</v>
      </c>
      <c r="P8" s="116" cm="1">
        <f t="array" ref="P8">_xll.EQNXTDZ($A$1,$B8,P$1)</f>
        <v>6.56</v>
      </c>
      <c r="Q8" s="116" cm="1">
        <f t="array" ref="Q8">_xll.EQNXTDZ($A$1,$B8,Q$1)</f>
        <v>5.86</v>
      </c>
      <c r="R8" s="116" cm="1">
        <f t="array" ref="R8">_xll.EQNXTDZ($A$1,$B8,R$1)</f>
        <v>6.32</v>
      </c>
      <c r="S8" s="116" cm="1">
        <f t="array" ref="S8">_xll.EQNXTDZ($A$1,$B8,S$1)</f>
        <v>6.35</v>
      </c>
      <c r="T8" s="116" cm="1">
        <f t="array" ref="T8">_xll.EQNXTDZ($A$1,$B8,T$1)</f>
        <v>6.46</v>
      </c>
      <c r="U8" s="116" cm="1">
        <f t="array" ref="U8">_xll.EQNXTDZ($A$1,$B8,U$1)</f>
        <v>7.12</v>
      </c>
      <c r="V8" s="116" cm="1">
        <f t="array" ref="V8">_xll.EQNXTDZ($A$1,$B8,V$1)</f>
        <v>6.36</v>
      </c>
      <c r="W8" s="116" cm="1">
        <f t="array" ref="W8">_xll.EQNXTDZ($A$1,$B8,W$1)</f>
        <v>6.36</v>
      </c>
      <c r="X8" s="116" cm="1">
        <f t="array" ref="X8">_xll.EQNXTDZ($A$1,$B8,X$1)</f>
        <v>6.96</v>
      </c>
      <c r="Y8" s="116" cm="1">
        <f t="array" ref="Y8">_xll.EQNXTDZ($A$1,$B8,Y$1)</f>
        <v>8.91</v>
      </c>
      <c r="Z8" s="116" cm="1">
        <f t="array" ref="Z8">_xll.EQNXTDZ($A$1,$B8,Z$1)</f>
        <v>9.34</v>
      </c>
      <c r="AA8" s="116" cm="1">
        <f t="array" ref="AA8">_xll.EQNXTDZ($A$1,$B8,AA$1)</f>
        <v>11.27</v>
      </c>
      <c r="AB8" s="116" cm="1">
        <f t="array" ref="AB8">_xll.EQNXTDZ($A$1,$B8,AB$1)</f>
        <v>10.85</v>
      </c>
      <c r="AC8" s="116" cm="1">
        <f t="array" ref="AC8">_xll.EQNXTDZ($A$1,$B8,AC$1)</f>
        <v>9.41</v>
      </c>
      <c r="AD8" s="116" cm="1">
        <f t="array" ref="AD8">_xll.EQNXTDZ($A$1,$B8,AD$1)</f>
        <v>8.4</v>
      </c>
      <c r="AE8" s="116" cm="1">
        <f t="array" ref="AE8">_xll.EQNXTDZ($A$1,$B8,AE$1)</f>
        <v>8.2899999999999991</v>
      </c>
      <c r="AF8" s="116" cm="1">
        <f t="array" ref="AF8">_xll.EQNXTDZ($A$1,$B8,AF$1)</f>
        <v>8.94</v>
      </c>
      <c r="AG8" s="116" cm="1">
        <f t="array" ref="AG8">_xll.EQNXTDZ($A$1,$B8,AG$1)</f>
        <v>7.75</v>
      </c>
      <c r="AH8" s="116" cm="1">
        <f t="array" ref="AH8">_xll.EQNXTDZ($A$1,$B8,AH$1)</f>
        <v>8.66</v>
      </c>
      <c r="AI8" s="116" cm="1">
        <f t="array" ref="AI8">_xll.EQNXTDZ($A$1,$B8,AI$1)</f>
        <v>9.1300000000000008</v>
      </c>
      <c r="AJ8" s="116" cm="1">
        <f t="array" ref="AJ8">_xll.EQNXTDZ($A$1,$B8,AJ$1)</f>
        <v>8.93</v>
      </c>
      <c r="AK8" s="116" cm="1">
        <f t="array" ref="AK8">_xll.EQNXTDZ($A$1,$B8,AK$1)</f>
        <v>8.26</v>
      </c>
      <c r="AL8" s="116" cm="1">
        <f t="array" ref="AL8">_xll.EQNXTDZ($A$1,$B8,AL$1)</f>
        <v>7.66</v>
      </c>
      <c r="AM8" s="116" cm="1">
        <f t="array" ref="AM8">_xll.EQNXTDZ($A$1,$B8,AM$1)</f>
        <v>5.3</v>
      </c>
      <c r="AN8" s="116" cm="1">
        <f t="array" ref="AN8">_xll.EQNXTDZ($A$1,$B8,AN$1)</f>
        <v>5.26</v>
      </c>
      <c r="AO8" s="116" cm="1">
        <f t="array" ref="AO8">_xll.EQNXTDZ($A$1,$B8,AO$1)</f>
        <v>3.92</v>
      </c>
      <c r="AP8" s="116" cm="1">
        <f t="array" ref="AP8">_xll.EQNXTDZ($A$1,$B8,AP$1)</f>
        <v>4.0199999999999996</v>
      </c>
      <c r="AQ8" s="116" cm="1">
        <f t="array" ref="AQ8">_xll.EQNXTDZ($A$1,$B8,AQ$1)</f>
        <v>4.83</v>
      </c>
      <c r="AR8" s="116" cm="1">
        <f t="array" ref="AR8">_xll.EQNXTDZ($A$1,$B8,AR$1)</f>
        <v>5.24</v>
      </c>
      <c r="AS8" s="116" cm="1">
        <f t="array" ref="AS8">_xll.EQNXTDZ($A$1,$B8,AS$1)</f>
        <v>5.14</v>
      </c>
      <c r="AT8" s="116" cm="1">
        <f t="array" ref="AT8">_xll.EQNXTDZ($A$1,$B8,AT$1)</f>
        <v>5.0599999999999996</v>
      </c>
      <c r="AU8" s="116" cm="1">
        <f t="array" ref="AU8">_xll.EQNXTDZ($A$1,$B8,AU$1)</f>
        <v>4.49</v>
      </c>
      <c r="AV8" s="116" cm="1">
        <f t="array" ref="AV8">_xll.EQNXTDZ($A$1,$B8,AV$1)</f>
        <v>5.53</v>
      </c>
      <c r="AW8" s="116" cm="1">
        <f t="array" ref="AW8">_xll.EQNXTDZ($A$1,$B8,AW$1)</f>
        <v>6.03</v>
      </c>
      <c r="AX8" s="116" cm="1">
        <f t="array" ref="AX8">_xll.EQNXTDZ($A$1,$B8,AX$1)</f>
        <v>5.53</v>
      </c>
      <c r="AY8" s="116" cm="1">
        <f t="array" ref="AY8">_xll.EQNXTDZ($A$1,$B8,AY$1)</f>
        <v>5.4</v>
      </c>
      <c r="AZ8" s="116" cm="1">
        <f t="array" ref="AZ8">_xll.EQNXTDZ($A$1,$B8,AZ$1)</f>
        <v>5.58</v>
      </c>
      <c r="BA8" s="116" cm="1">
        <f t="array" ref="BA8">_xll.EQNXTDZ($A$1,$B8,BA$1)</f>
        <v>5.23</v>
      </c>
      <c r="BB8" s="116" cm="1">
        <f t="array" ref="BB8">_xll.EQNXTDZ($A$1,$B8,BB$1)</f>
        <v>4.92</v>
      </c>
      <c r="BC8" s="116" cm="1">
        <f t="array" ref="BC8">_xll.EQNXTDZ($A$1,$B8,BC$1)</f>
        <v>5</v>
      </c>
      <c r="BD8" s="116" cm="1">
        <f t="array" ref="BD8">_xll.EQNXTDZ($A$1,$B8,BD$1)</f>
        <v>4.63</v>
      </c>
      <c r="BE8" s="116" cm="1">
        <f t="array" ref="BE8">_xll.EQNXTDZ($A$1,$B8,BE$1)</f>
        <v>5.46</v>
      </c>
      <c r="BF8" s="116" cm="1">
        <f t="array" ref="BF8">_xll.EQNXTDZ($A$1,$B8,BF$1)</f>
        <v>5.82</v>
      </c>
      <c r="BG8" s="116" cm="1">
        <f t="array" ref="BG8">_xll.EQNXTDZ($A$1,$B8,BG$1)</f>
        <v>6.85</v>
      </c>
      <c r="BH8" s="116" cm="1">
        <f t="array" ref="BH8">_xll.EQNXTDZ($A$1,$B8,BH$1)</f>
        <v>7.26</v>
      </c>
      <c r="BI8" s="116" cm="1">
        <f t="array" ref="BI8">_xll.EQNXTDZ($A$1,$B8,BI$1)</f>
        <v>6.34</v>
      </c>
      <c r="BJ8" s="116" cm="1">
        <f t="array" ref="BJ8">_xll.EQNXTDZ($A$1,$B8,BJ$1)</f>
        <v>5.17</v>
      </c>
      <c r="BK8" s="116" cm="1">
        <f t="array" ref="BK8">_xll.EQNXTDZ($A$1,$B8,BK$1)</f>
        <v>5.29</v>
      </c>
      <c r="BL8" s="116" cm="1">
        <f t="array" ref="BL8">_xll.EQNXTDZ($A$1,$B8,BL$1)</f>
        <v>5.62</v>
      </c>
      <c r="BM8" s="116" cm="1">
        <f t="array" ref="BM8">_xll.EQNXTDZ($A$1,$B8,BM$1)</f>
        <v>5.2</v>
      </c>
      <c r="BN8" s="116" cm="1">
        <f t="array" ref="BN8">_xll.EQNXTDZ($A$1,$B8,BN$1)</f>
        <v>5.76</v>
      </c>
      <c r="BO8" s="116" cm="1">
        <f t="array" ref="BO8">_xll.EQNXTDZ($A$1,$B8,BO$1)</f>
        <v>5.73</v>
      </c>
      <c r="BP8" s="116" cm="1">
        <f t="array" ref="BP8">_xll.EQNXTDZ($A$1,$B8,BP$1)</f>
        <v>6.26</v>
      </c>
      <c r="BQ8" s="116" cm="1">
        <f t="array" ref="BQ8">_xll.EQNXTDZ($A$1,$B8,BQ$1)</f>
        <v>6.37</v>
      </c>
      <c r="BR8" s="116" cm="1">
        <f t="array" ref="BR8">_xll.EQNXTDZ($A$1,$B8,BR$1)</f>
        <v>7.2</v>
      </c>
      <c r="BS8" s="116" cm="1">
        <f t="array" ref="BS8">_xll.EQNXTDZ($A$1,$B8,BS$1)</f>
        <v>5.89</v>
      </c>
      <c r="BT8" s="116" cm="1">
        <f t="array" ref="BT8">_xll.EQNXTDZ($A$1,$B8,BT$1)</f>
        <v>4.62</v>
      </c>
      <c r="BU8" s="116" cm="1">
        <f t="array" ref="BU8">_xll.EQNXTDZ($A$1,$B8,BU$1)</f>
        <v>4.72</v>
      </c>
      <c r="BV8" s="116" cm="1">
        <f t="array" ref="BV8">_xll.EQNXTDZ($A$1,$B8,BV$1)</f>
        <v>3.71</v>
      </c>
      <c r="BW8" s="116" cm="1">
        <f t="array" ref="BW8">_xll.EQNXTDZ($A$1,$B8,BW$1)</f>
        <v>3.05</v>
      </c>
      <c r="BX8" s="116" cm="1">
        <f t="array" ref="BX8">_xll.EQNXTDZ($A$1,$B8,BX$1)</f>
        <v>3.03</v>
      </c>
      <c r="BY8" s="116" cm="1">
        <f t="array" ref="BY8">_xll.EQNXTDZ($A$1,$B8,BY$1)</f>
        <v>5.57</v>
      </c>
      <c r="BZ8" s="116" cm="1">
        <f t="array" ref="BZ8">_xll.EQNXTDZ($A$1,$B8,BZ$1)</f>
        <v>4.7</v>
      </c>
      <c r="CA8" s="116" cm="1">
        <f t="array" ref="CA8">_xll.EQNXTDZ($A$1,$B8,CA$1)</f>
        <v>4.2</v>
      </c>
      <c r="CB8" s="116" cm="1">
        <f t="array" ref="CB8">_xll.EQNXTDZ($A$1,$B8,CB$1)</f>
        <v>9</v>
      </c>
      <c r="CC8" s="116" cm="1">
        <f t="array" ref="CC8">_xll.EQNXTDZ($A$1,$B8,CC$1)</f>
        <v>9.49</v>
      </c>
      <c r="CD8" s="116" cm="1">
        <f t="array" ref="CD8">_xll.EQNXTDZ($A$1,$B8,CD$1)</f>
        <v>7.8</v>
      </c>
      <c r="CE8" s="116" cm="1">
        <f t="array" ref="CE8">_xll.EQNXTDZ($A$1,$B8,CE$1)</f>
        <v>6.65</v>
      </c>
      <c r="CF8" s="116" cm="1">
        <f t="array" ref="CF8">_xll.EQNXTDZ($A$1,$B8,CF$1)</f>
        <v>9.3000000000000007</v>
      </c>
      <c r="CG8" s="116" cm="1">
        <f t="array" ref="CG8">_xll.EQNXTDZ($A$1,$B8,CG$1)</f>
        <v>8.8000000000000007</v>
      </c>
      <c r="CH8" s="116" cm="1">
        <f t="array" ref="CH8">_xll.EQNXTDZ($A$1,$B8,CH$1)</f>
        <v>7.47</v>
      </c>
      <c r="CI8" s="116" cm="1">
        <f t="array" ref="CI8">_xll.EQNXTDZ($A$1,$B8,CI$1)</f>
        <v>8.86</v>
      </c>
      <c r="CJ8" s="116" cm="1">
        <f t="array" ref="CJ8">_xll.EQNXTDZ($A$1,$B8,CJ$1)</f>
        <v>10.16</v>
      </c>
      <c r="CK8" s="116" cm="1">
        <f t="array" ref="CK8">_xll.EQNXTDZ($A$1,$B8,CK$1)</f>
        <v>11.03</v>
      </c>
      <c r="CL8" s="116" cm="1">
        <f t="array" ref="CL8">_xll.EQNXTDZ($A$1,$B8,CL$1)</f>
        <v>11.14</v>
      </c>
      <c r="CM8" s="116" cm="1">
        <f t="array" ref="CM8">_xll.EQNXTDZ($A$1,$B8,CM$1)</f>
        <v>11.68</v>
      </c>
      <c r="CN8" s="116" cm="1">
        <f t="array" ref="CN8">_xll.EQNXTDZ($A$1,$B8,CN$1)</f>
        <v>11.83</v>
      </c>
      <c r="CO8" s="116" cm="1">
        <f t="array" ref="CO8">_xll.EQNXTDZ($A$1,$B8,CO$1)</f>
        <v>11.69</v>
      </c>
      <c r="CP8" s="116" cm="1">
        <f t="array" ref="CP8">_xll.EQNXTDZ($A$1,$B8,CP$1)</f>
        <v>11.6</v>
      </c>
      <c r="CQ8" s="116" cm="1">
        <f t="array" ref="CQ8">_xll.EQNXTDZ($A$1,$B8,CQ$1)</f>
        <v>9.3000000000000007</v>
      </c>
      <c r="CR8" s="116" cm="1">
        <f t="array" ref="CR8">_xll.EQNXTDZ($A$1,$B8,CR$1)</f>
        <v>4.5999999999999996</v>
      </c>
      <c r="CS8" s="116" cm="1">
        <f t="array" ref="CS8">_xll.EQNXTDZ($A$1,$B8,CS$1)</f>
        <v>5.16</v>
      </c>
      <c r="CT8" s="116" cm="1">
        <f t="array" ref="CT8">_xll.EQNXTDZ($A$1,$B8,CT$1)</f>
        <v>5.81</v>
      </c>
      <c r="CU8" s="116" cm="1">
        <f t="array" ref="CU8">_xll.EQNXTDZ($A$1,$B8,CU$1)</f>
        <v>7.11</v>
      </c>
      <c r="CV8" s="116" cm="1">
        <f t="array" ref="CV8">_xll.EQNXTDZ($A$1,$B8,CV$1)</f>
        <v>6.87</v>
      </c>
      <c r="CW8" s="116" cm="1">
        <f t="array" ref="CW8">_xll.EQNXTDZ($A$1,$B8,CW$1)</f>
        <v>7.02</v>
      </c>
      <c r="CX8" s="116" cm="1">
        <f t="array" ref="CX8">_xll.EQNXTDZ($A$1,$B8,CX$1)</f>
        <v>7.21</v>
      </c>
      <c r="CY8" s="116" cm="1">
        <f t="array" ref="CY8">_xll.EQNXTDZ($A$1,$B8,CY$1)</f>
        <v>6.9</v>
      </c>
      <c r="CZ8" s="116" cm="1">
        <f t="array" ref="CZ8">_xll.EQNXTDZ($A$1,$B8,CZ$1)</f>
        <v>7.12</v>
      </c>
      <c r="DA8" s="116" cm="1">
        <f t="array" ref="DA8">_xll.EQNXTDZ($A$1,$B8,DA$1)</f>
        <v>7.73</v>
      </c>
      <c r="DB8" s="116" cm="1">
        <f t="array" ref="DB8">_xll.EQNXTDZ($A$1,$B8,DB$1)</f>
        <v>9.6999999999999993</v>
      </c>
      <c r="DC8" s="116" cm="1">
        <f t="array" ref="DC8">_xll.EQNXTDZ($A$1,$B8,DC$1)</f>
        <v>10.199999999999999</v>
      </c>
      <c r="DD8" s="116" cm="1">
        <f t="array" ref="DD8">_xll.EQNXTDZ($A$1,$B8,DD$1)</f>
        <v>11.08</v>
      </c>
      <c r="DE8" s="116" cm="1">
        <f t="array" ref="DE8">_xll.EQNXTDZ($A$1,$B8,DE$1)</f>
        <v>16.27</v>
      </c>
      <c r="DF8" s="116" cm="1">
        <f t="array" ref="DF8">_xll.EQNXTDZ($A$1,$B8,DF$1)</f>
        <v>18.149999999999999</v>
      </c>
      <c r="DG8" s="116" cm="1">
        <f t="array" ref="DG8">_xll.EQNXTDZ($A$1,$B8,DG$1)</f>
        <v>18.36</v>
      </c>
      <c r="DH8" s="116" cm="1">
        <f t="array" ref="DH8">_xll.EQNXTDZ($A$1,$B8,DH$1)</f>
        <v>18.3</v>
      </c>
      <c r="DI8" s="116" cm="1">
        <f t="array" ref="DI8">_xll.EQNXTDZ($A$1,$B8,DI$1)</f>
        <v>14.07</v>
      </c>
      <c r="DJ8" s="116" cm="1">
        <f t="array" ref="DJ8">_xll.EQNXTDZ($A$1,$B8,DJ$1)</f>
        <v>17.84</v>
      </c>
      <c r="DK8" s="116" cm="1">
        <f t="array" ref="DK8">_xll.EQNXTDZ($A$1,$B8,DK$1)</f>
        <v>19</v>
      </c>
      <c r="DL8" s="116" cm="1">
        <f t="array" ref="DL8">_xll.EQNXTDZ($A$1,$B8,DL$1)</f>
        <v>18.72</v>
      </c>
      <c r="DM8" s="116" cm="1">
        <f t="array" ref="DM8">_xll.EQNXTDZ($A$1,$B8,DM$1)</f>
        <v>19.02</v>
      </c>
      <c r="DN8" s="116" cm="1">
        <f t="array" ref="DN8">_xll.EQNXTDZ($A$1,$B8,DN$1)</f>
        <v>19.600000000000001</v>
      </c>
      <c r="DO8" s="116" cm="1">
        <f t="array" ref="DO8">_xll.EQNXTDZ($A$1,$B8,DO$1)</f>
        <v>21.2</v>
      </c>
      <c r="DP8" s="116" cm="1">
        <f t="array" ref="DP8">_xll.EQNXTDZ($A$1,$B8,DP$1)</f>
        <v>23.07</v>
      </c>
      <c r="DQ8" s="116" cm="1">
        <f t="array" ref="DQ8">_xll.EQNXTDZ($A$1,$B8,DQ$1)</f>
        <v>37.54</v>
      </c>
      <c r="DR8" s="116" cm="1">
        <f t="array" ref="DR8">_xll.EQNXTDZ($A$1,$B8,DR$1)</f>
        <v>48.51</v>
      </c>
      <c r="DS8" s="116" cm="1">
        <f t="array" ref="DS8">_xll.EQNXTDZ($A$1,$B8,DS$1)</f>
        <v>47.66</v>
      </c>
      <c r="DT8" s="116" cm="1">
        <f t="array" ref="DT8">_xll.EQNXTDZ($A$1,$B8,DT$1)</f>
        <v>51.02</v>
      </c>
      <c r="DU8" s="116" cm="1">
        <f t="array" ref="DU8">_xll.EQNXTDZ($A$1,$B8,DU$1)</f>
        <v>61.11</v>
      </c>
      <c r="DV8" s="116" cm="1">
        <f t="array" ref="DV8">_xll.EQNXTDZ($A$1,$B8,DV$1)</f>
        <v>72.400000000000006</v>
      </c>
      <c r="DW8" s="116" cm="1">
        <f t="array" ref="DW8">_xll.EQNXTDZ($A$1,$B8,DW$1)</f>
        <v>63.05</v>
      </c>
      <c r="DX8" s="116" cm="1">
        <f t="array" ref="DX8">_xll.EQNXTDZ($A$1,$B8,DX$1)</f>
        <v>63.7</v>
      </c>
      <c r="DY8" s="116" cm="1">
        <f t="array" ref="DY8">_xll.EQNXTDZ($A$1,$B8,DY$1)</f>
        <v>49.82</v>
      </c>
      <c r="DZ8" s="116" cm="1">
        <f t="array" ref="DZ8">_xll.EQNXTDZ($A$1,$B8,DZ$1)</f>
        <v>44.76</v>
      </c>
      <c r="EA8" s="116" cm="1">
        <f t="array" ref="EA8">_xll.EQNXTDZ($A$1,$B8,EA$1)</f>
        <v>26.48</v>
      </c>
      <c r="EB8" s="116" cm="1">
        <f t="array" ref="EB8">_xll.EQNXTDZ($A$1,$B8,EB$1)</f>
        <v>30.43</v>
      </c>
      <c r="EC8" s="116" cm="1">
        <f t="array" ref="EC8">_xll.EQNXTDZ($A$1,$B8,EC$1)</f>
        <v>37.04</v>
      </c>
      <c r="ED8" s="116" cm="1">
        <f t="array" ref="ED8">_xll.EQNXTDZ($A$1,$B8,ED$1)</f>
        <v>42.8</v>
      </c>
      <c r="EE8" s="116" cm="1">
        <f t="array" ref="EE8">_xll.EQNXTDZ($A$1,$B8,EE$1)</f>
        <v>46.2</v>
      </c>
      <c r="EF8" s="116" cm="1">
        <f t="array" ref="EF8">_xll.EQNXTDZ($A$1,$B8,EF$1)</f>
        <v>47.17</v>
      </c>
      <c r="EG8" s="116" cm="1">
        <f t="array" ref="EG8">_xll.EQNXTDZ($A$1,$B8,EG$1)</f>
        <v>52.12</v>
      </c>
      <c r="EH8" s="116" cm="1">
        <f t="array" ref="EH8">_xll.EQNXTDZ($A$1,$B8,EH$1)</f>
        <v>62.45</v>
      </c>
      <c r="EI8" s="116" cm="1">
        <f t="array" ref="EI8">_xll.EQNXTDZ($A$1,$B8,EI$1)</f>
        <v>57.87</v>
      </c>
      <c r="EJ8" s="116" cm="1">
        <f t="array" ref="EJ8">_xll.EQNXTDZ($A$1,$B8,EJ$1)</f>
        <v>71.52</v>
      </c>
      <c r="EK8" s="116" cm="1">
        <f t="array" ref="EK8">_xll.EQNXTDZ($A$1,$B8,EK$1)</f>
        <v>87.07</v>
      </c>
      <c r="EL8" s="116" cm="1">
        <f t="array" ref="EL8">_xll.EQNXTDZ($A$1,$B8,EL$1)</f>
        <v>101.22</v>
      </c>
      <c r="EM8" s="116" cm="1">
        <f t="array" ref="EM8">_xll.EQNXTDZ($A$1,$B8,EM$1)</f>
        <v>103.46</v>
      </c>
      <c r="EN8" s="116" cm="1">
        <f t="array" ref="EN8">_xll.EQNXTDZ($A$1,$B8,EN$1)</f>
        <v>100.31</v>
      </c>
      <c r="EO8" s="116" cm="1">
        <f t="array" ref="EO8">_xll.EQNXTDZ($A$1,$B8,EO$1)</f>
        <v>108.92</v>
      </c>
      <c r="EP8" s="116" cm="1">
        <f t="array" ref="EP8">_xll.EQNXTDZ($A$1,$B8,EP$1)</f>
        <v>114.48</v>
      </c>
      <c r="EQ8" s="116" cm="1">
        <f t="array" ref="EQ8">_xll.EQNXTDZ($A$1,$B8,EQ$1)</f>
        <v>128</v>
      </c>
      <c r="ER8" s="116" cm="1">
        <f t="array" ref="ER8">_xll.EQNXTDZ($A$1,$B8,ER$1)</f>
        <v>129.30000000000001</v>
      </c>
      <c r="ES8" s="116" cm="1">
        <f t="array" ref="ES8">_xll.EQNXTDZ($A$1,$B8,ES$1)</f>
        <v>124</v>
      </c>
      <c r="ET8" s="116" cm="1">
        <f t="array" ref="ET8">_xll.EQNXTDZ($A$1,$B8,ET$1)</f>
        <v>124.2</v>
      </c>
      <c r="EU8" s="116" cm="1">
        <f t="array" ref="EU8">_xll.EQNXTDZ($A$1,$B8,EU$1)</f>
        <v>114.53</v>
      </c>
      <c r="EV8" s="116" cm="1">
        <f t="array" ref="EV8">_xll.EQNXTDZ($A$1,$B8,EV$1)</f>
        <v>86.4</v>
      </c>
      <c r="EW8" s="116" cm="1">
        <f t="array" ref="EW8">_xll.EQNXTDZ($A$1,$B8,EW$1)</f>
        <v>98.21</v>
      </c>
      <c r="EX8" s="116" cm="1">
        <f t="array" ref="EX8">_xll.EQNXTDZ($A$1,$B8,EX$1)</f>
        <v>89</v>
      </c>
      <c r="EY8" s="116" cm="1">
        <f t="array" ref="EY8">_xll.EQNXTDZ($A$1,$B8,EY$1)</f>
        <v>93.6</v>
      </c>
      <c r="EZ8" s="116" cm="1">
        <f t="array" ref="EZ8">_xll.EQNXTDZ($A$1,$B8,EZ$1)</f>
        <v>94.81</v>
      </c>
      <c r="FA8" s="116" cm="1">
        <f t="array" ref="FA8">_xll.EQNXTDZ($A$1,$B8,FA$1)</f>
        <v>92.4</v>
      </c>
      <c r="FB8" s="116" cm="1">
        <f t="array" ref="FB8">_xll.EQNXTDZ($A$1,$B8,FB$1)</f>
        <v>101</v>
      </c>
      <c r="FC8" s="116" cm="1">
        <f t="array" ref="FC8">_xll.EQNXTDZ($A$1,$B8,FC$1)</f>
        <v>105.42</v>
      </c>
      <c r="FD8" s="116" cm="1">
        <f t="array" ref="FD8">_xll.EQNXTDZ($A$1,$B8,FD$1)</f>
        <v>112.2</v>
      </c>
      <c r="FE8" s="116" cm="1">
        <f t="array" ref="FE8">_xll.EQNXTDZ($A$1,$B8,FE$1)</f>
        <v>110.45</v>
      </c>
      <c r="FF8" s="116" cm="1">
        <f t="array" ref="FF8">_xll.EQNXTDZ($A$1,$B8,FF$1)</f>
        <v>120</v>
      </c>
      <c r="FG8" s="116" cm="1">
        <f t="array" ref="FG8">_xll.EQNXTDZ($A$1,$B8,FG$1)</f>
        <v>143.15</v>
      </c>
      <c r="FH8" s="116" cm="1">
        <f t="array" ref="FH8">_xll.EQNXTDZ($A$1,$B8,FH$1)</f>
        <v>144.80000000000001</v>
      </c>
      <c r="FI8" s="116" cm="1">
        <f t="array" ref="FI8">_xll.EQNXTDZ($A$1,$B8,FI$1)</f>
        <v>135</v>
      </c>
      <c r="FJ8" s="116" cm="1">
        <f t="array" ref="FJ8">_xll.EQNXTDZ($A$1,$B8,FJ$1)</f>
        <v>128.1</v>
      </c>
      <c r="FK8" s="116" cm="1">
        <f t="array" ref="FK8">_xll.EQNXTDZ($A$1,$B8,FK$1)</f>
        <v>130.63</v>
      </c>
      <c r="FL8" s="116" cm="1">
        <f t="array" ref="FL8">_xll.EQNXTDZ($A$1,$B8,FL$1)</f>
        <v>130.69999999999999</v>
      </c>
      <c r="FM8" s="116" cm="1">
        <f t="array" ref="FM8">_xll.EQNXTDZ($A$1,$B8,FM$1)</f>
        <v>150.62</v>
      </c>
      <c r="FN8" s="116" cm="1">
        <f t="array" ref="FN8">_xll.EQNXTDZ($A$1,$B8,FN$1)</f>
        <v>208.03</v>
      </c>
      <c r="FO8" s="116" cm="1">
        <f t="array" ref="FO8">_xll.EQNXTDZ($A$1,$B8,FO$1)</f>
        <v>214.8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7.36</v>
      </c>
      <c r="HQ8" s="116">
        <f>+MIN(G8:I8)</f>
        <v>9.26</v>
      </c>
      <c r="HR8" s="116">
        <f>+MIN(J8:L8)</f>
        <v>7.65</v>
      </c>
      <c r="HS8" s="116">
        <f>+MIN(M8:O8)</f>
        <v>7.75</v>
      </c>
      <c r="HT8" s="116">
        <f>+MIN(P8:R8)</f>
        <v>5.86</v>
      </c>
      <c r="HU8" s="116">
        <f>+MIN(S8:U8)</f>
        <v>6.35</v>
      </c>
      <c r="HV8" s="116">
        <f>+MIN(V8:X8)</f>
        <v>6.36</v>
      </c>
      <c r="HW8" s="116">
        <f>+MIN(Y8:AA8)</f>
        <v>8.91</v>
      </c>
      <c r="HX8" s="116">
        <f>+MIN(AB8:AD8)</f>
        <v>8.4</v>
      </c>
      <c r="HY8" s="116">
        <f>+MIN(AE8:AG8)</f>
        <v>7.75</v>
      </c>
      <c r="HZ8" s="116">
        <f>+MIN(AH8:AJ8)</f>
        <v>8.66</v>
      </c>
      <c r="IA8" s="116">
        <f>+MIN(AK8:AM8)</f>
        <v>5.3</v>
      </c>
      <c r="IB8" s="116">
        <f>+MIN(AN8:AP8)</f>
        <v>3.92</v>
      </c>
      <c r="IC8" s="116">
        <f>+MIN(AQ8:AS8)</f>
        <v>4.83</v>
      </c>
      <c r="ID8" s="116">
        <f>+MIN(AT8:AV8)</f>
        <v>4.49</v>
      </c>
      <c r="IE8" s="116">
        <f>+MIN(AW8:AY8)</f>
        <v>5.4</v>
      </c>
      <c r="IF8" s="116">
        <f>+MIN(AZ8:BB8)</f>
        <v>4.92</v>
      </c>
      <c r="IG8" s="116">
        <f>+MIN(BC8:BE8)</f>
        <v>4.63</v>
      </c>
      <c r="IH8" s="116">
        <f>+MIN(BF8:BH8)</f>
        <v>5.82</v>
      </c>
      <c r="II8" s="116">
        <f>+MIN(BI8:BK8)</f>
        <v>5.17</v>
      </c>
      <c r="IJ8" s="116">
        <f>+MIN(BL8:BN8)</f>
        <v>5.2</v>
      </c>
      <c r="IK8" s="116">
        <f>+MIN(BO8:BQ8)</f>
        <v>5.73</v>
      </c>
      <c r="IL8" s="116">
        <f>+MIN(BR8:BT8)</f>
        <v>4.62</v>
      </c>
      <c r="IM8" s="116">
        <f>+MIN(BU8:BW8)</f>
        <v>3.05</v>
      </c>
      <c r="IN8" s="116">
        <f>+MIN(BX8:BZ8)</f>
        <v>3.03</v>
      </c>
      <c r="IO8" s="116">
        <f>+MIN(CA8:CC8)</f>
        <v>4.2</v>
      </c>
      <c r="IP8" s="116">
        <f>+MIN(CD8:CF8)</f>
        <v>6.65</v>
      </c>
      <c r="IQ8" s="116">
        <f>+MIN(CG8:CI8)</f>
        <v>7.47</v>
      </c>
      <c r="IR8" s="116">
        <f>+MIN(CJ8:CL8)</f>
        <v>10.16</v>
      </c>
      <c r="IS8" s="116">
        <f>+MIN(CM8:CO8)</f>
        <v>11.68</v>
      </c>
      <c r="IT8" s="116">
        <f>+MIN(CP8:CR8)</f>
        <v>4.5999999999999996</v>
      </c>
      <c r="IU8" s="116">
        <f>+MIN(CS8:CU8)</f>
        <v>5.16</v>
      </c>
      <c r="IV8" s="116">
        <f>+MIN(CV8:CX8)</f>
        <v>6.87</v>
      </c>
      <c r="IW8" s="116">
        <f>+MIN(CY8:DA8)</f>
        <v>6.9</v>
      </c>
      <c r="IX8" s="116">
        <f>+MIN(DB8:DD8)</f>
        <v>9.6999999999999993</v>
      </c>
      <c r="IY8" s="116">
        <f>+MIN(DE8:DG8)</f>
        <v>16.27</v>
      </c>
      <c r="IZ8" s="116">
        <f>+MIN(DH8:DJ8)</f>
        <v>14.07</v>
      </c>
      <c r="JA8" s="116">
        <f>+MIN(DK8:DM8)</f>
        <v>18.72</v>
      </c>
      <c r="JB8" s="116">
        <f>+MIN(DN8:DP8)</f>
        <v>19.600000000000001</v>
      </c>
      <c r="JC8" s="116">
        <f>+MIN(DQ8:DS8)</f>
        <v>37.54</v>
      </c>
      <c r="JD8" s="116">
        <f>+MIN(DT8:DV8)</f>
        <v>51.02</v>
      </c>
      <c r="JE8" s="116">
        <f>+MIN(DW8:DY8)</f>
        <v>49.82</v>
      </c>
      <c r="JF8" s="116">
        <f>+MIN(DZ8:EB8)</f>
        <v>26.48</v>
      </c>
      <c r="JG8" s="116">
        <f>+MIN(EC8:EE8)</f>
        <v>37.04</v>
      </c>
      <c r="JH8" s="116">
        <f>+MIN(EF8:EH8)</f>
        <v>47.17</v>
      </c>
      <c r="JI8" s="116">
        <f>+MIN(EI8:EK8)</f>
        <v>57.87</v>
      </c>
      <c r="JJ8" s="116">
        <f>+MIN(EL8:EN8)</f>
        <v>100.31</v>
      </c>
      <c r="JK8" s="116">
        <f>MIN(EO8:EQ8)</f>
        <v>108.92</v>
      </c>
      <c r="JL8" s="116">
        <f>MIN(ER8:ET8)</f>
        <v>124</v>
      </c>
      <c r="JM8" s="116">
        <f>MIN(EU8:EW8)</f>
        <v>86.4</v>
      </c>
      <c r="JN8" s="116">
        <f>MIN(EX8:EZ8)</f>
        <v>89</v>
      </c>
      <c r="JO8" s="116">
        <f>MIN(FA8:FC8)</f>
        <v>92.4</v>
      </c>
      <c r="JP8" s="116">
        <f>MIN(FD8:FF8)</f>
        <v>110.45</v>
      </c>
      <c r="JQ8" s="116">
        <f>MIN(FG8:FI8)</f>
        <v>135</v>
      </c>
      <c r="JR8" s="116">
        <f>MIN(FJ8:FL8)</f>
        <v>128.1</v>
      </c>
      <c r="JS8" s="116">
        <f>MIN(FM8:FO8)</f>
        <v>150.62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9.99</v>
      </c>
      <c r="D9" s="116" cm="1">
        <f t="array" ref="D9">_xll.EQNXTDZ($A$1,$B9,D$1)</f>
        <v>8.74</v>
      </c>
      <c r="E9" s="116" cm="1">
        <f t="array" ref="E9">_xll.EQNXTDZ($A$1,$B9,E$1)</f>
        <v>7.96</v>
      </c>
      <c r="F9" s="116" cm="1">
        <f t="array" ref="F9">_xll.EQNXTDZ($A$1,$B9,F$1)</f>
        <v>10.59</v>
      </c>
      <c r="G9" s="116" cm="1">
        <f t="array" ref="G9">_xll.EQNXTDZ($A$1,$B9,G$1)</f>
        <v>9.64</v>
      </c>
      <c r="H9" s="116" cm="1">
        <f t="array" ref="H9">_xll.EQNXTDZ($A$1,$B9,H$1)</f>
        <v>10.62</v>
      </c>
      <c r="I9" s="116" cm="1">
        <f t="array" ref="I9">_xll.EQNXTDZ($A$1,$B9,I$1)</f>
        <v>12.34</v>
      </c>
      <c r="J9" s="116" cm="1">
        <f t="array" ref="J9">_xll.EQNXTDZ($A$1,$B9,J$1)</f>
        <v>12.2</v>
      </c>
      <c r="K9" s="116" cm="1">
        <f t="array" ref="K9">_xll.EQNXTDZ($A$1,$B9,K$1)</f>
        <v>8.89</v>
      </c>
      <c r="L9" s="116" cm="1">
        <f t="array" ref="L9">_xll.EQNXTDZ($A$1,$B9,L$1)</f>
        <v>8.1300000000000008</v>
      </c>
      <c r="M9" s="116" cm="1">
        <f t="array" ref="M9">_xll.EQNXTDZ($A$1,$B9,M$1)</f>
        <v>9.77</v>
      </c>
      <c r="N9" s="116" cm="1">
        <f t="array" ref="N9">_xll.EQNXTDZ($A$1,$B9,N$1)</f>
        <v>11.35</v>
      </c>
      <c r="O9" s="116" cm="1">
        <f t="array" ref="O9">_xll.EQNXTDZ($A$1,$B9,O$1)</f>
        <v>8.2899999999999991</v>
      </c>
      <c r="P9" s="116" cm="1">
        <f t="array" ref="P9">_xll.EQNXTDZ($A$1,$B9,P$1)</f>
        <v>7.01</v>
      </c>
      <c r="Q9" s="116" cm="1">
        <f t="array" ref="Q9">_xll.EQNXTDZ($A$1,$B9,Q$1)</f>
        <v>6.73</v>
      </c>
      <c r="R9" s="116" cm="1">
        <f t="array" ref="R9">_xll.EQNXTDZ($A$1,$B9,R$1)</f>
        <v>6.45</v>
      </c>
      <c r="S9" s="116" cm="1">
        <f t="array" ref="S9">_xll.EQNXTDZ($A$1,$B9,S$1)</f>
        <v>6.54</v>
      </c>
      <c r="T9" s="116" cm="1">
        <f t="array" ref="T9">_xll.EQNXTDZ($A$1,$B9,T$1)</f>
        <v>7.12</v>
      </c>
      <c r="U9" s="116" cm="1">
        <f t="array" ref="U9">_xll.EQNXTDZ($A$1,$B9,U$1)</f>
        <v>7.79</v>
      </c>
      <c r="V9" s="116" cm="1">
        <f t="array" ref="V9">_xll.EQNXTDZ($A$1,$B9,V$1)</f>
        <v>6.52</v>
      </c>
      <c r="W9" s="116" cm="1">
        <f t="array" ref="W9">_xll.EQNXTDZ($A$1,$B9,W$1)</f>
        <v>7.18</v>
      </c>
      <c r="X9" s="116" cm="1">
        <f t="array" ref="X9">_xll.EQNXTDZ($A$1,$B9,X$1)</f>
        <v>9.7200000000000006</v>
      </c>
      <c r="Y9" s="116" cm="1">
        <f t="array" ref="Y9">_xll.EQNXTDZ($A$1,$B9,Y$1)</f>
        <v>9.6300000000000008</v>
      </c>
      <c r="Z9" s="116" cm="1">
        <f t="array" ref="Z9">_xll.EQNXTDZ($A$1,$B9,Z$1)</f>
        <v>12.04</v>
      </c>
      <c r="AA9" s="116" cm="1">
        <f t="array" ref="AA9">_xll.EQNXTDZ($A$1,$B9,AA$1)</f>
        <v>12.51</v>
      </c>
      <c r="AB9" s="116" cm="1">
        <f t="array" ref="AB9">_xll.EQNXTDZ($A$1,$B9,AB$1)</f>
        <v>11.32</v>
      </c>
      <c r="AC9" s="116" cm="1">
        <f t="array" ref="AC9">_xll.EQNXTDZ($A$1,$B9,AC$1)</f>
        <v>9.44</v>
      </c>
      <c r="AD9" s="116" cm="1">
        <f t="array" ref="AD9">_xll.EQNXTDZ($A$1,$B9,AD$1)</f>
        <v>8.68</v>
      </c>
      <c r="AE9" s="116" cm="1">
        <f t="array" ref="AE9">_xll.EQNXTDZ($A$1,$B9,AE$1)</f>
        <v>9.6</v>
      </c>
      <c r="AF9" s="116" cm="1">
        <f t="array" ref="AF9">_xll.EQNXTDZ($A$1,$B9,AF$1)</f>
        <v>9.1199999999999992</v>
      </c>
      <c r="AG9" s="116" cm="1">
        <f t="array" ref="AG9">_xll.EQNXTDZ($A$1,$B9,AG$1)</f>
        <v>8.86</v>
      </c>
      <c r="AH9" s="116" cm="1">
        <f t="array" ref="AH9">_xll.EQNXTDZ($A$1,$B9,AH$1)</f>
        <v>10.39</v>
      </c>
      <c r="AI9" s="116" cm="1">
        <f t="array" ref="AI9">_xll.EQNXTDZ($A$1,$B9,AI$1)</f>
        <v>11.21</v>
      </c>
      <c r="AJ9" s="116" cm="1">
        <f t="array" ref="AJ9">_xll.EQNXTDZ($A$1,$B9,AJ$1)</f>
        <v>9.4600000000000009</v>
      </c>
      <c r="AK9" s="116" cm="1">
        <f t="array" ref="AK9">_xll.EQNXTDZ($A$1,$B9,AK$1)</f>
        <v>8.59</v>
      </c>
      <c r="AL9" s="116" cm="1">
        <f t="array" ref="AL9">_xll.EQNXTDZ($A$1,$B9,AL$1)</f>
        <v>7.79</v>
      </c>
      <c r="AM9" s="116" cm="1">
        <f t="array" ref="AM9">_xll.EQNXTDZ($A$1,$B9,AM$1)</f>
        <v>5.84</v>
      </c>
      <c r="AN9" s="116" cm="1">
        <f t="array" ref="AN9">_xll.EQNXTDZ($A$1,$B9,AN$1)</f>
        <v>5.48</v>
      </c>
      <c r="AO9" s="116" cm="1">
        <f t="array" ref="AO9">_xll.EQNXTDZ($A$1,$B9,AO$1)</f>
        <v>4.5</v>
      </c>
      <c r="AP9" s="116" cm="1">
        <f t="array" ref="AP9">_xll.EQNXTDZ($A$1,$B9,AP$1)</f>
        <v>4.9400000000000004</v>
      </c>
      <c r="AQ9" s="116" cm="1">
        <f t="array" ref="AQ9">_xll.EQNXTDZ($A$1,$B9,AQ$1)</f>
        <v>6.3</v>
      </c>
      <c r="AR9" s="116" cm="1">
        <f t="array" ref="AR9">_xll.EQNXTDZ($A$1,$B9,AR$1)</f>
        <v>6.14</v>
      </c>
      <c r="AS9" s="116" cm="1">
        <f t="array" ref="AS9">_xll.EQNXTDZ($A$1,$B9,AS$1)</f>
        <v>6.45</v>
      </c>
      <c r="AT9" s="116" cm="1">
        <f t="array" ref="AT9">_xll.EQNXTDZ($A$1,$B9,AT$1)</f>
        <v>5.74</v>
      </c>
      <c r="AU9" s="116" cm="1">
        <f t="array" ref="AU9">_xll.EQNXTDZ($A$1,$B9,AU$1)</f>
        <v>5.5</v>
      </c>
      <c r="AV9" s="116" cm="1">
        <f t="array" ref="AV9">_xll.EQNXTDZ($A$1,$B9,AV$1)</f>
        <v>6.89</v>
      </c>
      <c r="AW9" s="116" cm="1">
        <f t="array" ref="AW9">_xll.EQNXTDZ($A$1,$B9,AW$1)</f>
        <v>6.41</v>
      </c>
      <c r="AX9" s="116" cm="1">
        <f t="array" ref="AX9">_xll.EQNXTDZ($A$1,$B9,AX$1)</f>
        <v>5.96</v>
      </c>
      <c r="AY9" s="116" cm="1">
        <f t="array" ref="AY9">_xll.EQNXTDZ($A$1,$B9,AY$1)</f>
        <v>6.1</v>
      </c>
      <c r="AZ9" s="116" cm="1">
        <f t="array" ref="AZ9">_xll.EQNXTDZ($A$1,$B9,AZ$1)</f>
        <v>5.59</v>
      </c>
      <c r="BA9" s="116" cm="1">
        <f t="array" ref="BA9">_xll.EQNXTDZ($A$1,$B9,BA$1)</f>
        <v>5.53</v>
      </c>
      <c r="BB9" s="116" cm="1">
        <f t="array" ref="BB9">_xll.EQNXTDZ($A$1,$B9,BB$1)</f>
        <v>4.9800000000000004</v>
      </c>
      <c r="BC9" s="116" cm="1">
        <f t="array" ref="BC9">_xll.EQNXTDZ($A$1,$B9,BC$1)</f>
        <v>5.47</v>
      </c>
      <c r="BD9" s="116" cm="1">
        <f t="array" ref="BD9">_xll.EQNXTDZ($A$1,$B9,BD$1)</f>
        <v>5.74</v>
      </c>
      <c r="BE9" s="116" cm="1">
        <f t="array" ref="BE9">_xll.EQNXTDZ($A$1,$B9,BE$1)</f>
        <v>6.01</v>
      </c>
      <c r="BF9" s="116" cm="1">
        <f t="array" ref="BF9">_xll.EQNXTDZ($A$1,$B9,BF$1)</f>
        <v>7.25</v>
      </c>
      <c r="BG9" s="116" cm="1">
        <f t="array" ref="BG9">_xll.EQNXTDZ($A$1,$B9,BG$1)</f>
        <v>7.72</v>
      </c>
      <c r="BH9" s="116" cm="1">
        <f t="array" ref="BH9">_xll.EQNXTDZ($A$1,$B9,BH$1)</f>
        <v>7.98</v>
      </c>
      <c r="BI9" s="116" cm="1">
        <f t="array" ref="BI9">_xll.EQNXTDZ($A$1,$B9,BI$1)</f>
        <v>6.6</v>
      </c>
      <c r="BJ9" s="116" cm="1">
        <f t="array" ref="BJ9">_xll.EQNXTDZ($A$1,$B9,BJ$1)</f>
        <v>5.54</v>
      </c>
      <c r="BK9" s="116" cm="1">
        <f t="array" ref="BK9">_xll.EQNXTDZ($A$1,$B9,BK$1)</f>
        <v>5.96</v>
      </c>
      <c r="BL9" s="116" cm="1">
        <f t="array" ref="BL9">_xll.EQNXTDZ($A$1,$B9,BL$1)</f>
        <v>6.7</v>
      </c>
      <c r="BM9" s="116" cm="1">
        <f t="array" ref="BM9">_xll.EQNXTDZ($A$1,$B9,BM$1)</f>
        <v>6.67</v>
      </c>
      <c r="BN9" s="116" cm="1">
        <f t="array" ref="BN9">_xll.EQNXTDZ($A$1,$B9,BN$1)</f>
        <v>5.91</v>
      </c>
      <c r="BO9" s="116" cm="1">
        <f t="array" ref="BO9">_xll.EQNXTDZ($A$1,$B9,BO$1)</f>
        <v>6.55</v>
      </c>
      <c r="BP9" s="116" cm="1">
        <f t="array" ref="BP9">_xll.EQNXTDZ($A$1,$B9,BP$1)</f>
        <v>7.1</v>
      </c>
      <c r="BQ9" s="116" cm="1">
        <f t="array" ref="BQ9">_xll.EQNXTDZ($A$1,$B9,BQ$1)</f>
        <v>8.34</v>
      </c>
      <c r="BR9" s="116" cm="1">
        <f t="array" ref="BR9">_xll.EQNXTDZ($A$1,$B9,BR$1)</f>
        <v>7.33</v>
      </c>
      <c r="BS9" s="116" cm="1">
        <f t="array" ref="BS9">_xll.EQNXTDZ($A$1,$B9,BS$1)</f>
        <v>6.33</v>
      </c>
      <c r="BT9" s="116" cm="1">
        <f t="array" ref="BT9">_xll.EQNXTDZ($A$1,$B9,BT$1)</f>
        <v>4.74</v>
      </c>
      <c r="BU9" s="116" cm="1">
        <f t="array" ref="BU9">_xll.EQNXTDZ($A$1,$B9,BU$1)</f>
        <v>5.14</v>
      </c>
      <c r="BV9" s="116" cm="1">
        <f t="array" ref="BV9">_xll.EQNXTDZ($A$1,$B9,BV$1)</f>
        <v>4.03</v>
      </c>
      <c r="BW9" s="116" cm="1">
        <f t="array" ref="BW9">_xll.EQNXTDZ($A$1,$B9,BW$1)</f>
        <v>3.23</v>
      </c>
      <c r="BX9" s="116" cm="1">
        <f t="array" ref="BX9">_xll.EQNXTDZ($A$1,$B9,BX$1)</f>
        <v>6.27</v>
      </c>
      <c r="BY9" s="116" cm="1">
        <f t="array" ref="BY9">_xll.EQNXTDZ($A$1,$B9,BY$1)</f>
        <v>7.08</v>
      </c>
      <c r="BZ9" s="116" cm="1">
        <f t="array" ref="BZ9">_xll.EQNXTDZ($A$1,$B9,BZ$1)</f>
        <v>4.76</v>
      </c>
      <c r="CA9" s="116" cm="1">
        <f t="array" ref="CA9">_xll.EQNXTDZ($A$1,$B9,CA$1)</f>
        <v>9.2200000000000006</v>
      </c>
      <c r="CB9" s="116" cm="1">
        <f t="array" ref="CB9">_xll.EQNXTDZ($A$1,$B9,CB$1)</f>
        <v>11.1</v>
      </c>
      <c r="CC9" s="116" cm="1">
        <f t="array" ref="CC9">_xll.EQNXTDZ($A$1,$B9,CC$1)</f>
        <v>10.19</v>
      </c>
      <c r="CD9" s="116" cm="1">
        <f t="array" ref="CD9">_xll.EQNXTDZ($A$1,$B9,CD$1)</f>
        <v>9.1</v>
      </c>
      <c r="CE9" s="116" cm="1">
        <f t="array" ref="CE9">_xll.EQNXTDZ($A$1,$B9,CE$1)</f>
        <v>9.6300000000000008</v>
      </c>
      <c r="CF9" s="116" cm="1">
        <f t="array" ref="CF9">_xll.EQNXTDZ($A$1,$B9,CF$1)</f>
        <v>9.64</v>
      </c>
      <c r="CG9" s="116" cm="1">
        <f t="array" ref="CG9">_xll.EQNXTDZ($A$1,$B9,CG$1)</f>
        <v>8.98</v>
      </c>
      <c r="CH9" s="116" cm="1">
        <f t="array" ref="CH9">_xll.EQNXTDZ($A$1,$B9,CH$1)</f>
        <v>10.07</v>
      </c>
      <c r="CI9" s="116" cm="1">
        <f t="array" ref="CI9">_xll.EQNXTDZ($A$1,$B9,CI$1)</f>
        <v>10.27</v>
      </c>
      <c r="CJ9" s="116" cm="1">
        <f t="array" ref="CJ9">_xll.EQNXTDZ($A$1,$B9,CJ$1)</f>
        <v>12.2</v>
      </c>
      <c r="CK9" s="116" cm="1">
        <f t="array" ref="CK9">_xll.EQNXTDZ($A$1,$B9,CK$1)</f>
        <v>11.68</v>
      </c>
      <c r="CL9" s="116" cm="1">
        <f t="array" ref="CL9">_xll.EQNXTDZ($A$1,$B9,CL$1)</f>
        <v>12.86</v>
      </c>
      <c r="CM9" s="116" cm="1">
        <f t="array" ref="CM9">_xll.EQNXTDZ($A$1,$B9,CM$1)</f>
        <v>13.21</v>
      </c>
      <c r="CN9" s="116" cm="1">
        <f t="array" ref="CN9">_xll.EQNXTDZ($A$1,$B9,CN$1)</f>
        <v>12.72</v>
      </c>
      <c r="CO9" s="116" cm="1">
        <f t="array" ref="CO9">_xll.EQNXTDZ($A$1,$B9,CO$1)</f>
        <v>12.36</v>
      </c>
      <c r="CP9" s="116" cm="1">
        <f t="array" ref="CP9">_xll.EQNXTDZ($A$1,$B9,CP$1)</f>
        <v>12.21</v>
      </c>
      <c r="CQ9" s="116" cm="1">
        <f t="array" ref="CQ9">_xll.EQNXTDZ($A$1,$B9,CQ$1)</f>
        <v>9.4600000000000009</v>
      </c>
      <c r="CR9" s="116" cm="1">
        <f t="array" ref="CR9">_xll.EQNXTDZ($A$1,$B9,CR$1)</f>
        <v>5.55</v>
      </c>
      <c r="CS9" s="116" cm="1">
        <f t="array" ref="CS9">_xll.EQNXTDZ($A$1,$B9,CS$1)</f>
        <v>6.33</v>
      </c>
      <c r="CT9" s="116" cm="1">
        <f t="array" ref="CT9">_xll.EQNXTDZ($A$1,$B9,CT$1)</f>
        <v>7.28</v>
      </c>
      <c r="CU9" s="116" cm="1">
        <f t="array" ref="CU9">_xll.EQNXTDZ($A$1,$B9,CU$1)</f>
        <v>7.2</v>
      </c>
      <c r="CV9" s="116" cm="1">
        <f t="array" ref="CV9">_xll.EQNXTDZ($A$1,$B9,CV$1)</f>
        <v>7.08</v>
      </c>
      <c r="CW9" s="116" cm="1">
        <f t="array" ref="CW9">_xll.EQNXTDZ($A$1,$B9,CW$1)</f>
        <v>7.45</v>
      </c>
      <c r="CX9" s="116" cm="1">
        <f t="array" ref="CX9">_xll.EQNXTDZ($A$1,$B9,CX$1)</f>
        <v>7.38</v>
      </c>
      <c r="CY9" s="116" cm="1">
        <f t="array" ref="CY9">_xll.EQNXTDZ($A$1,$B9,CY$1)</f>
        <v>7.15</v>
      </c>
      <c r="CZ9" s="116" cm="1">
        <f t="array" ref="CZ9">_xll.EQNXTDZ($A$1,$B9,CZ$1)</f>
        <v>7.7</v>
      </c>
      <c r="DA9" s="116" cm="1">
        <f t="array" ref="DA9">_xll.EQNXTDZ($A$1,$B9,DA$1)</f>
        <v>9.9600000000000009</v>
      </c>
      <c r="DB9" s="116" cm="1">
        <f t="array" ref="DB9">_xll.EQNXTDZ($A$1,$B9,DB$1)</f>
        <v>10.26</v>
      </c>
      <c r="DC9" s="116" cm="1">
        <f t="array" ref="DC9">_xll.EQNXTDZ($A$1,$B9,DC$1)</f>
        <v>11.04</v>
      </c>
      <c r="DD9" s="116" cm="1">
        <f t="array" ref="DD9">_xll.EQNXTDZ($A$1,$B9,DD$1)</f>
        <v>17.010000000000002</v>
      </c>
      <c r="DE9" s="116" cm="1">
        <f t="array" ref="DE9">_xll.EQNXTDZ($A$1,$B9,DE$1)</f>
        <v>18.95</v>
      </c>
      <c r="DF9" s="116" cm="1">
        <f t="array" ref="DF9">_xll.EQNXTDZ($A$1,$B9,DF$1)</f>
        <v>18.5</v>
      </c>
      <c r="DG9" s="116" cm="1">
        <f t="array" ref="DG9">_xll.EQNXTDZ($A$1,$B9,DG$1)</f>
        <v>22.69</v>
      </c>
      <c r="DH9" s="116" cm="1">
        <f t="array" ref="DH9">_xll.EQNXTDZ($A$1,$B9,DH$1)</f>
        <v>19.170000000000002</v>
      </c>
      <c r="DI9" s="116" cm="1">
        <f t="array" ref="DI9">_xll.EQNXTDZ($A$1,$B9,DI$1)</f>
        <v>19.7</v>
      </c>
      <c r="DJ9" s="116" cm="1">
        <f t="array" ref="DJ9">_xll.EQNXTDZ($A$1,$B9,DJ$1)</f>
        <v>19.420000000000002</v>
      </c>
      <c r="DK9" s="116" cm="1">
        <f t="array" ref="DK9">_xll.EQNXTDZ($A$1,$B9,DK$1)</f>
        <v>20.100000000000001</v>
      </c>
      <c r="DL9" s="116" cm="1">
        <f t="array" ref="DL9">_xll.EQNXTDZ($A$1,$B9,DL$1)</f>
        <v>19.87</v>
      </c>
      <c r="DM9" s="116" cm="1">
        <f t="array" ref="DM9">_xll.EQNXTDZ($A$1,$B9,DM$1)</f>
        <v>19.940000000000001</v>
      </c>
      <c r="DN9" s="116" cm="1">
        <f t="array" ref="DN9">_xll.EQNXTDZ($A$1,$B9,DN$1)</f>
        <v>21.25</v>
      </c>
      <c r="DO9" s="116" cm="1">
        <f t="array" ref="DO9">_xll.EQNXTDZ($A$1,$B9,DO$1)</f>
        <v>24.75</v>
      </c>
      <c r="DP9" s="116" cm="1">
        <f t="array" ref="DP9">_xll.EQNXTDZ($A$1,$B9,DP$1)</f>
        <v>37.020000000000003</v>
      </c>
      <c r="DQ9" s="116" cm="1">
        <f t="array" ref="DQ9">_xll.EQNXTDZ($A$1,$B9,DQ$1)</f>
        <v>56.07</v>
      </c>
      <c r="DR9" s="116" cm="1">
        <f t="array" ref="DR9">_xll.EQNXTDZ($A$1,$B9,DR$1)</f>
        <v>64.650000000000006</v>
      </c>
      <c r="DS9" s="116" cm="1">
        <f t="array" ref="DS9">_xll.EQNXTDZ($A$1,$B9,DS$1)</f>
        <v>52.57</v>
      </c>
      <c r="DT9" s="116" cm="1">
        <f t="array" ref="DT9">_xll.EQNXTDZ($A$1,$B9,DT$1)</f>
        <v>62.79</v>
      </c>
      <c r="DU9" s="116" cm="1">
        <f t="array" ref="DU9">_xll.EQNXTDZ($A$1,$B9,DU$1)</f>
        <v>82.79</v>
      </c>
      <c r="DV9" s="116" cm="1">
        <f t="array" ref="DV9">_xll.EQNXTDZ($A$1,$B9,DV$1)</f>
        <v>74.7</v>
      </c>
      <c r="DW9" s="116" cm="1">
        <f t="array" ref="DW9">_xll.EQNXTDZ($A$1,$B9,DW$1)</f>
        <v>66.98</v>
      </c>
      <c r="DX9" s="116" cm="1">
        <f t="array" ref="DX9">_xll.EQNXTDZ($A$1,$B9,DX$1)</f>
        <v>66.55</v>
      </c>
      <c r="DY9" s="116" cm="1">
        <f t="array" ref="DY9">_xll.EQNXTDZ($A$1,$B9,DY$1)</f>
        <v>59.91</v>
      </c>
      <c r="DZ9" s="116" cm="1">
        <f t="array" ref="DZ9">_xll.EQNXTDZ($A$1,$B9,DZ$1)</f>
        <v>44.76</v>
      </c>
      <c r="EA9" s="116" cm="1">
        <f t="array" ref="EA9">_xll.EQNXTDZ($A$1,$B9,EA$1)</f>
        <v>29.26</v>
      </c>
      <c r="EB9" s="116" cm="1">
        <f t="array" ref="EB9">_xll.EQNXTDZ($A$1,$B9,EB$1)</f>
        <v>38.32</v>
      </c>
      <c r="EC9" s="116" cm="1">
        <f t="array" ref="EC9">_xll.EQNXTDZ($A$1,$B9,EC$1)</f>
        <v>44.97</v>
      </c>
      <c r="ED9" s="116" cm="1">
        <f t="array" ref="ED9">_xll.EQNXTDZ($A$1,$B9,ED$1)</f>
        <v>49.93</v>
      </c>
      <c r="EE9" s="116" cm="1">
        <f t="array" ref="EE9">_xll.EQNXTDZ($A$1,$B9,EE$1)</f>
        <v>49.97</v>
      </c>
      <c r="EF9" s="116" cm="1">
        <f t="array" ref="EF9">_xll.EQNXTDZ($A$1,$B9,EF$1)</f>
        <v>54.66</v>
      </c>
      <c r="EG9" s="116" cm="1">
        <f t="array" ref="EG9">_xll.EQNXTDZ($A$1,$B9,EG$1)</f>
        <v>64.260000000000005</v>
      </c>
      <c r="EH9" s="116" cm="1">
        <f t="array" ref="EH9">_xll.EQNXTDZ($A$1,$B9,EH$1)</f>
        <v>75.489999999999995</v>
      </c>
      <c r="EI9" s="116" cm="1">
        <f t="array" ref="EI9">_xll.EQNXTDZ($A$1,$B9,EI$1)</f>
        <v>72.61</v>
      </c>
      <c r="EJ9" s="116" cm="1">
        <f t="array" ref="EJ9">_xll.EQNXTDZ($A$1,$B9,EJ$1)</f>
        <v>86.3</v>
      </c>
      <c r="EK9" s="116" cm="1">
        <f t="array" ref="EK9">_xll.EQNXTDZ($A$1,$B9,EK$1)</f>
        <v>105.03</v>
      </c>
      <c r="EL9" s="116" cm="1">
        <f t="array" ref="EL9">_xll.EQNXTDZ($A$1,$B9,EL$1)</f>
        <v>112.54</v>
      </c>
      <c r="EM9" s="116" cm="1">
        <f t="array" ref="EM9">_xll.EQNXTDZ($A$1,$B9,EM$1)</f>
        <v>109.99</v>
      </c>
      <c r="EN9" s="116" cm="1">
        <f t="array" ref="EN9">_xll.EQNXTDZ($A$1,$B9,EN$1)</f>
        <v>106.76</v>
      </c>
      <c r="EO9" s="116" cm="1">
        <f t="array" ref="EO9">_xll.EQNXTDZ($A$1,$B9,EO$1)</f>
        <v>122.49</v>
      </c>
      <c r="EP9" s="116" cm="1">
        <f t="array" ref="EP9">_xll.EQNXTDZ($A$1,$B9,EP$1)</f>
        <v>151.16</v>
      </c>
      <c r="EQ9" s="116" cm="1">
        <f t="array" ref="EQ9">_xll.EQNXTDZ($A$1,$B9,EQ$1)</f>
        <v>143.72</v>
      </c>
      <c r="ER9" s="116" cm="1">
        <f t="array" ref="ER9">_xll.EQNXTDZ($A$1,$B9,ER$1)</f>
        <v>146.88999999999999</v>
      </c>
      <c r="ES9" s="116" cm="1">
        <f t="array" ref="ES9">_xll.EQNXTDZ($A$1,$B9,ES$1)</f>
        <v>126.41</v>
      </c>
      <c r="ET9" s="116" cm="1">
        <f t="array" ref="ET9">_xll.EQNXTDZ($A$1,$B9,ET$1)</f>
        <v>131.22999999999999</v>
      </c>
      <c r="EU9" s="116" cm="1">
        <f t="array" ref="EU9">_xll.EQNXTDZ($A$1,$B9,EU$1)</f>
        <v>118.54</v>
      </c>
      <c r="EV9" s="116" cm="1">
        <f t="array" ref="EV9">_xll.EQNXTDZ($A$1,$B9,EV$1)</f>
        <v>110.96</v>
      </c>
      <c r="EW9" s="116" cm="1">
        <f t="array" ref="EW9">_xll.EQNXTDZ($A$1,$B9,EW$1)</f>
        <v>105.89</v>
      </c>
      <c r="EX9" s="116" cm="1">
        <f t="array" ref="EX9">_xll.EQNXTDZ($A$1,$B9,EX$1)</f>
        <v>102.64</v>
      </c>
      <c r="EY9" s="116" cm="1">
        <f t="array" ref="EY9">_xll.EQNXTDZ($A$1,$B9,EY$1)</f>
        <v>95.79</v>
      </c>
      <c r="EZ9" s="116" cm="1">
        <f t="array" ref="EZ9">_xll.EQNXTDZ($A$1,$B9,EZ$1)</f>
        <v>101.86</v>
      </c>
      <c r="FA9" s="116" cm="1">
        <f t="array" ref="FA9">_xll.EQNXTDZ($A$1,$B9,FA$1)</f>
        <v>106.41</v>
      </c>
      <c r="FB9" s="116" cm="1">
        <f t="array" ref="FB9">_xll.EQNXTDZ($A$1,$B9,FB$1)</f>
        <v>108.76</v>
      </c>
      <c r="FC9" s="116" cm="1">
        <f t="array" ref="FC9">_xll.EQNXTDZ($A$1,$B9,FC$1)</f>
        <v>117.15</v>
      </c>
      <c r="FD9" s="116" cm="1">
        <f t="array" ref="FD9">_xll.EQNXTDZ($A$1,$B9,FD$1)</f>
        <v>117.62</v>
      </c>
      <c r="FE9" s="116" cm="1">
        <f t="array" ref="FE9">_xll.EQNXTDZ($A$1,$B9,FE$1)</f>
        <v>120.13</v>
      </c>
      <c r="FF9" s="116" cm="1">
        <f t="array" ref="FF9">_xll.EQNXTDZ($A$1,$B9,FF$1)</f>
        <v>144.65</v>
      </c>
      <c r="FG9" s="116" cm="1">
        <f t="array" ref="FG9">_xll.EQNXTDZ($A$1,$B9,FG$1)</f>
        <v>157.85</v>
      </c>
      <c r="FH9" s="116" cm="1">
        <f t="array" ref="FH9">_xll.EQNXTDZ($A$1,$B9,FH$1)</f>
        <v>147.49</v>
      </c>
      <c r="FI9" s="116" cm="1">
        <f t="array" ref="FI9">_xll.EQNXTDZ($A$1,$B9,FI$1)</f>
        <v>142.99</v>
      </c>
      <c r="FJ9" s="116" cm="1">
        <f t="array" ref="FJ9">_xll.EQNXTDZ($A$1,$B9,FJ$1)</f>
        <v>135.38</v>
      </c>
      <c r="FK9" s="116" cm="1">
        <f t="array" ref="FK9">_xll.EQNXTDZ($A$1,$B9,FK$1)</f>
        <v>140.11000000000001</v>
      </c>
      <c r="FL9" s="116" cm="1">
        <f t="array" ref="FL9">_xll.EQNXTDZ($A$1,$B9,FL$1)</f>
        <v>150.43</v>
      </c>
      <c r="FM9" s="116" cm="1">
        <f t="array" ref="FM9">_xll.EQNXTDZ($A$1,$B9,FM$1)</f>
        <v>221.85</v>
      </c>
      <c r="FN9" s="116" cm="1">
        <f t="array" ref="FN9">_xll.EQNXTDZ($A$1,$B9,FN$1)</f>
        <v>243.37</v>
      </c>
      <c r="FO9" s="116" cm="1">
        <f t="array" ref="FO9">_xll.EQNXTDZ($A$1,$B9,FO$1)</f>
        <v>222.6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10.59</v>
      </c>
      <c r="HQ9" s="116">
        <f>+I9</f>
        <v>12.34</v>
      </c>
      <c r="HR9" s="116">
        <f>+L9</f>
        <v>8.1300000000000008</v>
      </c>
      <c r="HS9" s="116">
        <f>+O9</f>
        <v>8.2899999999999991</v>
      </c>
      <c r="HT9" s="116">
        <f>+R9</f>
        <v>6.45</v>
      </c>
      <c r="HU9" s="116">
        <f>+U9</f>
        <v>7.79</v>
      </c>
      <c r="HV9" s="116">
        <f>+X9</f>
        <v>9.7200000000000006</v>
      </c>
      <c r="HW9" s="116">
        <f>+AA9</f>
        <v>12.51</v>
      </c>
      <c r="HX9" s="116">
        <f>+AD9</f>
        <v>8.68</v>
      </c>
      <c r="HY9" s="116">
        <f>+AG9</f>
        <v>8.86</v>
      </c>
      <c r="HZ9" s="116">
        <f>+AJ9</f>
        <v>9.4600000000000009</v>
      </c>
      <c r="IA9" s="116">
        <f>+AM9</f>
        <v>5.84</v>
      </c>
      <c r="IB9" s="116">
        <f>+AP9</f>
        <v>4.9400000000000004</v>
      </c>
      <c r="IC9" s="116">
        <f>+AS9</f>
        <v>6.45</v>
      </c>
      <c r="ID9" s="116">
        <f>+AV9</f>
        <v>6.89</v>
      </c>
      <c r="IE9" s="116">
        <f>+AY9</f>
        <v>6.1</v>
      </c>
      <c r="IF9" s="116">
        <f>+BB9</f>
        <v>4.9800000000000004</v>
      </c>
      <c r="IG9" s="116">
        <f>+BE9</f>
        <v>6.01</v>
      </c>
      <c r="IH9" s="116">
        <f>+BH9</f>
        <v>7.98</v>
      </c>
      <c r="II9" s="116">
        <f>+BK9</f>
        <v>5.96</v>
      </c>
      <c r="IJ9" s="116">
        <f>+BN9</f>
        <v>5.91</v>
      </c>
      <c r="IK9" s="116">
        <f>+BQ9</f>
        <v>8.34</v>
      </c>
      <c r="IL9" s="116">
        <f>+BT9</f>
        <v>4.74</v>
      </c>
      <c r="IM9" s="116">
        <f>+BW9</f>
        <v>3.23</v>
      </c>
      <c r="IN9" s="116">
        <f>+BZ9</f>
        <v>4.76</v>
      </c>
      <c r="IO9" s="116">
        <f>+CC9</f>
        <v>10.19</v>
      </c>
      <c r="IP9" s="116">
        <f>+CF9</f>
        <v>9.64</v>
      </c>
      <c r="IQ9" s="116">
        <f>+CI9</f>
        <v>10.27</v>
      </c>
      <c r="IR9" s="116">
        <f>+CL9</f>
        <v>12.86</v>
      </c>
      <c r="IS9" s="116">
        <f>+CO9</f>
        <v>12.36</v>
      </c>
      <c r="IT9" s="116">
        <f>+CR9</f>
        <v>5.55</v>
      </c>
      <c r="IU9" s="116">
        <f>+CU9</f>
        <v>7.2</v>
      </c>
      <c r="IV9" s="116">
        <f>+CX9</f>
        <v>7.38</v>
      </c>
      <c r="IW9" s="116">
        <f>+DA9</f>
        <v>9.9600000000000009</v>
      </c>
      <c r="IX9" s="116">
        <f>+DD9</f>
        <v>17.010000000000002</v>
      </c>
      <c r="IY9" s="116">
        <f>+DG9</f>
        <v>22.69</v>
      </c>
      <c r="IZ9" s="116">
        <f>+DJ9</f>
        <v>19.420000000000002</v>
      </c>
      <c r="JA9" s="116">
        <f>+DM9</f>
        <v>19.940000000000001</v>
      </c>
      <c r="JB9" s="116">
        <f>+DP9</f>
        <v>37.020000000000003</v>
      </c>
      <c r="JC9" s="116">
        <f>+DS9</f>
        <v>52.57</v>
      </c>
      <c r="JD9" s="116">
        <f>+DV9</f>
        <v>74.7</v>
      </c>
      <c r="JE9" s="116">
        <f>+DY9</f>
        <v>59.91</v>
      </c>
      <c r="JF9" s="116">
        <f>+EB9</f>
        <v>38.32</v>
      </c>
      <c r="JG9" s="116">
        <f>+EE9</f>
        <v>49.97</v>
      </c>
      <c r="JH9" s="116">
        <f>+EH9</f>
        <v>75.489999999999995</v>
      </c>
      <c r="JI9" s="116">
        <f>+EK9</f>
        <v>105.03</v>
      </c>
      <c r="JJ9" s="116">
        <f>+EN9</f>
        <v>106.76</v>
      </c>
      <c r="JK9" s="116">
        <f>EQ9</f>
        <v>143.72</v>
      </c>
      <c r="JL9" s="116">
        <f>ET9</f>
        <v>131.22999999999999</v>
      </c>
      <c r="JM9" s="116">
        <f>EW9</f>
        <v>105.89</v>
      </c>
      <c r="JN9" s="116">
        <f>EZ9</f>
        <v>101.86</v>
      </c>
      <c r="JO9" s="116">
        <f>FC9</f>
        <v>117.15</v>
      </c>
      <c r="JP9" s="116">
        <f>FF9</f>
        <v>144.65</v>
      </c>
      <c r="JQ9" s="116">
        <f>FI9</f>
        <v>142.99</v>
      </c>
      <c r="JR9" s="116">
        <f>FL9</f>
        <v>150.43</v>
      </c>
      <c r="JS9" s="116">
        <f>FO9</f>
        <v>222.6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9.4</v>
      </c>
      <c r="D13" cm="1">
        <f t="array" ref="D13">_xll.EQNXTDZ($A$1,$B13,D$1)</f>
        <v>10.039999999999999</v>
      </c>
      <c r="E13" cm="1">
        <f t="array" ref="E13">_xll.EQNXTDZ($A$1,$B13,E$1)</f>
        <v>8.81</v>
      </c>
      <c r="F13" cm="1">
        <f t="array" ref="F13">_xll.EQNXTDZ($A$1,$B13,F$1)</f>
        <v>7.92</v>
      </c>
      <c r="G13" cm="1">
        <f t="array" ref="G13">_xll.EQNXTDZ($A$1,$B13,G$1)</f>
        <v>10.59</v>
      </c>
      <c r="H13" cm="1">
        <f t="array" ref="H13">_xll.EQNXTDZ($A$1,$B13,H$1)</f>
        <v>9.6</v>
      </c>
      <c r="I13" cm="1">
        <f t="array" ref="I13">_xll.EQNXTDZ($A$1,$B13,I$1)</f>
        <v>10.68</v>
      </c>
      <c r="J13" cm="1">
        <f t="array" ref="J13">_xll.EQNXTDZ($A$1,$B13,J$1)</f>
        <v>12.38</v>
      </c>
      <c r="K13" cm="1">
        <f t="array" ref="K13">_xll.EQNXTDZ($A$1,$B13,K$1)</f>
        <v>12.15</v>
      </c>
      <c r="L13" cm="1">
        <f t="array" ref="L13">_xll.EQNXTDZ($A$1,$B13,L$1)</f>
        <v>9</v>
      </c>
      <c r="M13" cm="1">
        <f t="array" ref="M13">_xll.EQNXTDZ($A$1,$B13,M$1)</f>
        <v>8.1999999999999993</v>
      </c>
      <c r="N13" cm="1">
        <f t="array" ref="N13">_xll.EQNXTDZ($A$1,$B13,N$1)</f>
        <v>9.6999999999999993</v>
      </c>
      <c r="O13" cm="1">
        <f t="array" ref="O13">_xll.EQNXTDZ($A$1,$B13,O$1)</f>
        <v>11.45</v>
      </c>
      <c r="P13" cm="1">
        <f t="array" ref="P13">_xll.EQNXTDZ($A$1,$B13,P$1)</f>
        <v>8.24</v>
      </c>
      <c r="Q13" cm="1">
        <f t="array" ref="Q13">_xll.EQNXTDZ($A$1,$B13,Q$1)</f>
        <v>6.96</v>
      </c>
      <c r="R13" cm="1">
        <f t="array" ref="R13">_xll.EQNXTDZ($A$1,$B13,R$1)</f>
        <v>6.74</v>
      </c>
      <c r="S13" cm="1">
        <f t="array" ref="S13">_xll.EQNXTDZ($A$1,$B13,S$1)</f>
        <v>6.5</v>
      </c>
      <c r="T13" cm="1">
        <f t="array" ref="T13">_xll.EQNXTDZ($A$1,$B13,T$1)</f>
        <v>6.54</v>
      </c>
      <c r="U13" cm="1">
        <f t="array" ref="U13">_xll.EQNXTDZ($A$1,$B13,U$1)</f>
        <v>7.18</v>
      </c>
      <c r="V13" cm="1">
        <f t="array" ref="V13">_xll.EQNXTDZ($A$1,$B13,V$1)</f>
        <v>7.9</v>
      </c>
      <c r="W13" cm="1">
        <f t="array" ref="W13">_xll.EQNXTDZ($A$1,$B13,W$1)</f>
        <v>6.56</v>
      </c>
      <c r="X13" cm="1">
        <f t="array" ref="X13">_xll.EQNXTDZ($A$1,$B13,X$1)</f>
        <v>7.16</v>
      </c>
      <c r="Y13" cm="1">
        <f t="array" ref="Y13">_xll.EQNXTDZ($A$1,$B13,Y$1)</f>
        <v>9.8000000000000007</v>
      </c>
      <c r="Z13" cm="1">
        <f t="array" ref="Z13">_xll.EQNXTDZ($A$1,$B13,Z$1)</f>
        <v>9.6999999999999993</v>
      </c>
      <c r="AA13" cm="1">
        <f t="array" ref="AA13">_xll.EQNXTDZ($A$1,$B13,AA$1)</f>
        <v>12.19</v>
      </c>
      <c r="AB13" cm="1">
        <f t="array" ref="AB13">_xll.EQNXTDZ($A$1,$B13,AB$1)</f>
        <v>12.64</v>
      </c>
      <c r="AC13" cm="1">
        <f t="array" ref="AC13">_xll.EQNXTDZ($A$1,$B13,AC$1)</f>
        <v>11.25</v>
      </c>
      <c r="AD13" cm="1">
        <f t="array" ref="AD13">_xll.EQNXTDZ($A$1,$B13,AD$1)</f>
        <v>9.4700000000000006</v>
      </c>
      <c r="AE13" cm="1">
        <f t="array" ref="AE13">_xll.EQNXTDZ($A$1,$B13,AE$1)</f>
        <v>8.68</v>
      </c>
      <c r="AF13" cm="1">
        <f t="array" ref="AF13">_xll.EQNXTDZ($A$1,$B13,AF$1)</f>
        <v>9.67</v>
      </c>
      <c r="AG13" cm="1">
        <f t="array" ref="AG13">_xll.EQNXTDZ($A$1,$B13,AG$1)</f>
        <v>9.1999999999999993</v>
      </c>
      <c r="AH13" cm="1">
        <f t="array" ref="AH13">_xll.EQNXTDZ($A$1,$B13,AH$1)</f>
        <v>8.9</v>
      </c>
      <c r="AI13" cm="1">
        <f t="array" ref="AI13">_xll.EQNXTDZ($A$1,$B13,AI$1)</f>
        <v>10.5</v>
      </c>
      <c r="AJ13" cm="1">
        <f t="array" ref="AJ13">_xll.EQNXTDZ($A$1,$B13,AJ$1)</f>
        <v>11.23</v>
      </c>
      <c r="AK13" cm="1">
        <f t="array" ref="AK13">_xll.EQNXTDZ($A$1,$B13,AK$1)</f>
        <v>9.4</v>
      </c>
      <c r="AL13" cm="1">
        <f t="array" ref="AL13">_xll.EQNXTDZ($A$1,$B13,AL$1)</f>
        <v>8.6</v>
      </c>
      <c r="AM13" cm="1">
        <f t="array" ref="AM13">_xll.EQNXTDZ($A$1,$B13,AM$1)</f>
        <v>7.85</v>
      </c>
      <c r="AN13" cm="1">
        <f t="array" ref="AN13">_xll.EQNXTDZ($A$1,$B13,AN$1)</f>
        <v>5.84</v>
      </c>
      <c r="AO13" cm="1">
        <f t="array" ref="AO13">_xll.EQNXTDZ($A$1,$B13,AO$1)</f>
        <v>5.52</v>
      </c>
      <c r="AP13" cm="1">
        <f t="array" ref="AP13">_xll.EQNXTDZ($A$1,$B13,AP$1)</f>
        <v>4.5</v>
      </c>
      <c r="AQ13" cm="1">
        <f t="array" ref="AQ13">_xll.EQNXTDZ($A$1,$B13,AQ$1)</f>
        <v>4.91</v>
      </c>
      <c r="AR13" cm="1">
        <f t="array" ref="AR13">_xll.EQNXTDZ($A$1,$B13,AR$1)</f>
        <v>6.37</v>
      </c>
      <c r="AS13" cm="1">
        <f t="array" ref="AS13">_xll.EQNXTDZ($A$1,$B13,AS$1)</f>
        <v>6.18</v>
      </c>
      <c r="AT13" cm="1">
        <f t="array" ref="AT13">_xll.EQNXTDZ($A$1,$B13,AT$1)</f>
        <v>6.45</v>
      </c>
      <c r="AU13" cm="1">
        <f t="array" ref="AU13">_xll.EQNXTDZ($A$1,$B13,AU$1)</f>
        <v>5.8</v>
      </c>
      <c r="AV13" cm="1">
        <f t="array" ref="AV13">_xll.EQNXTDZ($A$1,$B13,AV$1)</f>
        <v>5.55</v>
      </c>
      <c r="AW13" cm="1">
        <f t="array" ref="AW13">_xll.EQNXTDZ($A$1,$B13,AW$1)</f>
        <v>6.87</v>
      </c>
      <c r="AX13" cm="1">
        <f t="array" ref="AX13">_xll.EQNXTDZ($A$1,$B13,AX$1)</f>
        <v>6.33</v>
      </c>
      <c r="AY13" cm="1">
        <f t="array" ref="AY13">_xll.EQNXTDZ($A$1,$B13,AY$1)</f>
        <v>6.01</v>
      </c>
      <c r="AZ13" cm="1">
        <f t="array" ref="AZ13">_xll.EQNXTDZ($A$1,$B13,AZ$1)</f>
        <v>6.16</v>
      </c>
      <c r="BA13" cm="1">
        <f t="array" ref="BA13">_xll.EQNXTDZ($A$1,$B13,BA$1)</f>
        <v>5.59</v>
      </c>
      <c r="BB13" cm="1">
        <f t="array" ref="BB13">_xll.EQNXTDZ($A$1,$B13,BB$1)</f>
        <v>5.54</v>
      </c>
      <c r="BC13" cm="1">
        <f t="array" ref="BC13">_xll.EQNXTDZ($A$1,$B13,BC$1)</f>
        <v>5.07</v>
      </c>
      <c r="BD13" cm="1">
        <f t="array" ref="BD13">_xll.EQNXTDZ($A$1,$B13,BD$1)</f>
        <v>5.48</v>
      </c>
      <c r="BE13" cm="1">
        <f t="array" ref="BE13">_xll.EQNXTDZ($A$1,$B13,BE$1)</f>
        <v>5.73</v>
      </c>
      <c r="BF13" cm="1">
        <f t="array" ref="BF13">_xll.EQNXTDZ($A$1,$B13,BF$1)</f>
        <v>6.07</v>
      </c>
      <c r="BG13" cm="1">
        <f t="array" ref="BG13">_xll.EQNXTDZ($A$1,$B13,BG$1)</f>
        <v>7.3</v>
      </c>
      <c r="BH13" cm="1">
        <f t="array" ref="BH13">_xll.EQNXTDZ($A$1,$B13,BH$1)</f>
        <v>7.76</v>
      </c>
      <c r="BI13" cm="1">
        <f t="array" ref="BI13">_xll.EQNXTDZ($A$1,$B13,BI$1)</f>
        <v>8.1</v>
      </c>
      <c r="BJ13" cm="1">
        <f t="array" ref="BJ13">_xll.EQNXTDZ($A$1,$B13,BJ$1)</f>
        <v>6.61</v>
      </c>
      <c r="BK13" cm="1">
        <f t="array" ref="BK13">_xll.EQNXTDZ($A$1,$B13,BK$1)</f>
        <v>5.57</v>
      </c>
      <c r="BL13" cm="1">
        <f t="array" ref="BL13">_xll.EQNXTDZ($A$1,$B13,BL$1)</f>
        <v>5.99</v>
      </c>
      <c r="BM13" cm="1">
        <f t="array" ref="BM13">_xll.EQNXTDZ($A$1,$B13,BM$1)</f>
        <v>6.7</v>
      </c>
      <c r="BN13" cm="1">
        <f t="array" ref="BN13">_xll.EQNXTDZ($A$1,$B13,BN$1)</f>
        <v>6.64</v>
      </c>
      <c r="BO13" cm="1">
        <f t="array" ref="BO13">_xll.EQNXTDZ($A$1,$B13,BO$1)</f>
        <v>5.91</v>
      </c>
      <c r="BP13" cm="1">
        <f t="array" ref="BP13">_xll.EQNXTDZ($A$1,$B13,BP$1)</f>
        <v>6.56</v>
      </c>
      <c r="BQ13" cm="1">
        <f t="array" ref="BQ13">_xll.EQNXTDZ($A$1,$B13,BQ$1)</f>
        <v>7.14</v>
      </c>
      <c r="BR13" cm="1">
        <f t="array" ref="BR13">_xll.EQNXTDZ($A$1,$B13,BR$1)</f>
        <v>8.4</v>
      </c>
      <c r="BS13" cm="1">
        <f t="array" ref="BS13">_xll.EQNXTDZ($A$1,$B13,BS$1)</f>
        <v>7.3</v>
      </c>
      <c r="BT13" cm="1">
        <f t="array" ref="BT13">_xll.EQNXTDZ($A$1,$B13,BT$1)</f>
        <v>6.32</v>
      </c>
      <c r="BU13" cm="1">
        <f t="array" ref="BU13">_xll.EQNXTDZ($A$1,$B13,BU$1)</f>
        <v>4.8099999999999996</v>
      </c>
      <c r="BV13" cm="1">
        <f t="array" ref="BV13">_xll.EQNXTDZ($A$1,$B13,BV$1)</f>
        <v>5.12</v>
      </c>
      <c r="BW13" cm="1">
        <f t="array" ref="BW13">_xll.EQNXTDZ($A$1,$B13,BW$1)</f>
        <v>4.05</v>
      </c>
      <c r="BX13" cm="1">
        <f t="array" ref="BX13">_xll.EQNXTDZ($A$1,$B13,BX$1)</f>
        <v>3.23</v>
      </c>
      <c r="BY13" cm="1">
        <f t="array" ref="BY13">_xll.EQNXTDZ($A$1,$B13,BY$1)</f>
        <v>6.35</v>
      </c>
      <c r="BZ13" cm="1">
        <f t="array" ref="BZ13">_xll.EQNXTDZ($A$1,$B13,BZ$1)</f>
        <v>7.1</v>
      </c>
      <c r="CA13" cm="1">
        <f t="array" ref="CA13">_xll.EQNXTDZ($A$1,$B13,CA$1)</f>
        <v>4.84</v>
      </c>
      <c r="CB13" cm="1">
        <f t="array" ref="CB13">_xll.EQNXTDZ($A$1,$B13,CB$1)</f>
        <v>9.1999999999999993</v>
      </c>
      <c r="CC13" cm="1">
        <f t="array" ref="CC13">_xll.EQNXTDZ($A$1,$B13,CC$1)</f>
        <v>11.22</v>
      </c>
      <c r="CD13" cm="1">
        <f t="array" ref="CD13">_xll.EQNXTDZ($A$1,$B13,CD$1)</f>
        <v>10.16</v>
      </c>
      <c r="CE13" cm="1">
        <f t="array" ref="CE13">_xll.EQNXTDZ($A$1,$B13,CE$1)</f>
        <v>9.23</v>
      </c>
      <c r="CF13" cm="1">
        <f t="array" ref="CF13">_xll.EQNXTDZ($A$1,$B13,CF$1)</f>
        <v>9.6199999999999992</v>
      </c>
      <c r="CG13" cm="1">
        <f t="array" ref="CG13">_xll.EQNXTDZ($A$1,$B13,CG$1)</f>
        <v>9.65</v>
      </c>
      <c r="CH13" cm="1">
        <f t="array" ref="CH13">_xll.EQNXTDZ($A$1,$B13,CH$1)</f>
        <v>8.99</v>
      </c>
      <c r="CI13" cm="1">
        <f t="array" ref="CI13">_xll.EQNXTDZ($A$1,$B13,CI$1)</f>
        <v>10.130000000000001</v>
      </c>
      <c r="CJ13" cm="1">
        <f t="array" ref="CJ13">_xll.EQNXTDZ($A$1,$B13,CJ$1)</f>
        <v>10.51</v>
      </c>
      <c r="CK13" cm="1">
        <f t="array" ref="CK13">_xll.EQNXTDZ($A$1,$B13,CK$1)</f>
        <v>12.22</v>
      </c>
      <c r="CL13" cm="1">
        <f t="array" ref="CL13">_xll.EQNXTDZ($A$1,$B13,CL$1)</f>
        <v>11.63</v>
      </c>
      <c r="CM13" cm="1">
        <f t="array" ref="CM13">_xll.EQNXTDZ($A$1,$B13,CM$1)</f>
        <v>12.98</v>
      </c>
      <c r="CN13" cm="1">
        <f t="array" ref="CN13">_xll.EQNXTDZ($A$1,$B13,CN$1)</f>
        <v>13.26</v>
      </c>
      <c r="CO13" cm="1">
        <f t="array" ref="CO13">_xll.EQNXTDZ($A$1,$B13,CO$1)</f>
        <v>12.79</v>
      </c>
      <c r="CP13" cm="1">
        <f t="array" ref="CP13">_xll.EQNXTDZ($A$1,$B13,CP$1)</f>
        <v>12.32</v>
      </c>
      <c r="CQ13" cm="1">
        <f t="array" ref="CQ13">_xll.EQNXTDZ($A$1,$B13,CQ$1)</f>
        <v>12.09</v>
      </c>
      <c r="CR13" cm="1">
        <f t="array" ref="CR13">_xll.EQNXTDZ($A$1,$B13,CR$1)</f>
        <v>9.8000000000000007</v>
      </c>
      <c r="CS13" cm="1">
        <f t="array" ref="CS13">_xll.EQNXTDZ($A$1,$B13,CS$1)</f>
        <v>5.5</v>
      </c>
      <c r="CT13" cm="1">
        <f t="array" ref="CT13">_xll.EQNXTDZ($A$1,$B13,CT$1)</f>
        <v>6.3</v>
      </c>
      <c r="CU13" cm="1">
        <f t="array" ref="CU13">_xll.EQNXTDZ($A$1,$B13,CU$1)</f>
        <v>8</v>
      </c>
      <c r="CV13" cm="1">
        <f t="array" ref="CV13">_xll.EQNXTDZ($A$1,$B13,CV$1)</f>
        <v>7.2</v>
      </c>
      <c r="CW13" cm="1">
        <f t="array" ref="CW13">_xll.EQNXTDZ($A$1,$B13,CW$1)</f>
        <v>7.04</v>
      </c>
      <c r="CX13" cm="1">
        <f t="array" ref="CX13">_xll.EQNXTDZ($A$1,$B13,CX$1)</f>
        <v>7.74</v>
      </c>
      <c r="CY13" cm="1">
        <f t="array" ref="CY13">_xll.EQNXTDZ($A$1,$B13,CY$1)</f>
        <v>7.39</v>
      </c>
      <c r="CZ13" cm="1">
        <f t="array" ref="CZ13">_xll.EQNXTDZ($A$1,$B13,CZ$1)</f>
        <v>7.2</v>
      </c>
      <c r="DA13" cm="1">
        <f t="array" ref="DA13">_xll.EQNXTDZ($A$1,$B13,DA$1)</f>
        <v>7.72</v>
      </c>
      <c r="DB13" cm="1">
        <f t="array" ref="DB13">_xll.EQNXTDZ($A$1,$B13,DB$1)</f>
        <v>10.02</v>
      </c>
      <c r="DC13" cm="1">
        <f t="array" ref="DC13">_xll.EQNXTDZ($A$1,$B13,DC$1)</f>
        <v>10.38</v>
      </c>
      <c r="DD13" cm="1">
        <f t="array" ref="DD13">_xll.EQNXTDZ($A$1,$B13,DD$1)</f>
        <v>11.2</v>
      </c>
      <c r="DE13" cm="1">
        <f t="array" ref="DE13">_xll.EQNXTDZ($A$1,$B13,DE$1)</f>
        <v>16.61</v>
      </c>
      <c r="DF13" cm="1">
        <f t="array" ref="DF13">_xll.EQNXTDZ($A$1,$B13,DF$1)</f>
        <v>18.96</v>
      </c>
      <c r="DG13" cm="1">
        <f t="array" ref="DG13">_xll.EQNXTDZ($A$1,$B13,DG$1)</f>
        <v>18.86</v>
      </c>
      <c r="DH13" cm="1">
        <f t="array" ref="DH13">_xll.EQNXTDZ($A$1,$B13,DH$1)</f>
        <v>22.89</v>
      </c>
      <c r="DI13" cm="1">
        <f t="array" ref="DI13">_xll.EQNXTDZ($A$1,$B13,DI$1)</f>
        <v>19.399999999999999</v>
      </c>
      <c r="DJ13" cm="1">
        <f t="array" ref="DJ13">_xll.EQNXTDZ($A$1,$B13,DJ$1)</f>
        <v>20.399999999999999</v>
      </c>
      <c r="DK13" cm="1">
        <f t="array" ref="DK13">_xll.EQNXTDZ($A$1,$B13,DK$1)</f>
        <v>19.36</v>
      </c>
      <c r="DL13" cm="1">
        <f t="array" ref="DL13">_xll.EQNXTDZ($A$1,$B13,DL$1)</f>
        <v>19.8</v>
      </c>
      <c r="DM13" cm="1">
        <f t="array" ref="DM13">_xll.EQNXTDZ($A$1,$B13,DM$1)</f>
        <v>20.22</v>
      </c>
      <c r="DN13" cm="1">
        <f t="array" ref="DN13">_xll.EQNXTDZ($A$1,$B13,DN$1)</f>
        <v>20.010000000000002</v>
      </c>
      <c r="DO13" cm="1">
        <f t="array" ref="DO13">_xll.EQNXTDZ($A$1,$B13,DO$1)</f>
        <v>21.6</v>
      </c>
      <c r="DP13" cm="1">
        <f t="array" ref="DP13">_xll.EQNXTDZ($A$1,$B13,DP$1)</f>
        <v>24.72</v>
      </c>
      <c r="DQ13" cm="1">
        <f t="array" ref="DQ13">_xll.EQNXTDZ($A$1,$B13,DQ$1)</f>
        <v>37.6</v>
      </c>
      <c r="DR13" cm="1">
        <f t="array" ref="DR13">_xll.EQNXTDZ($A$1,$B13,DR$1)</f>
        <v>55.82</v>
      </c>
      <c r="DS13" cm="1">
        <f t="array" ref="DS13">_xll.EQNXTDZ($A$1,$B13,DS$1)</f>
        <v>62.12</v>
      </c>
      <c r="DT13" cm="1">
        <f t="array" ref="DT13">_xll.EQNXTDZ($A$1,$B13,DT$1)</f>
        <v>52.8</v>
      </c>
      <c r="DU13" cm="1">
        <f t="array" ref="DU13">_xll.EQNXTDZ($A$1,$B13,DU$1)</f>
        <v>62.81</v>
      </c>
      <c r="DV13" cm="1">
        <f t="array" ref="DV13">_xll.EQNXTDZ($A$1,$B13,DV$1)</f>
        <v>83.2</v>
      </c>
      <c r="DW13" cm="1">
        <f t="array" ref="DW13">_xll.EQNXTDZ($A$1,$B13,DW$1)</f>
        <v>74.11</v>
      </c>
      <c r="DX13" cm="1">
        <f t="array" ref="DX13">_xll.EQNXTDZ($A$1,$B13,DX$1)</f>
        <v>66.25</v>
      </c>
      <c r="DY13" cm="1">
        <f t="array" ref="DY13">_xll.EQNXTDZ($A$1,$B13,DY$1)</f>
        <v>67.41</v>
      </c>
      <c r="DZ13" cm="1">
        <f t="array" ref="DZ13">_xll.EQNXTDZ($A$1,$B13,DZ$1)</f>
        <v>60.12</v>
      </c>
      <c r="EA13" cm="1">
        <f t="array" ref="EA13">_xll.EQNXTDZ($A$1,$B13,EA$1)</f>
        <v>43.23</v>
      </c>
      <c r="EB13" cm="1">
        <f t="array" ref="EB13">_xll.EQNXTDZ($A$1,$B13,EB$1)</f>
        <v>30.75</v>
      </c>
      <c r="EC13" cm="1">
        <f t="array" ref="EC13">_xll.EQNXTDZ($A$1,$B13,EC$1)</f>
        <v>39</v>
      </c>
      <c r="ED13" cm="1">
        <f t="array" ref="ED13">_xll.EQNXTDZ($A$1,$B13,ED$1)</f>
        <v>46.28</v>
      </c>
      <c r="EE13" cm="1">
        <f t="array" ref="EE13">_xll.EQNXTDZ($A$1,$B13,EE$1)</f>
        <v>50.41</v>
      </c>
      <c r="EF13" cm="1">
        <f t="array" ref="EF13">_xll.EQNXTDZ($A$1,$B13,EF$1)</f>
        <v>50.2</v>
      </c>
      <c r="EG13" cm="1">
        <f t="array" ref="EG13">_xll.EQNXTDZ($A$1,$B13,EG$1)</f>
        <v>55.07</v>
      </c>
      <c r="EH13" cm="1">
        <f t="array" ref="EH13">_xll.EQNXTDZ($A$1,$B13,EH$1)</f>
        <v>62.53</v>
      </c>
      <c r="EI13" cm="1">
        <f t="array" ref="EI13">_xll.EQNXTDZ($A$1,$B13,EI$1)</f>
        <v>75.209999999999994</v>
      </c>
      <c r="EJ13" cm="1">
        <f t="array" ref="EJ13">_xll.EQNXTDZ($A$1,$B13,EJ$1)</f>
        <v>72.62</v>
      </c>
      <c r="EK13" cm="1">
        <f t="array" ref="EK13">_xll.EQNXTDZ($A$1,$B13,EK$1)</f>
        <v>87.25</v>
      </c>
      <c r="EL13" cm="1">
        <f t="array" ref="EL13">_xll.EQNXTDZ($A$1,$B13,EL$1)</f>
        <v>105.01</v>
      </c>
      <c r="EM13" cm="1">
        <f t="array" ref="EM13">_xll.EQNXTDZ($A$1,$B13,EM$1)</f>
        <v>114</v>
      </c>
      <c r="EN13" cm="1">
        <f t="array" ref="EN13">_xll.EQNXTDZ($A$1,$B13,EN$1)</f>
        <v>111.39</v>
      </c>
      <c r="EO13" cm="1">
        <f t="array" ref="EO13">_xll.EQNXTDZ($A$1,$B13,EO$1)</f>
        <v>109.54</v>
      </c>
      <c r="EP13" cm="1">
        <f t="array" ref="EP13">_xll.EQNXTDZ($A$1,$B13,EP$1)</f>
        <v>123</v>
      </c>
      <c r="EQ13" cm="1">
        <f t="array" ref="EQ13">_xll.EQNXTDZ($A$1,$B13,EQ$1)</f>
        <v>175</v>
      </c>
      <c r="ER13" cm="1">
        <f t="array" ref="ER13">_xll.EQNXTDZ($A$1,$B13,ER$1)</f>
        <v>143.72</v>
      </c>
      <c r="ES13" cm="1">
        <f t="array" ref="ES13">_xll.EQNXTDZ($A$1,$B13,ES$1)</f>
        <v>143.9</v>
      </c>
      <c r="ET13" cm="1">
        <f t="array" ref="ET13">_xll.EQNXTDZ($A$1,$B13,ET$1)</f>
        <v>127.93</v>
      </c>
      <c r="EU13" cm="1">
        <f t="array" ref="EU13">_xll.EQNXTDZ($A$1,$B13,EU$1)</f>
        <v>130.65</v>
      </c>
      <c r="EV13" cm="1">
        <f t="array" ref="EV13">_xll.EQNXTDZ($A$1,$B13,EV$1)</f>
        <v>119.1</v>
      </c>
      <c r="EW13" cm="1">
        <f t="array" ref="EW13">_xll.EQNXTDZ($A$1,$B13,EW$1)</f>
        <v>112.94</v>
      </c>
      <c r="EX13" cm="1">
        <f t="array" ref="EX13">_xll.EQNXTDZ($A$1,$B13,EX$1)</f>
        <v>106.87</v>
      </c>
      <c r="EY13" cm="1">
        <f t="array" ref="EY13">_xll.EQNXTDZ($A$1,$B13,EY$1)</f>
        <v>102.97</v>
      </c>
      <c r="EZ13" cm="1">
        <f t="array" ref="EZ13">_xll.EQNXTDZ($A$1,$B13,EZ$1)</f>
        <v>97.24</v>
      </c>
      <c r="FA13" cm="1">
        <f t="array" ref="FA13">_xll.EQNXTDZ($A$1,$B13,FA$1)</f>
        <v>101.73</v>
      </c>
      <c r="FB13" cm="1">
        <f t="array" ref="FB13">_xll.EQNXTDZ($A$1,$B13,FB$1)</f>
        <v>105.9</v>
      </c>
      <c r="FC13" cm="1">
        <f t="array" ref="FC13">_xll.EQNXTDZ($A$1,$B13,FC$1)</f>
        <v>109.01</v>
      </c>
      <c r="FD13" cm="1">
        <f t="array" ref="FD13">_xll.EQNXTDZ($A$1,$B13,FD$1)</f>
        <v>117.24</v>
      </c>
      <c r="FE13" cm="1">
        <f t="array" ref="FE13">_xll.EQNXTDZ($A$1,$B13,FE$1)</f>
        <v>117.47</v>
      </c>
      <c r="FF13" cm="1">
        <f t="array" ref="FF13">_xll.EQNXTDZ($A$1,$B13,FF$1)</f>
        <v>121.2</v>
      </c>
      <c r="FG13" cm="1">
        <f t="array" ref="FG13">_xll.EQNXTDZ($A$1,$B13,FG$1)</f>
        <v>144.80000000000001</v>
      </c>
      <c r="FH13" cm="1">
        <f t="array" ref="FH13">_xll.EQNXTDZ($A$1,$B13,FH$1)</f>
        <v>158.05000000000001</v>
      </c>
      <c r="FI13" cm="1">
        <f t="array" ref="FI13">_xll.EQNXTDZ($A$1,$B13,FI$1)</f>
        <v>147.9</v>
      </c>
      <c r="FJ13" cm="1">
        <f t="array" ref="FJ13">_xll.EQNXTDZ($A$1,$B13,FJ$1)</f>
        <v>143</v>
      </c>
      <c r="FK13" cm="1">
        <f t="array" ref="FK13">_xll.EQNXTDZ($A$1,$B13,FK$1)</f>
        <v>136.5</v>
      </c>
      <c r="FL13" cm="1">
        <f t="array" ref="FL13">_xll.EQNXTDZ($A$1,$B13,FL$1)</f>
        <v>130.15</v>
      </c>
      <c r="FM13" cm="1">
        <f t="array" ref="FM13">_xll.EQNXTDZ($A$1,$B13,FM$1)</f>
        <v>153.30000000000001</v>
      </c>
      <c r="FN13" cm="1">
        <f t="array" ref="FN13">_xll.EQNXTDZ($A$1,$B13,FN$1)</f>
        <v>222.55</v>
      </c>
      <c r="FO13" cm="1">
        <f t="array" ref="FO13">_xll.EQNXTDZ($A$1,$B13,FO$1)</f>
        <v>244.25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10.14</v>
      </c>
      <c r="D14" s="116" cm="1">
        <f t="array" ref="D14">_xll.EQNXTDZ($A$1,$B14,D$1)</f>
        <v>10.68</v>
      </c>
      <c r="E14" s="116" cm="1">
        <f t="array" ref="E14">_xll.EQNXTDZ($A$1,$B14,E$1)</f>
        <v>8.91</v>
      </c>
      <c r="F14" s="116" cm="1">
        <f t="array" ref="F14">_xll.EQNXTDZ($A$1,$B14,F$1)</f>
        <v>10.8</v>
      </c>
      <c r="G14" s="116" cm="1">
        <f t="array" ref="G14">_xll.EQNXTDZ($A$1,$B14,G$1)</f>
        <v>11.2</v>
      </c>
      <c r="H14" s="116" cm="1">
        <f t="array" ref="H14">_xll.EQNXTDZ($A$1,$B14,H$1)</f>
        <v>10.67</v>
      </c>
      <c r="I14" s="116" cm="1">
        <f t="array" ref="I14">_xll.EQNXTDZ($A$1,$B14,I$1)</f>
        <v>14</v>
      </c>
      <c r="J14" s="116" cm="1">
        <f t="array" ref="J14">_xll.EQNXTDZ($A$1,$B14,J$1)</f>
        <v>13.68</v>
      </c>
      <c r="K14" s="116" cm="1">
        <f t="array" ref="K14">_xll.EQNXTDZ($A$1,$B14,K$1)</f>
        <v>12.25</v>
      </c>
      <c r="L14" s="116" cm="1">
        <f t="array" ref="L14">_xll.EQNXTDZ($A$1,$B14,L$1)</f>
        <v>10.28</v>
      </c>
      <c r="M14" s="116" cm="1">
        <f t="array" ref="M14">_xll.EQNXTDZ($A$1,$B14,M$1)</f>
        <v>10.16</v>
      </c>
      <c r="N14" s="116" cm="1">
        <f t="array" ref="N14">_xll.EQNXTDZ($A$1,$B14,N$1)</f>
        <v>12.48</v>
      </c>
      <c r="O14" s="116" cm="1">
        <f t="array" ref="O14">_xll.EQNXTDZ($A$1,$B14,O$1)</f>
        <v>11.93</v>
      </c>
      <c r="P14" s="116" cm="1">
        <f t="array" ref="P14">_xll.EQNXTDZ($A$1,$B14,P$1)</f>
        <v>9.06</v>
      </c>
      <c r="Q14" s="116" cm="1">
        <f t="array" ref="Q14">_xll.EQNXTDZ($A$1,$B14,Q$1)</f>
        <v>7.7</v>
      </c>
      <c r="R14" s="116" cm="1">
        <f t="array" ref="R14">_xll.EQNXTDZ($A$1,$B14,R$1)</f>
        <v>7.39</v>
      </c>
      <c r="S14" s="116" cm="1">
        <f t="array" ref="S14">_xll.EQNXTDZ($A$1,$B14,S$1)</f>
        <v>7.48</v>
      </c>
      <c r="T14" s="116" cm="1">
        <f t="array" ref="T14">_xll.EQNXTDZ($A$1,$B14,T$1)</f>
        <v>7.44</v>
      </c>
      <c r="U14" s="116" cm="1">
        <f t="array" ref="U14">_xll.EQNXTDZ($A$1,$B14,U$1)</f>
        <v>8.58</v>
      </c>
      <c r="V14" s="116" cm="1">
        <f t="array" ref="V14">_xll.EQNXTDZ($A$1,$B14,V$1)</f>
        <v>7.94</v>
      </c>
      <c r="W14" s="116" cm="1">
        <f t="array" ref="W14">_xll.EQNXTDZ($A$1,$B14,W$1)</f>
        <v>7.67</v>
      </c>
      <c r="X14" s="116" cm="1">
        <f t="array" ref="X14">_xll.EQNXTDZ($A$1,$B14,X$1)</f>
        <v>10.4</v>
      </c>
      <c r="Y14" s="116" cm="1">
        <f t="array" ref="Y14">_xll.EQNXTDZ($A$1,$B14,Y$1)</f>
        <v>11.85</v>
      </c>
      <c r="Z14" s="116" cm="1">
        <f t="array" ref="Z14">_xll.EQNXTDZ($A$1,$B14,Z$1)</f>
        <v>13.7</v>
      </c>
      <c r="AA14" s="116" cm="1">
        <f t="array" ref="AA14">_xll.EQNXTDZ($A$1,$B14,AA$1)</f>
        <v>13.04</v>
      </c>
      <c r="AB14" s="116" cm="1">
        <f t="array" ref="AB14">_xll.EQNXTDZ($A$1,$B14,AB$1)</f>
        <v>13.39</v>
      </c>
      <c r="AC14" s="116" cm="1">
        <f t="array" ref="AC14">_xll.EQNXTDZ($A$1,$B14,AC$1)</f>
        <v>11.57</v>
      </c>
      <c r="AD14" s="116" cm="1">
        <f t="array" ref="AD14">_xll.EQNXTDZ($A$1,$B14,AD$1)</f>
        <v>10.91</v>
      </c>
      <c r="AE14" s="116" cm="1">
        <f t="array" ref="AE14">_xll.EQNXTDZ($A$1,$B14,AE$1)</f>
        <v>9.64</v>
      </c>
      <c r="AF14" s="116" cm="1">
        <f t="array" ref="AF14">_xll.EQNXTDZ($A$1,$B14,AF$1)</f>
        <v>10.02</v>
      </c>
      <c r="AG14" s="116" cm="1">
        <f t="array" ref="AG14">_xll.EQNXTDZ($A$1,$B14,AG$1)</f>
        <v>9.1999999999999993</v>
      </c>
      <c r="AH14" s="116" cm="1">
        <f t="array" ref="AH14">_xll.EQNXTDZ($A$1,$B14,AH$1)</f>
        <v>10.62</v>
      </c>
      <c r="AI14" s="116" cm="1">
        <f t="array" ref="AI14">_xll.EQNXTDZ($A$1,$B14,AI$1)</f>
        <v>11.72</v>
      </c>
      <c r="AJ14" s="116" cm="1">
        <f t="array" ref="AJ14">_xll.EQNXTDZ($A$1,$B14,AJ$1)</f>
        <v>12</v>
      </c>
      <c r="AK14" s="116" cm="1">
        <f t="array" ref="AK14">_xll.EQNXTDZ($A$1,$B14,AK$1)</f>
        <v>10.09</v>
      </c>
      <c r="AL14" s="116" cm="1">
        <f t="array" ref="AL14">_xll.EQNXTDZ($A$1,$B14,AL$1)</f>
        <v>9.09</v>
      </c>
      <c r="AM14" s="116" cm="1">
        <f t="array" ref="AM14">_xll.EQNXTDZ($A$1,$B14,AM$1)</f>
        <v>7.85</v>
      </c>
      <c r="AN14" s="116" cm="1">
        <f t="array" ref="AN14">_xll.EQNXTDZ($A$1,$B14,AN$1)</f>
        <v>6.23</v>
      </c>
      <c r="AO14" s="116" cm="1">
        <f t="array" ref="AO14">_xll.EQNXTDZ($A$1,$B14,AO$1)</f>
        <v>5.89</v>
      </c>
      <c r="AP14" s="116" cm="1">
        <f t="array" ref="AP14">_xll.EQNXTDZ($A$1,$B14,AP$1)</f>
        <v>5.08</v>
      </c>
      <c r="AQ14" s="116" cm="1">
        <f t="array" ref="AQ14">_xll.EQNXTDZ($A$1,$B14,AQ$1)</f>
        <v>6.51</v>
      </c>
      <c r="AR14" s="116" cm="1">
        <f t="array" ref="AR14">_xll.EQNXTDZ($A$1,$B14,AR$1)</f>
        <v>6.49</v>
      </c>
      <c r="AS14" s="116" cm="1">
        <f t="array" ref="AS14">_xll.EQNXTDZ($A$1,$B14,AS$1)</f>
        <v>6.5</v>
      </c>
      <c r="AT14" s="116" cm="1">
        <f t="array" ref="AT14">_xll.EQNXTDZ($A$1,$B14,AT$1)</f>
        <v>7.02</v>
      </c>
      <c r="AU14" s="116" cm="1">
        <f t="array" ref="AU14">_xll.EQNXTDZ($A$1,$B14,AU$1)</f>
        <v>5.88</v>
      </c>
      <c r="AV14" s="116" cm="1">
        <f t="array" ref="AV14">_xll.EQNXTDZ($A$1,$B14,AV$1)</f>
        <v>7.15</v>
      </c>
      <c r="AW14" s="116" cm="1">
        <f t="array" ref="AW14">_xll.EQNXTDZ($A$1,$B14,AW$1)</f>
        <v>7.22</v>
      </c>
      <c r="AX14" s="116" cm="1">
        <f t="array" ref="AX14">_xll.EQNXTDZ($A$1,$B14,AX$1)</f>
        <v>6.58</v>
      </c>
      <c r="AY14" s="116" cm="1">
        <f t="array" ref="AY14">_xll.EQNXTDZ($A$1,$B14,AY$1)</f>
        <v>6.3</v>
      </c>
      <c r="AZ14" s="116" cm="1">
        <f t="array" ref="AZ14">_xll.EQNXTDZ($A$1,$B14,AZ$1)</f>
        <v>6.19</v>
      </c>
      <c r="BA14" s="116" cm="1">
        <f t="array" ref="BA14">_xll.EQNXTDZ($A$1,$B14,BA$1)</f>
        <v>5.7</v>
      </c>
      <c r="BB14" s="116" cm="1">
        <f t="array" ref="BB14">_xll.EQNXTDZ($A$1,$B14,BB$1)</f>
        <v>5.86</v>
      </c>
      <c r="BC14" s="116" cm="1">
        <f t="array" ref="BC14">_xll.EQNXTDZ($A$1,$B14,BC$1)</f>
        <v>5.65</v>
      </c>
      <c r="BD14" s="116" cm="1">
        <f t="array" ref="BD14">_xll.EQNXTDZ($A$1,$B14,BD$1)</f>
        <v>5.76</v>
      </c>
      <c r="BE14" s="116" cm="1">
        <f t="array" ref="BE14">_xll.EQNXTDZ($A$1,$B14,BE$1)</f>
        <v>6.79</v>
      </c>
      <c r="BF14" s="116" cm="1">
        <f t="array" ref="BF14">_xll.EQNXTDZ($A$1,$B14,BF$1)</f>
        <v>7.79</v>
      </c>
      <c r="BG14" s="116" cm="1">
        <f t="array" ref="BG14">_xll.EQNXTDZ($A$1,$B14,BG$1)</f>
        <v>7.87</v>
      </c>
      <c r="BH14" s="116" cm="1">
        <f t="array" ref="BH14">_xll.EQNXTDZ($A$1,$B14,BH$1)</f>
        <v>8.26</v>
      </c>
      <c r="BI14" s="116" cm="1">
        <f t="array" ref="BI14">_xll.EQNXTDZ($A$1,$B14,BI$1)</f>
        <v>9.26</v>
      </c>
      <c r="BJ14" s="116" cm="1">
        <f t="array" ref="BJ14">_xll.EQNXTDZ($A$1,$B14,BJ$1)</f>
        <v>6.74</v>
      </c>
      <c r="BK14" s="116" cm="1">
        <f t="array" ref="BK14">_xll.EQNXTDZ($A$1,$B14,BK$1)</f>
        <v>6</v>
      </c>
      <c r="BL14" s="116" cm="1">
        <f t="array" ref="BL14">_xll.EQNXTDZ($A$1,$B14,BL$1)</f>
        <v>7.09</v>
      </c>
      <c r="BM14" s="116" cm="1">
        <f t="array" ref="BM14">_xll.EQNXTDZ($A$1,$B14,BM$1)</f>
        <v>6.78</v>
      </c>
      <c r="BN14" s="116" cm="1">
        <f t="array" ref="BN14">_xll.EQNXTDZ($A$1,$B14,BN$1)</f>
        <v>6.73</v>
      </c>
      <c r="BO14" s="116" cm="1">
        <f t="array" ref="BO14">_xll.EQNXTDZ($A$1,$B14,BO$1)</f>
        <v>6.78</v>
      </c>
      <c r="BP14" s="116" cm="1">
        <f t="array" ref="BP14">_xll.EQNXTDZ($A$1,$B14,BP$1)</f>
        <v>7.42</v>
      </c>
      <c r="BQ14" s="116" cm="1">
        <f t="array" ref="BQ14">_xll.EQNXTDZ($A$1,$B14,BQ$1)</f>
        <v>8.42</v>
      </c>
      <c r="BR14" s="116" cm="1">
        <f t="array" ref="BR14">_xll.EQNXTDZ($A$1,$B14,BR$1)</f>
        <v>9.5500000000000007</v>
      </c>
      <c r="BS14" s="116" cm="1">
        <f t="array" ref="BS14">_xll.EQNXTDZ($A$1,$B14,BS$1)</f>
        <v>7.46</v>
      </c>
      <c r="BT14" s="116" cm="1">
        <f t="array" ref="BT14">_xll.EQNXTDZ($A$1,$B14,BT$1)</f>
        <v>6.4</v>
      </c>
      <c r="BU14" s="116" cm="1">
        <f t="array" ref="BU14">_xll.EQNXTDZ($A$1,$B14,BU$1)</f>
        <v>5.38</v>
      </c>
      <c r="BV14" s="116" cm="1">
        <f t="array" ref="BV14">_xll.EQNXTDZ($A$1,$B14,BV$1)</f>
        <v>5.22</v>
      </c>
      <c r="BW14" s="116" cm="1">
        <f t="array" ref="BW14">_xll.EQNXTDZ($A$1,$B14,BW$1)</f>
        <v>4.05</v>
      </c>
      <c r="BX14" s="116" cm="1">
        <f t="array" ref="BX14">_xll.EQNXTDZ($A$1,$B14,BX$1)</f>
        <v>6.33</v>
      </c>
      <c r="BY14" s="116" cm="1">
        <f t="array" ref="BY14">_xll.EQNXTDZ($A$1,$B14,BY$1)</f>
        <v>7.2</v>
      </c>
      <c r="BZ14" s="116" cm="1">
        <f t="array" ref="BZ14">_xll.EQNXTDZ($A$1,$B14,BZ$1)</f>
        <v>7.21</v>
      </c>
      <c r="CA14" s="116" cm="1">
        <f t="array" ref="CA14">_xll.EQNXTDZ($A$1,$B14,CA$1)</f>
        <v>9.2899999999999991</v>
      </c>
      <c r="CB14" s="116" cm="1">
        <f t="array" ref="CB14">_xll.EQNXTDZ($A$1,$B14,CB$1)</f>
        <v>11.46</v>
      </c>
      <c r="CC14" s="116" cm="1">
        <f t="array" ref="CC14">_xll.EQNXTDZ($A$1,$B14,CC$1)</f>
        <v>11.64</v>
      </c>
      <c r="CD14" s="116" cm="1">
        <f t="array" ref="CD14">_xll.EQNXTDZ($A$1,$B14,CD$1)</f>
        <v>10.53</v>
      </c>
      <c r="CE14" s="116" cm="1">
        <f t="array" ref="CE14">_xll.EQNXTDZ($A$1,$B14,CE$1)</f>
        <v>9.99</v>
      </c>
      <c r="CF14" s="116" cm="1">
        <f t="array" ref="CF14">_xll.EQNXTDZ($A$1,$B14,CF$1)</f>
        <v>10.65</v>
      </c>
      <c r="CG14" s="116" cm="1">
        <f t="array" ref="CG14">_xll.EQNXTDZ($A$1,$B14,CG$1)</f>
        <v>11.16</v>
      </c>
      <c r="CH14" s="116" cm="1">
        <f t="array" ref="CH14">_xll.EQNXTDZ($A$1,$B14,CH$1)</f>
        <v>10.65</v>
      </c>
      <c r="CI14" s="116" cm="1">
        <f t="array" ref="CI14">_xll.EQNXTDZ($A$1,$B14,CI$1)</f>
        <v>10.46</v>
      </c>
      <c r="CJ14" s="116" cm="1">
        <f t="array" ref="CJ14">_xll.EQNXTDZ($A$1,$B14,CJ$1)</f>
        <v>13.75</v>
      </c>
      <c r="CK14" s="116" cm="1">
        <f t="array" ref="CK14">_xll.EQNXTDZ($A$1,$B14,CK$1)</f>
        <v>12.7</v>
      </c>
      <c r="CL14" s="116" cm="1">
        <f t="array" ref="CL14">_xll.EQNXTDZ($A$1,$B14,CL$1)</f>
        <v>13.97</v>
      </c>
      <c r="CM14" s="116" cm="1">
        <f t="array" ref="CM14">_xll.EQNXTDZ($A$1,$B14,CM$1)</f>
        <v>13.55</v>
      </c>
      <c r="CN14" s="116" cm="1">
        <f t="array" ref="CN14">_xll.EQNXTDZ($A$1,$B14,CN$1)</f>
        <v>14.75</v>
      </c>
      <c r="CO14" s="116" cm="1">
        <f t="array" ref="CO14">_xll.EQNXTDZ($A$1,$B14,CO$1)</f>
        <v>12.84</v>
      </c>
      <c r="CP14" s="116" cm="1">
        <f t="array" ref="CP14">_xll.EQNXTDZ($A$1,$B14,CP$1)</f>
        <v>13.19</v>
      </c>
      <c r="CQ14" s="116" cm="1">
        <f t="array" ref="CQ14">_xll.EQNXTDZ($A$1,$B14,CQ$1)</f>
        <v>12.51</v>
      </c>
      <c r="CR14" s="116" cm="1">
        <f t="array" ref="CR14">_xll.EQNXTDZ($A$1,$B14,CR$1)</f>
        <v>10</v>
      </c>
      <c r="CS14" s="116" cm="1">
        <f t="array" ref="CS14">_xll.EQNXTDZ($A$1,$B14,CS$1)</f>
        <v>7.1</v>
      </c>
      <c r="CT14" s="116" cm="1">
        <f t="array" ref="CT14">_xll.EQNXTDZ($A$1,$B14,CT$1)</f>
        <v>7.65</v>
      </c>
      <c r="CU14" s="116" cm="1">
        <f t="array" ref="CU14">_xll.EQNXTDZ($A$1,$B14,CU$1)</f>
        <v>8.44</v>
      </c>
      <c r="CV14" s="116" cm="1">
        <f t="array" ref="CV14">_xll.EQNXTDZ($A$1,$B14,CV$1)</f>
        <v>7.3</v>
      </c>
      <c r="CW14" s="116" cm="1">
        <f t="array" ref="CW14">_xll.EQNXTDZ($A$1,$B14,CW$1)</f>
        <v>8.31</v>
      </c>
      <c r="CX14" s="116" cm="1">
        <f t="array" ref="CX14">_xll.EQNXTDZ($A$1,$B14,CX$1)</f>
        <v>7.94</v>
      </c>
      <c r="CY14" s="116" cm="1">
        <f t="array" ref="CY14">_xll.EQNXTDZ($A$1,$B14,CY$1)</f>
        <v>7.48</v>
      </c>
      <c r="CZ14" s="116" cm="1">
        <f t="array" ref="CZ14">_xll.EQNXTDZ($A$1,$B14,CZ$1)</f>
        <v>8</v>
      </c>
      <c r="DA14" s="116" cm="1">
        <f t="array" ref="DA14">_xll.EQNXTDZ($A$1,$B14,DA$1)</f>
        <v>12.8</v>
      </c>
      <c r="DB14" s="116" cm="1">
        <f t="array" ref="DB14">_xll.EQNXTDZ($A$1,$B14,DB$1)</f>
        <v>11.48</v>
      </c>
      <c r="DC14" s="116" cm="1">
        <f t="array" ref="DC14">_xll.EQNXTDZ($A$1,$B14,DC$1)</f>
        <v>11.83</v>
      </c>
      <c r="DD14" s="116" cm="1">
        <f t="array" ref="DD14">_xll.EQNXTDZ($A$1,$B14,DD$1)</f>
        <v>21.8</v>
      </c>
      <c r="DE14" s="116" cm="1">
        <f t="array" ref="DE14">_xll.EQNXTDZ($A$1,$B14,DE$1)</f>
        <v>20.66</v>
      </c>
      <c r="DF14" s="116" cm="1">
        <f t="array" ref="DF14">_xll.EQNXTDZ($A$1,$B14,DF$1)</f>
        <v>21.38</v>
      </c>
      <c r="DG14" s="116" cm="1">
        <f t="array" ref="DG14">_xll.EQNXTDZ($A$1,$B14,DG$1)</f>
        <v>33.409999999999997</v>
      </c>
      <c r="DH14" s="116" cm="1">
        <f t="array" ref="DH14">_xll.EQNXTDZ($A$1,$B14,DH$1)</f>
        <v>22.9</v>
      </c>
      <c r="DI14" s="116" cm="1">
        <f t="array" ref="DI14">_xll.EQNXTDZ($A$1,$B14,DI$1)</f>
        <v>19.7</v>
      </c>
      <c r="DJ14" s="116" cm="1">
        <f t="array" ref="DJ14">_xll.EQNXTDZ($A$1,$B14,DJ$1)</f>
        <v>22.7</v>
      </c>
      <c r="DK14" s="116" cm="1">
        <f t="array" ref="DK14">_xll.EQNXTDZ($A$1,$B14,DK$1)</f>
        <v>27.11</v>
      </c>
      <c r="DL14" s="116" cm="1">
        <f t="array" ref="DL14">_xll.EQNXTDZ($A$1,$B14,DL$1)</f>
        <v>22.74</v>
      </c>
      <c r="DM14" s="116" cm="1">
        <f t="array" ref="DM14">_xll.EQNXTDZ($A$1,$B14,DM$1)</f>
        <v>21.46</v>
      </c>
      <c r="DN14" s="116" cm="1">
        <f t="array" ref="DN14">_xll.EQNXTDZ($A$1,$B14,DN$1)</f>
        <v>24.91</v>
      </c>
      <c r="DO14" s="116" cm="1">
        <f t="array" ref="DO14">_xll.EQNXTDZ($A$1,$B14,DO$1)</f>
        <v>27.51</v>
      </c>
      <c r="DP14" s="116" cm="1">
        <f t="array" ref="DP14">_xll.EQNXTDZ($A$1,$B14,DP$1)</f>
        <v>37.520000000000003</v>
      </c>
      <c r="DQ14" s="116" cm="1">
        <f t="array" ref="DQ14">_xll.EQNXTDZ($A$1,$B14,DQ$1)</f>
        <v>62.46</v>
      </c>
      <c r="DR14" s="116" cm="1">
        <f t="array" ref="DR14">_xll.EQNXTDZ($A$1,$B14,DR$1)</f>
        <v>68.95</v>
      </c>
      <c r="DS14" s="116" cm="1">
        <f t="array" ref="DS14">_xll.EQNXTDZ($A$1,$B14,DS$1)</f>
        <v>63.28</v>
      </c>
      <c r="DT14" s="116" cm="1">
        <f t="array" ref="DT14">_xll.EQNXTDZ($A$1,$B14,DT$1)</f>
        <v>65.400000000000006</v>
      </c>
      <c r="DU14" s="116" cm="1">
        <f t="array" ref="DU14">_xll.EQNXTDZ($A$1,$B14,DU$1)</f>
        <v>86.56</v>
      </c>
      <c r="DV14" s="116" cm="1">
        <f t="array" ref="DV14">_xll.EQNXTDZ($A$1,$B14,DV$1)</f>
        <v>84</v>
      </c>
      <c r="DW14" s="116" cm="1">
        <f t="array" ref="DW14">_xll.EQNXTDZ($A$1,$B14,DW$1)</f>
        <v>76.59</v>
      </c>
      <c r="DX14" s="116" cm="1">
        <f t="array" ref="DX14">_xll.EQNXTDZ($A$1,$B14,DX$1)</f>
        <v>75.599999999999994</v>
      </c>
      <c r="DY14" s="116" cm="1">
        <f t="array" ref="DY14">_xll.EQNXTDZ($A$1,$B14,DY$1)</f>
        <v>68</v>
      </c>
      <c r="DZ14" s="116" cm="1">
        <f t="array" ref="DZ14">_xll.EQNXTDZ($A$1,$B14,DZ$1)</f>
        <v>60.98</v>
      </c>
      <c r="EA14" s="116" cm="1">
        <f t="array" ref="EA14">_xll.EQNXTDZ($A$1,$B14,EA$1)</f>
        <v>44.6</v>
      </c>
      <c r="EB14" s="116" cm="1">
        <f t="array" ref="EB14">_xll.EQNXTDZ($A$1,$B14,EB$1)</f>
        <v>43.6</v>
      </c>
      <c r="EC14" s="116" cm="1">
        <f t="array" ref="EC14">_xll.EQNXTDZ($A$1,$B14,EC$1)</f>
        <v>44.97</v>
      </c>
      <c r="ED14" s="116" cm="1">
        <f t="array" ref="ED14">_xll.EQNXTDZ($A$1,$B14,ED$1)</f>
        <v>54.56</v>
      </c>
      <c r="EE14" s="116" cm="1">
        <f t="array" ref="EE14">_xll.EQNXTDZ($A$1,$B14,EE$1)</f>
        <v>57.2</v>
      </c>
      <c r="EF14" s="116" cm="1">
        <f t="array" ref="EF14">_xll.EQNXTDZ($A$1,$B14,EF$1)</f>
        <v>55.01</v>
      </c>
      <c r="EG14" s="116" cm="1">
        <f t="array" ref="EG14">_xll.EQNXTDZ($A$1,$B14,EG$1)</f>
        <v>71.86</v>
      </c>
      <c r="EH14" s="116" cm="1">
        <f t="array" ref="EH14">_xll.EQNXTDZ($A$1,$B14,EH$1)</f>
        <v>82</v>
      </c>
      <c r="EI14" s="116" cm="1">
        <f t="array" ref="EI14">_xll.EQNXTDZ($A$1,$B14,EI$1)</f>
        <v>75.5</v>
      </c>
      <c r="EJ14" s="116" cm="1">
        <f t="array" ref="EJ14">_xll.EQNXTDZ($A$1,$B14,EJ$1)</f>
        <v>94.18</v>
      </c>
      <c r="EK14" s="116" cm="1">
        <f t="array" ref="EK14">_xll.EQNXTDZ($A$1,$B14,EK$1)</f>
        <v>117.86</v>
      </c>
      <c r="EL14" s="116" cm="1">
        <f t="array" ref="EL14">_xll.EQNXTDZ($A$1,$B14,EL$1)</f>
        <v>116</v>
      </c>
      <c r="EM14" s="116" cm="1">
        <f t="array" ref="EM14">_xll.EQNXTDZ($A$1,$B14,EM$1)</f>
        <v>116.98</v>
      </c>
      <c r="EN14" s="116" cm="1">
        <f t="array" ref="EN14">_xll.EQNXTDZ($A$1,$B14,EN$1)</f>
        <v>116.2</v>
      </c>
      <c r="EO14" s="116" cm="1">
        <f t="array" ref="EO14">_xll.EQNXTDZ($A$1,$B14,EO$1)</f>
        <v>129.4</v>
      </c>
      <c r="EP14" s="116" cm="1">
        <f t="array" ref="EP14">_xll.EQNXTDZ($A$1,$B14,EP$1)</f>
        <v>159.51</v>
      </c>
      <c r="EQ14" s="116" cm="1">
        <f t="array" ref="EQ14">_xll.EQNXTDZ($A$1,$B14,EQ$1)</f>
        <v>179.35</v>
      </c>
      <c r="ER14" s="116" cm="1">
        <f t="array" ref="ER14">_xll.EQNXTDZ($A$1,$B14,ER$1)</f>
        <v>149.77000000000001</v>
      </c>
      <c r="ES14" s="116" cm="1">
        <f t="array" ref="ES14">_xll.EQNXTDZ($A$1,$B14,ES$1)</f>
        <v>150.43</v>
      </c>
      <c r="ET14" s="116" cm="1">
        <f t="array" ref="ET14">_xll.EQNXTDZ($A$1,$B14,ET$1)</f>
        <v>136.97999999999999</v>
      </c>
      <c r="EU14" s="116" cm="1">
        <f t="array" ref="EU14">_xll.EQNXTDZ($A$1,$B14,EU$1)</f>
        <v>132.12</v>
      </c>
      <c r="EV14" s="116" cm="1">
        <f t="array" ref="EV14">_xll.EQNXTDZ($A$1,$B14,EV$1)</f>
        <v>125.37</v>
      </c>
      <c r="EW14" s="116" cm="1">
        <f t="array" ref="EW14">_xll.EQNXTDZ($A$1,$B14,EW$1)</f>
        <v>113.2</v>
      </c>
      <c r="EX14" s="116" cm="1">
        <f t="array" ref="EX14">_xll.EQNXTDZ($A$1,$B14,EX$1)</f>
        <v>119.98</v>
      </c>
      <c r="EY14" s="116" cm="1">
        <f t="array" ref="EY14">_xll.EQNXTDZ($A$1,$B14,EY$1)</f>
        <v>107.31</v>
      </c>
      <c r="EZ14" s="116" cm="1">
        <f t="array" ref="EZ14">_xll.EQNXTDZ($A$1,$B14,EZ$1)</f>
        <v>108.25</v>
      </c>
      <c r="FA14" s="116" cm="1">
        <f t="array" ref="FA14">_xll.EQNXTDZ($A$1,$B14,FA$1)</f>
        <v>117.1</v>
      </c>
      <c r="FB14" s="116" cm="1">
        <f t="array" ref="FB14">_xll.EQNXTDZ($A$1,$B14,FB$1)</f>
        <v>116.86</v>
      </c>
      <c r="FC14" s="116" cm="1">
        <f t="array" ref="FC14">_xll.EQNXTDZ($A$1,$B14,FC$1)</f>
        <v>122</v>
      </c>
      <c r="FD14" s="116" cm="1">
        <f t="array" ref="FD14">_xll.EQNXTDZ($A$1,$B14,FD$1)</f>
        <v>123.96</v>
      </c>
      <c r="FE14" s="116" cm="1">
        <f t="array" ref="FE14">_xll.EQNXTDZ($A$1,$B14,FE$1)</f>
        <v>121.6</v>
      </c>
      <c r="FF14" s="116" cm="1">
        <f t="array" ref="FF14">_xll.EQNXTDZ($A$1,$B14,FF$1)</f>
        <v>182.75</v>
      </c>
      <c r="FG14" s="116" cm="1">
        <f t="array" ref="FG14">_xll.EQNXTDZ($A$1,$B14,FG$1)</f>
        <v>174.5</v>
      </c>
      <c r="FH14" s="116" cm="1">
        <f t="array" ref="FH14">_xll.EQNXTDZ($A$1,$B14,FH$1)</f>
        <v>159.6</v>
      </c>
      <c r="FI14" s="116" cm="1">
        <f t="array" ref="FI14">_xll.EQNXTDZ($A$1,$B14,FI$1)</f>
        <v>148.85</v>
      </c>
      <c r="FJ14" s="116" cm="1">
        <f t="array" ref="FJ14">_xll.EQNXTDZ($A$1,$B14,FJ$1)</f>
        <v>153.19999999999999</v>
      </c>
      <c r="FK14" s="116" cm="1">
        <f t="array" ref="FK14">_xll.EQNXTDZ($A$1,$B14,FK$1)</f>
        <v>156.9</v>
      </c>
      <c r="FL14" s="116" cm="1">
        <f t="array" ref="FL14">_xll.EQNXTDZ($A$1,$B14,FL$1)</f>
        <v>158.1</v>
      </c>
      <c r="FM14" s="116" cm="1">
        <f t="array" ref="FM14">_xll.EQNXTDZ($A$1,$B14,FM$1)</f>
        <v>226.25</v>
      </c>
      <c r="FN14" s="116" cm="1">
        <f t="array" ref="FN14">_xll.EQNXTDZ($A$1,$B14,FN$1)</f>
        <v>254.15</v>
      </c>
      <c r="FO14" s="116" cm="1">
        <f t="array" ref="FO14">_xll.EQNXTDZ($A$1,$B14,FO$1)</f>
        <v>245.8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10.8</v>
      </c>
      <c r="HQ14" s="116">
        <f>+MAX(G14:I14)</f>
        <v>14</v>
      </c>
      <c r="HR14" s="116">
        <f>+MAX(J14:L14)</f>
        <v>13.68</v>
      </c>
      <c r="HS14" s="116">
        <f>+MAX(M14:O14)</f>
        <v>12.48</v>
      </c>
      <c r="HT14" s="116">
        <f>+MAX(P14:R14)</f>
        <v>9.06</v>
      </c>
      <c r="HU14" s="116">
        <f>+MAX(S14:U14)</f>
        <v>8.58</v>
      </c>
      <c r="HV14" s="116">
        <f>+MAX(V14:X14)</f>
        <v>10.4</v>
      </c>
      <c r="HW14" s="116">
        <f>+MAX(Y14:AA14)</f>
        <v>13.7</v>
      </c>
      <c r="HX14" s="116">
        <f>+MAX(AB14:AD14)</f>
        <v>13.39</v>
      </c>
      <c r="HY14" s="116">
        <f>+MAX(AE14:AG14)</f>
        <v>10.02</v>
      </c>
      <c r="HZ14" s="116">
        <f>+MAX(AH14:AJ14)</f>
        <v>12</v>
      </c>
      <c r="IA14" s="116">
        <f>+MAX(AK14:AM14)</f>
        <v>10.09</v>
      </c>
      <c r="IB14" s="116">
        <f>+MAX(AN14:AP14)</f>
        <v>6.23</v>
      </c>
      <c r="IC14" s="116">
        <f>+MAX(AQ14:AS14)</f>
        <v>6.51</v>
      </c>
      <c r="ID14" s="116">
        <f>+MAX(AT14:AV14)</f>
        <v>7.15</v>
      </c>
      <c r="IE14" s="116">
        <f>+MAX(AW14:AY14)</f>
        <v>7.22</v>
      </c>
      <c r="IF14" s="116">
        <f>+MAX(AZ14:BB14)</f>
        <v>6.19</v>
      </c>
      <c r="IG14" s="116">
        <f>+MAX(BC14:BE14)</f>
        <v>6.79</v>
      </c>
      <c r="IH14" s="116">
        <f>+MAX(BF14:BH14)</f>
        <v>8.26</v>
      </c>
      <c r="II14" s="116">
        <f>+MAX(BI14:BK14)</f>
        <v>9.26</v>
      </c>
      <c r="IJ14" s="116">
        <f>+MAX(BL14:BN14)</f>
        <v>7.09</v>
      </c>
      <c r="IK14" s="116">
        <f>+MAX(BO14:BQ14)</f>
        <v>8.42</v>
      </c>
      <c r="IL14" s="116">
        <f>+MAX(BR14:BT14)</f>
        <v>9.5500000000000007</v>
      </c>
      <c r="IM14" s="116">
        <f>+MAX(BU14:BW14)</f>
        <v>5.38</v>
      </c>
      <c r="IN14" s="116">
        <f>+MAX(BX14:BZ14)</f>
        <v>7.21</v>
      </c>
      <c r="IO14" s="116">
        <f>+MAX(CA14:CC14)</f>
        <v>11.64</v>
      </c>
      <c r="IP14" s="116">
        <f>+MAX(CD14:CF14)</f>
        <v>10.65</v>
      </c>
      <c r="IQ14" s="116">
        <f>+MAX(CG14:CI14)</f>
        <v>11.16</v>
      </c>
      <c r="IR14" s="116">
        <f>+MAX(CJ14:CL14)</f>
        <v>13.97</v>
      </c>
      <c r="IS14" s="116">
        <f>+MAX(CM14:CO14)</f>
        <v>14.75</v>
      </c>
      <c r="IT14" s="116">
        <f>+MAX(CP14:CR14)</f>
        <v>13.19</v>
      </c>
      <c r="IU14" s="116">
        <f>+MAX(CS14:CU14)</f>
        <v>8.44</v>
      </c>
      <c r="IV14" s="116">
        <f>+MAX(CV14:CX14)</f>
        <v>8.31</v>
      </c>
      <c r="IW14" s="116">
        <f>+MAX(CY14:DA14)</f>
        <v>12.8</v>
      </c>
      <c r="IX14" s="116">
        <f>+MAX(DB14:DD14)</f>
        <v>21.8</v>
      </c>
      <c r="IY14" s="116">
        <f>+MAX(DE14:DG14)</f>
        <v>33.409999999999997</v>
      </c>
      <c r="IZ14" s="116">
        <f>+MAX(DH14:DJ14)</f>
        <v>22.9</v>
      </c>
      <c r="JA14" s="116">
        <f>+MAX(DK14:DM14)</f>
        <v>27.11</v>
      </c>
      <c r="JB14" s="116">
        <f>+MAX(DN14:DP14)</f>
        <v>37.520000000000003</v>
      </c>
      <c r="JC14" s="116">
        <f>+MAX(DQ14:DS14)</f>
        <v>68.95</v>
      </c>
      <c r="JD14" s="116">
        <f>+MAX(DT14:DV14)</f>
        <v>86.56</v>
      </c>
      <c r="JE14" s="116">
        <f>+MAX(DW14:DY14)</f>
        <v>76.59</v>
      </c>
      <c r="JF14" s="116">
        <f>+MAX(DZ14:EB14)</f>
        <v>60.98</v>
      </c>
      <c r="JG14" s="116">
        <f>+MAX(EC14:EE14)</f>
        <v>57.2</v>
      </c>
      <c r="JH14" s="116">
        <f>+MAX(EF14:EH14)</f>
        <v>82</v>
      </c>
      <c r="JI14" s="116">
        <f>+MAX(EI14:EK14)</f>
        <v>117.86</v>
      </c>
      <c r="JJ14" s="116">
        <f>+MAX(EL14:EN14)</f>
        <v>116.98</v>
      </c>
      <c r="JK14" s="116">
        <f>MAX(EO14:EQ14)</f>
        <v>179.35</v>
      </c>
      <c r="JL14" s="116">
        <f>MAX(ER14:ET14)</f>
        <v>150.43</v>
      </c>
      <c r="JM14" s="116">
        <f>MAX(EU14:EW14)</f>
        <v>132.12</v>
      </c>
      <c r="JN14" s="116">
        <f>MAX(EX14:EZ14)</f>
        <v>119.98</v>
      </c>
      <c r="JO14" s="116">
        <f>MAX(FA14:FC14)</f>
        <v>122</v>
      </c>
      <c r="JP14" s="116">
        <f>MAX(FD14:FF14)</f>
        <v>182.75</v>
      </c>
      <c r="JQ14" s="116">
        <f>MAX(FG14:FI14)</f>
        <v>174.5</v>
      </c>
      <c r="JR14" s="116">
        <f>MAX(FJ14:FL14)</f>
        <v>158.1</v>
      </c>
      <c r="JS14" s="116">
        <f>MAX(FM14:FO14)</f>
        <v>254.15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8.83</v>
      </c>
      <c r="D15" s="116" cm="1">
        <f t="array" ref="D15">_xll.EQNXTDZ($A$1,$B15,D$1)</f>
        <v>8.15</v>
      </c>
      <c r="E15" s="116" cm="1">
        <f t="array" ref="E15">_xll.EQNXTDZ($A$1,$B15,E$1)</f>
        <v>7.36</v>
      </c>
      <c r="F15" s="116" cm="1">
        <f t="array" ref="F15">_xll.EQNXTDZ($A$1,$B15,F$1)</f>
        <v>7.82</v>
      </c>
      <c r="G15" s="116" cm="1">
        <f t="array" ref="G15">_xll.EQNXTDZ($A$1,$B15,G$1)</f>
        <v>9.23</v>
      </c>
      <c r="H15" s="116" cm="1">
        <f t="array" ref="H15">_xll.EQNXTDZ($A$1,$B15,H$1)</f>
        <v>9.26</v>
      </c>
      <c r="I15" s="116" cm="1">
        <f t="array" ref="I15">_xll.EQNXTDZ($A$1,$B15,I$1)</f>
        <v>10.58</v>
      </c>
      <c r="J15" s="116" cm="1">
        <f t="array" ref="J15">_xll.EQNXTDZ($A$1,$B15,J$1)</f>
        <v>11.77</v>
      </c>
      <c r="K15" s="116" cm="1">
        <f t="array" ref="K15">_xll.EQNXTDZ($A$1,$B15,K$1)</f>
        <v>8.7799999999999994</v>
      </c>
      <c r="L15" s="116" cm="1">
        <f t="array" ref="L15">_xll.EQNXTDZ($A$1,$B15,L$1)</f>
        <v>7.66</v>
      </c>
      <c r="M15" s="116" cm="1">
        <f t="array" ref="M15">_xll.EQNXTDZ($A$1,$B15,M$1)</f>
        <v>8.11</v>
      </c>
      <c r="N15" s="116" cm="1">
        <f t="array" ref="N15">_xll.EQNXTDZ($A$1,$B15,N$1)</f>
        <v>9.26</v>
      </c>
      <c r="O15" s="116" cm="1">
        <f t="array" ref="O15">_xll.EQNXTDZ($A$1,$B15,O$1)</f>
        <v>7.8</v>
      </c>
      <c r="P15" s="116" cm="1">
        <f t="array" ref="P15">_xll.EQNXTDZ($A$1,$B15,P$1)</f>
        <v>6.57</v>
      </c>
      <c r="Q15" s="116" cm="1">
        <f t="array" ref="Q15">_xll.EQNXTDZ($A$1,$B15,Q$1)</f>
        <v>5.89</v>
      </c>
      <c r="R15" s="116" cm="1">
        <f t="array" ref="R15">_xll.EQNXTDZ($A$1,$B15,R$1)</f>
        <v>6.33</v>
      </c>
      <c r="S15" s="116" cm="1">
        <f t="array" ref="S15">_xll.EQNXTDZ($A$1,$B15,S$1)</f>
        <v>6.36</v>
      </c>
      <c r="T15" s="116" cm="1">
        <f t="array" ref="T15">_xll.EQNXTDZ($A$1,$B15,T$1)</f>
        <v>6.5</v>
      </c>
      <c r="U15" s="116" cm="1">
        <f t="array" ref="U15">_xll.EQNXTDZ($A$1,$B15,U$1)</f>
        <v>7.15</v>
      </c>
      <c r="V15" s="116" cm="1">
        <f t="array" ref="V15">_xll.EQNXTDZ($A$1,$B15,V$1)</f>
        <v>6.38</v>
      </c>
      <c r="W15" s="116" cm="1">
        <f t="array" ref="W15">_xll.EQNXTDZ($A$1,$B15,W$1)</f>
        <v>6.4</v>
      </c>
      <c r="X15" s="116" cm="1">
        <f t="array" ref="X15">_xll.EQNXTDZ($A$1,$B15,X$1)</f>
        <v>6.96</v>
      </c>
      <c r="Y15" s="116" cm="1">
        <f t="array" ref="Y15">_xll.EQNXTDZ($A$1,$B15,Y$1)</f>
        <v>8.92</v>
      </c>
      <c r="Z15" s="116" cm="1">
        <f t="array" ref="Z15">_xll.EQNXTDZ($A$1,$B15,Z$1)</f>
        <v>9.35</v>
      </c>
      <c r="AA15" s="116" cm="1">
        <f t="array" ref="AA15">_xll.EQNXTDZ($A$1,$B15,AA$1)</f>
        <v>11.26</v>
      </c>
      <c r="AB15" s="116" cm="1">
        <f t="array" ref="AB15">_xll.EQNXTDZ($A$1,$B15,AB$1)</f>
        <v>10.87</v>
      </c>
      <c r="AC15" s="116" cm="1">
        <f t="array" ref="AC15">_xll.EQNXTDZ($A$1,$B15,AC$1)</f>
        <v>9.42</v>
      </c>
      <c r="AD15" s="116" cm="1">
        <f t="array" ref="AD15">_xll.EQNXTDZ($A$1,$B15,AD$1)</f>
        <v>8.41</v>
      </c>
      <c r="AE15" s="116" cm="1">
        <f t="array" ref="AE15">_xll.EQNXTDZ($A$1,$B15,AE$1)</f>
        <v>8.31</v>
      </c>
      <c r="AF15" s="116" cm="1">
        <f t="array" ref="AF15">_xll.EQNXTDZ($A$1,$B15,AF$1)</f>
        <v>8.93</v>
      </c>
      <c r="AG15" s="116" cm="1">
        <f t="array" ref="AG15">_xll.EQNXTDZ($A$1,$B15,AG$1)</f>
        <v>7.76</v>
      </c>
      <c r="AH15" s="116" cm="1">
        <f t="array" ref="AH15">_xll.EQNXTDZ($A$1,$B15,AH$1)</f>
        <v>8.66</v>
      </c>
      <c r="AI15" s="116" cm="1">
        <f t="array" ref="AI15">_xll.EQNXTDZ($A$1,$B15,AI$1)</f>
        <v>9.15</v>
      </c>
      <c r="AJ15" s="116" cm="1">
        <f t="array" ref="AJ15">_xll.EQNXTDZ($A$1,$B15,AJ$1)</f>
        <v>8.9600000000000009</v>
      </c>
      <c r="AK15" s="116" cm="1">
        <f t="array" ref="AK15">_xll.EQNXTDZ($A$1,$B15,AK$1)</f>
        <v>8.26</v>
      </c>
      <c r="AL15" s="116" cm="1">
        <f t="array" ref="AL15">_xll.EQNXTDZ($A$1,$B15,AL$1)</f>
        <v>7.7</v>
      </c>
      <c r="AM15" s="116" cm="1">
        <f t="array" ref="AM15">_xll.EQNXTDZ($A$1,$B15,AM$1)</f>
        <v>5.3</v>
      </c>
      <c r="AN15" s="116" cm="1">
        <f t="array" ref="AN15">_xll.EQNXTDZ($A$1,$B15,AN$1)</f>
        <v>5.27</v>
      </c>
      <c r="AO15" s="116" cm="1">
        <f t="array" ref="AO15">_xll.EQNXTDZ($A$1,$B15,AO$1)</f>
        <v>3.93</v>
      </c>
      <c r="AP15" s="116" cm="1">
        <f t="array" ref="AP15">_xll.EQNXTDZ($A$1,$B15,AP$1)</f>
        <v>4.03</v>
      </c>
      <c r="AQ15" s="116" cm="1">
        <f t="array" ref="AQ15">_xll.EQNXTDZ($A$1,$B15,AQ$1)</f>
        <v>4.84</v>
      </c>
      <c r="AR15" s="116" cm="1">
        <f t="array" ref="AR15">_xll.EQNXTDZ($A$1,$B15,AR$1)</f>
        <v>5.25</v>
      </c>
      <c r="AS15" s="116" cm="1">
        <f t="array" ref="AS15">_xll.EQNXTDZ($A$1,$B15,AS$1)</f>
        <v>5.16</v>
      </c>
      <c r="AT15" s="116" cm="1">
        <f t="array" ref="AT15">_xll.EQNXTDZ($A$1,$B15,AT$1)</f>
        <v>5.08</v>
      </c>
      <c r="AU15" s="116" cm="1">
        <f t="array" ref="AU15">_xll.EQNXTDZ($A$1,$B15,AU$1)</f>
        <v>4.49</v>
      </c>
      <c r="AV15" s="116" cm="1">
        <f t="array" ref="AV15">_xll.EQNXTDZ($A$1,$B15,AV$1)</f>
        <v>5.54</v>
      </c>
      <c r="AW15" s="116" cm="1">
        <f t="array" ref="AW15">_xll.EQNXTDZ($A$1,$B15,AW$1)</f>
        <v>6.04</v>
      </c>
      <c r="AX15" s="116" cm="1">
        <f t="array" ref="AX15">_xll.EQNXTDZ($A$1,$B15,AX$1)</f>
        <v>5.53</v>
      </c>
      <c r="AY15" s="116" cm="1">
        <f t="array" ref="AY15">_xll.EQNXTDZ($A$1,$B15,AY$1)</f>
        <v>5.43</v>
      </c>
      <c r="AZ15" s="116" cm="1">
        <f t="array" ref="AZ15">_xll.EQNXTDZ($A$1,$B15,AZ$1)</f>
        <v>5.58</v>
      </c>
      <c r="BA15" s="116" cm="1">
        <f t="array" ref="BA15">_xll.EQNXTDZ($A$1,$B15,BA$1)</f>
        <v>5.22</v>
      </c>
      <c r="BB15" s="116" cm="1">
        <f t="array" ref="BB15">_xll.EQNXTDZ($A$1,$B15,BB$1)</f>
        <v>4.9400000000000004</v>
      </c>
      <c r="BC15" s="116" cm="1">
        <f t="array" ref="BC15">_xll.EQNXTDZ($A$1,$B15,BC$1)</f>
        <v>5.01</v>
      </c>
      <c r="BD15" s="116" cm="1">
        <f t="array" ref="BD15">_xll.EQNXTDZ($A$1,$B15,BD$1)</f>
        <v>4.67</v>
      </c>
      <c r="BE15" s="116" cm="1">
        <f t="array" ref="BE15">_xll.EQNXTDZ($A$1,$B15,BE$1)</f>
        <v>5.48</v>
      </c>
      <c r="BF15" s="116" cm="1">
        <f t="array" ref="BF15">_xll.EQNXTDZ($A$1,$B15,BF$1)</f>
        <v>5.84</v>
      </c>
      <c r="BG15" s="116" cm="1">
        <f t="array" ref="BG15">_xll.EQNXTDZ($A$1,$B15,BG$1)</f>
        <v>6.87</v>
      </c>
      <c r="BH15" s="116" cm="1">
        <f t="array" ref="BH15">_xll.EQNXTDZ($A$1,$B15,BH$1)</f>
        <v>7.27</v>
      </c>
      <c r="BI15" s="116" cm="1">
        <f t="array" ref="BI15">_xll.EQNXTDZ($A$1,$B15,BI$1)</f>
        <v>6.36</v>
      </c>
      <c r="BJ15" s="116" cm="1">
        <f t="array" ref="BJ15">_xll.EQNXTDZ($A$1,$B15,BJ$1)</f>
        <v>5.18</v>
      </c>
      <c r="BK15" s="116" cm="1">
        <f t="array" ref="BK15">_xll.EQNXTDZ($A$1,$B15,BK$1)</f>
        <v>5.29</v>
      </c>
      <c r="BL15" s="116" cm="1">
        <f t="array" ref="BL15">_xll.EQNXTDZ($A$1,$B15,BL$1)</f>
        <v>5.62</v>
      </c>
      <c r="BM15" s="116" cm="1">
        <f t="array" ref="BM15">_xll.EQNXTDZ($A$1,$B15,BM$1)</f>
        <v>5.18</v>
      </c>
      <c r="BN15" s="116" cm="1">
        <f t="array" ref="BN15">_xll.EQNXTDZ($A$1,$B15,BN$1)</f>
        <v>5.77</v>
      </c>
      <c r="BO15" s="116" cm="1">
        <f t="array" ref="BO15">_xll.EQNXTDZ($A$1,$B15,BO$1)</f>
        <v>5.75</v>
      </c>
      <c r="BP15" s="116" cm="1">
        <f t="array" ref="BP15">_xll.EQNXTDZ($A$1,$B15,BP$1)</f>
        <v>6.27</v>
      </c>
      <c r="BQ15" s="116" cm="1">
        <f t="array" ref="BQ15">_xll.EQNXTDZ($A$1,$B15,BQ$1)</f>
        <v>6.42</v>
      </c>
      <c r="BR15" s="116" cm="1">
        <f t="array" ref="BR15">_xll.EQNXTDZ($A$1,$B15,BR$1)</f>
        <v>7</v>
      </c>
      <c r="BS15" s="116" cm="1">
        <f t="array" ref="BS15">_xll.EQNXTDZ($A$1,$B15,BS$1)</f>
        <v>5.92</v>
      </c>
      <c r="BT15" s="116" cm="1">
        <f t="array" ref="BT15">_xll.EQNXTDZ($A$1,$B15,BT$1)</f>
        <v>4.63</v>
      </c>
      <c r="BU15" s="116" cm="1">
        <f t="array" ref="BU15">_xll.EQNXTDZ($A$1,$B15,BU$1)</f>
        <v>4.7300000000000004</v>
      </c>
      <c r="BV15" s="116" cm="1">
        <f t="array" ref="BV15">_xll.EQNXTDZ($A$1,$B15,BV$1)</f>
        <v>3.72</v>
      </c>
      <c r="BW15" s="116" cm="1">
        <f t="array" ref="BW15">_xll.EQNXTDZ($A$1,$B15,BW$1)</f>
        <v>3.08</v>
      </c>
      <c r="BX15" s="116" cm="1">
        <f t="array" ref="BX15">_xll.EQNXTDZ($A$1,$B15,BX$1)</f>
        <v>3.04</v>
      </c>
      <c r="BY15" s="116" cm="1">
        <f t="array" ref="BY15">_xll.EQNXTDZ($A$1,$B15,BY$1)</f>
        <v>5.57</v>
      </c>
      <c r="BZ15" s="116" cm="1">
        <f t="array" ref="BZ15">_xll.EQNXTDZ($A$1,$B15,BZ$1)</f>
        <v>4.71</v>
      </c>
      <c r="CA15" s="116" cm="1">
        <f t="array" ref="CA15">_xll.EQNXTDZ($A$1,$B15,CA$1)</f>
        <v>4.22</v>
      </c>
      <c r="CB15" s="116" cm="1">
        <f t="array" ref="CB15">_xll.EQNXTDZ($A$1,$B15,CB$1)</f>
        <v>9</v>
      </c>
      <c r="CC15" s="116" cm="1">
        <f t="array" ref="CC15">_xll.EQNXTDZ($A$1,$B15,CC$1)</f>
        <v>9.4</v>
      </c>
      <c r="CD15" s="116" cm="1">
        <f t="array" ref="CD15">_xll.EQNXTDZ($A$1,$B15,CD$1)</f>
        <v>7.85</v>
      </c>
      <c r="CE15" s="116" cm="1">
        <f t="array" ref="CE15">_xll.EQNXTDZ($A$1,$B15,CE$1)</f>
        <v>6.67</v>
      </c>
      <c r="CF15" s="116" cm="1">
        <f t="array" ref="CF15">_xll.EQNXTDZ($A$1,$B15,CF$1)</f>
        <v>9.2799999999999994</v>
      </c>
      <c r="CG15" s="116" cm="1">
        <f t="array" ref="CG15">_xll.EQNXTDZ($A$1,$B15,CG$1)</f>
        <v>8.8000000000000007</v>
      </c>
      <c r="CH15" s="116" cm="1">
        <f t="array" ref="CH15">_xll.EQNXTDZ($A$1,$B15,CH$1)</f>
        <v>7.45</v>
      </c>
      <c r="CI15" s="116" cm="1">
        <f t="array" ref="CI15">_xll.EQNXTDZ($A$1,$B15,CI$1)</f>
        <v>8.86</v>
      </c>
      <c r="CJ15" s="116" cm="1">
        <f t="array" ref="CJ15">_xll.EQNXTDZ($A$1,$B15,CJ$1)</f>
        <v>10.16</v>
      </c>
      <c r="CK15" s="116" cm="1">
        <f t="array" ref="CK15">_xll.EQNXTDZ($A$1,$B15,CK$1)</f>
        <v>11.03</v>
      </c>
      <c r="CL15" s="116" cm="1">
        <f t="array" ref="CL15">_xll.EQNXTDZ($A$1,$B15,CL$1)</f>
        <v>11.14</v>
      </c>
      <c r="CM15" s="116" cm="1">
        <f t="array" ref="CM15">_xll.EQNXTDZ($A$1,$B15,CM$1)</f>
        <v>11.68</v>
      </c>
      <c r="CN15" s="116" cm="1">
        <f t="array" ref="CN15">_xll.EQNXTDZ($A$1,$B15,CN$1)</f>
        <v>11.83</v>
      </c>
      <c r="CO15" s="116" cm="1">
        <f t="array" ref="CO15">_xll.EQNXTDZ($A$1,$B15,CO$1)</f>
        <v>11.7</v>
      </c>
      <c r="CP15" s="116" cm="1">
        <f t="array" ref="CP15">_xll.EQNXTDZ($A$1,$B15,CP$1)</f>
        <v>11.61</v>
      </c>
      <c r="CQ15" s="116" cm="1">
        <f t="array" ref="CQ15">_xll.EQNXTDZ($A$1,$B15,CQ$1)</f>
        <v>9.3000000000000007</v>
      </c>
      <c r="CR15" s="116" cm="1">
        <f t="array" ref="CR15">_xll.EQNXTDZ($A$1,$B15,CR$1)</f>
        <v>4.8600000000000003</v>
      </c>
      <c r="CS15" s="116" cm="1">
        <f t="array" ref="CS15">_xll.EQNXTDZ($A$1,$B15,CS$1)</f>
        <v>5.2</v>
      </c>
      <c r="CT15" s="116" cm="1">
        <f t="array" ref="CT15">_xll.EQNXTDZ($A$1,$B15,CT$1)</f>
        <v>5.81</v>
      </c>
      <c r="CU15" s="116" cm="1">
        <f t="array" ref="CU15">_xll.EQNXTDZ($A$1,$B15,CU$1)</f>
        <v>7.12</v>
      </c>
      <c r="CV15" s="116" cm="1">
        <f t="array" ref="CV15">_xll.EQNXTDZ($A$1,$B15,CV$1)</f>
        <v>6.87</v>
      </c>
      <c r="CW15" s="116" cm="1">
        <f t="array" ref="CW15">_xll.EQNXTDZ($A$1,$B15,CW$1)</f>
        <v>7.01</v>
      </c>
      <c r="CX15" s="116" cm="1">
        <f t="array" ref="CX15">_xll.EQNXTDZ($A$1,$B15,CX$1)</f>
        <v>7.2</v>
      </c>
      <c r="CY15" s="116" cm="1">
        <f t="array" ref="CY15">_xll.EQNXTDZ($A$1,$B15,CY$1)</f>
        <v>6.9</v>
      </c>
      <c r="CZ15" s="116" cm="1">
        <f t="array" ref="CZ15">_xll.EQNXTDZ($A$1,$B15,CZ$1)</f>
        <v>7</v>
      </c>
      <c r="DA15" s="116" cm="1">
        <f t="array" ref="DA15">_xll.EQNXTDZ($A$1,$B15,DA$1)</f>
        <v>7.72</v>
      </c>
      <c r="DB15" s="116" cm="1">
        <f t="array" ref="DB15">_xll.EQNXTDZ($A$1,$B15,DB$1)</f>
        <v>9.68</v>
      </c>
      <c r="DC15" s="116" cm="1">
        <f t="array" ref="DC15">_xll.EQNXTDZ($A$1,$B15,DC$1)</f>
        <v>10.210000000000001</v>
      </c>
      <c r="DD15" s="116" cm="1">
        <f t="array" ref="DD15">_xll.EQNXTDZ($A$1,$B15,DD$1)</f>
        <v>11.09</v>
      </c>
      <c r="DE15" s="116" cm="1">
        <f t="array" ref="DE15">_xll.EQNXTDZ($A$1,$B15,DE$1)</f>
        <v>16.27</v>
      </c>
      <c r="DF15" s="116" cm="1">
        <f t="array" ref="DF15">_xll.EQNXTDZ($A$1,$B15,DF$1)</f>
        <v>18.16</v>
      </c>
      <c r="DG15" s="116" cm="1">
        <f t="array" ref="DG15">_xll.EQNXTDZ($A$1,$B15,DG$1)</f>
        <v>18.38</v>
      </c>
      <c r="DH15" s="116" cm="1">
        <f t="array" ref="DH15">_xll.EQNXTDZ($A$1,$B15,DH$1)</f>
        <v>18.399999999999999</v>
      </c>
      <c r="DI15" s="116" cm="1">
        <f t="array" ref="DI15">_xll.EQNXTDZ($A$1,$B15,DI$1)</f>
        <v>13.99</v>
      </c>
      <c r="DJ15" s="116" cm="1">
        <f t="array" ref="DJ15">_xll.EQNXTDZ($A$1,$B15,DJ$1)</f>
        <v>17.71</v>
      </c>
      <c r="DK15" s="116" cm="1">
        <f t="array" ref="DK15">_xll.EQNXTDZ($A$1,$B15,DK$1)</f>
        <v>19.13</v>
      </c>
      <c r="DL15" s="116" cm="1">
        <f t="array" ref="DL15">_xll.EQNXTDZ($A$1,$B15,DL$1)</f>
        <v>18.72</v>
      </c>
      <c r="DM15" s="116" cm="1">
        <f t="array" ref="DM15">_xll.EQNXTDZ($A$1,$B15,DM$1)</f>
        <v>19.07</v>
      </c>
      <c r="DN15" s="116" cm="1">
        <f t="array" ref="DN15">_xll.EQNXTDZ($A$1,$B15,DN$1)</f>
        <v>19.600000000000001</v>
      </c>
      <c r="DO15" s="116" cm="1">
        <f t="array" ref="DO15">_xll.EQNXTDZ($A$1,$B15,DO$1)</f>
        <v>21.2</v>
      </c>
      <c r="DP15" s="116" cm="1">
        <f t="array" ref="DP15">_xll.EQNXTDZ($A$1,$B15,DP$1)</f>
        <v>23.1</v>
      </c>
      <c r="DQ15" s="116" cm="1">
        <f t="array" ref="DQ15">_xll.EQNXTDZ($A$1,$B15,DQ$1)</f>
        <v>37.520000000000003</v>
      </c>
      <c r="DR15" s="116" cm="1">
        <f t="array" ref="DR15">_xll.EQNXTDZ($A$1,$B15,DR$1)</f>
        <v>48.41</v>
      </c>
      <c r="DS15" s="116" cm="1">
        <f t="array" ref="DS15">_xll.EQNXTDZ($A$1,$B15,DS$1)</f>
        <v>47.65</v>
      </c>
      <c r="DT15" s="116" cm="1">
        <f t="array" ref="DT15">_xll.EQNXTDZ($A$1,$B15,DT$1)</f>
        <v>51.04</v>
      </c>
      <c r="DU15" s="116" cm="1">
        <f t="array" ref="DU15">_xll.EQNXTDZ($A$1,$B15,DU$1)</f>
        <v>61.13</v>
      </c>
      <c r="DV15" s="116" cm="1">
        <f t="array" ref="DV15">_xll.EQNXTDZ($A$1,$B15,DV$1)</f>
        <v>72.25</v>
      </c>
      <c r="DW15" s="116" cm="1">
        <f t="array" ref="DW15">_xll.EQNXTDZ($A$1,$B15,DW$1)</f>
        <v>63.21</v>
      </c>
      <c r="DX15" s="116" cm="1">
        <f t="array" ref="DX15">_xll.EQNXTDZ($A$1,$B15,DX$1)</f>
        <v>63.81</v>
      </c>
      <c r="DY15" s="116" cm="1">
        <f t="array" ref="DY15">_xll.EQNXTDZ($A$1,$B15,DY$1)</f>
        <v>49.83</v>
      </c>
      <c r="DZ15" s="116" cm="1">
        <f t="array" ref="DZ15">_xll.EQNXTDZ($A$1,$B15,DZ$1)</f>
        <v>44.78</v>
      </c>
      <c r="EA15" s="116" cm="1">
        <f t="array" ref="EA15">_xll.EQNXTDZ($A$1,$B15,EA$1)</f>
        <v>26.51</v>
      </c>
      <c r="EB15" s="116" cm="1">
        <f t="array" ref="EB15">_xll.EQNXTDZ($A$1,$B15,EB$1)</f>
        <v>30.5</v>
      </c>
      <c r="EC15" s="116" cm="1">
        <f t="array" ref="EC15">_xll.EQNXTDZ($A$1,$B15,EC$1)</f>
        <v>37.020000000000003</v>
      </c>
      <c r="ED15" s="116" cm="1">
        <f t="array" ref="ED15">_xll.EQNXTDZ($A$1,$B15,ED$1)</f>
        <v>42.8</v>
      </c>
      <c r="EE15" s="116" cm="1">
        <f t="array" ref="EE15">_xll.EQNXTDZ($A$1,$B15,EE$1)</f>
        <v>46.19</v>
      </c>
      <c r="EF15" s="116" cm="1">
        <f t="array" ref="EF15">_xll.EQNXTDZ($A$1,$B15,EF$1)</f>
        <v>47.14</v>
      </c>
      <c r="EG15" s="116" cm="1">
        <f t="array" ref="EG15">_xll.EQNXTDZ($A$1,$B15,EG$1)</f>
        <v>52.08</v>
      </c>
      <c r="EH15" s="116" cm="1">
        <f t="array" ref="EH15">_xll.EQNXTDZ($A$1,$B15,EH$1)</f>
        <v>62.5</v>
      </c>
      <c r="EI15" s="116" cm="1">
        <f t="array" ref="EI15">_xll.EQNXTDZ($A$1,$B15,EI$1)</f>
        <v>57.86</v>
      </c>
      <c r="EJ15" s="116" cm="1">
        <f t="array" ref="EJ15">_xll.EQNXTDZ($A$1,$B15,EJ$1)</f>
        <v>71.569999999999993</v>
      </c>
      <c r="EK15" s="116" cm="1">
        <f t="array" ref="EK15">_xll.EQNXTDZ($A$1,$B15,EK$1)</f>
        <v>87.09</v>
      </c>
      <c r="EL15" s="116" cm="1">
        <f t="array" ref="EL15">_xll.EQNXTDZ($A$1,$B15,EL$1)</f>
        <v>101.6</v>
      </c>
      <c r="EM15" s="116" cm="1">
        <f t="array" ref="EM15">_xll.EQNXTDZ($A$1,$B15,EM$1)</f>
        <v>105.6</v>
      </c>
      <c r="EN15" s="116" cm="1">
        <f t="array" ref="EN15">_xll.EQNXTDZ($A$1,$B15,EN$1)</f>
        <v>100.34</v>
      </c>
      <c r="EO15" s="116" cm="1">
        <f t="array" ref="EO15">_xll.EQNXTDZ($A$1,$B15,EO$1)</f>
        <v>108.88</v>
      </c>
      <c r="EP15" s="116" cm="1">
        <f t="array" ref="EP15">_xll.EQNXTDZ($A$1,$B15,EP$1)</f>
        <v>114.45</v>
      </c>
      <c r="EQ15" s="116" cm="1">
        <f t="array" ref="EQ15">_xll.EQNXTDZ($A$1,$B15,EQ$1)</f>
        <v>127.78</v>
      </c>
      <c r="ER15" s="116" cm="1">
        <f t="array" ref="ER15">_xll.EQNXTDZ($A$1,$B15,ER$1)</f>
        <v>129.25</v>
      </c>
      <c r="ES15" s="116" cm="1">
        <f t="array" ref="ES15">_xll.EQNXTDZ($A$1,$B15,ES$1)</f>
        <v>123.8</v>
      </c>
      <c r="ET15" s="116" cm="1">
        <f t="array" ref="ET15">_xll.EQNXTDZ($A$1,$B15,ET$1)</f>
        <v>124.24</v>
      </c>
      <c r="EU15" s="116" cm="1">
        <f t="array" ref="EU15">_xll.EQNXTDZ($A$1,$B15,EU$1)</f>
        <v>114.52</v>
      </c>
      <c r="EV15" s="116" cm="1">
        <f t="array" ref="EV15">_xll.EQNXTDZ($A$1,$B15,EV$1)</f>
        <v>86.17</v>
      </c>
      <c r="EW15" s="116" cm="1">
        <f t="array" ref="EW15">_xll.EQNXTDZ($A$1,$B15,EW$1)</f>
        <v>98.4</v>
      </c>
      <c r="EX15" s="116" cm="1">
        <f t="array" ref="EX15">_xll.EQNXTDZ($A$1,$B15,EX$1)</f>
        <v>89.07</v>
      </c>
      <c r="EY15" s="116" cm="1">
        <f t="array" ref="EY15">_xll.EQNXTDZ($A$1,$B15,EY$1)</f>
        <v>93.23</v>
      </c>
      <c r="EZ15" s="116" cm="1">
        <f t="array" ref="EZ15">_xll.EQNXTDZ($A$1,$B15,EZ$1)</f>
        <v>94.84</v>
      </c>
      <c r="FA15" s="116" cm="1">
        <f t="array" ref="FA15">_xll.EQNXTDZ($A$1,$B15,FA$1)</f>
        <v>94.41</v>
      </c>
      <c r="FB15" s="116" cm="1">
        <f t="array" ref="FB15">_xll.EQNXTDZ($A$1,$B15,FB$1)</f>
        <v>101.06</v>
      </c>
      <c r="FC15" s="116" cm="1">
        <f t="array" ref="FC15">_xll.EQNXTDZ($A$1,$B15,FC$1)</f>
        <v>105.66</v>
      </c>
      <c r="FD15" s="116" cm="1">
        <f t="array" ref="FD15">_xll.EQNXTDZ($A$1,$B15,FD$1)</f>
        <v>112.21</v>
      </c>
      <c r="FE15" s="116" cm="1">
        <f t="array" ref="FE15">_xll.EQNXTDZ($A$1,$B15,FE$1)</f>
        <v>110.47</v>
      </c>
      <c r="FF15" s="116" cm="1">
        <f t="array" ref="FF15">_xll.EQNXTDZ($A$1,$B15,FF$1)</f>
        <v>120.23</v>
      </c>
      <c r="FG15" s="116" cm="1">
        <f t="array" ref="FG15">_xll.EQNXTDZ($A$1,$B15,FG$1)</f>
        <v>143.9</v>
      </c>
      <c r="FH15" s="116" cm="1">
        <f t="array" ref="FH15">_xll.EQNXTDZ($A$1,$B15,FH$1)</f>
        <v>144.75</v>
      </c>
      <c r="FI15" s="116" cm="1">
        <f t="array" ref="FI15">_xll.EQNXTDZ($A$1,$B15,FI$1)</f>
        <v>135</v>
      </c>
      <c r="FJ15" s="116" cm="1">
        <f t="array" ref="FJ15">_xll.EQNXTDZ($A$1,$B15,FJ$1)</f>
        <v>128.35</v>
      </c>
      <c r="FK15" s="116" cm="1">
        <f t="array" ref="FK15">_xll.EQNXTDZ($A$1,$B15,FK$1)</f>
        <v>130.65</v>
      </c>
      <c r="FL15" s="116" cm="1">
        <f t="array" ref="FL15">_xll.EQNXTDZ($A$1,$B15,FL$1)</f>
        <v>130.15</v>
      </c>
      <c r="FM15" s="116" cm="1">
        <f t="array" ref="FM15">_xll.EQNXTDZ($A$1,$B15,FM$1)</f>
        <v>150.65</v>
      </c>
      <c r="FN15" s="116" cm="1">
        <f t="array" ref="FN15">_xll.EQNXTDZ($A$1,$B15,FN$1)</f>
        <v>208</v>
      </c>
      <c r="FO15" s="116" cm="1">
        <f t="array" ref="FO15">_xll.EQNXTDZ($A$1,$B15,FO$1)</f>
        <v>214.8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7.36</v>
      </c>
      <c r="HQ15" s="116">
        <f>+MIN(G15:I15)</f>
        <v>9.23</v>
      </c>
      <c r="HR15" s="116">
        <f>+MIN(J15:L15)</f>
        <v>7.66</v>
      </c>
      <c r="HS15" s="116">
        <f>+MIN(M15:O15)</f>
        <v>7.8</v>
      </c>
      <c r="HT15" s="116">
        <f>+MIN(P15:R15)</f>
        <v>5.89</v>
      </c>
      <c r="HU15" s="116">
        <f>+MIN(S15:U15)</f>
        <v>6.36</v>
      </c>
      <c r="HV15" s="116">
        <f>+MIN(V15:X15)</f>
        <v>6.38</v>
      </c>
      <c r="HW15" s="116">
        <f>+MIN(Y15:AA15)</f>
        <v>8.92</v>
      </c>
      <c r="HX15" s="116">
        <f>+MIN(AB15:AD15)</f>
        <v>8.41</v>
      </c>
      <c r="HY15" s="116">
        <f>+MIN(AE15:AG15)</f>
        <v>7.76</v>
      </c>
      <c r="HZ15" s="116">
        <f>+MIN(AH15:AJ15)</f>
        <v>8.66</v>
      </c>
      <c r="IA15" s="116">
        <f>+MIN(AK15:AM15)</f>
        <v>5.3</v>
      </c>
      <c r="IB15" s="116">
        <f>+MIN(AN15:AP15)</f>
        <v>3.93</v>
      </c>
      <c r="IC15" s="116">
        <f>+MIN(AQ15:AS15)</f>
        <v>4.84</v>
      </c>
      <c r="ID15" s="116">
        <f>+MIN(AT15:AV15)</f>
        <v>4.49</v>
      </c>
      <c r="IE15" s="116">
        <f>+MIN(AW15:AY15)</f>
        <v>5.43</v>
      </c>
      <c r="IF15" s="116">
        <f>+MIN(AZ15:BB15)</f>
        <v>4.9400000000000004</v>
      </c>
      <c r="IG15" s="116">
        <f>+MIN(BC15:BE15)</f>
        <v>4.67</v>
      </c>
      <c r="IH15" s="116">
        <f>+MIN(BF15:BH15)</f>
        <v>5.84</v>
      </c>
      <c r="II15" s="116">
        <f>+MIN(BI15:BK15)</f>
        <v>5.18</v>
      </c>
      <c r="IJ15" s="116">
        <f>+MIN(BL15:BN15)</f>
        <v>5.18</v>
      </c>
      <c r="IK15" s="116">
        <f>+MIN(BO15:BQ15)</f>
        <v>5.75</v>
      </c>
      <c r="IL15" s="116">
        <f>+MIN(BR15:BT15)</f>
        <v>4.63</v>
      </c>
      <c r="IM15" s="116">
        <f>+MIN(BU15:BW15)</f>
        <v>3.08</v>
      </c>
      <c r="IN15" s="116">
        <f>+MIN(BX15:BZ15)</f>
        <v>3.04</v>
      </c>
      <c r="IO15" s="116">
        <f>+MIN(CA15:CC15)</f>
        <v>4.22</v>
      </c>
      <c r="IP15" s="116">
        <f>+MIN(CD15:CF15)</f>
        <v>6.67</v>
      </c>
      <c r="IQ15" s="116">
        <f>+MIN(CG15:CI15)</f>
        <v>7.45</v>
      </c>
      <c r="IR15" s="116">
        <f>+MIN(CJ15:CL15)</f>
        <v>10.16</v>
      </c>
      <c r="IS15" s="116">
        <f>+MIN(CM15:CO15)</f>
        <v>11.68</v>
      </c>
      <c r="IT15" s="116">
        <f>+MIN(CP15:CR15)</f>
        <v>4.8600000000000003</v>
      </c>
      <c r="IU15" s="116">
        <f>+MIN(CS15:CU15)</f>
        <v>5.2</v>
      </c>
      <c r="IV15" s="116">
        <f>+MIN(CV15:CX15)</f>
        <v>6.87</v>
      </c>
      <c r="IW15" s="116">
        <f>+MIN(CY15:DA15)</f>
        <v>6.9</v>
      </c>
      <c r="IX15" s="116">
        <f>+MIN(DB15:DD15)</f>
        <v>9.68</v>
      </c>
      <c r="IY15" s="116">
        <f>+MIN(DE15:DG15)</f>
        <v>16.27</v>
      </c>
      <c r="IZ15" s="116">
        <f>+MIN(DH15:DJ15)</f>
        <v>13.99</v>
      </c>
      <c r="JA15" s="116">
        <f>+MIN(DK15:DM15)</f>
        <v>18.72</v>
      </c>
      <c r="JB15" s="116">
        <f>+MIN(DN15:DP15)</f>
        <v>19.600000000000001</v>
      </c>
      <c r="JC15" s="116">
        <f>+MIN(DQ15:DS15)</f>
        <v>37.520000000000003</v>
      </c>
      <c r="JD15" s="116">
        <f>+MIN(DT15:DV15)</f>
        <v>51.04</v>
      </c>
      <c r="JE15" s="116">
        <f>+MIN(DW15:DY15)</f>
        <v>49.83</v>
      </c>
      <c r="JF15" s="116">
        <f>+MIN(DZ15:EB15)</f>
        <v>26.51</v>
      </c>
      <c r="JG15" s="116">
        <f>+MIN(EC15:EE15)</f>
        <v>37.020000000000003</v>
      </c>
      <c r="JH15" s="116">
        <f>+MIN(EF15:EH15)</f>
        <v>47.14</v>
      </c>
      <c r="JI15" s="116">
        <f>+MIN(EI15:EK15)</f>
        <v>57.86</v>
      </c>
      <c r="JJ15" s="116">
        <f>+MIN(EL15:EN15)</f>
        <v>100.34</v>
      </c>
      <c r="JK15" s="116">
        <f>MIN(EO15:EQ15)</f>
        <v>108.88</v>
      </c>
      <c r="JL15" s="116">
        <f>MIN(ER15:ET15)</f>
        <v>123.8</v>
      </c>
      <c r="JM15" s="116">
        <f>MIN(EU15:EW15)</f>
        <v>86.17</v>
      </c>
      <c r="JN15" s="116">
        <f>MIN(EX15:EZ15)</f>
        <v>89.07</v>
      </c>
      <c r="JO15" s="116">
        <f>MIN(FA15:FC15)</f>
        <v>94.41</v>
      </c>
      <c r="JP15" s="116">
        <f>MIN(FD15:FF15)</f>
        <v>110.47</v>
      </c>
      <c r="JQ15" s="116">
        <f>MIN(FG15:FI15)</f>
        <v>135</v>
      </c>
      <c r="JR15" s="116">
        <f>MIN(FJ15:FL15)</f>
        <v>128.35</v>
      </c>
      <c r="JS15" s="116">
        <f>MIN(FM15:FO15)</f>
        <v>150.65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9.99</v>
      </c>
      <c r="D16" s="116" cm="1">
        <f t="array" ref="D16">_xll.EQNXTDZ($A$1,$B16,D$1)</f>
        <v>8.73</v>
      </c>
      <c r="E16" s="116" cm="1">
        <f t="array" ref="E16">_xll.EQNXTDZ($A$1,$B16,E$1)</f>
        <v>7.82</v>
      </c>
      <c r="F16" s="116" cm="1">
        <f t="array" ref="F16">_xll.EQNXTDZ($A$1,$B16,F$1)</f>
        <v>10.57</v>
      </c>
      <c r="G16" s="116" cm="1">
        <f t="array" ref="G16">_xll.EQNXTDZ($A$1,$B16,G$1)</f>
        <v>9.6300000000000008</v>
      </c>
      <c r="H16" s="116" cm="1">
        <f t="array" ref="H16">_xll.EQNXTDZ($A$1,$B16,H$1)</f>
        <v>10.58</v>
      </c>
      <c r="I16" s="116" cm="1">
        <f t="array" ref="I16">_xll.EQNXTDZ($A$1,$B16,I$1)</f>
        <v>12.34</v>
      </c>
      <c r="J16" s="116" cm="1">
        <f t="array" ref="J16">_xll.EQNXTDZ($A$1,$B16,J$1)</f>
        <v>12.17</v>
      </c>
      <c r="K16" s="116" cm="1">
        <f t="array" ref="K16">_xll.EQNXTDZ($A$1,$B16,K$1)</f>
        <v>8.91</v>
      </c>
      <c r="L16" s="116" cm="1">
        <f t="array" ref="L16">_xll.EQNXTDZ($A$1,$B16,L$1)</f>
        <v>8.1300000000000008</v>
      </c>
      <c r="M16" s="116" cm="1">
        <f t="array" ref="M16">_xll.EQNXTDZ($A$1,$B16,M$1)</f>
        <v>9.77</v>
      </c>
      <c r="N16" s="116" cm="1">
        <f t="array" ref="N16">_xll.EQNXTDZ($A$1,$B16,N$1)</f>
        <v>11.34</v>
      </c>
      <c r="O16" s="116" cm="1">
        <f t="array" ref="O16">_xll.EQNXTDZ($A$1,$B16,O$1)</f>
        <v>8.2899999999999991</v>
      </c>
      <c r="P16" s="116" cm="1">
        <f t="array" ref="P16">_xll.EQNXTDZ($A$1,$B16,P$1)</f>
        <v>7.01</v>
      </c>
      <c r="Q16" s="116" cm="1">
        <f t="array" ref="Q16">_xll.EQNXTDZ($A$1,$B16,Q$1)</f>
        <v>6.74</v>
      </c>
      <c r="R16" s="116" cm="1">
        <f t="array" ref="R16">_xll.EQNXTDZ($A$1,$B16,R$1)</f>
        <v>6.45</v>
      </c>
      <c r="S16" s="116" cm="1">
        <f t="array" ref="S16">_xll.EQNXTDZ($A$1,$B16,S$1)</f>
        <v>6.54</v>
      </c>
      <c r="T16" s="116" cm="1">
        <f t="array" ref="T16">_xll.EQNXTDZ($A$1,$B16,T$1)</f>
        <v>7.12</v>
      </c>
      <c r="U16" s="116" cm="1">
        <f t="array" ref="U16">_xll.EQNXTDZ($A$1,$B16,U$1)</f>
        <v>7.8</v>
      </c>
      <c r="V16" s="116" cm="1">
        <f t="array" ref="V16">_xll.EQNXTDZ($A$1,$B16,V$1)</f>
        <v>6.53</v>
      </c>
      <c r="W16" s="116" cm="1">
        <f t="array" ref="W16">_xll.EQNXTDZ($A$1,$B16,W$1)</f>
        <v>7.18</v>
      </c>
      <c r="X16" s="116" cm="1">
        <f t="array" ref="X16">_xll.EQNXTDZ($A$1,$B16,X$1)</f>
        <v>9.73</v>
      </c>
      <c r="Y16" s="116" cm="1">
        <f t="array" ref="Y16">_xll.EQNXTDZ($A$1,$B16,Y$1)</f>
        <v>9.66</v>
      </c>
      <c r="Z16" s="116" cm="1">
        <f t="array" ref="Z16">_xll.EQNXTDZ($A$1,$B16,Z$1)</f>
        <v>12.06</v>
      </c>
      <c r="AA16" s="116" cm="1">
        <f t="array" ref="AA16">_xll.EQNXTDZ($A$1,$B16,AA$1)</f>
        <v>12.51</v>
      </c>
      <c r="AB16" s="116" cm="1">
        <f t="array" ref="AB16">_xll.EQNXTDZ($A$1,$B16,AB$1)</f>
        <v>11.31</v>
      </c>
      <c r="AC16" s="116" cm="1">
        <f t="array" ref="AC16">_xll.EQNXTDZ($A$1,$B16,AC$1)</f>
        <v>9.4700000000000006</v>
      </c>
      <c r="AD16" s="116" cm="1">
        <f t="array" ref="AD16">_xll.EQNXTDZ($A$1,$B16,AD$1)</f>
        <v>8.68</v>
      </c>
      <c r="AE16" s="116" cm="1">
        <f t="array" ref="AE16">_xll.EQNXTDZ($A$1,$B16,AE$1)</f>
        <v>9.58</v>
      </c>
      <c r="AF16" s="116" cm="1">
        <f t="array" ref="AF16">_xll.EQNXTDZ($A$1,$B16,AF$1)</f>
        <v>9.14</v>
      </c>
      <c r="AG16" s="116" cm="1">
        <f t="array" ref="AG16">_xll.EQNXTDZ($A$1,$B16,AG$1)</f>
        <v>8.8699999999999992</v>
      </c>
      <c r="AH16" s="116" cm="1">
        <f t="array" ref="AH16">_xll.EQNXTDZ($A$1,$B16,AH$1)</f>
        <v>10.38</v>
      </c>
      <c r="AI16" s="116" cm="1">
        <f t="array" ref="AI16">_xll.EQNXTDZ($A$1,$B16,AI$1)</f>
        <v>11.2</v>
      </c>
      <c r="AJ16" s="116" cm="1">
        <f t="array" ref="AJ16">_xll.EQNXTDZ($A$1,$B16,AJ$1)</f>
        <v>9.4600000000000009</v>
      </c>
      <c r="AK16" s="116" cm="1">
        <f t="array" ref="AK16">_xll.EQNXTDZ($A$1,$B16,AK$1)</f>
        <v>8.6</v>
      </c>
      <c r="AL16" s="116" cm="1">
        <f t="array" ref="AL16">_xll.EQNXTDZ($A$1,$B16,AL$1)</f>
        <v>7.79</v>
      </c>
      <c r="AM16" s="116" cm="1">
        <f t="array" ref="AM16">_xll.EQNXTDZ($A$1,$B16,AM$1)</f>
        <v>5.85</v>
      </c>
      <c r="AN16" s="116" cm="1">
        <f t="array" ref="AN16">_xll.EQNXTDZ($A$1,$B16,AN$1)</f>
        <v>5.48</v>
      </c>
      <c r="AO16" s="116" cm="1">
        <f t="array" ref="AO16">_xll.EQNXTDZ($A$1,$B16,AO$1)</f>
        <v>4.49</v>
      </c>
      <c r="AP16" s="116" cm="1">
        <f t="array" ref="AP16">_xll.EQNXTDZ($A$1,$B16,AP$1)</f>
        <v>4.9400000000000004</v>
      </c>
      <c r="AQ16" s="116" cm="1">
        <f t="array" ref="AQ16">_xll.EQNXTDZ($A$1,$B16,AQ$1)</f>
        <v>6.29</v>
      </c>
      <c r="AR16" s="116" cm="1">
        <f t="array" ref="AR16">_xll.EQNXTDZ($A$1,$B16,AR$1)</f>
        <v>6.15</v>
      </c>
      <c r="AS16" s="116" cm="1">
        <f t="array" ref="AS16">_xll.EQNXTDZ($A$1,$B16,AS$1)</f>
        <v>6.45</v>
      </c>
      <c r="AT16" s="116" cm="1">
        <f t="array" ref="AT16">_xll.EQNXTDZ($A$1,$B16,AT$1)</f>
        <v>5.72</v>
      </c>
      <c r="AU16" s="116" cm="1">
        <f t="array" ref="AU16">_xll.EQNXTDZ($A$1,$B16,AU$1)</f>
        <v>5.5</v>
      </c>
      <c r="AV16" s="116" cm="1">
        <f t="array" ref="AV16">_xll.EQNXTDZ($A$1,$B16,AV$1)</f>
        <v>6.93</v>
      </c>
      <c r="AW16" s="116" cm="1">
        <f t="array" ref="AW16">_xll.EQNXTDZ($A$1,$B16,AW$1)</f>
        <v>6.41</v>
      </c>
      <c r="AX16" s="116" cm="1">
        <f t="array" ref="AX16">_xll.EQNXTDZ($A$1,$B16,AX$1)</f>
        <v>5.96</v>
      </c>
      <c r="AY16" s="116" cm="1">
        <f t="array" ref="AY16">_xll.EQNXTDZ($A$1,$B16,AY$1)</f>
        <v>6.07</v>
      </c>
      <c r="AZ16" s="116" cm="1">
        <f t="array" ref="AZ16">_xll.EQNXTDZ($A$1,$B16,AZ$1)</f>
        <v>5.61</v>
      </c>
      <c r="BA16" s="116" cm="1">
        <f t="array" ref="BA16">_xll.EQNXTDZ($A$1,$B16,BA$1)</f>
        <v>5.54</v>
      </c>
      <c r="BB16" s="116" cm="1">
        <f t="array" ref="BB16">_xll.EQNXTDZ($A$1,$B16,BB$1)</f>
        <v>4.99</v>
      </c>
      <c r="BC16" s="116" cm="1">
        <f t="array" ref="BC16">_xll.EQNXTDZ($A$1,$B16,BC$1)</f>
        <v>5.46</v>
      </c>
      <c r="BD16" s="116" cm="1">
        <f t="array" ref="BD16">_xll.EQNXTDZ($A$1,$B16,BD$1)</f>
        <v>5.73</v>
      </c>
      <c r="BE16" s="116" cm="1">
        <f t="array" ref="BE16">_xll.EQNXTDZ($A$1,$B16,BE$1)</f>
        <v>6.02</v>
      </c>
      <c r="BF16" s="116" cm="1">
        <f t="array" ref="BF16">_xll.EQNXTDZ($A$1,$B16,BF$1)</f>
        <v>7.24</v>
      </c>
      <c r="BG16" s="116" cm="1">
        <f t="array" ref="BG16">_xll.EQNXTDZ($A$1,$B16,BG$1)</f>
        <v>7.69</v>
      </c>
      <c r="BH16" s="116" cm="1">
        <f t="array" ref="BH16">_xll.EQNXTDZ($A$1,$B16,BH$1)</f>
        <v>7.99</v>
      </c>
      <c r="BI16" s="116" cm="1">
        <f t="array" ref="BI16">_xll.EQNXTDZ($A$1,$B16,BI$1)</f>
        <v>6.59</v>
      </c>
      <c r="BJ16" s="116" cm="1">
        <f t="array" ref="BJ16">_xll.EQNXTDZ($A$1,$B16,BJ$1)</f>
        <v>5.53</v>
      </c>
      <c r="BK16" s="116" cm="1">
        <f t="array" ref="BK16">_xll.EQNXTDZ($A$1,$B16,BK$1)</f>
        <v>5.94</v>
      </c>
      <c r="BL16" s="116" cm="1">
        <f t="array" ref="BL16">_xll.EQNXTDZ($A$1,$B16,BL$1)</f>
        <v>6.69</v>
      </c>
      <c r="BM16" s="116" cm="1">
        <f t="array" ref="BM16">_xll.EQNXTDZ($A$1,$B16,BM$1)</f>
        <v>6.65</v>
      </c>
      <c r="BN16" s="116" cm="1">
        <f t="array" ref="BN16">_xll.EQNXTDZ($A$1,$B16,BN$1)</f>
        <v>5.91</v>
      </c>
      <c r="BO16" s="116" cm="1">
        <f t="array" ref="BO16">_xll.EQNXTDZ($A$1,$B16,BO$1)</f>
        <v>6.56</v>
      </c>
      <c r="BP16" s="116" cm="1">
        <f t="array" ref="BP16">_xll.EQNXTDZ($A$1,$B16,BP$1)</f>
        <v>7.1</v>
      </c>
      <c r="BQ16" s="116" cm="1">
        <f t="array" ref="BQ16">_xll.EQNXTDZ($A$1,$B16,BQ$1)</f>
        <v>8.33</v>
      </c>
      <c r="BR16" s="116" cm="1">
        <f t="array" ref="BR16">_xll.EQNXTDZ($A$1,$B16,BR$1)</f>
        <v>7.33</v>
      </c>
      <c r="BS16" s="116" cm="1">
        <f t="array" ref="BS16">_xll.EQNXTDZ($A$1,$B16,BS$1)</f>
        <v>6.35</v>
      </c>
      <c r="BT16" s="116" cm="1">
        <f t="array" ref="BT16">_xll.EQNXTDZ($A$1,$B16,BT$1)</f>
        <v>4.75</v>
      </c>
      <c r="BU16" s="116" cm="1">
        <f t="array" ref="BU16">_xll.EQNXTDZ($A$1,$B16,BU$1)</f>
        <v>5.14</v>
      </c>
      <c r="BV16" s="116" cm="1">
        <f t="array" ref="BV16">_xll.EQNXTDZ($A$1,$B16,BV$1)</f>
        <v>4.04</v>
      </c>
      <c r="BW16" s="116" cm="1">
        <f t="array" ref="BW16">_xll.EQNXTDZ($A$1,$B16,BW$1)</f>
        <v>3.23</v>
      </c>
      <c r="BX16" s="116" cm="1">
        <f t="array" ref="BX16">_xll.EQNXTDZ($A$1,$B16,BX$1)</f>
        <v>6.27</v>
      </c>
      <c r="BY16" s="116" cm="1">
        <f t="array" ref="BY16">_xll.EQNXTDZ($A$1,$B16,BY$1)</f>
        <v>7.08</v>
      </c>
      <c r="BZ16" s="116" cm="1">
        <f t="array" ref="BZ16">_xll.EQNXTDZ($A$1,$B16,BZ$1)</f>
        <v>4.7699999999999996</v>
      </c>
      <c r="CA16" s="116" cm="1">
        <f t="array" ref="CA16">_xll.EQNXTDZ($A$1,$B16,CA$1)</f>
        <v>9.2100000000000009</v>
      </c>
      <c r="CB16" s="116" cm="1">
        <f t="array" ref="CB16">_xll.EQNXTDZ($A$1,$B16,CB$1)</f>
        <v>11.08</v>
      </c>
      <c r="CC16" s="116" cm="1">
        <f t="array" ref="CC16">_xll.EQNXTDZ($A$1,$B16,CC$1)</f>
        <v>10.18</v>
      </c>
      <c r="CD16" s="116" cm="1">
        <f t="array" ref="CD16">_xll.EQNXTDZ($A$1,$B16,CD$1)</f>
        <v>9.11</v>
      </c>
      <c r="CE16" s="116" cm="1">
        <f t="array" ref="CE16">_xll.EQNXTDZ($A$1,$B16,CE$1)</f>
        <v>9.6199999999999992</v>
      </c>
      <c r="CF16" s="116" cm="1">
        <f t="array" ref="CF16">_xll.EQNXTDZ($A$1,$B16,CF$1)</f>
        <v>9.64</v>
      </c>
      <c r="CG16" s="116" cm="1">
        <f t="array" ref="CG16">_xll.EQNXTDZ($A$1,$B16,CG$1)</f>
        <v>8.9700000000000006</v>
      </c>
      <c r="CH16" s="116" cm="1">
        <f t="array" ref="CH16">_xll.EQNXTDZ($A$1,$B16,CH$1)</f>
        <v>10.07</v>
      </c>
      <c r="CI16" s="116" cm="1">
        <f t="array" ref="CI16">_xll.EQNXTDZ($A$1,$B16,CI$1)</f>
        <v>10.26</v>
      </c>
      <c r="CJ16" s="116" cm="1">
        <f t="array" ref="CJ16">_xll.EQNXTDZ($A$1,$B16,CJ$1)</f>
        <v>12.2</v>
      </c>
      <c r="CK16" s="116" cm="1">
        <f t="array" ref="CK16">_xll.EQNXTDZ($A$1,$B16,CK$1)</f>
        <v>11.68</v>
      </c>
      <c r="CL16" s="116" cm="1">
        <f t="array" ref="CL16">_xll.EQNXTDZ($A$1,$B16,CL$1)</f>
        <v>12.86</v>
      </c>
      <c r="CM16" s="116" cm="1">
        <f t="array" ref="CM16">_xll.EQNXTDZ($A$1,$B16,CM$1)</f>
        <v>13.22</v>
      </c>
      <c r="CN16" s="116" cm="1">
        <f t="array" ref="CN16">_xll.EQNXTDZ($A$1,$B16,CN$1)</f>
        <v>12.72</v>
      </c>
      <c r="CO16" s="116" cm="1">
        <f t="array" ref="CO16">_xll.EQNXTDZ($A$1,$B16,CO$1)</f>
        <v>12.36</v>
      </c>
      <c r="CP16" s="116" cm="1">
        <f t="array" ref="CP16">_xll.EQNXTDZ($A$1,$B16,CP$1)</f>
        <v>12.21</v>
      </c>
      <c r="CQ16" s="116" cm="1">
        <f t="array" ref="CQ16">_xll.EQNXTDZ($A$1,$B16,CQ$1)</f>
        <v>9.4600000000000009</v>
      </c>
      <c r="CR16" s="116" cm="1">
        <f t="array" ref="CR16">_xll.EQNXTDZ($A$1,$B16,CR$1)</f>
        <v>5.55</v>
      </c>
      <c r="CS16" s="116" cm="1">
        <f t="array" ref="CS16">_xll.EQNXTDZ($A$1,$B16,CS$1)</f>
        <v>6.33</v>
      </c>
      <c r="CT16" s="116" cm="1">
        <f t="array" ref="CT16">_xll.EQNXTDZ($A$1,$B16,CT$1)</f>
        <v>7.28</v>
      </c>
      <c r="CU16" s="116" cm="1">
        <f t="array" ref="CU16">_xll.EQNXTDZ($A$1,$B16,CU$1)</f>
        <v>7.2</v>
      </c>
      <c r="CV16" s="116" cm="1">
        <f t="array" ref="CV16">_xll.EQNXTDZ($A$1,$B16,CV$1)</f>
        <v>7.08</v>
      </c>
      <c r="CW16" s="116" cm="1">
        <f t="array" ref="CW16">_xll.EQNXTDZ($A$1,$B16,CW$1)</f>
        <v>7.46</v>
      </c>
      <c r="CX16" s="116" cm="1">
        <f t="array" ref="CX16">_xll.EQNXTDZ($A$1,$B16,CX$1)</f>
        <v>7.37</v>
      </c>
      <c r="CY16" s="116" cm="1">
        <f t="array" ref="CY16">_xll.EQNXTDZ($A$1,$B16,CY$1)</f>
        <v>7.14</v>
      </c>
      <c r="CZ16" s="116" cm="1">
        <f t="array" ref="CZ16">_xll.EQNXTDZ($A$1,$B16,CZ$1)</f>
        <v>7.7</v>
      </c>
      <c r="DA16" s="116" cm="1">
        <f t="array" ref="DA16">_xll.EQNXTDZ($A$1,$B16,DA$1)</f>
        <v>9.94</v>
      </c>
      <c r="DB16" s="116" cm="1">
        <f t="array" ref="DB16">_xll.EQNXTDZ($A$1,$B16,DB$1)</f>
        <v>10.26</v>
      </c>
      <c r="DC16" s="116" cm="1">
        <f t="array" ref="DC16">_xll.EQNXTDZ($A$1,$B16,DC$1)</f>
        <v>11.05</v>
      </c>
      <c r="DD16" s="116" cm="1">
        <f t="array" ref="DD16">_xll.EQNXTDZ($A$1,$B16,DD$1)</f>
        <v>17.010000000000002</v>
      </c>
      <c r="DE16" s="116" cm="1">
        <f t="array" ref="DE16">_xll.EQNXTDZ($A$1,$B16,DE$1)</f>
        <v>18.95</v>
      </c>
      <c r="DF16" s="116" cm="1">
        <f t="array" ref="DF16">_xll.EQNXTDZ($A$1,$B16,DF$1)</f>
        <v>18.5</v>
      </c>
      <c r="DG16" s="116" cm="1">
        <f t="array" ref="DG16">_xll.EQNXTDZ($A$1,$B16,DG$1)</f>
        <v>22.68</v>
      </c>
      <c r="DH16" s="116" cm="1">
        <f t="array" ref="DH16">_xll.EQNXTDZ($A$1,$B16,DH$1)</f>
        <v>19.149999999999999</v>
      </c>
      <c r="DI16" s="116" cm="1">
        <f t="array" ref="DI16">_xll.EQNXTDZ($A$1,$B16,DI$1)</f>
        <v>19.7</v>
      </c>
      <c r="DJ16" s="116" cm="1">
        <f t="array" ref="DJ16">_xll.EQNXTDZ($A$1,$B16,DJ$1)</f>
        <v>19.43</v>
      </c>
      <c r="DK16" s="116" cm="1">
        <f t="array" ref="DK16">_xll.EQNXTDZ($A$1,$B16,DK$1)</f>
        <v>20.079999999999998</v>
      </c>
      <c r="DL16" s="116" cm="1">
        <f t="array" ref="DL16">_xll.EQNXTDZ($A$1,$B16,DL$1)</f>
        <v>19.87</v>
      </c>
      <c r="DM16" s="116" cm="1">
        <f t="array" ref="DM16">_xll.EQNXTDZ($A$1,$B16,DM$1)</f>
        <v>19.95</v>
      </c>
      <c r="DN16" s="116" cm="1">
        <f t="array" ref="DN16">_xll.EQNXTDZ($A$1,$B16,DN$1)</f>
        <v>21.25</v>
      </c>
      <c r="DO16" s="116" cm="1">
        <f t="array" ref="DO16">_xll.EQNXTDZ($A$1,$B16,DO$1)</f>
        <v>24.74</v>
      </c>
      <c r="DP16" s="116" cm="1">
        <f t="array" ref="DP16">_xll.EQNXTDZ($A$1,$B16,DP$1)</f>
        <v>37.01</v>
      </c>
      <c r="DQ16" s="116" cm="1">
        <f t="array" ref="DQ16">_xll.EQNXTDZ($A$1,$B16,DQ$1)</f>
        <v>56.06</v>
      </c>
      <c r="DR16" s="116" cm="1">
        <f t="array" ref="DR16">_xll.EQNXTDZ($A$1,$B16,DR$1)</f>
        <v>64.75</v>
      </c>
      <c r="DS16" s="116" cm="1">
        <f t="array" ref="DS16">_xll.EQNXTDZ($A$1,$B16,DS$1)</f>
        <v>52.51</v>
      </c>
      <c r="DT16" s="116" cm="1">
        <f t="array" ref="DT16">_xll.EQNXTDZ($A$1,$B16,DT$1)</f>
        <v>62.77</v>
      </c>
      <c r="DU16" s="116" cm="1">
        <f t="array" ref="DU16">_xll.EQNXTDZ($A$1,$B16,DU$1)</f>
        <v>82.47</v>
      </c>
      <c r="DV16" s="116" cm="1">
        <f t="array" ref="DV16">_xll.EQNXTDZ($A$1,$B16,DV$1)</f>
        <v>74.760000000000005</v>
      </c>
      <c r="DW16" s="116" cm="1">
        <f t="array" ref="DW16">_xll.EQNXTDZ($A$1,$B16,DW$1)</f>
        <v>66.92</v>
      </c>
      <c r="DX16" s="116" cm="1">
        <f t="array" ref="DX16">_xll.EQNXTDZ($A$1,$B16,DX$1)</f>
        <v>66.38</v>
      </c>
      <c r="DY16" s="116" cm="1">
        <f t="array" ref="DY16">_xll.EQNXTDZ($A$1,$B16,DY$1)</f>
        <v>59.88</v>
      </c>
      <c r="DZ16" s="116" cm="1">
        <f t="array" ref="DZ16">_xll.EQNXTDZ($A$1,$B16,DZ$1)</f>
        <v>44.78</v>
      </c>
      <c r="EA16" s="116" cm="1">
        <f t="array" ref="EA16">_xll.EQNXTDZ($A$1,$B16,EA$1)</f>
        <v>29.29</v>
      </c>
      <c r="EB16" s="116" cm="1">
        <f t="array" ref="EB16">_xll.EQNXTDZ($A$1,$B16,EB$1)</f>
        <v>38.32</v>
      </c>
      <c r="EC16" s="116" cm="1">
        <f t="array" ref="EC16">_xll.EQNXTDZ($A$1,$B16,EC$1)</f>
        <v>44.97</v>
      </c>
      <c r="ED16" s="116" cm="1">
        <f t="array" ref="ED16">_xll.EQNXTDZ($A$1,$B16,ED$1)</f>
        <v>49.97</v>
      </c>
      <c r="EE16" s="116" cm="1">
        <f t="array" ref="EE16">_xll.EQNXTDZ($A$1,$B16,EE$1)</f>
        <v>49.99</v>
      </c>
      <c r="EF16" s="116" cm="1">
        <f t="array" ref="EF16">_xll.EQNXTDZ($A$1,$B16,EF$1)</f>
        <v>54.63</v>
      </c>
      <c r="EG16" s="116" cm="1">
        <f t="array" ref="EG16">_xll.EQNXTDZ($A$1,$B16,EG$1)</f>
        <v>64.209999999999994</v>
      </c>
      <c r="EH16" s="116" cm="1">
        <f t="array" ref="EH16">_xll.EQNXTDZ($A$1,$B16,EH$1)</f>
        <v>75.430000000000007</v>
      </c>
      <c r="EI16" s="116" cm="1">
        <f t="array" ref="EI16">_xll.EQNXTDZ($A$1,$B16,EI$1)</f>
        <v>72.540000000000006</v>
      </c>
      <c r="EJ16" s="116" cm="1">
        <f t="array" ref="EJ16">_xll.EQNXTDZ($A$1,$B16,EJ$1)</f>
        <v>86.26</v>
      </c>
      <c r="EK16" s="116" cm="1">
        <f t="array" ref="EK16">_xll.EQNXTDZ($A$1,$B16,EK$1)</f>
        <v>104.97</v>
      </c>
      <c r="EL16" s="116" cm="1">
        <f t="array" ref="EL16">_xll.EQNXTDZ($A$1,$B16,EL$1)</f>
        <v>112.44</v>
      </c>
      <c r="EM16" s="116" cm="1">
        <f t="array" ref="EM16">_xll.EQNXTDZ($A$1,$B16,EM$1)</f>
        <v>109.97</v>
      </c>
      <c r="EN16" s="116" cm="1">
        <f t="array" ref="EN16">_xll.EQNXTDZ($A$1,$B16,EN$1)</f>
        <v>106.74</v>
      </c>
      <c r="EO16" s="116" cm="1">
        <f t="array" ref="EO16">_xll.EQNXTDZ($A$1,$B16,EO$1)</f>
        <v>122.51</v>
      </c>
      <c r="EP16" s="116" cm="1">
        <f t="array" ref="EP16">_xll.EQNXTDZ($A$1,$B16,EP$1)</f>
        <v>151.33000000000001</v>
      </c>
      <c r="EQ16" s="116" cm="1">
        <f t="array" ref="EQ16">_xll.EQNXTDZ($A$1,$B16,EQ$1)</f>
        <v>143.63999999999999</v>
      </c>
      <c r="ER16" s="116" cm="1">
        <f t="array" ref="ER16">_xll.EQNXTDZ($A$1,$B16,ER$1)</f>
        <v>146.9</v>
      </c>
      <c r="ES16" s="116" cm="1">
        <f t="array" ref="ES16">_xll.EQNXTDZ($A$1,$B16,ES$1)</f>
        <v>126.39</v>
      </c>
      <c r="ET16" s="116" cm="1">
        <f t="array" ref="ET16">_xll.EQNXTDZ($A$1,$B16,ET$1)</f>
        <v>131.21</v>
      </c>
      <c r="EU16" s="116" cm="1">
        <f t="array" ref="EU16">_xll.EQNXTDZ($A$1,$B16,EU$1)</f>
        <v>118.57</v>
      </c>
      <c r="EV16" s="116" cm="1">
        <f t="array" ref="EV16">_xll.EQNXTDZ($A$1,$B16,EV$1)</f>
        <v>110.91</v>
      </c>
      <c r="EW16" s="116" cm="1">
        <f t="array" ref="EW16">_xll.EQNXTDZ($A$1,$B16,EW$1)</f>
        <v>105.83</v>
      </c>
      <c r="EX16" s="116" cm="1">
        <f t="array" ref="EX16">_xll.EQNXTDZ($A$1,$B16,EX$1)</f>
        <v>102.65</v>
      </c>
      <c r="EY16" s="116" cm="1">
        <f t="array" ref="EY16">_xll.EQNXTDZ($A$1,$B16,EY$1)</f>
        <v>95.75</v>
      </c>
      <c r="EZ16" s="116" cm="1">
        <f t="array" ref="EZ16">_xll.EQNXTDZ($A$1,$B16,EZ$1)</f>
        <v>101.84</v>
      </c>
      <c r="FA16" s="116" cm="1">
        <f t="array" ref="FA16">_xll.EQNXTDZ($A$1,$B16,FA$1)</f>
        <v>106.39</v>
      </c>
      <c r="FB16" s="116" cm="1">
        <f t="array" ref="FB16">_xll.EQNXTDZ($A$1,$B16,FB$1)</f>
        <v>108.92</v>
      </c>
      <c r="FC16" s="116" cm="1">
        <f t="array" ref="FC16">_xll.EQNXTDZ($A$1,$B16,FC$1)</f>
        <v>117.16</v>
      </c>
      <c r="FD16" s="116" cm="1">
        <f t="array" ref="FD16">_xll.EQNXTDZ($A$1,$B16,FD$1)</f>
        <v>117.48</v>
      </c>
      <c r="FE16" s="116" cm="1">
        <f t="array" ref="FE16">_xll.EQNXTDZ($A$1,$B16,FE$1)</f>
        <v>120.15</v>
      </c>
      <c r="FF16" s="116" cm="1">
        <f t="array" ref="FF16">_xll.EQNXTDZ($A$1,$B16,FF$1)</f>
        <v>144.65</v>
      </c>
      <c r="FG16" s="116" cm="1">
        <f t="array" ref="FG16">_xll.EQNXTDZ($A$1,$B16,FG$1)</f>
        <v>157.9</v>
      </c>
      <c r="FH16" s="116" cm="1">
        <f t="array" ref="FH16">_xll.EQNXTDZ($A$1,$B16,FH$1)</f>
        <v>147.5</v>
      </c>
      <c r="FI16" s="116" cm="1">
        <f t="array" ref="FI16">_xll.EQNXTDZ($A$1,$B16,FI$1)</f>
        <v>143</v>
      </c>
      <c r="FJ16" s="116" cm="1">
        <f t="array" ref="FJ16">_xll.EQNXTDZ($A$1,$B16,FJ$1)</f>
        <v>135.19999999999999</v>
      </c>
      <c r="FK16" s="116" cm="1">
        <f t="array" ref="FK16">_xll.EQNXTDZ($A$1,$B16,FK$1)</f>
        <v>140.1</v>
      </c>
      <c r="FL16" s="116" cm="1">
        <f t="array" ref="FL16">_xll.EQNXTDZ($A$1,$B16,FL$1)</f>
        <v>150.5</v>
      </c>
      <c r="FM16" s="116" cm="1">
        <f t="array" ref="FM16">_xll.EQNXTDZ($A$1,$B16,FM$1)</f>
        <v>222.05</v>
      </c>
      <c r="FN16" s="116" cm="1">
        <f t="array" ref="FN16">_xll.EQNXTDZ($A$1,$B16,FN$1)</f>
        <v>243.5</v>
      </c>
      <c r="FO16" s="116" cm="1">
        <f t="array" ref="FO16">_xll.EQNXTDZ($A$1,$B16,FO$1)</f>
        <v>222.6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10.57</v>
      </c>
      <c r="HQ16" s="116">
        <f>+I16</f>
        <v>12.34</v>
      </c>
      <c r="HR16" s="116">
        <f>+L16</f>
        <v>8.1300000000000008</v>
      </c>
      <c r="HS16" s="116">
        <f>+O16</f>
        <v>8.2899999999999991</v>
      </c>
      <c r="HT16" s="116">
        <f>+R16</f>
        <v>6.45</v>
      </c>
      <c r="HU16" s="116">
        <f>+U16</f>
        <v>7.8</v>
      </c>
      <c r="HV16" s="116">
        <f>+X16</f>
        <v>9.73</v>
      </c>
      <c r="HW16" s="116">
        <f>+AA16</f>
        <v>12.51</v>
      </c>
      <c r="HX16" s="116">
        <f>+AD16</f>
        <v>8.68</v>
      </c>
      <c r="HY16" s="116">
        <f>+AG16</f>
        <v>8.8699999999999992</v>
      </c>
      <c r="HZ16" s="116">
        <f>+AJ16</f>
        <v>9.4600000000000009</v>
      </c>
      <c r="IA16" s="116">
        <f>+AM16</f>
        <v>5.85</v>
      </c>
      <c r="IB16" s="116">
        <f>+AP16</f>
        <v>4.9400000000000004</v>
      </c>
      <c r="IC16" s="116">
        <f>+AS16</f>
        <v>6.45</v>
      </c>
      <c r="ID16" s="116">
        <f>+AV16</f>
        <v>6.93</v>
      </c>
      <c r="IE16" s="116">
        <f>+AY16</f>
        <v>6.07</v>
      </c>
      <c r="IF16" s="116">
        <f>+BB16</f>
        <v>4.99</v>
      </c>
      <c r="IG16" s="116">
        <f>+BE16</f>
        <v>6.02</v>
      </c>
      <c r="IH16" s="116">
        <f>+BH16</f>
        <v>7.99</v>
      </c>
      <c r="II16" s="116">
        <f>+BK16</f>
        <v>5.94</v>
      </c>
      <c r="IJ16" s="116">
        <f>+BN16</f>
        <v>5.91</v>
      </c>
      <c r="IK16" s="116">
        <f>+BQ16</f>
        <v>8.33</v>
      </c>
      <c r="IL16" s="116">
        <f>+BT16</f>
        <v>4.75</v>
      </c>
      <c r="IM16" s="116">
        <f>+BW16</f>
        <v>3.23</v>
      </c>
      <c r="IN16" s="116">
        <f>+BZ16</f>
        <v>4.7699999999999996</v>
      </c>
      <c r="IO16" s="116">
        <f>+CC16</f>
        <v>10.18</v>
      </c>
      <c r="IP16" s="116">
        <f>+CF16</f>
        <v>9.64</v>
      </c>
      <c r="IQ16" s="116">
        <f>+CI16</f>
        <v>10.26</v>
      </c>
      <c r="IR16" s="116">
        <f>+CL16</f>
        <v>12.86</v>
      </c>
      <c r="IS16" s="116">
        <f>+CO16</f>
        <v>12.36</v>
      </c>
      <c r="IT16" s="116">
        <f>+CR16</f>
        <v>5.55</v>
      </c>
      <c r="IU16" s="116">
        <f>+CU16</f>
        <v>7.2</v>
      </c>
      <c r="IV16" s="116">
        <f>+CX16</f>
        <v>7.37</v>
      </c>
      <c r="IW16" s="116">
        <f>+DA16</f>
        <v>9.94</v>
      </c>
      <c r="IX16" s="116">
        <f>+DD16</f>
        <v>17.010000000000002</v>
      </c>
      <c r="IY16" s="116">
        <f>+DG16</f>
        <v>22.68</v>
      </c>
      <c r="IZ16" s="116">
        <f>+DJ16</f>
        <v>19.43</v>
      </c>
      <c r="JA16" s="116">
        <f>+DM16</f>
        <v>19.95</v>
      </c>
      <c r="JB16" s="116">
        <f>+DP16</f>
        <v>37.01</v>
      </c>
      <c r="JC16" s="116">
        <f>+DS16</f>
        <v>52.51</v>
      </c>
      <c r="JD16" s="116">
        <f>+DV16</f>
        <v>74.760000000000005</v>
      </c>
      <c r="JE16" s="116">
        <f>+DY16</f>
        <v>59.88</v>
      </c>
      <c r="JF16" s="116">
        <f>+EB16</f>
        <v>38.32</v>
      </c>
      <c r="JG16" s="116">
        <f>+EE16</f>
        <v>49.99</v>
      </c>
      <c r="JH16" s="116">
        <f>+EH16</f>
        <v>75.430000000000007</v>
      </c>
      <c r="JI16" s="116">
        <f>+EK16</f>
        <v>104.97</v>
      </c>
      <c r="JJ16" s="116">
        <f>+EN16</f>
        <v>106.74</v>
      </c>
      <c r="JK16" s="116">
        <f>EQ16</f>
        <v>143.63999999999999</v>
      </c>
      <c r="JL16" s="116">
        <f>ET16</f>
        <v>131.21</v>
      </c>
      <c r="JM16" s="116">
        <f>EW16</f>
        <v>105.83</v>
      </c>
      <c r="JN16" s="116">
        <f>EZ16</f>
        <v>101.84</v>
      </c>
      <c r="JO16" s="116">
        <f>FC16</f>
        <v>117.16</v>
      </c>
      <c r="JP16" s="116">
        <f>FF16</f>
        <v>144.65</v>
      </c>
      <c r="JQ16" s="116">
        <f>FI16</f>
        <v>143</v>
      </c>
      <c r="JR16" s="116">
        <f>FL16</f>
        <v>150.5</v>
      </c>
      <c r="JS16" s="116">
        <f>FO16</f>
        <v>222.6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10.8</v>
      </c>
      <c r="HQ19" s="116">
        <f t="shared" ref="HQ19:JI21" si="1">+IF(HQ14=0,HQ7,HQ14)</f>
        <v>14</v>
      </c>
      <c r="HR19" s="116">
        <f t="shared" si="1"/>
        <v>13.68</v>
      </c>
      <c r="HS19" s="116">
        <f t="shared" si="1"/>
        <v>12.48</v>
      </c>
      <c r="HT19" s="116">
        <f t="shared" si="1"/>
        <v>9.06</v>
      </c>
      <c r="HU19" s="116">
        <f t="shared" si="1"/>
        <v>8.58</v>
      </c>
      <c r="HV19" s="116">
        <f t="shared" si="1"/>
        <v>10.4</v>
      </c>
      <c r="HW19" s="116">
        <f t="shared" si="1"/>
        <v>13.7</v>
      </c>
      <c r="HX19" s="116">
        <f t="shared" si="1"/>
        <v>13.39</v>
      </c>
      <c r="HY19" s="116">
        <f t="shared" si="1"/>
        <v>10.02</v>
      </c>
      <c r="HZ19" s="116">
        <f t="shared" si="1"/>
        <v>12</v>
      </c>
      <c r="IA19" s="116">
        <f t="shared" si="1"/>
        <v>10.09</v>
      </c>
      <c r="IB19" s="116">
        <f t="shared" si="1"/>
        <v>6.23</v>
      </c>
      <c r="IC19" s="116">
        <f t="shared" si="1"/>
        <v>6.51</v>
      </c>
      <c r="ID19" s="116">
        <f t="shared" si="1"/>
        <v>7.15</v>
      </c>
      <c r="IE19" s="116">
        <f t="shared" si="1"/>
        <v>7.22</v>
      </c>
      <c r="IF19" s="116">
        <f t="shared" si="1"/>
        <v>6.19</v>
      </c>
      <c r="IG19" s="116">
        <f t="shared" si="1"/>
        <v>6.79</v>
      </c>
      <c r="IH19" s="116">
        <f t="shared" si="1"/>
        <v>8.26</v>
      </c>
      <c r="II19" s="116">
        <f t="shared" si="1"/>
        <v>9.26</v>
      </c>
      <c r="IJ19" s="116">
        <f t="shared" si="1"/>
        <v>7.09</v>
      </c>
      <c r="IK19" s="116">
        <f t="shared" si="1"/>
        <v>8.42</v>
      </c>
      <c r="IL19" s="116">
        <f t="shared" si="1"/>
        <v>9.5500000000000007</v>
      </c>
      <c r="IM19" s="116">
        <f t="shared" si="1"/>
        <v>5.38</v>
      </c>
      <c r="IN19" s="116">
        <f t="shared" si="1"/>
        <v>7.21</v>
      </c>
      <c r="IO19" s="116">
        <f t="shared" si="1"/>
        <v>11.64</v>
      </c>
      <c r="IP19" s="116">
        <f t="shared" si="1"/>
        <v>10.65</v>
      </c>
      <c r="IQ19" s="116">
        <f t="shared" si="1"/>
        <v>11.16</v>
      </c>
      <c r="IR19" s="116">
        <f t="shared" si="1"/>
        <v>13.97</v>
      </c>
      <c r="IS19" s="116">
        <f t="shared" si="1"/>
        <v>14.75</v>
      </c>
      <c r="IT19" s="116">
        <f t="shared" si="1"/>
        <v>13.19</v>
      </c>
      <c r="IU19" s="116">
        <f t="shared" si="1"/>
        <v>8.44</v>
      </c>
      <c r="IV19" s="116">
        <f t="shared" si="1"/>
        <v>8.31</v>
      </c>
      <c r="IW19" s="116">
        <f t="shared" si="1"/>
        <v>12.8</v>
      </c>
      <c r="IX19" s="116">
        <f t="shared" si="1"/>
        <v>21.8</v>
      </c>
      <c r="IY19" s="116">
        <f t="shared" si="1"/>
        <v>33.409999999999997</v>
      </c>
      <c r="IZ19" s="116">
        <f t="shared" si="1"/>
        <v>22.9</v>
      </c>
      <c r="JA19" s="116">
        <f t="shared" si="1"/>
        <v>27.11</v>
      </c>
      <c r="JB19" s="116">
        <f t="shared" si="1"/>
        <v>37.520000000000003</v>
      </c>
      <c r="JC19" s="116">
        <f t="shared" si="1"/>
        <v>68.95</v>
      </c>
      <c r="JD19" s="116">
        <f t="shared" si="1"/>
        <v>86.56</v>
      </c>
      <c r="JE19" s="116">
        <f t="shared" si="1"/>
        <v>76.59</v>
      </c>
      <c r="JF19" s="116">
        <f t="shared" si="1"/>
        <v>60.98</v>
      </c>
      <c r="JG19" s="116">
        <f t="shared" si="1"/>
        <v>57.2</v>
      </c>
      <c r="JH19" s="116">
        <f t="shared" si="1"/>
        <v>82</v>
      </c>
      <c r="JI19" s="116">
        <f t="shared" si="1"/>
        <v>117.86</v>
      </c>
      <c r="JJ19" s="116">
        <f t="shared" ref="JJ19:JJ21" si="2">+IF(JJ14=0,JJ7,JJ14)</f>
        <v>116.98</v>
      </c>
      <c r="JK19" s="116">
        <f t="shared" ref="JK19" si="3">+IF(JK14=0,JK7,JK14)</f>
        <v>179.35</v>
      </c>
      <c r="JL19" s="116">
        <f t="shared" ref="JL19:JM19" si="4">+IF(JL14=0,JL7,JL14)</f>
        <v>150.43</v>
      </c>
      <c r="JM19" s="116">
        <f t="shared" si="4"/>
        <v>132.12</v>
      </c>
      <c r="JN19" s="116">
        <f t="shared" ref="JN19:JO19" si="5">+IF(JN14=0,JN7,JN14)</f>
        <v>119.98</v>
      </c>
      <c r="JO19" s="116">
        <f t="shared" si="5"/>
        <v>122</v>
      </c>
      <c r="JP19" s="116">
        <f t="shared" ref="JP19" si="6">+IF(JP14=0,JP7,JP14)</f>
        <v>182.75</v>
      </c>
      <c r="JQ19" s="116">
        <f t="shared" ref="JQ19:KH19" si="7">+IF(JQ14=0,JQ7,JQ14)</f>
        <v>174.5</v>
      </c>
      <c r="JR19" s="116">
        <f t="shared" si="7"/>
        <v>158.1</v>
      </c>
      <c r="JS19" s="116">
        <f t="shared" si="7"/>
        <v>254.15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7.36</v>
      </c>
      <c r="HQ20" s="116">
        <f t="shared" si="8"/>
        <v>9.23</v>
      </c>
      <c r="HR20" s="116">
        <f t="shared" si="8"/>
        <v>7.66</v>
      </c>
      <c r="HS20" s="116">
        <f t="shared" si="8"/>
        <v>7.8</v>
      </c>
      <c r="HT20" s="116">
        <f t="shared" si="8"/>
        <v>5.89</v>
      </c>
      <c r="HU20" s="116">
        <f t="shared" si="8"/>
        <v>6.36</v>
      </c>
      <c r="HV20" s="116">
        <f t="shared" si="8"/>
        <v>6.38</v>
      </c>
      <c r="HW20" s="116">
        <f t="shared" si="8"/>
        <v>8.92</v>
      </c>
      <c r="HX20" s="116">
        <f t="shared" si="8"/>
        <v>8.41</v>
      </c>
      <c r="HY20" s="116">
        <f t="shared" si="8"/>
        <v>7.76</v>
      </c>
      <c r="HZ20" s="116">
        <f t="shared" si="8"/>
        <v>8.66</v>
      </c>
      <c r="IA20" s="116">
        <f t="shared" si="8"/>
        <v>5.3</v>
      </c>
      <c r="IB20" s="116">
        <f t="shared" si="8"/>
        <v>3.93</v>
      </c>
      <c r="IC20" s="116">
        <f t="shared" si="8"/>
        <v>4.84</v>
      </c>
      <c r="ID20" s="116">
        <f t="shared" si="8"/>
        <v>4.49</v>
      </c>
      <c r="IE20" s="116">
        <f t="shared" si="8"/>
        <v>5.43</v>
      </c>
      <c r="IF20" s="116">
        <f t="shared" si="1"/>
        <v>4.9400000000000004</v>
      </c>
      <c r="IG20" s="116">
        <f t="shared" si="1"/>
        <v>4.67</v>
      </c>
      <c r="IH20" s="116">
        <f t="shared" si="1"/>
        <v>5.84</v>
      </c>
      <c r="II20" s="116">
        <f t="shared" si="1"/>
        <v>5.18</v>
      </c>
      <c r="IJ20" s="116">
        <f t="shared" si="1"/>
        <v>5.18</v>
      </c>
      <c r="IK20" s="116">
        <f t="shared" si="1"/>
        <v>5.75</v>
      </c>
      <c r="IL20" s="116">
        <f t="shared" si="1"/>
        <v>4.63</v>
      </c>
      <c r="IM20" s="116">
        <f t="shared" si="1"/>
        <v>3.08</v>
      </c>
      <c r="IN20" s="116">
        <f t="shared" si="1"/>
        <v>3.04</v>
      </c>
      <c r="IO20" s="116">
        <f t="shared" si="1"/>
        <v>4.22</v>
      </c>
      <c r="IP20" s="116">
        <f t="shared" si="1"/>
        <v>6.67</v>
      </c>
      <c r="IQ20" s="116">
        <f t="shared" si="1"/>
        <v>7.45</v>
      </c>
      <c r="IR20" s="116">
        <f t="shared" si="1"/>
        <v>10.16</v>
      </c>
      <c r="IS20" s="116">
        <f t="shared" si="1"/>
        <v>11.68</v>
      </c>
      <c r="IT20" s="116">
        <f t="shared" si="1"/>
        <v>4.8600000000000003</v>
      </c>
      <c r="IU20" s="116">
        <f t="shared" si="1"/>
        <v>5.2</v>
      </c>
      <c r="IV20" s="116">
        <f t="shared" si="1"/>
        <v>6.87</v>
      </c>
      <c r="IW20" s="116">
        <f t="shared" si="1"/>
        <v>6.9</v>
      </c>
      <c r="IX20" s="116">
        <f t="shared" si="1"/>
        <v>9.68</v>
      </c>
      <c r="IY20" s="116">
        <f t="shared" si="1"/>
        <v>16.27</v>
      </c>
      <c r="IZ20" s="116">
        <f t="shared" si="1"/>
        <v>13.99</v>
      </c>
      <c r="JA20" s="116">
        <f t="shared" si="1"/>
        <v>18.72</v>
      </c>
      <c r="JB20" s="116">
        <f t="shared" si="1"/>
        <v>19.600000000000001</v>
      </c>
      <c r="JC20" s="116">
        <f t="shared" si="1"/>
        <v>37.520000000000003</v>
      </c>
      <c r="JD20" s="116">
        <f t="shared" si="1"/>
        <v>51.04</v>
      </c>
      <c r="JE20" s="116">
        <f t="shared" si="1"/>
        <v>49.83</v>
      </c>
      <c r="JF20" s="116">
        <f t="shared" si="1"/>
        <v>26.51</v>
      </c>
      <c r="JG20" s="116">
        <f t="shared" si="1"/>
        <v>37.020000000000003</v>
      </c>
      <c r="JH20" s="116">
        <f t="shared" si="1"/>
        <v>47.14</v>
      </c>
      <c r="JI20" s="116">
        <f t="shared" si="1"/>
        <v>57.86</v>
      </c>
      <c r="JJ20" s="116">
        <f t="shared" si="2"/>
        <v>100.34</v>
      </c>
      <c r="JK20" s="116">
        <f t="shared" ref="JK20" si="9">+IF(JK15=0,JK8,JK15)</f>
        <v>108.88</v>
      </c>
      <c r="JL20" s="116">
        <f t="shared" ref="JL20:JM20" si="10">+IF(JL15=0,JL8,JL15)</f>
        <v>123.8</v>
      </c>
      <c r="JM20" s="116">
        <f t="shared" si="10"/>
        <v>86.17</v>
      </c>
      <c r="JN20" s="116">
        <f t="shared" ref="JN20:JO20" si="11">+IF(JN15=0,JN8,JN15)</f>
        <v>89.07</v>
      </c>
      <c r="JO20" s="116">
        <f t="shared" si="11"/>
        <v>94.41</v>
      </c>
      <c r="JP20" s="116">
        <f t="shared" ref="JP20" si="12">+IF(JP15=0,JP8,JP15)</f>
        <v>110.47</v>
      </c>
      <c r="JQ20" s="116">
        <f t="shared" ref="JQ20:KH20" si="13">+IF(JQ15=0,JQ8,JQ15)</f>
        <v>135</v>
      </c>
      <c r="JR20" s="116">
        <f t="shared" si="13"/>
        <v>128.35</v>
      </c>
      <c r="JS20" s="116">
        <f t="shared" si="13"/>
        <v>150.65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10.57</v>
      </c>
      <c r="HQ21" s="116">
        <f t="shared" si="1"/>
        <v>12.34</v>
      </c>
      <c r="HR21" s="116">
        <f t="shared" si="1"/>
        <v>8.1300000000000008</v>
      </c>
      <c r="HS21" s="116">
        <f t="shared" si="1"/>
        <v>8.2899999999999991</v>
      </c>
      <c r="HT21" s="116">
        <f t="shared" si="1"/>
        <v>6.45</v>
      </c>
      <c r="HU21" s="116">
        <f t="shared" si="1"/>
        <v>7.8</v>
      </c>
      <c r="HV21" s="116">
        <f t="shared" si="1"/>
        <v>9.73</v>
      </c>
      <c r="HW21" s="116">
        <f t="shared" si="1"/>
        <v>12.51</v>
      </c>
      <c r="HX21" s="116">
        <f t="shared" si="1"/>
        <v>8.68</v>
      </c>
      <c r="HY21" s="116">
        <f t="shared" si="1"/>
        <v>8.8699999999999992</v>
      </c>
      <c r="HZ21" s="116">
        <f t="shared" si="1"/>
        <v>9.4600000000000009</v>
      </c>
      <c r="IA21" s="116">
        <f t="shared" si="1"/>
        <v>5.85</v>
      </c>
      <c r="IB21" s="116">
        <f t="shared" si="1"/>
        <v>4.9400000000000004</v>
      </c>
      <c r="IC21" s="116">
        <f t="shared" si="1"/>
        <v>6.45</v>
      </c>
      <c r="ID21" s="116">
        <f t="shared" si="1"/>
        <v>6.93</v>
      </c>
      <c r="IE21" s="116">
        <f t="shared" si="1"/>
        <v>6.07</v>
      </c>
      <c r="IF21" s="116">
        <f t="shared" si="1"/>
        <v>4.99</v>
      </c>
      <c r="IG21" s="116">
        <f t="shared" si="1"/>
        <v>6.02</v>
      </c>
      <c r="IH21" s="116">
        <f t="shared" si="1"/>
        <v>7.99</v>
      </c>
      <c r="II21" s="116">
        <f t="shared" si="1"/>
        <v>5.94</v>
      </c>
      <c r="IJ21" s="116">
        <f t="shared" si="1"/>
        <v>5.91</v>
      </c>
      <c r="IK21" s="116">
        <f t="shared" si="1"/>
        <v>8.33</v>
      </c>
      <c r="IL21" s="116">
        <f t="shared" si="1"/>
        <v>4.75</v>
      </c>
      <c r="IM21" s="116">
        <f t="shared" si="1"/>
        <v>3.23</v>
      </c>
      <c r="IN21" s="116">
        <f t="shared" si="1"/>
        <v>4.7699999999999996</v>
      </c>
      <c r="IO21" s="116">
        <f t="shared" si="1"/>
        <v>10.18</v>
      </c>
      <c r="IP21" s="116">
        <f t="shared" si="1"/>
        <v>9.64</v>
      </c>
      <c r="IQ21" s="116">
        <f t="shared" si="1"/>
        <v>10.26</v>
      </c>
      <c r="IR21" s="116">
        <f t="shared" si="1"/>
        <v>12.86</v>
      </c>
      <c r="IS21" s="116">
        <f t="shared" si="1"/>
        <v>12.36</v>
      </c>
      <c r="IT21" s="116">
        <f t="shared" si="1"/>
        <v>5.55</v>
      </c>
      <c r="IU21" s="116">
        <f t="shared" si="1"/>
        <v>7.2</v>
      </c>
      <c r="IV21" s="116">
        <f t="shared" si="1"/>
        <v>7.37</v>
      </c>
      <c r="IW21" s="116">
        <f t="shared" si="1"/>
        <v>9.94</v>
      </c>
      <c r="IX21" s="116">
        <f t="shared" si="1"/>
        <v>17.010000000000002</v>
      </c>
      <c r="IY21" s="116">
        <f t="shared" si="1"/>
        <v>22.68</v>
      </c>
      <c r="IZ21" s="116">
        <f t="shared" si="1"/>
        <v>19.43</v>
      </c>
      <c r="JA21" s="116">
        <f t="shared" si="1"/>
        <v>19.95</v>
      </c>
      <c r="JB21" s="116">
        <f t="shared" si="1"/>
        <v>37.01</v>
      </c>
      <c r="JC21" s="116">
        <f t="shared" si="1"/>
        <v>52.51</v>
      </c>
      <c r="JD21" s="116">
        <f t="shared" si="1"/>
        <v>74.760000000000005</v>
      </c>
      <c r="JE21" s="116">
        <f t="shared" si="1"/>
        <v>59.88</v>
      </c>
      <c r="JF21" s="116">
        <f t="shared" si="1"/>
        <v>38.32</v>
      </c>
      <c r="JG21" s="116">
        <f t="shared" si="1"/>
        <v>49.99</v>
      </c>
      <c r="JH21" s="116">
        <f t="shared" si="1"/>
        <v>75.430000000000007</v>
      </c>
      <c r="JI21" s="116">
        <f t="shared" si="1"/>
        <v>104.97</v>
      </c>
      <c r="JJ21" s="116">
        <f t="shared" si="2"/>
        <v>106.74</v>
      </c>
      <c r="JK21" s="116">
        <f t="shared" ref="JK21" si="14">+IF(JK16=0,JK9,JK16)</f>
        <v>143.63999999999999</v>
      </c>
      <c r="JL21" s="116">
        <f t="shared" ref="JL21:JM21" si="15">+IF(JL16=0,JL9,JL16)</f>
        <v>131.21</v>
      </c>
      <c r="JM21" s="116">
        <f t="shared" si="15"/>
        <v>105.83</v>
      </c>
      <c r="JN21" s="116">
        <f t="shared" ref="JN21:JO21" si="16">+IF(JN16=0,JN9,JN16)</f>
        <v>101.84</v>
      </c>
      <c r="JO21" s="116">
        <f t="shared" si="16"/>
        <v>117.16</v>
      </c>
      <c r="JP21" s="116">
        <f t="shared" ref="JP21" si="17">+IF(JP16=0,JP9,JP16)</f>
        <v>144.65</v>
      </c>
      <c r="JQ21" s="116">
        <f t="shared" ref="JQ21:KH21" si="18">+IF(JQ16=0,JQ9,JQ16)</f>
        <v>143</v>
      </c>
      <c r="JR21" s="116">
        <f t="shared" si="18"/>
        <v>150.5</v>
      </c>
      <c r="JS21" s="116">
        <f t="shared" si="18"/>
        <v>222.6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209867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2180035200</v>
      </c>
      <c r="D6" cm="1">
        <f t="array" ref="D6">_xll.EQNXTDZ($A$1,$B6,D$1)</f>
        <v>2180035200</v>
      </c>
      <c r="E6" cm="1">
        <f t="array" ref="E6">_xll.EQNXTDZ($A$1,$B6,E$1)</f>
        <v>2393272110</v>
      </c>
      <c r="F6" cm="1">
        <f t="array" ref="F6">_xll.EQNXTDZ($A$1,$B6,F$1)</f>
        <v>2393272110</v>
      </c>
      <c r="G6" cm="1">
        <f t="array" ref="G6">_xll.EQNXTDZ($A$1,$B6,G$1)</f>
        <v>2871922110</v>
      </c>
      <c r="H6" cm="1">
        <f t="array" ref="H6">_xll.EQNXTDZ($A$1,$B6,H$1)</f>
        <v>2871922110</v>
      </c>
      <c r="I6" cm="1">
        <f t="array" ref="I6">_xll.EQNXTDZ($A$1,$B6,I$1)</f>
        <v>2871922110</v>
      </c>
      <c r="J6" cm="1">
        <f t="array" ref="J6">_xll.EQNXTDZ($A$1,$B6,J$1)</f>
        <v>2871922110</v>
      </c>
      <c r="K6" cm="1">
        <f t="array" ref="K6">_xll.EQNXTDZ($A$1,$B6,K$1)</f>
        <v>2871922110</v>
      </c>
      <c r="L6" cm="1">
        <f t="array" ref="L6">_xll.EQNXTDZ($A$1,$B6,L$1)</f>
        <v>2871922110</v>
      </c>
      <c r="M6" cm="1">
        <f t="array" ref="M6">_xll.EQNXTDZ($A$1,$B6,M$1)</f>
        <v>2871922110</v>
      </c>
      <c r="N6" cm="1">
        <f t="array" ref="N6">_xll.EQNXTDZ($A$1,$B6,N$1)</f>
        <v>2871922110</v>
      </c>
      <c r="O6" cm="1">
        <f t="array" ref="O6">_xll.EQNXTDZ($A$1,$B6,O$1)</f>
        <v>2935838941</v>
      </c>
      <c r="P6" cm="1">
        <f t="array" ref="P6">_xll.EQNXTDZ($A$1,$B6,P$1)</f>
        <v>2935838941</v>
      </c>
      <c r="Q6" cm="1">
        <f t="array" ref="Q6">_xll.EQNXTDZ($A$1,$B6,Q$1)</f>
        <v>2935838941</v>
      </c>
      <c r="R6" cm="1">
        <f t="array" ref="R6">_xll.EQNXTDZ($A$1,$B6,R$1)</f>
        <v>3333938941</v>
      </c>
      <c r="S6" cm="1">
        <f t="array" ref="S6">_xll.EQNXTDZ($A$1,$B6,S$1)</f>
        <v>3333938941</v>
      </c>
      <c r="T6" cm="1">
        <f t="array" ref="T6">_xll.EQNXTDZ($A$1,$B6,T$1)</f>
        <v>3417454409</v>
      </c>
      <c r="U6" cm="1">
        <f t="array" ref="U6">_xll.EQNXTDZ($A$1,$B6,U$1)</f>
        <v>3500892183</v>
      </c>
      <c r="V6" cm="1">
        <f t="array" ref="V6">_xll.EQNXTDZ($A$1,$B6,V$1)</f>
        <v>3856938941</v>
      </c>
      <c r="W6" cm="1">
        <f t="array" ref="W6">_xll.EQNXTDZ($A$1,$B6,W$1)</f>
        <v>3856938941</v>
      </c>
      <c r="X6" cm="1">
        <f t="array" ref="X6">_xll.EQNXTDZ($A$1,$B6,X$1)</f>
        <v>3856938941</v>
      </c>
      <c r="Y6" cm="1">
        <f t="array" ref="Y6">_xll.EQNXTDZ($A$1,$B6,Y$1)</f>
        <v>3856938941</v>
      </c>
      <c r="Z6" cm="1">
        <f t="array" ref="Z6">_xll.EQNXTDZ($A$1,$B6,Z$1)</f>
        <v>3856938941</v>
      </c>
      <c r="AA6" cm="1">
        <f t="array" ref="AA6">_xll.EQNXTDZ($A$1,$B6,AA$1)</f>
        <v>3856938941</v>
      </c>
      <c r="AB6" cm="1">
        <f t="array" ref="AB6">_xll.EQNXTDZ($A$1,$B6,AB$1)</f>
        <v>3856938941</v>
      </c>
      <c r="AC6" cm="1">
        <f t="array" ref="AC6">_xll.EQNXTDZ($A$1,$B6,AC$1)</f>
        <v>3856938941</v>
      </c>
      <c r="AD6" cm="1">
        <f t="array" ref="AD6">_xll.EQNXTDZ($A$1,$B6,AD$1)</f>
        <v>3856938941</v>
      </c>
      <c r="AE6" cm="1">
        <f t="array" ref="AE6">_xll.EQNXTDZ($A$1,$B6,AE$1)</f>
        <v>3856938941</v>
      </c>
      <c r="AF6" cm="1">
        <f t="array" ref="AF6">_xll.EQNXTDZ($A$1,$B6,AF$1)</f>
        <v>3856938941</v>
      </c>
      <c r="AG6" cm="1">
        <f t="array" ref="AG6">_xll.EQNXTDZ($A$1,$B6,AG$1)</f>
        <v>3856938941</v>
      </c>
      <c r="AH6" cm="1">
        <f t="array" ref="AH6">_xll.EQNXTDZ($A$1,$B6,AH$1)</f>
        <v>3856938941</v>
      </c>
      <c r="AI6" cm="1">
        <f t="array" ref="AI6">_xll.EQNXTDZ($A$1,$B6,AI$1)</f>
        <v>3856938941</v>
      </c>
      <c r="AJ6" cm="1">
        <f t="array" ref="AJ6">_xll.EQNXTDZ($A$1,$B6,AJ$1)</f>
        <v>3856938941</v>
      </c>
      <c r="AK6" cm="1">
        <f t="array" ref="AK6">_xll.EQNXTDZ($A$1,$B6,AK$1)</f>
        <v>3856938941</v>
      </c>
      <c r="AL6" cm="1">
        <f t="array" ref="AL6">_xll.EQNXTDZ($A$1,$B6,AL$1)</f>
        <v>3856938941</v>
      </c>
      <c r="AM6" cm="1">
        <f t="array" ref="AM6">_xll.EQNXTDZ($A$1,$B6,AM$1)</f>
        <v>3856938941</v>
      </c>
      <c r="AN6" cm="1">
        <f t="array" ref="AN6">_xll.EQNXTDZ($A$1,$B6,AN$1)</f>
        <v>3856938941</v>
      </c>
      <c r="AO6" cm="1">
        <f t="array" ref="AO6">_xll.EQNXTDZ($A$1,$B6,AO$1)</f>
        <v>3856938941</v>
      </c>
      <c r="AP6" cm="1">
        <f t="array" ref="AP6">_xll.EQNXTDZ($A$1,$B6,AP$1)</f>
        <v>3856938941</v>
      </c>
      <c r="AQ6" cm="1">
        <f t="array" ref="AQ6">_xll.EQNXTDZ($A$1,$B6,AQ$1)</f>
        <v>3856938941</v>
      </c>
      <c r="AR6" cm="1">
        <f t="array" ref="AR6">_xll.EQNXTDZ($A$1,$B6,AR$1)</f>
        <v>3856938941</v>
      </c>
      <c r="AS6" cm="1">
        <f t="array" ref="AS6">_xll.EQNXTDZ($A$1,$B6,AS$1)</f>
        <v>3856938941</v>
      </c>
      <c r="AT6" cm="1">
        <f t="array" ref="AT6">_xll.EQNXTDZ($A$1,$B6,AT$1)</f>
        <v>3856938941</v>
      </c>
      <c r="AU6" cm="1">
        <f t="array" ref="AU6">_xll.EQNXTDZ($A$1,$B6,AU$1)</f>
        <v>3856938941</v>
      </c>
      <c r="AV6" cm="1">
        <f t="array" ref="AV6">_xll.EQNXTDZ($A$1,$B6,AV$1)</f>
        <v>3856938941</v>
      </c>
      <c r="AW6" cm="1">
        <f t="array" ref="AW6">_xll.EQNXTDZ($A$1,$B6,AW$1)</f>
        <v>3856938941</v>
      </c>
      <c r="AX6" cm="1">
        <f t="array" ref="AX6">_xll.EQNXTDZ($A$1,$B6,AX$1)</f>
        <v>3856938941</v>
      </c>
      <c r="AY6" cm="1">
        <f t="array" ref="AY6">_xll.EQNXTDZ($A$1,$B6,AY$1)</f>
        <v>3856938941</v>
      </c>
    </row>
    <row r="7" spans="1:51" x14ac:dyDescent="0.25">
      <c r="B7" t="s">
        <v>429</v>
      </c>
      <c r="C7" s="100">
        <f>+C6/10^7</f>
        <v>218.00352000000001</v>
      </c>
      <c r="D7" s="100">
        <f t="shared" ref="D7:X7" si="0">+D6/10^7</f>
        <v>218.00352000000001</v>
      </c>
      <c r="E7" s="100">
        <f t="shared" si="0"/>
        <v>239.32721100000001</v>
      </c>
      <c r="F7" s="100">
        <f t="shared" si="0"/>
        <v>239.32721100000001</v>
      </c>
      <c r="G7" s="100">
        <f t="shared" si="0"/>
        <v>287.19221099999999</v>
      </c>
      <c r="H7" s="100">
        <f t="shared" si="0"/>
        <v>287.19221099999999</v>
      </c>
      <c r="I7" s="100">
        <f t="shared" si="0"/>
        <v>287.19221099999999</v>
      </c>
      <c r="J7" s="100">
        <f t="shared" si="0"/>
        <v>287.19221099999999</v>
      </c>
      <c r="K7" s="100">
        <f t="shared" si="0"/>
        <v>287.19221099999999</v>
      </c>
      <c r="L7" s="100">
        <f t="shared" si="0"/>
        <v>287.19221099999999</v>
      </c>
      <c r="M7" s="100">
        <f t="shared" si="0"/>
        <v>287.19221099999999</v>
      </c>
      <c r="N7" s="100">
        <f t="shared" si="0"/>
        <v>287.19221099999999</v>
      </c>
      <c r="O7" s="100">
        <f t="shared" si="0"/>
        <v>293.58389410000001</v>
      </c>
      <c r="P7" s="100">
        <f t="shared" si="0"/>
        <v>293.58389410000001</v>
      </c>
      <c r="Q7" s="100">
        <f t="shared" si="0"/>
        <v>293.58389410000001</v>
      </c>
      <c r="R7" s="100">
        <f t="shared" si="0"/>
        <v>333.39389410000001</v>
      </c>
      <c r="S7" s="100">
        <f t="shared" si="0"/>
        <v>333.39389410000001</v>
      </c>
      <c r="T7" s="100">
        <f t="shared" si="0"/>
        <v>341.74544090000001</v>
      </c>
      <c r="U7" s="100">
        <f t="shared" si="0"/>
        <v>350.08921830000003</v>
      </c>
      <c r="V7" s="100">
        <f t="shared" si="0"/>
        <v>385.69389410000002</v>
      </c>
      <c r="W7" s="100">
        <f t="shared" si="0"/>
        <v>385.69389410000002</v>
      </c>
      <c r="X7" s="100">
        <f t="shared" si="0"/>
        <v>385.69389410000002</v>
      </c>
      <c r="Y7" s="100">
        <f t="shared" ref="Y7:AS7" si="1">+Y6/10^7</f>
        <v>385.69389410000002</v>
      </c>
      <c r="Z7" s="100">
        <f t="shared" si="1"/>
        <v>385.69389410000002</v>
      </c>
      <c r="AA7" s="100">
        <f t="shared" si="1"/>
        <v>385.69389410000002</v>
      </c>
      <c r="AB7" s="100">
        <f t="shared" si="1"/>
        <v>385.69389410000002</v>
      </c>
      <c r="AC7" s="100">
        <f t="shared" si="1"/>
        <v>385.69389410000002</v>
      </c>
      <c r="AD7" s="100">
        <f t="shared" si="1"/>
        <v>385.69389410000002</v>
      </c>
      <c r="AE7" s="100">
        <f t="shared" si="1"/>
        <v>385.69389410000002</v>
      </c>
      <c r="AF7" s="100">
        <f t="shared" si="1"/>
        <v>385.69389410000002</v>
      </c>
      <c r="AG7" s="100">
        <f t="shared" si="1"/>
        <v>385.69389410000002</v>
      </c>
      <c r="AH7" s="100">
        <f t="shared" si="1"/>
        <v>385.69389410000002</v>
      </c>
      <c r="AI7" s="100">
        <f t="shared" si="1"/>
        <v>385.69389410000002</v>
      </c>
      <c r="AJ7" s="100">
        <f t="shared" si="1"/>
        <v>385.69389410000002</v>
      </c>
      <c r="AK7" s="100">
        <f t="shared" si="1"/>
        <v>385.69389410000002</v>
      </c>
      <c r="AL7" s="100">
        <f t="shared" si="1"/>
        <v>385.69389410000002</v>
      </c>
      <c r="AM7" s="100">
        <f t="shared" si="1"/>
        <v>385.69389410000002</v>
      </c>
      <c r="AN7" s="100">
        <f t="shared" si="1"/>
        <v>385.69389410000002</v>
      </c>
      <c r="AO7" s="100">
        <f t="shared" si="1"/>
        <v>385.69389410000002</v>
      </c>
      <c r="AP7" s="100">
        <f t="shared" si="1"/>
        <v>385.69389410000002</v>
      </c>
      <c r="AQ7" s="100">
        <f t="shared" si="1"/>
        <v>385.69389410000002</v>
      </c>
      <c r="AR7" s="100">
        <f t="shared" si="1"/>
        <v>385.69389410000002</v>
      </c>
      <c r="AS7" s="100">
        <f t="shared" si="1"/>
        <v>385.69389410000002</v>
      </c>
      <c r="AT7" s="100">
        <f t="shared" ref="AT7:AX7" si="2">+AT6/10^7</f>
        <v>385.69389410000002</v>
      </c>
      <c r="AU7" s="100">
        <f t="shared" si="2"/>
        <v>385.69389410000002</v>
      </c>
      <c r="AV7" s="100">
        <f t="shared" si="2"/>
        <v>385.69389410000002</v>
      </c>
      <c r="AW7" s="100">
        <f t="shared" si="2"/>
        <v>385.69389410000002</v>
      </c>
      <c r="AX7" s="100">
        <f t="shared" si="2"/>
        <v>385.69389410000002</v>
      </c>
      <c r="AY7" s="100">
        <f t="shared" ref="AY7" si="3">+AY6/10^7</f>
        <v>385.69389410000002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209867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8.91</v>
      </c>
      <c r="C4" s="116">
        <v>8.84</v>
      </c>
      <c r="D4" s="116">
        <v>8.76</v>
      </c>
      <c r="E4" s="116">
        <v>8.9</v>
      </c>
      <c r="F4" s="116">
        <v>44.2</v>
      </c>
      <c r="G4">
        <v>526395</v>
      </c>
      <c r="H4" s="116"/>
      <c r="I4" s="116"/>
      <c r="L4" s="170">
        <v>42005</v>
      </c>
      <c r="M4" s="116">
        <v>8.84</v>
      </c>
      <c r="N4" s="116">
        <v>8.8699999999999992</v>
      </c>
      <c r="O4" s="116">
        <v>8.76</v>
      </c>
      <c r="P4" s="116">
        <v>8.82</v>
      </c>
      <c r="Q4" s="116">
        <v>44.2</v>
      </c>
      <c r="R4">
        <v>1790247</v>
      </c>
    </row>
    <row r="5" spans="1:18" x14ac:dyDescent="0.25">
      <c r="A5" s="170">
        <v>42006</v>
      </c>
      <c r="B5" s="116">
        <v>9.06</v>
      </c>
      <c r="C5" s="116">
        <v>9.01</v>
      </c>
      <c r="D5" s="116">
        <v>8.86</v>
      </c>
      <c r="E5" s="116">
        <v>8.8800000000000008</v>
      </c>
      <c r="F5" s="116">
        <v>45.05</v>
      </c>
      <c r="G5">
        <v>895104</v>
      </c>
      <c r="H5" s="116"/>
      <c r="I5" s="116"/>
      <c r="L5" s="170">
        <v>42006</v>
      </c>
      <c r="M5" s="116">
        <v>8.99</v>
      </c>
      <c r="N5" s="116">
        <v>9.06</v>
      </c>
      <c r="O5" s="116">
        <v>8.84</v>
      </c>
      <c r="P5" s="116">
        <v>8.84</v>
      </c>
      <c r="Q5" s="116">
        <v>44.95</v>
      </c>
      <c r="R5">
        <v>2926043</v>
      </c>
    </row>
    <row r="6" spans="1:18" x14ac:dyDescent="0.25">
      <c r="A6" s="170">
        <v>42009</v>
      </c>
      <c r="B6" s="116">
        <v>9.1999999999999993</v>
      </c>
      <c r="C6" s="116">
        <v>9.02</v>
      </c>
      <c r="D6" s="116">
        <v>8.99</v>
      </c>
      <c r="E6" s="116">
        <v>9.1</v>
      </c>
      <c r="F6" s="116">
        <v>45.1</v>
      </c>
      <c r="G6">
        <v>981509</v>
      </c>
      <c r="H6" s="116"/>
      <c r="I6" s="116"/>
      <c r="L6" s="170">
        <v>42009</v>
      </c>
      <c r="M6" s="116">
        <v>9.02</v>
      </c>
      <c r="N6" s="116">
        <v>9.1999999999999993</v>
      </c>
      <c r="O6" s="116">
        <v>8.9700000000000006</v>
      </c>
      <c r="P6" s="116">
        <v>9</v>
      </c>
      <c r="Q6" s="116">
        <v>45.1</v>
      </c>
      <c r="R6">
        <v>3236445</v>
      </c>
    </row>
    <row r="7" spans="1:18" x14ac:dyDescent="0.25">
      <c r="A7" s="170">
        <v>42010</v>
      </c>
      <c r="B7" s="116">
        <v>9.15</v>
      </c>
      <c r="C7" s="116">
        <v>8.82</v>
      </c>
      <c r="D7" s="116">
        <v>8.74</v>
      </c>
      <c r="E7" s="116">
        <v>9</v>
      </c>
      <c r="F7" s="116">
        <v>44.1</v>
      </c>
      <c r="G7">
        <v>1447221</v>
      </c>
      <c r="H7" s="116"/>
      <c r="I7" s="116"/>
      <c r="L7" s="170">
        <v>42010</v>
      </c>
      <c r="M7" s="116">
        <v>8.81</v>
      </c>
      <c r="N7" s="116">
        <v>9.15</v>
      </c>
      <c r="O7" s="116">
        <v>8.7100000000000009</v>
      </c>
      <c r="P7" s="116">
        <v>8.9499999999999993</v>
      </c>
      <c r="Q7" s="116">
        <v>44.05</v>
      </c>
      <c r="R7">
        <v>5952755</v>
      </c>
    </row>
    <row r="8" spans="1:18" x14ac:dyDescent="0.25">
      <c r="A8" s="170">
        <v>42011</v>
      </c>
      <c r="B8" s="116">
        <v>8.94</v>
      </c>
      <c r="C8" s="116">
        <v>8.82</v>
      </c>
      <c r="D8" s="116">
        <v>8.66</v>
      </c>
      <c r="E8" s="116">
        <v>8.85</v>
      </c>
      <c r="F8" s="116">
        <v>44.1</v>
      </c>
      <c r="G8">
        <v>856316</v>
      </c>
      <c r="H8" s="116"/>
      <c r="I8" s="116"/>
      <c r="L8" s="170">
        <v>42011</v>
      </c>
      <c r="M8" s="116">
        <v>8.83</v>
      </c>
      <c r="N8" s="116">
        <v>8.94</v>
      </c>
      <c r="O8" s="116">
        <v>8.66</v>
      </c>
      <c r="P8" s="116">
        <v>8.7799999999999994</v>
      </c>
      <c r="Q8" s="116">
        <v>44.15</v>
      </c>
      <c r="R8">
        <v>3820161</v>
      </c>
    </row>
    <row r="9" spans="1:18" x14ac:dyDescent="0.25">
      <c r="A9" s="170">
        <v>42012</v>
      </c>
      <c r="B9" s="116">
        <v>9.1300000000000008</v>
      </c>
      <c r="C9" s="116">
        <v>9.08</v>
      </c>
      <c r="D9" s="116">
        <v>8.89</v>
      </c>
      <c r="E9" s="116">
        <v>8.94</v>
      </c>
      <c r="F9" s="116">
        <v>45.4</v>
      </c>
      <c r="G9">
        <v>948210</v>
      </c>
      <c r="H9" s="116"/>
      <c r="I9" s="116"/>
      <c r="L9" s="170">
        <v>42012</v>
      </c>
      <c r="M9" s="116">
        <v>9.09</v>
      </c>
      <c r="N9" s="116">
        <v>9.1300000000000008</v>
      </c>
      <c r="O9" s="116">
        <v>8.89</v>
      </c>
      <c r="P9" s="116">
        <v>8.92</v>
      </c>
      <c r="Q9" s="116">
        <v>45.45</v>
      </c>
      <c r="R9">
        <v>4252913</v>
      </c>
    </row>
    <row r="10" spans="1:18" x14ac:dyDescent="0.25">
      <c r="A10" s="170">
        <v>42013</v>
      </c>
      <c r="B10" s="116">
        <v>9.2200000000000006</v>
      </c>
      <c r="C10" s="116">
        <v>8.94</v>
      </c>
      <c r="D10" s="116">
        <v>8.9</v>
      </c>
      <c r="E10" s="116">
        <v>9.16</v>
      </c>
      <c r="F10" s="116">
        <v>44.7</v>
      </c>
      <c r="G10">
        <v>713648</v>
      </c>
      <c r="H10" s="116"/>
      <c r="I10" s="116"/>
      <c r="L10" s="170">
        <v>42013</v>
      </c>
      <c r="M10" s="116">
        <v>8.9499999999999993</v>
      </c>
      <c r="N10" s="116">
        <v>9.2200000000000006</v>
      </c>
      <c r="O10" s="116">
        <v>8.89</v>
      </c>
      <c r="P10" s="116">
        <v>9.1999999999999993</v>
      </c>
      <c r="Q10" s="116">
        <v>44.75</v>
      </c>
      <c r="R10">
        <v>3287270</v>
      </c>
    </row>
    <row r="11" spans="1:18" x14ac:dyDescent="0.25">
      <c r="A11" s="170">
        <v>42016</v>
      </c>
      <c r="B11" s="116">
        <v>9.3800000000000008</v>
      </c>
      <c r="C11" s="116">
        <v>9.35</v>
      </c>
      <c r="D11" s="116">
        <v>8.91</v>
      </c>
      <c r="E11" s="116">
        <v>9</v>
      </c>
      <c r="F11" s="116">
        <v>46.75</v>
      </c>
      <c r="G11">
        <v>1203008</v>
      </c>
      <c r="H11" s="116"/>
      <c r="I11" s="116"/>
      <c r="L11" s="170">
        <v>42016</v>
      </c>
      <c r="M11" s="116">
        <v>9.35</v>
      </c>
      <c r="N11" s="116">
        <v>9.3800000000000008</v>
      </c>
      <c r="O11" s="116">
        <v>8.91</v>
      </c>
      <c r="P11" s="116">
        <v>9</v>
      </c>
      <c r="Q11" s="116">
        <v>46.75</v>
      </c>
      <c r="R11">
        <v>6675511</v>
      </c>
    </row>
    <row r="12" spans="1:18" x14ac:dyDescent="0.25">
      <c r="A12" s="170">
        <v>42017</v>
      </c>
      <c r="B12" s="116">
        <v>9.41</v>
      </c>
      <c r="C12" s="116">
        <v>9.09</v>
      </c>
      <c r="D12" s="116">
        <v>9.0299999999999994</v>
      </c>
      <c r="E12" s="116">
        <v>9.3699999999999992</v>
      </c>
      <c r="F12" s="116">
        <v>45.45</v>
      </c>
      <c r="G12">
        <v>758478</v>
      </c>
      <c r="H12" s="116"/>
      <c r="I12" s="116"/>
      <c r="L12" s="170">
        <v>42017</v>
      </c>
      <c r="M12" s="116">
        <v>9.09</v>
      </c>
      <c r="N12" s="116">
        <v>9.42</v>
      </c>
      <c r="O12" s="116">
        <v>9.0299999999999994</v>
      </c>
      <c r="P12" s="116">
        <v>9.3800000000000008</v>
      </c>
      <c r="Q12" s="116">
        <v>45.45</v>
      </c>
      <c r="R12">
        <v>3686989</v>
      </c>
    </row>
    <row r="13" spans="1:18" x14ac:dyDescent="0.25">
      <c r="A13" s="170">
        <v>42018</v>
      </c>
      <c r="B13" s="116">
        <v>9.24</v>
      </c>
      <c r="C13" s="116">
        <v>9.1199999999999992</v>
      </c>
      <c r="D13" s="116">
        <v>9.0399999999999991</v>
      </c>
      <c r="E13" s="116">
        <v>9.0399999999999991</v>
      </c>
      <c r="F13" s="116">
        <v>45.6</v>
      </c>
      <c r="G13">
        <v>550932</v>
      </c>
      <c r="H13" s="116"/>
      <c r="I13" s="116"/>
      <c r="L13" s="170">
        <v>42018</v>
      </c>
      <c r="M13" s="116">
        <v>9.1</v>
      </c>
      <c r="N13" s="116">
        <v>9.24</v>
      </c>
      <c r="O13" s="116">
        <v>9.0399999999999991</v>
      </c>
      <c r="P13" s="116">
        <v>9.08</v>
      </c>
      <c r="Q13" s="116">
        <v>45.5</v>
      </c>
      <c r="R13">
        <v>2886982</v>
      </c>
    </row>
    <row r="14" spans="1:18" x14ac:dyDescent="0.25">
      <c r="A14" s="170">
        <v>42019</v>
      </c>
      <c r="B14" s="116">
        <v>9.3000000000000007</v>
      </c>
      <c r="C14" s="116">
        <v>9.19</v>
      </c>
      <c r="D14" s="116">
        <v>9.1199999999999992</v>
      </c>
      <c r="E14" s="116">
        <v>9.1199999999999992</v>
      </c>
      <c r="F14" s="116">
        <v>45.95</v>
      </c>
      <c r="G14">
        <v>605961</v>
      </c>
      <c r="H14" s="116"/>
      <c r="I14" s="116"/>
      <c r="L14" s="170">
        <v>42019</v>
      </c>
      <c r="M14" s="116">
        <v>9.19</v>
      </c>
      <c r="N14" s="116">
        <v>9.31</v>
      </c>
      <c r="O14" s="116">
        <v>9.1300000000000008</v>
      </c>
      <c r="P14" s="116">
        <v>9.2100000000000009</v>
      </c>
      <c r="Q14" s="116">
        <v>45.95</v>
      </c>
      <c r="R14">
        <v>2940294</v>
      </c>
    </row>
    <row r="15" spans="1:18" x14ac:dyDescent="0.25">
      <c r="A15" s="170">
        <v>42020</v>
      </c>
      <c r="B15" s="116">
        <v>9.26</v>
      </c>
      <c r="C15" s="116">
        <v>9.16</v>
      </c>
      <c r="D15" s="116">
        <v>9.1</v>
      </c>
      <c r="E15" s="116">
        <v>9.19</v>
      </c>
      <c r="F15" s="116">
        <v>45.8</v>
      </c>
      <c r="G15">
        <v>697718</v>
      </c>
      <c r="H15" s="116"/>
      <c r="I15" s="116"/>
      <c r="L15" s="170">
        <v>42020</v>
      </c>
      <c r="M15" s="116">
        <v>9.16</v>
      </c>
      <c r="N15" s="116">
        <v>9.26</v>
      </c>
      <c r="O15" s="116">
        <v>9.11</v>
      </c>
      <c r="P15" s="116">
        <v>9.19</v>
      </c>
      <c r="Q15" s="116">
        <v>45.8</v>
      </c>
      <c r="R15">
        <v>2428199</v>
      </c>
    </row>
    <row r="16" spans="1:18" x14ac:dyDescent="0.25">
      <c r="A16" s="170">
        <v>42023</v>
      </c>
      <c r="B16" s="116">
        <v>9.39</v>
      </c>
      <c r="C16" s="116">
        <v>9.34</v>
      </c>
      <c r="D16" s="116">
        <v>9.16</v>
      </c>
      <c r="E16" s="116">
        <v>9.16</v>
      </c>
      <c r="F16" s="116">
        <v>46.7</v>
      </c>
      <c r="G16">
        <v>587224</v>
      </c>
      <c r="H16" s="116"/>
      <c r="I16" s="116"/>
      <c r="L16" s="170">
        <v>42023</v>
      </c>
      <c r="M16" s="116">
        <v>9.33</v>
      </c>
      <c r="N16" s="116">
        <v>9.3800000000000008</v>
      </c>
      <c r="O16" s="116">
        <v>9.18</v>
      </c>
      <c r="P16" s="116">
        <v>9.2200000000000006</v>
      </c>
      <c r="Q16" s="116">
        <v>46.65</v>
      </c>
      <c r="R16">
        <v>2679229</v>
      </c>
    </row>
    <row r="17" spans="1:18" x14ac:dyDescent="0.25">
      <c r="A17" s="170">
        <v>42024</v>
      </c>
      <c r="B17" s="116">
        <v>9.3800000000000008</v>
      </c>
      <c r="C17" s="116">
        <v>9.31</v>
      </c>
      <c r="D17" s="116">
        <v>9.26</v>
      </c>
      <c r="E17" s="116">
        <v>9.32</v>
      </c>
      <c r="F17" s="116">
        <v>46.55</v>
      </c>
      <c r="G17">
        <v>594877</v>
      </c>
      <c r="H17" s="116"/>
      <c r="I17" s="116"/>
      <c r="L17" s="170">
        <v>42024</v>
      </c>
      <c r="M17" s="116">
        <v>9.31</v>
      </c>
      <c r="N17" s="116">
        <v>9.3800000000000008</v>
      </c>
      <c r="O17" s="116">
        <v>9.26</v>
      </c>
      <c r="P17" s="116">
        <v>9.33</v>
      </c>
      <c r="Q17" s="116">
        <v>46.55</v>
      </c>
      <c r="R17">
        <v>2863085</v>
      </c>
    </row>
    <row r="18" spans="1:18" x14ac:dyDescent="0.25">
      <c r="A18" s="170">
        <v>42025</v>
      </c>
      <c r="B18" s="116">
        <v>9.4</v>
      </c>
      <c r="C18" s="116">
        <v>9.2100000000000009</v>
      </c>
      <c r="D18" s="116">
        <v>9.16</v>
      </c>
      <c r="E18" s="116">
        <v>9.3699999999999992</v>
      </c>
      <c r="F18" s="116">
        <v>46.05</v>
      </c>
      <c r="G18">
        <v>547078</v>
      </c>
      <c r="H18" s="116"/>
      <c r="I18" s="116"/>
      <c r="L18" s="170">
        <v>42025</v>
      </c>
      <c r="M18" s="116">
        <v>9.1999999999999993</v>
      </c>
      <c r="N18" s="116">
        <v>9.34</v>
      </c>
      <c r="O18" s="116">
        <v>9.14</v>
      </c>
      <c r="P18" s="116">
        <v>9.31</v>
      </c>
      <c r="Q18" s="116">
        <v>46</v>
      </c>
      <c r="R18">
        <v>2382167</v>
      </c>
    </row>
    <row r="19" spans="1:18" x14ac:dyDescent="0.25">
      <c r="A19" s="170">
        <v>42026</v>
      </c>
      <c r="B19" s="116">
        <v>9.64</v>
      </c>
      <c r="C19" s="116">
        <v>9.48</v>
      </c>
      <c r="D19" s="116">
        <v>9.18</v>
      </c>
      <c r="E19" s="116">
        <v>9.34</v>
      </c>
      <c r="F19" s="116">
        <v>47.4</v>
      </c>
      <c r="G19">
        <v>978494</v>
      </c>
      <c r="H19" s="116"/>
      <c r="I19" s="116"/>
      <c r="L19" s="170">
        <v>42026</v>
      </c>
      <c r="M19" s="116">
        <v>9.4499999999999993</v>
      </c>
      <c r="N19" s="116">
        <v>9.65</v>
      </c>
      <c r="O19" s="116">
        <v>9.18</v>
      </c>
      <c r="P19" s="116">
        <v>9.25</v>
      </c>
      <c r="Q19" s="116">
        <v>47.25</v>
      </c>
      <c r="R19">
        <v>3128197</v>
      </c>
    </row>
    <row r="20" spans="1:18" x14ac:dyDescent="0.25">
      <c r="A20" s="170">
        <v>42027</v>
      </c>
      <c r="B20" s="116">
        <v>10.28</v>
      </c>
      <c r="C20" s="116">
        <v>10.15</v>
      </c>
      <c r="D20" s="116">
        <v>9.4700000000000006</v>
      </c>
      <c r="E20" s="116">
        <v>9.6</v>
      </c>
      <c r="F20" s="116">
        <v>50.75</v>
      </c>
      <c r="G20">
        <v>3762844</v>
      </c>
      <c r="H20" s="116"/>
      <c r="I20" s="116"/>
      <c r="L20" s="170">
        <v>42027</v>
      </c>
      <c r="M20" s="116">
        <v>10.17</v>
      </c>
      <c r="N20" s="116">
        <v>10.27</v>
      </c>
      <c r="O20" s="116">
        <v>9.48</v>
      </c>
      <c r="P20" s="116">
        <v>9.6</v>
      </c>
      <c r="Q20" s="116">
        <v>50.85</v>
      </c>
      <c r="R20">
        <v>16688620</v>
      </c>
    </row>
    <row r="21" spans="1:18" x14ac:dyDescent="0.25">
      <c r="A21" s="170">
        <v>42031</v>
      </c>
      <c r="B21" s="116">
        <v>10.4</v>
      </c>
      <c r="C21" s="116">
        <v>10.01</v>
      </c>
      <c r="D21" s="116">
        <v>9.94</v>
      </c>
      <c r="E21" s="116">
        <v>10.29</v>
      </c>
      <c r="F21" s="116">
        <v>50.05</v>
      </c>
      <c r="G21">
        <v>2093797</v>
      </c>
      <c r="H21" s="116"/>
      <c r="I21" s="116"/>
      <c r="L21" s="170">
        <v>42031</v>
      </c>
      <c r="M21" s="116">
        <v>10</v>
      </c>
      <c r="N21" s="116">
        <v>10.32</v>
      </c>
      <c r="O21" s="116">
        <v>9.93</v>
      </c>
      <c r="P21" s="116">
        <v>10.26</v>
      </c>
      <c r="Q21" s="116">
        <v>50</v>
      </c>
      <c r="R21">
        <v>7579859</v>
      </c>
    </row>
    <row r="22" spans="1:18" x14ac:dyDescent="0.25">
      <c r="A22" s="170">
        <v>42032</v>
      </c>
      <c r="B22" s="116">
        <v>10.18</v>
      </c>
      <c r="C22" s="116">
        <v>9.9600000000000009</v>
      </c>
      <c r="D22" s="116">
        <v>9.65</v>
      </c>
      <c r="E22" s="116">
        <v>10.09</v>
      </c>
      <c r="F22" s="116">
        <v>49.8</v>
      </c>
      <c r="G22">
        <v>2059401</v>
      </c>
      <c r="H22" s="116"/>
      <c r="I22" s="116"/>
      <c r="L22" s="170">
        <v>42032</v>
      </c>
      <c r="M22" s="116">
        <v>9.9499999999999993</v>
      </c>
      <c r="N22" s="116">
        <v>10.18</v>
      </c>
      <c r="O22" s="116">
        <v>9.64</v>
      </c>
      <c r="P22" s="116">
        <v>9.98</v>
      </c>
      <c r="Q22" s="116">
        <v>49.75</v>
      </c>
      <c r="R22">
        <v>9649877</v>
      </c>
    </row>
    <row r="23" spans="1:18" x14ac:dyDescent="0.25">
      <c r="A23" s="170">
        <v>42033</v>
      </c>
      <c r="B23" s="116">
        <v>10.41</v>
      </c>
      <c r="C23" s="116">
        <v>10.31</v>
      </c>
      <c r="D23" s="116">
        <v>9.8699999999999992</v>
      </c>
      <c r="E23" s="116">
        <v>9.9600000000000009</v>
      </c>
      <c r="F23" s="116">
        <v>51.55</v>
      </c>
      <c r="G23">
        <v>1908342</v>
      </c>
      <c r="H23" s="116"/>
      <c r="I23" s="116"/>
      <c r="L23" s="170">
        <v>42033</v>
      </c>
      <c r="M23" s="116">
        <v>10.32</v>
      </c>
      <c r="N23" s="116">
        <v>10.42</v>
      </c>
      <c r="O23" s="116">
        <v>9.8699999999999992</v>
      </c>
      <c r="P23" s="116">
        <v>10.039999999999999</v>
      </c>
      <c r="Q23" s="116">
        <v>51.6</v>
      </c>
      <c r="R23">
        <v>13789164</v>
      </c>
    </row>
    <row r="24" spans="1:18" x14ac:dyDescent="0.25">
      <c r="A24" s="170">
        <v>42034</v>
      </c>
      <c r="B24" s="116">
        <v>10.62</v>
      </c>
      <c r="C24" s="116">
        <v>10.38</v>
      </c>
      <c r="D24" s="116">
        <v>10.119999999999999</v>
      </c>
      <c r="E24" s="116">
        <v>10.42</v>
      </c>
      <c r="F24" s="116">
        <v>51.9</v>
      </c>
      <c r="G24">
        <v>2898730</v>
      </c>
      <c r="H24" s="116"/>
      <c r="I24" s="116"/>
      <c r="L24" s="170">
        <v>42034</v>
      </c>
      <c r="M24" s="116">
        <v>10.39</v>
      </c>
      <c r="N24" s="116">
        <v>10.62</v>
      </c>
      <c r="O24" s="116">
        <v>10.1</v>
      </c>
      <c r="P24" s="116">
        <v>10.4</v>
      </c>
      <c r="Q24" s="116">
        <v>51.95</v>
      </c>
      <c r="R24">
        <v>17770031</v>
      </c>
    </row>
    <row r="25" spans="1:18" x14ac:dyDescent="0.25">
      <c r="A25" s="170">
        <v>42037</v>
      </c>
      <c r="B25" s="116">
        <v>10.55</v>
      </c>
      <c r="C25" s="116">
        <v>10.35</v>
      </c>
      <c r="D25" s="116">
        <v>10.28</v>
      </c>
      <c r="E25" s="116">
        <v>10.5</v>
      </c>
      <c r="F25" s="116">
        <v>51.75</v>
      </c>
      <c r="G25">
        <v>1408453</v>
      </c>
      <c r="H25" s="116"/>
      <c r="I25" s="116"/>
      <c r="L25" s="170">
        <v>42037</v>
      </c>
      <c r="M25" s="116">
        <v>10.35</v>
      </c>
      <c r="N25" s="116">
        <v>10.55</v>
      </c>
      <c r="O25" s="116">
        <v>10.26</v>
      </c>
      <c r="P25" s="116">
        <v>10.48</v>
      </c>
      <c r="Q25" s="116">
        <v>51.75</v>
      </c>
      <c r="R25">
        <v>5532687</v>
      </c>
    </row>
    <row r="26" spans="1:18" x14ac:dyDescent="0.25">
      <c r="A26" s="170">
        <v>42038</v>
      </c>
      <c r="B26" s="116">
        <v>10.41</v>
      </c>
      <c r="C26" s="116">
        <v>9.98</v>
      </c>
      <c r="D26" s="116">
        <v>9.93</v>
      </c>
      <c r="E26" s="116">
        <v>10.37</v>
      </c>
      <c r="F26" s="116">
        <v>49.9</v>
      </c>
      <c r="G26">
        <v>975446</v>
      </c>
      <c r="H26" s="116"/>
      <c r="I26" s="116"/>
      <c r="L26" s="170">
        <v>42038</v>
      </c>
      <c r="M26" s="116">
        <v>9.9700000000000006</v>
      </c>
      <c r="N26" s="116">
        <v>10.4</v>
      </c>
      <c r="O26" s="116">
        <v>9.92</v>
      </c>
      <c r="P26" s="116">
        <v>10.39</v>
      </c>
      <c r="Q26" s="116">
        <v>49.85</v>
      </c>
      <c r="R26">
        <v>4843071</v>
      </c>
    </row>
    <row r="27" spans="1:18" x14ac:dyDescent="0.25">
      <c r="A27" s="170">
        <v>42039</v>
      </c>
      <c r="B27" s="116">
        <v>10.26</v>
      </c>
      <c r="C27" s="116">
        <v>9.98</v>
      </c>
      <c r="D27" s="116">
        <v>9.8000000000000007</v>
      </c>
      <c r="E27" s="116">
        <v>10</v>
      </c>
      <c r="F27" s="116">
        <v>49.9</v>
      </c>
      <c r="G27">
        <v>1152671</v>
      </c>
      <c r="H27" s="116"/>
      <c r="I27" s="116"/>
      <c r="L27" s="170">
        <v>42039</v>
      </c>
      <c r="M27" s="116">
        <v>10.029999999999999</v>
      </c>
      <c r="N27" s="116">
        <v>10.26</v>
      </c>
      <c r="O27" s="116">
        <v>9.76</v>
      </c>
      <c r="P27" s="116">
        <v>10.039999999999999</v>
      </c>
      <c r="Q27" s="116">
        <v>50.15</v>
      </c>
      <c r="R27">
        <v>6267401</v>
      </c>
    </row>
    <row r="28" spans="1:18" x14ac:dyDescent="0.25">
      <c r="A28" s="170">
        <v>42040</v>
      </c>
      <c r="B28" s="116">
        <v>10.09</v>
      </c>
      <c r="C28" s="116">
        <v>9.4700000000000006</v>
      </c>
      <c r="D28" s="116">
        <v>9.3800000000000008</v>
      </c>
      <c r="E28" s="116">
        <v>10.09</v>
      </c>
      <c r="F28" s="116">
        <v>47.35</v>
      </c>
      <c r="G28">
        <v>934917</v>
      </c>
      <c r="H28" s="116"/>
      <c r="I28" s="116"/>
      <c r="L28" s="170">
        <v>42040</v>
      </c>
      <c r="M28" s="116">
        <v>9.49</v>
      </c>
      <c r="N28" s="116">
        <v>10.029999999999999</v>
      </c>
      <c r="O28" s="116">
        <v>9.3699999999999992</v>
      </c>
      <c r="P28" s="116">
        <v>10.029999999999999</v>
      </c>
      <c r="Q28" s="116">
        <v>47.45</v>
      </c>
      <c r="R28">
        <v>4151083</v>
      </c>
    </row>
    <row r="29" spans="1:18" x14ac:dyDescent="0.25">
      <c r="A29" s="170">
        <v>42041</v>
      </c>
      <c r="B29" s="116">
        <v>9.64</v>
      </c>
      <c r="C29" s="116">
        <v>9.42</v>
      </c>
      <c r="D29" s="116">
        <v>9.3699999999999992</v>
      </c>
      <c r="E29" s="116">
        <v>9.58</v>
      </c>
      <c r="F29" s="116">
        <v>47.1</v>
      </c>
      <c r="G29">
        <v>588669</v>
      </c>
      <c r="H29" s="116"/>
      <c r="I29" s="116"/>
      <c r="L29" s="170">
        <v>42041</v>
      </c>
      <c r="M29" s="116">
        <v>9.42</v>
      </c>
      <c r="N29" s="116">
        <v>9.64</v>
      </c>
      <c r="O29" s="116">
        <v>9.36</v>
      </c>
      <c r="P29" s="116">
        <v>9.51</v>
      </c>
      <c r="Q29" s="116">
        <v>47.1</v>
      </c>
      <c r="R29">
        <v>3076685</v>
      </c>
    </row>
    <row r="30" spans="1:18" x14ac:dyDescent="0.25">
      <c r="A30" s="170">
        <v>42044</v>
      </c>
      <c r="B30" s="116">
        <v>9.58</v>
      </c>
      <c r="C30" s="116">
        <v>9.27</v>
      </c>
      <c r="D30" s="116">
        <v>9.2200000000000006</v>
      </c>
      <c r="E30" s="116">
        <v>9.35</v>
      </c>
      <c r="F30" s="116">
        <v>46.35</v>
      </c>
      <c r="G30">
        <v>522360</v>
      </c>
      <c r="H30" s="116"/>
      <c r="I30" s="116"/>
      <c r="L30" s="170">
        <v>42044</v>
      </c>
      <c r="M30" s="116">
        <v>9.2799999999999994</v>
      </c>
      <c r="N30" s="116">
        <v>9.58</v>
      </c>
      <c r="O30" s="116">
        <v>9.2100000000000009</v>
      </c>
      <c r="P30" s="116">
        <v>9.36</v>
      </c>
      <c r="Q30" s="116">
        <v>46.4</v>
      </c>
      <c r="R30">
        <v>3115777</v>
      </c>
    </row>
    <row r="31" spans="1:18" x14ac:dyDescent="0.25">
      <c r="A31" s="170">
        <v>42045</v>
      </c>
      <c r="B31" s="116">
        <v>9.52</v>
      </c>
      <c r="C31" s="116">
        <v>9.3699999999999992</v>
      </c>
      <c r="D31" s="116">
        <v>9.15</v>
      </c>
      <c r="E31" s="116">
        <v>9.1999999999999993</v>
      </c>
      <c r="F31" s="116">
        <v>46.85</v>
      </c>
      <c r="G31">
        <v>892099</v>
      </c>
      <c r="H31" s="116"/>
      <c r="I31" s="116"/>
      <c r="L31" s="170">
        <v>42045</v>
      </c>
      <c r="M31" s="116">
        <v>9.35</v>
      </c>
      <c r="N31" s="116">
        <v>9.52</v>
      </c>
      <c r="O31" s="116">
        <v>9.1300000000000008</v>
      </c>
      <c r="P31" s="116">
        <v>9.26</v>
      </c>
      <c r="Q31" s="116">
        <v>46.75</v>
      </c>
      <c r="R31">
        <v>4149516</v>
      </c>
    </row>
    <row r="32" spans="1:18" x14ac:dyDescent="0.25">
      <c r="A32" s="170">
        <v>42046</v>
      </c>
      <c r="B32" s="116">
        <v>9.9600000000000009</v>
      </c>
      <c r="C32" s="116">
        <v>9.89</v>
      </c>
      <c r="D32" s="116">
        <v>9.41</v>
      </c>
      <c r="E32" s="116">
        <v>9.49</v>
      </c>
      <c r="F32" s="116">
        <v>49.45</v>
      </c>
      <c r="G32">
        <v>949608</v>
      </c>
      <c r="H32" s="116"/>
      <c r="I32" s="116"/>
      <c r="L32" s="170">
        <v>42046</v>
      </c>
      <c r="M32" s="116">
        <v>9.8800000000000008</v>
      </c>
      <c r="N32" s="116">
        <v>9.9600000000000009</v>
      </c>
      <c r="O32" s="116">
        <v>9.4</v>
      </c>
      <c r="P32" s="116">
        <v>9.4</v>
      </c>
      <c r="Q32" s="116">
        <v>49.4</v>
      </c>
      <c r="R32">
        <v>5724207</v>
      </c>
    </row>
    <row r="33" spans="1:18" x14ac:dyDescent="0.25">
      <c r="A33" s="170">
        <v>42047</v>
      </c>
      <c r="B33" s="116">
        <v>10.48</v>
      </c>
      <c r="C33" s="116">
        <v>10.4</v>
      </c>
      <c r="D33" s="116">
        <v>9.9</v>
      </c>
      <c r="E33" s="116">
        <v>9.94</v>
      </c>
      <c r="F33" s="116">
        <v>52</v>
      </c>
      <c r="G33">
        <v>1425363</v>
      </c>
      <c r="H33" s="116"/>
      <c r="I33" s="116"/>
      <c r="L33" s="170">
        <v>42047</v>
      </c>
      <c r="M33" s="116">
        <v>10.39</v>
      </c>
      <c r="N33" s="116">
        <v>10.48</v>
      </c>
      <c r="O33" s="116">
        <v>9.8800000000000008</v>
      </c>
      <c r="P33" s="116">
        <v>9.92</v>
      </c>
      <c r="Q33" s="116">
        <v>51.95</v>
      </c>
      <c r="R33">
        <v>10943728</v>
      </c>
    </row>
    <row r="34" spans="1:18" x14ac:dyDescent="0.25">
      <c r="A34" s="170">
        <v>42048</v>
      </c>
      <c r="B34" s="116">
        <v>10.56</v>
      </c>
      <c r="C34" s="116">
        <v>10.19</v>
      </c>
      <c r="D34" s="116">
        <v>10.15</v>
      </c>
      <c r="E34" s="116">
        <v>10.56</v>
      </c>
      <c r="F34" s="116">
        <v>50.95</v>
      </c>
      <c r="G34">
        <v>694406</v>
      </c>
      <c r="H34" s="116"/>
      <c r="I34" s="116"/>
      <c r="L34" s="170">
        <v>42048</v>
      </c>
      <c r="M34" s="116">
        <v>10.19</v>
      </c>
      <c r="N34" s="116">
        <v>10.47</v>
      </c>
      <c r="O34" s="116">
        <v>10.15</v>
      </c>
      <c r="P34" s="116">
        <v>10.28</v>
      </c>
      <c r="Q34" s="116">
        <v>50.95</v>
      </c>
      <c r="R34">
        <v>5125304</v>
      </c>
    </row>
    <row r="35" spans="1:18" x14ac:dyDescent="0.25">
      <c r="A35" s="170">
        <v>42051</v>
      </c>
      <c r="B35" s="116">
        <v>10.41</v>
      </c>
      <c r="C35" s="116">
        <v>10.09</v>
      </c>
      <c r="D35" s="116">
        <v>9.9600000000000009</v>
      </c>
      <c r="E35" s="116">
        <v>10.28</v>
      </c>
      <c r="F35" s="116">
        <v>50.45</v>
      </c>
      <c r="G35">
        <v>768534</v>
      </c>
      <c r="H35" s="116"/>
      <c r="I35" s="116"/>
      <c r="L35" s="170">
        <v>42051</v>
      </c>
      <c r="M35" s="116">
        <v>10.1</v>
      </c>
      <c r="N35" s="116">
        <v>10.41</v>
      </c>
      <c r="O35" s="116">
        <v>9.92</v>
      </c>
      <c r="P35" s="116">
        <v>10.210000000000001</v>
      </c>
      <c r="Q35" s="116">
        <v>50.5</v>
      </c>
      <c r="R35">
        <v>5007533</v>
      </c>
    </row>
    <row r="36" spans="1:18" x14ac:dyDescent="0.25">
      <c r="A36" s="170">
        <v>42053</v>
      </c>
      <c r="B36" s="116">
        <v>10.4</v>
      </c>
      <c r="C36" s="116">
        <v>10.28</v>
      </c>
      <c r="D36" s="116">
        <v>10.1</v>
      </c>
      <c r="E36" s="116">
        <v>10.1</v>
      </c>
      <c r="F36" s="116">
        <v>51.4</v>
      </c>
      <c r="G36">
        <v>786547</v>
      </c>
      <c r="H36" s="116"/>
      <c r="I36" s="116"/>
      <c r="L36" s="170">
        <v>42053</v>
      </c>
      <c r="M36" s="116">
        <v>10.29</v>
      </c>
      <c r="N36" s="116">
        <v>10.39</v>
      </c>
      <c r="O36" s="116">
        <v>10.130000000000001</v>
      </c>
      <c r="P36" s="116">
        <v>10.18</v>
      </c>
      <c r="Q36" s="116">
        <v>51.45</v>
      </c>
      <c r="R36">
        <v>3827277</v>
      </c>
    </row>
    <row r="37" spans="1:18" x14ac:dyDescent="0.25">
      <c r="A37" s="170">
        <v>42054</v>
      </c>
      <c r="B37" s="116">
        <v>11.14</v>
      </c>
      <c r="C37" s="116">
        <v>11.08</v>
      </c>
      <c r="D37" s="116">
        <v>10.28</v>
      </c>
      <c r="E37" s="116">
        <v>10.4</v>
      </c>
      <c r="F37" s="116">
        <v>55.4</v>
      </c>
      <c r="G37">
        <v>3721011</v>
      </c>
      <c r="H37" s="116"/>
      <c r="I37" s="116"/>
      <c r="L37" s="170">
        <v>42054</v>
      </c>
      <c r="M37" s="116">
        <v>11.07</v>
      </c>
      <c r="N37" s="116">
        <v>11.14</v>
      </c>
      <c r="O37" s="116">
        <v>10.28</v>
      </c>
      <c r="P37" s="116">
        <v>10.39</v>
      </c>
      <c r="Q37" s="116">
        <v>55.35</v>
      </c>
      <c r="R37">
        <v>14870563</v>
      </c>
    </row>
    <row r="38" spans="1:18" x14ac:dyDescent="0.25">
      <c r="A38" s="170">
        <v>42055</v>
      </c>
      <c r="B38" s="116">
        <v>11.2</v>
      </c>
      <c r="C38" s="116">
        <v>10.95</v>
      </c>
      <c r="D38" s="116">
        <v>10.91</v>
      </c>
      <c r="E38" s="116">
        <v>11.2</v>
      </c>
      <c r="F38" s="116">
        <v>54.75</v>
      </c>
      <c r="G38">
        <v>1861417</v>
      </c>
      <c r="H38" s="116"/>
      <c r="I38" s="116"/>
      <c r="L38" s="170">
        <v>42055</v>
      </c>
      <c r="M38" s="116">
        <v>10.96</v>
      </c>
      <c r="N38" s="116">
        <v>11.2</v>
      </c>
      <c r="O38" s="116">
        <v>10.9</v>
      </c>
      <c r="P38" s="116">
        <v>11.19</v>
      </c>
      <c r="Q38" s="116">
        <v>54.8</v>
      </c>
      <c r="R38">
        <v>11644548</v>
      </c>
    </row>
    <row r="39" spans="1:18" x14ac:dyDescent="0.25">
      <c r="A39" s="170">
        <v>42058</v>
      </c>
      <c r="B39" s="116">
        <v>11.54</v>
      </c>
      <c r="C39" s="116">
        <v>11.42</v>
      </c>
      <c r="D39" s="116">
        <v>10.9</v>
      </c>
      <c r="E39" s="116">
        <v>11.07</v>
      </c>
      <c r="F39" s="116">
        <v>57.1</v>
      </c>
      <c r="G39">
        <v>2754085</v>
      </c>
      <c r="H39" s="116"/>
      <c r="I39" s="116"/>
      <c r="L39" s="170">
        <v>42058</v>
      </c>
      <c r="M39" s="116">
        <v>11.4</v>
      </c>
      <c r="N39" s="116">
        <v>11.53</v>
      </c>
      <c r="O39" s="116">
        <v>10.89</v>
      </c>
      <c r="P39" s="116">
        <v>11.02</v>
      </c>
      <c r="Q39" s="116">
        <v>57</v>
      </c>
      <c r="R39">
        <v>17445479</v>
      </c>
    </row>
    <row r="40" spans="1:18" x14ac:dyDescent="0.25">
      <c r="A40" s="170">
        <v>42059</v>
      </c>
      <c r="B40" s="116">
        <v>11.58</v>
      </c>
      <c r="C40" s="116">
        <v>11.35</v>
      </c>
      <c r="D40" s="116">
        <v>11.07</v>
      </c>
      <c r="E40" s="116">
        <v>11.41</v>
      </c>
      <c r="F40" s="116">
        <v>56.75</v>
      </c>
      <c r="G40">
        <v>2224028</v>
      </c>
      <c r="H40" s="116"/>
      <c r="I40" s="116"/>
      <c r="L40" s="170">
        <v>42059</v>
      </c>
      <c r="M40" s="116">
        <v>11.34</v>
      </c>
      <c r="N40" s="116">
        <v>11.58</v>
      </c>
      <c r="O40" s="116">
        <v>11.05</v>
      </c>
      <c r="P40" s="116">
        <v>11.39</v>
      </c>
      <c r="Q40" s="116">
        <v>56.7</v>
      </c>
      <c r="R40">
        <v>14060818</v>
      </c>
    </row>
    <row r="41" spans="1:18" x14ac:dyDescent="0.25">
      <c r="A41" s="170">
        <v>42060</v>
      </c>
      <c r="B41" s="116">
        <v>11.48</v>
      </c>
      <c r="C41" s="116">
        <v>11.16</v>
      </c>
      <c r="D41" s="116">
        <v>11.11</v>
      </c>
      <c r="E41" s="116">
        <v>11.4</v>
      </c>
      <c r="F41" s="116">
        <v>55.8</v>
      </c>
      <c r="G41">
        <v>1038104</v>
      </c>
      <c r="H41" s="116"/>
      <c r="I41" s="116"/>
      <c r="L41" s="170">
        <v>42060</v>
      </c>
      <c r="M41" s="116">
        <v>11.17</v>
      </c>
      <c r="N41" s="116">
        <v>11.48</v>
      </c>
      <c r="O41" s="116">
        <v>11.1</v>
      </c>
      <c r="P41" s="116">
        <v>11.43</v>
      </c>
      <c r="Q41" s="116">
        <v>55.85</v>
      </c>
      <c r="R41">
        <v>6905522</v>
      </c>
    </row>
    <row r="42" spans="1:18" x14ac:dyDescent="0.25">
      <c r="A42" s="170">
        <v>42061</v>
      </c>
      <c r="B42" s="116">
        <v>11.22</v>
      </c>
      <c r="C42" s="116">
        <v>10.97</v>
      </c>
      <c r="D42" s="116">
        <v>10.92</v>
      </c>
      <c r="E42" s="116">
        <v>11.22</v>
      </c>
      <c r="F42" s="116">
        <v>54.85</v>
      </c>
      <c r="G42">
        <v>843414</v>
      </c>
      <c r="H42" s="116"/>
      <c r="I42" s="116"/>
      <c r="L42" s="170">
        <v>42061</v>
      </c>
      <c r="M42" s="116">
        <v>10.98</v>
      </c>
      <c r="N42" s="116">
        <v>11.2</v>
      </c>
      <c r="O42" s="116">
        <v>10.93</v>
      </c>
      <c r="P42" s="116">
        <v>11.2</v>
      </c>
      <c r="Q42" s="116">
        <v>54.9</v>
      </c>
      <c r="R42">
        <v>6990473</v>
      </c>
    </row>
    <row r="43" spans="1:18" x14ac:dyDescent="0.25">
      <c r="A43" s="170">
        <v>42062</v>
      </c>
      <c r="B43" s="116">
        <v>11.51</v>
      </c>
      <c r="C43" s="116">
        <v>11.48</v>
      </c>
      <c r="D43" s="116">
        <v>11.02</v>
      </c>
      <c r="E43" s="116">
        <v>11.02</v>
      </c>
      <c r="F43" s="116">
        <v>57.4</v>
      </c>
      <c r="G43">
        <v>1359727</v>
      </c>
      <c r="H43" s="116"/>
      <c r="I43" s="116"/>
      <c r="L43" s="170">
        <v>42062</v>
      </c>
      <c r="M43" s="116">
        <v>11.48</v>
      </c>
      <c r="N43" s="116">
        <v>11.51</v>
      </c>
      <c r="O43" s="116">
        <v>11.03</v>
      </c>
      <c r="P43" s="116">
        <v>11.08</v>
      </c>
      <c r="Q43" s="116">
        <v>57.4</v>
      </c>
      <c r="R43">
        <v>8484593</v>
      </c>
    </row>
    <row r="44" spans="1:18" x14ac:dyDescent="0.25">
      <c r="A44" s="170">
        <v>42063</v>
      </c>
      <c r="B44" s="116">
        <v>11.72</v>
      </c>
      <c r="C44" s="116">
        <v>11.2</v>
      </c>
      <c r="D44" s="116">
        <v>10.96</v>
      </c>
      <c r="E44" s="116">
        <v>11.58</v>
      </c>
      <c r="F44" s="116">
        <v>56</v>
      </c>
      <c r="G44">
        <v>2708977</v>
      </c>
      <c r="H44" s="116"/>
      <c r="I44" s="116"/>
      <c r="L44" s="170">
        <v>42063</v>
      </c>
      <c r="M44" s="116">
        <v>11.21</v>
      </c>
      <c r="N44" s="116">
        <v>11.72</v>
      </c>
      <c r="O44" s="116">
        <v>10.95</v>
      </c>
      <c r="P44" s="116">
        <v>11.6</v>
      </c>
      <c r="Q44" s="116">
        <v>56.05</v>
      </c>
      <c r="R44">
        <v>13627550</v>
      </c>
    </row>
    <row r="45" spans="1:18" x14ac:dyDescent="0.25">
      <c r="A45" s="170">
        <v>42065</v>
      </c>
      <c r="B45" s="116">
        <v>11.3</v>
      </c>
      <c r="C45" s="116">
        <v>11.06</v>
      </c>
      <c r="D45" s="116">
        <v>10.9</v>
      </c>
      <c r="E45" s="116">
        <v>11.23</v>
      </c>
      <c r="F45" s="116">
        <v>55.3</v>
      </c>
      <c r="G45">
        <v>1236743</v>
      </c>
      <c r="H45" s="116"/>
      <c r="I45" s="116"/>
      <c r="L45" s="170">
        <v>42065</v>
      </c>
      <c r="M45" s="116">
        <v>11.07</v>
      </c>
      <c r="N45" s="116">
        <v>11.31</v>
      </c>
      <c r="O45" s="116">
        <v>10.91</v>
      </c>
      <c r="P45" s="116">
        <v>11.29</v>
      </c>
      <c r="Q45" s="116">
        <v>55.35</v>
      </c>
      <c r="R45">
        <v>5426406</v>
      </c>
    </row>
    <row r="46" spans="1:18" x14ac:dyDescent="0.25">
      <c r="A46" s="170">
        <v>42066</v>
      </c>
      <c r="B46" s="116">
        <v>11.48</v>
      </c>
      <c r="C46" s="116">
        <v>11.4</v>
      </c>
      <c r="D46" s="116">
        <v>11.16</v>
      </c>
      <c r="E46" s="116">
        <v>11.2</v>
      </c>
      <c r="F46" s="116">
        <v>57</v>
      </c>
      <c r="G46">
        <v>1213549</v>
      </c>
      <c r="H46" s="116"/>
      <c r="I46" s="116"/>
      <c r="L46" s="170">
        <v>42066</v>
      </c>
      <c r="M46" s="116">
        <v>11.42</v>
      </c>
      <c r="N46" s="116">
        <v>11.5</v>
      </c>
      <c r="O46" s="116">
        <v>11.14</v>
      </c>
      <c r="P46" s="116">
        <v>11.3</v>
      </c>
      <c r="Q46" s="116">
        <v>57.1</v>
      </c>
      <c r="R46">
        <v>6875563</v>
      </c>
    </row>
    <row r="47" spans="1:18" x14ac:dyDescent="0.25">
      <c r="A47" s="170">
        <v>42067</v>
      </c>
      <c r="B47" s="116">
        <v>11.86</v>
      </c>
      <c r="C47" s="116">
        <v>11.31</v>
      </c>
      <c r="D47" s="116">
        <v>11.2</v>
      </c>
      <c r="E47" s="116">
        <v>11.54</v>
      </c>
      <c r="F47" s="116">
        <v>56.55</v>
      </c>
      <c r="G47">
        <v>2746946</v>
      </c>
      <c r="H47" s="116"/>
      <c r="I47" s="116"/>
      <c r="L47" s="170">
        <v>42067</v>
      </c>
      <c r="M47" s="116">
        <v>11.32</v>
      </c>
      <c r="N47" s="116">
        <v>11.87</v>
      </c>
      <c r="O47" s="116">
        <v>11.2</v>
      </c>
      <c r="P47" s="116">
        <v>11.58</v>
      </c>
      <c r="Q47" s="116">
        <v>56.6</v>
      </c>
      <c r="R47">
        <v>13880606</v>
      </c>
    </row>
    <row r="48" spans="1:18" x14ac:dyDescent="0.25">
      <c r="A48" s="170">
        <v>42068</v>
      </c>
      <c r="B48" s="116">
        <v>12</v>
      </c>
      <c r="C48" s="116">
        <v>11.87</v>
      </c>
      <c r="D48" s="116">
        <v>11.33</v>
      </c>
      <c r="E48" s="116">
        <v>11.7</v>
      </c>
      <c r="F48" s="116">
        <v>59.35</v>
      </c>
      <c r="G48">
        <v>4038839</v>
      </c>
      <c r="H48" s="116"/>
      <c r="I48" s="116"/>
      <c r="L48" s="170">
        <v>42068</v>
      </c>
      <c r="M48" s="116">
        <v>11.88</v>
      </c>
      <c r="N48" s="116">
        <v>12.03</v>
      </c>
      <c r="O48" s="116">
        <v>11.32</v>
      </c>
      <c r="P48" s="116">
        <v>11.66</v>
      </c>
      <c r="Q48" s="116">
        <v>59.4</v>
      </c>
      <c r="R48">
        <v>24828195</v>
      </c>
    </row>
    <row r="49" spans="1:18" x14ac:dyDescent="0.25">
      <c r="A49" s="170">
        <v>42072</v>
      </c>
      <c r="B49" s="116">
        <v>11.68</v>
      </c>
      <c r="C49" s="116">
        <v>11.01</v>
      </c>
      <c r="D49" s="116">
        <v>10.93</v>
      </c>
      <c r="E49" s="116">
        <v>11.68</v>
      </c>
      <c r="F49" s="116">
        <v>55.05</v>
      </c>
      <c r="G49">
        <v>2762786</v>
      </c>
      <c r="H49" s="116"/>
      <c r="I49" s="116"/>
      <c r="L49" s="170">
        <v>42072</v>
      </c>
      <c r="M49" s="116">
        <v>10.99</v>
      </c>
      <c r="N49" s="116">
        <v>11.63</v>
      </c>
      <c r="O49" s="116">
        <v>10.9</v>
      </c>
      <c r="P49" s="116">
        <v>11.63</v>
      </c>
      <c r="Q49" s="116">
        <v>54.95</v>
      </c>
      <c r="R49">
        <v>17949958</v>
      </c>
    </row>
    <row r="50" spans="1:18" x14ac:dyDescent="0.25">
      <c r="A50" s="170">
        <v>42073</v>
      </c>
      <c r="B50" s="116">
        <v>11.1</v>
      </c>
      <c r="C50" s="116">
        <v>10.45</v>
      </c>
      <c r="D50" s="116">
        <v>10.38</v>
      </c>
      <c r="E50" s="116">
        <v>11.02</v>
      </c>
      <c r="F50" s="116">
        <v>52.25</v>
      </c>
      <c r="G50">
        <v>1974953</v>
      </c>
      <c r="H50" s="116"/>
      <c r="I50" s="116"/>
      <c r="L50" s="170">
        <v>42073</v>
      </c>
      <c r="M50" s="116">
        <v>10.45</v>
      </c>
      <c r="N50" s="116">
        <v>11.09</v>
      </c>
      <c r="O50" s="116">
        <v>10.38</v>
      </c>
      <c r="P50" s="116">
        <v>11</v>
      </c>
      <c r="Q50" s="116">
        <v>52.25</v>
      </c>
      <c r="R50">
        <v>11832317</v>
      </c>
    </row>
    <row r="51" spans="1:18" x14ac:dyDescent="0.25">
      <c r="A51" s="170">
        <v>42074</v>
      </c>
      <c r="B51" s="116">
        <v>10.64</v>
      </c>
      <c r="C51" s="116">
        <v>10.33</v>
      </c>
      <c r="D51" s="116">
        <v>10.17</v>
      </c>
      <c r="E51" s="116">
        <v>10.5</v>
      </c>
      <c r="F51" s="116">
        <v>51.65</v>
      </c>
      <c r="G51">
        <v>1459234</v>
      </c>
      <c r="H51" s="116"/>
      <c r="I51" s="116"/>
      <c r="L51" s="170">
        <v>42074</v>
      </c>
      <c r="M51" s="116">
        <v>10.31</v>
      </c>
      <c r="N51" s="116">
        <v>10.65</v>
      </c>
      <c r="O51" s="116">
        <v>10.130000000000001</v>
      </c>
      <c r="P51" s="116">
        <v>10.56</v>
      </c>
      <c r="Q51" s="116">
        <v>51.55</v>
      </c>
      <c r="R51">
        <v>11185937</v>
      </c>
    </row>
    <row r="52" spans="1:18" x14ac:dyDescent="0.25">
      <c r="A52" s="170">
        <v>42075</v>
      </c>
      <c r="B52" s="116">
        <v>10.6</v>
      </c>
      <c r="C52" s="116">
        <v>10.55</v>
      </c>
      <c r="D52" s="116">
        <v>10.37</v>
      </c>
      <c r="E52" s="116">
        <v>10.39</v>
      </c>
      <c r="F52" s="116">
        <v>52.75</v>
      </c>
      <c r="G52">
        <v>851184</v>
      </c>
      <c r="H52" s="116"/>
      <c r="I52" s="116"/>
      <c r="L52" s="170">
        <v>42075</v>
      </c>
      <c r="M52" s="116">
        <v>10.56</v>
      </c>
      <c r="N52" s="116">
        <v>10.62</v>
      </c>
      <c r="O52" s="116">
        <v>10.36</v>
      </c>
      <c r="P52" s="116">
        <v>10.36</v>
      </c>
      <c r="Q52" s="116">
        <v>52.8</v>
      </c>
      <c r="R52">
        <v>5831158</v>
      </c>
    </row>
    <row r="53" spans="1:18" x14ac:dyDescent="0.25">
      <c r="A53" s="170">
        <v>42076</v>
      </c>
      <c r="B53" s="116">
        <v>10.65</v>
      </c>
      <c r="C53" s="116">
        <v>10.01</v>
      </c>
      <c r="D53" s="116">
        <v>9.9499999999999993</v>
      </c>
      <c r="E53" s="116">
        <v>10.62</v>
      </c>
      <c r="F53" s="116">
        <v>50.05</v>
      </c>
      <c r="G53">
        <v>1416366</v>
      </c>
      <c r="H53" s="116"/>
      <c r="I53" s="116"/>
      <c r="L53" s="170">
        <v>42076</v>
      </c>
      <c r="M53" s="116">
        <v>10</v>
      </c>
      <c r="N53" s="116">
        <v>10.66</v>
      </c>
      <c r="O53" s="116">
        <v>9.94</v>
      </c>
      <c r="P53" s="116">
        <v>10.66</v>
      </c>
      <c r="Q53" s="116">
        <v>50</v>
      </c>
      <c r="R53">
        <v>7207712</v>
      </c>
    </row>
    <row r="54" spans="1:18" x14ac:dyDescent="0.25">
      <c r="A54" s="170">
        <v>42079</v>
      </c>
      <c r="B54" s="116">
        <v>10.199999999999999</v>
      </c>
      <c r="C54" s="116">
        <v>10.08</v>
      </c>
      <c r="D54" s="116">
        <v>9.8699999999999992</v>
      </c>
      <c r="E54" s="116">
        <v>10.02</v>
      </c>
      <c r="F54" s="116">
        <v>50.4</v>
      </c>
      <c r="G54">
        <v>954390</v>
      </c>
      <c r="H54" s="116"/>
      <c r="I54" s="116"/>
      <c r="L54" s="170">
        <v>42079</v>
      </c>
      <c r="M54" s="116">
        <v>10.08</v>
      </c>
      <c r="N54" s="116">
        <v>10.210000000000001</v>
      </c>
      <c r="O54" s="116">
        <v>9.8800000000000008</v>
      </c>
      <c r="P54" s="116">
        <v>10.029999999999999</v>
      </c>
      <c r="Q54" s="116">
        <v>50.4</v>
      </c>
      <c r="R54">
        <v>4749638</v>
      </c>
    </row>
    <row r="55" spans="1:18" x14ac:dyDescent="0.25">
      <c r="A55" s="170">
        <v>42080</v>
      </c>
      <c r="B55" s="116">
        <v>10.220000000000001</v>
      </c>
      <c r="C55" s="116">
        <v>10.09</v>
      </c>
      <c r="D55" s="116">
        <v>9.92</v>
      </c>
      <c r="E55" s="116">
        <v>10.18</v>
      </c>
      <c r="F55" s="116">
        <v>50.45</v>
      </c>
      <c r="G55">
        <v>843760</v>
      </c>
      <c r="H55" s="116"/>
      <c r="I55" s="116"/>
      <c r="L55" s="170">
        <v>42080</v>
      </c>
      <c r="M55" s="116">
        <v>10.09</v>
      </c>
      <c r="N55" s="116">
        <v>10.220000000000001</v>
      </c>
      <c r="O55" s="116">
        <v>9.91</v>
      </c>
      <c r="P55" s="116">
        <v>10.18</v>
      </c>
      <c r="Q55" s="116">
        <v>50.45</v>
      </c>
      <c r="R55">
        <v>4967676</v>
      </c>
    </row>
    <row r="56" spans="1:18" x14ac:dyDescent="0.25">
      <c r="A56" s="170">
        <v>42081</v>
      </c>
      <c r="B56" s="116">
        <v>10.17</v>
      </c>
      <c r="C56" s="116">
        <v>10.029999999999999</v>
      </c>
      <c r="D56" s="116">
        <v>9.98</v>
      </c>
      <c r="E56" s="116">
        <v>10.15</v>
      </c>
      <c r="F56" s="116">
        <v>50.15</v>
      </c>
      <c r="G56">
        <v>693859</v>
      </c>
      <c r="H56" s="116"/>
      <c r="I56" s="116"/>
      <c r="L56" s="170">
        <v>42081</v>
      </c>
      <c r="M56" s="116">
        <v>10.029999999999999</v>
      </c>
      <c r="N56" s="116">
        <v>10.18</v>
      </c>
      <c r="O56" s="116">
        <v>9.9700000000000006</v>
      </c>
      <c r="P56" s="116">
        <v>10.14</v>
      </c>
      <c r="Q56" s="116">
        <v>50.15</v>
      </c>
      <c r="R56">
        <v>3976763</v>
      </c>
    </row>
    <row r="57" spans="1:18" x14ac:dyDescent="0.25">
      <c r="A57" s="170">
        <v>42082</v>
      </c>
      <c r="B57" s="116">
        <v>10.16</v>
      </c>
      <c r="C57" s="116">
        <v>9.6199999999999992</v>
      </c>
      <c r="D57" s="116">
        <v>9.56</v>
      </c>
      <c r="E57" s="116">
        <v>10.11</v>
      </c>
      <c r="F57" s="116">
        <v>48.1</v>
      </c>
      <c r="G57">
        <v>768055</v>
      </c>
      <c r="H57" s="116"/>
      <c r="I57" s="116"/>
      <c r="L57" s="170">
        <v>42082</v>
      </c>
      <c r="M57" s="116">
        <v>9.61</v>
      </c>
      <c r="N57" s="116">
        <v>10.17</v>
      </c>
      <c r="O57" s="116">
        <v>9.5500000000000007</v>
      </c>
      <c r="P57" s="116">
        <v>10.1</v>
      </c>
      <c r="Q57" s="116">
        <v>48.05</v>
      </c>
      <c r="R57">
        <v>5218422</v>
      </c>
    </row>
    <row r="58" spans="1:18" x14ac:dyDescent="0.25">
      <c r="A58" s="170">
        <v>42083</v>
      </c>
      <c r="B58" s="116">
        <v>9.6</v>
      </c>
      <c r="C58" s="116">
        <v>9.5</v>
      </c>
      <c r="D58" s="116">
        <v>9.32</v>
      </c>
      <c r="E58" s="116">
        <v>9.59</v>
      </c>
      <c r="F58" s="116">
        <v>47.5</v>
      </c>
      <c r="G58">
        <v>1024038</v>
      </c>
      <c r="H58" s="116"/>
      <c r="I58" s="116"/>
      <c r="L58" s="170">
        <v>42083</v>
      </c>
      <c r="M58" s="116">
        <v>9.5</v>
      </c>
      <c r="N58" s="116">
        <v>9.6199999999999992</v>
      </c>
      <c r="O58" s="116">
        <v>9.3000000000000007</v>
      </c>
      <c r="P58" s="116">
        <v>9.6199999999999992</v>
      </c>
      <c r="Q58" s="116">
        <v>47.5</v>
      </c>
      <c r="R58">
        <v>7351440</v>
      </c>
    </row>
    <row r="59" spans="1:18" x14ac:dyDescent="0.25">
      <c r="A59" s="170">
        <v>42086</v>
      </c>
      <c r="B59" s="116">
        <v>9.58</v>
      </c>
      <c r="C59" s="116">
        <v>9.3800000000000008</v>
      </c>
      <c r="D59" s="116">
        <v>9.34</v>
      </c>
      <c r="E59" s="116">
        <v>9.5500000000000007</v>
      </c>
      <c r="F59" s="116">
        <v>46.9</v>
      </c>
      <c r="G59">
        <v>541735</v>
      </c>
      <c r="H59" s="116"/>
      <c r="I59" s="116"/>
      <c r="L59" s="170">
        <v>42086</v>
      </c>
      <c r="M59" s="116">
        <v>9.35</v>
      </c>
      <c r="N59" s="116">
        <v>9.58</v>
      </c>
      <c r="O59" s="116">
        <v>9.32</v>
      </c>
      <c r="P59" s="116">
        <v>9.58</v>
      </c>
      <c r="Q59" s="116">
        <v>46.75</v>
      </c>
      <c r="R59">
        <v>3762662</v>
      </c>
    </row>
    <row r="60" spans="1:18" x14ac:dyDescent="0.25">
      <c r="A60" s="170">
        <v>42087</v>
      </c>
      <c r="B60" s="116">
        <v>9.4700000000000006</v>
      </c>
      <c r="C60" s="116">
        <v>9.23</v>
      </c>
      <c r="D60" s="116">
        <v>9.16</v>
      </c>
      <c r="E60" s="116">
        <v>9.3699999999999992</v>
      </c>
      <c r="F60" s="116">
        <v>46.15</v>
      </c>
      <c r="G60">
        <v>672073</v>
      </c>
      <c r="H60" s="116"/>
      <c r="I60" s="116"/>
      <c r="L60" s="170">
        <v>42087</v>
      </c>
      <c r="M60" s="116">
        <v>9.2200000000000006</v>
      </c>
      <c r="N60" s="116">
        <v>9.4600000000000009</v>
      </c>
      <c r="O60" s="116">
        <v>9.15</v>
      </c>
      <c r="P60" s="116">
        <v>9.33</v>
      </c>
      <c r="Q60" s="116">
        <v>46.1</v>
      </c>
      <c r="R60">
        <v>4575468</v>
      </c>
    </row>
    <row r="61" spans="1:18" x14ac:dyDescent="0.25">
      <c r="A61" s="170">
        <v>42088</v>
      </c>
      <c r="B61" s="116">
        <v>9.36</v>
      </c>
      <c r="C61" s="116">
        <v>9.2799999999999994</v>
      </c>
      <c r="D61" s="116">
        <v>9.1999999999999993</v>
      </c>
      <c r="E61" s="116">
        <v>9.25</v>
      </c>
      <c r="F61" s="116">
        <v>46.4</v>
      </c>
      <c r="G61">
        <v>470722</v>
      </c>
      <c r="H61" s="116"/>
      <c r="I61" s="116"/>
      <c r="L61" s="170">
        <v>42088</v>
      </c>
      <c r="M61" s="116">
        <v>9.2899999999999991</v>
      </c>
      <c r="N61" s="116">
        <v>9.35</v>
      </c>
      <c r="O61" s="116">
        <v>9.17</v>
      </c>
      <c r="P61" s="116">
        <v>9.2200000000000006</v>
      </c>
      <c r="Q61" s="116">
        <v>46.45</v>
      </c>
      <c r="R61">
        <v>3297809</v>
      </c>
    </row>
    <row r="62" spans="1:18" x14ac:dyDescent="0.25">
      <c r="A62" s="170">
        <v>42089</v>
      </c>
      <c r="B62" s="116">
        <v>9.49</v>
      </c>
      <c r="C62" s="116">
        <v>9.2799999999999994</v>
      </c>
      <c r="D62" s="116">
        <v>9.1999999999999993</v>
      </c>
      <c r="E62" s="116">
        <v>9.2200000000000006</v>
      </c>
      <c r="F62" s="116">
        <v>46.4</v>
      </c>
      <c r="G62">
        <v>596662</v>
      </c>
      <c r="H62" s="116"/>
      <c r="I62" s="116"/>
      <c r="L62" s="170">
        <v>42089</v>
      </c>
      <c r="M62" s="116">
        <v>9.27</v>
      </c>
      <c r="N62" s="116">
        <v>9.5</v>
      </c>
      <c r="O62" s="116">
        <v>9.18</v>
      </c>
      <c r="P62" s="116">
        <v>9.1999999999999993</v>
      </c>
      <c r="Q62" s="116">
        <v>46.35</v>
      </c>
      <c r="R62">
        <v>4091037</v>
      </c>
    </row>
    <row r="63" spans="1:18" x14ac:dyDescent="0.25">
      <c r="A63" s="170">
        <v>42090</v>
      </c>
      <c r="B63" s="116">
        <v>9.43</v>
      </c>
      <c r="C63" s="116">
        <v>9.2100000000000009</v>
      </c>
      <c r="D63" s="116">
        <v>8.9600000000000009</v>
      </c>
      <c r="E63" s="116">
        <v>9.34</v>
      </c>
      <c r="F63" s="116">
        <v>46.05</v>
      </c>
      <c r="G63">
        <v>1151062</v>
      </c>
      <c r="H63" s="116"/>
      <c r="I63" s="116"/>
      <c r="L63" s="170">
        <v>42090</v>
      </c>
      <c r="M63" s="116">
        <v>9.1999999999999993</v>
      </c>
      <c r="N63" s="116">
        <v>9.42</v>
      </c>
      <c r="O63" s="116">
        <v>8.93</v>
      </c>
      <c r="P63" s="116">
        <v>9.31</v>
      </c>
      <c r="Q63" s="116">
        <v>46</v>
      </c>
      <c r="R63">
        <v>6177625</v>
      </c>
    </row>
    <row r="64" spans="1:18" x14ac:dyDescent="0.25">
      <c r="A64" s="170">
        <v>42093</v>
      </c>
      <c r="B64" s="116">
        <v>9.5399999999999991</v>
      </c>
      <c r="C64" s="116">
        <v>9.5</v>
      </c>
      <c r="D64" s="116">
        <v>9.26</v>
      </c>
      <c r="E64" s="116">
        <v>9.2899999999999991</v>
      </c>
      <c r="F64" s="116">
        <v>47.5</v>
      </c>
      <c r="G64">
        <v>542745</v>
      </c>
      <c r="H64" s="116"/>
      <c r="I64" s="116"/>
      <c r="L64" s="170">
        <v>42093</v>
      </c>
      <c r="M64" s="116">
        <v>9.5</v>
      </c>
      <c r="N64" s="116">
        <v>9.56</v>
      </c>
      <c r="O64" s="116">
        <v>9.24</v>
      </c>
      <c r="P64" s="116">
        <v>9.24</v>
      </c>
      <c r="Q64" s="116">
        <v>47.5</v>
      </c>
      <c r="R64">
        <v>3645315</v>
      </c>
    </row>
    <row r="65" spans="1:18" x14ac:dyDescent="0.25">
      <c r="A65" s="170">
        <v>42094</v>
      </c>
      <c r="B65" s="116">
        <v>9.75</v>
      </c>
      <c r="C65" s="116">
        <v>9.4600000000000009</v>
      </c>
      <c r="D65" s="116">
        <v>9.39</v>
      </c>
      <c r="E65" s="116">
        <v>9.58</v>
      </c>
      <c r="F65" s="116">
        <v>47.3</v>
      </c>
      <c r="G65">
        <v>943150</v>
      </c>
      <c r="H65" s="116"/>
      <c r="I65" s="116"/>
      <c r="L65" s="170">
        <v>42094</v>
      </c>
      <c r="M65" s="116">
        <v>9.4600000000000009</v>
      </c>
      <c r="N65" s="116">
        <v>9.75</v>
      </c>
      <c r="O65" s="116">
        <v>9.3800000000000008</v>
      </c>
      <c r="P65" s="116">
        <v>9.56</v>
      </c>
      <c r="Q65" s="116">
        <v>47.3</v>
      </c>
      <c r="R65">
        <v>5860485</v>
      </c>
    </row>
    <row r="66" spans="1:18" x14ac:dyDescent="0.25">
      <c r="A66" s="170">
        <v>42095</v>
      </c>
      <c r="B66" s="116">
        <v>9.6</v>
      </c>
      <c r="C66" s="116">
        <v>9.5500000000000007</v>
      </c>
      <c r="D66" s="116">
        <v>9.31</v>
      </c>
      <c r="E66" s="116">
        <v>9.4</v>
      </c>
      <c r="F66" s="116">
        <v>47.75</v>
      </c>
      <c r="G66">
        <v>386795</v>
      </c>
      <c r="H66" s="116"/>
      <c r="I66" s="116"/>
      <c r="L66" s="170">
        <v>42095</v>
      </c>
      <c r="M66" s="116">
        <v>9.5500000000000007</v>
      </c>
      <c r="N66" s="116">
        <v>9.6</v>
      </c>
      <c r="O66" s="116">
        <v>9.34</v>
      </c>
      <c r="P66" s="116">
        <v>9.34</v>
      </c>
      <c r="Q66" s="116">
        <v>47.75</v>
      </c>
      <c r="R66">
        <v>3015649</v>
      </c>
    </row>
    <row r="67" spans="1:18" x14ac:dyDescent="0.25">
      <c r="A67" s="170">
        <v>42100</v>
      </c>
      <c r="B67" s="116">
        <v>9.61</v>
      </c>
      <c r="C67" s="116">
        <v>9.48</v>
      </c>
      <c r="D67" s="116">
        <v>9.35</v>
      </c>
      <c r="E67" s="116">
        <v>9.61</v>
      </c>
      <c r="F67" s="116">
        <v>47.4</v>
      </c>
      <c r="G67">
        <v>401324</v>
      </c>
      <c r="H67" s="116"/>
      <c r="I67" s="116"/>
      <c r="L67" s="170">
        <v>42100</v>
      </c>
      <c r="M67" s="116">
        <v>9.4700000000000006</v>
      </c>
      <c r="N67" s="116">
        <v>9.59</v>
      </c>
      <c r="O67" s="116">
        <v>9.33</v>
      </c>
      <c r="P67" s="116">
        <v>9.58</v>
      </c>
      <c r="Q67" s="116">
        <v>47.35</v>
      </c>
      <c r="R67">
        <v>3414042</v>
      </c>
    </row>
    <row r="68" spans="1:18" x14ac:dyDescent="0.25">
      <c r="A68" s="170">
        <v>42101</v>
      </c>
      <c r="B68" s="116">
        <v>9.77</v>
      </c>
      <c r="C68" s="116">
        <v>9.7200000000000006</v>
      </c>
      <c r="D68" s="116">
        <v>9.43</v>
      </c>
      <c r="E68" s="116">
        <v>9.5</v>
      </c>
      <c r="F68" s="116">
        <v>48.6</v>
      </c>
      <c r="G68">
        <v>705569</v>
      </c>
      <c r="H68" s="116"/>
      <c r="I68" s="116"/>
      <c r="L68" s="170">
        <v>42101</v>
      </c>
      <c r="M68" s="116">
        <v>9.73</v>
      </c>
      <c r="N68" s="116">
        <v>9.7899999999999991</v>
      </c>
      <c r="O68" s="116">
        <v>9.41</v>
      </c>
      <c r="P68" s="116">
        <v>9.49</v>
      </c>
      <c r="Q68" s="116">
        <v>48.65</v>
      </c>
      <c r="R68">
        <v>4573142</v>
      </c>
    </row>
    <row r="69" spans="1:18" x14ac:dyDescent="0.25">
      <c r="A69" s="170">
        <v>42102</v>
      </c>
      <c r="B69" s="116">
        <v>9.9</v>
      </c>
      <c r="C69" s="116">
        <v>9.7200000000000006</v>
      </c>
      <c r="D69" s="116">
        <v>9.64</v>
      </c>
      <c r="E69" s="116">
        <v>9.7200000000000006</v>
      </c>
      <c r="F69" s="116">
        <v>48.6</v>
      </c>
      <c r="G69">
        <v>696541</v>
      </c>
      <c r="H69" s="116"/>
      <c r="I69" s="116"/>
      <c r="L69" s="170">
        <v>42102</v>
      </c>
      <c r="M69" s="116">
        <v>9.7100000000000009</v>
      </c>
      <c r="N69" s="116">
        <v>9.9</v>
      </c>
      <c r="O69" s="116">
        <v>9.6199999999999992</v>
      </c>
      <c r="P69" s="116">
        <v>9.74</v>
      </c>
      <c r="Q69" s="116">
        <v>48.55</v>
      </c>
      <c r="R69">
        <v>3876456</v>
      </c>
    </row>
    <row r="70" spans="1:18" x14ac:dyDescent="0.25">
      <c r="A70" s="170">
        <v>42103</v>
      </c>
      <c r="B70" s="116">
        <v>10.06</v>
      </c>
      <c r="C70" s="116">
        <v>9.8800000000000008</v>
      </c>
      <c r="D70" s="116">
        <v>9.8000000000000007</v>
      </c>
      <c r="E70" s="116">
        <v>9.89</v>
      </c>
      <c r="F70" s="116">
        <v>49.4</v>
      </c>
      <c r="G70">
        <v>1112938</v>
      </c>
      <c r="H70" s="116"/>
      <c r="I70" s="116"/>
      <c r="L70" s="170">
        <v>42103</v>
      </c>
      <c r="M70" s="116">
        <v>9.8699999999999992</v>
      </c>
      <c r="N70" s="116">
        <v>10.050000000000001</v>
      </c>
      <c r="O70" s="116">
        <v>9.7799999999999994</v>
      </c>
      <c r="P70" s="116">
        <v>9.86</v>
      </c>
      <c r="Q70" s="116">
        <v>49.35</v>
      </c>
      <c r="R70">
        <v>6722073</v>
      </c>
    </row>
    <row r="71" spans="1:18" x14ac:dyDescent="0.25">
      <c r="A71" s="170">
        <v>42104</v>
      </c>
      <c r="B71" s="116">
        <v>10.09</v>
      </c>
      <c r="C71" s="116">
        <v>9.94</v>
      </c>
      <c r="D71" s="116">
        <v>9.76</v>
      </c>
      <c r="E71" s="116">
        <v>9.93</v>
      </c>
      <c r="F71" s="116">
        <v>49.7</v>
      </c>
      <c r="G71">
        <v>682746</v>
      </c>
      <c r="H71" s="116"/>
      <c r="I71" s="116"/>
      <c r="L71" s="170">
        <v>42104</v>
      </c>
      <c r="M71" s="116">
        <v>9.9600000000000009</v>
      </c>
      <c r="N71" s="116">
        <v>10.09</v>
      </c>
      <c r="O71" s="116">
        <v>9.74</v>
      </c>
      <c r="P71" s="116">
        <v>9.8800000000000008</v>
      </c>
      <c r="Q71" s="116">
        <v>49.8</v>
      </c>
      <c r="R71">
        <v>4018572</v>
      </c>
    </row>
    <row r="72" spans="1:18" x14ac:dyDescent="0.25">
      <c r="A72" s="170">
        <v>42107</v>
      </c>
      <c r="B72" s="116">
        <v>10.029999999999999</v>
      </c>
      <c r="C72" s="116">
        <v>9.89</v>
      </c>
      <c r="D72" s="116">
        <v>9.7799999999999994</v>
      </c>
      <c r="E72" s="116">
        <v>9.9600000000000009</v>
      </c>
      <c r="F72" s="116">
        <v>49.45</v>
      </c>
      <c r="G72">
        <v>521306</v>
      </c>
      <c r="H72" s="116"/>
      <c r="I72" s="116"/>
      <c r="L72" s="170">
        <v>42107</v>
      </c>
      <c r="M72" s="116">
        <v>9.9</v>
      </c>
      <c r="N72" s="116">
        <v>10.039999999999999</v>
      </c>
      <c r="O72" s="116">
        <v>9.76</v>
      </c>
      <c r="P72" s="116">
        <v>9.92</v>
      </c>
      <c r="Q72" s="116">
        <v>49.5</v>
      </c>
      <c r="R72">
        <v>3240431</v>
      </c>
    </row>
    <row r="73" spans="1:18" x14ac:dyDescent="0.25">
      <c r="A73" s="170">
        <v>42109</v>
      </c>
      <c r="B73" s="116">
        <v>10.02</v>
      </c>
      <c r="C73" s="116">
        <v>9.75</v>
      </c>
      <c r="D73" s="116">
        <v>9.68</v>
      </c>
      <c r="E73" s="116">
        <v>9.91</v>
      </c>
      <c r="F73" s="116">
        <v>48.75</v>
      </c>
      <c r="G73">
        <v>463428</v>
      </c>
      <c r="H73" s="116"/>
      <c r="I73" s="116"/>
      <c r="L73" s="170">
        <v>42109</v>
      </c>
      <c r="M73" s="116">
        <v>9.77</v>
      </c>
      <c r="N73" s="116">
        <v>10.029999999999999</v>
      </c>
      <c r="O73" s="116">
        <v>9.6999999999999993</v>
      </c>
      <c r="P73" s="116">
        <v>9.9</v>
      </c>
      <c r="Q73" s="116">
        <v>48.85</v>
      </c>
      <c r="R73">
        <v>3032189</v>
      </c>
    </row>
    <row r="74" spans="1:18" x14ac:dyDescent="0.25">
      <c r="A74" s="170">
        <v>42110</v>
      </c>
      <c r="B74" s="116">
        <v>9.84</v>
      </c>
      <c r="C74" s="116">
        <v>9.6</v>
      </c>
      <c r="D74" s="116">
        <v>9.56</v>
      </c>
      <c r="E74" s="116">
        <v>9.76</v>
      </c>
      <c r="F74" s="116">
        <v>48</v>
      </c>
      <c r="G74">
        <v>485361</v>
      </c>
      <c r="H74" s="116"/>
      <c r="I74" s="116"/>
      <c r="L74" s="170">
        <v>42110</v>
      </c>
      <c r="M74" s="116">
        <v>9.61</v>
      </c>
      <c r="N74" s="116">
        <v>9.86</v>
      </c>
      <c r="O74" s="116">
        <v>9.5399999999999991</v>
      </c>
      <c r="P74" s="116">
        <v>9.77</v>
      </c>
      <c r="Q74" s="116">
        <v>48.05</v>
      </c>
      <c r="R74">
        <v>3422646</v>
      </c>
    </row>
    <row r="75" spans="1:18" x14ac:dyDescent="0.25">
      <c r="A75" s="170">
        <v>42111</v>
      </c>
      <c r="B75" s="116">
        <v>9.7200000000000006</v>
      </c>
      <c r="C75" s="116">
        <v>9.48</v>
      </c>
      <c r="D75" s="116">
        <v>9.44</v>
      </c>
      <c r="E75" s="116">
        <v>9.61</v>
      </c>
      <c r="F75" s="116">
        <v>47.4</v>
      </c>
      <c r="G75">
        <v>490897</v>
      </c>
      <c r="H75" s="116"/>
      <c r="I75" s="116"/>
      <c r="L75" s="170">
        <v>42111</v>
      </c>
      <c r="M75" s="116">
        <v>9.5</v>
      </c>
      <c r="N75" s="116">
        <v>9.73</v>
      </c>
      <c r="O75" s="116">
        <v>9.41</v>
      </c>
      <c r="P75" s="116">
        <v>9.6</v>
      </c>
      <c r="Q75" s="116">
        <v>47.5</v>
      </c>
      <c r="R75">
        <v>2773109</v>
      </c>
    </row>
    <row r="76" spans="1:18" x14ac:dyDescent="0.25">
      <c r="A76" s="170">
        <v>42114</v>
      </c>
      <c r="B76" s="116">
        <v>9.5399999999999991</v>
      </c>
      <c r="C76" s="116">
        <v>9.11</v>
      </c>
      <c r="D76" s="116">
        <v>9.0500000000000007</v>
      </c>
      <c r="E76" s="116">
        <v>9.5399999999999991</v>
      </c>
      <c r="F76" s="116">
        <v>45.55</v>
      </c>
      <c r="G76">
        <v>726213</v>
      </c>
      <c r="H76" s="116"/>
      <c r="I76" s="116"/>
      <c r="L76" s="170">
        <v>42114</v>
      </c>
      <c r="M76" s="116">
        <v>9.11</v>
      </c>
      <c r="N76" s="116">
        <v>9.5</v>
      </c>
      <c r="O76" s="116">
        <v>9.0299999999999994</v>
      </c>
      <c r="P76" s="116">
        <v>9.5</v>
      </c>
      <c r="Q76" s="116">
        <v>45.55</v>
      </c>
      <c r="R76">
        <v>3382155</v>
      </c>
    </row>
    <row r="77" spans="1:18" x14ac:dyDescent="0.25">
      <c r="A77" s="170">
        <v>42115</v>
      </c>
      <c r="B77" s="116">
        <v>9.23</v>
      </c>
      <c r="C77" s="116">
        <v>9.02</v>
      </c>
      <c r="D77" s="116">
        <v>8.98</v>
      </c>
      <c r="E77" s="116">
        <v>9.23</v>
      </c>
      <c r="F77" s="116">
        <v>45.1</v>
      </c>
      <c r="G77">
        <v>766638</v>
      </c>
      <c r="H77" s="116"/>
      <c r="I77" s="116"/>
      <c r="L77" s="170">
        <v>42115</v>
      </c>
      <c r="M77" s="116">
        <v>9.01</v>
      </c>
      <c r="N77" s="116">
        <v>9.25</v>
      </c>
      <c r="O77" s="116">
        <v>8.98</v>
      </c>
      <c r="P77" s="116">
        <v>9.25</v>
      </c>
      <c r="Q77" s="116">
        <v>45.05</v>
      </c>
      <c r="R77">
        <v>3229734</v>
      </c>
    </row>
    <row r="78" spans="1:18" x14ac:dyDescent="0.25">
      <c r="A78" s="170">
        <v>42116</v>
      </c>
      <c r="B78" s="116">
        <v>9.15</v>
      </c>
      <c r="C78" s="116">
        <v>9.09</v>
      </c>
      <c r="D78" s="116">
        <v>8.8800000000000008</v>
      </c>
      <c r="E78" s="116">
        <v>9.06</v>
      </c>
      <c r="F78" s="116">
        <v>45.45</v>
      </c>
      <c r="G78">
        <v>622106</v>
      </c>
      <c r="H78" s="116"/>
      <c r="I78" s="116"/>
      <c r="L78" s="170">
        <v>42116</v>
      </c>
      <c r="M78" s="116">
        <v>9.07</v>
      </c>
      <c r="N78" s="116">
        <v>9.14</v>
      </c>
      <c r="O78" s="116">
        <v>8.86</v>
      </c>
      <c r="P78" s="116">
        <v>9.07</v>
      </c>
      <c r="Q78" s="116">
        <v>45.35</v>
      </c>
      <c r="R78">
        <v>2714408</v>
      </c>
    </row>
    <row r="79" spans="1:18" x14ac:dyDescent="0.25">
      <c r="A79" s="170">
        <v>42117</v>
      </c>
      <c r="B79" s="116">
        <v>9.18</v>
      </c>
      <c r="C79" s="116">
        <v>8.89</v>
      </c>
      <c r="D79" s="116">
        <v>8.84</v>
      </c>
      <c r="E79" s="116">
        <v>9.1</v>
      </c>
      <c r="F79" s="116">
        <v>44.45</v>
      </c>
      <c r="G79">
        <v>672228</v>
      </c>
      <c r="H79" s="116"/>
      <c r="I79" s="116"/>
      <c r="L79" s="170">
        <v>42117</v>
      </c>
      <c r="M79" s="116">
        <v>8.8800000000000008</v>
      </c>
      <c r="N79" s="116">
        <v>9.18</v>
      </c>
      <c r="O79" s="116">
        <v>8.81</v>
      </c>
      <c r="P79" s="116">
        <v>9.18</v>
      </c>
      <c r="Q79" s="116">
        <v>44.4</v>
      </c>
      <c r="R79">
        <v>3220619</v>
      </c>
    </row>
    <row r="80" spans="1:18" x14ac:dyDescent="0.25">
      <c r="A80" s="170">
        <v>42118</v>
      </c>
      <c r="B80" s="116">
        <v>8.9</v>
      </c>
      <c r="C80" s="116">
        <v>8.7200000000000006</v>
      </c>
      <c r="D80" s="116">
        <v>8.6300000000000008</v>
      </c>
      <c r="E80" s="116">
        <v>8.86</v>
      </c>
      <c r="F80" s="116">
        <v>43.6</v>
      </c>
      <c r="G80">
        <v>752890</v>
      </c>
      <c r="H80" s="116"/>
      <c r="I80" s="116"/>
      <c r="L80" s="170">
        <v>42118</v>
      </c>
      <c r="M80" s="116">
        <v>8.73</v>
      </c>
      <c r="N80" s="116">
        <v>8.9</v>
      </c>
      <c r="O80" s="116">
        <v>8.61</v>
      </c>
      <c r="P80" s="116">
        <v>8.85</v>
      </c>
      <c r="Q80" s="116">
        <v>43.65</v>
      </c>
      <c r="R80">
        <v>3968464</v>
      </c>
    </row>
    <row r="81" spans="1:18" x14ac:dyDescent="0.25">
      <c r="A81" s="170">
        <v>42121</v>
      </c>
      <c r="B81" s="116">
        <v>8.7899999999999991</v>
      </c>
      <c r="C81" s="116">
        <v>8.44</v>
      </c>
      <c r="D81" s="116">
        <v>8.4</v>
      </c>
      <c r="E81" s="116">
        <v>8.73</v>
      </c>
      <c r="F81" s="116">
        <v>42.2</v>
      </c>
      <c r="G81">
        <v>664476</v>
      </c>
      <c r="H81" s="116"/>
      <c r="I81" s="116"/>
      <c r="L81" s="170">
        <v>42121</v>
      </c>
      <c r="M81" s="116">
        <v>8.43</v>
      </c>
      <c r="N81" s="116">
        <v>8.8000000000000007</v>
      </c>
      <c r="O81" s="116">
        <v>8.36</v>
      </c>
      <c r="P81" s="116">
        <v>8.75</v>
      </c>
      <c r="Q81" s="116">
        <v>42.15</v>
      </c>
      <c r="R81">
        <v>3718096</v>
      </c>
    </row>
    <row r="82" spans="1:18" x14ac:dyDescent="0.25">
      <c r="A82" s="170">
        <v>42122</v>
      </c>
      <c r="B82" s="116">
        <v>8.5500000000000007</v>
      </c>
      <c r="C82" s="116">
        <v>8.4700000000000006</v>
      </c>
      <c r="D82" s="116">
        <v>8.26</v>
      </c>
      <c r="E82" s="116">
        <v>8.4499999999999993</v>
      </c>
      <c r="F82" s="116">
        <v>42.35</v>
      </c>
      <c r="G82">
        <v>916133</v>
      </c>
      <c r="H82" s="116"/>
      <c r="I82" s="116"/>
      <c r="L82" s="170">
        <v>42122</v>
      </c>
      <c r="M82" s="116">
        <v>8.49</v>
      </c>
      <c r="N82" s="116">
        <v>8.5399999999999991</v>
      </c>
      <c r="O82" s="116">
        <v>8.26</v>
      </c>
      <c r="P82" s="116">
        <v>8.44</v>
      </c>
      <c r="Q82" s="116">
        <v>42.45</v>
      </c>
      <c r="R82">
        <v>5475322</v>
      </c>
    </row>
    <row r="83" spans="1:18" x14ac:dyDescent="0.25">
      <c r="A83" s="170">
        <v>42123</v>
      </c>
      <c r="B83" s="116">
        <v>8.66</v>
      </c>
      <c r="C83" s="116">
        <v>8.58</v>
      </c>
      <c r="D83" s="116">
        <v>8.44</v>
      </c>
      <c r="E83" s="116">
        <v>8.5500000000000007</v>
      </c>
      <c r="F83" s="116">
        <v>42.9</v>
      </c>
      <c r="G83">
        <v>526765</v>
      </c>
      <c r="H83" s="116"/>
      <c r="I83" s="116"/>
      <c r="L83" s="170">
        <v>42123</v>
      </c>
      <c r="M83" s="116">
        <v>8.57</v>
      </c>
      <c r="N83" s="116">
        <v>8.66</v>
      </c>
      <c r="O83" s="116">
        <v>8.42</v>
      </c>
      <c r="P83" s="116">
        <v>8.58</v>
      </c>
      <c r="Q83" s="116">
        <v>42.85</v>
      </c>
      <c r="R83">
        <v>2566960</v>
      </c>
    </row>
    <row r="84" spans="1:18" x14ac:dyDescent="0.25">
      <c r="A84" s="170">
        <v>42124</v>
      </c>
      <c r="B84" s="116">
        <v>8.65</v>
      </c>
      <c r="C84" s="116">
        <v>8.6</v>
      </c>
      <c r="D84" s="116">
        <v>8.4600000000000009</v>
      </c>
      <c r="E84" s="116">
        <v>8.58</v>
      </c>
      <c r="F84" s="116">
        <v>43</v>
      </c>
      <c r="G84">
        <v>674560</v>
      </c>
      <c r="H84" s="116"/>
      <c r="I84" s="116"/>
      <c r="L84" s="170">
        <v>42124</v>
      </c>
      <c r="M84" s="116">
        <v>8.59</v>
      </c>
      <c r="N84" s="116">
        <v>8.64</v>
      </c>
      <c r="O84" s="116">
        <v>8.44</v>
      </c>
      <c r="P84" s="116">
        <v>8.6</v>
      </c>
      <c r="Q84" s="116">
        <v>42.95</v>
      </c>
      <c r="R84">
        <v>4269018</v>
      </c>
    </row>
    <row r="85" spans="1:18" x14ac:dyDescent="0.25">
      <c r="A85" s="170">
        <v>42128</v>
      </c>
      <c r="B85" s="116">
        <v>9</v>
      </c>
      <c r="C85" s="116">
        <v>8.9600000000000009</v>
      </c>
      <c r="D85" s="116">
        <v>8.6</v>
      </c>
      <c r="E85" s="116">
        <v>8.6</v>
      </c>
      <c r="F85" s="116">
        <v>44.8</v>
      </c>
      <c r="G85">
        <v>715160</v>
      </c>
      <c r="H85" s="116"/>
      <c r="I85" s="116"/>
      <c r="L85" s="170">
        <v>42128</v>
      </c>
      <c r="M85" s="116">
        <v>8.9700000000000006</v>
      </c>
      <c r="N85" s="116">
        <v>9.01</v>
      </c>
      <c r="O85" s="116">
        <v>8.6199999999999992</v>
      </c>
      <c r="P85" s="116">
        <v>8.66</v>
      </c>
      <c r="Q85" s="116">
        <v>44.85</v>
      </c>
      <c r="R85">
        <v>4344402</v>
      </c>
    </row>
    <row r="86" spans="1:18" x14ac:dyDescent="0.25">
      <c r="A86" s="170">
        <v>42129</v>
      </c>
      <c r="B86" s="116">
        <v>9.09</v>
      </c>
      <c r="C86" s="116">
        <v>8.91</v>
      </c>
      <c r="D86" s="116">
        <v>8.86</v>
      </c>
      <c r="E86" s="116">
        <v>9</v>
      </c>
      <c r="F86" s="116">
        <v>44.55</v>
      </c>
      <c r="G86">
        <v>463945</v>
      </c>
      <c r="H86" s="116"/>
      <c r="I86" s="116"/>
      <c r="L86" s="170">
        <v>42129</v>
      </c>
      <c r="M86" s="116">
        <v>8.91</v>
      </c>
      <c r="N86" s="116">
        <v>9.09</v>
      </c>
      <c r="O86" s="116">
        <v>8.84</v>
      </c>
      <c r="P86" s="116">
        <v>8.91</v>
      </c>
      <c r="Q86" s="116">
        <v>44.55</v>
      </c>
      <c r="R86">
        <v>3012449</v>
      </c>
    </row>
    <row r="87" spans="1:18" x14ac:dyDescent="0.25">
      <c r="A87" s="170">
        <v>42130</v>
      </c>
      <c r="B87" s="116">
        <v>8.9</v>
      </c>
      <c r="C87" s="116">
        <v>8.41</v>
      </c>
      <c r="D87" s="116">
        <v>8.3800000000000008</v>
      </c>
      <c r="E87" s="116">
        <v>8.9</v>
      </c>
      <c r="F87" s="116">
        <v>42.05</v>
      </c>
      <c r="G87">
        <v>867371</v>
      </c>
      <c r="H87" s="116"/>
      <c r="I87" s="116"/>
      <c r="L87" s="170">
        <v>42130</v>
      </c>
      <c r="M87" s="116">
        <v>8.41</v>
      </c>
      <c r="N87" s="116">
        <v>8.8800000000000008</v>
      </c>
      <c r="O87" s="116">
        <v>8.3800000000000008</v>
      </c>
      <c r="P87" s="116">
        <v>8.86</v>
      </c>
      <c r="Q87" s="116">
        <v>42.05</v>
      </c>
      <c r="R87">
        <v>3864400</v>
      </c>
    </row>
    <row r="88" spans="1:18" x14ac:dyDescent="0.25">
      <c r="A88" s="170">
        <v>42131</v>
      </c>
      <c r="B88" s="116">
        <v>8.4</v>
      </c>
      <c r="C88" s="116">
        <v>8.1</v>
      </c>
      <c r="D88" s="116">
        <v>8</v>
      </c>
      <c r="E88" s="116">
        <v>8.3800000000000008</v>
      </c>
      <c r="F88" s="116">
        <v>40.5</v>
      </c>
      <c r="G88">
        <v>1135184</v>
      </c>
      <c r="H88" s="116"/>
      <c r="I88" s="116"/>
      <c r="L88" s="170">
        <v>42131</v>
      </c>
      <c r="M88" s="116">
        <v>8.09</v>
      </c>
      <c r="N88" s="116">
        <v>8.4700000000000006</v>
      </c>
      <c r="O88" s="116">
        <v>7.96</v>
      </c>
      <c r="P88" s="116">
        <v>8.42</v>
      </c>
      <c r="Q88" s="116">
        <v>40.450000000000003</v>
      </c>
      <c r="R88">
        <v>4653215</v>
      </c>
    </row>
    <row r="89" spans="1:18" x14ac:dyDescent="0.25">
      <c r="A89" s="170">
        <v>42132</v>
      </c>
      <c r="B89" s="116">
        <v>8.42</v>
      </c>
      <c r="C89" s="116">
        <v>8.34</v>
      </c>
      <c r="D89" s="116">
        <v>8.1999999999999993</v>
      </c>
      <c r="E89" s="116">
        <v>8.2200000000000006</v>
      </c>
      <c r="F89" s="116">
        <v>41.7</v>
      </c>
      <c r="G89">
        <v>649296</v>
      </c>
      <c r="H89" s="116"/>
      <c r="I89" s="116"/>
      <c r="L89" s="170">
        <v>42132</v>
      </c>
      <c r="M89" s="116">
        <v>8.36</v>
      </c>
      <c r="N89" s="116">
        <v>8.43</v>
      </c>
      <c r="O89" s="116">
        <v>8.1999999999999993</v>
      </c>
      <c r="P89" s="116">
        <v>8.1999999999999993</v>
      </c>
      <c r="Q89" s="116">
        <v>41.8</v>
      </c>
      <c r="R89">
        <v>3506710</v>
      </c>
    </row>
    <row r="90" spans="1:18" x14ac:dyDescent="0.25">
      <c r="A90" s="170">
        <v>42135</v>
      </c>
      <c r="B90" s="116">
        <v>8.84</v>
      </c>
      <c r="C90" s="116">
        <v>8.68</v>
      </c>
      <c r="D90" s="116">
        <v>8.33</v>
      </c>
      <c r="E90" s="116">
        <v>8.4</v>
      </c>
      <c r="F90" s="116">
        <v>43.4</v>
      </c>
      <c r="G90">
        <v>1719050</v>
      </c>
      <c r="H90" s="116"/>
      <c r="I90" s="116"/>
      <c r="L90" s="170">
        <v>42135</v>
      </c>
      <c r="M90" s="116">
        <v>8.68</v>
      </c>
      <c r="N90" s="116">
        <v>8.86</v>
      </c>
      <c r="O90" s="116">
        <v>8.32</v>
      </c>
      <c r="P90" s="116">
        <v>8.4</v>
      </c>
      <c r="Q90" s="116">
        <v>43.4</v>
      </c>
      <c r="R90">
        <v>7612364</v>
      </c>
    </row>
    <row r="91" spans="1:18" x14ac:dyDescent="0.25">
      <c r="A91" s="170">
        <v>42136</v>
      </c>
      <c r="B91" s="116">
        <v>8.58</v>
      </c>
      <c r="C91" s="116">
        <v>8.08</v>
      </c>
      <c r="D91" s="116">
        <v>8.0299999999999994</v>
      </c>
      <c r="E91" s="116">
        <v>8.58</v>
      </c>
      <c r="F91" s="116">
        <v>40.4</v>
      </c>
      <c r="G91">
        <v>1517806</v>
      </c>
      <c r="H91" s="116"/>
      <c r="I91" s="116"/>
      <c r="L91" s="170">
        <v>42136</v>
      </c>
      <c r="M91" s="116">
        <v>8.06</v>
      </c>
      <c r="N91" s="116">
        <v>8.5399999999999991</v>
      </c>
      <c r="O91" s="116">
        <v>8.01</v>
      </c>
      <c r="P91" s="116">
        <v>8.5399999999999991</v>
      </c>
      <c r="Q91" s="116">
        <v>40.299999999999997</v>
      </c>
      <c r="R91">
        <v>5855277</v>
      </c>
    </row>
    <row r="92" spans="1:18" x14ac:dyDescent="0.25">
      <c r="A92" s="170">
        <v>42137</v>
      </c>
      <c r="B92" s="116">
        <v>8.3000000000000007</v>
      </c>
      <c r="C92" s="116">
        <v>8.2200000000000006</v>
      </c>
      <c r="D92" s="116">
        <v>8.0399999999999991</v>
      </c>
      <c r="E92" s="116">
        <v>8.16</v>
      </c>
      <c r="F92" s="116">
        <v>41.1</v>
      </c>
      <c r="G92">
        <v>1064995</v>
      </c>
      <c r="H92" s="116"/>
      <c r="I92" s="116"/>
      <c r="L92" s="170">
        <v>42137</v>
      </c>
      <c r="M92" s="116">
        <v>8.2200000000000006</v>
      </c>
      <c r="N92" s="116">
        <v>8.3000000000000007</v>
      </c>
      <c r="O92" s="116">
        <v>8.0299999999999994</v>
      </c>
      <c r="P92" s="116">
        <v>8.1</v>
      </c>
      <c r="Q92" s="116">
        <v>41.1</v>
      </c>
      <c r="R92">
        <v>4862916</v>
      </c>
    </row>
    <row r="93" spans="1:18" x14ac:dyDescent="0.25">
      <c r="A93" s="170">
        <v>42138</v>
      </c>
      <c r="B93" s="116">
        <v>8.3000000000000007</v>
      </c>
      <c r="C93" s="116">
        <v>8.25</v>
      </c>
      <c r="D93" s="116">
        <v>8.1</v>
      </c>
      <c r="E93" s="116">
        <v>8.1199999999999992</v>
      </c>
      <c r="F93" s="116">
        <v>41.25</v>
      </c>
      <c r="G93">
        <v>654222</v>
      </c>
      <c r="H93" s="116"/>
      <c r="I93" s="116"/>
      <c r="L93" s="170">
        <v>42138</v>
      </c>
      <c r="M93" s="116">
        <v>8.23</v>
      </c>
      <c r="N93" s="116">
        <v>8.3000000000000007</v>
      </c>
      <c r="O93" s="116">
        <v>8.08</v>
      </c>
      <c r="P93" s="116">
        <v>8.1300000000000008</v>
      </c>
      <c r="Q93" s="116">
        <v>41.15</v>
      </c>
      <c r="R93">
        <v>3311023</v>
      </c>
    </row>
    <row r="94" spans="1:18" x14ac:dyDescent="0.25">
      <c r="A94" s="170">
        <v>42139</v>
      </c>
      <c r="B94" s="116">
        <v>8.42</v>
      </c>
      <c r="C94" s="116">
        <v>8.2100000000000009</v>
      </c>
      <c r="D94" s="116">
        <v>8.16</v>
      </c>
      <c r="E94" s="116">
        <v>8.3000000000000007</v>
      </c>
      <c r="F94" s="116">
        <v>41.05</v>
      </c>
      <c r="G94">
        <v>752535</v>
      </c>
      <c r="H94" s="116"/>
      <c r="I94" s="116"/>
      <c r="L94" s="170">
        <v>42139</v>
      </c>
      <c r="M94" s="116">
        <v>8.2200000000000006</v>
      </c>
      <c r="N94" s="116">
        <v>8.43</v>
      </c>
      <c r="O94" s="116">
        <v>8.16</v>
      </c>
      <c r="P94" s="116">
        <v>8.32</v>
      </c>
      <c r="Q94" s="116">
        <v>41.1</v>
      </c>
      <c r="R94">
        <v>3673391</v>
      </c>
    </row>
    <row r="95" spans="1:18" x14ac:dyDescent="0.25">
      <c r="A95" s="170">
        <v>42142</v>
      </c>
      <c r="B95" s="116">
        <v>8.44</v>
      </c>
      <c r="C95" s="116">
        <v>8.3699999999999992</v>
      </c>
      <c r="D95" s="116">
        <v>8.2799999999999994</v>
      </c>
      <c r="E95" s="116">
        <v>8.2799999999999994</v>
      </c>
      <c r="F95" s="116">
        <v>41.85</v>
      </c>
      <c r="G95">
        <v>692715</v>
      </c>
      <c r="H95" s="116"/>
      <c r="I95" s="116"/>
      <c r="L95" s="170">
        <v>42142</v>
      </c>
      <c r="M95" s="116">
        <v>8.3800000000000008</v>
      </c>
      <c r="N95" s="116">
        <v>8.44</v>
      </c>
      <c r="O95" s="116">
        <v>8.3000000000000007</v>
      </c>
      <c r="P95" s="116">
        <v>8.34</v>
      </c>
      <c r="Q95" s="116">
        <v>41.9</v>
      </c>
      <c r="R95">
        <v>2757496</v>
      </c>
    </row>
    <row r="96" spans="1:18" x14ac:dyDescent="0.25">
      <c r="A96" s="170">
        <v>42143</v>
      </c>
      <c r="B96" s="116">
        <v>8.49</v>
      </c>
      <c r="C96" s="116">
        <v>8.36</v>
      </c>
      <c r="D96" s="116">
        <v>8.31</v>
      </c>
      <c r="E96" s="116">
        <v>8.43</v>
      </c>
      <c r="F96" s="116">
        <v>41.8</v>
      </c>
      <c r="G96">
        <v>588058</v>
      </c>
      <c r="H96" s="116"/>
      <c r="I96" s="116"/>
      <c r="L96" s="170">
        <v>42143</v>
      </c>
      <c r="M96" s="116">
        <v>8.3699999999999992</v>
      </c>
      <c r="N96" s="116">
        <v>8.49</v>
      </c>
      <c r="O96" s="116">
        <v>8.3000000000000007</v>
      </c>
      <c r="P96" s="116">
        <v>8.4499999999999993</v>
      </c>
      <c r="Q96" s="116">
        <v>41.85</v>
      </c>
      <c r="R96">
        <v>2630727</v>
      </c>
    </row>
    <row r="97" spans="1:18" x14ac:dyDescent="0.25">
      <c r="A97" s="170">
        <v>42144</v>
      </c>
      <c r="B97" s="116">
        <v>8.4600000000000009</v>
      </c>
      <c r="C97" s="116">
        <v>8.35</v>
      </c>
      <c r="D97" s="116">
        <v>8.31</v>
      </c>
      <c r="E97" s="116">
        <v>8.4</v>
      </c>
      <c r="F97" s="116">
        <v>41.75</v>
      </c>
      <c r="G97">
        <v>349738</v>
      </c>
      <c r="H97" s="116"/>
      <c r="I97" s="116"/>
      <c r="L97" s="170">
        <v>42144</v>
      </c>
      <c r="M97" s="116">
        <v>8.34</v>
      </c>
      <c r="N97" s="116">
        <v>8.4700000000000006</v>
      </c>
      <c r="O97" s="116">
        <v>8.3000000000000007</v>
      </c>
      <c r="P97" s="116">
        <v>8.4</v>
      </c>
      <c r="Q97" s="116">
        <v>41.7</v>
      </c>
      <c r="R97">
        <v>2005494</v>
      </c>
    </row>
    <row r="98" spans="1:18" x14ac:dyDescent="0.25">
      <c r="A98" s="170">
        <v>42145</v>
      </c>
      <c r="B98" s="116">
        <v>8.3800000000000008</v>
      </c>
      <c r="C98" s="116">
        <v>8.1999999999999993</v>
      </c>
      <c r="D98" s="116">
        <v>8.17</v>
      </c>
      <c r="E98" s="116">
        <v>8.36</v>
      </c>
      <c r="F98" s="116">
        <v>41</v>
      </c>
      <c r="G98">
        <v>567395</v>
      </c>
      <c r="H98" s="116"/>
      <c r="I98" s="116"/>
      <c r="L98" s="170">
        <v>42145</v>
      </c>
      <c r="M98" s="116">
        <v>8.23</v>
      </c>
      <c r="N98" s="116">
        <v>8.39</v>
      </c>
      <c r="O98" s="116">
        <v>8.16</v>
      </c>
      <c r="P98" s="116">
        <v>8.34</v>
      </c>
      <c r="Q98" s="116">
        <v>41.15</v>
      </c>
      <c r="R98">
        <v>2364853</v>
      </c>
    </row>
    <row r="99" spans="1:18" x14ac:dyDescent="0.25">
      <c r="A99" s="170">
        <v>42146</v>
      </c>
      <c r="B99" s="116">
        <v>8.27</v>
      </c>
      <c r="C99" s="116">
        <v>8.08</v>
      </c>
      <c r="D99" s="116">
        <v>8.0500000000000007</v>
      </c>
      <c r="E99" s="116">
        <v>8.2200000000000006</v>
      </c>
      <c r="F99" s="116">
        <v>40.4</v>
      </c>
      <c r="G99">
        <v>644094</v>
      </c>
      <c r="H99" s="116"/>
      <c r="I99" s="116"/>
      <c r="L99" s="170">
        <v>42146</v>
      </c>
      <c r="M99" s="116">
        <v>8.07</v>
      </c>
      <c r="N99" s="116">
        <v>8.27</v>
      </c>
      <c r="O99" s="116">
        <v>8.0399999999999991</v>
      </c>
      <c r="P99" s="116">
        <v>8.24</v>
      </c>
      <c r="Q99" s="116">
        <v>40.35</v>
      </c>
      <c r="R99">
        <v>3231189</v>
      </c>
    </row>
    <row r="100" spans="1:18" x14ac:dyDescent="0.25">
      <c r="A100" s="170">
        <v>42149</v>
      </c>
      <c r="B100" s="116">
        <v>8.17</v>
      </c>
      <c r="C100" s="116">
        <v>8.07</v>
      </c>
      <c r="D100" s="116">
        <v>8.0399999999999991</v>
      </c>
      <c r="E100" s="116">
        <v>8.11</v>
      </c>
      <c r="F100" s="116">
        <v>40.35</v>
      </c>
      <c r="G100">
        <v>532016</v>
      </c>
      <c r="H100" s="116"/>
      <c r="I100" s="116"/>
      <c r="L100" s="170">
        <v>42149</v>
      </c>
      <c r="M100" s="116">
        <v>8.07</v>
      </c>
      <c r="N100" s="116">
        <v>8.16</v>
      </c>
      <c r="O100" s="116">
        <v>8.0299999999999994</v>
      </c>
      <c r="P100" s="116">
        <v>8.08</v>
      </c>
      <c r="Q100" s="116">
        <v>40.35</v>
      </c>
      <c r="R100">
        <v>1932577</v>
      </c>
    </row>
    <row r="101" spans="1:18" x14ac:dyDescent="0.25">
      <c r="A101" s="170">
        <v>42150</v>
      </c>
      <c r="B101" s="116">
        <v>8.14</v>
      </c>
      <c r="C101" s="116">
        <v>8.0399999999999991</v>
      </c>
      <c r="D101" s="116">
        <v>8.0299999999999994</v>
      </c>
      <c r="E101" s="116">
        <v>8.06</v>
      </c>
      <c r="F101" s="116">
        <v>40.200000000000003</v>
      </c>
      <c r="G101">
        <v>371376</v>
      </c>
      <c r="H101" s="116"/>
      <c r="I101" s="116"/>
      <c r="L101" s="170">
        <v>42150</v>
      </c>
      <c r="M101" s="116">
        <v>8.0399999999999991</v>
      </c>
      <c r="N101" s="116">
        <v>8.15</v>
      </c>
      <c r="O101" s="116">
        <v>8.0299999999999994</v>
      </c>
      <c r="P101" s="116">
        <v>8.15</v>
      </c>
      <c r="Q101" s="116">
        <v>40.200000000000003</v>
      </c>
      <c r="R101">
        <v>1469144</v>
      </c>
    </row>
    <row r="102" spans="1:18" x14ac:dyDescent="0.25">
      <c r="A102" s="170">
        <v>42151</v>
      </c>
      <c r="B102" s="116">
        <v>8.15</v>
      </c>
      <c r="C102" s="116">
        <v>7.98</v>
      </c>
      <c r="D102" s="116">
        <v>7.9</v>
      </c>
      <c r="E102" s="116">
        <v>8.06</v>
      </c>
      <c r="F102" s="116">
        <v>39.9</v>
      </c>
      <c r="G102">
        <v>656663</v>
      </c>
      <c r="H102" s="116"/>
      <c r="I102" s="116"/>
      <c r="L102" s="170">
        <v>42151</v>
      </c>
      <c r="M102" s="116">
        <v>7.98</v>
      </c>
      <c r="N102" s="116">
        <v>8.16</v>
      </c>
      <c r="O102" s="116">
        <v>7.89</v>
      </c>
      <c r="P102" s="116">
        <v>8.01</v>
      </c>
      <c r="Q102" s="116">
        <v>39.9</v>
      </c>
      <c r="R102">
        <v>2664012</v>
      </c>
    </row>
    <row r="103" spans="1:18" x14ac:dyDescent="0.25">
      <c r="A103" s="170">
        <v>42152</v>
      </c>
      <c r="B103" s="116">
        <v>8.0399999999999991</v>
      </c>
      <c r="C103" s="116">
        <v>7.74</v>
      </c>
      <c r="D103" s="116">
        <v>7.7</v>
      </c>
      <c r="E103" s="116">
        <v>8.02</v>
      </c>
      <c r="F103" s="116">
        <v>38.700000000000003</v>
      </c>
      <c r="G103">
        <v>1024967</v>
      </c>
      <c r="H103" s="116"/>
      <c r="I103" s="116"/>
      <c r="L103" s="170">
        <v>42152</v>
      </c>
      <c r="M103" s="116">
        <v>7.71</v>
      </c>
      <c r="N103" s="116">
        <v>8.0299999999999994</v>
      </c>
      <c r="O103" s="116">
        <v>7.66</v>
      </c>
      <c r="P103" s="116">
        <v>8</v>
      </c>
      <c r="Q103" s="116">
        <v>38.549999999999997</v>
      </c>
      <c r="R103">
        <v>6011485</v>
      </c>
    </row>
    <row r="104" spans="1:18" x14ac:dyDescent="0.25">
      <c r="A104" s="170">
        <v>42153</v>
      </c>
      <c r="B104" s="116">
        <v>7.84</v>
      </c>
      <c r="C104" s="116">
        <v>7.79</v>
      </c>
      <c r="D104" s="116">
        <v>7.7</v>
      </c>
      <c r="E104" s="116">
        <v>7.76</v>
      </c>
      <c r="F104" s="116">
        <v>38.950000000000003</v>
      </c>
      <c r="G104">
        <v>974693</v>
      </c>
      <c r="H104" s="116"/>
      <c r="I104" s="116"/>
      <c r="L104" s="170">
        <v>42153</v>
      </c>
      <c r="M104" s="116">
        <v>7.79</v>
      </c>
      <c r="N104" s="116">
        <v>7.84</v>
      </c>
      <c r="O104" s="116">
        <v>7.7</v>
      </c>
      <c r="P104" s="116">
        <v>7.73</v>
      </c>
      <c r="Q104" s="116">
        <v>38.950000000000003</v>
      </c>
      <c r="R104">
        <v>3815975</v>
      </c>
    </row>
    <row r="105" spans="1:18" x14ac:dyDescent="0.25">
      <c r="A105" s="170">
        <v>42156</v>
      </c>
      <c r="B105" s="116">
        <v>7.85</v>
      </c>
      <c r="C105" s="116">
        <v>7.47</v>
      </c>
      <c r="D105" s="116">
        <v>7.42</v>
      </c>
      <c r="E105" s="116">
        <v>7.85</v>
      </c>
      <c r="F105" s="116">
        <v>37.35</v>
      </c>
      <c r="G105">
        <v>944401</v>
      </c>
      <c r="H105" s="116"/>
      <c r="I105" s="116"/>
      <c r="L105" s="170">
        <v>42156</v>
      </c>
      <c r="M105" s="116">
        <v>7.47</v>
      </c>
      <c r="N105" s="116">
        <v>7.83</v>
      </c>
      <c r="O105" s="116">
        <v>7.41</v>
      </c>
      <c r="P105" s="116">
        <v>7.83</v>
      </c>
      <c r="Q105" s="116">
        <v>37.35</v>
      </c>
      <c r="R105">
        <v>5623193</v>
      </c>
    </row>
    <row r="106" spans="1:18" x14ac:dyDescent="0.25">
      <c r="A106" s="170">
        <v>42157</v>
      </c>
      <c r="B106" s="116">
        <v>7.52</v>
      </c>
      <c r="C106" s="116">
        <v>7.25</v>
      </c>
      <c r="D106" s="116">
        <v>7.21</v>
      </c>
      <c r="E106" s="116">
        <v>7.52</v>
      </c>
      <c r="F106" s="116">
        <v>36.25</v>
      </c>
      <c r="G106">
        <v>1515245</v>
      </c>
      <c r="H106" s="116"/>
      <c r="I106" s="116"/>
      <c r="L106" s="170">
        <v>42157</v>
      </c>
      <c r="M106" s="116">
        <v>7.25</v>
      </c>
      <c r="N106" s="116">
        <v>7.52</v>
      </c>
      <c r="O106" s="116">
        <v>7.21</v>
      </c>
      <c r="P106" s="116">
        <v>7.49</v>
      </c>
      <c r="Q106" s="116">
        <v>36.25</v>
      </c>
      <c r="R106">
        <v>6884916</v>
      </c>
    </row>
    <row r="107" spans="1:18" x14ac:dyDescent="0.25">
      <c r="A107" s="170">
        <v>42158</v>
      </c>
      <c r="B107" s="116">
        <v>7.32</v>
      </c>
      <c r="C107" s="116">
        <v>6.47</v>
      </c>
      <c r="D107" s="116">
        <v>5.88</v>
      </c>
      <c r="E107" s="116">
        <v>7.32</v>
      </c>
      <c r="F107" s="116">
        <v>32.35</v>
      </c>
      <c r="G107">
        <v>5831484</v>
      </c>
      <c r="H107" s="116"/>
      <c r="I107" s="116"/>
      <c r="L107" s="170">
        <v>42158</v>
      </c>
      <c r="M107" s="116">
        <v>6.48</v>
      </c>
      <c r="N107" s="116">
        <v>7.3</v>
      </c>
      <c r="O107" s="116">
        <v>5.92</v>
      </c>
      <c r="P107" s="116">
        <v>7.3</v>
      </c>
      <c r="Q107" s="116">
        <v>32.4</v>
      </c>
      <c r="R107">
        <v>31902963</v>
      </c>
    </row>
    <row r="108" spans="1:18" x14ac:dyDescent="0.25">
      <c r="A108" s="170">
        <v>42159</v>
      </c>
      <c r="B108" s="116">
        <v>6.68</v>
      </c>
      <c r="C108" s="116">
        <v>6.38</v>
      </c>
      <c r="D108" s="116">
        <v>6.28</v>
      </c>
      <c r="E108" s="116">
        <v>6.59</v>
      </c>
      <c r="F108" s="116">
        <v>31.9</v>
      </c>
      <c r="G108">
        <v>2255324</v>
      </c>
      <c r="H108" s="116"/>
      <c r="I108" s="116"/>
      <c r="L108" s="170">
        <v>42159</v>
      </c>
      <c r="M108" s="116">
        <v>6.38</v>
      </c>
      <c r="N108" s="116">
        <v>6.69</v>
      </c>
      <c r="O108" s="116">
        <v>6.2</v>
      </c>
      <c r="P108" s="116">
        <v>6.63</v>
      </c>
      <c r="Q108" s="116">
        <v>31.9</v>
      </c>
      <c r="R108">
        <v>10704799</v>
      </c>
    </row>
    <row r="109" spans="1:18" x14ac:dyDescent="0.25">
      <c r="A109" s="170">
        <v>42160</v>
      </c>
      <c r="B109" s="116">
        <v>6.52</v>
      </c>
      <c r="C109" s="116">
        <v>6.31</v>
      </c>
      <c r="D109" s="116">
        <v>6.22</v>
      </c>
      <c r="E109" s="116">
        <v>6.36</v>
      </c>
      <c r="F109" s="116">
        <v>31.55</v>
      </c>
      <c r="G109">
        <v>1014573</v>
      </c>
      <c r="H109" s="116"/>
      <c r="I109" s="116"/>
      <c r="L109" s="170">
        <v>42160</v>
      </c>
      <c r="M109" s="116">
        <v>6.3</v>
      </c>
      <c r="N109" s="116">
        <v>6.52</v>
      </c>
      <c r="O109" s="116">
        <v>6.21</v>
      </c>
      <c r="P109" s="116">
        <v>6.4</v>
      </c>
      <c r="Q109" s="116">
        <v>31.5</v>
      </c>
      <c r="R109">
        <v>5022277</v>
      </c>
    </row>
    <row r="110" spans="1:18" x14ac:dyDescent="0.25">
      <c r="A110" s="170">
        <v>42163</v>
      </c>
      <c r="B110" s="116">
        <v>6.38</v>
      </c>
      <c r="C110" s="116">
        <v>6.1</v>
      </c>
      <c r="D110" s="116">
        <v>5.97</v>
      </c>
      <c r="E110" s="116">
        <v>6.35</v>
      </c>
      <c r="F110" s="116">
        <v>30.5</v>
      </c>
      <c r="G110">
        <v>1314708</v>
      </c>
      <c r="H110" s="116"/>
      <c r="I110" s="116"/>
      <c r="L110" s="170">
        <v>42163</v>
      </c>
      <c r="M110" s="116">
        <v>6.09</v>
      </c>
      <c r="N110" s="116">
        <v>6.38</v>
      </c>
      <c r="O110" s="116">
        <v>5.96</v>
      </c>
      <c r="P110" s="116">
        <v>6.38</v>
      </c>
      <c r="Q110" s="116">
        <v>30.45</v>
      </c>
      <c r="R110">
        <v>6466856</v>
      </c>
    </row>
    <row r="111" spans="1:18" x14ac:dyDescent="0.25">
      <c r="A111" s="170">
        <v>42164</v>
      </c>
      <c r="B111" s="116">
        <v>6.32</v>
      </c>
      <c r="C111" s="116">
        <v>6.16</v>
      </c>
      <c r="D111" s="116">
        <v>6</v>
      </c>
      <c r="E111" s="116">
        <v>6.11</v>
      </c>
      <c r="F111" s="116">
        <v>30.8</v>
      </c>
      <c r="G111">
        <v>1219095</v>
      </c>
      <c r="H111" s="116"/>
      <c r="I111" s="116"/>
      <c r="L111" s="170">
        <v>42164</v>
      </c>
      <c r="M111" s="116">
        <v>6.16</v>
      </c>
      <c r="N111" s="116">
        <v>6.32</v>
      </c>
      <c r="O111" s="116">
        <v>5.98</v>
      </c>
      <c r="P111" s="116">
        <v>6.06</v>
      </c>
      <c r="Q111" s="116">
        <v>30.8</v>
      </c>
      <c r="R111">
        <v>4663460</v>
      </c>
    </row>
    <row r="112" spans="1:18" x14ac:dyDescent="0.25">
      <c r="A112" s="170">
        <v>42165</v>
      </c>
      <c r="B112" s="116">
        <v>6.27</v>
      </c>
      <c r="C112" s="116">
        <v>6.16</v>
      </c>
      <c r="D112" s="116">
        <v>6.08</v>
      </c>
      <c r="E112" s="116">
        <v>6.2</v>
      </c>
      <c r="F112" s="116">
        <v>30.8</v>
      </c>
      <c r="G112">
        <v>1049870</v>
      </c>
      <c r="H112" s="116"/>
      <c r="I112" s="116"/>
      <c r="L112" s="170">
        <v>42165</v>
      </c>
      <c r="M112" s="116">
        <v>6.14</v>
      </c>
      <c r="N112" s="116">
        <v>6.27</v>
      </c>
      <c r="O112" s="116">
        <v>6.07</v>
      </c>
      <c r="P112" s="116">
        <v>6.19</v>
      </c>
      <c r="Q112" s="116">
        <v>30.7</v>
      </c>
      <c r="R112">
        <v>3989497</v>
      </c>
    </row>
    <row r="113" spans="1:18" x14ac:dyDescent="0.25">
      <c r="A113" s="170">
        <v>42166</v>
      </c>
      <c r="B113" s="116">
        <v>6.25</v>
      </c>
      <c r="C113" s="116">
        <v>5.89</v>
      </c>
      <c r="D113" s="116">
        <v>5.84</v>
      </c>
      <c r="E113" s="116">
        <v>6.25</v>
      </c>
      <c r="F113" s="116">
        <v>29.45</v>
      </c>
      <c r="G113">
        <v>1494377</v>
      </c>
      <c r="H113" s="116"/>
      <c r="I113" s="116"/>
      <c r="L113" s="170">
        <v>42166</v>
      </c>
      <c r="M113" s="116">
        <v>5.88</v>
      </c>
      <c r="N113" s="116">
        <v>6.22</v>
      </c>
      <c r="O113" s="116">
        <v>5.84</v>
      </c>
      <c r="P113" s="116">
        <v>6.2</v>
      </c>
      <c r="Q113" s="116">
        <v>29.4</v>
      </c>
      <c r="R113">
        <v>5789287</v>
      </c>
    </row>
    <row r="114" spans="1:18" x14ac:dyDescent="0.25">
      <c r="A114" s="170">
        <v>42167</v>
      </c>
      <c r="B114" s="116">
        <v>5.94</v>
      </c>
      <c r="C114" s="116">
        <v>5.85</v>
      </c>
      <c r="D114" s="116">
        <v>5.69</v>
      </c>
      <c r="E114" s="116">
        <v>5.89</v>
      </c>
      <c r="F114" s="116">
        <v>29.25</v>
      </c>
      <c r="G114">
        <v>1084634</v>
      </c>
      <c r="H114" s="116"/>
      <c r="I114" s="116"/>
      <c r="L114" s="170">
        <v>42167</v>
      </c>
      <c r="M114" s="116">
        <v>5.84</v>
      </c>
      <c r="N114" s="116">
        <v>5.94</v>
      </c>
      <c r="O114" s="116">
        <v>5.68</v>
      </c>
      <c r="P114" s="116">
        <v>5.91</v>
      </c>
      <c r="Q114" s="116">
        <v>29.2</v>
      </c>
      <c r="R114">
        <v>3822456</v>
      </c>
    </row>
    <row r="115" spans="1:18" x14ac:dyDescent="0.25">
      <c r="A115" s="170">
        <v>42170</v>
      </c>
      <c r="B115" s="116">
        <v>6.08</v>
      </c>
      <c r="C115" s="116">
        <v>5.95</v>
      </c>
      <c r="D115" s="116">
        <v>5.81</v>
      </c>
      <c r="E115" s="116">
        <v>5.92</v>
      </c>
      <c r="F115" s="116">
        <v>29.75</v>
      </c>
      <c r="G115">
        <v>990077</v>
      </c>
      <c r="H115" s="116"/>
      <c r="I115" s="116"/>
      <c r="L115" s="170">
        <v>42170</v>
      </c>
      <c r="M115" s="116">
        <v>5.94</v>
      </c>
      <c r="N115" s="116">
        <v>6.07</v>
      </c>
      <c r="O115" s="116">
        <v>5.81</v>
      </c>
      <c r="P115" s="116">
        <v>5.95</v>
      </c>
      <c r="Q115" s="116">
        <v>29.7</v>
      </c>
      <c r="R115">
        <v>5307229</v>
      </c>
    </row>
    <row r="116" spans="1:18" x14ac:dyDescent="0.25">
      <c r="A116" s="170">
        <v>42171</v>
      </c>
      <c r="B116" s="116">
        <v>5.97</v>
      </c>
      <c r="C116" s="116">
        <v>5.82</v>
      </c>
      <c r="D116" s="116">
        <v>5.63</v>
      </c>
      <c r="E116" s="116">
        <v>5.95</v>
      </c>
      <c r="F116" s="116">
        <v>29.1</v>
      </c>
      <c r="G116">
        <v>1570878</v>
      </c>
      <c r="H116" s="116"/>
      <c r="I116" s="116"/>
      <c r="L116" s="170">
        <v>42171</v>
      </c>
      <c r="M116" s="116">
        <v>5.82</v>
      </c>
      <c r="N116" s="116">
        <v>5.95</v>
      </c>
      <c r="O116" s="116">
        <v>5.62</v>
      </c>
      <c r="P116" s="116">
        <v>5.94</v>
      </c>
      <c r="Q116" s="116">
        <v>29.1</v>
      </c>
      <c r="R116">
        <v>8943406</v>
      </c>
    </row>
    <row r="117" spans="1:18" x14ac:dyDescent="0.25">
      <c r="A117" s="170">
        <v>42172</v>
      </c>
      <c r="B117" s="116">
        <v>5.99</v>
      </c>
      <c r="C117" s="116">
        <v>5.88</v>
      </c>
      <c r="D117" s="116">
        <v>5.8</v>
      </c>
      <c r="E117" s="116">
        <v>5.95</v>
      </c>
      <c r="F117" s="116">
        <v>29.4</v>
      </c>
      <c r="G117">
        <v>1111222</v>
      </c>
      <c r="H117" s="116"/>
      <c r="I117" s="116"/>
      <c r="L117" s="170">
        <v>42172</v>
      </c>
      <c r="M117" s="116">
        <v>5.88</v>
      </c>
      <c r="N117" s="116">
        <v>5.98</v>
      </c>
      <c r="O117" s="116">
        <v>5.8</v>
      </c>
      <c r="P117" s="116">
        <v>5.88</v>
      </c>
      <c r="Q117" s="116">
        <v>29.4</v>
      </c>
      <c r="R117">
        <v>7976379</v>
      </c>
    </row>
    <row r="118" spans="1:18" x14ac:dyDescent="0.25">
      <c r="A118" s="170">
        <v>42173</v>
      </c>
      <c r="B118" s="116">
        <v>5.93</v>
      </c>
      <c r="C118" s="116">
        <v>5.5</v>
      </c>
      <c r="D118" s="116">
        <v>5.3</v>
      </c>
      <c r="E118" s="116">
        <v>5.9</v>
      </c>
      <c r="F118" s="116">
        <v>27.5</v>
      </c>
      <c r="G118">
        <v>2522337</v>
      </c>
      <c r="H118" s="116"/>
      <c r="I118" s="116"/>
      <c r="L118" s="170">
        <v>42173</v>
      </c>
      <c r="M118" s="116">
        <v>5.49</v>
      </c>
      <c r="N118" s="116">
        <v>5.9</v>
      </c>
      <c r="O118" s="116">
        <v>5.3</v>
      </c>
      <c r="P118" s="116">
        <v>5.9</v>
      </c>
      <c r="Q118" s="116">
        <v>27.45</v>
      </c>
      <c r="R118">
        <v>28540653</v>
      </c>
    </row>
    <row r="119" spans="1:18" x14ac:dyDescent="0.25">
      <c r="A119" s="170">
        <v>42174</v>
      </c>
      <c r="B119" s="116">
        <v>5.63</v>
      </c>
      <c r="C119" s="116">
        <v>5.51</v>
      </c>
      <c r="D119" s="116">
        <v>5.39</v>
      </c>
      <c r="E119" s="116">
        <v>5.58</v>
      </c>
      <c r="F119" s="116">
        <v>27.55</v>
      </c>
      <c r="G119">
        <v>1684285</v>
      </c>
      <c r="H119" s="116"/>
      <c r="I119" s="116"/>
      <c r="L119" s="170">
        <v>42174</v>
      </c>
      <c r="M119" s="116">
        <v>5.5</v>
      </c>
      <c r="N119" s="116">
        <v>5.69</v>
      </c>
      <c r="O119" s="116">
        <v>5.37</v>
      </c>
      <c r="P119" s="116">
        <v>5.54</v>
      </c>
      <c r="Q119" s="116">
        <v>27.5</v>
      </c>
      <c r="R119">
        <v>14496297</v>
      </c>
    </row>
    <row r="120" spans="1:18" x14ac:dyDescent="0.25">
      <c r="A120" s="170">
        <v>42177</v>
      </c>
      <c r="B120" s="116">
        <v>5.67</v>
      </c>
      <c r="C120" s="116">
        <v>5.6</v>
      </c>
      <c r="D120" s="116">
        <v>5.39</v>
      </c>
      <c r="E120" s="116">
        <v>5.56</v>
      </c>
      <c r="F120" s="116">
        <v>28</v>
      </c>
      <c r="G120">
        <v>1959560</v>
      </c>
      <c r="H120" s="116"/>
      <c r="I120" s="116"/>
      <c r="L120" s="170">
        <v>42177</v>
      </c>
      <c r="M120" s="116">
        <v>5.6</v>
      </c>
      <c r="N120" s="116">
        <v>5.68</v>
      </c>
      <c r="O120" s="116">
        <v>5.36</v>
      </c>
      <c r="P120" s="116">
        <v>5.52</v>
      </c>
      <c r="Q120" s="116">
        <v>28</v>
      </c>
      <c r="R120">
        <v>12069164</v>
      </c>
    </row>
    <row r="121" spans="1:18" x14ac:dyDescent="0.25">
      <c r="A121" s="170">
        <v>42178</v>
      </c>
      <c r="B121" s="116">
        <v>5.99</v>
      </c>
      <c r="C121" s="116">
        <v>5.94</v>
      </c>
      <c r="D121" s="116">
        <v>5.58</v>
      </c>
      <c r="E121" s="116">
        <v>5.62</v>
      </c>
      <c r="F121" s="116">
        <v>29.7</v>
      </c>
      <c r="G121">
        <v>2497607</v>
      </c>
      <c r="H121" s="116"/>
      <c r="I121" s="116"/>
      <c r="L121" s="170">
        <v>42178</v>
      </c>
      <c r="M121" s="116">
        <v>5.94</v>
      </c>
      <c r="N121" s="116">
        <v>6</v>
      </c>
      <c r="O121" s="116">
        <v>5.57</v>
      </c>
      <c r="P121" s="116">
        <v>5.6</v>
      </c>
      <c r="Q121" s="116">
        <v>29.7</v>
      </c>
      <c r="R121">
        <v>17027319</v>
      </c>
    </row>
    <row r="122" spans="1:18" x14ac:dyDescent="0.25">
      <c r="A122" s="170">
        <v>42179</v>
      </c>
      <c r="B122" s="116">
        <v>6.17</v>
      </c>
      <c r="C122" s="116">
        <v>5.95</v>
      </c>
      <c r="D122" s="116">
        <v>5.88</v>
      </c>
      <c r="E122" s="116">
        <v>6.01</v>
      </c>
      <c r="F122" s="116">
        <v>29.75</v>
      </c>
      <c r="G122">
        <v>1876712</v>
      </c>
      <c r="H122" s="116"/>
      <c r="I122" s="116"/>
      <c r="L122" s="170">
        <v>42179</v>
      </c>
      <c r="M122" s="116">
        <v>5.95</v>
      </c>
      <c r="N122" s="116">
        <v>6.18</v>
      </c>
      <c r="O122" s="116">
        <v>5.88</v>
      </c>
      <c r="P122" s="116">
        <v>6.01</v>
      </c>
      <c r="Q122" s="116">
        <v>29.75</v>
      </c>
      <c r="R122">
        <v>14904735</v>
      </c>
    </row>
    <row r="123" spans="1:18" x14ac:dyDescent="0.25">
      <c r="A123" s="170">
        <v>42180</v>
      </c>
      <c r="B123" s="116">
        <v>6.18</v>
      </c>
      <c r="C123" s="116">
        <v>6.12</v>
      </c>
      <c r="D123" s="116">
        <v>5.87</v>
      </c>
      <c r="E123" s="116">
        <v>5.95</v>
      </c>
      <c r="F123" s="116">
        <v>30.6</v>
      </c>
      <c r="G123">
        <v>1110315</v>
      </c>
      <c r="H123" s="116"/>
      <c r="I123" s="116"/>
      <c r="L123" s="170">
        <v>42180</v>
      </c>
      <c r="M123" s="116">
        <v>6.14</v>
      </c>
      <c r="N123" s="116">
        <v>6.21</v>
      </c>
      <c r="O123" s="116">
        <v>5.87</v>
      </c>
      <c r="P123" s="116">
        <v>5.94</v>
      </c>
      <c r="Q123" s="116">
        <v>30.7</v>
      </c>
      <c r="R123">
        <v>18551263</v>
      </c>
    </row>
    <row r="124" spans="1:18" x14ac:dyDescent="0.25">
      <c r="A124" s="170">
        <v>42181</v>
      </c>
      <c r="B124" s="116">
        <v>6.19</v>
      </c>
      <c r="C124" s="116">
        <v>5.96</v>
      </c>
      <c r="D124" s="116">
        <v>5.83</v>
      </c>
      <c r="E124" s="116">
        <v>6.19</v>
      </c>
      <c r="F124" s="116">
        <v>29.8</v>
      </c>
      <c r="G124">
        <v>1836528</v>
      </c>
      <c r="H124" s="116"/>
      <c r="I124" s="116"/>
      <c r="L124" s="170">
        <v>42181</v>
      </c>
      <c r="M124" s="116">
        <v>5.95</v>
      </c>
      <c r="N124" s="116">
        <v>6.19</v>
      </c>
      <c r="O124" s="116">
        <v>5.83</v>
      </c>
      <c r="P124" s="116">
        <v>6.19</v>
      </c>
      <c r="Q124" s="116">
        <v>29.75</v>
      </c>
      <c r="R124">
        <v>13253922</v>
      </c>
    </row>
    <row r="125" spans="1:18" x14ac:dyDescent="0.25">
      <c r="A125" s="170">
        <v>42184</v>
      </c>
      <c r="B125" s="116">
        <v>5.86</v>
      </c>
      <c r="C125" s="116">
        <v>5.79</v>
      </c>
      <c r="D125" s="116">
        <v>5.52</v>
      </c>
      <c r="E125" s="116">
        <v>5.86</v>
      </c>
      <c r="F125" s="116">
        <v>28.95</v>
      </c>
      <c r="G125">
        <v>1688225</v>
      </c>
      <c r="H125" s="116"/>
      <c r="I125" s="116"/>
      <c r="L125" s="170">
        <v>42184</v>
      </c>
      <c r="M125" s="116">
        <v>5.78</v>
      </c>
      <c r="N125" s="116">
        <v>5.83</v>
      </c>
      <c r="O125" s="116">
        <v>5.5</v>
      </c>
      <c r="P125" s="116">
        <v>5.8</v>
      </c>
      <c r="Q125" s="116">
        <v>28.9</v>
      </c>
      <c r="R125">
        <v>8305620</v>
      </c>
    </row>
    <row r="126" spans="1:18" x14ac:dyDescent="0.25">
      <c r="A126" s="170">
        <v>42185</v>
      </c>
      <c r="B126" s="116">
        <v>5.88</v>
      </c>
      <c r="C126" s="116">
        <v>5.85</v>
      </c>
      <c r="D126" s="116">
        <v>5.72</v>
      </c>
      <c r="E126" s="116">
        <v>5.77</v>
      </c>
      <c r="F126" s="116">
        <v>29.25</v>
      </c>
      <c r="G126">
        <v>987717</v>
      </c>
      <c r="H126" s="116"/>
      <c r="I126" s="116"/>
      <c r="L126" s="170">
        <v>42185</v>
      </c>
      <c r="M126" s="116">
        <v>5.84</v>
      </c>
      <c r="N126" s="116">
        <v>5.88</v>
      </c>
      <c r="O126" s="116">
        <v>5.72</v>
      </c>
      <c r="P126" s="116">
        <v>5.75</v>
      </c>
      <c r="Q126" s="116">
        <v>29.2</v>
      </c>
      <c r="R126">
        <v>7178794</v>
      </c>
    </row>
    <row r="127" spans="1:18" x14ac:dyDescent="0.25">
      <c r="A127" s="170">
        <v>42186</v>
      </c>
      <c r="B127" s="116">
        <v>6.08</v>
      </c>
      <c r="C127" s="116">
        <v>5.97</v>
      </c>
      <c r="D127" s="116">
        <v>5.82</v>
      </c>
      <c r="E127" s="116">
        <v>5.84</v>
      </c>
      <c r="F127" s="116">
        <v>29.85</v>
      </c>
      <c r="G127">
        <v>1076150</v>
      </c>
      <c r="H127" s="116"/>
      <c r="I127" s="116"/>
      <c r="L127" s="170">
        <v>42186</v>
      </c>
      <c r="M127" s="116">
        <v>5.98</v>
      </c>
      <c r="N127" s="116">
        <v>6.09</v>
      </c>
      <c r="O127" s="116">
        <v>5.81</v>
      </c>
      <c r="P127" s="116">
        <v>5.87</v>
      </c>
      <c r="Q127" s="116">
        <v>29.9</v>
      </c>
      <c r="R127">
        <v>7436755</v>
      </c>
    </row>
    <row r="128" spans="1:18" x14ac:dyDescent="0.25">
      <c r="A128" s="170">
        <v>42187</v>
      </c>
      <c r="B128" s="116">
        <v>6.02</v>
      </c>
      <c r="C128" s="116">
        <v>5.89</v>
      </c>
      <c r="D128" s="116">
        <v>5.87</v>
      </c>
      <c r="E128" s="116">
        <v>6</v>
      </c>
      <c r="F128" s="116">
        <v>29.45</v>
      </c>
      <c r="G128">
        <v>812594</v>
      </c>
      <c r="H128" s="116"/>
      <c r="I128" s="116"/>
      <c r="L128" s="170">
        <v>42187</v>
      </c>
      <c r="M128" s="116">
        <v>5.89</v>
      </c>
      <c r="N128" s="116">
        <v>6.04</v>
      </c>
      <c r="O128" s="116">
        <v>5.86</v>
      </c>
      <c r="P128" s="116">
        <v>6.04</v>
      </c>
      <c r="Q128" s="116">
        <v>29.45</v>
      </c>
      <c r="R128">
        <v>5694224</v>
      </c>
    </row>
    <row r="129" spans="1:18" x14ac:dyDescent="0.25">
      <c r="A129" s="170">
        <v>42188</v>
      </c>
      <c r="B129" s="116">
        <v>5.95</v>
      </c>
      <c r="C129" s="116">
        <v>5.79</v>
      </c>
      <c r="D129" s="116">
        <v>5.75</v>
      </c>
      <c r="E129" s="116">
        <v>5.94</v>
      </c>
      <c r="F129" s="116">
        <v>28.95</v>
      </c>
      <c r="G129">
        <v>827087</v>
      </c>
      <c r="H129" s="116"/>
      <c r="I129" s="116"/>
      <c r="L129" s="170">
        <v>42188</v>
      </c>
      <c r="M129" s="116">
        <v>5.78</v>
      </c>
      <c r="N129" s="116">
        <v>5.95</v>
      </c>
      <c r="O129" s="116">
        <v>5.74</v>
      </c>
      <c r="P129" s="116">
        <v>5.92</v>
      </c>
      <c r="Q129" s="116">
        <v>28.9</v>
      </c>
      <c r="R129">
        <v>5539235</v>
      </c>
    </row>
    <row r="130" spans="1:18" x14ac:dyDescent="0.25">
      <c r="A130" s="170">
        <v>42191</v>
      </c>
      <c r="B130" s="116">
        <v>6.04</v>
      </c>
      <c r="C130" s="116">
        <v>5.98</v>
      </c>
      <c r="D130" s="116">
        <v>5.65</v>
      </c>
      <c r="E130" s="116">
        <v>5.76</v>
      </c>
      <c r="F130" s="116">
        <v>29.9</v>
      </c>
      <c r="G130">
        <v>1308362</v>
      </c>
      <c r="H130" s="116"/>
      <c r="I130" s="116"/>
      <c r="L130" s="170">
        <v>42191</v>
      </c>
      <c r="M130" s="116">
        <v>5.98</v>
      </c>
      <c r="N130" s="116">
        <v>6.03</v>
      </c>
      <c r="O130" s="116">
        <v>5.64</v>
      </c>
      <c r="P130" s="116">
        <v>5.73</v>
      </c>
      <c r="Q130" s="116">
        <v>29.9</v>
      </c>
      <c r="R130">
        <v>7566838</v>
      </c>
    </row>
    <row r="131" spans="1:18" x14ac:dyDescent="0.25">
      <c r="A131" s="170">
        <v>42192</v>
      </c>
      <c r="B131" s="116">
        <v>6.23</v>
      </c>
      <c r="C131" s="116">
        <v>6.13</v>
      </c>
      <c r="D131" s="116">
        <v>6.01</v>
      </c>
      <c r="E131" s="116">
        <v>6.07</v>
      </c>
      <c r="F131" s="116">
        <v>30.65</v>
      </c>
      <c r="G131">
        <v>1938488</v>
      </c>
      <c r="H131" s="116"/>
      <c r="I131" s="116"/>
      <c r="L131" s="170">
        <v>42192</v>
      </c>
      <c r="M131" s="116">
        <v>6.11</v>
      </c>
      <c r="N131" s="116">
        <v>6.23</v>
      </c>
      <c r="O131" s="116">
        <v>6.01</v>
      </c>
      <c r="P131" s="116">
        <v>6.03</v>
      </c>
      <c r="Q131" s="116">
        <v>30.55</v>
      </c>
      <c r="R131">
        <v>10695236</v>
      </c>
    </row>
    <row r="132" spans="1:18" x14ac:dyDescent="0.25">
      <c r="A132" s="170">
        <v>42193</v>
      </c>
      <c r="B132" s="116">
        <v>6.1</v>
      </c>
      <c r="C132" s="116">
        <v>6</v>
      </c>
      <c r="D132" s="116">
        <v>5.9</v>
      </c>
      <c r="E132" s="116">
        <v>6.1</v>
      </c>
      <c r="F132" s="116">
        <v>30</v>
      </c>
      <c r="G132">
        <v>1129019</v>
      </c>
      <c r="H132" s="116"/>
      <c r="I132" s="116"/>
      <c r="L132" s="170">
        <v>42193</v>
      </c>
      <c r="M132" s="116">
        <v>5.99</v>
      </c>
      <c r="N132" s="116">
        <v>6.09</v>
      </c>
      <c r="O132" s="116">
        <v>5.89</v>
      </c>
      <c r="P132" s="116">
        <v>6.05</v>
      </c>
      <c r="Q132" s="116">
        <v>29.95</v>
      </c>
      <c r="R132">
        <v>8213942</v>
      </c>
    </row>
    <row r="133" spans="1:18" x14ac:dyDescent="0.25">
      <c r="A133" s="170">
        <v>42194</v>
      </c>
      <c r="B133" s="116">
        <v>6.08</v>
      </c>
      <c r="C133" s="116">
        <v>5.98</v>
      </c>
      <c r="D133" s="116">
        <v>5.95</v>
      </c>
      <c r="E133" s="116">
        <v>6.04</v>
      </c>
      <c r="F133" s="116">
        <v>29.9</v>
      </c>
      <c r="G133">
        <v>1087045</v>
      </c>
      <c r="H133" s="116"/>
      <c r="I133" s="116"/>
      <c r="L133" s="170">
        <v>42194</v>
      </c>
      <c r="M133" s="116">
        <v>5.98</v>
      </c>
      <c r="N133" s="116">
        <v>6.08</v>
      </c>
      <c r="O133" s="116">
        <v>5.96</v>
      </c>
      <c r="P133" s="116">
        <v>6.01</v>
      </c>
      <c r="Q133" s="116">
        <v>29.9</v>
      </c>
      <c r="R133">
        <v>3961924</v>
      </c>
    </row>
    <row r="134" spans="1:18" x14ac:dyDescent="0.25">
      <c r="A134" s="170">
        <v>42195</v>
      </c>
      <c r="B134" s="116">
        <v>6.08</v>
      </c>
      <c r="C134" s="116">
        <v>5.71</v>
      </c>
      <c r="D134" s="116">
        <v>5.65</v>
      </c>
      <c r="E134" s="116">
        <v>6.08</v>
      </c>
      <c r="F134" s="116">
        <v>28.55</v>
      </c>
      <c r="G134">
        <v>2351017</v>
      </c>
      <c r="H134" s="116"/>
      <c r="I134" s="116"/>
      <c r="L134" s="170">
        <v>42195</v>
      </c>
      <c r="M134" s="116">
        <v>5.7</v>
      </c>
      <c r="N134" s="116">
        <v>6.05</v>
      </c>
      <c r="O134" s="116">
        <v>5.63</v>
      </c>
      <c r="P134" s="116">
        <v>6.02</v>
      </c>
      <c r="Q134" s="116">
        <v>28.5</v>
      </c>
      <c r="R134">
        <v>45818730</v>
      </c>
    </row>
    <row r="135" spans="1:18" x14ac:dyDescent="0.25">
      <c r="A135" s="170">
        <v>42198</v>
      </c>
      <c r="B135" s="116">
        <v>5.76</v>
      </c>
      <c r="C135" s="116">
        <v>5.71</v>
      </c>
      <c r="D135" s="116">
        <v>5.64</v>
      </c>
      <c r="E135" s="116">
        <v>5.72</v>
      </c>
      <c r="F135" s="116">
        <v>28.55</v>
      </c>
      <c r="G135">
        <v>983752</v>
      </c>
      <c r="H135" s="116"/>
      <c r="I135" s="116"/>
      <c r="L135" s="170">
        <v>42198</v>
      </c>
      <c r="M135" s="116">
        <v>5.7</v>
      </c>
      <c r="N135" s="116">
        <v>5.77</v>
      </c>
      <c r="O135" s="116">
        <v>5.63</v>
      </c>
      <c r="P135" s="116">
        <v>5.73</v>
      </c>
      <c r="Q135" s="116">
        <v>28.5</v>
      </c>
      <c r="R135">
        <v>6796336</v>
      </c>
    </row>
    <row r="136" spans="1:18" x14ac:dyDescent="0.25">
      <c r="A136" s="170">
        <v>42199</v>
      </c>
      <c r="B136" s="116">
        <v>5.87</v>
      </c>
      <c r="C136" s="116">
        <v>5.74</v>
      </c>
      <c r="D136" s="116">
        <v>5.73</v>
      </c>
      <c r="E136" s="116">
        <v>5.75</v>
      </c>
      <c r="F136" s="116">
        <v>28.7</v>
      </c>
      <c r="G136">
        <v>1047161</v>
      </c>
      <c r="H136" s="116"/>
      <c r="I136" s="116"/>
      <c r="L136" s="170">
        <v>42199</v>
      </c>
      <c r="M136" s="116">
        <v>5.74</v>
      </c>
      <c r="N136" s="116">
        <v>5.86</v>
      </c>
      <c r="O136" s="116">
        <v>5.72</v>
      </c>
      <c r="P136" s="116">
        <v>5.77</v>
      </c>
      <c r="Q136" s="116">
        <v>28.7</v>
      </c>
      <c r="R136">
        <v>7832071</v>
      </c>
    </row>
    <row r="137" spans="1:18" x14ac:dyDescent="0.25">
      <c r="A137" s="170">
        <v>42200</v>
      </c>
      <c r="B137" s="116">
        <v>5.81</v>
      </c>
      <c r="C137" s="116">
        <v>5.61</v>
      </c>
      <c r="D137" s="116">
        <v>5.56</v>
      </c>
      <c r="E137" s="116">
        <v>5.78</v>
      </c>
      <c r="F137" s="116">
        <v>28.05</v>
      </c>
      <c r="G137">
        <v>1219236</v>
      </c>
      <c r="H137" s="116"/>
      <c r="I137" s="116"/>
      <c r="L137" s="170">
        <v>42200</v>
      </c>
      <c r="M137" s="116">
        <v>5.61</v>
      </c>
      <c r="N137" s="116">
        <v>5.81</v>
      </c>
      <c r="O137" s="116">
        <v>5.56</v>
      </c>
      <c r="P137" s="116">
        <v>5.78</v>
      </c>
      <c r="Q137" s="116">
        <v>28.05</v>
      </c>
      <c r="R137">
        <v>7233942</v>
      </c>
    </row>
    <row r="138" spans="1:18" x14ac:dyDescent="0.25">
      <c r="A138" s="170">
        <v>42201</v>
      </c>
      <c r="B138" s="116">
        <v>5.93</v>
      </c>
      <c r="C138" s="116">
        <v>5.87</v>
      </c>
      <c r="D138" s="116">
        <v>5.7</v>
      </c>
      <c r="E138" s="116">
        <v>5.81</v>
      </c>
      <c r="F138" s="116">
        <v>29.35</v>
      </c>
      <c r="G138">
        <v>3432571</v>
      </c>
      <c r="H138" s="116"/>
      <c r="I138" s="116"/>
      <c r="L138" s="170">
        <v>42201</v>
      </c>
      <c r="M138" s="116">
        <v>5.86</v>
      </c>
      <c r="N138" s="116">
        <v>5.92</v>
      </c>
      <c r="O138" s="116">
        <v>5.73</v>
      </c>
      <c r="P138" s="116">
        <v>5.8</v>
      </c>
      <c r="Q138" s="116">
        <v>29.3</v>
      </c>
      <c r="R138">
        <v>46385293</v>
      </c>
    </row>
    <row r="139" spans="1:18" x14ac:dyDescent="0.25">
      <c r="A139" s="170">
        <v>42202</v>
      </c>
      <c r="B139" s="116">
        <v>6.1</v>
      </c>
      <c r="C139" s="116">
        <v>6.02</v>
      </c>
      <c r="D139" s="116">
        <v>5.85</v>
      </c>
      <c r="E139" s="116">
        <v>5.9</v>
      </c>
      <c r="F139" s="116">
        <v>30.1</v>
      </c>
      <c r="G139">
        <v>2127845</v>
      </c>
      <c r="H139" s="116"/>
      <c r="I139" s="116"/>
      <c r="L139" s="170">
        <v>42202</v>
      </c>
      <c r="M139" s="116">
        <v>6.01</v>
      </c>
      <c r="N139" s="116">
        <v>6.1</v>
      </c>
      <c r="O139" s="116">
        <v>5.85</v>
      </c>
      <c r="P139" s="116">
        <v>5.91</v>
      </c>
      <c r="Q139" s="116">
        <v>30.05</v>
      </c>
      <c r="R139">
        <v>22065409</v>
      </c>
    </row>
    <row r="140" spans="1:18" x14ac:dyDescent="0.25">
      <c r="A140" s="170">
        <v>42205</v>
      </c>
      <c r="B140" s="116">
        <v>6.04</v>
      </c>
      <c r="C140" s="116">
        <v>5.82</v>
      </c>
      <c r="D140" s="116">
        <v>5.8</v>
      </c>
      <c r="E140" s="116">
        <v>6.04</v>
      </c>
      <c r="F140" s="116">
        <v>29.1</v>
      </c>
      <c r="G140">
        <v>1252402</v>
      </c>
      <c r="H140" s="116"/>
      <c r="I140" s="116"/>
      <c r="L140" s="170">
        <v>42205</v>
      </c>
      <c r="M140" s="116">
        <v>5.82</v>
      </c>
      <c r="N140" s="116">
        <v>6.05</v>
      </c>
      <c r="O140" s="116">
        <v>5.79</v>
      </c>
      <c r="P140" s="116">
        <v>6.01</v>
      </c>
      <c r="Q140" s="116">
        <v>29.1</v>
      </c>
      <c r="R140">
        <v>12837038</v>
      </c>
    </row>
    <row r="141" spans="1:18" x14ac:dyDescent="0.25">
      <c r="A141" s="170">
        <v>42206</v>
      </c>
      <c r="B141" s="116">
        <v>5.85</v>
      </c>
      <c r="C141" s="116">
        <v>5.62</v>
      </c>
      <c r="D141" s="116">
        <v>5.57</v>
      </c>
      <c r="E141" s="116">
        <v>5.79</v>
      </c>
      <c r="F141" s="116">
        <v>28.1</v>
      </c>
      <c r="G141">
        <v>1423336</v>
      </c>
      <c r="H141" s="116"/>
      <c r="I141" s="116"/>
      <c r="L141" s="170">
        <v>42206</v>
      </c>
      <c r="M141" s="116">
        <v>5.61</v>
      </c>
      <c r="N141" s="116">
        <v>5.85</v>
      </c>
      <c r="O141" s="116">
        <v>5.57</v>
      </c>
      <c r="P141" s="116">
        <v>5.8</v>
      </c>
      <c r="Q141" s="116">
        <v>28.05</v>
      </c>
      <c r="R141">
        <v>11169883</v>
      </c>
    </row>
    <row r="142" spans="1:18" x14ac:dyDescent="0.25">
      <c r="A142" s="170">
        <v>42207</v>
      </c>
      <c r="B142" s="116">
        <v>5.77</v>
      </c>
      <c r="C142" s="116">
        <v>5.74</v>
      </c>
      <c r="D142" s="116">
        <v>5.59</v>
      </c>
      <c r="E142" s="116">
        <v>5.63</v>
      </c>
      <c r="F142" s="116">
        <v>28.7</v>
      </c>
      <c r="G142">
        <v>944068</v>
      </c>
      <c r="H142" s="116"/>
      <c r="I142" s="116"/>
      <c r="L142" s="170">
        <v>42207</v>
      </c>
      <c r="M142" s="116">
        <v>5.73</v>
      </c>
      <c r="N142" s="116">
        <v>5.77</v>
      </c>
      <c r="O142" s="116">
        <v>5.59</v>
      </c>
      <c r="P142" s="116">
        <v>5.68</v>
      </c>
      <c r="Q142" s="116">
        <v>28.65</v>
      </c>
      <c r="R142">
        <v>9333990</v>
      </c>
    </row>
    <row r="143" spans="1:18" x14ac:dyDescent="0.25">
      <c r="A143" s="170">
        <v>42208</v>
      </c>
      <c r="B143" s="116">
        <v>5.82</v>
      </c>
      <c r="C143" s="116">
        <v>5.7</v>
      </c>
      <c r="D143" s="116">
        <v>5.65</v>
      </c>
      <c r="E143" s="116">
        <v>5.74</v>
      </c>
      <c r="F143" s="116">
        <v>28.5</v>
      </c>
      <c r="G143">
        <v>958975</v>
      </c>
      <c r="H143" s="116"/>
      <c r="I143" s="116"/>
      <c r="L143" s="170">
        <v>42208</v>
      </c>
      <c r="M143" s="116">
        <v>5.69</v>
      </c>
      <c r="N143" s="116">
        <v>5.82</v>
      </c>
      <c r="O143" s="116">
        <v>5.65</v>
      </c>
      <c r="P143" s="116">
        <v>5.76</v>
      </c>
      <c r="Q143" s="116">
        <v>28.45</v>
      </c>
      <c r="R143">
        <v>9304355</v>
      </c>
    </row>
    <row r="144" spans="1:18" x14ac:dyDescent="0.25">
      <c r="A144" s="170">
        <v>42209</v>
      </c>
      <c r="B144" s="116">
        <v>5.72</v>
      </c>
      <c r="C144" s="116">
        <v>5.57</v>
      </c>
      <c r="D144" s="116">
        <v>5.53</v>
      </c>
      <c r="E144" s="116">
        <v>5.72</v>
      </c>
      <c r="F144" s="116">
        <v>27.85</v>
      </c>
      <c r="G144">
        <v>1334841</v>
      </c>
      <c r="H144" s="116"/>
      <c r="I144" s="116"/>
      <c r="L144" s="170">
        <v>42209</v>
      </c>
      <c r="M144" s="116">
        <v>5.57</v>
      </c>
      <c r="N144" s="116">
        <v>5.72</v>
      </c>
      <c r="O144" s="116">
        <v>5.52</v>
      </c>
      <c r="P144" s="116">
        <v>5.72</v>
      </c>
      <c r="Q144" s="116">
        <v>27.85</v>
      </c>
      <c r="R144">
        <v>10112541</v>
      </c>
    </row>
    <row r="145" spans="1:18" x14ac:dyDescent="0.25">
      <c r="A145" s="170">
        <v>42212</v>
      </c>
      <c r="B145" s="116">
        <v>5.58</v>
      </c>
      <c r="C145" s="116">
        <v>5.41</v>
      </c>
      <c r="D145" s="116">
        <v>5.39</v>
      </c>
      <c r="E145" s="116">
        <v>5.53</v>
      </c>
      <c r="F145" s="116">
        <v>27.05</v>
      </c>
      <c r="G145">
        <v>1720466</v>
      </c>
      <c r="H145" s="116"/>
      <c r="I145" s="116"/>
      <c r="L145" s="170">
        <v>42212</v>
      </c>
      <c r="M145" s="116">
        <v>5.41</v>
      </c>
      <c r="N145" s="116">
        <v>5.58</v>
      </c>
      <c r="O145" s="116">
        <v>5.39</v>
      </c>
      <c r="P145" s="116">
        <v>5.58</v>
      </c>
      <c r="Q145" s="116">
        <v>27.05</v>
      </c>
      <c r="R145">
        <v>11769076</v>
      </c>
    </row>
    <row r="146" spans="1:18" x14ac:dyDescent="0.25">
      <c r="A146" s="170">
        <v>42213</v>
      </c>
      <c r="B146" s="116">
        <v>5.47</v>
      </c>
      <c r="C146" s="116">
        <v>5.38</v>
      </c>
      <c r="D146" s="116">
        <v>5.35</v>
      </c>
      <c r="E146" s="116">
        <v>5.44</v>
      </c>
      <c r="F146" s="116">
        <v>26.9</v>
      </c>
      <c r="G146">
        <v>1241027</v>
      </c>
      <c r="H146" s="116"/>
      <c r="I146" s="116"/>
      <c r="L146" s="170">
        <v>42213</v>
      </c>
      <c r="M146" s="116">
        <v>5.38</v>
      </c>
      <c r="N146" s="116">
        <v>5.47</v>
      </c>
      <c r="O146" s="116">
        <v>5.33</v>
      </c>
      <c r="P146" s="116">
        <v>5.42</v>
      </c>
      <c r="Q146" s="116">
        <v>26.9</v>
      </c>
      <c r="R146">
        <v>10715474</v>
      </c>
    </row>
    <row r="147" spans="1:18" x14ac:dyDescent="0.25">
      <c r="A147" s="170">
        <v>42214</v>
      </c>
      <c r="B147" s="116">
        <v>5.43</v>
      </c>
      <c r="C147" s="116">
        <v>5.32</v>
      </c>
      <c r="D147" s="116">
        <v>5.27</v>
      </c>
      <c r="E147" s="116">
        <v>5.4</v>
      </c>
      <c r="F147" s="116">
        <v>26.6</v>
      </c>
      <c r="G147">
        <v>1452100</v>
      </c>
      <c r="H147" s="116"/>
      <c r="I147" s="116"/>
      <c r="L147" s="170">
        <v>42214</v>
      </c>
      <c r="M147" s="116">
        <v>5.32</v>
      </c>
      <c r="N147" s="116">
        <v>5.43</v>
      </c>
      <c r="O147" s="116">
        <v>5.26</v>
      </c>
      <c r="P147" s="116">
        <v>5.4</v>
      </c>
      <c r="Q147" s="116">
        <v>26.6</v>
      </c>
      <c r="R147">
        <v>11329770</v>
      </c>
    </row>
    <row r="148" spans="1:18" x14ac:dyDescent="0.25">
      <c r="A148" s="170">
        <v>42215</v>
      </c>
      <c r="B148" s="116">
        <v>5.47</v>
      </c>
      <c r="C148" s="116">
        <v>5.41</v>
      </c>
      <c r="D148" s="116">
        <v>5.31</v>
      </c>
      <c r="E148" s="116">
        <v>5.36</v>
      </c>
      <c r="F148" s="116">
        <v>27.05</v>
      </c>
      <c r="G148">
        <v>1118132</v>
      </c>
      <c r="H148" s="116"/>
      <c r="I148" s="116"/>
      <c r="L148" s="170">
        <v>42215</v>
      </c>
      <c r="M148" s="116">
        <v>5.41</v>
      </c>
      <c r="N148" s="116">
        <v>5.47</v>
      </c>
      <c r="O148" s="116">
        <v>5.3</v>
      </c>
      <c r="P148" s="116">
        <v>5.4</v>
      </c>
      <c r="Q148" s="116">
        <v>27.05</v>
      </c>
      <c r="R148">
        <v>13482479</v>
      </c>
    </row>
    <row r="149" spans="1:18" x14ac:dyDescent="0.25">
      <c r="A149" s="170">
        <v>42216</v>
      </c>
      <c r="B149" s="116">
        <v>5.54</v>
      </c>
      <c r="C149" s="116">
        <v>5.48</v>
      </c>
      <c r="D149" s="116">
        <v>5.42</v>
      </c>
      <c r="E149" s="116">
        <v>5.46</v>
      </c>
      <c r="F149" s="116">
        <v>27.4</v>
      </c>
      <c r="G149">
        <v>1283875</v>
      </c>
      <c r="H149" s="116"/>
      <c r="I149" s="116"/>
      <c r="L149" s="170">
        <v>42216</v>
      </c>
      <c r="M149" s="116">
        <v>5.48</v>
      </c>
      <c r="N149" s="116">
        <v>5.54</v>
      </c>
      <c r="O149" s="116">
        <v>5.42</v>
      </c>
      <c r="P149" s="116">
        <v>5.5</v>
      </c>
      <c r="Q149" s="116">
        <v>27.4</v>
      </c>
      <c r="R149">
        <v>9191454</v>
      </c>
    </row>
    <row r="150" spans="1:18" x14ac:dyDescent="0.25">
      <c r="A150" s="170">
        <v>42219</v>
      </c>
      <c r="B150" s="116">
        <v>5.61</v>
      </c>
      <c r="C150" s="116">
        <v>5.58</v>
      </c>
      <c r="D150" s="116">
        <v>5.48</v>
      </c>
      <c r="E150" s="116">
        <v>5.52</v>
      </c>
      <c r="F150" s="116">
        <v>27.9</v>
      </c>
      <c r="G150">
        <v>877829</v>
      </c>
      <c r="H150" s="116"/>
      <c r="I150" s="116"/>
      <c r="L150" s="170">
        <v>42219</v>
      </c>
      <c r="M150" s="116">
        <v>5.59</v>
      </c>
      <c r="N150" s="116">
        <v>5.62</v>
      </c>
      <c r="O150" s="116">
        <v>5.47</v>
      </c>
      <c r="P150" s="116">
        <v>5.48</v>
      </c>
      <c r="Q150" s="116">
        <v>27.95</v>
      </c>
      <c r="R150">
        <v>8355002</v>
      </c>
    </row>
    <row r="151" spans="1:18" x14ac:dyDescent="0.25">
      <c r="A151" s="170">
        <v>42220</v>
      </c>
      <c r="B151" s="116">
        <v>5.8</v>
      </c>
      <c r="C151" s="116">
        <v>5.69</v>
      </c>
      <c r="D151" s="116">
        <v>5.53</v>
      </c>
      <c r="E151" s="116">
        <v>5.69</v>
      </c>
      <c r="F151" s="116">
        <v>28.45</v>
      </c>
      <c r="G151">
        <v>1675923</v>
      </c>
      <c r="H151" s="116"/>
      <c r="I151" s="116"/>
      <c r="L151" s="170">
        <v>42220</v>
      </c>
      <c r="M151" s="116">
        <v>5.69</v>
      </c>
      <c r="N151" s="116">
        <v>5.81</v>
      </c>
      <c r="O151" s="116">
        <v>5.52</v>
      </c>
      <c r="P151" s="116">
        <v>5.65</v>
      </c>
      <c r="Q151" s="116">
        <v>28.45</v>
      </c>
      <c r="R151">
        <v>15909967</v>
      </c>
    </row>
    <row r="152" spans="1:18" x14ac:dyDescent="0.25">
      <c r="A152" s="170">
        <v>42221</v>
      </c>
      <c r="B152" s="116">
        <v>5.89</v>
      </c>
      <c r="C152" s="116">
        <v>5.73</v>
      </c>
      <c r="D152" s="116">
        <v>5.66</v>
      </c>
      <c r="E152" s="116">
        <v>5.7</v>
      </c>
      <c r="F152" s="116">
        <v>28.65</v>
      </c>
      <c r="G152">
        <v>2051467</v>
      </c>
      <c r="H152" s="116"/>
      <c r="I152" s="116"/>
      <c r="L152" s="170">
        <v>42221</v>
      </c>
      <c r="M152" s="116">
        <v>5.73</v>
      </c>
      <c r="N152" s="116">
        <v>5.9</v>
      </c>
      <c r="O152" s="116">
        <v>5.65</v>
      </c>
      <c r="P152" s="116">
        <v>5.73</v>
      </c>
      <c r="Q152" s="116">
        <v>28.65</v>
      </c>
      <c r="R152">
        <v>16196119</v>
      </c>
    </row>
    <row r="153" spans="1:18" x14ac:dyDescent="0.25">
      <c r="A153" s="170">
        <v>42222</v>
      </c>
      <c r="B153" s="116">
        <v>5.86</v>
      </c>
      <c r="C153" s="116">
        <v>5.77</v>
      </c>
      <c r="D153" s="116">
        <v>5.63</v>
      </c>
      <c r="E153" s="116">
        <v>5.75</v>
      </c>
      <c r="F153" s="116">
        <v>28.85</v>
      </c>
      <c r="G153">
        <v>1129699</v>
      </c>
      <c r="H153" s="116"/>
      <c r="I153" s="116"/>
      <c r="L153" s="170">
        <v>42222</v>
      </c>
      <c r="M153" s="116">
        <v>5.78</v>
      </c>
      <c r="N153" s="116">
        <v>5.87</v>
      </c>
      <c r="O153" s="116">
        <v>5.62</v>
      </c>
      <c r="P153" s="116">
        <v>5.71</v>
      </c>
      <c r="Q153" s="116">
        <v>28.9</v>
      </c>
      <c r="R153">
        <v>6574266</v>
      </c>
    </row>
    <row r="154" spans="1:18" x14ac:dyDescent="0.25">
      <c r="A154" s="170">
        <v>42223</v>
      </c>
      <c r="B154" s="116">
        <v>5.8</v>
      </c>
      <c r="C154" s="116">
        <v>5.68</v>
      </c>
      <c r="D154" s="116">
        <v>5.65</v>
      </c>
      <c r="E154" s="116">
        <v>5.78</v>
      </c>
      <c r="F154" s="116">
        <v>28.4</v>
      </c>
      <c r="G154">
        <v>829141</v>
      </c>
      <c r="H154" s="116"/>
      <c r="I154" s="116"/>
      <c r="L154" s="170">
        <v>42223</v>
      </c>
      <c r="M154" s="116">
        <v>5.68</v>
      </c>
      <c r="N154" s="116">
        <v>5.8</v>
      </c>
      <c r="O154" s="116">
        <v>5.65</v>
      </c>
      <c r="P154" s="116">
        <v>5.74</v>
      </c>
      <c r="Q154" s="116">
        <v>28.4</v>
      </c>
      <c r="R154">
        <v>5726924</v>
      </c>
    </row>
    <row r="155" spans="1:18" x14ac:dyDescent="0.25">
      <c r="A155" s="170">
        <v>42226</v>
      </c>
      <c r="B155" s="116">
        <v>5.79</v>
      </c>
      <c r="C155" s="116">
        <v>5.55</v>
      </c>
      <c r="D155" s="116">
        <v>5.49</v>
      </c>
      <c r="E155" s="116">
        <v>5.7</v>
      </c>
      <c r="F155" s="116">
        <v>27.75</v>
      </c>
      <c r="G155">
        <v>1971740</v>
      </c>
      <c r="H155" s="116"/>
      <c r="I155" s="116"/>
      <c r="L155" s="170">
        <v>42226</v>
      </c>
      <c r="M155" s="116">
        <v>5.54</v>
      </c>
      <c r="N155" s="116">
        <v>5.78</v>
      </c>
      <c r="O155" s="116">
        <v>5.48</v>
      </c>
      <c r="P155" s="116">
        <v>5.71</v>
      </c>
      <c r="Q155" s="116">
        <v>27.7</v>
      </c>
      <c r="R155">
        <v>12166021</v>
      </c>
    </row>
    <row r="156" spans="1:18" x14ac:dyDescent="0.25">
      <c r="A156" s="170">
        <v>42227</v>
      </c>
      <c r="B156" s="116">
        <v>5.57</v>
      </c>
      <c r="C156" s="116">
        <v>5.4</v>
      </c>
      <c r="D156" s="116">
        <v>5.38</v>
      </c>
      <c r="E156" s="116">
        <v>5.56</v>
      </c>
      <c r="F156" s="116">
        <v>27</v>
      </c>
      <c r="G156">
        <v>1250985</v>
      </c>
      <c r="H156" s="116"/>
      <c r="I156" s="116"/>
      <c r="L156" s="170">
        <v>42227</v>
      </c>
      <c r="M156" s="116">
        <v>5.41</v>
      </c>
      <c r="N156" s="116">
        <v>5.58</v>
      </c>
      <c r="O156" s="116">
        <v>5.37</v>
      </c>
      <c r="P156" s="116">
        <v>5.54</v>
      </c>
      <c r="Q156" s="116">
        <v>27.05</v>
      </c>
      <c r="R156">
        <v>8906711</v>
      </c>
    </row>
    <row r="157" spans="1:18" x14ac:dyDescent="0.25">
      <c r="A157" s="170">
        <v>42228</v>
      </c>
      <c r="B157" s="116">
        <v>5.42</v>
      </c>
      <c r="C157" s="116">
        <v>5.19</v>
      </c>
      <c r="D157" s="116">
        <v>5.13</v>
      </c>
      <c r="E157" s="116">
        <v>5.4</v>
      </c>
      <c r="F157" s="116">
        <v>25.95</v>
      </c>
      <c r="G157">
        <v>1265663</v>
      </c>
      <c r="H157" s="116"/>
      <c r="I157" s="116"/>
      <c r="L157" s="170">
        <v>42228</v>
      </c>
      <c r="M157" s="116">
        <v>5.19</v>
      </c>
      <c r="N157" s="116">
        <v>5.41</v>
      </c>
      <c r="O157" s="116">
        <v>5.1100000000000003</v>
      </c>
      <c r="P157" s="116">
        <v>5.37</v>
      </c>
      <c r="Q157" s="116">
        <v>25.95</v>
      </c>
      <c r="R157">
        <v>7564942</v>
      </c>
    </row>
    <row r="158" spans="1:18" x14ac:dyDescent="0.25">
      <c r="A158" s="170">
        <v>42229</v>
      </c>
      <c r="B158" s="116">
        <v>5.35</v>
      </c>
      <c r="C158" s="116">
        <v>5.18</v>
      </c>
      <c r="D158" s="116">
        <v>5.14</v>
      </c>
      <c r="E158" s="116">
        <v>5.29</v>
      </c>
      <c r="F158" s="116">
        <v>25.9</v>
      </c>
      <c r="G158">
        <v>1170618</v>
      </c>
      <c r="H158" s="116"/>
      <c r="I158" s="116"/>
      <c r="L158" s="170">
        <v>42229</v>
      </c>
      <c r="M158" s="116">
        <v>5.19</v>
      </c>
      <c r="N158" s="116">
        <v>5.35</v>
      </c>
      <c r="O158" s="116">
        <v>5.13</v>
      </c>
      <c r="P158" s="116">
        <v>5.28</v>
      </c>
      <c r="Q158" s="116">
        <v>25.95</v>
      </c>
      <c r="R158">
        <v>8372934</v>
      </c>
    </row>
    <row r="159" spans="1:18" x14ac:dyDescent="0.25">
      <c r="A159" s="170">
        <v>42230</v>
      </c>
      <c r="B159" s="116">
        <v>5.4</v>
      </c>
      <c r="C159" s="116">
        <v>5.37</v>
      </c>
      <c r="D159" s="116">
        <v>5.19</v>
      </c>
      <c r="E159" s="116">
        <v>5.22</v>
      </c>
      <c r="F159" s="116">
        <v>26.85</v>
      </c>
      <c r="G159">
        <v>1052928</v>
      </c>
      <c r="H159" s="116"/>
      <c r="I159" s="116"/>
      <c r="L159" s="170">
        <v>42230</v>
      </c>
      <c r="M159" s="116">
        <v>5.39</v>
      </c>
      <c r="N159" s="116">
        <v>5.42</v>
      </c>
      <c r="O159" s="116">
        <v>5.17</v>
      </c>
      <c r="P159" s="116">
        <v>5.24</v>
      </c>
      <c r="Q159" s="116">
        <v>26.95</v>
      </c>
      <c r="R159">
        <v>7280070</v>
      </c>
    </row>
    <row r="160" spans="1:18" x14ac:dyDescent="0.25">
      <c r="A160" s="170">
        <v>42233</v>
      </c>
      <c r="B160" s="116">
        <v>5.42</v>
      </c>
      <c r="C160" s="116">
        <v>5.32</v>
      </c>
      <c r="D160" s="116">
        <v>5.22</v>
      </c>
      <c r="E160" s="116">
        <v>5.4</v>
      </c>
      <c r="F160" s="116">
        <v>26.6</v>
      </c>
      <c r="G160">
        <v>794586</v>
      </c>
      <c r="H160" s="116"/>
      <c r="I160" s="116"/>
      <c r="L160" s="170">
        <v>42233</v>
      </c>
      <c r="M160" s="116">
        <v>5.33</v>
      </c>
      <c r="N160" s="116">
        <v>5.42</v>
      </c>
      <c r="O160" s="116">
        <v>5.22</v>
      </c>
      <c r="P160" s="116">
        <v>5.42</v>
      </c>
      <c r="Q160" s="116">
        <v>26.65</v>
      </c>
      <c r="R160">
        <v>4155760</v>
      </c>
    </row>
    <row r="161" spans="1:18" x14ac:dyDescent="0.25">
      <c r="A161" s="170">
        <v>42234</v>
      </c>
      <c r="B161" s="116">
        <v>5.46</v>
      </c>
      <c r="C161" s="116">
        <v>5.41</v>
      </c>
      <c r="D161" s="116">
        <v>5.27</v>
      </c>
      <c r="E161" s="116">
        <v>5.37</v>
      </c>
      <c r="F161" s="116">
        <v>27.05</v>
      </c>
      <c r="G161">
        <v>662014</v>
      </c>
      <c r="H161" s="116"/>
      <c r="I161" s="116"/>
      <c r="L161" s="170">
        <v>42234</v>
      </c>
      <c r="M161" s="116">
        <v>5.4</v>
      </c>
      <c r="N161" s="116">
        <v>5.47</v>
      </c>
      <c r="O161" s="116">
        <v>5.26</v>
      </c>
      <c r="P161" s="116">
        <v>5.36</v>
      </c>
      <c r="Q161" s="116">
        <v>27</v>
      </c>
      <c r="R161">
        <v>5142593</v>
      </c>
    </row>
    <row r="162" spans="1:18" x14ac:dyDescent="0.25">
      <c r="A162" s="170">
        <v>42235</v>
      </c>
      <c r="B162" s="116">
        <v>5.43</v>
      </c>
      <c r="C162" s="116">
        <v>5.39</v>
      </c>
      <c r="D162" s="116">
        <v>5.35</v>
      </c>
      <c r="E162" s="116">
        <v>5.43</v>
      </c>
      <c r="F162" s="116">
        <v>26.95</v>
      </c>
      <c r="G162">
        <v>440943</v>
      </c>
      <c r="H162" s="116"/>
      <c r="I162" s="116"/>
      <c r="L162" s="170">
        <v>42235</v>
      </c>
      <c r="M162" s="116">
        <v>5.4</v>
      </c>
      <c r="N162" s="116">
        <v>5.44</v>
      </c>
      <c r="O162" s="116">
        <v>5.35</v>
      </c>
      <c r="P162" s="116">
        <v>5.42</v>
      </c>
      <c r="Q162" s="116">
        <v>27</v>
      </c>
      <c r="R162">
        <v>3248712</v>
      </c>
    </row>
    <row r="163" spans="1:18" x14ac:dyDescent="0.25">
      <c r="A163" s="170">
        <v>42236</v>
      </c>
      <c r="B163" s="116">
        <v>5.39</v>
      </c>
      <c r="C163" s="116">
        <v>5.19</v>
      </c>
      <c r="D163" s="116">
        <v>5.16</v>
      </c>
      <c r="E163" s="116">
        <v>5.39</v>
      </c>
      <c r="F163" s="116">
        <v>25.95</v>
      </c>
      <c r="G163">
        <v>1163146</v>
      </c>
      <c r="H163" s="116"/>
      <c r="I163" s="116"/>
      <c r="L163" s="170">
        <v>42236</v>
      </c>
      <c r="M163" s="116">
        <v>5.19</v>
      </c>
      <c r="N163" s="116">
        <v>5.39</v>
      </c>
      <c r="O163" s="116">
        <v>5.16</v>
      </c>
      <c r="P163" s="116">
        <v>5.39</v>
      </c>
      <c r="Q163" s="116">
        <v>25.95</v>
      </c>
      <c r="R163">
        <v>6610407</v>
      </c>
    </row>
    <row r="164" spans="1:18" x14ac:dyDescent="0.25">
      <c r="A164" s="170">
        <v>42237</v>
      </c>
      <c r="B164" s="116">
        <v>5.17</v>
      </c>
      <c r="C164" s="116">
        <v>5.12</v>
      </c>
      <c r="D164" s="116">
        <v>5.03</v>
      </c>
      <c r="E164" s="116">
        <v>5.14</v>
      </c>
      <c r="F164" s="116">
        <v>25.6</v>
      </c>
      <c r="G164">
        <v>659699</v>
      </c>
      <c r="H164" s="116"/>
      <c r="I164" s="116"/>
      <c r="L164" s="170">
        <v>42237</v>
      </c>
      <c r="M164" s="116">
        <v>5.13</v>
      </c>
      <c r="N164" s="116">
        <v>5.17</v>
      </c>
      <c r="O164" s="116">
        <v>5.04</v>
      </c>
      <c r="P164" s="116">
        <v>5.0999999999999996</v>
      </c>
      <c r="Q164" s="116">
        <v>25.65</v>
      </c>
      <c r="R164">
        <v>2961504</v>
      </c>
    </row>
    <row r="165" spans="1:18" x14ac:dyDescent="0.25">
      <c r="A165" s="170">
        <v>42240</v>
      </c>
      <c r="B165" s="116">
        <v>5</v>
      </c>
      <c r="C165" s="116">
        <v>4.22</v>
      </c>
      <c r="D165" s="116">
        <v>4.1100000000000003</v>
      </c>
      <c r="E165" s="116">
        <v>5</v>
      </c>
      <c r="F165" s="116">
        <v>21.1</v>
      </c>
      <c r="G165">
        <v>3150244</v>
      </c>
      <c r="H165" s="116"/>
      <c r="I165" s="116"/>
      <c r="L165" s="170">
        <v>42240</v>
      </c>
      <c r="M165" s="116">
        <v>4.21</v>
      </c>
      <c r="N165" s="116">
        <v>4.9400000000000004</v>
      </c>
      <c r="O165" s="116">
        <v>4.1100000000000003</v>
      </c>
      <c r="P165" s="116">
        <v>4.9400000000000004</v>
      </c>
      <c r="Q165" s="116">
        <v>21.05</v>
      </c>
      <c r="R165">
        <v>12761656</v>
      </c>
    </row>
    <row r="166" spans="1:18" x14ac:dyDescent="0.25">
      <c r="A166" s="170">
        <v>42241</v>
      </c>
      <c r="B166" s="116">
        <v>4.4400000000000004</v>
      </c>
      <c r="C166" s="116">
        <v>4.29</v>
      </c>
      <c r="D166" s="116">
        <v>3.93</v>
      </c>
      <c r="E166" s="116">
        <v>4.29</v>
      </c>
      <c r="F166" s="116">
        <v>21.45</v>
      </c>
      <c r="G166">
        <v>2894003</v>
      </c>
      <c r="H166" s="116"/>
      <c r="I166" s="116"/>
      <c r="L166" s="170">
        <v>42241</v>
      </c>
      <c r="M166" s="116">
        <v>4.28</v>
      </c>
      <c r="N166" s="116">
        <v>4.46</v>
      </c>
      <c r="O166" s="116">
        <v>3.92</v>
      </c>
      <c r="P166" s="116">
        <v>4.41</v>
      </c>
      <c r="Q166" s="116">
        <v>21.4</v>
      </c>
      <c r="R166">
        <v>13759131</v>
      </c>
    </row>
    <row r="167" spans="1:18" x14ac:dyDescent="0.25">
      <c r="A167" s="170">
        <v>42242</v>
      </c>
      <c r="B167" s="116">
        <v>4.41</v>
      </c>
      <c r="C167" s="116">
        <v>4.34</v>
      </c>
      <c r="D167" s="116">
        <v>4.1100000000000003</v>
      </c>
      <c r="E167" s="116">
        <v>4.3099999999999996</v>
      </c>
      <c r="F167" s="116">
        <v>21.7</v>
      </c>
      <c r="G167">
        <v>1570679</v>
      </c>
      <c r="H167" s="116"/>
      <c r="I167" s="116"/>
      <c r="L167" s="170">
        <v>42242</v>
      </c>
      <c r="M167" s="116">
        <v>4.3499999999999996</v>
      </c>
      <c r="N167" s="116">
        <v>4.4400000000000004</v>
      </c>
      <c r="O167" s="116">
        <v>4.04</v>
      </c>
      <c r="P167" s="116">
        <v>4.3</v>
      </c>
      <c r="Q167" s="116">
        <v>21.75</v>
      </c>
      <c r="R167">
        <v>6254397</v>
      </c>
    </row>
    <row r="168" spans="1:18" x14ac:dyDescent="0.25">
      <c r="A168" s="170">
        <v>42243</v>
      </c>
      <c r="B168" s="116">
        <v>4.7300000000000004</v>
      </c>
      <c r="C168" s="116">
        <v>4.6500000000000004</v>
      </c>
      <c r="D168" s="116">
        <v>4.3600000000000003</v>
      </c>
      <c r="E168" s="116">
        <v>4.43</v>
      </c>
      <c r="F168" s="116">
        <v>23.25</v>
      </c>
      <c r="G168">
        <v>2130009</v>
      </c>
      <c r="H168" s="116"/>
      <c r="I168" s="116"/>
      <c r="L168" s="170">
        <v>42243</v>
      </c>
      <c r="M168" s="116">
        <v>4.6399999999999997</v>
      </c>
      <c r="N168" s="116">
        <v>4.7300000000000004</v>
      </c>
      <c r="O168" s="116">
        <v>4.3600000000000003</v>
      </c>
      <c r="P168" s="116">
        <v>4.46</v>
      </c>
      <c r="Q168" s="116">
        <v>23.2</v>
      </c>
      <c r="R168">
        <v>14505044</v>
      </c>
    </row>
    <row r="169" spans="1:18" x14ac:dyDescent="0.25">
      <c r="A169" s="170">
        <v>42244</v>
      </c>
      <c r="B169" s="116">
        <v>4.78</v>
      </c>
      <c r="C169" s="116">
        <v>4.5199999999999996</v>
      </c>
      <c r="D169" s="116">
        <v>4.3899999999999997</v>
      </c>
      <c r="E169" s="116">
        <v>4.75</v>
      </c>
      <c r="F169" s="116">
        <v>22.6</v>
      </c>
      <c r="G169">
        <v>1571535</v>
      </c>
      <c r="H169" s="116"/>
      <c r="I169" s="116"/>
      <c r="L169" s="170">
        <v>42244</v>
      </c>
      <c r="M169" s="116">
        <v>4.5199999999999996</v>
      </c>
      <c r="N169" s="116">
        <v>4.78</v>
      </c>
      <c r="O169" s="116">
        <v>4.38</v>
      </c>
      <c r="P169" s="116">
        <v>4.72</v>
      </c>
      <c r="Q169" s="116">
        <v>22.6</v>
      </c>
      <c r="R169">
        <v>7870151</v>
      </c>
    </row>
    <row r="170" spans="1:18" x14ac:dyDescent="0.25">
      <c r="A170" s="170">
        <v>42247</v>
      </c>
      <c r="B170" s="116">
        <v>4.62</v>
      </c>
      <c r="C170" s="116">
        <v>4.49</v>
      </c>
      <c r="D170" s="116">
        <v>4.45</v>
      </c>
      <c r="E170" s="116">
        <v>4.5599999999999996</v>
      </c>
      <c r="F170" s="116">
        <v>22.45</v>
      </c>
      <c r="G170">
        <v>786196</v>
      </c>
      <c r="H170" s="116"/>
      <c r="I170" s="116"/>
      <c r="L170" s="170">
        <v>42247</v>
      </c>
      <c r="M170" s="116">
        <v>4.5</v>
      </c>
      <c r="N170" s="116">
        <v>4.63</v>
      </c>
      <c r="O170" s="116">
        <v>4.46</v>
      </c>
      <c r="P170" s="116">
        <v>4.5599999999999996</v>
      </c>
      <c r="Q170" s="116">
        <v>22.5</v>
      </c>
      <c r="R170">
        <v>5448679</v>
      </c>
    </row>
    <row r="171" spans="1:18" x14ac:dyDescent="0.25">
      <c r="A171" s="170">
        <v>42248</v>
      </c>
      <c r="B171" s="116">
        <v>4.5</v>
      </c>
      <c r="C171" s="116">
        <v>4.2300000000000004</v>
      </c>
      <c r="D171" s="116">
        <v>4.1900000000000004</v>
      </c>
      <c r="E171" s="116">
        <v>4.5</v>
      </c>
      <c r="F171" s="116">
        <v>21.15</v>
      </c>
      <c r="G171">
        <v>1233725</v>
      </c>
      <c r="H171" s="116"/>
      <c r="I171" s="116"/>
      <c r="L171" s="170">
        <v>42248</v>
      </c>
      <c r="M171" s="116">
        <v>4.22</v>
      </c>
      <c r="N171" s="116">
        <v>4.4800000000000004</v>
      </c>
      <c r="O171" s="116">
        <v>4.18</v>
      </c>
      <c r="P171" s="116">
        <v>4.4800000000000004</v>
      </c>
      <c r="Q171" s="116">
        <v>21.1</v>
      </c>
      <c r="R171">
        <v>6056504</v>
      </c>
    </row>
    <row r="172" spans="1:18" x14ac:dyDescent="0.25">
      <c r="A172" s="170">
        <v>42249</v>
      </c>
      <c r="B172" s="116">
        <v>4.3600000000000003</v>
      </c>
      <c r="C172" s="116">
        <v>4.22</v>
      </c>
      <c r="D172" s="116">
        <v>4.1900000000000004</v>
      </c>
      <c r="E172" s="116">
        <v>4.3600000000000003</v>
      </c>
      <c r="F172" s="116">
        <v>21.1</v>
      </c>
      <c r="G172">
        <v>962661</v>
      </c>
      <c r="H172" s="116"/>
      <c r="I172" s="116"/>
      <c r="L172" s="170">
        <v>42249</v>
      </c>
      <c r="M172" s="116">
        <v>4.22</v>
      </c>
      <c r="N172" s="116">
        <v>4.3099999999999996</v>
      </c>
      <c r="O172" s="116">
        <v>4.1900000000000004</v>
      </c>
      <c r="P172" s="116">
        <v>4.28</v>
      </c>
      <c r="Q172" s="116">
        <v>21.1</v>
      </c>
      <c r="R172">
        <v>5293087</v>
      </c>
    </row>
    <row r="173" spans="1:18" x14ac:dyDescent="0.25">
      <c r="A173" s="170">
        <v>42250</v>
      </c>
      <c r="B173" s="116">
        <v>4.4400000000000004</v>
      </c>
      <c r="C173" s="116">
        <v>4.3899999999999997</v>
      </c>
      <c r="D173" s="116">
        <v>4.26</v>
      </c>
      <c r="E173" s="116">
        <v>4.34</v>
      </c>
      <c r="F173" s="116">
        <v>21.95</v>
      </c>
      <c r="G173">
        <v>881753</v>
      </c>
      <c r="H173" s="116"/>
      <c r="I173" s="116"/>
      <c r="L173" s="170">
        <v>42250</v>
      </c>
      <c r="M173" s="116">
        <v>4.3899999999999997</v>
      </c>
      <c r="N173" s="116">
        <v>4.45</v>
      </c>
      <c r="O173" s="116">
        <v>4.26</v>
      </c>
      <c r="P173" s="116">
        <v>4.29</v>
      </c>
      <c r="Q173" s="116">
        <v>21.95</v>
      </c>
      <c r="R173">
        <v>4305438</v>
      </c>
    </row>
    <row r="174" spans="1:18" x14ac:dyDescent="0.25">
      <c r="A174" s="170">
        <v>42251</v>
      </c>
      <c r="B174" s="116">
        <v>4.33</v>
      </c>
      <c r="C174" s="116">
        <v>4.18</v>
      </c>
      <c r="D174" s="116">
        <v>4.0599999999999996</v>
      </c>
      <c r="E174" s="116">
        <v>4.32</v>
      </c>
      <c r="F174" s="116">
        <v>20.9</v>
      </c>
      <c r="G174">
        <v>1134514</v>
      </c>
      <c r="H174" s="116"/>
      <c r="I174" s="116"/>
      <c r="L174" s="170">
        <v>42251</v>
      </c>
      <c r="M174" s="116">
        <v>4.18</v>
      </c>
      <c r="N174" s="116">
        <v>4.3499999999999996</v>
      </c>
      <c r="O174" s="116">
        <v>4.0599999999999996</v>
      </c>
      <c r="P174" s="116">
        <v>4.32</v>
      </c>
      <c r="Q174" s="116">
        <v>20.9</v>
      </c>
      <c r="R174">
        <v>6401625</v>
      </c>
    </row>
    <row r="175" spans="1:18" x14ac:dyDescent="0.25">
      <c r="A175" s="170">
        <v>42254</v>
      </c>
      <c r="B175" s="116">
        <v>4.3</v>
      </c>
      <c r="C175" s="116">
        <v>4.1399999999999997</v>
      </c>
      <c r="D175" s="116">
        <v>4.03</v>
      </c>
      <c r="E175" s="116">
        <v>4.3</v>
      </c>
      <c r="F175" s="116">
        <v>20.7</v>
      </c>
      <c r="G175">
        <v>1235608</v>
      </c>
      <c r="H175" s="116"/>
      <c r="I175" s="116"/>
      <c r="L175" s="170">
        <v>42254</v>
      </c>
      <c r="M175" s="116">
        <v>4.1500000000000004</v>
      </c>
      <c r="N175" s="116">
        <v>4.2699999999999996</v>
      </c>
      <c r="O175" s="116">
        <v>4.0199999999999996</v>
      </c>
      <c r="P175" s="116">
        <v>4.22</v>
      </c>
      <c r="Q175" s="116">
        <v>20.75</v>
      </c>
      <c r="R175">
        <v>10415186</v>
      </c>
    </row>
    <row r="176" spans="1:18" x14ac:dyDescent="0.25">
      <c r="A176" s="170">
        <v>42255</v>
      </c>
      <c r="B176" s="116">
        <v>4.42</v>
      </c>
      <c r="C176" s="116">
        <v>4.3499999999999996</v>
      </c>
      <c r="D176" s="116">
        <v>4.1500000000000004</v>
      </c>
      <c r="E176" s="116">
        <v>4.2</v>
      </c>
      <c r="F176" s="116">
        <v>21.75</v>
      </c>
      <c r="G176">
        <v>957505</v>
      </c>
      <c r="H176" s="116"/>
      <c r="I176" s="116"/>
      <c r="L176" s="170">
        <v>42255</v>
      </c>
      <c r="M176" s="116">
        <v>4.3499999999999996</v>
      </c>
      <c r="N176" s="116">
        <v>4.42</v>
      </c>
      <c r="O176" s="116">
        <v>4.1500000000000004</v>
      </c>
      <c r="P176" s="116">
        <v>4.2</v>
      </c>
      <c r="Q176" s="116">
        <v>21.75</v>
      </c>
      <c r="R176">
        <v>5175322</v>
      </c>
    </row>
    <row r="177" spans="1:18" x14ac:dyDescent="0.25">
      <c r="A177" s="170">
        <v>42256</v>
      </c>
      <c r="B177" s="116">
        <v>4.4800000000000004</v>
      </c>
      <c r="C177" s="116">
        <v>4.41</v>
      </c>
      <c r="D177" s="116">
        <v>4.3499999999999996</v>
      </c>
      <c r="E177" s="116">
        <v>4.3499999999999996</v>
      </c>
      <c r="F177" s="116">
        <v>22.05</v>
      </c>
      <c r="G177">
        <v>1193579</v>
      </c>
      <c r="H177" s="116"/>
      <c r="I177" s="116"/>
      <c r="L177" s="170">
        <v>42256</v>
      </c>
      <c r="M177" s="116">
        <v>4.41</v>
      </c>
      <c r="N177" s="116">
        <v>4.4800000000000004</v>
      </c>
      <c r="O177" s="116">
        <v>4.34</v>
      </c>
      <c r="P177" s="116">
        <v>4.4000000000000004</v>
      </c>
      <c r="Q177" s="116">
        <v>22.05</v>
      </c>
      <c r="R177">
        <v>6339578</v>
      </c>
    </row>
    <row r="178" spans="1:18" x14ac:dyDescent="0.25">
      <c r="A178" s="170">
        <v>42257</v>
      </c>
      <c r="B178" s="116">
        <v>4.49</v>
      </c>
      <c r="C178" s="116">
        <v>4.43</v>
      </c>
      <c r="D178" s="116">
        <v>4.21</v>
      </c>
      <c r="E178" s="116">
        <v>4.34</v>
      </c>
      <c r="F178" s="116">
        <v>22.15</v>
      </c>
      <c r="G178">
        <v>897763</v>
      </c>
      <c r="H178" s="116"/>
      <c r="I178" s="116"/>
      <c r="L178" s="170">
        <v>42257</v>
      </c>
      <c r="M178" s="116">
        <v>4.42</v>
      </c>
      <c r="N178" s="116">
        <v>4.5</v>
      </c>
      <c r="O178" s="116">
        <v>4.21</v>
      </c>
      <c r="P178" s="116">
        <v>4.29</v>
      </c>
      <c r="Q178" s="116">
        <v>22.1</v>
      </c>
      <c r="R178">
        <v>5211079</v>
      </c>
    </row>
    <row r="179" spans="1:18" x14ac:dyDescent="0.25">
      <c r="A179" s="170">
        <v>42258</v>
      </c>
      <c r="B179" s="116">
        <v>4.5</v>
      </c>
      <c r="C179" s="116">
        <v>4.45</v>
      </c>
      <c r="D179" s="116">
        <v>4.37</v>
      </c>
      <c r="E179" s="116">
        <v>4.4000000000000004</v>
      </c>
      <c r="F179" s="116">
        <v>22.25</v>
      </c>
      <c r="G179">
        <v>1175273</v>
      </c>
      <c r="H179" s="116"/>
      <c r="I179" s="116"/>
      <c r="L179" s="170">
        <v>42258</v>
      </c>
      <c r="M179" s="116">
        <v>4.47</v>
      </c>
      <c r="N179" s="116">
        <v>4.5199999999999996</v>
      </c>
      <c r="O179" s="116">
        <v>4.34</v>
      </c>
      <c r="P179" s="116">
        <v>4.45</v>
      </c>
      <c r="Q179" s="116">
        <v>22.35</v>
      </c>
      <c r="R179">
        <v>5222058</v>
      </c>
    </row>
    <row r="180" spans="1:18" x14ac:dyDescent="0.25">
      <c r="A180" s="170">
        <v>42261</v>
      </c>
      <c r="B180" s="116">
        <v>4.78</v>
      </c>
      <c r="C180" s="116">
        <v>4.68</v>
      </c>
      <c r="D180" s="116">
        <v>4.43</v>
      </c>
      <c r="E180" s="116">
        <v>4.5199999999999996</v>
      </c>
      <c r="F180" s="116">
        <v>23.4</v>
      </c>
      <c r="G180">
        <v>2110030</v>
      </c>
      <c r="H180" s="116"/>
      <c r="I180" s="116"/>
      <c r="L180" s="170">
        <v>42261</v>
      </c>
      <c r="M180" s="116">
        <v>4.68</v>
      </c>
      <c r="N180" s="116">
        <v>4.78</v>
      </c>
      <c r="O180" s="116">
        <v>4.43</v>
      </c>
      <c r="P180" s="116">
        <v>4.47</v>
      </c>
      <c r="Q180" s="116">
        <v>23.4</v>
      </c>
      <c r="R180">
        <v>8885930</v>
      </c>
    </row>
    <row r="181" spans="1:18" x14ac:dyDescent="0.25">
      <c r="A181" s="170">
        <v>42262</v>
      </c>
      <c r="B181" s="116">
        <v>4.71</v>
      </c>
      <c r="C181" s="116">
        <v>4.5599999999999996</v>
      </c>
      <c r="D181" s="116">
        <v>4.5</v>
      </c>
      <c r="E181" s="116">
        <v>4.7</v>
      </c>
      <c r="F181" s="116">
        <v>22.8</v>
      </c>
      <c r="G181">
        <v>1204637</v>
      </c>
      <c r="H181" s="116"/>
      <c r="I181" s="116"/>
      <c r="L181" s="170">
        <v>42262</v>
      </c>
      <c r="M181" s="116">
        <v>4.58</v>
      </c>
      <c r="N181" s="116">
        <v>4.71</v>
      </c>
      <c r="O181" s="116">
        <v>4.49</v>
      </c>
      <c r="P181" s="116">
        <v>4.6500000000000004</v>
      </c>
      <c r="Q181" s="116">
        <v>22.9</v>
      </c>
      <c r="R181">
        <v>7555898</v>
      </c>
    </row>
    <row r="182" spans="1:18" x14ac:dyDescent="0.25">
      <c r="A182" s="170">
        <v>42263</v>
      </c>
      <c r="B182" s="116">
        <v>4.7</v>
      </c>
      <c r="C182" s="116">
        <v>4.68</v>
      </c>
      <c r="D182" s="116">
        <v>4.57</v>
      </c>
      <c r="E182" s="116">
        <v>4.67</v>
      </c>
      <c r="F182" s="116">
        <v>23.4</v>
      </c>
      <c r="G182">
        <v>803350</v>
      </c>
      <c r="H182" s="116"/>
      <c r="I182" s="116"/>
      <c r="L182" s="170">
        <v>42263</v>
      </c>
      <c r="M182" s="116">
        <v>4.6900000000000004</v>
      </c>
      <c r="N182" s="116">
        <v>4.71</v>
      </c>
      <c r="O182" s="116">
        <v>4.5599999999999996</v>
      </c>
      <c r="P182" s="116">
        <v>4.5999999999999996</v>
      </c>
      <c r="Q182" s="116">
        <v>23.45</v>
      </c>
      <c r="R182">
        <v>5903824</v>
      </c>
    </row>
    <row r="183" spans="1:18" x14ac:dyDescent="0.25">
      <c r="A183" s="170">
        <v>42265</v>
      </c>
      <c r="B183" s="116">
        <v>4.88</v>
      </c>
      <c r="C183" s="116">
        <v>4.72</v>
      </c>
      <c r="D183" s="116">
        <v>4.66</v>
      </c>
      <c r="E183" s="116">
        <v>4.72</v>
      </c>
      <c r="F183" s="116">
        <v>23.6</v>
      </c>
      <c r="G183">
        <v>1087236</v>
      </c>
      <c r="H183" s="116"/>
      <c r="I183" s="116"/>
      <c r="L183" s="170">
        <v>42265</v>
      </c>
      <c r="M183" s="116">
        <v>4.72</v>
      </c>
      <c r="N183" s="116">
        <v>4.88</v>
      </c>
      <c r="O183" s="116">
        <v>4.67</v>
      </c>
      <c r="P183" s="116">
        <v>4.6900000000000004</v>
      </c>
      <c r="Q183" s="116">
        <v>23.6</v>
      </c>
      <c r="R183">
        <v>8928503</v>
      </c>
    </row>
    <row r="184" spans="1:18" x14ac:dyDescent="0.25">
      <c r="A184" s="170">
        <v>42268</v>
      </c>
      <c r="B184" s="116">
        <v>4.99</v>
      </c>
      <c r="C184" s="116">
        <v>4.96</v>
      </c>
      <c r="D184" s="116">
        <v>4.62</v>
      </c>
      <c r="E184" s="116">
        <v>4.7</v>
      </c>
      <c r="F184" s="116">
        <v>24.8</v>
      </c>
      <c r="G184">
        <v>1194335</v>
      </c>
      <c r="H184" s="116"/>
      <c r="I184" s="116"/>
      <c r="L184" s="170">
        <v>42268</v>
      </c>
      <c r="M184" s="116">
        <v>4.96</v>
      </c>
      <c r="N184" s="116">
        <v>4.99</v>
      </c>
      <c r="O184" s="116">
        <v>4.62</v>
      </c>
      <c r="P184" s="116">
        <v>4.6399999999999997</v>
      </c>
      <c r="Q184" s="116">
        <v>24.8</v>
      </c>
      <c r="R184">
        <v>7497083</v>
      </c>
    </row>
    <row r="185" spans="1:18" x14ac:dyDescent="0.25">
      <c r="A185" s="170">
        <v>42269</v>
      </c>
      <c r="B185" s="116">
        <v>5.04</v>
      </c>
      <c r="C185" s="116">
        <v>4.91</v>
      </c>
      <c r="D185" s="116">
        <v>4.8099999999999996</v>
      </c>
      <c r="E185" s="116">
        <v>5</v>
      </c>
      <c r="F185" s="116">
        <v>24.55</v>
      </c>
      <c r="G185">
        <v>1015389</v>
      </c>
      <c r="H185" s="116"/>
      <c r="I185" s="116"/>
      <c r="L185" s="170">
        <v>42269</v>
      </c>
      <c r="M185" s="116">
        <v>4.92</v>
      </c>
      <c r="N185" s="116">
        <v>5.04</v>
      </c>
      <c r="O185" s="116">
        <v>4.8</v>
      </c>
      <c r="P185" s="116">
        <v>5.0199999999999996</v>
      </c>
      <c r="Q185" s="116">
        <v>24.6</v>
      </c>
      <c r="R185">
        <v>8759223</v>
      </c>
    </row>
    <row r="186" spans="1:18" x14ac:dyDescent="0.25">
      <c r="A186" s="170">
        <v>42270</v>
      </c>
      <c r="B186" s="116">
        <v>4.99</v>
      </c>
      <c r="C186" s="116">
        <v>4.9400000000000004</v>
      </c>
      <c r="D186" s="116">
        <v>4.82</v>
      </c>
      <c r="E186" s="116">
        <v>4.84</v>
      </c>
      <c r="F186" s="116">
        <v>24.7</v>
      </c>
      <c r="G186">
        <v>825510</v>
      </c>
      <c r="H186" s="116"/>
      <c r="I186" s="116"/>
      <c r="L186" s="170">
        <v>42270</v>
      </c>
      <c r="M186" s="116">
        <v>4.9400000000000004</v>
      </c>
      <c r="N186" s="116">
        <v>5</v>
      </c>
      <c r="O186" s="116">
        <v>4.8099999999999996</v>
      </c>
      <c r="P186" s="116">
        <v>4.9000000000000004</v>
      </c>
      <c r="Q186" s="116">
        <v>24.7</v>
      </c>
      <c r="R186">
        <v>5953723</v>
      </c>
    </row>
    <row r="187" spans="1:18" x14ac:dyDescent="0.25">
      <c r="A187" s="170">
        <v>42271</v>
      </c>
      <c r="B187" s="116">
        <v>5.03</v>
      </c>
      <c r="C187" s="116">
        <v>4.99</v>
      </c>
      <c r="D187" s="116">
        <v>4.84</v>
      </c>
      <c r="E187" s="116">
        <v>4.9800000000000004</v>
      </c>
      <c r="F187" s="116">
        <v>24.95</v>
      </c>
      <c r="G187">
        <v>1036472</v>
      </c>
      <c r="H187" s="116"/>
      <c r="I187" s="116"/>
      <c r="L187" s="170">
        <v>42271</v>
      </c>
      <c r="M187" s="116">
        <v>4.99</v>
      </c>
      <c r="N187" s="116">
        <v>5.04</v>
      </c>
      <c r="O187" s="116">
        <v>4.84</v>
      </c>
      <c r="P187" s="116">
        <v>4.92</v>
      </c>
      <c r="Q187" s="116">
        <v>24.95</v>
      </c>
      <c r="R187">
        <v>16616470</v>
      </c>
    </row>
    <row r="188" spans="1:18" x14ac:dyDescent="0.25">
      <c r="A188" s="170">
        <v>42275</v>
      </c>
      <c r="B188" s="116">
        <v>5.08</v>
      </c>
      <c r="C188" s="116">
        <v>4.8899999999999997</v>
      </c>
      <c r="D188" s="116">
        <v>4.8</v>
      </c>
      <c r="E188" s="116">
        <v>5</v>
      </c>
      <c r="F188" s="116">
        <v>24.45</v>
      </c>
      <c r="G188">
        <v>819342</v>
      </c>
      <c r="H188" s="116"/>
      <c r="I188" s="116"/>
      <c r="L188" s="170">
        <v>42275</v>
      </c>
      <c r="M188" s="116">
        <v>4.87</v>
      </c>
      <c r="N188" s="116">
        <v>5.09</v>
      </c>
      <c r="O188" s="116">
        <v>4.8</v>
      </c>
      <c r="P188" s="116">
        <v>4.9800000000000004</v>
      </c>
      <c r="Q188" s="116">
        <v>24.35</v>
      </c>
      <c r="R188">
        <v>3990993</v>
      </c>
    </row>
    <row r="189" spans="1:18" x14ac:dyDescent="0.25">
      <c r="A189" s="170">
        <v>42276</v>
      </c>
      <c r="B189" s="116">
        <v>4.9400000000000004</v>
      </c>
      <c r="C189" s="116">
        <v>4.8899999999999997</v>
      </c>
      <c r="D189" s="116">
        <v>4.72</v>
      </c>
      <c r="E189" s="116">
        <v>4.8</v>
      </c>
      <c r="F189" s="116">
        <v>24.45</v>
      </c>
      <c r="G189">
        <v>1061241</v>
      </c>
      <c r="H189" s="116"/>
      <c r="I189" s="116"/>
      <c r="L189" s="170">
        <v>42276</v>
      </c>
      <c r="M189" s="116">
        <v>4.9000000000000004</v>
      </c>
      <c r="N189" s="116">
        <v>4.9400000000000004</v>
      </c>
      <c r="O189" s="116">
        <v>4.7</v>
      </c>
      <c r="P189" s="116">
        <v>4.84</v>
      </c>
      <c r="Q189" s="116">
        <v>24.5</v>
      </c>
      <c r="R189">
        <v>5374474</v>
      </c>
    </row>
    <row r="190" spans="1:18" x14ac:dyDescent="0.25">
      <c r="A190" s="170">
        <v>42277</v>
      </c>
      <c r="B190" s="116">
        <v>4.99</v>
      </c>
      <c r="C190" s="116">
        <v>4.9400000000000004</v>
      </c>
      <c r="D190" s="116">
        <v>4.87</v>
      </c>
      <c r="E190" s="116">
        <v>4.96</v>
      </c>
      <c r="F190" s="116">
        <v>24.7</v>
      </c>
      <c r="G190">
        <v>443705</v>
      </c>
      <c r="H190" s="116"/>
      <c r="I190" s="116"/>
      <c r="L190" s="170">
        <v>42277</v>
      </c>
      <c r="M190" s="116">
        <v>4.9400000000000004</v>
      </c>
      <c r="N190" s="116">
        <v>4.99</v>
      </c>
      <c r="O190" s="116">
        <v>4.8600000000000003</v>
      </c>
      <c r="P190" s="116">
        <v>4.97</v>
      </c>
      <c r="Q190" s="116">
        <v>24.7</v>
      </c>
      <c r="R190">
        <v>3345168</v>
      </c>
    </row>
    <row r="191" spans="1:18" x14ac:dyDescent="0.25">
      <c r="A191" s="170">
        <v>42278</v>
      </c>
      <c r="B191" s="116">
        <v>5</v>
      </c>
      <c r="C191" s="116">
        <v>4.88</v>
      </c>
      <c r="D191" s="116">
        <v>4.84</v>
      </c>
      <c r="E191" s="116">
        <v>4.91</v>
      </c>
      <c r="F191" s="116">
        <v>24.4</v>
      </c>
      <c r="G191">
        <v>544862</v>
      </c>
      <c r="H191" s="116"/>
      <c r="I191" s="116"/>
      <c r="L191" s="170">
        <v>42278</v>
      </c>
      <c r="M191" s="116">
        <v>4.88</v>
      </c>
      <c r="N191" s="116">
        <v>5.03</v>
      </c>
      <c r="O191" s="116">
        <v>4.83</v>
      </c>
      <c r="P191" s="116">
        <v>4.99</v>
      </c>
      <c r="Q191" s="116">
        <v>24.4</v>
      </c>
      <c r="R191">
        <v>3345372</v>
      </c>
    </row>
    <row r="192" spans="1:18" x14ac:dyDescent="0.25">
      <c r="A192" s="170">
        <v>42282</v>
      </c>
      <c r="B192" s="116">
        <v>5.03</v>
      </c>
      <c r="C192" s="116">
        <v>4.99</v>
      </c>
      <c r="D192" s="116">
        <v>4.88</v>
      </c>
      <c r="E192" s="116">
        <v>4.9800000000000004</v>
      </c>
      <c r="F192" s="116">
        <v>24.95</v>
      </c>
      <c r="G192">
        <v>630351</v>
      </c>
      <c r="H192" s="116"/>
      <c r="I192" s="116"/>
      <c r="L192" s="170">
        <v>42282</v>
      </c>
      <c r="M192" s="116">
        <v>4.99</v>
      </c>
      <c r="N192" s="116">
        <v>5.04</v>
      </c>
      <c r="O192" s="116">
        <v>4.88</v>
      </c>
      <c r="P192" s="116">
        <v>4.93</v>
      </c>
      <c r="Q192" s="116">
        <v>24.95</v>
      </c>
      <c r="R192">
        <v>4171716</v>
      </c>
    </row>
    <row r="193" spans="1:18" x14ac:dyDescent="0.25">
      <c r="A193" s="170">
        <v>42283</v>
      </c>
      <c r="B193" s="116">
        <v>5.22</v>
      </c>
      <c r="C193" s="116">
        <v>5.18</v>
      </c>
      <c r="D193" s="116">
        <v>5.01</v>
      </c>
      <c r="E193" s="116">
        <v>5.05</v>
      </c>
      <c r="F193" s="116">
        <v>25.9</v>
      </c>
      <c r="G193">
        <v>1058656</v>
      </c>
      <c r="H193" s="116"/>
      <c r="I193" s="116"/>
      <c r="L193" s="170">
        <v>42283</v>
      </c>
      <c r="M193" s="116">
        <v>5.18</v>
      </c>
      <c r="N193" s="116">
        <v>5.22</v>
      </c>
      <c r="O193" s="116">
        <v>5</v>
      </c>
      <c r="P193" s="116">
        <v>5.07</v>
      </c>
      <c r="Q193" s="116">
        <v>25.9</v>
      </c>
      <c r="R193">
        <v>7099413</v>
      </c>
    </row>
    <row r="194" spans="1:18" x14ac:dyDescent="0.25">
      <c r="A194" s="170">
        <v>42284</v>
      </c>
      <c r="B194" s="116">
        <v>5.37</v>
      </c>
      <c r="C194" s="116">
        <v>5.32</v>
      </c>
      <c r="D194" s="116">
        <v>5.18</v>
      </c>
      <c r="E194" s="116">
        <v>5.2</v>
      </c>
      <c r="F194" s="116">
        <v>26.6</v>
      </c>
      <c r="G194">
        <v>955586</v>
      </c>
      <c r="H194" s="116"/>
      <c r="I194" s="116"/>
      <c r="L194" s="170">
        <v>42284</v>
      </c>
      <c r="M194" s="116">
        <v>5.32</v>
      </c>
      <c r="N194" s="116">
        <v>5.38</v>
      </c>
      <c r="O194" s="116">
        <v>5.18</v>
      </c>
      <c r="P194" s="116">
        <v>5.19</v>
      </c>
      <c r="Q194" s="116">
        <v>26.6</v>
      </c>
      <c r="R194">
        <v>5355125</v>
      </c>
    </row>
    <row r="195" spans="1:18" x14ac:dyDescent="0.25">
      <c r="A195" s="170">
        <v>42285</v>
      </c>
      <c r="B195" s="116">
        <v>5.35</v>
      </c>
      <c r="C195" s="116">
        <v>5.26</v>
      </c>
      <c r="D195" s="116">
        <v>5.23</v>
      </c>
      <c r="E195" s="116">
        <v>5.35</v>
      </c>
      <c r="F195" s="116">
        <v>26.3</v>
      </c>
      <c r="G195">
        <v>546994</v>
      </c>
      <c r="H195" s="116"/>
      <c r="I195" s="116"/>
      <c r="L195" s="170">
        <v>42285</v>
      </c>
      <c r="M195" s="116">
        <v>5.26</v>
      </c>
      <c r="N195" s="116">
        <v>5.36</v>
      </c>
      <c r="O195" s="116">
        <v>5.22</v>
      </c>
      <c r="P195" s="116">
        <v>5.36</v>
      </c>
      <c r="Q195" s="116">
        <v>26.3</v>
      </c>
      <c r="R195">
        <v>2350411</v>
      </c>
    </row>
    <row r="196" spans="1:18" x14ac:dyDescent="0.25">
      <c r="A196" s="170">
        <v>42286</v>
      </c>
      <c r="B196" s="116">
        <v>5.36</v>
      </c>
      <c r="C196" s="116">
        <v>5.24</v>
      </c>
      <c r="D196" s="116">
        <v>5.21</v>
      </c>
      <c r="E196" s="116">
        <v>5.28</v>
      </c>
      <c r="F196" s="116">
        <v>26.2</v>
      </c>
      <c r="G196">
        <v>616000</v>
      </c>
      <c r="H196" s="116"/>
      <c r="I196" s="116"/>
      <c r="L196" s="170">
        <v>42286</v>
      </c>
      <c r="M196" s="116">
        <v>5.25</v>
      </c>
      <c r="N196" s="116">
        <v>5.35</v>
      </c>
      <c r="O196" s="116">
        <v>5.21</v>
      </c>
      <c r="P196" s="116">
        <v>5.28</v>
      </c>
      <c r="Q196" s="116">
        <v>26.25</v>
      </c>
      <c r="R196">
        <v>2616193</v>
      </c>
    </row>
    <row r="197" spans="1:18" x14ac:dyDescent="0.25">
      <c r="A197" s="170">
        <v>42289</v>
      </c>
      <c r="B197" s="116">
        <v>5.95</v>
      </c>
      <c r="C197" s="116">
        <v>5.79</v>
      </c>
      <c r="D197" s="116">
        <v>5.25</v>
      </c>
      <c r="E197" s="116">
        <v>5.25</v>
      </c>
      <c r="F197" s="116">
        <v>28.95</v>
      </c>
      <c r="G197">
        <v>3610878</v>
      </c>
      <c r="H197" s="116"/>
      <c r="I197" s="116"/>
      <c r="L197" s="170">
        <v>42289</v>
      </c>
      <c r="M197" s="116">
        <v>5.81</v>
      </c>
      <c r="N197" s="116">
        <v>5.95</v>
      </c>
      <c r="O197" s="116">
        <v>5.3</v>
      </c>
      <c r="P197" s="116">
        <v>5.3</v>
      </c>
      <c r="Q197" s="116">
        <v>29.05</v>
      </c>
      <c r="R197">
        <v>19497519</v>
      </c>
    </row>
    <row r="198" spans="1:18" x14ac:dyDescent="0.25">
      <c r="A198" s="170">
        <v>42290</v>
      </c>
      <c r="B198" s="116">
        <v>5.87</v>
      </c>
      <c r="C198" s="116">
        <v>5.67</v>
      </c>
      <c r="D198" s="116">
        <v>5.63</v>
      </c>
      <c r="E198" s="116">
        <v>5.8</v>
      </c>
      <c r="F198" s="116">
        <v>28.35</v>
      </c>
      <c r="G198">
        <v>1191089</v>
      </c>
      <c r="H198" s="116"/>
      <c r="I198" s="116"/>
      <c r="L198" s="170">
        <v>42290</v>
      </c>
      <c r="M198" s="116">
        <v>5.69</v>
      </c>
      <c r="N198" s="116">
        <v>5.86</v>
      </c>
      <c r="O198" s="116">
        <v>5.65</v>
      </c>
      <c r="P198" s="116">
        <v>5.8</v>
      </c>
      <c r="Q198" s="116">
        <v>28.45</v>
      </c>
      <c r="R198">
        <v>5010436</v>
      </c>
    </row>
    <row r="199" spans="1:18" x14ac:dyDescent="0.25">
      <c r="A199" s="170">
        <v>42291</v>
      </c>
      <c r="B199" s="116">
        <v>5.78</v>
      </c>
      <c r="C199" s="116">
        <v>5.61</v>
      </c>
      <c r="D199" s="116">
        <v>5.56</v>
      </c>
      <c r="E199" s="116">
        <v>5.63</v>
      </c>
      <c r="F199" s="116">
        <v>28.05</v>
      </c>
      <c r="G199">
        <v>667975</v>
      </c>
      <c r="H199" s="116"/>
      <c r="I199" s="116"/>
      <c r="L199" s="170">
        <v>42291</v>
      </c>
      <c r="M199" s="116">
        <v>5.61</v>
      </c>
      <c r="N199" s="116">
        <v>5.8</v>
      </c>
      <c r="O199" s="116">
        <v>5.56</v>
      </c>
      <c r="P199" s="116">
        <v>5.7</v>
      </c>
      <c r="Q199" s="116">
        <v>28.05</v>
      </c>
      <c r="R199">
        <v>3658452</v>
      </c>
    </row>
    <row r="200" spans="1:18" x14ac:dyDescent="0.25">
      <c r="A200" s="170">
        <v>42292</v>
      </c>
      <c r="B200" s="116">
        <v>5.91</v>
      </c>
      <c r="C200" s="116">
        <v>5.85</v>
      </c>
      <c r="D200" s="116">
        <v>5.6</v>
      </c>
      <c r="E200" s="116">
        <v>5.6</v>
      </c>
      <c r="F200" s="116">
        <v>29.25</v>
      </c>
      <c r="G200">
        <v>2109527</v>
      </c>
      <c r="H200" s="116"/>
      <c r="I200" s="116"/>
      <c r="L200" s="170">
        <v>42292</v>
      </c>
      <c r="M200" s="116">
        <v>5.85</v>
      </c>
      <c r="N200" s="116">
        <v>5.91</v>
      </c>
      <c r="O200" s="116">
        <v>5.64</v>
      </c>
      <c r="P200" s="116">
        <v>5.65</v>
      </c>
      <c r="Q200" s="116">
        <v>29.25</v>
      </c>
      <c r="R200">
        <v>11084466</v>
      </c>
    </row>
    <row r="201" spans="1:18" x14ac:dyDescent="0.25">
      <c r="A201" s="170">
        <v>42293</v>
      </c>
      <c r="B201" s="116">
        <v>5.98</v>
      </c>
      <c r="C201" s="116">
        <v>5.87</v>
      </c>
      <c r="D201" s="116">
        <v>5.8</v>
      </c>
      <c r="E201" s="116">
        <v>5.96</v>
      </c>
      <c r="F201" s="116">
        <v>29.35</v>
      </c>
      <c r="G201">
        <v>1479992</v>
      </c>
      <c r="H201" s="116"/>
      <c r="I201" s="116"/>
      <c r="L201" s="170">
        <v>42293</v>
      </c>
      <c r="M201" s="116">
        <v>5.87</v>
      </c>
      <c r="N201" s="116">
        <v>5.99</v>
      </c>
      <c r="O201" s="116">
        <v>5.8</v>
      </c>
      <c r="P201" s="116">
        <v>5.99</v>
      </c>
      <c r="Q201" s="116">
        <v>29.35</v>
      </c>
      <c r="R201">
        <v>7702431</v>
      </c>
    </row>
    <row r="202" spans="1:18" x14ac:dyDescent="0.25">
      <c r="A202" s="170">
        <v>42296</v>
      </c>
      <c r="B202" s="116">
        <v>5.95</v>
      </c>
      <c r="C202" s="116">
        <v>5.74</v>
      </c>
      <c r="D202" s="116">
        <v>5.71</v>
      </c>
      <c r="E202" s="116">
        <v>5.9</v>
      </c>
      <c r="F202" s="116">
        <v>28.7</v>
      </c>
      <c r="G202">
        <v>1011409</v>
      </c>
      <c r="H202" s="116"/>
      <c r="I202" s="116"/>
      <c r="L202" s="170">
        <v>42296</v>
      </c>
      <c r="M202" s="116">
        <v>5.74</v>
      </c>
      <c r="N202" s="116">
        <v>5.93</v>
      </c>
      <c r="O202" s="116">
        <v>5.72</v>
      </c>
      <c r="P202" s="116">
        <v>5.88</v>
      </c>
      <c r="Q202" s="116">
        <v>28.7</v>
      </c>
      <c r="R202">
        <v>4250361</v>
      </c>
    </row>
    <row r="203" spans="1:18" x14ac:dyDescent="0.25">
      <c r="A203" s="170">
        <v>42297</v>
      </c>
      <c r="B203" s="116">
        <v>6.4</v>
      </c>
      <c r="C203" s="116">
        <v>6.24</v>
      </c>
      <c r="D203" s="116">
        <v>5.7</v>
      </c>
      <c r="E203" s="116">
        <v>5.8</v>
      </c>
      <c r="F203" s="116">
        <v>31.2</v>
      </c>
      <c r="G203">
        <v>5204499</v>
      </c>
      <c r="H203" s="116"/>
      <c r="I203" s="116"/>
      <c r="L203" s="170">
        <v>42297</v>
      </c>
      <c r="M203" s="116">
        <v>6.22</v>
      </c>
      <c r="N203" s="116">
        <v>6.36</v>
      </c>
      <c r="O203" s="116">
        <v>5.76</v>
      </c>
      <c r="P203" s="116">
        <v>5.77</v>
      </c>
      <c r="Q203" s="116">
        <v>31.1</v>
      </c>
      <c r="R203">
        <v>22850474</v>
      </c>
    </row>
    <row r="204" spans="1:18" x14ac:dyDescent="0.25">
      <c r="A204" s="170">
        <v>42298</v>
      </c>
      <c r="B204" s="116">
        <v>6.3</v>
      </c>
      <c r="C204" s="116">
        <v>6.13</v>
      </c>
      <c r="D204" s="116">
        <v>5.97</v>
      </c>
      <c r="E204" s="116">
        <v>6.3</v>
      </c>
      <c r="F204" s="116">
        <v>30.65</v>
      </c>
      <c r="G204">
        <v>1765124</v>
      </c>
      <c r="H204" s="116"/>
      <c r="I204" s="116"/>
      <c r="L204" s="170">
        <v>42298</v>
      </c>
      <c r="M204" s="116">
        <v>6.12</v>
      </c>
      <c r="N204" s="116">
        <v>6.29</v>
      </c>
      <c r="O204" s="116">
        <v>5.97</v>
      </c>
      <c r="P204" s="116">
        <v>6.28</v>
      </c>
      <c r="Q204" s="116">
        <v>30.6</v>
      </c>
      <c r="R204">
        <v>8578681</v>
      </c>
    </row>
    <row r="205" spans="1:18" x14ac:dyDescent="0.25">
      <c r="A205" s="170">
        <v>42300</v>
      </c>
      <c r="B205" s="116">
        <v>6.27</v>
      </c>
      <c r="C205" s="116">
        <v>6.12</v>
      </c>
      <c r="D205" s="116">
        <v>6.08</v>
      </c>
      <c r="E205" s="116">
        <v>6.2</v>
      </c>
      <c r="F205" s="116">
        <v>30.6</v>
      </c>
      <c r="G205">
        <v>1013968</v>
      </c>
      <c r="H205" s="116"/>
      <c r="I205" s="116"/>
      <c r="L205" s="170">
        <v>42300</v>
      </c>
      <c r="M205" s="116">
        <v>6.13</v>
      </c>
      <c r="N205" s="116">
        <v>6.28</v>
      </c>
      <c r="O205" s="116">
        <v>6.06</v>
      </c>
      <c r="P205" s="116">
        <v>6.18</v>
      </c>
      <c r="Q205" s="116">
        <v>30.65</v>
      </c>
      <c r="R205">
        <v>5128491</v>
      </c>
    </row>
    <row r="206" spans="1:18" x14ac:dyDescent="0.25">
      <c r="A206" s="170">
        <v>42303</v>
      </c>
      <c r="B206" s="116">
        <v>6.29</v>
      </c>
      <c r="C206" s="116">
        <v>5.97</v>
      </c>
      <c r="D206" s="116">
        <v>5.96</v>
      </c>
      <c r="E206" s="116">
        <v>6.13</v>
      </c>
      <c r="F206" s="116">
        <v>29.85</v>
      </c>
      <c r="G206">
        <v>1211630</v>
      </c>
      <c r="H206" s="116"/>
      <c r="I206" s="116"/>
      <c r="L206" s="170">
        <v>42303</v>
      </c>
      <c r="M206" s="116">
        <v>5.98</v>
      </c>
      <c r="N206" s="116">
        <v>6.29</v>
      </c>
      <c r="O206" s="116">
        <v>5.96</v>
      </c>
      <c r="P206" s="116">
        <v>6.2</v>
      </c>
      <c r="Q206" s="116">
        <v>29.9</v>
      </c>
      <c r="R206">
        <v>7629934</v>
      </c>
    </row>
    <row r="207" spans="1:18" x14ac:dyDescent="0.25">
      <c r="A207" s="170">
        <v>42304</v>
      </c>
      <c r="B207" s="116">
        <v>6.1</v>
      </c>
      <c r="C207" s="116">
        <v>6.07</v>
      </c>
      <c r="D207" s="116">
        <v>5.95</v>
      </c>
      <c r="E207" s="116">
        <v>5.97</v>
      </c>
      <c r="F207" s="116">
        <v>30.35</v>
      </c>
      <c r="G207">
        <v>663116</v>
      </c>
      <c r="H207" s="116"/>
      <c r="I207" s="116"/>
      <c r="L207" s="170">
        <v>42304</v>
      </c>
      <c r="M207" s="116">
        <v>6.07</v>
      </c>
      <c r="N207" s="116">
        <v>6.11</v>
      </c>
      <c r="O207" s="116">
        <v>5.95</v>
      </c>
      <c r="P207" s="116">
        <v>6</v>
      </c>
      <c r="Q207" s="116">
        <v>30.35</v>
      </c>
      <c r="R207">
        <v>3773753</v>
      </c>
    </row>
    <row r="208" spans="1:18" x14ac:dyDescent="0.25">
      <c r="A208" s="170">
        <v>42305</v>
      </c>
      <c r="B208" s="116">
        <v>6.12</v>
      </c>
      <c r="C208" s="116">
        <v>6</v>
      </c>
      <c r="D208" s="116">
        <v>5.93</v>
      </c>
      <c r="E208" s="116">
        <v>6</v>
      </c>
      <c r="F208" s="116">
        <v>30</v>
      </c>
      <c r="G208">
        <v>1102401</v>
      </c>
      <c r="H208" s="116"/>
      <c r="I208" s="116"/>
      <c r="L208" s="170">
        <v>42305</v>
      </c>
      <c r="M208" s="116">
        <v>6.01</v>
      </c>
      <c r="N208" s="116">
        <v>6.12</v>
      </c>
      <c r="O208" s="116">
        <v>5.92</v>
      </c>
      <c r="P208" s="116">
        <v>6.08</v>
      </c>
      <c r="Q208" s="116">
        <v>30.05</v>
      </c>
      <c r="R208">
        <v>4591969</v>
      </c>
    </row>
    <row r="209" spans="1:18" x14ac:dyDescent="0.25">
      <c r="A209" s="170">
        <v>42306</v>
      </c>
      <c r="B209" s="116">
        <v>6.26</v>
      </c>
      <c r="C209" s="116">
        <v>6.19</v>
      </c>
      <c r="D209" s="116">
        <v>6.01</v>
      </c>
      <c r="E209" s="116">
        <v>6.08</v>
      </c>
      <c r="F209" s="116">
        <v>30.95</v>
      </c>
      <c r="G209">
        <v>1551436</v>
      </c>
      <c r="H209" s="116"/>
      <c r="I209" s="116"/>
      <c r="L209" s="170">
        <v>42306</v>
      </c>
      <c r="M209" s="116">
        <v>6.2</v>
      </c>
      <c r="N209" s="116">
        <v>6.28</v>
      </c>
      <c r="O209" s="116">
        <v>6</v>
      </c>
      <c r="P209" s="116">
        <v>6.04</v>
      </c>
      <c r="Q209" s="116">
        <v>31</v>
      </c>
      <c r="R209">
        <v>12035273</v>
      </c>
    </row>
    <row r="210" spans="1:18" x14ac:dyDescent="0.25">
      <c r="A210" s="170">
        <v>42307</v>
      </c>
      <c r="B210" s="116">
        <v>6.51</v>
      </c>
      <c r="C210" s="116">
        <v>6.29</v>
      </c>
      <c r="D210" s="116">
        <v>6.14</v>
      </c>
      <c r="E210" s="116">
        <v>6.21</v>
      </c>
      <c r="F210" s="116">
        <v>31.45</v>
      </c>
      <c r="G210">
        <v>2250084</v>
      </c>
      <c r="H210" s="116"/>
      <c r="I210" s="116"/>
      <c r="L210" s="170">
        <v>42307</v>
      </c>
      <c r="M210" s="116">
        <v>6.3</v>
      </c>
      <c r="N210" s="116">
        <v>6.53</v>
      </c>
      <c r="O210" s="116">
        <v>6.14</v>
      </c>
      <c r="P210" s="116">
        <v>6.22</v>
      </c>
      <c r="Q210" s="116">
        <v>31.5</v>
      </c>
      <c r="R210">
        <v>11209672</v>
      </c>
    </row>
    <row r="211" spans="1:18" x14ac:dyDescent="0.25">
      <c r="A211" s="170">
        <v>42310</v>
      </c>
      <c r="B211" s="116">
        <v>6.4</v>
      </c>
      <c r="C211" s="116">
        <v>6.32</v>
      </c>
      <c r="D211" s="116">
        <v>6.18</v>
      </c>
      <c r="E211" s="116">
        <v>6.37</v>
      </c>
      <c r="F211" s="116">
        <v>31.6</v>
      </c>
      <c r="G211">
        <v>1266802</v>
      </c>
      <c r="H211" s="116"/>
      <c r="I211" s="116"/>
      <c r="L211" s="170">
        <v>42310</v>
      </c>
      <c r="M211" s="116">
        <v>6.33</v>
      </c>
      <c r="N211" s="116">
        <v>6.38</v>
      </c>
      <c r="O211" s="116">
        <v>6.18</v>
      </c>
      <c r="P211" s="116">
        <v>6.34</v>
      </c>
      <c r="Q211" s="116">
        <v>31.65</v>
      </c>
      <c r="R211">
        <v>6652115</v>
      </c>
    </row>
    <row r="212" spans="1:18" x14ac:dyDescent="0.25">
      <c r="A212" s="170">
        <v>42311</v>
      </c>
      <c r="B212" s="116">
        <v>6.49</v>
      </c>
      <c r="C212" s="116">
        <v>6.15</v>
      </c>
      <c r="D212" s="116">
        <v>6.05</v>
      </c>
      <c r="E212" s="116">
        <v>6.35</v>
      </c>
      <c r="F212" s="116">
        <v>30.75</v>
      </c>
      <c r="G212">
        <v>2261679</v>
      </c>
      <c r="H212" s="116"/>
      <c r="I212" s="116"/>
      <c r="L212" s="170">
        <v>42311</v>
      </c>
      <c r="M212" s="116">
        <v>6.16</v>
      </c>
      <c r="N212" s="116">
        <v>6.5</v>
      </c>
      <c r="O212" s="116">
        <v>6.05</v>
      </c>
      <c r="P212" s="116">
        <v>6.36</v>
      </c>
      <c r="Q212" s="116">
        <v>30.8</v>
      </c>
      <c r="R212">
        <v>17312197</v>
      </c>
    </row>
    <row r="213" spans="1:18" x14ac:dyDescent="0.25">
      <c r="A213" s="170">
        <v>42312</v>
      </c>
      <c r="B213" s="116">
        <v>6.32</v>
      </c>
      <c r="C213" s="116">
        <v>6.14</v>
      </c>
      <c r="D213" s="116">
        <v>6.1</v>
      </c>
      <c r="E213" s="116">
        <v>6.17</v>
      </c>
      <c r="F213" s="116">
        <v>30.7</v>
      </c>
      <c r="G213">
        <v>1244871</v>
      </c>
      <c r="H213" s="116"/>
      <c r="I213" s="116"/>
      <c r="L213" s="170">
        <v>42312</v>
      </c>
      <c r="M213" s="116">
        <v>6.14</v>
      </c>
      <c r="N213" s="116">
        <v>6.28</v>
      </c>
      <c r="O213" s="116">
        <v>6.09</v>
      </c>
      <c r="P213" s="116">
        <v>6.21</v>
      </c>
      <c r="Q213" s="116">
        <v>30.7</v>
      </c>
      <c r="R213">
        <v>7667364</v>
      </c>
    </row>
    <row r="214" spans="1:18" x14ac:dyDescent="0.25">
      <c r="A214" s="170">
        <v>42313</v>
      </c>
      <c r="B214" s="116">
        <v>6.23</v>
      </c>
      <c r="C214" s="116">
        <v>6.02</v>
      </c>
      <c r="D214" s="116">
        <v>5.99</v>
      </c>
      <c r="E214" s="116">
        <v>6.16</v>
      </c>
      <c r="F214" s="116">
        <v>30.1</v>
      </c>
      <c r="G214">
        <v>1964690</v>
      </c>
      <c r="H214" s="116"/>
      <c r="I214" s="116"/>
      <c r="L214" s="170">
        <v>42313</v>
      </c>
      <c r="M214" s="116">
        <v>6.01</v>
      </c>
      <c r="N214" s="116">
        <v>6.22</v>
      </c>
      <c r="O214" s="116">
        <v>5.98</v>
      </c>
      <c r="P214" s="116">
        <v>6.16</v>
      </c>
      <c r="Q214" s="116">
        <v>30.05</v>
      </c>
      <c r="R214">
        <v>5455926</v>
      </c>
    </row>
    <row r="215" spans="1:18" x14ac:dyDescent="0.25">
      <c r="A215" s="170">
        <v>42314</v>
      </c>
      <c r="B215" s="116">
        <v>6.14</v>
      </c>
      <c r="C215" s="116">
        <v>5.76</v>
      </c>
      <c r="D215" s="116">
        <v>5.67</v>
      </c>
      <c r="E215" s="116">
        <v>6.1</v>
      </c>
      <c r="F215" s="116">
        <v>28.8</v>
      </c>
      <c r="G215">
        <v>1609183</v>
      </c>
      <c r="H215" s="116"/>
      <c r="I215" s="116"/>
      <c r="L215" s="170">
        <v>42314</v>
      </c>
      <c r="M215" s="116">
        <v>5.75</v>
      </c>
      <c r="N215" s="116">
        <v>6.19</v>
      </c>
      <c r="O215" s="116">
        <v>5.66</v>
      </c>
      <c r="P215" s="116">
        <v>6.1</v>
      </c>
      <c r="Q215" s="116">
        <v>28.75</v>
      </c>
      <c r="R215">
        <v>9026263</v>
      </c>
    </row>
    <row r="216" spans="1:18" x14ac:dyDescent="0.25">
      <c r="A216" s="170">
        <v>42317</v>
      </c>
      <c r="B216" s="116">
        <v>5.6</v>
      </c>
      <c r="C216" s="116">
        <v>5.48</v>
      </c>
      <c r="D216" s="116">
        <v>5.25</v>
      </c>
      <c r="E216" s="116">
        <v>5.42</v>
      </c>
      <c r="F216" s="116">
        <v>27.4</v>
      </c>
      <c r="G216">
        <v>2310119</v>
      </c>
      <c r="H216" s="116"/>
      <c r="I216" s="116"/>
      <c r="L216" s="170">
        <v>42317</v>
      </c>
      <c r="M216" s="116">
        <v>5.48</v>
      </c>
      <c r="N216" s="116">
        <v>5.59</v>
      </c>
      <c r="O216" s="116">
        <v>5.24</v>
      </c>
      <c r="P216" s="116">
        <v>5.25</v>
      </c>
      <c r="Q216" s="116">
        <v>27.4</v>
      </c>
      <c r="R216">
        <v>11963298</v>
      </c>
    </row>
    <row r="217" spans="1:18" x14ac:dyDescent="0.25">
      <c r="A217" s="170">
        <v>42318</v>
      </c>
      <c r="B217" s="116">
        <v>5.57</v>
      </c>
      <c r="C217" s="116">
        <v>5.39</v>
      </c>
      <c r="D217" s="116">
        <v>5.31</v>
      </c>
      <c r="E217" s="116">
        <v>5.47</v>
      </c>
      <c r="F217" s="116">
        <v>26.95</v>
      </c>
      <c r="G217">
        <v>1228163</v>
      </c>
      <c r="H217" s="116"/>
      <c r="I217" s="116"/>
      <c r="L217" s="170">
        <v>42318</v>
      </c>
      <c r="M217" s="116">
        <v>5.39</v>
      </c>
      <c r="N217" s="116">
        <v>5.58</v>
      </c>
      <c r="O217" s="116">
        <v>5.3</v>
      </c>
      <c r="P217" s="116">
        <v>5.46</v>
      </c>
      <c r="Q217" s="116">
        <v>26.95</v>
      </c>
      <c r="R217">
        <v>7004897</v>
      </c>
    </row>
    <row r="218" spans="1:18" x14ac:dyDescent="0.25">
      <c r="A218" s="170">
        <v>42319</v>
      </c>
      <c r="B218" s="116">
        <v>5.57</v>
      </c>
      <c r="C218" s="116">
        <v>5.53</v>
      </c>
      <c r="D218" s="116">
        <v>5.47</v>
      </c>
      <c r="E218" s="116">
        <v>5.52</v>
      </c>
      <c r="F218" s="116">
        <v>27.65</v>
      </c>
      <c r="G218">
        <v>210979</v>
      </c>
      <c r="H218" s="116"/>
      <c r="I218" s="116"/>
      <c r="L218" s="170">
        <v>42319</v>
      </c>
      <c r="M218" s="116">
        <v>5.52</v>
      </c>
      <c r="N218" s="116">
        <v>5.57</v>
      </c>
      <c r="O218" s="116">
        <v>5.45</v>
      </c>
      <c r="P218" s="116">
        <v>5.48</v>
      </c>
      <c r="Q218" s="116">
        <v>27.6</v>
      </c>
      <c r="R218">
        <v>1144820</v>
      </c>
    </row>
    <row r="219" spans="1:18" x14ac:dyDescent="0.25">
      <c r="A219" s="170">
        <v>42321</v>
      </c>
      <c r="B219" s="116">
        <v>5.6</v>
      </c>
      <c r="C219" s="116">
        <v>5.48</v>
      </c>
      <c r="D219" s="116">
        <v>5.38</v>
      </c>
      <c r="E219" s="116">
        <v>5.6</v>
      </c>
      <c r="F219" s="116">
        <v>27.4</v>
      </c>
      <c r="G219">
        <v>463339</v>
      </c>
      <c r="H219" s="116"/>
      <c r="I219" s="116"/>
      <c r="L219" s="170">
        <v>42321</v>
      </c>
      <c r="M219" s="116">
        <v>5.48</v>
      </c>
      <c r="N219" s="116">
        <v>5.56</v>
      </c>
      <c r="O219" s="116">
        <v>5.38</v>
      </c>
      <c r="P219" s="116">
        <v>5.48</v>
      </c>
      <c r="Q219" s="116">
        <v>27.4</v>
      </c>
      <c r="R219">
        <v>3193493</v>
      </c>
    </row>
    <row r="220" spans="1:18" x14ac:dyDescent="0.25">
      <c r="A220" s="170">
        <v>42324</v>
      </c>
      <c r="B220" s="116">
        <v>5.74</v>
      </c>
      <c r="C220" s="116">
        <v>5.69</v>
      </c>
      <c r="D220" s="116">
        <v>5.44</v>
      </c>
      <c r="E220" s="116">
        <v>5.52</v>
      </c>
      <c r="F220" s="116">
        <v>28.45</v>
      </c>
      <c r="G220">
        <v>879008</v>
      </c>
      <c r="H220" s="116"/>
      <c r="I220" s="116"/>
      <c r="L220" s="170">
        <v>42324</v>
      </c>
      <c r="M220" s="116">
        <v>5.69</v>
      </c>
      <c r="N220" s="116">
        <v>5.73</v>
      </c>
      <c r="O220" s="116">
        <v>5.43</v>
      </c>
      <c r="P220" s="116">
        <v>5.47</v>
      </c>
      <c r="Q220" s="116">
        <v>28.45</v>
      </c>
      <c r="R220">
        <v>5358137</v>
      </c>
    </row>
    <row r="221" spans="1:18" x14ac:dyDescent="0.25">
      <c r="A221" s="170">
        <v>42325</v>
      </c>
      <c r="B221" s="116">
        <v>5.87</v>
      </c>
      <c r="C221" s="116">
        <v>5.73</v>
      </c>
      <c r="D221" s="116">
        <v>5.66</v>
      </c>
      <c r="E221" s="116">
        <v>5.79</v>
      </c>
      <c r="F221" s="116">
        <v>28.65</v>
      </c>
      <c r="G221">
        <v>723048</v>
      </c>
      <c r="H221" s="116"/>
      <c r="I221" s="116"/>
      <c r="L221" s="170">
        <v>42325</v>
      </c>
      <c r="M221" s="116">
        <v>5.72</v>
      </c>
      <c r="N221" s="116">
        <v>5.87</v>
      </c>
      <c r="O221" s="116">
        <v>5.65</v>
      </c>
      <c r="P221" s="116">
        <v>5.7</v>
      </c>
      <c r="Q221" s="116">
        <v>28.6</v>
      </c>
      <c r="R221">
        <v>5024158</v>
      </c>
    </row>
    <row r="222" spans="1:18" x14ac:dyDescent="0.25">
      <c r="A222" s="170">
        <v>42326</v>
      </c>
      <c r="B222" s="116">
        <v>5.82</v>
      </c>
      <c r="C222" s="116">
        <v>5.58</v>
      </c>
      <c r="D222" s="116">
        <v>5.55</v>
      </c>
      <c r="E222" s="116">
        <v>5.76</v>
      </c>
      <c r="F222" s="116">
        <v>27.9</v>
      </c>
      <c r="G222">
        <v>982796</v>
      </c>
      <c r="H222" s="116"/>
      <c r="I222" s="116"/>
      <c r="L222" s="170">
        <v>42326</v>
      </c>
      <c r="M222" s="116">
        <v>5.57</v>
      </c>
      <c r="N222" s="116">
        <v>5.82</v>
      </c>
      <c r="O222" s="116">
        <v>5.53</v>
      </c>
      <c r="P222" s="116">
        <v>5.73</v>
      </c>
      <c r="Q222" s="116">
        <v>27.85</v>
      </c>
      <c r="R222">
        <v>6358436</v>
      </c>
    </row>
    <row r="223" spans="1:18" x14ac:dyDescent="0.25">
      <c r="A223" s="170">
        <v>42327</v>
      </c>
      <c r="B223" s="116">
        <v>5.72</v>
      </c>
      <c r="C223" s="116">
        <v>5.66</v>
      </c>
      <c r="D223" s="116">
        <v>5.6</v>
      </c>
      <c r="E223" s="116">
        <v>5.7</v>
      </c>
      <c r="F223" s="116">
        <v>28.3</v>
      </c>
      <c r="G223">
        <v>613866</v>
      </c>
      <c r="H223" s="116"/>
      <c r="I223" s="116"/>
      <c r="L223" s="170">
        <v>42327</v>
      </c>
      <c r="M223" s="116">
        <v>5.66</v>
      </c>
      <c r="N223" s="116">
        <v>5.73</v>
      </c>
      <c r="O223" s="116">
        <v>5.6</v>
      </c>
      <c r="P223" s="116">
        <v>5.63</v>
      </c>
      <c r="Q223" s="116">
        <v>28.3</v>
      </c>
      <c r="R223">
        <v>4305775</v>
      </c>
    </row>
    <row r="224" spans="1:18" x14ac:dyDescent="0.25">
      <c r="A224" s="170">
        <v>42328</v>
      </c>
      <c r="B224" s="116">
        <v>5.87</v>
      </c>
      <c r="C224" s="116">
        <v>5.79</v>
      </c>
      <c r="D224" s="116">
        <v>5.63</v>
      </c>
      <c r="E224" s="116">
        <v>5.66</v>
      </c>
      <c r="F224" s="116">
        <v>28.95</v>
      </c>
      <c r="G224">
        <v>1637467</v>
      </c>
      <c r="H224" s="116"/>
      <c r="I224" s="116"/>
      <c r="L224" s="170">
        <v>42328</v>
      </c>
      <c r="M224" s="116">
        <v>5.79</v>
      </c>
      <c r="N224" s="116">
        <v>5.88</v>
      </c>
      <c r="O224" s="116">
        <v>5.64</v>
      </c>
      <c r="P224" s="116">
        <v>5.67</v>
      </c>
      <c r="Q224" s="116">
        <v>28.95</v>
      </c>
      <c r="R224">
        <v>9814338</v>
      </c>
    </row>
    <row r="225" spans="1:18" x14ac:dyDescent="0.25">
      <c r="A225" s="170">
        <v>42331</v>
      </c>
      <c r="B225" s="116">
        <v>5.9</v>
      </c>
      <c r="C225" s="116">
        <v>5.86</v>
      </c>
      <c r="D225" s="116">
        <v>5.77</v>
      </c>
      <c r="E225" s="116">
        <v>5.79</v>
      </c>
      <c r="F225" s="116">
        <v>29.3</v>
      </c>
      <c r="G225">
        <v>670813</v>
      </c>
      <c r="H225" s="116"/>
      <c r="I225" s="116"/>
      <c r="L225" s="170">
        <v>42331</v>
      </c>
      <c r="M225" s="116">
        <v>5.87</v>
      </c>
      <c r="N225" s="116">
        <v>5.9</v>
      </c>
      <c r="O225" s="116">
        <v>5.77</v>
      </c>
      <c r="P225" s="116">
        <v>5.83</v>
      </c>
      <c r="Q225" s="116">
        <v>29.35</v>
      </c>
      <c r="R225">
        <v>4702309</v>
      </c>
    </row>
    <row r="226" spans="1:18" x14ac:dyDescent="0.25">
      <c r="A226" s="170">
        <v>42332</v>
      </c>
      <c r="B226" s="116">
        <v>5.91</v>
      </c>
      <c r="C226" s="116">
        <v>5.82</v>
      </c>
      <c r="D226" s="116">
        <v>5.8</v>
      </c>
      <c r="E226" s="116">
        <v>5.86</v>
      </c>
      <c r="F226" s="116">
        <v>29.1</v>
      </c>
      <c r="G226">
        <v>511719</v>
      </c>
      <c r="H226" s="116"/>
      <c r="I226" s="116"/>
      <c r="L226" s="170">
        <v>42332</v>
      </c>
      <c r="M226" s="116">
        <v>5.82</v>
      </c>
      <c r="N226" s="116">
        <v>5.92</v>
      </c>
      <c r="O226" s="116">
        <v>5.81</v>
      </c>
      <c r="P226" s="116">
        <v>5.86</v>
      </c>
      <c r="Q226" s="116">
        <v>29.1</v>
      </c>
      <c r="R226">
        <v>3306334</v>
      </c>
    </row>
    <row r="227" spans="1:18" x14ac:dyDescent="0.25">
      <c r="A227" s="170">
        <v>42334</v>
      </c>
      <c r="B227" s="116">
        <v>6.17</v>
      </c>
      <c r="C227" s="116">
        <v>6.09</v>
      </c>
      <c r="D227" s="116">
        <v>5.81</v>
      </c>
      <c r="E227" s="116">
        <v>5.89</v>
      </c>
      <c r="F227" s="116">
        <v>30.45</v>
      </c>
      <c r="G227">
        <v>1022792</v>
      </c>
      <c r="H227" s="116"/>
      <c r="I227" s="116"/>
      <c r="L227" s="170">
        <v>42334</v>
      </c>
      <c r="M227" s="116">
        <v>6.09</v>
      </c>
      <c r="N227" s="116">
        <v>6.18</v>
      </c>
      <c r="O227" s="116">
        <v>5.81</v>
      </c>
      <c r="P227" s="116">
        <v>5.85</v>
      </c>
      <c r="Q227" s="116">
        <v>30.45</v>
      </c>
      <c r="R227">
        <v>6803046</v>
      </c>
    </row>
    <row r="228" spans="1:18" x14ac:dyDescent="0.25">
      <c r="A228" s="170">
        <v>42335</v>
      </c>
      <c r="B228" s="116">
        <v>6.34</v>
      </c>
      <c r="C228" s="116">
        <v>6.14</v>
      </c>
      <c r="D228" s="116">
        <v>6.04</v>
      </c>
      <c r="E228" s="116">
        <v>6.04</v>
      </c>
      <c r="F228" s="116">
        <v>30.7</v>
      </c>
      <c r="G228">
        <v>1186332</v>
      </c>
      <c r="H228" s="116"/>
      <c r="I228" s="116"/>
      <c r="L228" s="170">
        <v>42335</v>
      </c>
      <c r="M228" s="116">
        <v>6.15</v>
      </c>
      <c r="N228" s="116">
        <v>6.34</v>
      </c>
      <c r="O228" s="116">
        <v>6.08</v>
      </c>
      <c r="P228" s="116">
        <v>6.1</v>
      </c>
      <c r="Q228" s="116">
        <v>30.75</v>
      </c>
      <c r="R228">
        <v>7751053</v>
      </c>
    </row>
    <row r="229" spans="1:18" x14ac:dyDescent="0.25">
      <c r="A229" s="170">
        <v>42338</v>
      </c>
      <c r="B229" s="116">
        <v>6.29</v>
      </c>
      <c r="C229" s="116">
        <v>6.15</v>
      </c>
      <c r="D229" s="116">
        <v>6.1</v>
      </c>
      <c r="E229" s="116">
        <v>6.16</v>
      </c>
      <c r="F229" s="116">
        <v>30.75</v>
      </c>
      <c r="G229">
        <v>743158</v>
      </c>
      <c r="H229" s="116"/>
      <c r="I229" s="116"/>
      <c r="L229" s="170">
        <v>42338</v>
      </c>
      <c r="M229" s="116">
        <v>6.14</v>
      </c>
      <c r="N229" s="116">
        <v>6.29</v>
      </c>
      <c r="O229" s="116">
        <v>6.12</v>
      </c>
      <c r="P229" s="116">
        <v>6.19</v>
      </c>
      <c r="Q229" s="116">
        <v>30.7</v>
      </c>
      <c r="R229">
        <v>4722690</v>
      </c>
    </row>
    <row r="230" spans="1:18" x14ac:dyDescent="0.25">
      <c r="A230" s="170">
        <v>42339</v>
      </c>
      <c r="B230" s="116">
        <v>6.21</v>
      </c>
      <c r="C230" s="116">
        <v>6.11</v>
      </c>
      <c r="D230" s="116">
        <v>6.1</v>
      </c>
      <c r="E230" s="116">
        <v>6.18</v>
      </c>
      <c r="F230" s="116">
        <v>30.55</v>
      </c>
      <c r="G230">
        <v>489351</v>
      </c>
      <c r="H230" s="116"/>
      <c r="I230" s="116"/>
      <c r="L230" s="170">
        <v>42339</v>
      </c>
      <c r="M230" s="116">
        <v>6.12</v>
      </c>
      <c r="N230" s="116">
        <v>6.21</v>
      </c>
      <c r="O230" s="116">
        <v>6.1</v>
      </c>
      <c r="P230" s="116">
        <v>6.18</v>
      </c>
      <c r="Q230" s="116">
        <v>30.6</v>
      </c>
      <c r="R230">
        <v>2932396</v>
      </c>
    </row>
    <row r="231" spans="1:18" x14ac:dyDescent="0.25">
      <c r="A231" s="170">
        <v>42340</v>
      </c>
      <c r="B231" s="116">
        <v>6.21</v>
      </c>
      <c r="C231" s="116">
        <v>6.06</v>
      </c>
      <c r="D231" s="116">
        <v>5.99</v>
      </c>
      <c r="E231" s="116">
        <v>6.14</v>
      </c>
      <c r="F231" s="116">
        <v>30.3</v>
      </c>
      <c r="G231">
        <v>528772</v>
      </c>
      <c r="H231" s="116"/>
      <c r="I231" s="116"/>
      <c r="L231" s="170">
        <v>42340</v>
      </c>
      <c r="M231" s="116">
        <v>6.06</v>
      </c>
      <c r="N231" s="116">
        <v>6.22</v>
      </c>
      <c r="O231" s="116">
        <v>5.97</v>
      </c>
      <c r="P231" s="116">
        <v>6.15</v>
      </c>
      <c r="Q231" s="116">
        <v>30.3</v>
      </c>
      <c r="R231">
        <v>3198005</v>
      </c>
    </row>
    <row r="232" spans="1:18" x14ac:dyDescent="0.25">
      <c r="A232" s="170">
        <v>42341</v>
      </c>
      <c r="B232" s="116">
        <v>6.14</v>
      </c>
      <c r="C232" s="116">
        <v>6.04</v>
      </c>
      <c r="D232" s="116">
        <v>6.01</v>
      </c>
      <c r="E232" s="116">
        <v>6.02</v>
      </c>
      <c r="F232" s="116">
        <v>30.2</v>
      </c>
      <c r="G232">
        <v>923234</v>
      </c>
      <c r="H232" s="116"/>
      <c r="I232" s="116"/>
      <c r="L232" s="170">
        <v>42341</v>
      </c>
      <c r="M232" s="116">
        <v>6.04</v>
      </c>
      <c r="N232" s="116">
        <v>6.14</v>
      </c>
      <c r="O232" s="116">
        <v>6.01</v>
      </c>
      <c r="P232" s="116">
        <v>6.02</v>
      </c>
      <c r="Q232" s="116">
        <v>30.2</v>
      </c>
      <c r="R232">
        <v>3261010</v>
      </c>
    </row>
    <row r="233" spans="1:18" x14ac:dyDescent="0.25">
      <c r="A233" s="170">
        <v>42342</v>
      </c>
      <c r="B233" s="116">
        <v>6.43</v>
      </c>
      <c r="C233" s="116">
        <v>6.04</v>
      </c>
      <c r="D233" s="116">
        <v>5.97</v>
      </c>
      <c r="E233" s="116">
        <v>5.99</v>
      </c>
      <c r="F233" s="116">
        <v>30.2</v>
      </c>
      <c r="G233">
        <v>2027880</v>
      </c>
      <c r="H233" s="116"/>
      <c r="I233" s="116"/>
      <c r="L233" s="170">
        <v>42342</v>
      </c>
      <c r="M233" s="116">
        <v>6.05</v>
      </c>
      <c r="N233" s="116">
        <v>6.43</v>
      </c>
      <c r="O233" s="116">
        <v>5.98</v>
      </c>
      <c r="P233" s="116">
        <v>6</v>
      </c>
      <c r="Q233" s="116">
        <v>30.25</v>
      </c>
      <c r="R233">
        <v>11901245</v>
      </c>
    </row>
    <row r="234" spans="1:18" x14ac:dyDescent="0.25">
      <c r="A234" s="170">
        <v>42345</v>
      </c>
      <c r="B234" s="116">
        <v>6.16</v>
      </c>
      <c r="C234" s="116">
        <v>6.09</v>
      </c>
      <c r="D234" s="116">
        <v>6.02</v>
      </c>
      <c r="E234" s="116">
        <v>6.12</v>
      </c>
      <c r="F234" s="116">
        <v>30.45</v>
      </c>
      <c r="G234">
        <v>688477</v>
      </c>
      <c r="H234" s="116"/>
      <c r="I234" s="116"/>
      <c r="L234" s="170">
        <v>42345</v>
      </c>
      <c r="M234" s="116">
        <v>6.09</v>
      </c>
      <c r="N234" s="116">
        <v>6.16</v>
      </c>
      <c r="O234" s="116">
        <v>6.02</v>
      </c>
      <c r="P234" s="116">
        <v>6.13</v>
      </c>
      <c r="Q234" s="116">
        <v>30.45</v>
      </c>
      <c r="R234">
        <v>3797241</v>
      </c>
    </row>
    <row r="235" spans="1:18" x14ac:dyDescent="0.25">
      <c r="A235" s="170">
        <v>42346</v>
      </c>
      <c r="B235" s="116">
        <v>6.06</v>
      </c>
      <c r="C235" s="116">
        <v>5.51</v>
      </c>
      <c r="D235" s="116">
        <v>5.46</v>
      </c>
      <c r="E235" s="116">
        <v>6.04</v>
      </c>
      <c r="F235" s="116">
        <v>27.55</v>
      </c>
      <c r="G235">
        <v>2561280</v>
      </c>
      <c r="H235" s="116"/>
      <c r="I235" s="116"/>
      <c r="L235" s="170">
        <v>42346</v>
      </c>
      <c r="M235" s="116">
        <v>5.5</v>
      </c>
      <c r="N235" s="116">
        <v>6.07</v>
      </c>
      <c r="O235" s="116">
        <v>5.45</v>
      </c>
      <c r="P235" s="116">
        <v>6.04</v>
      </c>
      <c r="Q235" s="116">
        <v>27.5</v>
      </c>
      <c r="R235">
        <v>14664438</v>
      </c>
    </row>
    <row r="236" spans="1:18" x14ac:dyDescent="0.25">
      <c r="A236" s="170">
        <v>42347</v>
      </c>
      <c r="B236" s="116">
        <v>5.54</v>
      </c>
      <c r="C236" s="116">
        <v>5.29</v>
      </c>
      <c r="D236" s="116">
        <v>5.25</v>
      </c>
      <c r="E236" s="116">
        <v>5.48</v>
      </c>
      <c r="F236" s="116">
        <v>26.45</v>
      </c>
      <c r="G236">
        <v>1348817</v>
      </c>
      <c r="H236" s="116"/>
      <c r="I236" s="116"/>
      <c r="L236" s="170">
        <v>42347</v>
      </c>
      <c r="M236" s="116">
        <v>5.27</v>
      </c>
      <c r="N236" s="116">
        <v>5.54</v>
      </c>
      <c r="O236" s="116">
        <v>5.25</v>
      </c>
      <c r="P236" s="116">
        <v>5.47</v>
      </c>
      <c r="Q236" s="116">
        <v>26.35</v>
      </c>
      <c r="R236">
        <v>8262419</v>
      </c>
    </row>
    <row r="237" spans="1:18" x14ac:dyDescent="0.25">
      <c r="A237" s="170">
        <v>42348</v>
      </c>
      <c r="B237" s="116">
        <v>5.4</v>
      </c>
      <c r="C237" s="116">
        <v>5.34</v>
      </c>
      <c r="D237" s="116">
        <v>5.24</v>
      </c>
      <c r="E237" s="116">
        <v>5.39</v>
      </c>
      <c r="F237" s="116">
        <v>26.7</v>
      </c>
      <c r="G237">
        <v>889997</v>
      </c>
      <c r="H237" s="116"/>
      <c r="I237" s="116"/>
      <c r="L237" s="170">
        <v>42348</v>
      </c>
      <c r="M237" s="116">
        <v>5.35</v>
      </c>
      <c r="N237" s="116">
        <v>5.45</v>
      </c>
      <c r="O237" s="116">
        <v>5.24</v>
      </c>
      <c r="P237" s="116">
        <v>5.28</v>
      </c>
      <c r="Q237" s="116">
        <v>26.75</v>
      </c>
      <c r="R237">
        <v>5190572</v>
      </c>
    </row>
    <row r="238" spans="1:18" x14ac:dyDescent="0.25">
      <c r="A238" s="170">
        <v>42349</v>
      </c>
      <c r="B238" s="116">
        <v>5.4</v>
      </c>
      <c r="C238" s="116">
        <v>5.24</v>
      </c>
      <c r="D238" s="116">
        <v>5.2</v>
      </c>
      <c r="E238" s="116">
        <v>5.34</v>
      </c>
      <c r="F238" s="116">
        <v>26.2</v>
      </c>
      <c r="G238">
        <v>869521</v>
      </c>
      <c r="H238" s="116"/>
      <c r="I238" s="116"/>
      <c r="L238" s="170">
        <v>42349</v>
      </c>
      <c r="M238" s="116">
        <v>5.23</v>
      </c>
      <c r="N238" s="116">
        <v>5.4</v>
      </c>
      <c r="O238" s="116">
        <v>5.19</v>
      </c>
      <c r="P238" s="116">
        <v>5.35</v>
      </c>
      <c r="Q238" s="116">
        <v>26.15</v>
      </c>
      <c r="R238">
        <v>4351747</v>
      </c>
    </row>
    <row r="239" spans="1:18" x14ac:dyDescent="0.25">
      <c r="A239" s="170">
        <v>42352</v>
      </c>
      <c r="B239" s="116">
        <v>5.4</v>
      </c>
      <c r="C239" s="116">
        <v>5.33</v>
      </c>
      <c r="D239" s="116">
        <v>5.16</v>
      </c>
      <c r="E239" s="116">
        <v>5.25</v>
      </c>
      <c r="F239" s="116">
        <v>26.65</v>
      </c>
      <c r="G239">
        <v>650522</v>
      </c>
      <c r="H239" s="116"/>
      <c r="I239" s="116"/>
      <c r="L239" s="170">
        <v>42352</v>
      </c>
      <c r="M239" s="116">
        <v>5.33</v>
      </c>
      <c r="N239" s="116">
        <v>5.4</v>
      </c>
      <c r="O239" s="116">
        <v>5.14</v>
      </c>
      <c r="P239" s="116">
        <v>5.18</v>
      </c>
      <c r="Q239" s="116">
        <v>26.65</v>
      </c>
      <c r="R239">
        <v>5578591</v>
      </c>
    </row>
    <row r="240" spans="1:18" x14ac:dyDescent="0.25">
      <c r="A240" s="170">
        <v>42353</v>
      </c>
      <c r="B240" s="116">
        <v>5.45</v>
      </c>
      <c r="C240" s="116">
        <v>5.41</v>
      </c>
      <c r="D240" s="116">
        <v>5.38</v>
      </c>
      <c r="E240" s="116">
        <v>5.4</v>
      </c>
      <c r="F240" s="116">
        <v>27.05</v>
      </c>
      <c r="G240">
        <v>595573</v>
      </c>
      <c r="H240" s="116"/>
      <c r="I240" s="116"/>
      <c r="L240" s="170">
        <v>42353</v>
      </c>
      <c r="M240" s="116">
        <v>5.41</v>
      </c>
      <c r="N240" s="116">
        <v>5.45</v>
      </c>
      <c r="O240" s="116">
        <v>5.36</v>
      </c>
      <c r="P240" s="116">
        <v>5.41</v>
      </c>
      <c r="Q240" s="116">
        <v>27.05</v>
      </c>
      <c r="R240">
        <v>4126998</v>
      </c>
    </row>
    <row r="241" spans="1:18" x14ac:dyDescent="0.25">
      <c r="A241" s="170">
        <v>42354</v>
      </c>
      <c r="B241" s="116">
        <v>5.49</v>
      </c>
      <c r="C241" s="116">
        <v>5.37</v>
      </c>
      <c r="D241" s="116">
        <v>5.36</v>
      </c>
      <c r="E241" s="116">
        <v>5.42</v>
      </c>
      <c r="F241" s="116">
        <v>26.85</v>
      </c>
      <c r="G241">
        <v>743429</v>
      </c>
      <c r="H241" s="116"/>
      <c r="I241" s="116"/>
      <c r="L241" s="170">
        <v>42354</v>
      </c>
      <c r="M241" s="116">
        <v>5.38</v>
      </c>
      <c r="N241" s="116">
        <v>5.5</v>
      </c>
      <c r="O241" s="116">
        <v>5.36</v>
      </c>
      <c r="P241" s="116">
        <v>5.42</v>
      </c>
      <c r="Q241" s="116">
        <v>26.9</v>
      </c>
      <c r="R241">
        <v>3845689</v>
      </c>
    </row>
    <row r="242" spans="1:18" x14ac:dyDescent="0.25">
      <c r="A242" s="170">
        <v>42355</v>
      </c>
      <c r="B242" s="116">
        <v>5.52</v>
      </c>
      <c r="C242" s="116">
        <v>5.5</v>
      </c>
      <c r="D242" s="116">
        <v>5.3</v>
      </c>
      <c r="E242" s="116">
        <v>5.3</v>
      </c>
      <c r="F242" s="116">
        <v>27.5</v>
      </c>
      <c r="G242">
        <v>672034</v>
      </c>
      <c r="H242" s="116"/>
      <c r="I242" s="116"/>
      <c r="L242" s="170">
        <v>42355</v>
      </c>
      <c r="M242" s="116">
        <v>5.51</v>
      </c>
      <c r="N242" s="116">
        <v>5.54</v>
      </c>
      <c r="O242" s="116">
        <v>5.4</v>
      </c>
      <c r="P242" s="116">
        <v>5.4</v>
      </c>
      <c r="Q242" s="116">
        <v>27.55</v>
      </c>
      <c r="R242">
        <v>3830989</v>
      </c>
    </row>
    <row r="243" spans="1:18" x14ac:dyDescent="0.25">
      <c r="A243" s="170">
        <v>42356</v>
      </c>
      <c r="B243" s="116">
        <v>5.68</v>
      </c>
      <c r="C243" s="116">
        <v>5.62</v>
      </c>
      <c r="D243" s="116">
        <v>5.47</v>
      </c>
      <c r="E243" s="116">
        <v>5.51</v>
      </c>
      <c r="F243" s="116">
        <v>28.1</v>
      </c>
      <c r="G243">
        <v>917215</v>
      </c>
      <c r="H243" s="116"/>
      <c r="I243" s="116"/>
      <c r="L243" s="170">
        <v>42356</v>
      </c>
      <c r="M243" s="116">
        <v>5.63</v>
      </c>
      <c r="N243" s="116">
        <v>5.69</v>
      </c>
      <c r="O243" s="116">
        <v>5.46</v>
      </c>
      <c r="P243" s="116">
        <v>5.51</v>
      </c>
      <c r="Q243" s="116">
        <v>28.15</v>
      </c>
      <c r="R243">
        <v>6488689</v>
      </c>
    </row>
    <row r="244" spans="1:18" x14ac:dyDescent="0.25">
      <c r="A244" s="170">
        <v>42359</v>
      </c>
      <c r="B244" s="116">
        <v>6.24</v>
      </c>
      <c r="C244" s="116">
        <v>6.14</v>
      </c>
      <c r="D244" s="116">
        <v>5.6</v>
      </c>
      <c r="E244" s="116">
        <v>5.6</v>
      </c>
      <c r="F244" s="116">
        <v>30.7</v>
      </c>
      <c r="G244">
        <v>3191488</v>
      </c>
      <c r="H244" s="116"/>
      <c r="I244" s="116"/>
      <c r="L244" s="170">
        <v>42359</v>
      </c>
      <c r="M244" s="116">
        <v>6.14</v>
      </c>
      <c r="N244" s="116">
        <v>6.28</v>
      </c>
      <c r="O244" s="116">
        <v>5.64</v>
      </c>
      <c r="P244" s="116">
        <v>5.65</v>
      </c>
      <c r="Q244" s="116">
        <v>30.7</v>
      </c>
      <c r="R244">
        <v>19054681</v>
      </c>
    </row>
    <row r="245" spans="1:18" x14ac:dyDescent="0.25">
      <c r="A245" s="170">
        <v>42360</v>
      </c>
      <c r="B245" s="116">
        <v>6.2</v>
      </c>
      <c r="C245" s="116">
        <v>6</v>
      </c>
      <c r="D245" s="116">
        <v>5.98</v>
      </c>
      <c r="E245" s="116">
        <v>6.2</v>
      </c>
      <c r="F245" s="116">
        <v>30</v>
      </c>
      <c r="G245">
        <v>974755</v>
      </c>
      <c r="H245" s="116"/>
      <c r="I245" s="116"/>
      <c r="L245" s="170">
        <v>42360</v>
      </c>
      <c r="M245" s="116">
        <v>6.01</v>
      </c>
      <c r="N245" s="116">
        <v>6.18</v>
      </c>
      <c r="O245" s="116">
        <v>5.98</v>
      </c>
      <c r="P245" s="116">
        <v>6.16</v>
      </c>
      <c r="Q245" s="116">
        <v>30.05</v>
      </c>
      <c r="R245">
        <v>7011741</v>
      </c>
    </row>
    <row r="246" spans="1:18" x14ac:dyDescent="0.25">
      <c r="A246" s="170">
        <v>42361</v>
      </c>
      <c r="B246" s="116">
        <v>6.04</v>
      </c>
      <c r="C246" s="116">
        <v>5.97</v>
      </c>
      <c r="D246" s="116">
        <v>5.88</v>
      </c>
      <c r="E246" s="116">
        <v>5.98</v>
      </c>
      <c r="F246" s="116">
        <v>29.85</v>
      </c>
      <c r="G246">
        <v>890935</v>
      </c>
      <c r="H246" s="116"/>
      <c r="I246" s="116"/>
      <c r="L246" s="170">
        <v>42361</v>
      </c>
      <c r="M246" s="116">
        <v>5.97</v>
      </c>
      <c r="N246" s="116">
        <v>6.04</v>
      </c>
      <c r="O246" s="116">
        <v>5.87</v>
      </c>
      <c r="P246" s="116">
        <v>5.98</v>
      </c>
      <c r="Q246" s="116">
        <v>29.85</v>
      </c>
      <c r="R246">
        <v>6119928</v>
      </c>
    </row>
    <row r="247" spans="1:18" x14ac:dyDescent="0.25">
      <c r="A247" s="170">
        <v>42362</v>
      </c>
      <c r="B247" s="116">
        <v>6.05</v>
      </c>
      <c r="C247" s="116">
        <v>5.95</v>
      </c>
      <c r="D247" s="116">
        <v>5.87</v>
      </c>
      <c r="E247" s="116">
        <v>6.05</v>
      </c>
      <c r="F247" s="116">
        <v>29.75</v>
      </c>
      <c r="G247">
        <v>672690</v>
      </c>
      <c r="H247" s="116"/>
      <c r="I247" s="116"/>
      <c r="L247" s="170">
        <v>42362</v>
      </c>
      <c r="M247" s="116">
        <v>5.95</v>
      </c>
      <c r="N247" s="116">
        <v>6.02</v>
      </c>
      <c r="O247" s="116">
        <v>5.86</v>
      </c>
      <c r="P247" s="116">
        <v>6</v>
      </c>
      <c r="Q247" s="116">
        <v>29.75</v>
      </c>
      <c r="R247">
        <v>4059481</v>
      </c>
    </row>
    <row r="248" spans="1:18" x14ac:dyDescent="0.25">
      <c r="A248" s="170">
        <v>42366</v>
      </c>
      <c r="B248" s="116">
        <v>6.1</v>
      </c>
      <c r="C248" s="116">
        <v>6.04</v>
      </c>
      <c r="D248" s="116">
        <v>5.97</v>
      </c>
      <c r="E248" s="116">
        <v>6</v>
      </c>
      <c r="F248" s="116">
        <v>30.2</v>
      </c>
      <c r="G248">
        <v>613981</v>
      </c>
      <c r="H248" s="116"/>
      <c r="I248" s="116"/>
      <c r="L248" s="170">
        <v>42366</v>
      </c>
      <c r="M248" s="116">
        <v>6.04</v>
      </c>
      <c r="N248" s="116">
        <v>6.1</v>
      </c>
      <c r="O248" s="116">
        <v>5.96</v>
      </c>
      <c r="P248" s="116">
        <v>6</v>
      </c>
      <c r="Q248" s="116">
        <v>30.2</v>
      </c>
      <c r="R248">
        <v>3855945</v>
      </c>
    </row>
    <row r="249" spans="1:18" x14ac:dyDescent="0.25">
      <c r="A249" s="170">
        <v>42367</v>
      </c>
      <c r="B249" s="116">
        <v>6.12</v>
      </c>
      <c r="C249" s="116">
        <v>6.09</v>
      </c>
      <c r="D249" s="116">
        <v>6.03</v>
      </c>
      <c r="E249" s="116">
        <v>6.04</v>
      </c>
      <c r="F249" s="116">
        <v>30.45</v>
      </c>
      <c r="G249">
        <v>513708</v>
      </c>
      <c r="H249" s="116"/>
      <c r="I249" s="116"/>
      <c r="L249" s="170">
        <v>42367</v>
      </c>
      <c r="M249" s="116">
        <v>6.09</v>
      </c>
      <c r="N249" s="116">
        <v>6.12</v>
      </c>
      <c r="O249" s="116">
        <v>6.03</v>
      </c>
      <c r="P249" s="116">
        <v>6.06</v>
      </c>
      <c r="Q249" s="116">
        <v>30.45</v>
      </c>
      <c r="R249">
        <v>3423261</v>
      </c>
    </row>
    <row r="250" spans="1:18" x14ac:dyDescent="0.25">
      <c r="A250" s="170">
        <v>42368</v>
      </c>
      <c r="B250" s="116">
        <v>6.4</v>
      </c>
      <c r="C250" s="116">
        <v>6.3</v>
      </c>
      <c r="D250" s="116">
        <v>5.88</v>
      </c>
      <c r="E250" s="116">
        <v>5.88</v>
      </c>
      <c r="F250" s="116">
        <v>31.5</v>
      </c>
      <c r="G250">
        <v>2016874</v>
      </c>
      <c r="H250" s="116"/>
      <c r="I250" s="116"/>
      <c r="L250" s="170">
        <v>42368</v>
      </c>
      <c r="M250" s="116">
        <v>6.31</v>
      </c>
      <c r="N250" s="116">
        <v>6.41</v>
      </c>
      <c r="O250" s="116">
        <v>6.08</v>
      </c>
      <c r="P250" s="116">
        <v>6.1</v>
      </c>
      <c r="Q250" s="116">
        <v>31.55</v>
      </c>
      <c r="R250">
        <v>14131957</v>
      </c>
    </row>
    <row r="251" spans="1:18" x14ac:dyDescent="0.25">
      <c r="A251" s="170">
        <v>42369</v>
      </c>
      <c r="B251" s="116">
        <v>6.5</v>
      </c>
      <c r="C251" s="116">
        <v>6.45</v>
      </c>
      <c r="D251" s="116">
        <v>6.33</v>
      </c>
      <c r="E251" s="116">
        <v>6.36</v>
      </c>
      <c r="F251" s="116">
        <v>32.25</v>
      </c>
      <c r="G251">
        <v>1944027</v>
      </c>
      <c r="H251" s="116"/>
      <c r="I251" s="116"/>
      <c r="L251" s="170">
        <v>42369</v>
      </c>
      <c r="M251" s="116">
        <v>6.45</v>
      </c>
      <c r="N251" s="116">
        <v>6.5</v>
      </c>
      <c r="O251" s="116">
        <v>6.32</v>
      </c>
      <c r="P251" s="116">
        <v>6.35</v>
      </c>
      <c r="Q251" s="116">
        <v>32.25</v>
      </c>
      <c r="R251">
        <v>17962234</v>
      </c>
    </row>
    <row r="252" spans="1:18" x14ac:dyDescent="0.25">
      <c r="A252" s="170">
        <v>42370</v>
      </c>
      <c r="B252" s="116">
        <v>6.86</v>
      </c>
      <c r="C252" s="116">
        <v>6.8</v>
      </c>
      <c r="D252" s="116">
        <v>6.45</v>
      </c>
      <c r="E252" s="116">
        <v>6.45</v>
      </c>
      <c r="F252" s="116">
        <v>34</v>
      </c>
      <c r="G252">
        <v>2141304</v>
      </c>
      <c r="H252" s="116"/>
      <c r="I252" s="116"/>
      <c r="L252" s="170">
        <v>42370</v>
      </c>
      <c r="M252" s="116">
        <v>6.8</v>
      </c>
      <c r="N252" s="116">
        <v>6.88</v>
      </c>
      <c r="O252" s="116">
        <v>6.46</v>
      </c>
      <c r="P252" s="116">
        <v>6.5</v>
      </c>
      <c r="Q252" s="116">
        <v>34</v>
      </c>
      <c r="R252">
        <v>12331921</v>
      </c>
    </row>
    <row r="253" spans="1:18" x14ac:dyDescent="0.25">
      <c r="A253" s="170">
        <v>42373</v>
      </c>
      <c r="B253" s="116">
        <v>6.94</v>
      </c>
      <c r="C253" s="116">
        <v>6.55</v>
      </c>
      <c r="D253" s="116">
        <v>6.4</v>
      </c>
      <c r="E253" s="116">
        <v>6.76</v>
      </c>
      <c r="F253" s="116">
        <v>32.75</v>
      </c>
      <c r="G253">
        <v>1784073</v>
      </c>
      <c r="H253" s="116"/>
      <c r="I253" s="116"/>
      <c r="L253" s="170">
        <v>42373</v>
      </c>
      <c r="M253" s="116">
        <v>6.54</v>
      </c>
      <c r="N253" s="116">
        <v>6.94</v>
      </c>
      <c r="O253" s="116">
        <v>6.4</v>
      </c>
      <c r="P253" s="116">
        <v>6.8</v>
      </c>
      <c r="Q253" s="116">
        <v>32.700000000000003</v>
      </c>
      <c r="R253">
        <v>15329003</v>
      </c>
    </row>
    <row r="254" spans="1:18" x14ac:dyDescent="0.25">
      <c r="A254" s="170">
        <v>42374</v>
      </c>
      <c r="B254" s="116">
        <v>6.92</v>
      </c>
      <c r="C254" s="116">
        <v>6.86</v>
      </c>
      <c r="D254" s="116">
        <v>6.58</v>
      </c>
      <c r="E254" s="116">
        <v>6.59</v>
      </c>
      <c r="F254" s="116">
        <v>34.299999999999997</v>
      </c>
      <c r="G254">
        <v>1594153</v>
      </c>
      <c r="H254" s="116"/>
      <c r="I254" s="116"/>
      <c r="L254" s="170">
        <v>42374</v>
      </c>
      <c r="M254" s="116">
        <v>6.86</v>
      </c>
      <c r="N254" s="116">
        <v>6.92</v>
      </c>
      <c r="O254" s="116">
        <v>6.57</v>
      </c>
      <c r="P254" s="116">
        <v>6.57</v>
      </c>
      <c r="Q254" s="116">
        <v>34.299999999999997</v>
      </c>
      <c r="R254">
        <v>12091589</v>
      </c>
    </row>
    <row r="255" spans="1:18" x14ac:dyDescent="0.25">
      <c r="A255" s="170">
        <v>42375</v>
      </c>
      <c r="B255" s="116">
        <v>7.02</v>
      </c>
      <c r="C255" s="116">
        <v>6.89</v>
      </c>
      <c r="D255" s="116">
        <v>6.74</v>
      </c>
      <c r="E255" s="116">
        <v>6.92</v>
      </c>
      <c r="F255" s="116">
        <v>34.450000000000003</v>
      </c>
      <c r="G255">
        <v>1446596</v>
      </c>
      <c r="H255" s="116"/>
      <c r="I255" s="116"/>
      <c r="L255" s="170">
        <v>42375</v>
      </c>
      <c r="M255" s="116">
        <v>6.9</v>
      </c>
      <c r="N255" s="116">
        <v>7.03</v>
      </c>
      <c r="O255" s="116">
        <v>6.72</v>
      </c>
      <c r="P255" s="116">
        <v>6.91</v>
      </c>
      <c r="Q255" s="116">
        <v>34.5</v>
      </c>
      <c r="R255">
        <v>12298429</v>
      </c>
    </row>
    <row r="256" spans="1:18" x14ac:dyDescent="0.25">
      <c r="A256" s="170">
        <v>42376</v>
      </c>
      <c r="B256" s="116">
        <v>6.77</v>
      </c>
      <c r="C256" s="116">
        <v>6.41</v>
      </c>
      <c r="D256" s="116">
        <v>6.28</v>
      </c>
      <c r="E256" s="116">
        <v>6.77</v>
      </c>
      <c r="F256" s="116">
        <v>32.049999999999997</v>
      </c>
      <c r="G256">
        <v>1377266</v>
      </c>
      <c r="H256" s="116"/>
      <c r="I256" s="116"/>
      <c r="L256" s="170">
        <v>42376</v>
      </c>
      <c r="M256" s="116">
        <v>6.4</v>
      </c>
      <c r="N256" s="116">
        <v>6.76</v>
      </c>
      <c r="O256" s="116">
        <v>6.26</v>
      </c>
      <c r="P256" s="116">
        <v>6.76</v>
      </c>
      <c r="Q256" s="116">
        <v>32</v>
      </c>
      <c r="R256">
        <v>10495393</v>
      </c>
    </row>
    <row r="257" spans="1:18" x14ac:dyDescent="0.25">
      <c r="A257" s="170">
        <v>42377</v>
      </c>
      <c r="B257" s="116">
        <v>6.74</v>
      </c>
      <c r="C257" s="116">
        <v>6.68</v>
      </c>
      <c r="D257" s="116">
        <v>6.51</v>
      </c>
      <c r="E257" s="116">
        <v>6.52</v>
      </c>
      <c r="F257" s="116">
        <v>33.4</v>
      </c>
      <c r="G257">
        <v>974718</v>
      </c>
      <c r="H257" s="116"/>
      <c r="I257" s="116"/>
      <c r="L257" s="170">
        <v>42377</v>
      </c>
      <c r="M257" s="116">
        <v>6.69</v>
      </c>
      <c r="N257" s="116">
        <v>6.76</v>
      </c>
      <c r="O257" s="116">
        <v>6.5</v>
      </c>
      <c r="P257" s="116">
        <v>6.56</v>
      </c>
      <c r="Q257" s="116">
        <v>33.450000000000003</v>
      </c>
      <c r="R257">
        <v>6896805</v>
      </c>
    </row>
    <row r="258" spans="1:18" x14ac:dyDescent="0.25">
      <c r="A258" s="170">
        <v>42380</v>
      </c>
      <c r="B258" s="116">
        <v>6.77</v>
      </c>
      <c r="C258" s="116">
        <v>6.65</v>
      </c>
      <c r="D258" s="116">
        <v>6.42</v>
      </c>
      <c r="E258" s="116">
        <v>6.6</v>
      </c>
      <c r="F258" s="116">
        <v>33.25</v>
      </c>
      <c r="G258">
        <v>950760</v>
      </c>
      <c r="H258" s="116"/>
      <c r="I258" s="116"/>
      <c r="L258" s="170">
        <v>42380</v>
      </c>
      <c r="M258" s="116">
        <v>6.66</v>
      </c>
      <c r="N258" s="116">
        <v>6.77</v>
      </c>
      <c r="O258" s="116">
        <v>6.41</v>
      </c>
      <c r="P258" s="116">
        <v>6.56</v>
      </c>
      <c r="Q258" s="116">
        <v>33.299999999999997</v>
      </c>
      <c r="R258">
        <v>6843232</v>
      </c>
    </row>
    <row r="259" spans="1:18" x14ac:dyDescent="0.25">
      <c r="A259" s="170">
        <v>42381</v>
      </c>
      <c r="B259" s="116">
        <v>6.8</v>
      </c>
      <c r="C259" s="116">
        <v>6.59</v>
      </c>
      <c r="D259" s="116">
        <v>6.49</v>
      </c>
      <c r="E259" s="116">
        <v>6.69</v>
      </c>
      <c r="F259" s="116">
        <v>32.950000000000003</v>
      </c>
      <c r="G259">
        <v>976469</v>
      </c>
      <c r="H259" s="116"/>
      <c r="I259" s="116"/>
      <c r="L259" s="170">
        <v>42381</v>
      </c>
      <c r="M259" s="116">
        <v>6.6</v>
      </c>
      <c r="N259" s="116">
        <v>6.81</v>
      </c>
      <c r="O259" s="116">
        <v>6.48</v>
      </c>
      <c r="P259" s="116">
        <v>6.68</v>
      </c>
      <c r="Q259" s="116">
        <v>33</v>
      </c>
      <c r="R259">
        <v>6045112</v>
      </c>
    </row>
    <row r="260" spans="1:18" x14ac:dyDescent="0.25">
      <c r="A260" s="170">
        <v>42382</v>
      </c>
      <c r="B260" s="116">
        <v>6.79</v>
      </c>
      <c r="C260" s="116">
        <v>6.46</v>
      </c>
      <c r="D260" s="116">
        <v>6.16</v>
      </c>
      <c r="E260" s="116">
        <v>6.79</v>
      </c>
      <c r="F260" s="116">
        <v>32.299999999999997</v>
      </c>
      <c r="G260">
        <v>1442610</v>
      </c>
      <c r="H260" s="116"/>
      <c r="I260" s="116"/>
      <c r="L260" s="170">
        <v>42382</v>
      </c>
      <c r="M260" s="116">
        <v>6.45</v>
      </c>
      <c r="N260" s="116">
        <v>6.75</v>
      </c>
      <c r="O260" s="116">
        <v>6.15</v>
      </c>
      <c r="P260" s="116">
        <v>6.69</v>
      </c>
      <c r="Q260" s="116">
        <v>32.25</v>
      </c>
      <c r="R260">
        <v>9565557</v>
      </c>
    </row>
    <row r="261" spans="1:18" x14ac:dyDescent="0.25">
      <c r="A261" s="170">
        <v>42383</v>
      </c>
      <c r="B261" s="116">
        <v>6.48</v>
      </c>
      <c r="C261" s="116">
        <v>6.24</v>
      </c>
      <c r="D261" s="116">
        <v>6.2</v>
      </c>
      <c r="E261" s="116">
        <v>6.24</v>
      </c>
      <c r="F261" s="116">
        <v>31.2</v>
      </c>
      <c r="G261">
        <v>933149</v>
      </c>
      <c r="H261" s="116"/>
      <c r="I261" s="116"/>
      <c r="L261" s="170">
        <v>42383</v>
      </c>
      <c r="M261" s="116">
        <v>6.24</v>
      </c>
      <c r="N261" s="116">
        <v>6.49</v>
      </c>
      <c r="O261" s="116">
        <v>6.18</v>
      </c>
      <c r="P261" s="116">
        <v>6.26</v>
      </c>
      <c r="Q261" s="116">
        <v>31.2</v>
      </c>
      <c r="R261">
        <v>6488521</v>
      </c>
    </row>
    <row r="262" spans="1:18" x14ac:dyDescent="0.25">
      <c r="A262" s="170">
        <v>42384</v>
      </c>
      <c r="B262" s="116">
        <v>6.35</v>
      </c>
      <c r="C262" s="116">
        <v>5.89</v>
      </c>
      <c r="D262" s="116">
        <v>5.83</v>
      </c>
      <c r="E262" s="116">
        <v>6.3</v>
      </c>
      <c r="F262" s="116">
        <v>29.45</v>
      </c>
      <c r="G262">
        <v>1109985</v>
      </c>
      <c r="H262" s="116"/>
      <c r="I262" s="116"/>
      <c r="L262" s="170">
        <v>42384</v>
      </c>
      <c r="M262" s="116">
        <v>5.89</v>
      </c>
      <c r="N262" s="116">
        <v>6.36</v>
      </c>
      <c r="O262" s="116">
        <v>5.82</v>
      </c>
      <c r="P262" s="116">
        <v>6.25</v>
      </c>
      <c r="Q262" s="116">
        <v>29.45</v>
      </c>
      <c r="R262">
        <v>5189549</v>
      </c>
    </row>
    <row r="263" spans="1:18" x14ac:dyDescent="0.25">
      <c r="A263" s="170">
        <v>42387</v>
      </c>
      <c r="B263" s="116">
        <v>5.88</v>
      </c>
      <c r="C263" s="116">
        <v>5.28</v>
      </c>
      <c r="D263" s="116">
        <v>5.16</v>
      </c>
      <c r="E263" s="116">
        <v>5.88</v>
      </c>
      <c r="F263" s="116">
        <v>26.4</v>
      </c>
      <c r="G263">
        <v>2696737</v>
      </c>
      <c r="H263" s="116"/>
      <c r="I263" s="116"/>
      <c r="L263" s="170">
        <v>42387</v>
      </c>
      <c r="M263" s="116">
        <v>5.28</v>
      </c>
      <c r="N263" s="116">
        <v>5.84</v>
      </c>
      <c r="O263" s="116">
        <v>5.18</v>
      </c>
      <c r="P263" s="116">
        <v>5.8</v>
      </c>
      <c r="Q263" s="116">
        <v>26.4</v>
      </c>
      <c r="R263">
        <v>10961981</v>
      </c>
    </row>
    <row r="264" spans="1:18" x14ac:dyDescent="0.25">
      <c r="A264" s="170">
        <v>42388</v>
      </c>
      <c r="B264" s="116">
        <v>5.66</v>
      </c>
      <c r="C264" s="116">
        <v>5.48</v>
      </c>
      <c r="D264" s="116">
        <v>5.24</v>
      </c>
      <c r="E264" s="116">
        <v>5.28</v>
      </c>
      <c r="F264" s="116">
        <v>27.4</v>
      </c>
      <c r="G264">
        <v>1205217</v>
      </c>
      <c r="H264" s="116"/>
      <c r="I264" s="116"/>
      <c r="L264" s="170">
        <v>42388</v>
      </c>
      <c r="M264" s="116">
        <v>5.47</v>
      </c>
      <c r="N264" s="116">
        <v>5.66</v>
      </c>
      <c r="O264" s="116">
        <v>5.23</v>
      </c>
      <c r="P264" s="116">
        <v>5.3</v>
      </c>
      <c r="Q264" s="116">
        <v>27.35</v>
      </c>
      <c r="R264">
        <v>8467456</v>
      </c>
    </row>
    <row r="265" spans="1:18" x14ac:dyDescent="0.25">
      <c r="A265" s="170">
        <v>42389</v>
      </c>
      <c r="B265" s="116">
        <v>5.44</v>
      </c>
      <c r="C265" s="116">
        <v>5.29</v>
      </c>
      <c r="D265" s="116">
        <v>5.08</v>
      </c>
      <c r="E265" s="116">
        <v>5.44</v>
      </c>
      <c r="F265" s="116">
        <v>26.45</v>
      </c>
      <c r="G265">
        <v>1592120</v>
      </c>
      <c r="H265" s="116"/>
      <c r="I265" s="116"/>
      <c r="L265" s="170">
        <v>42389</v>
      </c>
      <c r="M265" s="116">
        <v>5.3</v>
      </c>
      <c r="N265" s="116">
        <v>5.43</v>
      </c>
      <c r="O265" s="116">
        <v>5.0599999999999996</v>
      </c>
      <c r="P265" s="116">
        <v>5.41</v>
      </c>
      <c r="Q265" s="116">
        <v>26.5</v>
      </c>
      <c r="R265">
        <v>8482223</v>
      </c>
    </row>
    <row r="266" spans="1:18" x14ac:dyDescent="0.25">
      <c r="A266" s="170">
        <v>42390</v>
      </c>
      <c r="B266" s="116">
        <v>5.49</v>
      </c>
      <c r="C266" s="116">
        <v>5.31</v>
      </c>
      <c r="D266" s="116">
        <v>5.15</v>
      </c>
      <c r="E266" s="116">
        <v>5.4</v>
      </c>
      <c r="F266" s="116">
        <v>26.55</v>
      </c>
      <c r="G266">
        <v>786980</v>
      </c>
      <c r="H266" s="116"/>
      <c r="I266" s="116"/>
      <c r="L266" s="170">
        <v>42390</v>
      </c>
      <c r="M266" s="116">
        <v>5.31</v>
      </c>
      <c r="N266" s="116">
        <v>5.48</v>
      </c>
      <c r="O266" s="116">
        <v>5.14</v>
      </c>
      <c r="P266" s="116">
        <v>5.4</v>
      </c>
      <c r="Q266" s="116">
        <v>26.55</v>
      </c>
      <c r="R266">
        <v>6730282</v>
      </c>
    </row>
    <row r="267" spans="1:18" x14ac:dyDescent="0.25">
      <c r="A267" s="170">
        <v>42391</v>
      </c>
      <c r="B267" s="116">
        <v>5.57</v>
      </c>
      <c r="C267" s="116">
        <v>5.55</v>
      </c>
      <c r="D267" s="116">
        <v>5.4</v>
      </c>
      <c r="E267" s="116">
        <v>5.48</v>
      </c>
      <c r="F267" s="116">
        <v>27.75</v>
      </c>
      <c r="G267">
        <v>1028942</v>
      </c>
      <c r="H267" s="116"/>
      <c r="I267" s="116"/>
      <c r="L267" s="170">
        <v>42391</v>
      </c>
      <c r="M267" s="116">
        <v>5.55</v>
      </c>
      <c r="N267" s="116">
        <v>5.57</v>
      </c>
      <c r="O267" s="116">
        <v>5.4</v>
      </c>
      <c r="P267" s="116">
        <v>5.54</v>
      </c>
      <c r="Q267" s="116">
        <v>27.75</v>
      </c>
      <c r="R267">
        <v>5837387</v>
      </c>
    </row>
    <row r="268" spans="1:18" x14ac:dyDescent="0.25">
      <c r="A268" s="170">
        <v>42394</v>
      </c>
      <c r="B268" s="116">
        <v>5.72</v>
      </c>
      <c r="C268" s="116">
        <v>5.63</v>
      </c>
      <c r="D268" s="116">
        <v>5.53</v>
      </c>
      <c r="E268" s="116">
        <v>5.66</v>
      </c>
      <c r="F268" s="116">
        <v>28.15</v>
      </c>
      <c r="G268">
        <v>635987</v>
      </c>
      <c r="H268" s="116"/>
      <c r="I268" s="116"/>
      <c r="L268" s="170">
        <v>42394</v>
      </c>
      <c r="M268" s="116">
        <v>5.64</v>
      </c>
      <c r="N268" s="116">
        <v>5.72</v>
      </c>
      <c r="O268" s="116">
        <v>5.51</v>
      </c>
      <c r="P268" s="116">
        <v>5.65</v>
      </c>
      <c r="Q268" s="116">
        <v>28.2</v>
      </c>
      <c r="R268">
        <v>5520084</v>
      </c>
    </row>
    <row r="269" spans="1:18" x14ac:dyDescent="0.25">
      <c r="A269" s="170">
        <v>42396</v>
      </c>
      <c r="B269" s="116">
        <v>5.82</v>
      </c>
      <c r="C269" s="116">
        <v>5.68</v>
      </c>
      <c r="D269" s="116">
        <v>5.65</v>
      </c>
      <c r="E269" s="116">
        <v>5.74</v>
      </c>
      <c r="F269" s="116">
        <v>28.4</v>
      </c>
      <c r="G269">
        <v>819389</v>
      </c>
      <c r="H269" s="116"/>
      <c r="I269" s="116"/>
      <c r="L269" s="170">
        <v>42396</v>
      </c>
      <c r="M269" s="116">
        <v>5.68</v>
      </c>
      <c r="N269" s="116">
        <v>5.82</v>
      </c>
      <c r="O269" s="116">
        <v>5.65</v>
      </c>
      <c r="P269" s="116">
        <v>5.8</v>
      </c>
      <c r="Q269" s="116">
        <v>28.4</v>
      </c>
      <c r="R269">
        <v>5867025</v>
      </c>
    </row>
    <row r="270" spans="1:18" x14ac:dyDescent="0.25">
      <c r="A270" s="170">
        <v>42397</v>
      </c>
      <c r="B270" s="116">
        <v>5.75</v>
      </c>
      <c r="C270" s="116">
        <v>5.67</v>
      </c>
      <c r="D270" s="116">
        <v>5.6</v>
      </c>
      <c r="E270" s="116">
        <v>5.7</v>
      </c>
      <c r="F270" s="116">
        <v>28.35</v>
      </c>
      <c r="G270">
        <v>613720</v>
      </c>
      <c r="H270" s="116"/>
      <c r="I270" s="116"/>
      <c r="L270" s="170">
        <v>42397</v>
      </c>
      <c r="M270" s="116">
        <v>5.66</v>
      </c>
      <c r="N270" s="116">
        <v>5.75</v>
      </c>
      <c r="O270" s="116">
        <v>5.6</v>
      </c>
      <c r="P270" s="116">
        <v>5.7</v>
      </c>
      <c r="Q270" s="116">
        <v>28.3</v>
      </c>
      <c r="R270">
        <v>13207528</v>
      </c>
    </row>
    <row r="271" spans="1:18" x14ac:dyDescent="0.25">
      <c r="A271" s="170">
        <v>42398</v>
      </c>
      <c r="B271" s="116">
        <v>5.79</v>
      </c>
      <c r="C271" s="116">
        <v>5.72</v>
      </c>
      <c r="D271" s="116">
        <v>5.6</v>
      </c>
      <c r="E271" s="116">
        <v>5.63</v>
      </c>
      <c r="F271" s="116">
        <v>28.6</v>
      </c>
      <c r="G271">
        <v>581397</v>
      </c>
      <c r="H271" s="116"/>
      <c r="I271" s="116"/>
      <c r="L271" s="170">
        <v>42398</v>
      </c>
      <c r="M271" s="116">
        <v>5.74</v>
      </c>
      <c r="N271" s="116">
        <v>5.79</v>
      </c>
      <c r="O271" s="116">
        <v>5.6</v>
      </c>
      <c r="P271" s="116">
        <v>5.68</v>
      </c>
      <c r="Q271" s="116">
        <v>28.7</v>
      </c>
      <c r="R271">
        <v>3686216</v>
      </c>
    </row>
    <row r="272" spans="1:18" x14ac:dyDescent="0.25">
      <c r="A272" s="170">
        <v>42401</v>
      </c>
      <c r="B272" s="116">
        <v>5.88</v>
      </c>
      <c r="C272" s="116">
        <v>5.72</v>
      </c>
      <c r="D272" s="116">
        <v>5.68</v>
      </c>
      <c r="E272" s="116">
        <v>5.8</v>
      </c>
      <c r="F272" s="116">
        <v>28.6</v>
      </c>
      <c r="G272">
        <v>616830</v>
      </c>
      <c r="H272" s="116"/>
      <c r="I272" s="116"/>
      <c r="L272" s="170">
        <v>42401</v>
      </c>
      <c r="M272" s="116">
        <v>5.72</v>
      </c>
      <c r="N272" s="116">
        <v>5.88</v>
      </c>
      <c r="O272" s="116">
        <v>5.67</v>
      </c>
      <c r="P272" s="116">
        <v>5.8</v>
      </c>
      <c r="Q272" s="116">
        <v>28.6</v>
      </c>
      <c r="R272">
        <v>4836154</v>
      </c>
    </row>
    <row r="273" spans="1:18" x14ac:dyDescent="0.25">
      <c r="A273" s="170">
        <v>42402</v>
      </c>
      <c r="B273" s="116">
        <v>5.75</v>
      </c>
      <c r="C273" s="116">
        <v>5.46</v>
      </c>
      <c r="D273" s="116">
        <v>5.42</v>
      </c>
      <c r="E273" s="116">
        <v>5.74</v>
      </c>
      <c r="F273" s="116">
        <v>27.3</v>
      </c>
      <c r="G273">
        <v>706943</v>
      </c>
      <c r="H273" s="116"/>
      <c r="I273" s="116"/>
      <c r="L273" s="170">
        <v>42402</v>
      </c>
      <c r="M273" s="116">
        <v>5.45</v>
      </c>
      <c r="N273" s="116">
        <v>5.74</v>
      </c>
      <c r="O273" s="116">
        <v>5.41</v>
      </c>
      <c r="P273" s="116">
        <v>5.71</v>
      </c>
      <c r="Q273" s="116">
        <v>27.25</v>
      </c>
      <c r="R273">
        <v>5547435</v>
      </c>
    </row>
    <row r="274" spans="1:18" x14ac:dyDescent="0.25">
      <c r="A274" s="170">
        <v>42403</v>
      </c>
      <c r="B274" s="116">
        <v>5.39</v>
      </c>
      <c r="C274" s="116">
        <v>5.22</v>
      </c>
      <c r="D274" s="116">
        <v>5.15</v>
      </c>
      <c r="E274" s="116">
        <v>5.35</v>
      </c>
      <c r="F274" s="116">
        <v>26.1</v>
      </c>
      <c r="G274">
        <v>1002492</v>
      </c>
      <c r="H274" s="116"/>
      <c r="I274" s="116"/>
      <c r="L274" s="170">
        <v>42403</v>
      </c>
      <c r="M274" s="116">
        <v>5.21</v>
      </c>
      <c r="N274" s="116">
        <v>5.4</v>
      </c>
      <c r="O274" s="116">
        <v>5.14</v>
      </c>
      <c r="P274" s="116">
        <v>5.4</v>
      </c>
      <c r="Q274" s="116">
        <v>26.05</v>
      </c>
      <c r="R274">
        <v>5802061</v>
      </c>
    </row>
    <row r="275" spans="1:18" x14ac:dyDescent="0.25">
      <c r="A275" s="170">
        <v>42404</v>
      </c>
      <c r="B275" s="116">
        <v>5.37</v>
      </c>
      <c r="C275" s="116">
        <v>5.04</v>
      </c>
      <c r="D275" s="116">
        <v>4.9800000000000004</v>
      </c>
      <c r="E275" s="116">
        <v>5.32</v>
      </c>
      <c r="F275" s="116">
        <v>25.2</v>
      </c>
      <c r="G275">
        <v>1207701</v>
      </c>
      <c r="H275" s="116"/>
      <c r="I275" s="116"/>
      <c r="L275" s="170">
        <v>42404</v>
      </c>
      <c r="M275" s="116">
        <v>5.05</v>
      </c>
      <c r="N275" s="116">
        <v>5.34</v>
      </c>
      <c r="O275" s="116">
        <v>4.96</v>
      </c>
      <c r="P275" s="116">
        <v>5.29</v>
      </c>
      <c r="Q275" s="116">
        <v>25.25</v>
      </c>
      <c r="R275">
        <v>6283749</v>
      </c>
    </row>
    <row r="276" spans="1:18" x14ac:dyDescent="0.25">
      <c r="A276" s="170">
        <v>42405</v>
      </c>
      <c r="B276" s="116">
        <v>5.28</v>
      </c>
      <c r="C276" s="116">
        <v>5.23</v>
      </c>
      <c r="D276" s="116">
        <v>5</v>
      </c>
      <c r="E276" s="116">
        <v>5.12</v>
      </c>
      <c r="F276" s="116">
        <v>26.15</v>
      </c>
      <c r="G276">
        <v>974125</v>
      </c>
      <c r="H276" s="116"/>
      <c r="I276" s="116"/>
      <c r="L276" s="170">
        <v>42405</v>
      </c>
      <c r="M276" s="116">
        <v>5.22</v>
      </c>
      <c r="N276" s="116">
        <v>5.27</v>
      </c>
      <c r="O276" s="116">
        <v>5</v>
      </c>
      <c r="P276" s="116">
        <v>5.12</v>
      </c>
      <c r="Q276" s="116">
        <v>26.1</v>
      </c>
      <c r="R276">
        <v>6666472</v>
      </c>
    </row>
    <row r="277" spans="1:18" x14ac:dyDescent="0.25">
      <c r="A277" s="170">
        <v>42408</v>
      </c>
      <c r="B277" s="116">
        <v>5.36</v>
      </c>
      <c r="C277" s="116">
        <v>5.22</v>
      </c>
      <c r="D277" s="116">
        <v>5.2</v>
      </c>
      <c r="E277" s="116">
        <v>5.23</v>
      </c>
      <c r="F277" s="116">
        <v>26.1</v>
      </c>
      <c r="G277">
        <v>776154</v>
      </c>
      <c r="H277" s="116"/>
      <c r="I277" s="116"/>
      <c r="L277" s="170">
        <v>42408</v>
      </c>
      <c r="M277" s="116">
        <v>5.22</v>
      </c>
      <c r="N277" s="116">
        <v>5.35</v>
      </c>
      <c r="O277" s="116">
        <v>5.2</v>
      </c>
      <c r="P277" s="116">
        <v>5.29</v>
      </c>
      <c r="Q277" s="116">
        <v>26.1</v>
      </c>
      <c r="R277">
        <v>4475648</v>
      </c>
    </row>
    <row r="278" spans="1:18" x14ac:dyDescent="0.25">
      <c r="A278" s="170">
        <v>42409</v>
      </c>
      <c r="B278" s="116">
        <v>5.25</v>
      </c>
      <c r="C278" s="116">
        <v>5.22</v>
      </c>
      <c r="D278" s="116">
        <v>5.0599999999999996</v>
      </c>
      <c r="E278" s="116">
        <v>5.16</v>
      </c>
      <c r="F278" s="116">
        <v>26.1</v>
      </c>
      <c r="G278">
        <v>559857</v>
      </c>
      <c r="H278" s="116"/>
      <c r="I278" s="116"/>
      <c r="L278" s="170">
        <v>42409</v>
      </c>
      <c r="M278" s="116">
        <v>5.22</v>
      </c>
      <c r="N278" s="116">
        <v>5.25</v>
      </c>
      <c r="O278" s="116">
        <v>5.05</v>
      </c>
      <c r="P278" s="116">
        <v>5.17</v>
      </c>
      <c r="Q278" s="116">
        <v>26.1</v>
      </c>
      <c r="R278">
        <v>4141644</v>
      </c>
    </row>
    <row r="279" spans="1:18" x14ac:dyDescent="0.25">
      <c r="A279" s="170">
        <v>42410</v>
      </c>
      <c r="B279" s="116">
        <v>5.22</v>
      </c>
      <c r="C279" s="116">
        <v>5.16</v>
      </c>
      <c r="D279" s="116">
        <v>5.04</v>
      </c>
      <c r="E279" s="116">
        <v>5.19</v>
      </c>
      <c r="F279" s="116">
        <v>25.8</v>
      </c>
      <c r="G279">
        <v>687193</v>
      </c>
      <c r="H279" s="116"/>
      <c r="I279" s="116"/>
      <c r="L279" s="170">
        <v>42410</v>
      </c>
      <c r="M279" s="116">
        <v>5.14</v>
      </c>
      <c r="N279" s="116">
        <v>5.21</v>
      </c>
      <c r="O279" s="116">
        <v>5.04</v>
      </c>
      <c r="P279" s="116">
        <v>5.19</v>
      </c>
      <c r="Q279" s="116">
        <v>25.7</v>
      </c>
      <c r="R279">
        <v>4050218</v>
      </c>
    </row>
    <row r="280" spans="1:18" x14ac:dyDescent="0.25">
      <c r="A280" s="170">
        <v>42411</v>
      </c>
      <c r="B280" s="116">
        <v>5.17</v>
      </c>
      <c r="C280" s="116">
        <v>4.83</v>
      </c>
      <c r="D280" s="116">
        <v>4.76</v>
      </c>
      <c r="E280" s="116">
        <v>5.0999999999999996</v>
      </c>
      <c r="F280" s="116">
        <v>24.15</v>
      </c>
      <c r="G280">
        <v>993395</v>
      </c>
      <c r="H280" s="116"/>
      <c r="I280" s="116"/>
      <c r="L280" s="170">
        <v>42411</v>
      </c>
      <c r="M280" s="116">
        <v>4.82</v>
      </c>
      <c r="N280" s="116">
        <v>5.18</v>
      </c>
      <c r="O280" s="116">
        <v>4.75</v>
      </c>
      <c r="P280" s="116">
        <v>5.12</v>
      </c>
      <c r="Q280" s="116">
        <v>24.1</v>
      </c>
      <c r="R280">
        <v>5314350</v>
      </c>
    </row>
    <row r="281" spans="1:18" x14ac:dyDescent="0.25">
      <c r="A281" s="170">
        <v>42412</v>
      </c>
      <c r="B281" s="116">
        <v>5.04</v>
      </c>
      <c r="C281" s="116">
        <v>4.96</v>
      </c>
      <c r="D281" s="116">
        <v>4.49</v>
      </c>
      <c r="E281" s="116">
        <v>4.91</v>
      </c>
      <c r="F281" s="116">
        <v>24.8</v>
      </c>
      <c r="G281">
        <v>3380894</v>
      </c>
      <c r="H281" s="116"/>
      <c r="I281" s="116"/>
      <c r="L281" s="170">
        <v>42412</v>
      </c>
      <c r="M281" s="116">
        <v>4.95</v>
      </c>
      <c r="N281" s="116">
        <v>5.05</v>
      </c>
      <c r="O281" s="116">
        <v>4.49</v>
      </c>
      <c r="P281" s="116">
        <v>4.84</v>
      </c>
      <c r="Q281" s="116">
        <v>24.75</v>
      </c>
      <c r="R281">
        <v>15031416</v>
      </c>
    </row>
    <row r="282" spans="1:18" x14ac:dyDescent="0.25">
      <c r="A282" s="170">
        <v>42415</v>
      </c>
      <c r="B282" s="116">
        <v>5.49</v>
      </c>
      <c r="C282" s="116">
        <v>5.3</v>
      </c>
      <c r="D282" s="116">
        <v>5.07</v>
      </c>
      <c r="E282" s="116">
        <v>5.14</v>
      </c>
      <c r="F282" s="116">
        <v>26.5</v>
      </c>
      <c r="G282">
        <v>1345019</v>
      </c>
      <c r="H282" s="116"/>
      <c r="I282" s="116"/>
      <c r="L282" s="170">
        <v>42415</v>
      </c>
      <c r="M282" s="116">
        <v>5.3</v>
      </c>
      <c r="N282" s="116">
        <v>5.5</v>
      </c>
      <c r="O282" s="116">
        <v>5.05</v>
      </c>
      <c r="P282" s="116">
        <v>5.14</v>
      </c>
      <c r="Q282" s="116">
        <v>26.5</v>
      </c>
      <c r="R282">
        <v>7091988</v>
      </c>
    </row>
    <row r="283" spans="1:18" x14ac:dyDescent="0.25">
      <c r="A283" s="170">
        <v>42416</v>
      </c>
      <c r="B283" s="116">
        <v>5.71</v>
      </c>
      <c r="C283" s="116">
        <v>5.41</v>
      </c>
      <c r="D283" s="116">
        <v>5.32</v>
      </c>
      <c r="E283" s="116">
        <v>5.48</v>
      </c>
      <c r="F283" s="116">
        <v>27.05</v>
      </c>
      <c r="G283">
        <v>2209130</v>
      </c>
      <c r="H283" s="116"/>
      <c r="I283" s="116"/>
      <c r="L283" s="170">
        <v>42416</v>
      </c>
      <c r="M283" s="116">
        <v>5.41</v>
      </c>
      <c r="N283" s="116">
        <v>5.71</v>
      </c>
      <c r="O283" s="116">
        <v>5.32</v>
      </c>
      <c r="P283" s="116">
        <v>5.4</v>
      </c>
      <c r="Q283" s="116">
        <v>27.05</v>
      </c>
      <c r="R283">
        <v>12224934</v>
      </c>
    </row>
    <row r="284" spans="1:18" x14ac:dyDescent="0.25">
      <c r="A284" s="170">
        <v>42417</v>
      </c>
      <c r="B284" s="116">
        <v>5.58</v>
      </c>
      <c r="C284" s="116">
        <v>5.55</v>
      </c>
      <c r="D284" s="116">
        <v>5.24</v>
      </c>
      <c r="E284" s="116">
        <v>5.42</v>
      </c>
      <c r="F284" s="116">
        <v>27.75</v>
      </c>
      <c r="G284">
        <v>1078915</v>
      </c>
      <c r="H284" s="116"/>
      <c r="I284" s="116"/>
      <c r="L284" s="170">
        <v>42417</v>
      </c>
      <c r="M284" s="116">
        <v>5.55</v>
      </c>
      <c r="N284" s="116">
        <v>5.58</v>
      </c>
      <c r="O284" s="116">
        <v>5.24</v>
      </c>
      <c r="P284" s="116">
        <v>5.44</v>
      </c>
      <c r="Q284" s="116">
        <v>27.75</v>
      </c>
      <c r="R284">
        <v>7125691</v>
      </c>
    </row>
    <row r="285" spans="1:18" x14ac:dyDescent="0.25">
      <c r="A285" s="170">
        <v>42418</v>
      </c>
      <c r="B285" s="116">
        <v>5.71</v>
      </c>
      <c r="C285" s="116">
        <v>5.52</v>
      </c>
      <c r="D285" s="116">
        <v>5.36</v>
      </c>
      <c r="E285" s="116">
        <v>5.6</v>
      </c>
      <c r="F285" s="116">
        <v>27.6</v>
      </c>
      <c r="G285">
        <v>1127989</v>
      </c>
      <c r="H285" s="116"/>
      <c r="I285" s="116"/>
      <c r="L285" s="170">
        <v>42418</v>
      </c>
      <c r="M285" s="116">
        <v>5.52</v>
      </c>
      <c r="N285" s="116">
        <v>5.71</v>
      </c>
      <c r="O285" s="116">
        <v>5.36</v>
      </c>
      <c r="P285" s="116">
        <v>5.6</v>
      </c>
      <c r="Q285" s="116">
        <v>27.6</v>
      </c>
      <c r="R285">
        <v>7193433</v>
      </c>
    </row>
    <row r="286" spans="1:18" x14ac:dyDescent="0.25">
      <c r="A286" s="170">
        <v>42419</v>
      </c>
      <c r="B286" s="116">
        <v>5.59</v>
      </c>
      <c r="C286" s="116">
        <v>5.55</v>
      </c>
      <c r="D286" s="116">
        <v>5.42</v>
      </c>
      <c r="E286" s="116">
        <v>5.42</v>
      </c>
      <c r="F286" s="116">
        <v>27.75</v>
      </c>
      <c r="G286">
        <v>603293</v>
      </c>
      <c r="H286" s="116"/>
      <c r="I286" s="116"/>
      <c r="L286" s="170">
        <v>42419</v>
      </c>
      <c r="M286" s="116">
        <v>5.55</v>
      </c>
      <c r="N286" s="116">
        <v>5.6</v>
      </c>
      <c r="O286" s="116">
        <v>5.43</v>
      </c>
      <c r="P286" s="116">
        <v>5.43</v>
      </c>
      <c r="Q286" s="116">
        <v>27.75</v>
      </c>
      <c r="R286">
        <v>3314146</v>
      </c>
    </row>
    <row r="287" spans="1:18" x14ac:dyDescent="0.25">
      <c r="A287" s="170">
        <v>42422</v>
      </c>
      <c r="B287" s="116">
        <v>5.67</v>
      </c>
      <c r="C287" s="116">
        <v>5.61</v>
      </c>
      <c r="D287" s="116">
        <v>5.51</v>
      </c>
      <c r="E287" s="116">
        <v>5.55</v>
      </c>
      <c r="F287" s="116">
        <v>28.05</v>
      </c>
      <c r="G287">
        <v>738444</v>
      </c>
      <c r="H287" s="116"/>
      <c r="I287" s="116"/>
      <c r="L287" s="170">
        <v>42422</v>
      </c>
      <c r="M287" s="116">
        <v>5.6</v>
      </c>
      <c r="N287" s="116">
        <v>5.67</v>
      </c>
      <c r="O287" s="116">
        <v>5.5</v>
      </c>
      <c r="P287" s="116">
        <v>5.55</v>
      </c>
      <c r="Q287" s="116">
        <v>28</v>
      </c>
      <c r="R287">
        <v>3665325</v>
      </c>
    </row>
    <row r="288" spans="1:18" x14ac:dyDescent="0.25">
      <c r="A288" s="170">
        <v>42423</v>
      </c>
      <c r="B288" s="116">
        <v>5.61</v>
      </c>
      <c r="C288" s="116">
        <v>5.42</v>
      </c>
      <c r="D288" s="116">
        <v>5.38</v>
      </c>
      <c r="E288" s="116">
        <v>5.6</v>
      </c>
      <c r="F288" s="116">
        <v>27.1</v>
      </c>
      <c r="G288">
        <v>879083</v>
      </c>
      <c r="H288" s="116"/>
      <c r="I288" s="116"/>
      <c r="L288" s="170">
        <v>42423</v>
      </c>
      <c r="M288" s="116">
        <v>5.41</v>
      </c>
      <c r="N288" s="116">
        <v>5.6</v>
      </c>
      <c r="O288" s="116">
        <v>5.38</v>
      </c>
      <c r="P288" s="116">
        <v>5.59</v>
      </c>
      <c r="Q288" s="116">
        <v>27.05</v>
      </c>
      <c r="R288">
        <v>5185976</v>
      </c>
    </row>
    <row r="289" spans="1:18" x14ac:dyDescent="0.25">
      <c r="A289" s="170">
        <v>42424</v>
      </c>
      <c r="B289" s="116">
        <v>5.56</v>
      </c>
      <c r="C289" s="116">
        <v>5.51</v>
      </c>
      <c r="D289" s="116">
        <v>5.34</v>
      </c>
      <c r="E289" s="116">
        <v>5.39</v>
      </c>
      <c r="F289" s="116">
        <v>27.55</v>
      </c>
      <c r="G289">
        <v>661946</v>
      </c>
      <c r="H289" s="116"/>
      <c r="I289" s="116"/>
      <c r="L289" s="170">
        <v>42424</v>
      </c>
      <c r="M289" s="116">
        <v>5.51</v>
      </c>
      <c r="N289" s="116">
        <v>5.57</v>
      </c>
      <c r="O289" s="116">
        <v>5.34</v>
      </c>
      <c r="P289" s="116">
        <v>5.4</v>
      </c>
      <c r="Q289" s="116">
        <v>27.55</v>
      </c>
      <c r="R289">
        <v>4105893</v>
      </c>
    </row>
    <row r="290" spans="1:18" x14ac:dyDescent="0.25">
      <c r="A290" s="170">
        <v>42425</v>
      </c>
      <c r="B290" s="116">
        <v>5.63</v>
      </c>
      <c r="C290" s="116">
        <v>5.55</v>
      </c>
      <c r="D290" s="116">
        <v>5.48</v>
      </c>
      <c r="E290" s="116">
        <v>5.56</v>
      </c>
      <c r="F290" s="116">
        <v>27.75</v>
      </c>
      <c r="G290">
        <v>764642</v>
      </c>
      <c r="H290" s="116"/>
      <c r="I290" s="116"/>
      <c r="L290" s="170">
        <v>42425</v>
      </c>
      <c r="M290" s="116">
        <v>5.55</v>
      </c>
      <c r="N290" s="116">
        <v>5.62</v>
      </c>
      <c r="O290" s="116">
        <v>5.47</v>
      </c>
      <c r="P290" s="116">
        <v>5.58</v>
      </c>
      <c r="Q290" s="116">
        <v>27.75</v>
      </c>
      <c r="R290">
        <v>7289396</v>
      </c>
    </row>
    <row r="291" spans="1:18" x14ac:dyDescent="0.25">
      <c r="A291" s="170">
        <v>42426</v>
      </c>
      <c r="B291" s="116">
        <v>5.69</v>
      </c>
      <c r="C291" s="116">
        <v>5.66</v>
      </c>
      <c r="D291" s="116">
        <v>5.49</v>
      </c>
      <c r="E291" s="116">
        <v>5.61</v>
      </c>
      <c r="F291" s="116">
        <v>28.3</v>
      </c>
      <c r="G291">
        <v>889459</v>
      </c>
      <c r="H291" s="116"/>
      <c r="I291" s="116"/>
      <c r="L291" s="170">
        <v>42426</v>
      </c>
      <c r="M291" s="116">
        <v>5.66</v>
      </c>
      <c r="N291" s="116">
        <v>5.7</v>
      </c>
      <c r="O291" s="116">
        <v>5.49</v>
      </c>
      <c r="P291" s="116">
        <v>5.64</v>
      </c>
      <c r="Q291" s="116">
        <v>28.3</v>
      </c>
      <c r="R291">
        <v>7204325</v>
      </c>
    </row>
    <row r="292" spans="1:18" x14ac:dyDescent="0.25">
      <c r="A292" s="170">
        <v>42429</v>
      </c>
      <c r="B292" s="116">
        <v>5.73</v>
      </c>
      <c r="C292" s="116">
        <v>5.5</v>
      </c>
      <c r="D292" s="116">
        <v>5.35</v>
      </c>
      <c r="E292" s="116">
        <v>5.66</v>
      </c>
      <c r="F292" s="116">
        <v>27.5</v>
      </c>
      <c r="G292">
        <v>1179863</v>
      </c>
      <c r="H292" s="116"/>
      <c r="I292" s="116"/>
      <c r="L292" s="170">
        <v>42429</v>
      </c>
      <c r="M292" s="116">
        <v>5.5</v>
      </c>
      <c r="N292" s="116">
        <v>5.74</v>
      </c>
      <c r="O292" s="116">
        <v>5.33</v>
      </c>
      <c r="P292" s="116">
        <v>5.66</v>
      </c>
      <c r="Q292" s="116">
        <v>27.5</v>
      </c>
      <c r="R292">
        <v>6796809</v>
      </c>
    </row>
    <row r="293" spans="1:18" x14ac:dyDescent="0.25">
      <c r="A293" s="170">
        <v>42430</v>
      </c>
      <c r="B293" s="116">
        <v>5.72</v>
      </c>
      <c r="C293" s="116">
        <v>5.69</v>
      </c>
      <c r="D293" s="116">
        <v>5.54</v>
      </c>
      <c r="E293" s="116">
        <v>5.55</v>
      </c>
      <c r="F293" s="116">
        <v>28.45</v>
      </c>
      <c r="G293">
        <v>574041</v>
      </c>
      <c r="H293" s="116"/>
      <c r="I293" s="116"/>
      <c r="L293" s="170">
        <v>42430</v>
      </c>
      <c r="M293" s="116">
        <v>5.7</v>
      </c>
      <c r="N293" s="116">
        <v>5.73</v>
      </c>
      <c r="O293" s="116">
        <v>5.53</v>
      </c>
      <c r="P293" s="116">
        <v>5.53</v>
      </c>
      <c r="Q293" s="116">
        <v>28.5</v>
      </c>
      <c r="R293">
        <v>3790734</v>
      </c>
    </row>
    <row r="294" spans="1:18" x14ac:dyDescent="0.25">
      <c r="A294" s="170">
        <v>42431</v>
      </c>
      <c r="B294" s="116">
        <v>5.97</v>
      </c>
      <c r="C294" s="116">
        <v>5.83</v>
      </c>
      <c r="D294" s="116">
        <v>5.7</v>
      </c>
      <c r="E294" s="116">
        <v>5.7</v>
      </c>
      <c r="F294" s="116">
        <v>29.15</v>
      </c>
      <c r="G294">
        <v>1228400</v>
      </c>
      <c r="H294" s="116"/>
      <c r="I294" s="116"/>
      <c r="L294" s="170">
        <v>42431</v>
      </c>
      <c r="M294" s="116">
        <v>5.83</v>
      </c>
      <c r="N294" s="116">
        <v>5.97</v>
      </c>
      <c r="O294" s="116">
        <v>5.73</v>
      </c>
      <c r="P294" s="116">
        <v>5.79</v>
      </c>
      <c r="Q294" s="116">
        <v>29.15</v>
      </c>
      <c r="R294">
        <v>5882506</v>
      </c>
    </row>
    <row r="295" spans="1:18" x14ac:dyDescent="0.25">
      <c r="A295" s="170">
        <v>42432</v>
      </c>
      <c r="B295" s="116">
        <v>5.94</v>
      </c>
      <c r="C295" s="116">
        <v>5.85</v>
      </c>
      <c r="D295" s="116">
        <v>5.78</v>
      </c>
      <c r="E295" s="116">
        <v>5.94</v>
      </c>
      <c r="F295" s="116">
        <v>29.25</v>
      </c>
      <c r="G295">
        <v>617945</v>
      </c>
      <c r="H295" s="116"/>
      <c r="I295" s="116"/>
      <c r="L295" s="170">
        <v>42432</v>
      </c>
      <c r="M295" s="116">
        <v>5.86</v>
      </c>
      <c r="N295" s="116">
        <v>5.93</v>
      </c>
      <c r="O295" s="116">
        <v>5.78</v>
      </c>
      <c r="P295" s="116">
        <v>5.84</v>
      </c>
      <c r="Q295" s="116">
        <v>29.3</v>
      </c>
      <c r="R295">
        <v>3791187</v>
      </c>
    </row>
    <row r="296" spans="1:18" x14ac:dyDescent="0.25">
      <c r="A296" s="170">
        <v>42433</v>
      </c>
      <c r="B296" s="116">
        <v>6.02</v>
      </c>
      <c r="C296" s="116">
        <v>5.88</v>
      </c>
      <c r="D296" s="116">
        <v>5.83</v>
      </c>
      <c r="E296" s="116">
        <v>5.83</v>
      </c>
      <c r="F296" s="116">
        <v>29.4</v>
      </c>
      <c r="G296">
        <v>776283</v>
      </c>
      <c r="H296" s="116"/>
      <c r="I296" s="116"/>
      <c r="L296" s="170">
        <v>42433</v>
      </c>
      <c r="M296" s="116">
        <v>5.89</v>
      </c>
      <c r="N296" s="116">
        <v>6.02</v>
      </c>
      <c r="O296" s="116">
        <v>5.83</v>
      </c>
      <c r="P296" s="116">
        <v>5.9</v>
      </c>
      <c r="Q296" s="116">
        <v>29.45</v>
      </c>
      <c r="R296">
        <v>4927174</v>
      </c>
    </row>
    <row r="297" spans="1:18" x14ac:dyDescent="0.25">
      <c r="A297" s="170">
        <v>42437</v>
      </c>
      <c r="B297" s="116">
        <v>5.99</v>
      </c>
      <c r="C297" s="116">
        <v>5.93</v>
      </c>
      <c r="D297" s="116">
        <v>5.84</v>
      </c>
      <c r="E297" s="116">
        <v>5.92</v>
      </c>
      <c r="F297" s="116">
        <v>29.65</v>
      </c>
      <c r="G297">
        <v>570838</v>
      </c>
      <c r="H297" s="116"/>
      <c r="I297" s="116"/>
      <c r="L297" s="170">
        <v>42437</v>
      </c>
      <c r="M297" s="116">
        <v>5.94</v>
      </c>
      <c r="N297" s="116">
        <v>5.99</v>
      </c>
      <c r="O297" s="116">
        <v>5.83</v>
      </c>
      <c r="P297" s="116">
        <v>5.87</v>
      </c>
      <c r="Q297" s="116">
        <v>29.7</v>
      </c>
      <c r="R297">
        <v>4022565</v>
      </c>
    </row>
    <row r="298" spans="1:18" x14ac:dyDescent="0.25">
      <c r="A298" s="170">
        <v>42438</v>
      </c>
      <c r="B298" s="116">
        <v>6.08</v>
      </c>
      <c r="C298" s="116">
        <v>6.05</v>
      </c>
      <c r="D298" s="116">
        <v>5.87</v>
      </c>
      <c r="E298" s="116">
        <v>5.92</v>
      </c>
      <c r="F298" s="116">
        <v>30.25</v>
      </c>
      <c r="G298">
        <v>765761</v>
      </c>
      <c r="H298" s="116"/>
      <c r="I298" s="116"/>
      <c r="L298" s="170">
        <v>42438</v>
      </c>
      <c r="M298" s="116">
        <v>6.05</v>
      </c>
      <c r="N298" s="116">
        <v>6.07</v>
      </c>
      <c r="O298" s="116">
        <v>5.82</v>
      </c>
      <c r="P298" s="116">
        <v>5.91</v>
      </c>
      <c r="Q298" s="116">
        <v>30.25</v>
      </c>
      <c r="R298">
        <v>4772765</v>
      </c>
    </row>
    <row r="299" spans="1:18" x14ac:dyDescent="0.25">
      <c r="A299" s="170">
        <v>42439</v>
      </c>
      <c r="B299" s="116">
        <v>6.1</v>
      </c>
      <c r="C299" s="116">
        <v>5.98</v>
      </c>
      <c r="D299" s="116">
        <v>5.94</v>
      </c>
      <c r="E299" s="116">
        <v>6.05</v>
      </c>
      <c r="F299" s="116">
        <v>29.9</v>
      </c>
      <c r="G299">
        <v>499634</v>
      </c>
      <c r="H299" s="116"/>
      <c r="I299" s="116"/>
      <c r="L299" s="170">
        <v>42439</v>
      </c>
      <c r="M299" s="116">
        <v>5.98</v>
      </c>
      <c r="N299" s="116">
        <v>6.1</v>
      </c>
      <c r="O299" s="116">
        <v>5.95</v>
      </c>
      <c r="P299" s="116">
        <v>6.06</v>
      </c>
      <c r="Q299" s="116">
        <v>29.9</v>
      </c>
      <c r="R299">
        <v>3278725</v>
      </c>
    </row>
    <row r="300" spans="1:18" x14ac:dyDescent="0.25">
      <c r="A300" s="170">
        <v>42440</v>
      </c>
      <c r="B300" s="116">
        <v>6.05</v>
      </c>
      <c r="C300" s="116">
        <v>5.98</v>
      </c>
      <c r="D300" s="116">
        <v>5.85</v>
      </c>
      <c r="E300" s="116">
        <v>5.9</v>
      </c>
      <c r="F300" s="116">
        <v>29.9</v>
      </c>
      <c r="G300">
        <v>713626</v>
      </c>
      <c r="H300" s="116"/>
      <c r="I300" s="116"/>
      <c r="L300" s="170">
        <v>42440</v>
      </c>
      <c r="M300" s="116">
        <v>5.97</v>
      </c>
      <c r="N300" s="116">
        <v>6.05</v>
      </c>
      <c r="O300" s="116">
        <v>5.85</v>
      </c>
      <c r="P300" s="116">
        <v>5.96</v>
      </c>
      <c r="Q300" s="116">
        <v>29.85</v>
      </c>
      <c r="R300">
        <v>3943621</v>
      </c>
    </row>
    <row r="301" spans="1:18" x14ac:dyDescent="0.25">
      <c r="A301" s="170">
        <v>42443</v>
      </c>
      <c r="B301" s="116">
        <v>6.06</v>
      </c>
      <c r="C301" s="116">
        <v>6.01</v>
      </c>
      <c r="D301" s="116">
        <v>5.95</v>
      </c>
      <c r="E301" s="116">
        <v>5.97</v>
      </c>
      <c r="F301" s="116">
        <v>30.05</v>
      </c>
      <c r="G301">
        <v>747733</v>
      </c>
      <c r="H301" s="116"/>
      <c r="I301" s="116"/>
      <c r="L301" s="170">
        <v>42443</v>
      </c>
      <c r="M301" s="116">
        <v>6.02</v>
      </c>
      <c r="N301" s="116">
        <v>6.06</v>
      </c>
      <c r="O301" s="116">
        <v>5.95</v>
      </c>
      <c r="P301" s="116">
        <v>6.03</v>
      </c>
      <c r="Q301" s="116">
        <v>30.1</v>
      </c>
      <c r="R301">
        <v>3019002</v>
      </c>
    </row>
    <row r="302" spans="1:18" x14ac:dyDescent="0.25">
      <c r="A302" s="170">
        <v>42444</v>
      </c>
      <c r="B302" s="116">
        <v>6.06</v>
      </c>
      <c r="C302" s="116">
        <v>5.98</v>
      </c>
      <c r="D302" s="116">
        <v>5.94</v>
      </c>
      <c r="E302" s="116">
        <v>5.94</v>
      </c>
      <c r="F302" s="116">
        <v>29.9</v>
      </c>
      <c r="G302">
        <v>636047</v>
      </c>
      <c r="H302" s="116"/>
      <c r="I302" s="116"/>
      <c r="L302" s="170">
        <v>42444</v>
      </c>
      <c r="M302" s="116">
        <v>5.98</v>
      </c>
      <c r="N302" s="116">
        <v>6.06</v>
      </c>
      <c r="O302" s="116">
        <v>5.94</v>
      </c>
      <c r="P302" s="116">
        <v>5.99</v>
      </c>
      <c r="Q302" s="116">
        <v>29.9</v>
      </c>
      <c r="R302">
        <v>3038089</v>
      </c>
    </row>
    <row r="303" spans="1:18" x14ac:dyDescent="0.25">
      <c r="A303" s="170">
        <v>42445</v>
      </c>
      <c r="B303" s="116">
        <v>6.02</v>
      </c>
      <c r="C303" s="116">
        <v>5.97</v>
      </c>
      <c r="D303" s="116">
        <v>5.88</v>
      </c>
      <c r="E303" s="116">
        <v>6.01</v>
      </c>
      <c r="F303" s="116">
        <v>29.85</v>
      </c>
      <c r="G303">
        <v>391903</v>
      </c>
      <c r="H303" s="116"/>
      <c r="I303" s="116"/>
      <c r="L303" s="170">
        <v>42445</v>
      </c>
      <c r="M303" s="116">
        <v>5.97</v>
      </c>
      <c r="N303" s="116">
        <v>6.02</v>
      </c>
      <c r="O303" s="116">
        <v>5.88</v>
      </c>
      <c r="P303" s="116">
        <v>6</v>
      </c>
      <c r="Q303" s="116">
        <v>29.85</v>
      </c>
      <c r="R303">
        <v>2846050</v>
      </c>
    </row>
    <row r="304" spans="1:18" x14ac:dyDescent="0.25">
      <c r="A304" s="170">
        <v>42446</v>
      </c>
      <c r="B304" s="116">
        <v>6.07</v>
      </c>
      <c r="C304" s="116">
        <v>5.99</v>
      </c>
      <c r="D304" s="116">
        <v>5.94</v>
      </c>
      <c r="E304" s="116">
        <v>6</v>
      </c>
      <c r="F304" s="116">
        <v>29.95</v>
      </c>
      <c r="G304">
        <v>399785</v>
      </c>
      <c r="H304" s="116"/>
      <c r="I304" s="116"/>
      <c r="L304" s="170">
        <v>42446</v>
      </c>
      <c r="M304" s="116">
        <v>6</v>
      </c>
      <c r="N304" s="116">
        <v>6.09</v>
      </c>
      <c r="O304" s="116">
        <v>5.97</v>
      </c>
      <c r="P304" s="116">
        <v>6.03</v>
      </c>
      <c r="Q304" s="116">
        <v>30</v>
      </c>
      <c r="R304">
        <v>2131324</v>
      </c>
    </row>
    <row r="305" spans="1:18" x14ac:dyDescent="0.25">
      <c r="A305" s="170">
        <v>42447</v>
      </c>
      <c r="B305" s="116">
        <v>6.09</v>
      </c>
      <c r="C305" s="116">
        <v>6.06</v>
      </c>
      <c r="D305" s="116">
        <v>5.98</v>
      </c>
      <c r="E305" s="116">
        <v>6.02</v>
      </c>
      <c r="F305" s="116">
        <v>30.3</v>
      </c>
      <c r="G305">
        <v>645051</v>
      </c>
      <c r="H305" s="116"/>
      <c r="I305" s="116"/>
      <c r="L305" s="170">
        <v>42447</v>
      </c>
      <c r="M305" s="116">
        <v>6.07</v>
      </c>
      <c r="N305" s="116">
        <v>6.1</v>
      </c>
      <c r="O305" s="116">
        <v>5.98</v>
      </c>
      <c r="P305" s="116">
        <v>6</v>
      </c>
      <c r="Q305" s="116">
        <v>30.35</v>
      </c>
      <c r="R305">
        <v>3447816</v>
      </c>
    </row>
    <row r="306" spans="1:18" x14ac:dyDescent="0.25">
      <c r="A306" s="170">
        <v>42450</v>
      </c>
      <c r="B306" s="116">
        <v>6.25</v>
      </c>
      <c r="C306" s="116">
        <v>6.23</v>
      </c>
      <c r="D306" s="116">
        <v>6.05</v>
      </c>
      <c r="E306" s="116">
        <v>6.07</v>
      </c>
      <c r="F306" s="116">
        <v>31.15</v>
      </c>
      <c r="G306">
        <v>563279</v>
      </c>
      <c r="H306" s="116"/>
      <c r="I306" s="116"/>
      <c r="L306" s="170">
        <v>42450</v>
      </c>
      <c r="M306" s="116">
        <v>6.23</v>
      </c>
      <c r="N306" s="116">
        <v>6.26</v>
      </c>
      <c r="O306" s="116">
        <v>6</v>
      </c>
      <c r="P306" s="116">
        <v>6</v>
      </c>
      <c r="Q306" s="116">
        <v>31.15</v>
      </c>
      <c r="R306">
        <v>3871437</v>
      </c>
    </row>
    <row r="307" spans="1:18" x14ac:dyDescent="0.25">
      <c r="A307" s="170">
        <v>42451</v>
      </c>
      <c r="B307" s="116">
        <v>6.33</v>
      </c>
      <c r="C307" s="116">
        <v>6.29</v>
      </c>
      <c r="D307" s="116">
        <v>6.17</v>
      </c>
      <c r="E307" s="116">
        <v>6.22</v>
      </c>
      <c r="F307" s="116">
        <v>31.45</v>
      </c>
      <c r="G307">
        <v>539128</v>
      </c>
      <c r="H307" s="116"/>
      <c r="I307" s="116"/>
      <c r="L307" s="170">
        <v>42451</v>
      </c>
      <c r="M307" s="116">
        <v>6.29</v>
      </c>
      <c r="N307" s="116">
        <v>6.33</v>
      </c>
      <c r="O307" s="116">
        <v>6.17</v>
      </c>
      <c r="P307" s="116">
        <v>6.24</v>
      </c>
      <c r="Q307" s="116">
        <v>31.45</v>
      </c>
      <c r="R307">
        <v>4476817</v>
      </c>
    </row>
    <row r="308" spans="1:18" x14ac:dyDescent="0.25">
      <c r="A308" s="170">
        <v>42452</v>
      </c>
      <c r="B308" s="116">
        <v>6.4</v>
      </c>
      <c r="C308" s="116">
        <v>6.35</v>
      </c>
      <c r="D308" s="116">
        <v>6.27</v>
      </c>
      <c r="E308" s="116">
        <v>6.29</v>
      </c>
      <c r="F308" s="116">
        <v>31.75</v>
      </c>
      <c r="G308">
        <v>343489</v>
      </c>
      <c r="H308" s="116"/>
      <c r="I308" s="116"/>
      <c r="L308" s="170">
        <v>42452</v>
      </c>
      <c r="M308" s="116">
        <v>6.36</v>
      </c>
      <c r="N308" s="116">
        <v>6.4</v>
      </c>
      <c r="O308" s="116">
        <v>6.27</v>
      </c>
      <c r="P308" s="116">
        <v>6.3</v>
      </c>
      <c r="Q308" s="116">
        <v>31.8</v>
      </c>
      <c r="R308">
        <v>3209287</v>
      </c>
    </row>
    <row r="309" spans="1:18" x14ac:dyDescent="0.25">
      <c r="A309" s="170">
        <v>42457</v>
      </c>
      <c r="B309" s="116">
        <v>6.45</v>
      </c>
      <c r="C309" s="116">
        <v>6.02</v>
      </c>
      <c r="D309" s="116">
        <v>5.97</v>
      </c>
      <c r="E309" s="116">
        <v>6.35</v>
      </c>
      <c r="F309" s="116">
        <v>30.1</v>
      </c>
      <c r="G309">
        <v>1113138</v>
      </c>
      <c r="H309" s="116"/>
      <c r="I309" s="116"/>
      <c r="L309" s="170">
        <v>42457</v>
      </c>
      <c r="M309" s="116">
        <v>6.03</v>
      </c>
      <c r="N309" s="116">
        <v>6.46</v>
      </c>
      <c r="O309" s="116">
        <v>5.96</v>
      </c>
      <c r="P309" s="116">
        <v>6.41</v>
      </c>
      <c r="Q309" s="116">
        <v>30.15</v>
      </c>
      <c r="R309">
        <v>4375653</v>
      </c>
    </row>
    <row r="310" spans="1:18" x14ac:dyDescent="0.25">
      <c r="A310" s="170">
        <v>42458</v>
      </c>
      <c r="B310" s="116">
        <v>6.09</v>
      </c>
      <c r="C310" s="116">
        <v>5.87</v>
      </c>
      <c r="D310" s="116">
        <v>5.75</v>
      </c>
      <c r="E310" s="116">
        <v>6.05</v>
      </c>
      <c r="F310" s="116">
        <v>29.35</v>
      </c>
      <c r="G310">
        <v>881153</v>
      </c>
      <c r="H310" s="116"/>
      <c r="I310" s="116"/>
      <c r="L310" s="170">
        <v>42458</v>
      </c>
      <c r="M310" s="116">
        <v>5.88</v>
      </c>
      <c r="N310" s="116">
        <v>6.1</v>
      </c>
      <c r="O310" s="116">
        <v>5.75</v>
      </c>
      <c r="P310" s="116">
        <v>6.06</v>
      </c>
      <c r="Q310" s="116">
        <v>29.4</v>
      </c>
      <c r="R310">
        <v>4520063</v>
      </c>
    </row>
    <row r="311" spans="1:18" x14ac:dyDescent="0.25">
      <c r="A311" s="170">
        <v>42459</v>
      </c>
      <c r="B311" s="116">
        <v>6.56</v>
      </c>
      <c r="C311" s="116">
        <v>6.51</v>
      </c>
      <c r="D311" s="116">
        <v>5.97</v>
      </c>
      <c r="E311" s="116">
        <v>6.03</v>
      </c>
      <c r="F311" s="116">
        <v>32.549999999999997</v>
      </c>
      <c r="G311">
        <v>1348548</v>
      </c>
      <c r="H311" s="116"/>
      <c r="I311" s="116"/>
      <c r="L311" s="170">
        <v>42459</v>
      </c>
      <c r="M311" s="116">
        <v>6.52</v>
      </c>
      <c r="N311" s="116">
        <v>6.58</v>
      </c>
      <c r="O311" s="116">
        <v>5.92</v>
      </c>
      <c r="P311" s="116">
        <v>5.99</v>
      </c>
      <c r="Q311" s="116">
        <v>32.6</v>
      </c>
      <c r="R311">
        <v>12139582</v>
      </c>
    </row>
    <row r="312" spans="1:18" x14ac:dyDescent="0.25">
      <c r="A312" s="170">
        <v>42460</v>
      </c>
      <c r="B312" s="116">
        <v>7.15</v>
      </c>
      <c r="C312" s="116">
        <v>6.93</v>
      </c>
      <c r="D312" s="116">
        <v>6.51</v>
      </c>
      <c r="E312" s="116">
        <v>6.51</v>
      </c>
      <c r="F312" s="116">
        <v>34.65</v>
      </c>
      <c r="G312">
        <v>2398730</v>
      </c>
      <c r="H312" s="116"/>
      <c r="I312" s="116"/>
      <c r="L312" s="170">
        <v>42460</v>
      </c>
      <c r="M312" s="116">
        <v>6.89</v>
      </c>
      <c r="N312" s="116">
        <v>7.12</v>
      </c>
      <c r="O312" s="116">
        <v>6.51</v>
      </c>
      <c r="P312" s="116">
        <v>6.55</v>
      </c>
      <c r="Q312" s="116">
        <v>34.450000000000003</v>
      </c>
      <c r="R312">
        <v>27628287</v>
      </c>
    </row>
    <row r="313" spans="1:18" x14ac:dyDescent="0.25">
      <c r="A313" s="170">
        <v>42461</v>
      </c>
      <c r="B313" s="116">
        <v>7.01</v>
      </c>
      <c r="C313" s="116">
        <v>6.95</v>
      </c>
      <c r="D313" s="116">
        <v>6.74</v>
      </c>
      <c r="E313" s="116">
        <v>6.87</v>
      </c>
      <c r="F313" s="116">
        <v>34.75</v>
      </c>
      <c r="G313">
        <v>1195541</v>
      </c>
      <c r="H313" s="116"/>
      <c r="I313" s="116"/>
      <c r="L313" s="170">
        <v>42461</v>
      </c>
      <c r="M313" s="116">
        <v>6.96</v>
      </c>
      <c r="N313" s="116">
        <v>7.02</v>
      </c>
      <c r="O313" s="116">
        <v>6.72</v>
      </c>
      <c r="P313" s="116">
        <v>6.79</v>
      </c>
      <c r="Q313" s="116">
        <v>34.799999999999997</v>
      </c>
      <c r="R313">
        <v>7229127</v>
      </c>
    </row>
    <row r="314" spans="1:18" x14ac:dyDescent="0.25">
      <c r="A314" s="170">
        <v>42464</v>
      </c>
      <c r="B314" s="116">
        <v>7.22</v>
      </c>
      <c r="C314" s="116">
        <v>7.03</v>
      </c>
      <c r="D314" s="116">
        <v>6.98</v>
      </c>
      <c r="E314" s="116">
        <v>7.04</v>
      </c>
      <c r="F314" s="116">
        <v>35.15</v>
      </c>
      <c r="G314">
        <v>1315429</v>
      </c>
      <c r="H314" s="116"/>
      <c r="I314" s="116"/>
      <c r="L314" s="170">
        <v>42464</v>
      </c>
      <c r="M314" s="116">
        <v>7.04</v>
      </c>
      <c r="N314" s="116">
        <v>7.22</v>
      </c>
      <c r="O314" s="116">
        <v>6.99</v>
      </c>
      <c r="P314" s="116">
        <v>7.02</v>
      </c>
      <c r="Q314" s="116">
        <v>35.200000000000003</v>
      </c>
      <c r="R314">
        <v>6787362</v>
      </c>
    </row>
    <row r="315" spans="1:18" x14ac:dyDescent="0.25">
      <c r="A315" s="170">
        <v>42465</v>
      </c>
      <c r="B315" s="116">
        <v>7</v>
      </c>
      <c r="C315" s="116">
        <v>6.77</v>
      </c>
      <c r="D315" s="116">
        <v>6.7</v>
      </c>
      <c r="E315" s="116">
        <v>7</v>
      </c>
      <c r="F315" s="116">
        <v>33.85</v>
      </c>
      <c r="G315">
        <v>1012128</v>
      </c>
      <c r="H315" s="116"/>
      <c r="I315" s="116"/>
      <c r="L315" s="170">
        <v>42465</v>
      </c>
      <c r="M315" s="116">
        <v>6.78</v>
      </c>
      <c r="N315" s="116">
        <v>7.04</v>
      </c>
      <c r="O315" s="116">
        <v>6.71</v>
      </c>
      <c r="P315" s="116">
        <v>7</v>
      </c>
      <c r="Q315" s="116">
        <v>33.9</v>
      </c>
      <c r="R315">
        <v>6869053</v>
      </c>
    </row>
    <row r="316" spans="1:18" x14ac:dyDescent="0.25">
      <c r="A316" s="170">
        <v>42466</v>
      </c>
      <c r="B316" s="116">
        <v>6.91</v>
      </c>
      <c r="C316" s="116">
        <v>6.84</v>
      </c>
      <c r="D316" s="116">
        <v>6.57</v>
      </c>
      <c r="E316" s="116">
        <v>6.7</v>
      </c>
      <c r="F316" s="116">
        <v>34.200000000000003</v>
      </c>
      <c r="G316">
        <v>892055</v>
      </c>
      <c r="H316" s="116"/>
      <c r="I316" s="116"/>
      <c r="L316" s="170">
        <v>42466</v>
      </c>
      <c r="M316" s="116">
        <v>6.84</v>
      </c>
      <c r="N316" s="116">
        <v>6.92</v>
      </c>
      <c r="O316" s="116">
        <v>6.58</v>
      </c>
      <c r="P316" s="116">
        <v>6.68</v>
      </c>
      <c r="Q316" s="116">
        <v>34.200000000000003</v>
      </c>
      <c r="R316">
        <v>8286632</v>
      </c>
    </row>
    <row r="317" spans="1:18" x14ac:dyDescent="0.25">
      <c r="A317" s="170">
        <v>42467</v>
      </c>
      <c r="B317" s="116">
        <v>7.17</v>
      </c>
      <c r="C317" s="116">
        <v>6.64</v>
      </c>
      <c r="D317" s="116">
        <v>6.04</v>
      </c>
      <c r="E317" s="116">
        <v>6.9</v>
      </c>
      <c r="F317" s="116">
        <v>33.200000000000003</v>
      </c>
      <c r="G317">
        <v>6349038</v>
      </c>
      <c r="H317" s="116"/>
      <c r="I317" s="116"/>
      <c r="L317" s="170">
        <v>42467</v>
      </c>
      <c r="M317" s="116">
        <v>6.64</v>
      </c>
      <c r="N317" s="116">
        <v>7.18</v>
      </c>
      <c r="O317" s="116">
        <v>6.03</v>
      </c>
      <c r="P317" s="116">
        <v>6.88</v>
      </c>
      <c r="Q317" s="116">
        <v>33.200000000000003</v>
      </c>
      <c r="R317">
        <v>50369311</v>
      </c>
    </row>
    <row r="318" spans="1:18" x14ac:dyDescent="0.25">
      <c r="A318" s="170">
        <v>42468</v>
      </c>
      <c r="B318" s="116">
        <v>6.74</v>
      </c>
      <c r="C318" s="116">
        <v>6.71</v>
      </c>
      <c r="D318" s="116">
        <v>6.47</v>
      </c>
      <c r="E318" s="116">
        <v>6.52</v>
      </c>
      <c r="F318" s="116">
        <v>33.549999999999997</v>
      </c>
      <c r="G318">
        <v>936846</v>
      </c>
      <c r="H318" s="116"/>
      <c r="I318" s="116"/>
      <c r="L318" s="170">
        <v>42468</v>
      </c>
      <c r="M318" s="116">
        <v>6.71</v>
      </c>
      <c r="N318" s="116">
        <v>6.75</v>
      </c>
      <c r="O318" s="116">
        <v>6.46</v>
      </c>
      <c r="P318" s="116">
        <v>6.51</v>
      </c>
      <c r="Q318" s="116">
        <v>33.549999999999997</v>
      </c>
      <c r="R318">
        <v>8740106</v>
      </c>
    </row>
    <row r="319" spans="1:18" x14ac:dyDescent="0.25">
      <c r="A319" s="170">
        <v>42471</v>
      </c>
      <c r="B319" s="116">
        <v>6.94</v>
      </c>
      <c r="C319" s="116">
        <v>6.92</v>
      </c>
      <c r="D319" s="116">
        <v>6.7</v>
      </c>
      <c r="E319" s="116">
        <v>6.78</v>
      </c>
      <c r="F319" s="116">
        <v>34.6</v>
      </c>
      <c r="G319">
        <v>1186956</v>
      </c>
      <c r="H319" s="116"/>
      <c r="I319" s="116"/>
      <c r="L319" s="170">
        <v>42471</v>
      </c>
      <c r="M319" s="116">
        <v>6.92</v>
      </c>
      <c r="N319" s="116">
        <v>6.94</v>
      </c>
      <c r="O319" s="116">
        <v>6.7</v>
      </c>
      <c r="P319" s="116">
        <v>6.77</v>
      </c>
      <c r="Q319" s="116">
        <v>34.6</v>
      </c>
      <c r="R319">
        <v>12962610</v>
      </c>
    </row>
    <row r="320" spans="1:18" x14ac:dyDescent="0.25">
      <c r="A320" s="170">
        <v>42472</v>
      </c>
      <c r="B320" s="116">
        <v>7.07</v>
      </c>
      <c r="C320" s="116">
        <v>6.94</v>
      </c>
      <c r="D320" s="116">
        <v>6.82</v>
      </c>
      <c r="E320" s="116">
        <v>6.91</v>
      </c>
      <c r="F320" s="116">
        <v>34.700000000000003</v>
      </c>
      <c r="G320">
        <v>1003351</v>
      </c>
      <c r="H320" s="116"/>
      <c r="I320" s="116"/>
      <c r="L320" s="170">
        <v>42472</v>
      </c>
      <c r="M320" s="116">
        <v>6.95</v>
      </c>
      <c r="N320" s="116">
        <v>7.08</v>
      </c>
      <c r="O320" s="116">
        <v>6.83</v>
      </c>
      <c r="P320" s="116">
        <v>6.93</v>
      </c>
      <c r="Q320" s="116">
        <v>34.75</v>
      </c>
      <c r="R320">
        <v>5798293</v>
      </c>
    </row>
    <row r="321" spans="1:18" x14ac:dyDescent="0.25">
      <c r="A321" s="170">
        <v>42473</v>
      </c>
      <c r="B321" s="116">
        <v>7.07</v>
      </c>
      <c r="C321" s="116">
        <v>6.99</v>
      </c>
      <c r="D321" s="116">
        <v>6.94</v>
      </c>
      <c r="E321" s="116">
        <v>6.98</v>
      </c>
      <c r="F321" s="116">
        <v>34.950000000000003</v>
      </c>
      <c r="G321">
        <v>722625</v>
      </c>
      <c r="H321" s="116"/>
      <c r="I321" s="116"/>
      <c r="L321" s="170">
        <v>42473</v>
      </c>
      <c r="M321" s="116">
        <v>7</v>
      </c>
      <c r="N321" s="116">
        <v>7.08</v>
      </c>
      <c r="O321" s="116">
        <v>6.93</v>
      </c>
      <c r="P321" s="116">
        <v>6.98</v>
      </c>
      <c r="Q321" s="116">
        <v>35</v>
      </c>
      <c r="R321">
        <v>6203311</v>
      </c>
    </row>
    <row r="322" spans="1:18" x14ac:dyDescent="0.25">
      <c r="A322" s="170">
        <v>42478</v>
      </c>
      <c r="B322" s="116">
        <v>7.09</v>
      </c>
      <c r="C322" s="116">
        <v>7.03</v>
      </c>
      <c r="D322" s="116">
        <v>6.85</v>
      </c>
      <c r="E322" s="116">
        <v>6.99</v>
      </c>
      <c r="F322" s="116">
        <v>35.15</v>
      </c>
      <c r="G322">
        <v>826072</v>
      </c>
      <c r="H322" s="116"/>
      <c r="I322" s="116"/>
      <c r="L322" s="170">
        <v>42478</v>
      </c>
      <c r="M322" s="116">
        <v>7.02</v>
      </c>
      <c r="N322" s="116">
        <v>7.1</v>
      </c>
      <c r="O322" s="116">
        <v>6.85</v>
      </c>
      <c r="P322" s="116">
        <v>6.97</v>
      </c>
      <c r="Q322" s="116">
        <v>35.1</v>
      </c>
      <c r="R322">
        <v>10563728</v>
      </c>
    </row>
    <row r="323" spans="1:18" x14ac:dyDescent="0.25">
      <c r="A323" s="170">
        <v>42480</v>
      </c>
      <c r="B323" s="116">
        <v>7.11</v>
      </c>
      <c r="C323" s="116">
        <v>6.91</v>
      </c>
      <c r="D323" s="116">
        <v>6.88</v>
      </c>
      <c r="E323" s="116">
        <v>7.03</v>
      </c>
      <c r="F323" s="116">
        <v>34.549999999999997</v>
      </c>
      <c r="G323">
        <v>908392</v>
      </c>
      <c r="H323" s="116"/>
      <c r="I323" s="116"/>
      <c r="L323" s="170">
        <v>42480</v>
      </c>
      <c r="M323" s="116">
        <v>6.91</v>
      </c>
      <c r="N323" s="116">
        <v>7.11</v>
      </c>
      <c r="O323" s="116">
        <v>6.87</v>
      </c>
      <c r="P323" s="116">
        <v>7.05</v>
      </c>
      <c r="Q323" s="116">
        <v>34.549999999999997</v>
      </c>
      <c r="R323">
        <v>12407333</v>
      </c>
    </row>
    <row r="324" spans="1:18" x14ac:dyDescent="0.25">
      <c r="A324" s="170">
        <v>42481</v>
      </c>
      <c r="B324" s="116">
        <v>6.94</v>
      </c>
      <c r="C324" s="116">
        <v>6.87</v>
      </c>
      <c r="D324" s="116">
        <v>6.82</v>
      </c>
      <c r="E324" s="116">
        <v>6.82</v>
      </c>
      <c r="F324" s="116">
        <v>34.35</v>
      </c>
      <c r="G324">
        <v>578085</v>
      </c>
      <c r="H324" s="116"/>
      <c r="I324" s="116"/>
      <c r="L324" s="170">
        <v>42481</v>
      </c>
      <c r="M324" s="116">
        <v>6.86</v>
      </c>
      <c r="N324" s="116">
        <v>6.96</v>
      </c>
      <c r="O324" s="116">
        <v>6.83</v>
      </c>
      <c r="P324" s="116">
        <v>6.84</v>
      </c>
      <c r="Q324" s="116">
        <v>34.299999999999997</v>
      </c>
      <c r="R324">
        <v>4525770</v>
      </c>
    </row>
    <row r="325" spans="1:18" x14ac:dyDescent="0.25">
      <c r="A325" s="170">
        <v>42482</v>
      </c>
      <c r="B325" s="116">
        <v>6.9</v>
      </c>
      <c r="C325" s="116">
        <v>6.81</v>
      </c>
      <c r="D325" s="116">
        <v>6.78</v>
      </c>
      <c r="E325" s="116">
        <v>6.88</v>
      </c>
      <c r="F325" s="116">
        <v>34.049999999999997</v>
      </c>
      <c r="G325">
        <v>411388</v>
      </c>
      <c r="H325" s="116"/>
      <c r="I325" s="116"/>
      <c r="L325" s="170">
        <v>42482</v>
      </c>
      <c r="M325" s="116">
        <v>6.81</v>
      </c>
      <c r="N325" s="116">
        <v>6.94</v>
      </c>
      <c r="O325" s="116">
        <v>6.79</v>
      </c>
      <c r="P325" s="116">
        <v>6.94</v>
      </c>
      <c r="Q325" s="116">
        <v>34.049999999999997</v>
      </c>
      <c r="R325">
        <v>4201695</v>
      </c>
    </row>
    <row r="326" spans="1:18" x14ac:dyDescent="0.25">
      <c r="A326" s="170">
        <v>42485</v>
      </c>
      <c r="B326" s="116">
        <v>6.81</v>
      </c>
      <c r="C326" s="116">
        <v>6.6</v>
      </c>
      <c r="D326" s="116">
        <v>6.55</v>
      </c>
      <c r="E326" s="116">
        <v>6.74</v>
      </c>
      <c r="F326" s="116">
        <v>33</v>
      </c>
      <c r="G326">
        <v>563702</v>
      </c>
      <c r="H326" s="116"/>
      <c r="I326" s="116"/>
      <c r="L326" s="170">
        <v>42485</v>
      </c>
      <c r="M326" s="116">
        <v>6.59</v>
      </c>
      <c r="N326" s="116">
        <v>6.82</v>
      </c>
      <c r="O326" s="116">
        <v>6.55</v>
      </c>
      <c r="P326" s="116">
        <v>6.81</v>
      </c>
      <c r="Q326" s="116">
        <v>32.950000000000003</v>
      </c>
      <c r="R326">
        <v>7218851</v>
      </c>
    </row>
    <row r="327" spans="1:18" x14ac:dyDescent="0.25">
      <c r="A327" s="170">
        <v>42486</v>
      </c>
      <c r="B327" s="116">
        <v>6.63</v>
      </c>
      <c r="C327" s="116">
        <v>6.55</v>
      </c>
      <c r="D327" s="116">
        <v>6.51</v>
      </c>
      <c r="E327" s="116">
        <v>6.6</v>
      </c>
      <c r="F327" s="116">
        <v>32.75</v>
      </c>
      <c r="G327">
        <v>557683</v>
      </c>
      <c r="H327" s="116"/>
      <c r="I327" s="116"/>
      <c r="L327" s="170">
        <v>42486</v>
      </c>
      <c r="M327" s="116">
        <v>6.55</v>
      </c>
      <c r="N327" s="116">
        <v>6.63</v>
      </c>
      <c r="O327" s="116">
        <v>6.5</v>
      </c>
      <c r="P327" s="116">
        <v>6.52</v>
      </c>
      <c r="Q327" s="116">
        <v>32.75</v>
      </c>
      <c r="R327">
        <v>15674315</v>
      </c>
    </row>
    <row r="328" spans="1:18" x14ac:dyDescent="0.25">
      <c r="A328" s="170">
        <v>42487</v>
      </c>
      <c r="B328" s="116">
        <v>6.59</v>
      </c>
      <c r="C328" s="116">
        <v>6.47</v>
      </c>
      <c r="D328" s="116">
        <v>6.44</v>
      </c>
      <c r="E328" s="116">
        <v>6.55</v>
      </c>
      <c r="F328" s="116">
        <v>32.35</v>
      </c>
      <c r="G328">
        <v>685023</v>
      </c>
      <c r="H328" s="116"/>
      <c r="I328" s="116"/>
      <c r="L328" s="170">
        <v>42487</v>
      </c>
      <c r="M328" s="116">
        <v>6.46</v>
      </c>
      <c r="N328" s="116">
        <v>6.59</v>
      </c>
      <c r="O328" s="116">
        <v>6.42</v>
      </c>
      <c r="P328" s="116">
        <v>6.59</v>
      </c>
      <c r="Q328" s="116">
        <v>32.299999999999997</v>
      </c>
      <c r="R328">
        <v>9093723</v>
      </c>
    </row>
    <row r="329" spans="1:18" x14ac:dyDescent="0.25">
      <c r="A329" s="170">
        <v>42488</v>
      </c>
      <c r="B329" s="116">
        <v>6.51</v>
      </c>
      <c r="C329" s="116">
        <v>6.44</v>
      </c>
      <c r="D329" s="116">
        <v>6.36</v>
      </c>
      <c r="E329" s="116">
        <v>6.46</v>
      </c>
      <c r="F329" s="116">
        <v>32.200000000000003</v>
      </c>
      <c r="G329">
        <v>550079</v>
      </c>
      <c r="H329" s="116"/>
      <c r="I329" s="116"/>
      <c r="L329" s="170">
        <v>42488</v>
      </c>
      <c r="M329" s="116">
        <v>6.44</v>
      </c>
      <c r="N329" s="116">
        <v>6.51</v>
      </c>
      <c r="O329" s="116">
        <v>6.36</v>
      </c>
      <c r="P329" s="116">
        <v>6.5</v>
      </c>
      <c r="Q329" s="116">
        <v>32.200000000000003</v>
      </c>
      <c r="R329">
        <v>15106664</v>
      </c>
    </row>
    <row r="330" spans="1:18" x14ac:dyDescent="0.25">
      <c r="A330" s="170">
        <v>42489</v>
      </c>
      <c r="B330" s="116">
        <v>6.51</v>
      </c>
      <c r="C330" s="116">
        <v>6.41</v>
      </c>
      <c r="D330" s="116">
        <v>6.27</v>
      </c>
      <c r="E330" s="116">
        <v>6.4</v>
      </c>
      <c r="F330" s="116">
        <v>32.049999999999997</v>
      </c>
      <c r="G330">
        <v>704174</v>
      </c>
      <c r="H330" s="116"/>
      <c r="I330" s="116"/>
      <c r="L330" s="170">
        <v>42489</v>
      </c>
      <c r="M330" s="116">
        <v>6.41</v>
      </c>
      <c r="N330" s="116">
        <v>6.5</v>
      </c>
      <c r="O330" s="116">
        <v>6.26</v>
      </c>
      <c r="P330" s="116">
        <v>6.37</v>
      </c>
      <c r="Q330" s="116">
        <v>32.049999999999997</v>
      </c>
      <c r="R330">
        <v>9979453</v>
      </c>
    </row>
    <row r="331" spans="1:18" x14ac:dyDescent="0.25">
      <c r="A331" s="170">
        <v>42492</v>
      </c>
      <c r="B331" s="116">
        <v>6.57</v>
      </c>
      <c r="C331" s="116">
        <v>6.46</v>
      </c>
      <c r="D331" s="116">
        <v>6.32</v>
      </c>
      <c r="E331" s="116">
        <v>6.33</v>
      </c>
      <c r="F331" s="116">
        <v>32.299999999999997</v>
      </c>
      <c r="G331">
        <v>550776</v>
      </c>
      <c r="H331" s="116"/>
      <c r="I331" s="116"/>
      <c r="L331" s="170">
        <v>42492</v>
      </c>
      <c r="M331" s="116">
        <v>6.45</v>
      </c>
      <c r="N331" s="116">
        <v>6.57</v>
      </c>
      <c r="O331" s="116">
        <v>6.31</v>
      </c>
      <c r="P331" s="116">
        <v>6.32</v>
      </c>
      <c r="Q331" s="116">
        <v>32.25</v>
      </c>
      <c r="R331">
        <v>10020851</v>
      </c>
    </row>
    <row r="332" spans="1:18" x14ac:dyDescent="0.25">
      <c r="A332" s="170">
        <v>42493</v>
      </c>
      <c r="B332" s="116">
        <v>6.58</v>
      </c>
      <c r="C332" s="116">
        <v>6.34</v>
      </c>
      <c r="D332" s="116">
        <v>6.3</v>
      </c>
      <c r="E332" s="116">
        <v>6.5</v>
      </c>
      <c r="F332" s="116">
        <v>31.7</v>
      </c>
      <c r="G332">
        <v>1348715</v>
      </c>
      <c r="H332" s="116"/>
      <c r="I332" s="116"/>
      <c r="L332" s="170">
        <v>42493</v>
      </c>
      <c r="M332" s="116">
        <v>6.33</v>
      </c>
      <c r="N332" s="116">
        <v>6.58</v>
      </c>
      <c r="O332" s="116">
        <v>6.29</v>
      </c>
      <c r="P332" s="116">
        <v>6.5</v>
      </c>
      <c r="Q332" s="116">
        <v>31.65</v>
      </c>
      <c r="R332">
        <v>8920429</v>
      </c>
    </row>
    <row r="333" spans="1:18" x14ac:dyDescent="0.25">
      <c r="A333" s="170">
        <v>42494</v>
      </c>
      <c r="B333" s="116">
        <v>6.58</v>
      </c>
      <c r="C333" s="116">
        <v>6.09</v>
      </c>
      <c r="D333" s="116">
        <v>6.02</v>
      </c>
      <c r="E333" s="116">
        <v>6.58</v>
      </c>
      <c r="F333" s="116">
        <v>30.45</v>
      </c>
      <c r="G333">
        <v>2475625</v>
      </c>
      <c r="H333" s="116"/>
      <c r="I333" s="116"/>
      <c r="L333" s="170">
        <v>42494</v>
      </c>
      <c r="M333" s="116">
        <v>6.08</v>
      </c>
      <c r="N333" s="116">
        <v>6.58</v>
      </c>
      <c r="O333" s="116">
        <v>6.03</v>
      </c>
      <c r="P333" s="116">
        <v>6.58</v>
      </c>
      <c r="Q333" s="116">
        <v>30.4</v>
      </c>
      <c r="R333">
        <v>21664833</v>
      </c>
    </row>
    <row r="334" spans="1:18" x14ac:dyDescent="0.25">
      <c r="A334" s="170">
        <v>42495</v>
      </c>
      <c r="B334" s="116">
        <v>6.15</v>
      </c>
      <c r="C334" s="116">
        <v>6.01</v>
      </c>
      <c r="D334" s="116">
        <v>5.86</v>
      </c>
      <c r="E334" s="116">
        <v>6.05</v>
      </c>
      <c r="F334" s="116">
        <v>30.05</v>
      </c>
      <c r="G334">
        <v>1346137</v>
      </c>
      <c r="H334" s="116"/>
      <c r="I334" s="116"/>
      <c r="L334" s="170">
        <v>42495</v>
      </c>
      <c r="M334" s="116">
        <v>6</v>
      </c>
      <c r="N334" s="116">
        <v>6.16</v>
      </c>
      <c r="O334" s="116">
        <v>5.85</v>
      </c>
      <c r="P334" s="116">
        <v>6.11</v>
      </c>
      <c r="Q334" s="116">
        <v>30</v>
      </c>
      <c r="R334">
        <v>11207302</v>
      </c>
    </row>
    <row r="335" spans="1:18" x14ac:dyDescent="0.25">
      <c r="A335" s="170">
        <v>42496</v>
      </c>
      <c r="B335" s="116">
        <v>6.08</v>
      </c>
      <c r="C335" s="116">
        <v>6</v>
      </c>
      <c r="D335" s="116">
        <v>5.92</v>
      </c>
      <c r="E335" s="116">
        <v>5.99</v>
      </c>
      <c r="F335" s="116">
        <v>30</v>
      </c>
      <c r="G335">
        <v>619804</v>
      </c>
      <c r="H335" s="116"/>
      <c r="I335" s="116"/>
      <c r="L335" s="170">
        <v>42496</v>
      </c>
      <c r="M335" s="116">
        <v>6</v>
      </c>
      <c r="N335" s="116">
        <v>6.08</v>
      </c>
      <c r="O335" s="116">
        <v>5.91</v>
      </c>
      <c r="P335" s="116">
        <v>5.99</v>
      </c>
      <c r="Q335" s="116">
        <v>30</v>
      </c>
      <c r="R335">
        <v>5853642</v>
      </c>
    </row>
    <row r="336" spans="1:18" x14ac:dyDescent="0.25">
      <c r="A336" s="170">
        <v>42499</v>
      </c>
      <c r="B336" s="116">
        <v>6.08</v>
      </c>
      <c r="C336" s="116">
        <v>6.04</v>
      </c>
      <c r="D336" s="116">
        <v>5.98</v>
      </c>
      <c r="E336" s="116">
        <v>6.01</v>
      </c>
      <c r="F336" s="116">
        <v>30.2</v>
      </c>
      <c r="G336">
        <v>3019697</v>
      </c>
      <c r="H336" s="116"/>
      <c r="I336" s="116"/>
      <c r="L336" s="170">
        <v>42499</v>
      </c>
      <c r="M336" s="116">
        <v>6.03</v>
      </c>
      <c r="N336" s="116">
        <v>6.1</v>
      </c>
      <c r="O336" s="116">
        <v>5.98</v>
      </c>
      <c r="P336" s="116">
        <v>6.04</v>
      </c>
      <c r="Q336" s="116">
        <v>30.15</v>
      </c>
      <c r="R336">
        <v>8591095</v>
      </c>
    </row>
    <row r="337" spans="1:18" x14ac:dyDescent="0.25">
      <c r="A337" s="170">
        <v>42500</v>
      </c>
      <c r="B337" s="116">
        <v>6.32</v>
      </c>
      <c r="C337" s="116">
        <v>6.01</v>
      </c>
      <c r="D337" s="116">
        <v>5.99</v>
      </c>
      <c r="E337" s="116">
        <v>6.04</v>
      </c>
      <c r="F337" s="116">
        <v>30.05</v>
      </c>
      <c r="G337">
        <v>4240087</v>
      </c>
      <c r="H337" s="116"/>
      <c r="I337" s="116"/>
      <c r="L337" s="170">
        <v>42500</v>
      </c>
      <c r="M337" s="116">
        <v>6.01</v>
      </c>
      <c r="N337" s="116">
        <v>6.33</v>
      </c>
      <c r="O337" s="116">
        <v>5.98</v>
      </c>
      <c r="P337" s="116">
        <v>6.04</v>
      </c>
      <c r="Q337" s="116">
        <v>30.05</v>
      </c>
      <c r="R337">
        <v>18231451</v>
      </c>
    </row>
    <row r="338" spans="1:18" x14ac:dyDescent="0.25">
      <c r="A338" s="170">
        <v>42501</v>
      </c>
      <c r="B338" s="116">
        <v>6.12</v>
      </c>
      <c r="C338" s="116">
        <v>6.02</v>
      </c>
      <c r="D338" s="116">
        <v>5.84</v>
      </c>
      <c r="E338" s="116">
        <v>5.9</v>
      </c>
      <c r="F338" s="116">
        <v>30.1</v>
      </c>
      <c r="G338">
        <v>3113926</v>
      </c>
      <c r="H338" s="116"/>
      <c r="I338" s="116"/>
      <c r="L338" s="170">
        <v>42501</v>
      </c>
      <c r="M338" s="116">
        <v>6.02</v>
      </c>
      <c r="N338" s="116">
        <v>6.12</v>
      </c>
      <c r="O338" s="116">
        <v>5.87</v>
      </c>
      <c r="P338" s="116">
        <v>5.92</v>
      </c>
      <c r="Q338" s="116">
        <v>30.1</v>
      </c>
      <c r="R338">
        <v>10785152</v>
      </c>
    </row>
    <row r="339" spans="1:18" x14ac:dyDescent="0.25">
      <c r="A339" s="170">
        <v>42502</v>
      </c>
      <c r="B339" s="116">
        <v>6.12</v>
      </c>
      <c r="C339" s="116">
        <v>6.05</v>
      </c>
      <c r="D339" s="116">
        <v>6</v>
      </c>
      <c r="E339" s="116">
        <v>6.09</v>
      </c>
      <c r="F339" s="116">
        <v>30.25</v>
      </c>
      <c r="G339">
        <v>2071596</v>
      </c>
      <c r="H339" s="116"/>
      <c r="I339" s="116"/>
      <c r="L339" s="170">
        <v>42502</v>
      </c>
      <c r="M339" s="116">
        <v>6.05</v>
      </c>
      <c r="N339" s="116">
        <v>6.14</v>
      </c>
      <c r="O339" s="116">
        <v>6</v>
      </c>
      <c r="P339" s="116">
        <v>6.14</v>
      </c>
      <c r="Q339" s="116">
        <v>30.25</v>
      </c>
      <c r="R339">
        <v>3984903</v>
      </c>
    </row>
    <row r="340" spans="1:18" x14ac:dyDescent="0.25">
      <c r="A340" s="170">
        <v>42503</v>
      </c>
      <c r="B340" s="116">
        <v>6.05</v>
      </c>
      <c r="C340" s="116">
        <v>5.93</v>
      </c>
      <c r="D340" s="116">
        <v>5.88</v>
      </c>
      <c r="E340" s="116">
        <v>5.96</v>
      </c>
      <c r="F340" s="116">
        <v>29.65</v>
      </c>
      <c r="G340">
        <v>647794</v>
      </c>
      <c r="H340" s="116"/>
      <c r="I340" s="116"/>
      <c r="L340" s="170">
        <v>42503</v>
      </c>
      <c r="M340" s="116">
        <v>5.93</v>
      </c>
      <c r="N340" s="116">
        <v>6.05</v>
      </c>
      <c r="O340" s="116">
        <v>5.88</v>
      </c>
      <c r="P340" s="116">
        <v>5.92</v>
      </c>
      <c r="Q340" s="116">
        <v>29.65</v>
      </c>
      <c r="R340">
        <v>7176310</v>
      </c>
    </row>
    <row r="341" spans="1:18" x14ac:dyDescent="0.25">
      <c r="A341" s="170">
        <v>42506</v>
      </c>
      <c r="B341" s="116">
        <v>6.06</v>
      </c>
      <c r="C341" s="116">
        <v>5.89</v>
      </c>
      <c r="D341" s="116">
        <v>5.84</v>
      </c>
      <c r="E341" s="116">
        <v>5.95</v>
      </c>
      <c r="F341" s="116">
        <v>29.45</v>
      </c>
      <c r="G341">
        <v>663698</v>
      </c>
      <c r="H341" s="116"/>
      <c r="I341" s="116"/>
      <c r="L341" s="170">
        <v>42506</v>
      </c>
      <c r="M341" s="116">
        <v>5.89</v>
      </c>
      <c r="N341" s="116">
        <v>6</v>
      </c>
      <c r="O341" s="116">
        <v>5.84</v>
      </c>
      <c r="P341" s="116">
        <v>5.96</v>
      </c>
      <c r="Q341" s="116">
        <v>29.45</v>
      </c>
      <c r="R341">
        <v>3186961</v>
      </c>
    </row>
    <row r="342" spans="1:18" x14ac:dyDescent="0.25">
      <c r="A342" s="170">
        <v>42507</v>
      </c>
      <c r="B342" s="116">
        <v>5.93</v>
      </c>
      <c r="C342" s="116">
        <v>5.86</v>
      </c>
      <c r="D342" s="116">
        <v>5.83</v>
      </c>
      <c r="E342" s="116">
        <v>5.93</v>
      </c>
      <c r="F342" s="116">
        <v>29.3</v>
      </c>
      <c r="G342">
        <v>402317</v>
      </c>
      <c r="H342" s="116"/>
      <c r="I342" s="116"/>
      <c r="L342" s="170">
        <v>42507</v>
      </c>
      <c r="M342" s="116">
        <v>5.85</v>
      </c>
      <c r="N342" s="116">
        <v>5.95</v>
      </c>
      <c r="O342" s="116">
        <v>5.83</v>
      </c>
      <c r="P342" s="116">
        <v>5.95</v>
      </c>
      <c r="Q342" s="116">
        <v>29.25</v>
      </c>
      <c r="R342">
        <v>3207964</v>
      </c>
    </row>
    <row r="343" spans="1:18" x14ac:dyDescent="0.25">
      <c r="A343" s="170">
        <v>42508</v>
      </c>
      <c r="B343" s="116">
        <v>5.99</v>
      </c>
      <c r="C343" s="116">
        <v>5.97</v>
      </c>
      <c r="D343" s="116">
        <v>5.79</v>
      </c>
      <c r="E343" s="116">
        <v>5.82</v>
      </c>
      <c r="F343" s="116">
        <v>29.85</v>
      </c>
      <c r="G343">
        <v>579266</v>
      </c>
      <c r="H343" s="116"/>
      <c r="I343" s="116"/>
      <c r="L343" s="170">
        <v>42508</v>
      </c>
      <c r="M343" s="116">
        <v>5.97</v>
      </c>
      <c r="N343" s="116">
        <v>6</v>
      </c>
      <c r="O343" s="116">
        <v>5.78</v>
      </c>
      <c r="P343" s="116">
        <v>5.82</v>
      </c>
      <c r="Q343" s="116">
        <v>29.85</v>
      </c>
      <c r="R343">
        <v>4757538</v>
      </c>
    </row>
    <row r="344" spans="1:18" x14ac:dyDescent="0.25">
      <c r="A344" s="170">
        <v>42509</v>
      </c>
      <c r="B344" s="116">
        <v>6</v>
      </c>
      <c r="C344" s="116">
        <v>5.8</v>
      </c>
      <c r="D344" s="116">
        <v>5.74</v>
      </c>
      <c r="E344" s="116">
        <v>5.92</v>
      </c>
      <c r="F344" s="116">
        <v>29</v>
      </c>
      <c r="G344">
        <v>1911642</v>
      </c>
      <c r="H344" s="116"/>
      <c r="I344" s="116"/>
      <c r="L344" s="170">
        <v>42509</v>
      </c>
      <c r="M344" s="116">
        <v>5.79</v>
      </c>
      <c r="N344" s="116">
        <v>5.99</v>
      </c>
      <c r="O344" s="116">
        <v>5.72</v>
      </c>
      <c r="P344" s="116">
        <v>5.87</v>
      </c>
      <c r="Q344" s="116">
        <v>28.95</v>
      </c>
      <c r="R344">
        <v>3973665</v>
      </c>
    </row>
    <row r="345" spans="1:18" x14ac:dyDescent="0.25">
      <c r="A345" s="170">
        <v>42510</v>
      </c>
      <c r="B345" s="116">
        <v>5.84</v>
      </c>
      <c r="C345" s="116">
        <v>5.7</v>
      </c>
      <c r="D345" s="116">
        <v>5.68</v>
      </c>
      <c r="E345" s="116">
        <v>5.81</v>
      </c>
      <c r="F345" s="116">
        <v>28.5</v>
      </c>
      <c r="G345">
        <v>683782</v>
      </c>
      <c r="H345" s="116"/>
      <c r="I345" s="116"/>
      <c r="L345" s="170">
        <v>42510</v>
      </c>
      <c r="M345" s="116">
        <v>5.7</v>
      </c>
      <c r="N345" s="116">
        <v>5.87</v>
      </c>
      <c r="O345" s="116">
        <v>5.68</v>
      </c>
      <c r="P345" s="116">
        <v>5.87</v>
      </c>
      <c r="Q345" s="116">
        <v>28.5</v>
      </c>
      <c r="R345">
        <v>3647723</v>
      </c>
    </row>
    <row r="346" spans="1:18" x14ac:dyDescent="0.25">
      <c r="A346" s="170">
        <v>42513</v>
      </c>
      <c r="B346" s="116">
        <v>5.73</v>
      </c>
      <c r="C346" s="116">
        <v>5.6</v>
      </c>
      <c r="D346" s="116">
        <v>5.59</v>
      </c>
      <c r="E346" s="116">
        <v>5.72</v>
      </c>
      <c r="F346" s="116">
        <v>28</v>
      </c>
      <c r="G346">
        <v>457542</v>
      </c>
      <c r="H346" s="116"/>
      <c r="I346" s="116"/>
      <c r="L346" s="170">
        <v>42513</v>
      </c>
      <c r="M346" s="116">
        <v>5.6</v>
      </c>
      <c r="N346" s="116">
        <v>5.74</v>
      </c>
      <c r="O346" s="116">
        <v>5.58</v>
      </c>
      <c r="P346" s="116">
        <v>5.73</v>
      </c>
      <c r="Q346" s="116">
        <v>28</v>
      </c>
      <c r="R346">
        <v>2392939</v>
      </c>
    </row>
    <row r="347" spans="1:18" x14ac:dyDescent="0.25">
      <c r="A347" s="170">
        <v>42514</v>
      </c>
      <c r="B347" s="116">
        <v>5.67</v>
      </c>
      <c r="C347" s="116">
        <v>5.61</v>
      </c>
      <c r="D347" s="116">
        <v>5.53</v>
      </c>
      <c r="E347" s="116">
        <v>5.63</v>
      </c>
      <c r="F347" s="116">
        <v>28.05</v>
      </c>
      <c r="G347">
        <v>424469</v>
      </c>
      <c r="H347" s="116"/>
      <c r="I347" s="116"/>
      <c r="L347" s="170">
        <v>42514</v>
      </c>
      <c r="M347" s="116">
        <v>5.61</v>
      </c>
      <c r="N347" s="116">
        <v>5.67</v>
      </c>
      <c r="O347" s="116">
        <v>5.53</v>
      </c>
      <c r="P347" s="116">
        <v>5.67</v>
      </c>
      <c r="Q347" s="116">
        <v>28.05</v>
      </c>
      <c r="R347">
        <v>2874295</v>
      </c>
    </row>
    <row r="348" spans="1:18" x14ac:dyDescent="0.25">
      <c r="A348" s="170">
        <v>42515</v>
      </c>
      <c r="B348" s="116">
        <v>5.77</v>
      </c>
      <c r="C348" s="116">
        <v>5.72</v>
      </c>
      <c r="D348" s="116">
        <v>5.64</v>
      </c>
      <c r="E348" s="116">
        <v>5.64</v>
      </c>
      <c r="F348" s="116">
        <v>28.6</v>
      </c>
      <c r="G348">
        <v>346128</v>
      </c>
      <c r="H348" s="116"/>
      <c r="I348" s="116"/>
      <c r="L348" s="170">
        <v>42515</v>
      </c>
      <c r="M348" s="116">
        <v>5.72</v>
      </c>
      <c r="N348" s="116">
        <v>5.78</v>
      </c>
      <c r="O348" s="116">
        <v>5.62</v>
      </c>
      <c r="P348" s="116">
        <v>5.66</v>
      </c>
      <c r="Q348" s="116">
        <v>28.6</v>
      </c>
      <c r="R348">
        <v>3334576</v>
      </c>
    </row>
    <row r="349" spans="1:18" x14ac:dyDescent="0.25">
      <c r="A349" s="170">
        <v>42516</v>
      </c>
      <c r="B349" s="116">
        <v>6.29</v>
      </c>
      <c r="C349" s="116">
        <v>6.2</v>
      </c>
      <c r="D349" s="116">
        <v>5.78</v>
      </c>
      <c r="E349" s="116">
        <v>5.8</v>
      </c>
      <c r="F349" s="116">
        <v>31</v>
      </c>
      <c r="G349">
        <v>1344900</v>
      </c>
      <c r="H349" s="116"/>
      <c r="I349" s="116"/>
      <c r="L349" s="170">
        <v>42516</v>
      </c>
      <c r="M349" s="116">
        <v>6.17</v>
      </c>
      <c r="N349" s="116">
        <v>6.29</v>
      </c>
      <c r="O349" s="116">
        <v>5.78</v>
      </c>
      <c r="P349" s="116">
        <v>5.78</v>
      </c>
      <c r="Q349" s="116">
        <v>30.85</v>
      </c>
      <c r="R349">
        <v>17218688</v>
      </c>
    </row>
    <row r="350" spans="1:18" x14ac:dyDescent="0.25">
      <c r="A350" s="170">
        <v>42517</v>
      </c>
      <c r="B350" s="116">
        <v>6.2</v>
      </c>
      <c r="C350" s="116">
        <v>6.02</v>
      </c>
      <c r="D350" s="116">
        <v>5.97</v>
      </c>
      <c r="E350" s="116">
        <v>6.2</v>
      </c>
      <c r="F350" s="116">
        <v>30.1</v>
      </c>
      <c r="G350">
        <v>1920759</v>
      </c>
      <c r="H350" s="116"/>
      <c r="I350" s="116"/>
      <c r="L350" s="170">
        <v>42517</v>
      </c>
      <c r="M350" s="116">
        <v>6.01</v>
      </c>
      <c r="N350" s="116">
        <v>6.21</v>
      </c>
      <c r="O350" s="116">
        <v>5.96</v>
      </c>
      <c r="P350" s="116">
        <v>6.17</v>
      </c>
      <c r="Q350" s="116">
        <v>30.05</v>
      </c>
      <c r="R350">
        <v>15700631</v>
      </c>
    </row>
    <row r="351" spans="1:18" x14ac:dyDescent="0.25">
      <c r="A351" s="170">
        <v>42520</v>
      </c>
      <c r="B351" s="116">
        <v>6.1</v>
      </c>
      <c r="C351" s="116">
        <v>6.03</v>
      </c>
      <c r="D351" s="116">
        <v>5.95</v>
      </c>
      <c r="E351" s="116">
        <v>6.03</v>
      </c>
      <c r="F351" s="116">
        <v>30.15</v>
      </c>
      <c r="G351">
        <v>669005</v>
      </c>
      <c r="H351" s="116"/>
      <c r="I351" s="116"/>
      <c r="L351" s="170">
        <v>42520</v>
      </c>
      <c r="M351" s="116">
        <v>6.04</v>
      </c>
      <c r="N351" s="116">
        <v>6.1</v>
      </c>
      <c r="O351" s="116">
        <v>5.95</v>
      </c>
      <c r="P351" s="116">
        <v>6.05</v>
      </c>
      <c r="Q351" s="116">
        <v>30.2</v>
      </c>
      <c r="R351">
        <v>3815755</v>
      </c>
    </row>
    <row r="352" spans="1:18" x14ac:dyDescent="0.25">
      <c r="A352" s="170">
        <v>42521</v>
      </c>
      <c r="B352" s="116">
        <v>6.14</v>
      </c>
      <c r="C352" s="116">
        <v>5.96</v>
      </c>
      <c r="D352" s="116">
        <v>5.86</v>
      </c>
      <c r="E352" s="116">
        <v>6.14</v>
      </c>
      <c r="F352" s="116">
        <v>29.8</v>
      </c>
      <c r="G352">
        <v>697432</v>
      </c>
      <c r="H352" s="116"/>
      <c r="I352" s="116"/>
      <c r="L352" s="170">
        <v>42521</v>
      </c>
      <c r="M352" s="116">
        <v>5.96</v>
      </c>
      <c r="N352" s="116">
        <v>6.12</v>
      </c>
      <c r="O352" s="116">
        <v>5.85</v>
      </c>
      <c r="P352" s="116">
        <v>6.02</v>
      </c>
      <c r="Q352" s="116">
        <v>29.8</v>
      </c>
      <c r="R352">
        <v>4604628</v>
      </c>
    </row>
    <row r="353" spans="1:18" x14ac:dyDescent="0.25">
      <c r="A353" s="170">
        <v>42522</v>
      </c>
      <c r="B353" s="116">
        <v>6.1</v>
      </c>
      <c r="C353" s="116">
        <v>5.95</v>
      </c>
      <c r="D353" s="116">
        <v>5.91</v>
      </c>
      <c r="E353" s="116">
        <v>6.01</v>
      </c>
      <c r="F353" s="116">
        <v>29.75</v>
      </c>
      <c r="G353">
        <v>773806</v>
      </c>
      <c r="H353" s="116"/>
      <c r="I353" s="116"/>
      <c r="L353" s="170">
        <v>42522</v>
      </c>
      <c r="M353" s="116">
        <v>5.95</v>
      </c>
      <c r="N353" s="116">
        <v>6.1</v>
      </c>
      <c r="O353" s="116">
        <v>5.9</v>
      </c>
      <c r="P353" s="116">
        <v>6</v>
      </c>
      <c r="Q353" s="116">
        <v>29.75</v>
      </c>
      <c r="R353">
        <v>5736939</v>
      </c>
    </row>
    <row r="354" spans="1:18" x14ac:dyDescent="0.25">
      <c r="A354" s="170">
        <v>42523</v>
      </c>
      <c r="B354" s="116">
        <v>6.13</v>
      </c>
      <c r="C354" s="116">
        <v>6.04</v>
      </c>
      <c r="D354" s="116">
        <v>6.02</v>
      </c>
      <c r="E354" s="116">
        <v>6.03</v>
      </c>
      <c r="F354" s="116">
        <v>30.2</v>
      </c>
      <c r="G354">
        <v>737077</v>
      </c>
      <c r="H354" s="116"/>
      <c r="I354" s="116"/>
      <c r="L354" s="170">
        <v>42523</v>
      </c>
      <c r="M354" s="116">
        <v>6.04</v>
      </c>
      <c r="N354" s="116">
        <v>6.14</v>
      </c>
      <c r="O354" s="116">
        <v>6.02</v>
      </c>
      <c r="P354" s="116">
        <v>6.04</v>
      </c>
      <c r="Q354" s="116">
        <v>30.2</v>
      </c>
      <c r="R354">
        <v>5926956</v>
      </c>
    </row>
    <row r="355" spans="1:18" x14ac:dyDescent="0.25">
      <c r="A355" s="170">
        <v>42524</v>
      </c>
      <c r="B355" s="116">
        <v>6.09</v>
      </c>
      <c r="C355" s="116">
        <v>5.94</v>
      </c>
      <c r="D355" s="116">
        <v>5.91</v>
      </c>
      <c r="E355" s="116">
        <v>6.09</v>
      </c>
      <c r="F355" s="116">
        <v>29.7</v>
      </c>
      <c r="G355">
        <v>421273</v>
      </c>
      <c r="H355" s="116"/>
      <c r="I355" s="116"/>
      <c r="L355" s="170">
        <v>42524</v>
      </c>
      <c r="M355" s="116">
        <v>5.94</v>
      </c>
      <c r="N355" s="116">
        <v>6.09</v>
      </c>
      <c r="O355" s="116">
        <v>5.91</v>
      </c>
      <c r="P355" s="116">
        <v>6.08</v>
      </c>
      <c r="Q355" s="116">
        <v>29.7</v>
      </c>
      <c r="R355">
        <v>3125787</v>
      </c>
    </row>
    <row r="356" spans="1:18" x14ac:dyDescent="0.25">
      <c r="A356" s="170">
        <v>42527</v>
      </c>
      <c r="B356" s="116">
        <v>5.94</v>
      </c>
      <c r="C356" s="116">
        <v>5.82</v>
      </c>
      <c r="D356" s="116">
        <v>5.75</v>
      </c>
      <c r="E356" s="116">
        <v>5.94</v>
      </c>
      <c r="F356" s="116">
        <v>29.1</v>
      </c>
      <c r="G356">
        <v>620303</v>
      </c>
      <c r="H356" s="116"/>
      <c r="I356" s="116"/>
      <c r="L356" s="170">
        <v>42527</v>
      </c>
      <c r="M356" s="116">
        <v>5.82</v>
      </c>
      <c r="N356" s="116">
        <v>5.94</v>
      </c>
      <c r="O356" s="116">
        <v>5.75</v>
      </c>
      <c r="P356" s="116">
        <v>5.92</v>
      </c>
      <c r="Q356" s="116">
        <v>29.1</v>
      </c>
      <c r="R356">
        <v>3177508</v>
      </c>
    </row>
    <row r="357" spans="1:18" x14ac:dyDescent="0.25">
      <c r="A357" s="170">
        <v>42528</v>
      </c>
      <c r="B357" s="116">
        <v>6.03</v>
      </c>
      <c r="C357" s="116">
        <v>5.99</v>
      </c>
      <c r="D357" s="116">
        <v>5.83</v>
      </c>
      <c r="E357" s="116">
        <v>5.86</v>
      </c>
      <c r="F357" s="116">
        <v>29.95</v>
      </c>
      <c r="G357">
        <v>577836</v>
      </c>
      <c r="H357" s="116"/>
      <c r="I357" s="116"/>
      <c r="L357" s="170">
        <v>42528</v>
      </c>
      <c r="M357" s="116">
        <v>5.99</v>
      </c>
      <c r="N357" s="116">
        <v>6.04</v>
      </c>
      <c r="O357" s="116">
        <v>5.82</v>
      </c>
      <c r="P357" s="116">
        <v>5.86</v>
      </c>
      <c r="Q357" s="116">
        <v>29.95</v>
      </c>
      <c r="R357">
        <v>2760688</v>
      </c>
    </row>
    <row r="358" spans="1:18" x14ac:dyDescent="0.25">
      <c r="A358" s="170">
        <v>42529</v>
      </c>
      <c r="B358" s="116">
        <v>6.25</v>
      </c>
      <c r="C358" s="116">
        <v>6.14</v>
      </c>
      <c r="D358" s="116">
        <v>5.94</v>
      </c>
      <c r="E358" s="116">
        <v>6</v>
      </c>
      <c r="F358" s="116">
        <v>30.7</v>
      </c>
      <c r="G358">
        <v>805545</v>
      </c>
      <c r="H358" s="116"/>
      <c r="I358" s="116"/>
      <c r="L358" s="170">
        <v>42529</v>
      </c>
      <c r="M358" s="116">
        <v>6.14</v>
      </c>
      <c r="N358" s="116">
        <v>6.28</v>
      </c>
      <c r="O358" s="116">
        <v>5.96</v>
      </c>
      <c r="P358" s="116">
        <v>6</v>
      </c>
      <c r="Q358" s="116">
        <v>30.7</v>
      </c>
      <c r="R358">
        <v>4946381</v>
      </c>
    </row>
    <row r="359" spans="1:18" x14ac:dyDescent="0.25">
      <c r="A359" s="170">
        <v>42530</v>
      </c>
      <c r="B359" s="116">
        <v>6.3</v>
      </c>
      <c r="C359" s="116">
        <v>5.98</v>
      </c>
      <c r="D359" s="116">
        <v>5.94</v>
      </c>
      <c r="E359" s="116">
        <v>6.23</v>
      </c>
      <c r="F359" s="116">
        <v>29.9</v>
      </c>
      <c r="G359">
        <v>3895703</v>
      </c>
      <c r="H359" s="116"/>
      <c r="I359" s="116"/>
      <c r="L359" s="170">
        <v>42530</v>
      </c>
      <c r="M359" s="116">
        <v>5.99</v>
      </c>
      <c r="N359" s="116">
        <v>6.28</v>
      </c>
      <c r="O359" s="116">
        <v>5.94</v>
      </c>
      <c r="P359" s="116">
        <v>6.27</v>
      </c>
      <c r="Q359" s="116">
        <v>29.95</v>
      </c>
      <c r="R359">
        <v>18624327</v>
      </c>
    </row>
    <row r="360" spans="1:18" x14ac:dyDescent="0.25">
      <c r="A360" s="170">
        <v>42531</v>
      </c>
      <c r="B360" s="116">
        <v>6.06</v>
      </c>
      <c r="C360" s="116">
        <v>5.94</v>
      </c>
      <c r="D360" s="116">
        <v>5.92</v>
      </c>
      <c r="E360" s="116">
        <v>6</v>
      </c>
      <c r="F360" s="116">
        <v>29.7</v>
      </c>
      <c r="G360">
        <v>811078</v>
      </c>
      <c r="H360" s="116"/>
      <c r="I360" s="116"/>
      <c r="L360" s="170">
        <v>42531</v>
      </c>
      <c r="M360" s="116">
        <v>5.94</v>
      </c>
      <c r="N360" s="116">
        <v>6.06</v>
      </c>
      <c r="O360" s="116">
        <v>5.92</v>
      </c>
      <c r="P360" s="116">
        <v>5.94</v>
      </c>
      <c r="Q360" s="116">
        <v>29.7</v>
      </c>
      <c r="R360">
        <v>4360987</v>
      </c>
    </row>
    <row r="361" spans="1:18" x14ac:dyDescent="0.25">
      <c r="A361" s="170">
        <v>42534</v>
      </c>
      <c r="B361" s="116">
        <v>5.92</v>
      </c>
      <c r="C361" s="116">
        <v>5.87</v>
      </c>
      <c r="D361" s="116">
        <v>5.8</v>
      </c>
      <c r="E361" s="116">
        <v>5.92</v>
      </c>
      <c r="F361" s="116">
        <v>29.35</v>
      </c>
      <c r="G361">
        <v>647877</v>
      </c>
      <c r="H361" s="116"/>
      <c r="I361" s="116"/>
      <c r="L361" s="170">
        <v>42534</v>
      </c>
      <c r="M361" s="116">
        <v>5.88</v>
      </c>
      <c r="N361" s="116">
        <v>5.93</v>
      </c>
      <c r="O361" s="116">
        <v>5.8</v>
      </c>
      <c r="P361" s="116">
        <v>5.89</v>
      </c>
      <c r="Q361" s="116">
        <v>29.4</v>
      </c>
      <c r="R361">
        <v>3301808</v>
      </c>
    </row>
    <row r="362" spans="1:18" x14ac:dyDescent="0.25">
      <c r="A362" s="170">
        <v>42535</v>
      </c>
      <c r="B362" s="116">
        <v>6.05</v>
      </c>
      <c r="C362" s="116">
        <v>6.01</v>
      </c>
      <c r="D362" s="116">
        <v>5.88</v>
      </c>
      <c r="E362" s="116">
        <v>5.91</v>
      </c>
      <c r="F362" s="116">
        <v>30.05</v>
      </c>
      <c r="G362">
        <v>700587</v>
      </c>
      <c r="H362" s="116"/>
      <c r="I362" s="116"/>
      <c r="L362" s="170">
        <v>42535</v>
      </c>
      <c r="M362" s="116">
        <v>6.01</v>
      </c>
      <c r="N362" s="116">
        <v>6.05</v>
      </c>
      <c r="O362" s="116">
        <v>5.88</v>
      </c>
      <c r="P362" s="116">
        <v>5.89</v>
      </c>
      <c r="Q362" s="116">
        <v>30.05</v>
      </c>
      <c r="R362">
        <v>4430783</v>
      </c>
    </row>
    <row r="363" spans="1:18" x14ac:dyDescent="0.25">
      <c r="A363" s="170">
        <v>42536</v>
      </c>
      <c r="B363" s="116">
        <v>6.09</v>
      </c>
      <c r="C363" s="116">
        <v>6.04</v>
      </c>
      <c r="D363" s="116">
        <v>6</v>
      </c>
      <c r="E363" s="116">
        <v>6.09</v>
      </c>
      <c r="F363" s="116">
        <v>30.2</v>
      </c>
      <c r="G363">
        <v>394363</v>
      </c>
      <c r="H363" s="116"/>
      <c r="I363" s="116"/>
      <c r="L363" s="170">
        <v>42536</v>
      </c>
      <c r="M363" s="116">
        <v>6.04</v>
      </c>
      <c r="N363" s="116">
        <v>6.08</v>
      </c>
      <c r="O363" s="116">
        <v>6</v>
      </c>
      <c r="P363" s="116">
        <v>6.05</v>
      </c>
      <c r="Q363" s="116">
        <v>30.2</v>
      </c>
      <c r="R363">
        <v>2938131</v>
      </c>
    </row>
    <row r="364" spans="1:18" x14ac:dyDescent="0.25">
      <c r="A364" s="170">
        <v>42537</v>
      </c>
      <c r="B364" s="116">
        <v>6.04</v>
      </c>
      <c r="C364" s="116">
        <v>5.98</v>
      </c>
      <c r="D364" s="116">
        <v>5.91</v>
      </c>
      <c r="E364" s="116">
        <v>5.98</v>
      </c>
      <c r="F364" s="116">
        <v>29.9</v>
      </c>
      <c r="G364">
        <v>530696</v>
      </c>
      <c r="H364" s="116"/>
      <c r="I364" s="116"/>
      <c r="L364" s="170">
        <v>42537</v>
      </c>
      <c r="M364" s="116">
        <v>5.98</v>
      </c>
      <c r="N364" s="116">
        <v>6.04</v>
      </c>
      <c r="O364" s="116">
        <v>5.9</v>
      </c>
      <c r="P364" s="116">
        <v>6</v>
      </c>
      <c r="Q364" s="116">
        <v>29.9</v>
      </c>
      <c r="R364">
        <v>2873241</v>
      </c>
    </row>
    <row r="365" spans="1:18" x14ac:dyDescent="0.25">
      <c r="A365" s="170">
        <v>42538</v>
      </c>
      <c r="B365" s="116">
        <v>6.06</v>
      </c>
      <c r="C365" s="116">
        <v>5.95</v>
      </c>
      <c r="D365" s="116">
        <v>5.92</v>
      </c>
      <c r="E365" s="116">
        <v>6</v>
      </c>
      <c r="F365" s="116">
        <v>29.75</v>
      </c>
      <c r="G365">
        <v>426973</v>
      </c>
      <c r="H365" s="116"/>
      <c r="I365" s="116"/>
      <c r="L365" s="170">
        <v>42538</v>
      </c>
      <c r="M365" s="116">
        <v>5.96</v>
      </c>
      <c r="N365" s="116">
        <v>6.06</v>
      </c>
      <c r="O365" s="116">
        <v>5.93</v>
      </c>
      <c r="P365" s="116">
        <v>6.02</v>
      </c>
      <c r="Q365" s="116">
        <v>29.8</v>
      </c>
      <c r="R365">
        <v>2351258</v>
      </c>
    </row>
    <row r="366" spans="1:18" x14ac:dyDescent="0.25">
      <c r="A366" s="170">
        <v>42541</v>
      </c>
      <c r="B366" s="116">
        <v>6</v>
      </c>
      <c r="C366" s="116">
        <v>5.95</v>
      </c>
      <c r="D366" s="116">
        <v>5.9</v>
      </c>
      <c r="E366" s="116">
        <v>5.9</v>
      </c>
      <c r="F366" s="116">
        <v>29.75</v>
      </c>
      <c r="G366">
        <v>274876</v>
      </c>
      <c r="H366" s="116"/>
      <c r="I366" s="116"/>
      <c r="L366" s="170">
        <v>42541</v>
      </c>
      <c r="M366" s="116">
        <v>5.94</v>
      </c>
      <c r="N366" s="116">
        <v>6.01</v>
      </c>
      <c r="O366" s="116">
        <v>5.9</v>
      </c>
      <c r="P366" s="116">
        <v>5.91</v>
      </c>
      <c r="Q366" s="116">
        <v>29.7</v>
      </c>
      <c r="R366">
        <v>2145760</v>
      </c>
    </row>
    <row r="367" spans="1:18" x14ac:dyDescent="0.25">
      <c r="A367" s="170">
        <v>42542</v>
      </c>
      <c r="B367" s="116">
        <v>6.09</v>
      </c>
      <c r="C367" s="116">
        <v>6</v>
      </c>
      <c r="D367" s="116">
        <v>5.98</v>
      </c>
      <c r="E367" s="116">
        <v>6.01</v>
      </c>
      <c r="F367" s="116">
        <v>30</v>
      </c>
      <c r="G367">
        <v>548278</v>
      </c>
      <c r="H367" s="116"/>
      <c r="I367" s="116"/>
      <c r="L367" s="170">
        <v>42542</v>
      </c>
      <c r="M367" s="116">
        <v>6</v>
      </c>
      <c r="N367" s="116">
        <v>6.1</v>
      </c>
      <c r="O367" s="116">
        <v>5.96</v>
      </c>
      <c r="P367" s="116">
        <v>6</v>
      </c>
      <c r="Q367" s="116">
        <v>30</v>
      </c>
      <c r="R367">
        <v>3404386</v>
      </c>
    </row>
    <row r="368" spans="1:18" x14ac:dyDescent="0.25">
      <c r="A368" s="170">
        <v>42543</v>
      </c>
      <c r="B368" s="116">
        <v>6.06</v>
      </c>
      <c r="C368" s="116">
        <v>5.91</v>
      </c>
      <c r="D368" s="116">
        <v>5.88</v>
      </c>
      <c r="E368" s="116">
        <v>6</v>
      </c>
      <c r="F368" s="116">
        <v>29.55</v>
      </c>
      <c r="G368">
        <v>421911</v>
      </c>
      <c r="H368" s="116"/>
      <c r="I368" s="116"/>
      <c r="L368" s="170">
        <v>42543</v>
      </c>
      <c r="M368" s="116">
        <v>5.91</v>
      </c>
      <c r="N368" s="116">
        <v>6.06</v>
      </c>
      <c r="O368" s="116">
        <v>5.88</v>
      </c>
      <c r="P368" s="116">
        <v>6</v>
      </c>
      <c r="Q368" s="116">
        <v>29.55</v>
      </c>
      <c r="R368">
        <v>2852607</v>
      </c>
    </row>
    <row r="369" spans="1:18" x14ac:dyDescent="0.25">
      <c r="A369" s="170">
        <v>42544</v>
      </c>
      <c r="B369" s="116">
        <v>5.94</v>
      </c>
      <c r="C369" s="116">
        <v>5.88</v>
      </c>
      <c r="D369" s="116">
        <v>5.82</v>
      </c>
      <c r="E369" s="116">
        <v>5.91</v>
      </c>
      <c r="F369" s="116">
        <v>29.4</v>
      </c>
      <c r="G369">
        <v>445597</v>
      </c>
      <c r="H369" s="116"/>
      <c r="I369" s="116"/>
      <c r="L369" s="170">
        <v>42544</v>
      </c>
      <c r="M369" s="116">
        <v>5.88</v>
      </c>
      <c r="N369" s="116">
        <v>5.95</v>
      </c>
      <c r="O369" s="116">
        <v>5.81</v>
      </c>
      <c r="P369" s="116">
        <v>5.93</v>
      </c>
      <c r="Q369" s="116">
        <v>29.4</v>
      </c>
      <c r="R369">
        <v>2395340</v>
      </c>
    </row>
    <row r="370" spans="1:18" x14ac:dyDescent="0.25">
      <c r="A370" s="170">
        <v>42545</v>
      </c>
      <c r="B370" s="116">
        <v>5.82</v>
      </c>
      <c r="C370" s="116">
        <v>5.78</v>
      </c>
      <c r="D370" s="116">
        <v>5.43</v>
      </c>
      <c r="E370" s="116">
        <v>5.8</v>
      </c>
      <c r="F370" s="116">
        <v>28.9</v>
      </c>
      <c r="G370">
        <v>2187482</v>
      </c>
      <c r="H370" s="116"/>
      <c r="I370" s="116"/>
      <c r="L370" s="170">
        <v>42545</v>
      </c>
      <c r="M370" s="116">
        <v>5.76</v>
      </c>
      <c r="N370" s="116">
        <v>5.79</v>
      </c>
      <c r="O370" s="116">
        <v>5.4</v>
      </c>
      <c r="P370" s="116">
        <v>5.79</v>
      </c>
      <c r="Q370" s="116">
        <v>28.8</v>
      </c>
      <c r="R370">
        <v>5593092</v>
      </c>
    </row>
    <row r="371" spans="1:18" x14ac:dyDescent="0.25">
      <c r="A371" s="170">
        <v>42548</v>
      </c>
      <c r="B371" s="116">
        <v>5.9</v>
      </c>
      <c r="C371" s="116">
        <v>5.87</v>
      </c>
      <c r="D371" s="116">
        <v>5.76</v>
      </c>
      <c r="E371" s="116">
        <v>5.78</v>
      </c>
      <c r="F371" s="116">
        <v>29.35</v>
      </c>
      <c r="G371">
        <v>507459</v>
      </c>
      <c r="H371" s="116"/>
      <c r="I371" s="116"/>
      <c r="L371" s="170">
        <v>42548</v>
      </c>
      <c r="M371" s="116">
        <v>5.87</v>
      </c>
      <c r="N371" s="116">
        <v>5.9</v>
      </c>
      <c r="O371" s="116">
        <v>5.73</v>
      </c>
      <c r="P371" s="116">
        <v>5.75</v>
      </c>
      <c r="Q371" s="116">
        <v>29.35</v>
      </c>
      <c r="R371">
        <v>2577381</v>
      </c>
    </row>
    <row r="372" spans="1:18" x14ac:dyDescent="0.25">
      <c r="A372" s="170">
        <v>42549</v>
      </c>
      <c r="B372" s="116">
        <v>6.13</v>
      </c>
      <c r="C372" s="116">
        <v>6.09</v>
      </c>
      <c r="D372" s="116">
        <v>5.87</v>
      </c>
      <c r="E372" s="116">
        <v>5.87</v>
      </c>
      <c r="F372" s="116">
        <v>30.45</v>
      </c>
      <c r="G372">
        <v>1090750</v>
      </c>
      <c r="H372" s="116"/>
      <c r="I372" s="116"/>
      <c r="L372" s="170">
        <v>42549</v>
      </c>
      <c r="M372" s="116">
        <v>6.09</v>
      </c>
      <c r="N372" s="116">
        <v>6.14</v>
      </c>
      <c r="O372" s="116">
        <v>5.9</v>
      </c>
      <c r="P372" s="116">
        <v>5.9</v>
      </c>
      <c r="Q372" s="116">
        <v>30.45</v>
      </c>
      <c r="R372">
        <v>8024518</v>
      </c>
    </row>
    <row r="373" spans="1:18" x14ac:dyDescent="0.25">
      <c r="A373" s="170">
        <v>42550</v>
      </c>
      <c r="B373" s="116">
        <v>6.13</v>
      </c>
      <c r="C373" s="116">
        <v>6.08</v>
      </c>
      <c r="D373" s="116">
        <v>6</v>
      </c>
      <c r="E373" s="116">
        <v>6.1</v>
      </c>
      <c r="F373" s="116">
        <v>30.4</v>
      </c>
      <c r="G373">
        <v>658830</v>
      </c>
      <c r="H373" s="116"/>
      <c r="I373" s="116"/>
      <c r="L373" s="170">
        <v>42550</v>
      </c>
      <c r="M373" s="116">
        <v>6.09</v>
      </c>
      <c r="N373" s="116">
        <v>6.14</v>
      </c>
      <c r="O373" s="116">
        <v>5.99</v>
      </c>
      <c r="P373" s="116">
        <v>6.06</v>
      </c>
      <c r="Q373" s="116">
        <v>30.45</v>
      </c>
      <c r="R373">
        <v>5192183</v>
      </c>
    </row>
    <row r="374" spans="1:18" x14ac:dyDescent="0.25">
      <c r="A374" s="170">
        <v>42551</v>
      </c>
      <c r="B374" s="116">
        <v>6.2</v>
      </c>
      <c r="C374" s="116">
        <v>6.07</v>
      </c>
      <c r="D374" s="116">
        <v>5.96</v>
      </c>
      <c r="E374" s="116">
        <v>6.16</v>
      </c>
      <c r="F374" s="116">
        <v>30.35</v>
      </c>
      <c r="G374">
        <v>1724177</v>
      </c>
      <c r="H374" s="116"/>
      <c r="I374" s="116"/>
      <c r="L374" s="170">
        <v>42551</v>
      </c>
      <c r="M374" s="116">
        <v>6.1</v>
      </c>
      <c r="N374" s="116">
        <v>6.25</v>
      </c>
      <c r="O374" s="116">
        <v>5.96</v>
      </c>
      <c r="P374" s="116">
        <v>6.13</v>
      </c>
      <c r="Q374" s="116">
        <v>30.5</v>
      </c>
      <c r="R374">
        <v>40498885</v>
      </c>
    </row>
    <row r="375" spans="1:18" x14ac:dyDescent="0.25">
      <c r="A375" s="170">
        <v>42552</v>
      </c>
      <c r="B375" s="116">
        <v>6.16</v>
      </c>
      <c r="C375" s="116">
        <v>6.02</v>
      </c>
      <c r="D375" s="116">
        <v>6</v>
      </c>
      <c r="E375" s="116">
        <v>6.16</v>
      </c>
      <c r="F375" s="116">
        <v>30.1</v>
      </c>
      <c r="G375">
        <v>1888253</v>
      </c>
      <c r="H375" s="116"/>
      <c r="I375" s="116"/>
      <c r="L375" s="170">
        <v>42552</v>
      </c>
      <c r="M375" s="116">
        <v>6.03</v>
      </c>
      <c r="N375" s="116">
        <v>6.15</v>
      </c>
      <c r="O375" s="116">
        <v>6</v>
      </c>
      <c r="P375" s="116">
        <v>6.1</v>
      </c>
      <c r="Q375" s="116">
        <v>30.15</v>
      </c>
      <c r="R375">
        <v>12365496</v>
      </c>
    </row>
    <row r="376" spans="1:18" x14ac:dyDescent="0.25">
      <c r="A376" s="170">
        <v>42555</v>
      </c>
      <c r="B376" s="116">
        <v>6.19</v>
      </c>
      <c r="C376" s="116">
        <v>6.06</v>
      </c>
      <c r="D376" s="116">
        <v>6.02</v>
      </c>
      <c r="E376" s="116">
        <v>6.02</v>
      </c>
      <c r="F376" s="116">
        <v>30.3</v>
      </c>
      <c r="G376">
        <v>1579854</v>
      </c>
      <c r="H376" s="116"/>
      <c r="I376" s="116"/>
      <c r="L376" s="170">
        <v>42555</v>
      </c>
      <c r="M376" s="116">
        <v>6.06</v>
      </c>
      <c r="N376" s="116">
        <v>6.2</v>
      </c>
      <c r="O376" s="116">
        <v>6.04</v>
      </c>
      <c r="P376" s="116">
        <v>6.09</v>
      </c>
      <c r="Q376" s="116">
        <v>30.3</v>
      </c>
      <c r="R376">
        <v>9312466</v>
      </c>
    </row>
    <row r="377" spans="1:18" x14ac:dyDescent="0.25">
      <c r="A377" s="170">
        <v>42556</v>
      </c>
      <c r="B377" s="116">
        <v>6.18</v>
      </c>
      <c r="C377" s="116">
        <v>6.03</v>
      </c>
      <c r="D377" s="116">
        <v>6</v>
      </c>
      <c r="E377" s="116">
        <v>6.09</v>
      </c>
      <c r="F377" s="116">
        <v>30.15</v>
      </c>
      <c r="G377">
        <v>1584304</v>
      </c>
      <c r="H377" s="116"/>
      <c r="I377" s="116"/>
      <c r="L377" s="170">
        <v>42556</v>
      </c>
      <c r="M377" s="116">
        <v>6.03</v>
      </c>
      <c r="N377" s="116">
        <v>6.18</v>
      </c>
      <c r="O377" s="116">
        <v>6</v>
      </c>
      <c r="P377" s="116">
        <v>6.03</v>
      </c>
      <c r="Q377" s="116">
        <v>30.15</v>
      </c>
      <c r="R377">
        <v>8476041</v>
      </c>
    </row>
    <row r="378" spans="1:18" x14ac:dyDescent="0.25">
      <c r="A378" s="170">
        <v>42558</v>
      </c>
      <c r="B378" s="116">
        <v>6.09</v>
      </c>
      <c r="C378" s="116">
        <v>5.99</v>
      </c>
      <c r="D378" s="116">
        <v>5.98</v>
      </c>
      <c r="E378" s="116">
        <v>6.03</v>
      </c>
      <c r="F378" s="116">
        <v>29.95</v>
      </c>
      <c r="G378">
        <v>668859</v>
      </c>
      <c r="H378" s="116"/>
      <c r="I378" s="116"/>
      <c r="L378" s="170">
        <v>42558</v>
      </c>
      <c r="M378" s="116">
        <v>5.99</v>
      </c>
      <c r="N378" s="116">
        <v>6.1</v>
      </c>
      <c r="O378" s="116">
        <v>5.98</v>
      </c>
      <c r="P378" s="116">
        <v>6.06</v>
      </c>
      <c r="Q378" s="116">
        <v>29.95</v>
      </c>
      <c r="R378">
        <v>3453528</v>
      </c>
    </row>
    <row r="379" spans="1:18" x14ac:dyDescent="0.25">
      <c r="A379" s="170">
        <v>42559</v>
      </c>
      <c r="B379" s="116">
        <v>6.01</v>
      </c>
      <c r="C379" s="116">
        <v>5.85</v>
      </c>
      <c r="D379" s="116">
        <v>5.83</v>
      </c>
      <c r="E379" s="116">
        <v>5.91</v>
      </c>
      <c r="F379" s="116">
        <v>29.25</v>
      </c>
      <c r="G379">
        <v>879601</v>
      </c>
      <c r="H379" s="116"/>
      <c r="I379" s="116"/>
      <c r="L379" s="170">
        <v>42559</v>
      </c>
      <c r="M379" s="116">
        <v>5.85</v>
      </c>
      <c r="N379" s="116">
        <v>6.01</v>
      </c>
      <c r="O379" s="116">
        <v>5.82</v>
      </c>
      <c r="P379" s="116">
        <v>6</v>
      </c>
      <c r="Q379" s="116">
        <v>29.25</v>
      </c>
      <c r="R379">
        <v>4458100</v>
      </c>
    </row>
    <row r="380" spans="1:18" x14ac:dyDescent="0.25">
      <c r="A380" s="170">
        <v>42562</v>
      </c>
      <c r="B380" s="116">
        <v>5.96</v>
      </c>
      <c r="C380" s="116">
        <v>5.92</v>
      </c>
      <c r="D380" s="116">
        <v>5.89</v>
      </c>
      <c r="E380" s="116">
        <v>5.96</v>
      </c>
      <c r="F380" s="116">
        <v>29.6</v>
      </c>
      <c r="G380">
        <v>399610</v>
      </c>
      <c r="H380" s="116"/>
      <c r="I380" s="116"/>
      <c r="L380" s="170">
        <v>42562</v>
      </c>
      <c r="M380" s="116">
        <v>5.92</v>
      </c>
      <c r="N380" s="116">
        <v>5.94</v>
      </c>
      <c r="O380" s="116">
        <v>5.88</v>
      </c>
      <c r="P380" s="116">
        <v>5.92</v>
      </c>
      <c r="Q380" s="116">
        <v>29.6</v>
      </c>
      <c r="R380">
        <v>3961868</v>
      </c>
    </row>
    <row r="381" spans="1:18" x14ac:dyDescent="0.25">
      <c r="A381" s="170">
        <v>42563</v>
      </c>
      <c r="B381" s="116">
        <v>5.94</v>
      </c>
      <c r="C381" s="116">
        <v>5.88</v>
      </c>
      <c r="D381" s="116">
        <v>5.82</v>
      </c>
      <c r="E381" s="116">
        <v>5.94</v>
      </c>
      <c r="F381" s="116">
        <v>29.4</v>
      </c>
      <c r="G381">
        <v>589520</v>
      </c>
      <c r="H381" s="116"/>
      <c r="I381" s="116"/>
      <c r="L381" s="170">
        <v>42563</v>
      </c>
      <c r="M381" s="116">
        <v>5.89</v>
      </c>
      <c r="N381" s="116">
        <v>5.95</v>
      </c>
      <c r="O381" s="116">
        <v>5.82</v>
      </c>
      <c r="P381" s="116">
        <v>5.94</v>
      </c>
      <c r="Q381" s="116">
        <v>29.45</v>
      </c>
      <c r="R381">
        <v>4402477</v>
      </c>
    </row>
    <row r="382" spans="1:18" x14ac:dyDescent="0.25">
      <c r="A382" s="170">
        <v>42564</v>
      </c>
      <c r="B382" s="116">
        <v>6.06</v>
      </c>
      <c r="C382" s="116">
        <v>5.93</v>
      </c>
      <c r="D382" s="116">
        <v>5.9</v>
      </c>
      <c r="E382" s="116">
        <v>6</v>
      </c>
      <c r="F382" s="116">
        <v>29.65</v>
      </c>
      <c r="G382">
        <v>1391250</v>
      </c>
      <c r="H382" s="116"/>
      <c r="I382" s="116"/>
      <c r="L382" s="170">
        <v>42564</v>
      </c>
      <c r="M382" s="116">
        <v>5.94</v>
      </c>
      <c r="N382" s="116">
        <v>6.06</v>
      </c>
      <c r="O382" s="116">
        <v>5.91</v>
      </c>
      <c r="P382" s="116">
        <v>6.01</v>
      </c>
      <c r="Q382" s="116">
        <v>29.7</v>
      </c>
      <c r="R382">
        <v>8542121</v>
      </c>
    </row>
    <row r="383" spans="1:18" x14ac:dyDescent="0.25">
      <c r="A383" s="170">
        <v>42565</v>
      </c>
      <c r="B383" s="116">
        <v>5.96</v>
      </c>
      <c r="C383" s="116">
        <v>5.89</v>
      </c>
      <c r="D383" s="116">
        <v>5.87</v>
      </c>
      <c r="E383" s="116">
        <v>5.88</v>
      </c>
      <c r="F383" s="116">
        <v>29.45</v>
      </c>
      <c r="G383">
        <v>682663</v>
      </c>
      <c r="H383" s="116"/>
      <c r="I383" s="116"/>
      <c r="L383" s="170">
        <v>42565</v>
      </c>
      <c r="M383" s="116">
        <v>5.89</v>
      </c>
      <c r="N383" s="116">
        <v>5.96</v>
      </c>
      <c r="O383" s="116">
        <v>5.86</v>
      </c>
      <c r="P383" s="116">
        <v>5.95</v>
      </c>
      <c r="Q383" s="116">
        <v>29.45</v>
      </c>
      <c r="R383">
        <v>3833649</v>
      </c>
    </row>
    <row r="384" spans="1:18" x14ac:dyDescent="0.25">
      <c r="A384" s="170">
        <v>42566</v>
      </c>
      <c r="B384" s="116">
        <v>5.93</v>
      </c>
      <c r="C384" s="116">
        <v>5.78</v>
      </c>
      <c r="D384" s="116">
        <v>5.76</v>
      </c>
      <c r="E384" s="116">
        <v>5.93</v>
      </c>
      <c r="F384" s="116">
        <v>28.9</v>
      </c>
      <c r="G384">
        <v>906113</v>
      </c>
      <c r="H384" s="116"/>
      <c r="I384" s="116"/>
      <c r="L384" s="170">
        <v>42566</v>
      </c>
      <c r="M384" s="116">
        <v>5.78</v>
      </c>
      <c r="N384" s="116">
        <v>5.93</v>
      </c>
      <c r="O384" s="116">
        <v>5.76</v>
      </c>
      <c r="P384" s="116">
        <v>5.92</v>
      </c>
      <c r="Q384" s="116">
        <v>28.9</v>
      </c>
      <c r="R384">
        <v>6104077</v>
      </c>
    </row>
    <row r="385" spans="1:18" x14ac:dyDescent="0.25">
      <c r="A385" s="170">
        <v>42569</v>
      </c>
      <c r="B385" s="116">
        <v>5.83</v>
      </c>
      <c r="C385" s="116">
        <v>5.66</v>
      </c>
      <c r="D385" s="116">
        <v>5.63</v>
      </c>
      <c r="E385" s="116">
        <v>5.82</v>
      </c>
      <c r="F385" s="116">
        <v>28.3</v>
      </c>
      <c r="G385">
        <v>1029524</v>
      </c>
      <c r="H385" s="116"/>
      <c r="I385" s="116"/>
      <c r="L385" s="170">
        <v>42569</v>
      </c>
      <c r="M385" s="116">
        <v>5.65</v>
      </c>
      <c r="N385" s="116">
        <v>5.84</v>
      </c>
      <c r="O385" s="116">
        <v>5.63</v>
      </c>
      <c r="P385" s="116">
        <v>5.83</v>
      </c>
      <c r="Q385" s="116">
        <v>28.25</v>
      </c>
      <c r="R385">
        <v>5761433</v>
      </c>
    </row>
    <row r="386" spans="1:18" x14ac:dyDescent="0.25">
      <c r="A386" s="170">
        <v>42570</v>
      </c>
      <c r="B386" s="116">
        <v>5.74</v>
      </c>
      <c r="C386" s="116">
        <v>5.68</v>
      </c>
      <c r="D386" s="116">
        <v>5.62</v>
      </c>
      <c r="E386" s="116">
        <v>5.74</v>
      </c>
      <c r="F386" s="116">
        <v>28.4</v>
      </c>
      <c r="G386">
        <v>762673</v>
      </c>
      <c r="H386" s="116"/>
      <c r="I386" s="116"/>
      <c r="L386" s="170">
        <v>42570</v>
      </c>
      <c r="M386" s="116">
        <v>5.67</v>
      </c>
      <c r="N386" s="116">
        <v>5.74</v>
      </c>
      <c r="O386" s="116">
        <v>5.61</v>
      </c>
      <c r="P386" s="116">
        <v>5.72</v>
      </c>
      <c r="Q386" s="116">
        <v>28.35</v>
      </c>
      <c r="R386">
        <v>3256295</v>
      </c>
    </row>
    <row r="387" spans="1:18" x14ac:dyDescent="0.25">
      <c r="A387" s="170">
        <v>42571</v>
      </c>
      <c r="B387" s="116">
        <v>5.78</v>
      </c>
      <c r="C387" s="116">
        <v>5.74</v>
      </c>
      <c r="D387" s="116">
        <v>5.6</v>
      </c>
      <c r="E387" s="116">
        <v>5.7</v>
      </c>
      <c r="F387" s="116">
        <v>28.7</v>
      </c>
      <c r="G387">
        <v>307899</v>
      </c>
      <c r="H387" s="116"/>
      <c r="I387" s="116"/>
      <c r="L387" s="170">
        <v>42571</v>
      </c>
      <c r="M387" s="116">
        <v>5.74</v>
      </c>
      <c r="N387" s="116">
        <v>5.78</v>
      </c>
      <c r="O387" s="116">
        <v>5.65</v>
      </c>
      <c r="P387" s="116">
        <v>5.65</v>
      </c>
      <c r="Q387" s="116">
        <v>28.7</v>
      </c>
      <c r="R387">
        <v>2771106</v>
      </c>
    </row>
    <row r="388" spans="1:18" x14ac:dyDescent="0.25">
      <c r="A388" s="170">
        <v>42572</v>
      </c>
      <c r="B388" s="116">
        <v>5.76</v>
      </c>
      <c r="C388" s="116">
        <v>5.67</v>
      </c>
      <c r="D388" s="116">
        <v>5.65</v>
      </c>
      <c r="E388" s="116">
        <v>5.76</v>
      </c>
      <c r="F388" s="116">
        <v>28.35</v>
      </c>
      <c r="G388">
        <v>429078</v>
      </c>
      <c r="H388" s="116"/>
      <c r="I388" s="116"/>
      <c r="L388" s="170">
        <v>42572</v>
      </c>
      <c r="M388" s="116">
        <v>5.67</v>
      </c>
      <c r="N388" s="116">
        <v>5.77</v>
      </c>
      <c r="O388" s="116">
        <v>5.65</v>
      </c>
      <c r="P388" s="116">
        <v>5.74</v>
      </c>
      <c r="Q388" s="116">
        <v>28.35</v>
      </c>
      <c r="R388">
        <v>3083116</v>
      </c>
    </row>
    <row r="389" spans="1:18" x14ac:dyDescent="0.25">
      <c r="A389" s="170">
        <v>42573</v>
      </c>
      <c r="B389" s="116">
        <v>5.73</v>
      </c>
      <c r="C389" s="116">
        <v>5.7</v>
      </c>
      <c r="D389" s="116">
        <v>5.64</v>
      </c>
      <c r="E389" s="116">
        <v>5.69</v>
      </c>
      <c r="F389" s="116">
        <v>28.5</v>
      </c>
      <c r="G389">
        <v>504406</v>
      </c>
      <c r="H389" s="116"/>
      <c r="I389" s="116"/>
      <c r="L389" s="170">
        <v>42573</v>
      </c>
      <c r="M389" s="116">
        <v>5.71</v>
      </c>
      <c r="N389" s="116">
        <v>5.74</v>
      </c>
      <c r="O389" s="116">
        <v>5.64</v>
      </c>
      <c r="P389" s="116">
        <v>5.69</v>
      </c>
      <c r="Q389" s="116">
        <v>28.55</v>
      </c>
      <c r="R389">
        <v>4048794</v>
      </c>
    </row>
    <row r="390" spans="1:18" x14ac:dyDescent="0.25">
      <c r="A390" s="170">
        <v>42576</v>
      </c>
      <c r="B390" s="116">
        <v>5.7</v>
      </c>
      <c r="C390" s="116">
        <v>5.69</v>
      </c>
      <c r="D390" s="116">
        <v>5.66</v>
      </c>
      <c r="E390" s="116">
        <v>5.7</v>
      </c>
      <c r="F390" s="116">
        <v>28.45</v>
      </c>
      <c r="G390">
        <v>528415</v>
      </c>
      <c r="H390" s="116"/>
      <c r="I390" s="116"/>
      <c r="L390" s="170">
        <v>42576</v>
      </c>
      <c r="M390" s="116">
        <v>5.69</v>
      </c>
      <c r="N390" s="116">
        <v>5.7</v>
      </c>
      <c r="O390" s="116">
        <v>5.66</v>
      </c>
      <c r="P390" s="116">
        <v>5.7</v>
      </c>
      <c r="Q390" s="116">
        <v>28.45</v>
      </c>
      <c r="R390">
        <v>5943834</v>
      </c>
    </row>
    <row r="391" spans="1:18" x14ac:dyDescent="0.25">
      <c r="A391" s="170">
        <v>42577</v>
      </c>
      <c r="B391" s="116">
        <v>5.82</v>
      </c>
      <c r="C391" s="116">
        <v>5.67</v>
      </c>
      <c r="D391" s="116">
        <v>5.63</v>
      </c>
      <c r="E391" s="116">
        <v>5.74</v>
      </c>
      <c r="F391" s="116">
        <v>28.35</v>
      </c>
      <c r="G391">
        <v>1244417</v>
      </c>
      <c r="H391" s="116"/>
      <c r="I391" s="116"/>
      <c r="L391" s="170">
        <v>42577</v>
      </c>
      <c r="M391" s="116">
        <v>5.69</v>
      </c>
      <c r="N391" s="116">
        <v>5.82</v>
      </c>
      <c r="O391" s="116">
        <v>5.65</v>
      </c>
      <c r="P391" s="116">
        <v>5.7</v>
      </c>
      <c r="Q391" s="116">
        <v>28.45</v>
      </c>
      <c r="R391">
        <v>7334879</v>
      </c>
    </row>
    <row r="392" spans="1:18" x14ac:dyDescent="0.25">
      <c r="A392" s="170">
        <v>42578</v>
      </c>
      <c r="B392" s="116">
        <v>5.75</v>
      </c>
      <c r="C392" s="116">
        <v>5.67</v>
      </c>
      <c r="D392" s="116">
        <v>5.64</v>
      </c>
      <c r="E392" s="116">
        <v>5.75</v>
      </c>
      <c r="F392" s="116">
        <v>28.35</v>
      </c>
      <c r="G392">
        <v>596903</v>
      </c>
      <c r="H392" s="116"/>
      <c r="I392" s="116"/>
      <c r="L392" s="170">
        <v>42578</v>
      </c>
      <c r="M392" s="116">
        <v>5.68</v>
      </c>
      <c r="N392" s="116">
        <v>5.75</v>
      </c>
      <c r="O392" s="116">
        <v>5.64</v>
      </c>
      <c r="P392" s="116">
        <v>5.71</v>
      </c>
      <c r="Q392" s="116">
        <v>28.4</v>
      </c>
      <c r="R392">
        <v>3961695</v>
      </c>
    </row>
    <row r="393" spans="1:18" x14ac:dyDescent="0.25">
      <c r="A393" s="170">
        <v>42579</v>
      </c>
      <c r="B393" s="116">
        <v>5.71</v>
      </c>
      <c r="C393" s="116">
        <v>5.61</v>
      </c>
      <c r="D393" s="116">
        <v>5.59</v>
      </c>
      <c r="E393" s="116">
        <v>5.69</v>
      </c>
      <c r="F393" s="116">
        <v>28.05</v>
      </c>
      <c r="G393">
        <v>858044</v>
      </c>
      <c r="H393" s="116"/>
      <c r="I393" s="116"/>
      <c r="L393" s="170">
        <v>42579</v>
      </c>
      <c r="M393" s="116">
        <v>5.62</v>
      </c>
      <c r="N393" s="116">
        <v>5.71</v>
      </c>
      <c r="O393" s="116">
        <v>5.6</v>
      </c>
      <c r="P393" s="116">
        <v>5.7</v>
      </c>
      <c r="Q393" s="116">
        <v>28.1</v>
      </c>
      <c r="R393">
        <v>6188822</v>
      </c>
    </row>
    <row r="394" spans="1:18" x14ac:dyDescent="0.25">
      <c r="A394" s="170">
        <v>42580</v>
      </c>
      <c r="B394" s="116">
        <v>5.66</v>
      </c>
      <c r="C394" s="116">
        <v>5.61</v>
      </c>
      <c r="D394" s="116">
        <v>5.58</v>
      </c>
      <c r="E394" s="116">
        <v>5.61</v>
      </c>
      <c r="F394" s="116">
        <v>28.05</v>
      </c>
      <c r="G394">
        <v>728150</v>
      </c>
      <c r="H394" s="116"/>
      <c r="I394" s="116"/>
      <c r="L394" s="170">
        <v>42580</v>
      </c>
      <c r="M394" s="116">
        <v>5.59</v>
      </c>
      <c r="N394" s="116">
        <v>5.66</v>
      </c>
      <c r="O394" s="116">
        <v>5.58</v>
      </c>
      <c r="P394" s="116">
        <v>5.62</v>
      </c>
      <c r="Q394" s="116">
        <v>27.95</v>
      </c>
      <c r="R394">
        <v>3357510</v>
      </c>
    </row>
    <row r="395" spans="1:18" x14ac:dyDescent="0.25">
      <c r="A395" s="170">
        <v>42583</v>
      </c>
      <c r="B395" s="116">
        <v>5.68</v>
      </c>
      <c r="C395" s="116">
        <v>5.49</v>
      </c>
      <c r="D395" s="116">
        <v>5.4</v>
      </c>
      <c r="E395" s="116">
        <v>5.59</v>
      </c>
      <c r="F395" s="116">
        <v>27.45</v>
      </c>
      <c r="G395">
        <v>1877166</v>
      </c>
      <c r="H395" s="116"/>
      <c r="I395" s="116"/>
      <c r="L395" s="170">
        <v>42583</v>
      </c>
      <c r="M395" s="116">
        <v>5.5</v>
      </c>
      <c r="N395" s="116">
        <v>5.64</v>
      </c>
      <c r="O395" s="116">
        <v>5.4</v>
      </c>
      <c r="P395" s="116">
        <v>5.62</v>
      </c>
      <c r="Q395" s="116">
        <v>27.5</v>
      </c>
      <c r="R395">
        <v>4704010</v>
      </c>
    </row>
    <row r="396" spans="1:18" x14ac:dyDescent="0.25">
      <c r="A396" s="170">
        <v>42584</v>
      </c>
      <c r="B396" s="116">
        <v>5.52</v>
      </c>
      <c r="C396" s="116">
        <v>5.4</v>
      </c>
      <c r="D396" s="116">
        <v>5.38</v>
      </c>
      <c r="E396" s="116">
        <v>5.5</v>
      </c>
      <c r="F396" s="116">
        <v>27</v>
      </c>
      <c r="G396">
        <v>946217</v>
      </c>
      <c r="H396" s="116"/>
      <c r="I396" s="116"/>
      <c r="L396" s="170">
        <v>42584</v>
      </c>
      <c r="M396" s="116">
        <v>5.4</v>
      </c>
      <c r="N396" s="116">
        <v>5.52</v>
      </c>
      <c r="O396" s="116">
        <v>5.38</v>
      </c>
      <c r="P396" s="116">
        <v>5.5</v>
      </c>
      <c r="Q396" s="116">
        <v>27</v>
      </c>
      <c r="R396">
        <v>4168401</v>
      </c>
    </row>
    <row r="397" spans="1:18" x14ac:dyDescent="0.25">
      <c r="A397" s="170">
        <v>42585</v>
      </c>
      <c r="B397" s="116">
        <v>5.41</v>
      </c>
      <c r="C397" s="116">
        <v>5.3</v>
      </c>
      <c r="D397" s="116">
        <v>5.25</v>
      </c>
      <c r="E397" s="116">
        <v>5.4</v>
      </c>
      <c r="F397" s="116">
        <v>26.5</v>
      </c>
      <c r="G397">
        <v>1038944</v>
      </c>
      <c r="H397" s="116"/>
      <c r="I397" s="116"/>
      <c r="L397" s="170">
        <v>42585</v>
      </c>
      <c r="M397" s="116">
        <v>5.28</v>
      </c>
      <c r="N397" s="116">
        <v>5.42</v>
      </c>
      <c r="O397" s="116">
        <v>5.25</v>
      </c>
      <c r="P397" s="116">
        <v>5.4</v>
      </c>
      <c r="Q397" s="116">
        <v>26.4</v>
      </c>
      <c r="R397">
        <v>4508686</v>
      </c>
    </row>
    <row r="398" spans="1:18" x14ac:dyDescent="0.25">
      <c r="A398" s="170">
        <v>42586</v>
      </c>
      <c r="B398" s="116">
        <v>5.38</v>
      </c>
      <c r="C398" s="116">
        <v>5.26</v>
      </c>
      <c r="D398" s="116">
        <v>5.22</v>
      </c>
      <c r="E398" s="116">
        <v>5.32</v>
      </c>
      <c r="F398" s="116">
        <v>26.3</v>
      </c>
      <c r="G398">
        <v>915166</v>
      </c>
      <c r="H398" s="116"/>
      <c r="I398" s="116"/>
      <c r="L398" s="170">
        <v>42586</v>
      </c>
      <c r="M398" s="116">
        <v>5.26</v>
      </c>
      <c r="N398" s="116">
        <v>5.38</v>
      </c>
      <c r="O398" s="116">
        <v>5.23</v>
      </c>
      <c r="P398" s="116">
        <v>5.36</v>
      </c>
      <c r="Q398" s="116">
        <v>26.3</v>
      </c>
      <c r="R398">
        <v>4244962</v>
      </c>
    </row>
    <row r="399" spans="1:18" x14ac:dyDescent="0.25">
      <c r="A399" s="170">
        <v>42587</v>
      </c>
      <c r="B399" s="116">
        <v>5.49</v>
      </c>
      <c r="C399" s="116">
        <v>5.43</v>
      </c>
      <c r="D399" s="116">
        <v>5.25</v>
      </c>
      <c r="E399" s="116">
        <v>5.26</v>
      </c>
      <c r="F399" s="116">
        <v>27.15</v>
      </c>
      <c r="G399">
        <v>1453433</v>
      </c>
      <c r="H399" s="116"/>
      <c r="I399" s="116"/>
      <c r="L399" s="170">
        <v>42587</v>
      </c>
      <c r="M399" s="116">
        <v>5.42</v>
      </c>
      <c r="N399" s="116">
        <v>5.48</v>
      </c>
      <c r="O399" s="116">
        <v>5.24</v>
      </c>
      <c r="P399" s="116">
        <v>5.29</v>
      </c>
      <c r="Q399" s="116">
        <v>27.1</v>
      </c>
      <c r="R399">
        <v>12228314</v>
      </c>
    </row>
    <row r="400" spans="1:18" x14ac:dyDescent="0.25">
      <c r="A400" s="170">
        <v>42590</v>
      </c>
      <c r="B400" s="116">
        <v>5.66</v>
      </c>
      <c r="C400" s="116">
        <v>5.61</v>
      </c>
      <c r="D400" s="116">
        <v>5.45</v>
      </c>
      <c r="E400" s="116">
        <v>5.47</v>
      </c>
      <c r="F400" s="116">
        <v>28.05</v>
      </c>
      <c r="G400">
        <v>1389569</v>
      </c>
      <c r="H400" s="116"/>
      <c r="I400" s="116"/>
      <c r="L400" s="170">
        <v>42590</v>
      </c>
      <c r="M400" s="116">
        <v>5.6</v>
      </c>
      <c r="N400" s="116">
        <v>5.66</v>
      </c>
      <c r="O400" s="116">
        <v>5.44</v>
      </c>
      <c r="P400" s="116">
        <v>5.48</v>
      </c>
      <c r="Q400" s="116">
        <v>28</v>
      </c>
      <c r="R400">
        <v>7083263</v>
      </c>
    </row>
    <row r="401" spans="1:18" x14ac:dyDescent="0.25">
      <c r="A401" s="170">
        <v>42591</v>
      </c>
      <c r="B401" s="116">
        <v>5.7</v>
      </c>
      <c r="C401" s="116">
        <v>5.53</v>
      </c>
      <c r="D401" s="116">
        <v>5.46</v>
      </c>
      <c r="E401" s="116">
        <v>5.63</v>
      </c>
      <c r="F401" s="116">
        <v>27.65</v>
      </c>
      <c r="G401">
        <v>2170804</v>
      </c>
      <c r="H401" s="116"/>
      <c r="I401" s="116"/>
      <c r="L401" s="170">
        <v>42591</v>
      </c>
      <c r="M401" s="116">
        <v>5.52</v>
      </c>
      <c r="N401" s="116">
        <v>5.72</v>
      </c>
      <c r="O401" s="116">
        <v>5.46</v>
      </c>
      <c r="P401" s="116">
        <v>5.6</v>
      </c>
      <c r="Q401" s="116">
        <v>27.6</v>
      </c>
      <c r="R401">
        <v>11446142</v>
      </c>
    </row>
    <row r="402" spans="1:18" x14ac:dyDescent="0.25">
      <c r="A402" s="170">
        <v>42592</v>
      </c>
      <c r="B402" s="116">
        <v>5.57</v>
      </c>
      <c r="C402" s="116">
        <v>5.35</v>
      </c>
      <c r="D402" s="116">
        <v>5.31</v>
      </c>
      <c r="E402" s="116">
        <v>5.5</v>
      </c>
      <c r="F402" s="116">
        <v>26.75</v>
      </c>
      <c r="G402">
        <v>1133419</v>
      </c>
      <c r="H402" s="116"/>
      <c r="I402" s="116"/>
      <c r="L402" s="170">
        <v>42592</v>
      </c>
      <c r="M402" s="116">
        <v>5.37</v>
      </c>
      <c r="N402" s="116">
        <v>5.57</v>
      </c>
      <c r="O402" s="116">
        <v>5.35</v>
      </c>
      <c r="P402" s="116">
        <v>5.5</v>
      </c>
      <c r="Q402" s="116">
        <v>26.85</v>
      </c>
      <c r="R402">
        <v>7402189</v>
      </c>
    </row>
    <row r="403" spans="1:18" x14ac:dyDescent="0.25">
      <c r="A403" s="170">
        <v>42593</v>
      </c>
      <c r="B403" s="116">
        <v>5.5</v>
      </c>
      <c r="C403" s="116">
        <v>5.44</v>
      </c>
      <c r="D403" s="116">
        <v>5.31</v>
      </c>
      <c r="E403" s="116">
        <v>5.38</v>
      </c>
      <c r="F403" s="116">
        <v>27.2</v>
      </c>
      <c r="G403">
        <v>711223</v>
      </c>
      <c r="H403" s="116"/>
      <c r="I403" s="116"/>
      <c r="L403" s="170">
        <v>42593</v>
      </c>
      <c r="M403" s="116">
        <v>5.43</v>
      </c>
      <c r="N403" s="116">
        <v>5.47</v>
      </c>
      <c r="O403" s="116">
        <v>5.3</v>
      </c>
      <c r="P403" s="116">
        <v>5.36</v>
      </c>
      <c r="Q403" s="116">
        <v>27.15</v>
      </c>
      <c r="R403">
        <v>3742856</v>
      </c>
    </row>
    <row r="404" spans="1:18" x14ac:dyDescent="0.25">
      <c r="A404" s="170">
        <v>42594</v>
      </c>
      <c r="B404" s="116">
        <v>5.47</v>
      </c>
      <c r="C404" s="116">
        <v>5.36</v>
      </c>
      <c r="D404" s="116">
        <v>5.34</v>
      </c>
      <c r="E404" s="116">
        <v>5.47</v>
      </c>
      <c r="F404" s="116">
        <v>26.8</v>
      </c>
      <c r="G404">
        <v>573927</v>
      </c>
      <c r="H404" s="116"/>
      <c r="I404" s="116"/>
      <c r="L404" s="170">
        <v>42594</v>
      </c>
      <c r="M404" s="116">
        <v>5.37</v>
      </c>
      <c r="N404" s="116">
        <v>5.49</v>
      </c>
      <c r="O404" s="116">
        <v>5.32</v>
      </c>
      <c r="P404" s="116">
        <v>5.49</v>
      </c>
      <c r="Q404" s="116">
        <v>26.85</v>
      </c>
      <c r="R404">
        <v>2837263</v>
      </c>
    </row>
    <row r="405" spans="1:18" x14ac:dyDescent="0.25">
      <c r="A405" s="170">
        <v>42598</v>
      </c>
      <c r="B405" s="116">
        <v>5.44</v>
      </c>
      <c r="C405" s="116">
        <v>5.42</v>
      </c>
      <c r="D405" s="116">
        <v>5.3</v>
      </c>
      <c r="E405" s="116">
        <v>5.39</v>
      </c>
      <c r="F405" s="116">
        <v>27.1</v>
      </c>
      <c r="G405">
        <v>658568</v>
      </c>
      <c r="H405" s="116"/>
      <c r="I405" s="116"/>
      <c r="L405" s="170">
        <v>42598</v>
      </c>
      <c r="M405" s="116">
        <v>5.42</v>
      </c>
      <c r="N405" s="116">
        <v>5.45</v>
      </c>
      <c r="O405" s="116">
        <v>5.28</v>
      </c>
      <c r="P405" s="116">
        <v>5.43</v>
      </c>
      <c r="Q405" s="116">
        <v>27.1</v>
      </c>
      <c r="R405">
        <v>3928164</v>
      </c>
    </row>
    <row r="406" spans="1:18" x14ac:dyDescent="0.25">
      <c r="A406" s="170">
        <v>42599</v>
      </c>
      <c r="B406" s="116">
        <v>5.57</v>
      </c>
      <c r="C406" s="116">
        <v>5.53</v>
      </c>
      <c r="D406" s="116">
        <v>5.39</v>
      </c>
      <c r="E406" s="116">
        <v>5.39</v>
      </c>
      <c r="F406" s="116">
        <v>27.65</v>
      </c>
      <c r="G406">
        <v>579169</v>
      </c>
      <c r="H406" s="116"/>
      <c r="I406" s="116"/>
      <c r="L406" s="170">
        <v>42599</v>
      </c>
      <c r="M406" s="116">
        <v>5.55</v>
      </c>
      <c r="N406" s="116">
        <v>5.59</v>
      </c>
      <c r="O406" s="116">
        <v>5.37</v>
      </c>
      <c r="P406" s="116">
        <v>5.4</v>
      </c>
      <c r="Q406" s="116">
        <v>27.75</v>
      </c>
      <c r="R406">
        <v>4258276</v>
      </c>
    </row>
    <row r="407" spans="1:18" x14ac:dyDescent="0.25">
      <c r="A407" s="170">
        <v>42600</v>
      </c>
      <c r="B407" s="116">
        <v>5.61</v>
      </c>
      <c r="C407" s="116">
        <v>5.53</v>
      </c>
      <c r="D407" s="116">
        <v>5.51</v>
      </c>
      <c r="E407" s="116">
        <v>5.54</v>
      </c>
      <c r="F407" s="116">
        <v>27.65</v>
      </c>
      <c r="G407">
        <v>427036</v>
      </c>
      <c r="H407" s="116"/>
      <c r="I407" s="116"/>
      <c r="L407" s="170">
        <v>42600</v>
      </c>
      <c r="M407" s="116">
        <v>5.51</v>
      </c>
      <c r="N407" s="116">
        <v>5.61</v>
      </c>
      <c r="O407" s="116">
        <v>5.5</v>
      </c>
      <c r="P407" s="116">
        <v>5.56</v>
      </c>
      <c r="Q407" s="116">
        <v>27.55</v>
      </c>
      <c r="R407">
        <v>3391984</v>
      </c>
    </row>
    <row r="408" spans="1:18" x14ac:dyDescent="0.25">
      <c r="A408" s="170">
        <v>42601</v>
      </c>
      <c r="B408" s="116">
        <v>5.64</v>
      </c>
      <c r="C408" s="116">
        <v>5.59</v>
      </c>
      <c r="D408" s="116">
        <v>5.51</v>
      </c>
      <c r="E408" s="116">
        <v>5.55</v>
      </c>
      <c r="F408" s="116">
        <v>27.95</v>
      </c>
      <c r="G408">
        <v>610786</v>
      </c>
      <c r="H408" s="116"/>
      <c r="I408" s="116"/>
      <c r="L408" s="170">
        <v>42601</v>
      </c>
      <c r="M408" s="116">
        <v>5.6</v>
      </c>
      <c r="N408" s="116">
        <v>5.64</v>
      </c>
      <c r="O408" s="116">
        <v>5.5</v>
      </c>
      <c r="P408" s="116">
        <v>5.52</v>
      </c>
      <c r="Q408" s="116">
        <v>28</v>
      </c>
      <c r="R408">
        <v>4525020</v>
      </c>
    </row>
    <row r="409" spans="1:18" x14ac:dyDescent="0.25">
      <c r="A409" s="170">
        <v>42604</v>
      </c>
      <c r="B409" s="116">
        <v>5.66</v>
      </c>
      <c r="C409" s="116">
        <v>5.62</v>
      </c>
      <c r="D409" s="116">
        <v>5.52</v>
      </c>
      <c r="E409" s="116">
        <v>5.65</v>
      </c>
      <c r="F409" s="116">
        <v>28.1</v>
      </c>
      <c r="G409">
        <v>448135</v>
      </c>
      <c r="H409" s="116"/>
      <c r="I409" s="116"/>
      <c r="L409" s="170">
        <v>42604</v>
      </c>
      <c r="M409" s="116">
        <v>5.64</v>
      </c>
      <c r="N409" s="116">
        <v>5.67</v>
      </c>
      <c r="O409" s="116">
        <v>5.52</v>
      </c>
      <c r="P409" s="116">
        <v>5.62</v>
      </c>
      <c r="Q409" s="116">
        <v>28.2</v>
      </c>
      <c r="R409">
        <v>4146704</v>
      </c>
    </row>
    <row r="410" spans="1:18" x14ac:dyDescent="0.25">
      <c r="A410" s="170">
        <v>42605</v>
      </c>
      <c r="B410" s="116">
        <v>5.67</v>
      </c>
      <c r="C410" s="116">
        <v>5.58</v>
      </c>
      <c r="D410" s="116">
        <v>5.56</v>
      </c>
      <c r="E410" s="116">
        <v>5.62</v>
      </c>
      <c r="F410" s="116">
        <v>27.9</v>
      </c>
      <c r="G410">
        <v>388386</v>
      </c>
      <c r="H410" s="116"/>
      <c r="I410" s="116"/>
      <c r="L410" s="170">
        <v>42605</v>
      </c>
      <c r="M410" s="116">
        <v>5.58</v>
      </c>
      <c r="N410" s="116">
        <v>5.67</v>
      </c>
      <c r="O410" s="116">
        <v>5.55</v>
      </c>
      <c r="P410" s="116">
        <v>5.63</v>
      </c>
      <c r="Q410" s="116">
        <v>27.9</v>
      </c>
      <c r="R410">
        <v>2779301</v>
      </c>
    </row>
    <row r="411" spans="1:18" x14ac:dyDescent="0.25">
      <c r="A411" s="170">
        <v>42606</v>
      </c>
      <c r="B411" s="116">
        <v>5.62</v>
      </c>
      <c r="C411" s="116">
        <v>5.6</v>
      </c>
      <c r="D411" s="116">
        <v>5.55</v>
      </c>
      <c r="E411" s="116">
        <v>5.56</v>
      </c>
      <c r="F411" s="116">
        <v>28</v>
      </c>
      <c r="G411">
        <v>306079</v>
      </c>
      <c r="H411" s="116"/>
      <c r="I411" s="116"/>
      <c r="L411" s="170">
        <v>42606</v>
      </c>
      <c r="M411" s="116">
        <v>5.61</v>
      </c>
      <c r="N411" s="116">
        <v>5.63</v>
      </c>
      <c r="O411" s="116">
        <v>5.55</v>
      </c>
      <c r="P411" s="116">
        <v>5.59</v>
      </c>
      <c r="Q411" s="116">
        <v>28.05</v>
      </c>
      <c r="R411">
        <v>1899071</v>
      </c>
    </row>
    <row r="412" spans="1:18" x14ac:dyDescent="0.25">
      <c r="A412" s="170">
        <v>42607</v>
      </c>
      <c r="B412" s="116">
        <v>5.66</v>
      </c>
      <c r="C412" s="116">
        <v>5.51</v>
      </c>
      <c r="D412" s="116">
        <v>5.45</v>
      </c>
      <c r="E412" s="116">
        <v>5.63</v>
      </c>
      <c r="F412" s="116">
        <v>27.55</v>
      </c>
      <c r="G412">
        <v>465788</v>
      </c>
      <c r="H412" s="116"/>
      <c r="I412" s="116"/>
      <c r="L412" s="170">
        <v>42607</v>
      </c>
      <c r="M412" s="116">
        <v>5.47</v>
      </c>
      <c r="N412" s="116">
        <v>5.67</v>
      </c>
      <c r="O412" s="116">
        <v>5.39</v>
      </c>
      <c r="P412" s="116">
        <v>5.61</v>
      </c>
      <c r="Q412" s="116">
        <v>27.35</v>
      </c>
      <c r="R412">
        <v>21019064</v>
      </c>
    </row>
    <row r="413" spans="1:18" x14ac:dyDescent="0.25">
      <c r="A413" s="170">
        <v>42608</v>
      </c>
      <c r="B413" s="116">
        <v>5.54</v>
      </c>
      <c r="C413" s="116">
        <v>5.43</v>
      </c>
      <c r="D413" s="116">
        <v>5.36</v>
      </c>
      <c r="E413" s="116">
        <v>5.54</v>
      </c>
      <c r="F413" s="116">
        <v>27.15</v>
      </c>
      <c r="G413">
        <v>644296</v>
      </c>
      <c r="H413" s="116"/>
      <c r="I413" s="116"/>
      <c r="L413" s="170">
        <v>42608</v>
      </c>
      <c r="M413" s="116">
        <v>5.42</v>
      </c>
      <c r="N413" s="116">
        <v>5.53</v>
      </c>
      <c r="O413" s="116">
        <v>5.35</v>
      </c>
      <c r="P413" s="116">
        <v>5.5</v>
      </c>
      <c r="Q413" s="116">
        <v>27.1</v>
      </c>
      <c r="R413">
        <v>3597960</v>
      </c>
    </row>
    <row r="414" spans="1:18" x14ac:dyDescent="0.25">
      <c r="A414" s="170">
        <v>42611</v>
      </c>
      <c r="B414" s="116">
        <v>5.45</v>
      </c>
      <c r="C414" s="116">
        <v>5.43</v>
      </c>
      <c r="D414" s="116">
        <v>5.34</v>
      </c>
      <c r="E414" s="116">
        <v>5.44</v>
      </c>
      <c r="F414" s="116">
        <v>27.15</v>
      </c>
      <c r="G414">
        <v>590173</v>
      </c>
      <c r="H414" s="116"/>
      <c r="I414" s="116"/>
      <c r="L414" s="170">
        <v>42611</v>
      </c>
      <c r="M414" s="116">
        <v>5.43</v>
      </c>
      <c r="N414" s="116">
        <v>5.46</v>
      </c>
      <c r="O414" s="116">
        <v>5.35</v>
      </c>
      <c r="P414" s="116">
        <v>5.41</v>
      </c>
      <c r="Q414" s="116">
        <v>27.15</v>
      </c>
      <c r="R414">
        <v>1938931</v>
      </c>
    </row>
    <row r="415" spans="1:18" x14ac:dyDescent="0.25">
      <c r="A415" s="170">
        <v>42612</v>
      </c>
      <c r="B415" s="116">
        <v>5.54</v>
      </c>
      <c r="C415" s="116">
        <v>5.51</v>
      </c>
      <c r="D415" s="116">
        <v>5.44</v>
      </c>
      <c r="E415" s="116">
        <v>5.44</v>
      </c>
      <c r="F415" s="116">
        <v>27.55</v>
      </c>
      <c r="G415">
        <v>443946</v>
      </c>
      <c r="H415" s="116"/>
      <c r="I415" s="116"/>
      <c r="L415" s="170">
        <v>42612</v>
      </c>
      <c r="M415" s="116">
        <v>5.51</v>
      </c>
      <c r="N415" s="116">
        <v>5.54</v>
      </c>
      <c r="O415" s="116">
        <v>5.44</v>
      </c>
      <c r="P415" s="116">
        <v>5.46</v>
      </c>
      <c r="Q415" s="116">
        <v>27.55</v>
      </c>
      <c r="R415">
        <v>2361839</v>
      </c>
    </row>
    <row r="416" spans="1:18" x14ac:dyDescent="0.25">
      <c r="A416" s="170">
        <v>42613</v>
      </c>
      <c r="B416" s="116">
        <v>5.62</v>
      </c>
      <c r="C416" s="116">
        <v>5.54</v>
      </c>
      <c r="D416" s="116">
        <v>5.45</v>
      </c>
      <c r="E416" s="116">
        <v>5.49</v>
      </c>
      <c r="F416" s="116">
        <v>27.7</v>
      </c>
      <c r="G416">
        <v>664773</v>
      </c>
      <c r="H416" s="116"/>
      <c r="I416" s="116"/>
      <c r="L416" s="170">
        <v>42613</v>
      </c>
      <c r="M416" s="116">
        <v>5.53</v>
      </c>
      <c r="N416" s="116">
        <v>5.62</v>
      </c>
      <c r="O416" s="116">
        <v>5.45</v>
      </c>
      <c r="P416" s="116">
        <v>5.52</v>
      </c>
      <c r="Q416" s="116">
        <v>27.65</v>
      </c>
      <c r="R416">
        <v>5261945</v>
      </c>
    </row>
    <row r="417" spans="1:18" x14ac:dyDescent="0.25">
      <c r="A417" s="170">
        <v>42614</v>
      </c>
      <c r="B417" s="116">
        <v>5.57</v>
      </c>
      <c r="C417" s="116">
        <v>5.37</v>
      </c>
      <c r="D417" s="116">
        <v>5.32</v>
      </c>
      <c r="E417" s="116">
        <v>5.54</v>
      </c>
      <c r="F417" s="116">
        <v>26.85</v>
      </c>
      <c r="G417">
        <v>593381</v>
      </c>
      <c r="H417" s="116"/>
      <c r="I417" s="116"/>
      <c r="L417" s="170">
        <v>42614</v>
      </c>
      <c r="M417" s="116">
        <v>5.38</v>
      </c>
      <c r="N417" s="116">
        <v>5.57</v>
      </c>
      <c r="O417" s="116">
        <v>5.32</v>
      </c>
      <c r="P417" s="116">
        <v>5.56</v>
      </c>
      <c r="Q417" s="116">
        <v>26.9</v>
      </c>
      <c r="R417">
        <v>4420180</v>
      </c>
    </row>
    <row r="418" spans="1:18" x14ac:dyDescent="0.25">
      <c r="A418" s="170">
        <v>42615</v>
      </c>
      <c r="B418" s="116">
        <v>5.46</v>
      </c>
      <c r="C418" s="116">
        <v>5.44</v>
      </c>
      <c r="D418" s="116">
        <v>5.35</v>
      </c>
      <c r="E418" s="116">
        <v>5.39</v>
      </c>
      <c r="F418" s="116">
        <v>27.2</v>
      </c>
      <c r="G418">
        <v>306199</v>
      </c>
      <c r="H418" s="116"/>
      <c r="I418" s="116"/>
      <c r="L418" s="170">
        <v>42615</v>
      </c>
      <c r="M418" s="116">
        <v>5.44</v>
      </c>
      <c r="N418" s="116">
        <v>5.47</v>
      </c>
      <c r="O418" s="116">
        <v>5.36</v>
      </c>
      <c r="P418" s="116">
        <v>5.4</v>
      </c>
      <c r="Q418" s="116">
        <v>27.2</v>
      </c>
      <c r="R418">
        <v>2426508</v>
      </c>
    </row>
    <row r="419" spans="1:18" x14ac:dyDescent="0.25">
      <c r="A419" s="170">
        <v>42619</v>
      </c>
      <c r="B419" s="116">
        <v>5.52</v>
      </c>
      <c r="C419" s="116">
        <v>5.42</v>
      </c>
      <c r="D419" s="116">
        <v>5.41</v>
      </c>
      <c r="E419" s="116">
        <v>5.44</v>
      </c>
      <c r="F419" s="116">
        <v>27.1</v>
      </c>
      <c r="G419">
        <v>405776</v>
      </c>
      <c r="H419" s="116"/>
      <c r="I419" s="116"/>
      <c r="L419" s="170">
        <v>42619</v>
      </c>
      <c r="M419" s="116">
        <v>5.42</v>
      </c>
      <c r="N419" s="116">
        <v>5.52</v>
      </c>
      <c r="O419" s="116">
        <v>5.4</v>
      </c>
      <c r="P419" s="116">
        <v>5.44</v>
      </c>
      <c r="Q419" s="116">
        <v>27.1</v>
      </c>
      <c r="R419">
        <v>3321212</v>
      </c>
    </row>
    <row r="420" spans="1:18" x14ac:dyDescent="0.25">
      <c r="A420" s="170">
        <v>42620</v>
      </c>
      <c r="B420" s="116">
        <v>5.54</v>
      </c>
      <c r="C420" s="116">
        <v>5.49</v>
      </c>
      <c r="D420" s="116">
        <v>5.41</v>
      </c>
      <c r="E420" s="116">
        <v>5.45</v>
      </c>
      <c r="F420" s="116">
        <v>27.45</v>
      </c>
      <c r="G420">
        <v>577686</v>
      </c>
      <c r="H420" s="116"/>
      <c r="I420" s="116"/>
      <c r="L420" s="170">
        <v>42620</v>
      </c>
      <c r="M420" s="116">
        <v>5.48</v>
      </c>
      <c r="N420" s="116">
        <v>5.54</v>
      </c>
      <c r="O420" s="116">
        <v>5.42</v>
      </c>
      <c r="P420" s="116">
        <v>5.46</v>
      </c>
      <c r="Q420" s="116">
        <v>27.4</v>
      </c>
      <c r="R420">
        <v>3648468</v>
      </c>
    </row>
    <row r="421" spans="1:18" x14ac:dyDescent="0.25">
      <c r="A421" s="170">
        <v>42621</v>
      </c>
      <c r="B421" s="116">
        <v>5.57</v>
      </c>
      <c r="C421" s="116">
        <v>5.53</v>
      </c>
      <c r="D421" s="116">
        <v>5.46</v>
      </c>
      <c r="E421" s="116">
        <v>5.5</v>
      </c>
      <c r="F421" s="116">
        <v>27.65</v>
      </c>
      <c r="G421">
        <v>495901</v>
      </c>
      <c r="H421" s="116"/>
      <c r="I421" s="116"/>
      <c r="L421" s="170">
        <v>42621</v>
      </c>
      <c r="M421" s="116">
        <v>5.54</v>
      </c>
      <c r="N421" s="116">
        <v>5.57</v>
      </c>
      <c r="O421" s="116">
        <v>5.46</v>
      </c>
      <c r="P421" s="116">
        <v>5.49</v>
      </c>
      <c r="Q421" s="116">
        <v>27.7</v>
      </c>
      <c r="R421">
        <v>3216834</v>
      </c>
    </row>
    <row r="422" spans="1:18" x14ac:dyDescent="0.25">
      <c r="A422" s="170">
        <v>42622</v>
      </c>
      <c r="B422" s="116">
        <v>5.86</v>
      </c>
      <c r="C422" s="116">
        <v>5.77</v>
      </c>
      <c r="D422" s="116">
        <v>5.56</v>
      </c>
      <c r="E422" s="116">
        <v>5.57</v>
      </c>
      <c r="F422" s="116">
        <v>28.85</v>
      </c>
      <c r="G422">
        <v>2702756</v>
      </c>
      <c r="H422" s="116"/>
      <c r="I422" s="116"/>
      <c r="L422" s="170">
        <v>42622</v>
      </c>
      <c r="M422" s="116">
        <v>5.77</v>
      </c>
      <c r="N422" s="116">
        <v>5.87</v>
      </c>
      <c r="O422" s="116">
        <v>5.56</v>
      </c>
      <c r="P422" s="116">
        <v>5.62</v>
      </c>
      <c r="Q422" s="116">
        <v>28.85</v>
      </c>
      <c r="R422">
        <v>16223977</v>
      </c>
    </row>
    <row r="423" spans="1:18" x14ac:dyDescent="0.25">
      <c r="A423" s="170">
        <v>42625</v>
      </c>
      <c r="B423" s="116">
        <v>5.74</v>
      </c>
      <c r="C423" s="116">
        <v>5.47</v>
      </c>
      <c r="D423" s="116">
        <v>5.42</v>
      </c>
      <c r="E423" s="116">
        <v>5.6</v>
      </c>
      <c r="F423" s="116">
        <v>27.35</v>
      </c>
      <c r="G423">
        <v>1112507</v>
      </c>
      <c r="H423" s="116"/>
      <c r="I423" s="116"/>
      <c r="L423" s="170">
        <v>42625</v>
      </c>
      <c r="M423" s="116">
        <v>5.48</v>
      </c>
      <c r="N423" s="116">
        <v>5.74</v>
      </c>
      <c r="O423" s="116">
        <v>5.42</v>
      </c>
      <c r="P423" s="116">
        <v>5.64</v>
      </c>
      <c r="Q423" s="116">
        <v>27.4</v>
      </c>
      <c r="R423">
        <v>6097334</v>
      </c>
    </row>
    <row r="424" spans="1:18" x14ac:dyDescent="0.25">
      <c r="A424" s="170">
        <v>42627</v>
      </c>
      <c r="B424" s="116">
        <v>5.58</v>
      </c>
      <c r="C424" s="116">
        <v>5.56</v>
      </c>
      <c r="D424" s="116">
        <v>5.45</v>
      </c>
      <c r="E424" s="116">
        <v>5.46</v>
      </c>
      <c r="F424" s="116">
        <v>27.8</v>
      </c>
      <c r="G424">
        <v>571837</v>
      </c>
      <c r="H424" s="116"/>
      <c r="I424" s="116"/>
      <c r="L424" s="170">
        <v>42627</v>
      </c>
      <c r="M424" s="116">
        <v>5.54</v>
      </c>
      <c r="N424" s="116">
        <v>5.57</v>
      </c>
      <c r="O424" s="116">
        <v>5.44</v>
      </c>
      <c r="P424" s="116">
        <v>5.5</v>
      </c>
      <c r="Q424" s="116">
        <v>27.7</v>
      </c>
      <c r="R424">
        <v>3297873</v>
      </c>
    </row>
    <row r="425" spans="1:18" x14ac:dyDescent="0.25">
      <c r="A425" s="170">
        <v>42628</v>
      </c>
      <c r="B425" s="116">
        <v>5.57</v>
      </c>
      <c r="C425" s="116">
        <v>5.5</v>
      </c>
      <c r="D425" s="116">
        <v>5.47</v>
      </c>
      <c r="E425" s="116">
        <v>5.56</v>
      </c>
      <c r="F425" s="116">
        <v>27.5</v>
      </c>
      <c r="G425">
        <v>375399</v>
      </c>
      <c r="H425" s="116"/>
      <c r="I425" s="116"/>
      <c r="L425" s="170">
        <v>42628</v>
      </c>
      <c r="M425" s="116">
        <v>5.5</v>
      </c>
      <c r="N425" s="116">
        <v>5.58</v>
      </c>
      <c r="O425" s="116">
        <v>5.47</v>
      </c>
      <c r="P425" s="116">
        <v>5.55</v>
      </c>
      <c r="Q425" s="116">
        <v>27.5</v>
      </c>
      <c r="R425">
        <v>2113966</v>
      </c>
    </row>
    <row r="426" spans="1:18" x14ac:dyDescent="0.25">
      <c r="A426" s="170">
        <v>42629</v>
      </c>
      <c r="B426" s="116">
        <v>5.6</v>
      </c>
      <c r="C426" s="116">
        <v>5.52</v>
      </c>
      <c r="D426" s="116">
        <v>5.44</v>
      </c>
      <c r="E426" s="116">
        <v>5.5</v>
      </c>
      <c r="F426" s="116">
        <v>27.6</v>
      </c>
      <c r="G426">
        <v>832828</v>
      </c>
      <c r="H426" s="116"/>
      <c r="I426" s="116"/>
      <c r="L426" s="170">
        <v>42629</v>
      </c>
      <c r="M426" s="116">
        <v>5.53</v>
      </c>
      <c r="N426" s="116">
        <v>5.61</v>
      </c>
      <c r="O426" s="116">
        <v>5.42</v>
      </c>
      <c r="P426" s="116">
        <v>5.55</v>
      </c>
      <c r="Q426" s="116">
        <v>27.65</v>
      </c>
      <c r="R426">
        <v>7968511</v>
      </c>
    </row>
    <row r="427" spans="1:18" x14ac:dyDescent="0.25">
      <c r="A427" s="170">
        <v>42632</v>
      </c>
      <c r="B427" s="116">
        <v>5.57</v>
      </c>
      <c r="C427" s="116">
        <v>5.53</v>
      </c>
      <c r="D427" s="116">
        <v>5.49</v>
      </c>
      <c r="E427" s="116">
        <v>5.55</v>
      </c>
      <c r="F427" s="116">
        <v>27.65</v>
      </c>
      <c r="G427">
        <v>473358</v>
      </c>
      <c r="H427" s="116"/>
      <c r="I427" s="116"/>
      <c r="L427" s="170">
        <v>42632</v>
      </c>
      <c r="M427" s="116">
        <v>5.53</v>
      </c>
      <c r="N427" s="116">
        <v>5.58</v>
      </c>
      <c r="O427" s="116">
        <v>5.49</v>
      </c>
      <c r="P427" s="116">
        <v>5.53</v>
      </c>
      <c r="Q427" s="116">
        <v>27.65</v>
      </c>
      <c r="R427">
        <v>2503703</v>
      </c>
    </row>
    <row r="428" spans="1:18" x14ac:dyDescent="0.25">
      <c r="A428" s="170">
        <v>42633</v>
      </c>
      <c r="B428" s="116">
        <v>5.65</v>
      </c>
      <c r="C428" s="116">
        <v>5.58</v>
      </c>
      <c r="D428" s="116">
        <v>5.55</v>
      </c>
      <c r="E428" s="116">
        <v>5.56</v>
      </c>
      <c r="F428" s="116">
        <v>27.9</v>
      </c>
      <c r="G428">
        <v>735786</v>
      </c>
      <c r="H428" s="116"/>
      <c r="I428" s="116"/>
      <c r="L428" s="170">
        <v>42633</v>
      </c>
      <c r="M428" s="116">
        <v>5.57</v>
      </c>
      <c r="N428" s="116">
        <v>5.64</v>
      </c>
      <c r="O428" s="116">
        <v>5.54</v>
      </c>
      <c r="P428" s="116">
        <v>5.6</v>
      </c>
      <c r="Q428" s="116">
        <v>27.85</v>
      </c>
      <c r="R428">
        <v>3299753</v>
      </c>
    </row>
    <row r="429" spans="1:18" x14ac:dyDescent="0.25">
      <c r="A429" s="170">
        <v>42634</v>
      </c>
      <c r="B429" s="116">
        <v>5.61</v>
      </c>
      <c r="C429" s="116">
        <v>5.53</v>
      </c>
      <c r="D429" s="116">
        <v>5.5</v>
      </c>
      <c r="E429" s="116">
        <v>5.58</v>
      </c>
      <c r="F429" s="116">
        <v>27.65</v>
      </c>
      <c r="G429">
        <v>362699</v>
      </c>
      <c r="H429" s="116"/>
      <c r="I429" s="116"/>
      <c r="L429" s="170">
        <v>42634</v>
      </c>
      <c r="M429" s="116">
        <v>5.53</v>
      </c>
      <c r="N429" s="116">
        <v>5.62</v>
      </c>
      <c r="O429" s="116">
        <v>5.5</v>
      </c>
      <c r="P429" s="116">
        <v>5.55</v>
      </c>
      <c r="Q429" s="116">
        <v>27.65</v>
      </c>
      <c r="R429">
        <v>2047289</v>
      </c>
    </row>
    <row r="430" spans="1:18" x14ac:dyDescent="0.25">
      <c r="A430" s="170">
        <v>42635</v>
      </c>
      <c r="B430" s="116">
        <v>5.62</v>
      </c>
      <c r="C430" s="116">
        <v>5.58</v>
      </c>
      <c r="D430" s="116">
        <v>5.51</v>
      </c>
      <c r="E430" s="116">
        <v>5.6</v>
      </c>
      <c r="F430" s="116">
        <v>27.9</v>
      </c>
      <c r="G430">
        <v>450006</v>
      </c>
      <c r="H430" s="116"/>
      <c r="I430" s="116"/>
      <c r="L430" s="170">
        <v>42635</v>
      </c>
      <c r="M430" s="116">
        <v>5.58</v>
      </c>
      <c r="N430" s="116">
        <v>5.61</v>
      </c>
      <c r="O430" s="116">
        <v>5.51</v>
      </c>
      <c r="P430" s="116">
        <v>5.6</v>
      </c>
      <c r="Q430" s="116">
        <v>27.9</v>
      </c>
      <c r="R430">
        <v>2858814</v>
      </c>
    </row>
    <row r="431" spans="1:18" x14ac:dyDescent="0.25">
      <c r="A431" s="170">
        <v>42636</v>
      </c>
      <c r="B431" s="116">
        <v>5.64</v>
      </c>
      <c r="C431" s="116">
        <v>5.56</v>
      </c>
      <c r="D431" s="116">
        <v>5.47</v>
      </c>
      <c r="E431" s="116">
        <v>5.47</v>
      </c>
      <c r="F431" s="116">
        <v>27.8</v>
      </c>
      <c r="G431">
        <v>575024</v>
      </c>
      <c r="H431" s="116"/>
      <c r="I431" s="116"/>
      <c r="L431" s="170">
        <v>42636</v>
      </c>
      <c r="M431" s="116">
        <v>5.56</v>
      </c>
      <c r="N431" s="116">
        <v>5.64</v>
      </c>
      <c r="O431" s="116">
        <v>5.54</v>
      </c>
      <c r="P431" s="116">
        <v>5.58</v>
      </c>
      <c r="Q431" s="116">
        <v>27.8</v>
      </c>
      <c r="R431">
        <v>3468418</v>
      </c>
    </row>
    <row r="432" spans="1:18" x14ac:dyDescent="0.25">
      <c r="A432" s="170">
        <v>42639</v>
      </c>
      <c r="B432" s="116">
        <v>5.6</v>
      </c>
      <c r="C432" s="116">
        <v>5.51</v>
      </c>
      <c r="D432" s="116">
        <v>5.49</v>
      </c>
      <c r="E432" s="116">
        <v>5.58</v>
      </c>
      <c r="F432" s="116">
        <v>27.55</v>
      </c>
      <c r="G432">
        <v>455028</v>
      </c>
      <c r="H432" s="116"/>
      <c r="I432" s="116"/>
      <c r="L432" s="170">
        <v>42639</v>
      </c>
      <c r="M432" s="116">
        <v>5.5</v>
      </c>
      <c r="N432" s="116">
        <v>5.6</v>
      </c>
      <c r="O432" s="116">
        <v>5.49</v>
      </c>
      <c r="P432" s="116">
        <v>5.56</v>
      </c>
      <c r="Q432" s="116">
        <v>27.5</v>
      </c>
      <c r="R432">
        <v>2005120</v>
      </c>
    </row>
    <row r="433" spans="1:18" x14ac:dyDescent="0.25">
      <c r="A433" s="170">
        <v>42640</v>
      </c>
      <c r="B433" s="116">
        <v>5.55</v>
      </c>
      <c r="C433" s="116">
        <v>5.47</v>
      </c>
      <c r="D433" s="116">
        <v>5.46</v>
      </c>
      <c r="E433" s="116">
        <v>5.52</v>
      </c>
      <c r="F433" s="116">
        <v>27.35</v>
      </c>
      <c r="G433">
        <v>377959</v>
      </c>
      <c r="H433" s="116"/>
      <c r="I433" s="116"/>
      <c r="L433" s="170">
        <v>42640</v>
      </c>
      <c r="M433" s="116">
        <v>5.47</v>
      </c>
      <c r="N433" s="116">
        <v>5.55</v>
      </c>
      <c r="O433" s="116">
        <v>5.45</v>
      </c>
      <c r="P433" s="116">
        <v>5.52</v>
      </c>
      <c r="Q433" s="116">
        <v>27.35</v>
      </c>
      <c r="R433">
        <v>2352067</v>
      </c>
    </row>
    <row r="434" spans="1:18" x14ac:dyDescent="0.25">
      <c r="A434" s="170">
        <v>42641</v>
      </c>
      <c r="B434" s="116">
        <v>5.51</v>
      </c>
      <c r="C434" s="116">
        <v>5.48</v>
      </c>
      <c r="D434" s="116">
        <v>5.45</v>
      </c>
      <c r="E434" s="116">
        <v>5.46</v>
      </c>
      <c r="F434" s="116">
        <v>27.4</v>
      </c>
      <c r="G434">
        <v>372967</v>
      </c>
      <c r="H434" s="116"/>
      <c r="I434" s="116"/>
      <c r="L434" s="170">
        <v>42641</v>
      </c>
      <c r="M434" s="116">
        <v>5.47</v>
      </c>
      <c r="N434" s="116">
        <v>5.52</v>
      </c>
      <c r="O434" s="116">
        <v>5.46</v>
      </c>
      <c r="P434" s="116">
        <v>5.46</v>
      </c>
      <c r="Q434" s="116">
        <v>27.35</v>
      </c>
      <c r="R434">
        <v>2776011</v>
      </c>
    </row>
    <row r="435" spans="1:18" x14ac:dyDescent="0.25">
      <c r="A435" s="170">
        <v>42642</v>
      </c>
      <c r="B435" s="116">
        <v>5.53</v>
      </c>
      <c r="C435" s="116">
        <v>5.03</v>
      </c>
      <c r="D435" s="116">
        <v>4.95</v>
      </c>
      <c r="E435" s="116">
        <v>5.53</v>
      </c>
      <c r="F435" s="116">
        <v>25.15</v>
      </c>
      <c r="G435">
        <v>1785274</v>
      </c>
      <c r="H435" s="116"/>
      <c r="I435" s="116"/>
      <c r="L435" s="170">
        <v>42642</v>
      </c>
      <c r="M435" s="116">
        <v>5.01</v>
      </c>
      <c r="N435" s="116">
        <v>5.53</v>
      </c>
      <c r="O435" s="116">
        <v>4.96</v>
      </c>
      <c r="P435" s="116">
        <v>5.49</v>
      </c>
      <c r="Q435" s="116">
        <v>25.05</v>
      </c>
      <c r="R435">
        <v>9492886</v>
      </c>
    </row>
    <row r="436" spans="1:18" x14ac:dyDescent="0.25">
      <c r="A436" s="170">
        <v>42643</v>
      </c>
      <c r="B436" s="116">
        <v>5.14</v>
      </c>
      <c r="C436" s="116">
        <v>4.99</v>
      </c>
      <c r="D436" s="116">
        <v>4.9400000000000004</v>
      </c>
      <c r="E436" s="116">
        <v>5.14</v>
      </c>
      <c r="F436" s="116">
        <v>24.95</v>
      </c>
      <c r="G436">
        <v>1260578</v>
      </c>
      <c r="H436" s="116"/>
      <c r="I436" s="116"/>
      <c r="L436" s="170">
        <v>42643</v>
      </c>
      <c r="M436" s="116">
        <v>4.9800000000000004</v>
      </c>
      <c r="N436" s="116">
        <v>5.04</v>
      </c>
      <c r="O436" s="116">
        <v>4.92</v>
      </c>
      <c r="P436" s="116">
        <v>5.0199999999999996</v>
      </c>
      <c r="Q436" s="116">
        <v>24.9</v>
      </c>
      <c r="R436">
        <v>10570312</v>
      </c>
    </row>
    <row r="437" spans="1:18" x14ac:dyDescent="0.25">
      <c r="A437" s="170">
        <v>42646</v>
      </c>
      <c r="B437" s="116">
        <v>5.18</v>
      </c>
      <c r="C437" s="116">
        <v>5.14</v>
      </c>
      <c r="D437" s="116">
        <v>5.0199999999999996</v>
      </c>
      <c r="E437" s="116">
        <v>5.07</v>
      </c>
      <c r="F437" s="116">
        <v>25.7</v>
      </c>
      <c r="G437">
        <v>732808</v>
      </c>
      <c r="H437" s="116"/>
      <c r="I437" s="116"/>
      <c r="L437" s="170">
        <v>42646</v>
      </c>
      <c r="M437" s="116">
        <v>5.13</v>
      </c>
      <c r="N437" s="116">
        <v>5.15</v>
      </c>
      <c r="O437" s="116">
        <v>5.0199999999999996</v>
      </c>
      <c r="P437" s="116">
        <v>5.03</v>
      </c>
      <c r="Q437" s="116">
        <v>25.65</v>
      </c>
      <c r="R437">
        <v>4165012</v>
      </c>
    </row>
    <row r="438" spans="1:18" x14ac:dyDescent="0.25">
      <c r="A438" s="170">
        <v>42647</v>
      </c>
      <c r="B438" s="116">
        <v>5.2</v>
      </c>
      <c r="C438" s="116">
        <v>5.15</v>
      </c>
      <c r="D438" s="116">
        <v>5.0999999999999996</v>
      </c>
      <c r="E438" s="116">
        <v>5.14</v>
      </c>
      <c r="F438" s="116">
        <v>25.75</v>
      </c>
      <c r="G438">
        <v>495319</v>
      </c>
      <c r="H438" s="116"/>
      <c r="I438" s="116"/>
      <c r="L438" s="170">
        <v>42647</v>
      </c>
      <c r="M438" s="116">
        <v>5.15</v>
      </c>
      <c r="N438" s="116">
        <v>5.21</v>
      </c>
      <c r="O438" s="116">
        <v>5.12</v>
      </c>
      <c r="P438" s="116">
        <v>5.13</v>
      </c>
      <c r="Q438" s="116">
        <v>25.75</v>
      </c>
      <c r="R438">
        <v>3477005</v>
      </c>
    </row>
    <row r="439" spans="1:18" x14ac:dyDescent="0.25">
      <c r="A439" s="170">
        <v>42648</v>
      </c>
      <c r="B439" s="116">
        <v>5.2</v>
      </c>
      <c r="C439" s="116">
        <v>5.14</v>
      </c>
      <c r="D439" s="116">
        <v>5.13</v>
      </c>
      <c r="E439" s="116">
        <v>5.16</v>
      </c>
      <c r="F439" s="116">
        <v>25.7</v>
      </c>
      <c r="G439">
        <v>505529</v>
      </c>
      <c r="H439" s="116"/>
      <c r="I439" s="116"/>
      <c r="L439" s="170">
        <v>42648</v>
      </c>
      <c r="M439" s="116">
        <v>5.14</v>
      </c>
      <c r="N439" s="116">
        <v>5.21</v>
      </c>
      <c r="O439" s="116">
        <v>5.13</v>
      </c>
      <c r="P439" s="116">
        <v>5.19</v>
      </c>
      <c r="Q439" s="116">
        <v>25.7</v>
      </c>
      <c r="R439">
        <v>2715935</v>
      </c>
    </row>
    <row r="440" spans="1:18" x14ac:dyDescent="0.25">
      <c r="A440" s="170">
        <v>42649</v>
      </c>
      <c r="B440" s="116">
        <v>5.27</v>
      </c>
      <c r="C440" s="116">
        <v>5.09</v>
      </c>
      <c r="D440" s="116">
        <v>5.0599999999999996</v>
      </c>
      <c r="E440" s="116">
        <v>5.17</v>
      </c>
      <c r="F440" s="116">
        <v>25.45</v>
      </c>
      <c r="G440">
        <v>927196</v>
      </c>
      <c r="H440" s="116"/>
      <c r="I440" s="116"/>
      <c r="L440" s="170">
        <v>42649</v>
      </c>
      <c r="M440" s="116">
        <v>5.08</v>
      </c>
      <c r="N440" s="116">
        <v>5.28</v>
      </c>
      <c r="O440" s="116">
        <v>5.05</v>
      </c>
      <c r="P440" s="116">
        <v>5.18</v>
      </c>
      <c r="Q440" s="116">
        <v>25.4</v>
      </c>
      <c r="R440">
        <v>5161300</v>
      </c>
    </row>
    <row r="441" spans="1:18" x14ac:dyDescent="0.25">
      <c r="A441" s="170">
        <v>42650</v>
      </c>
      <c r="B441" s="116">
        <v>5.29</v>
      </c>
      <c r="C441" s="116">
        <v>5.18</v>
      </c>
      <c r="D441" s="116">
        <v>5.05</v>
      </c>
      <c r="E441" s="116">
        <v>5.13</v>
      </c>
      <c r="F441" s="116">
        <v>25.9</v>
      </c>
      <c r="G441">
        <v>841510</v>
      </c>
      <c r="H441" s="116"/>
      <c r="I441" s="116"/>
      <c r="L441" s="170">
        <v>42650</v>
      </c>
      <c r="M441" s="116">
        <v>5.18</v>
      </c>
      <c r="N441" s="116">
        <v>5.22</v>
      </c>
      <c r="O441" s="116">
        <v>5.04</v>
      </c>
      <c r="P441" s="116">
        <v>5.08</v>
      </c>
      <c r="Q441" s="116">
        <v>25.9</v>
      </c>
      <c r="R441">
        <v>11783813</v>
      </c>
    </row>
    <row r="442" spans="1:18" x14ac:dyDescent="0.25">
      <c r="A442" s="170">
        <v>42653</v>
      </c>
      <c r="B442" s="116">
        <v>5.23</v>
      </c>
      <c r="C442" s="116">
        <v>5.19</v>
      </c>
      <c r="D442" s="116">
        <v>5.15</v>
      </c>
      <c r="E442" s="116">
        <v>5.16</v>
      </c>
      <c r="F442" s="116">
        <v>25.95</v>
      </c>
      <c r="G442">
        <v>410016</v>
      </c>
      <c r="H442" s="116"/>
      <c r="I442" s="116"/>
      <c r="L442" s="170">
        <v>42653</v>
      </c>
      <c r="M442" s="116">
        <v>5.18</v>
      </c>
      <c r="N442" s="116">
        <v>5.25</v>
      </c>
      <c r="O442" s="116">
        <v>5.15</v>
      </c>
      <c r="P442" s="116">
        <v>5.19</v>
      </c>
      <c r="Q442" s="116">
        <v>25.9</v>
      </c>
      <c r="R442">
        <v>2942515</v>
      </c>
    </row>
    <row r="443" spans="1:18" x14ac:dyDescent="0.25">
      <c r="A443" s="170">
        <v>42656</v>
      </c>
      <c r="B443" s="116">
        <v>5.17</v>
      </c>
      <c r="C443" s="116">
        <v>5.05</v>
      </c>
      <c r="D443" s="116">
        <v>5.01</v>
      </c>
      <c r="E443" s="116">
        <v>5.17</v>
      </c>
      <c r="F443" s="116">
        <v>25.25</v>
      </c>
      <c r="G443">
        <v>606193</v>
      </c>
      <c r="H443" s="116"/>
      <c r="I443" s="116"/>
      <c r="L443" s="170">
        <v>42656</v>
      </c>
      <c r="M443" s="116">
        <v>5.04</v>
      </c>
      <c r="N443" s="116">
        <v>5.17</v>
      </c>
      <c r="O443" s="116">
        <v>5</v>
      </c>
      <c r="P443" s="116">
        <v>5.16</v>
      </c>
      <c r="Q443" s="116">
        <v>25.2</v>
      </c>
      <c r="R443">
        <v>4404589</v>
      </c>
    </row>
    <row r="444" spans="1:18" x14ac:dyDescent="0.25">
      <c r="A444" s="170">
        <v>42657</v>
      </c>
      <c r="B444" s="116">
        <v>5.3</v>
      </c>
      <c r="C444" s="116">
        <v>5.21</v>
      </c>
      <c r="D444" s="116">
        <v>5.04</v>
      </c>
      <c r="E444" s="116">
        <v>5.07</v>
      </c>
      <c r="F444" s="116">
        <v>26.05</v>
      </c>
      <c r="G444">
        <v>1080517</v>
      </c>
      <c r="H444" s="116"/>
      <c r="I444" s="116"/>
      <c r="L444" s="170">
        <v>42657</v>
      </c>
      <c r="M444" s="116">
        <v>5.21</v>
      </c>
      <c r="N444" s="116">
        <v>5.24</v>
      </c>
      <c r="O444" s="116">
        <v>5.05</v>
      </c>
      <c r="P444" s="116">
        <v>5.07</v>
      </c>
      <c r="Q444" s="116">
        <v>26.05</v>
      </c>
      <c r="R444">
        <v>10051152</v>
      </c>
    </row>
    <row r="445" spans="1:18" x14ac:dyDescent="0.25">
      <c r="A445" s="170">
        <v>42660</v>
      </c>
      <c r="B445" s="116">
        <v>5.36</v>
      </c>
      <c r="C445" s="116">
        <v>5.28</v>
      </c>
      <c r="D445" s="116">
        <v>5.0999999999999996</v>
      </c>
      <c r="E445" s="116">
        <v>5.28</v>
      </c>
      <c r="F445" s="116">
        <v>26.4</v>
      </c>
      <c r="G445">
        <v>1173921</v>
      </c>
      <c r="H445" s="116"/>
      <c r="I445" s="116"/>
      <c r="L445" s="170">
        <v>42660</v>
      </c>
      <c r="M445" s="116">
        <v>5.3</v>
      </c>
      <c r="N445" s="116">
        <v>5.38</v>
      </c>
      <c r="O445" s="116">
        <v>5.0999999999999996</v>
      </c>
      <c r="P445" s="116">
        <v>5.23</v>
      </c>
      <c r="Q445" s="116">
        <v>26.5</v>
      </c>
      <c r="R445">
        <v>13293803</v>
      </c>
    </row>
    <row r="446" spans="1:18" x14ac:dyDescent="0.25">
      <c r="A446" s="170">
        <v>42661</v>
      </c>
      <c r="B446" s="116">
        <v>5.41</v>
      </c>
      <c r="C446" s="116">
        <v>5.34</v>
      </c>
      <c r="D446" s="116">
        <v>5.3</v>
      </c>
      <c r="E446" s="116">
        <v>5.31</v>
      </c>
      <c r="F446" s="116">
        <v>26.7</v>
      </c>
      <c r="G446">
        <v>977439</v>
      </c>
      <c r="H446" s="116"/>
      <c r="I446" s="116"/>
      <c r="L446" s="170">
        <v>42661</v>
      </c>
      <c r="M446" s="116">
        <v>5.33</v>
      </c>
      <c r="N446" s="116">
        <v>5.43</v>
      </c>
      <c r="O446" s="116">
        <v>5.3</v>
      </c>
      <c r="P446" s="116">
        <v>5.34</v>
      </c>
      <c r="Q446" s="116">
        <v>26.65</v>
      </c>
      <c r="R446">
        <v>12067234</v>
      </c>
    </row>
    <row r="447" spans="1:18" x14ac:dyDescent="0.25">
      <c r="A447" s="170">
        <v>42662</v>
      </c>
      <c r="B447" s="116">
        <v>5.46</v>
      </c>
      <c r="C447" s="116">
        <v>5.41</v>
      </c>
      <c r="D447" s="116">
        <v>5.32</v>
      </c>
      <c r="E447" s="116">
        <v>5.34</v>
      </c>
      <c r="F447" s="116">
        <v>27.05</v>
      </c>
      <c r="G447">
        <v>1182456</v>
      </c>
      <c r="H447" s="116"/>
      <c r="I447" s="116"/>
      <c r="L447" s="170">
        <v>42662</v>
      </c>
      <c r="M447" s="116">
        <v>5.41</v>
      </c>
      <c r="N447" s="116">
        <v>5.47</v>
      </c>
      <c r="O447" s="116">
        <v>5.32</v>
      </c>
      <c r="P447" s="116">
        <v>5.33</v>
      </c>
      <c r="Q447" s="116">
        <v>27.05</v>
      </c>
      <c r="R447">
        <v>13151366</v>
      </c>
    </row>
    <row r="448" spans="1:18" x14ac:dyDescent="0.25">
      <c r="A448" s="170">
        <v>42663</v>
      </c>
      <c r="B448" s="116">
        <v>5.54</v>
      </c>
      <c r="C448" s="116">
        <v>5.52</v>
      </c>
      <c r="D448" s="116">
        <v>5.41</v>
      </c>
      <c r="E448" s="116">
        <v>5.47</v>
      </c>
      <c r="F448" s="116">
        <v>27.6</v>
      </c>
      <c r="G448">
        <v>889420</v>
      </c>
      <c r="H448" s="116"/>
      <c r="I448" s="116"/>
      <c r="L448" s="170">
        <v>42663</v>
      </c>
      <c r="M448" s="116">
        <v>5.53</v>
      </c>
      <c r="N448" s="116">
        <v>5.56</v>
      </c>
      <c r="O448" s="116">
        <v>5.42</v>
      </c>
      <c r="P448" s="116">
        <v>5.43</v>
      </c>
      <c r="Q448" s="116">
        <v>27.65</v>
      </c>
      <c r="R448">
        <v>12525001</v>
      </c>
    </row>
    <row r="449" spans="1:18" x14ac:dyDescent="0.25">
      <c r="A449" s="170">
        <v>42664</v>
      </c>
      <c r="B449" s="116">
        <v>5.56</v>
      </c>
      <c r="C449" s="116">
        <v>5.54</v>
      </c>
      <c r="D449" s="116">
        <v>5.48</v>
      </c>
      <c r="E449" s="116">
        <v>5.54</v>
      </c>
      <c r="F449" s="116">
        <v>27.7</v>
      </c>
      <c r="G449">
        <v>456492</v>
      </c>
      <c r="H449" s="116"/>
      <c r="I449" s="116"/>
      <c r="L449" s="170">
        <v>42664</v>
      </c>
      <c r="M449" s="116">
        <v>5.54</v>
      </c>
      <c r="N449" s="116">
        <v>5.57</v>
      </c>
      <c r="O449" s="116">
        <v>5.48</v>
      </c>
      <c r="P449" s="116">
        <v>5.52</v>
      </c>
      <c r="Q449" s="116">
        <v>27.7</v>
      </c>
      <c r="R449">
        <v>5931567</v>
      </c>
    </row>
    <row r="450" spans="1:18" x14ac:dyDescent="0.25">
      <c r="A450" s="170">
        <v>42667</v>
      </c>
      <c r="B450" s="116">
        <v>5.65</v>
      </c>
      <c r="C450" s="116">
        <v>5.39</v>
      </c>
      <c r="D450" s="116">
        <v>5.36</v>
      </c>
      <c r="E450" s="116">
        <v>5.58</v>
      </c>
      <c r="F450" s="116">
        <v>26.95</v>
      </c>
      <c r="G450">
        <v>1638700</v>
      </c>
      <c r="H450" s="116"/>
      <c r="I450" s="116"/>
      <c r="L450" s="170">
        <v>42667</v>
      </c>
      <c r="M450" s="116">
        <v>5.39</v>
      </c>
      <c r="N450" s="116">
        <v>5.64</v>
      </c>
      <c r="O450" s="116">
        <v>5.34</v>
      </c>
      <c r="P450" s="116">
        <v>5.59</v>
      </c>
      <c r="Q450" s="116">
        <v>26.95</v>
      </c>
      <c r="R450">
        <v>15065741</v>
      </c>
    </row>
    <row r="451" spans="1:18" x14ac:dyDescent="0.25">
      <c r="A451" s="170">
        <v>42668</v>
      </c>
      <c r="B451" s="116">
        <v>5.4</v>
      </c>
      <c r="C451" s="116">
        <v>5.16</v>
      </c>
      <c r="D451" s="116">
        <v>5.09</v>
      </c>
      <c r="E451" s="116">
        <v>5.38</v>
      </c>
      <c r="F451" s="116">
        <v>25.8</v>
      </c>
      <c r="G451">
        <v>3553867</v>
      </c>
      <c r="H451" s="116"/>
      <c r="I451" s="116"/>
      <c r="L451" s="170">
        <v>42668</v>
      </c>
      <c r="M451" s="116">
        <v>5.16</v>
      </c>
      <c r="N451" s="116">
        <v>5.42</v>
      </c>
      <c r="O451" s="116">
        <v>5.12</v>
      </c>
      <c r="P451" s="116">
        <v>5.39</v>
      </c>
      <c r="Q451" s="116">
        <v>25.8</v>
      </c>
      <c r="R451">
        <v>24281634</v>
      </c>
    </row>
    <row r="452" spans="1:18" x14ac:dyDescent="0.25">
      <c r="A452" s="170">
        <v>42669</v>
      </c>
      <c r="B452" s="116">
        <v>5.32</v>
      </c>
      <c r="C452" s="116">
        <v>5.2</v>
      </c>
      <c r="D452" s="116">
        <v>5.15</v>
      </c>
      <c r="E452" s="116">
        <v>5.16</v>
      </c>
      <c r="F452" s="116">
        <v>26</v>
      </c>
      <c r="G452">
        <v>783652</v>
      </c>
      <c r="H452" s="116"/>
      <c r="I452" s="116"/>
      <c r="L452" s="170">
        <v>42669</v>
      </c>
      <c r="M452" s="116">
        <v>5.19</v>
      </c>
      <c r="N452" s="116">
        <v>5.32</v>
      </c>
      <c r="O452" s="116">
        <v>5.14</v>
      </c>
      <c r="P452" s="116">
        <v>5.18</v>
      </c>
      <c r="Q452" s="116">
        <v>25.95</v>
      </c>
      <c r="R452">
        <v>7422824</v>
      </c>
    </row>
    <row r="453" spans="1:18" x14ac:dyDescent="0.25">
      <c r="A453" s="170">
        <v>42670</v>
      </c>
      <c r="B453" s="116">
        <v>5.44</v>
      </c>
      <c r="C453" s="116">
        <v>5.36</v>
      </c>
      <c r="D453" s="116">
        <v>5.14</v>
      </c>
      <c r="E453" s="116">
        <v>5.19</v>
      </c>
      <c r="F453" s="116">
        <v>26.8</v>
      </c>
      <c r="G453">
        <v>1746971</v>
      </c>
      <c r="H453" s="116"/>
      <c r="I453" s="116"/>
      <c r="L453" s="170">
        <v>42670</v>
      </c>
      <c r="M453" s="116">
        <v>5.36</v>
      </c>
      <c r="N453" s="116">
        <v>5.45</v>
      </c>
      <c r="O453" s="116">
        <v>5.14</v>
      </c>
      <c r="P453" s="116">
        <v>5.2</v>
      </c>
      <c r="Q453" s="116">
        <v>26.8</v>
      </c>
      <c r="R453">
        <v>119562566</v>
      </c>
    </row>
    <row r="454" spans="1:18" x14ac:dyDescent="0.25">
      <c r="A454" s="170">
        <v>42671</v>
      </c>
      <c r="B454" s="116">
        <v>5.52</v>
      </c>
      <c r="C454" s="116">
        <v>5.46</v>
      </c>
      <c r="D454" s="116">
        <v>5.24</v>
      </c>
      <c r="E454" s="116">
        <v>5.29</v>
      </c>
      <c r="F454" s="116">
        <v>27.3</v>
      </c>
      <c r="G454">
        <v>2439894</v>
      </c>
      <c r="H454" s="116"/>
      <c r="I454" s="116"/>
      <c r="L454" s="170">
        <v>42671</v>
      </c>
      <c r="M454" s="116">
        <v>5.47</v>
      </c>
      <c r="N454" s="116">
        <v>5.53</v>
      </c>
      <c r="O454" s="116">
        <v>5.23</v>
      </c>
      <c r="P454" s="116">
        <v>5.26</v>
      </c>
      <c r="Q454" s="116">
        <v>27.35</v>
      </c>
      <c r="R454">
        <v>17439525</v>
      </c>
    </row>
    <row r="455" spans="1:18" x14ac:dyDescent="0.25">
      <c r="A455" s="170">
        <v>42673</v>
      </c>
      <c r="B455" s="116">
        <v>5.53</v>
      </c>
      <c r="C455" s="116">
        <v>5.46</v>
      </c>
      <c r="D455" s="116">
        <v>5.44</v>
      </c>
      <c r="E455" s="116">
        <v>5.51</v>
      </c>
      <c r="F455" s="116">
        <v>27.3</v>
      </c>
      <c r="G455">
        <v>385096</v>
      </c>
      <c r="H455" s="116"/>
      <c r="I455" s="116"/>
      <c r="L455" s="170">
        <v>42673</v>
      </c>
      <c r="M455" s="116">
        <v>5.47</v>
      </c>
      <c r="N455" s="116">
        <v>5.53</v>
      </c>
      <c r="O455" s="116">
        <v>5.44</v>
      </c>
      <c r="P455" s="116">
        <v>5.53</v>
      </c>
      <c r="Q455" s="116">
        <v>27.35</v>
      </c>
      <c r="R455">
        <v>1789390</v>
      </c>
    </row>
    <row r="456" spans="1:18" x14ac:dyDescent="0.25">
      <c r="A456" s="170">
        <v>42675</v>
      </c>
      <c r="B456" s="116">
        <v>5.52</v>
      </c>
      <c r="C456" s="116">
        <v>5.44</v>
      </c>
      <c r="D456" s="116">
        <v>5.41</v>
      </c>
      <c r="E456" s="116">
        <v>5.48</v>
      </c>
      <c r="F456" s="116">
        <v>27.2</v>
      </c>
      <c r="G456">
        <v>704949</v>
      </c>
      <c r="H456" s="116"/>
      <c r="I456" s="116"/>
      <c r="L456" s="170">
        <v>42675</v>
      </c>
      <c r="M456" s="116">
        <v>5.43</v>
      </c>
      <c r="N456" s="116">
        <v>5.53</v>
      </c>
      <c r="O456" s="116">
        <v>5.41</v>
      </c>
      <c r="P456" s="116">
        <v>5.46</v>
      </c>
      <c r="Q456" s="116">
        <v>27.15</v>
      </c>
      <c r="R456">
        <v>6203431</v>
      </c>
    </row>
    <row r="457" spans="1:18" x14ac:dyDescent="0.25">
      <c r="A457" s="170">
        <v>42676</v>
      </c>
      <c r="B457" s="116">
        <v>5.39</v>
      </c>
      <c r="C457" s="116">
        <v>5.31</v>
      </c>
      <c r="D457" s="116">
        <v>5.3</v>
      </c>
      <c r="E457" s="116">
        <v>5.33</v>
      </c>
      <c r="F457" s="116">
        <v>26.55</v>
      </c>
      <c r="G457">
        <v>592296</v>
      </c>
      <c r="H457" s="116"/>
      <c r="I457" s="116"/>
      <c r="L457" s="170">
        <v>42676</v>
      </c>
      <c r="M457" s="116">
        <v>5.31</v>
      </c>
      <c r="N457" s="116">
        <v>5.39</v>
      </c>
      <c r="O457" s="116">
        <v>5.29</v>
      </c>
      <c r="P457" s="116">
        <v>5.38</v>
      </c>
      <c r="Q457" s="116">
        <v>26.55</v>
      </c>
      <c r="R457">
        <v>4950453</v>
      </c>
    </row>
    <row r="458" spans="1:18" x14ac:dyDescent="0.25">
      <c r="A458" s="170">
        <v>42677</v>
      </c>
      <c r="B458" s="116">
        <v>5.39</v>
      </c>
      <c r="C458" s="116">
        <v>5.25</v>
      </c>
      <c r="D458" s="116">
        <v>5.22</v>
      </c>
      <c r="E458" s="116">
        <v>5.31</v>
      </c>
      <c r="F458" s="116">
        <v>26.25</v>
      </c>
      <c r="G458">
        <v>617146</v>
      </c>
      <c r="H458" s="116"/>
      <c r="I458" s="116"/>
      <c r="L458" s="170">
        <v>42677</v>
      </c>
      <c r="M458" s="116">
        <v>5.25</v>
      </c>
      <c r="N458" s="116">
        <v>5.39</v>
      </c>
      <c r="O458" s="116">
        <v>5.23</v>
      </c>
      <c r="P458" s="116">
        <v>5.29</v>
      </c>
      <c r="Q458" s="116">
        <v>26.25</v>
      </c>
      <c r="R458">
        <v>4680606</v>
      </c>
    </row>
    <row r="459" spans="1:18" x14ac:dyDescent="0.25">
      <c r="A459" s="170">
        <v>42678</v>
      </c>
      <c r="B459" s="116">
        <v>5.29</v>
      </c>
      <c r="C459" s="116">
        <v>5.08</v>
      </c>
      <c r="D459" s="116">
        <v>5.04</v>
      </c>
      <c r="E459" s="116">
        <v>5.29</v>
      </c>
      <c r="F459" s="116">
        <v>25.4</v>
      </c>
      <c r="G459">
        <v>1385777</v>
      </c>
      <c r="H459" s="116"/>
      <c r="I459" s="116"/>
      <c r="L459" s="170">
        <v>42678</v>
      </c>
      <c r="M459" s="116">
        <v>5.07</v>
      </c>
      <c r="N459" s="116">
        <v>5.33</v>
      </c>
      <c r="O459" s="116">
        <v>5.04</v>
      </c>
      <c r="P459" s="116">
        <v>5.27</v>
      </c>
      <c r="Q459" s="116">
        <v>25.35</v>
      </c>
      <c r="R459">
        <v>7184973</v>
      </c>
    </row>
    <row r="460" spans="1:18" x14ac:dyDescent="0.25">
      <c r="A460" s="170">
        <v>42681</v>
      </c>
      <c r="B460" s="116">
        <v>5.26</v>
      </c>
      <c r="C460" s="116">
        <v>5.16</v>
      </c>
      <c r="D460" s="116">
        <v>5.0999999999999996</v>
      </c>
      <c r="E460" s="116">
        <v>5.0999999999999996</v>
      </c>
      <c r="F460" s="116">
        <v>25.8</v>
      </c>
      <c r="G460">
        <v>656028</v>
      </c>
      <c r="H460" s="116"/>
      <c r="I460" s="116"/>
      <c r="L460" s="170">
        <v>42681</v>
      </c>
      <c r="M460" s="116">
        <v>5.16</v>
      </c>
      <c r="N460" s="116">
        <v>5.27</v>
      </c>
      <c r="O460" s="116">
        <v>5.12</v>
      </c>
      <c r="P460" s="116">
        <v>5.15</v>
      </c>
      <c r="Q460" s="116">
        <v>25.8</v>
      </c>
      <c r="R460">
        <v>5186127</v>
      </c>
    </row>
    <row r="461" spans="1:18" x14ac:dyDescent="0.25">
      <c r="A461" s="170">
        <v>42682</v>
      </c>
      <c r="B461" s="116">
        <v>5.21</v>
      </c>
      <c r="C461" s="116">
        <v>5.18</v>
      </c>
      <c r="D461" s="116">
        <v>5.1100000000000003</v>
      </c>
      <c r="E461" s="116">
        <v>5.2</v>
      </c>
      <c r="F461" s="116">
        <v>25.9</v>
      </c>
      <c r="G461">
        <v>502260</v>
      </c>
      <c r="H461" s="116"/>
      <c r="I461" s="116"/>
      <c r="L461" s="170">
        <v>42682</v>
      </c>
      <c r="M461" s="116">
        <v>5.18</v>
      </c>
      <c r="N461" s="116">
        <v>5.21</v>
      </c>
      <c r="O461" s="116">
        <v>5.1100000000000003</v>
      </c>
      <c r="P461" s="116">
        <v>5.2</v>
      </c>
      <c r="Q461" s="116">
        <v>25.9</v>
      </c>
      <c r="R461">
        <v>3897645</v>
      </c>
    </row>
    <row r="462" spans="1:18" x14ac:dyDescent="0.25">
      <c r="A462" s="170">
        <v>42683</v>
      </c>
      <c r="B462" s="116">
        <v>4.9800000000000004</v>
      </c>
      <c r="C462" s="116">
        <v>4.92</v>
      </c>
      <c r="D462" s="116">
        <v>4.67</v>
      </c>
      <c r="E462" s="116">
        <v>4.95</v>
      </c>
      <c r="F462" s="116">
        <v>24.6</v>
      </c>
      <c r="G462">
        <v>2091707</v>
      </c>
      <c r="H462" s="116"/>
      <c r="I462" s="116"/>
      <c r="L462" s="170">
        <v>42683</v>
      </c>
      <c r="M462" s="116">
        <v>4.92</v>
      </c>
      <c r="N462" s="116">
        <v>4.97</v>
      </c>
      <c r="O462" s="116">
        <v>4.63</v>
      </c>
      <c r="P462" s="116">
        <v>4.84</v>
      </c>
      <c r="Q462" s="116">
        <v>24.6</v>
      </c>
      <c r="R462">
        <v>11174979</v>
      </c>
    </row>
    <row r="463" spans="1:18" x14ac:dyDescent="0.25">
      <c r="A463" s="170">
        <v>42684</v>
      </c>
      <c r="B463" s="116">
        <v>5.25</v>
      </c>
      <c r="C463" s="116">
        <v>5.17</v>
      </c>
      <c r="D463" s="116">
        <v>5.03</v>
      </c>
      <c r="E463" s="116">
        <v>5.03</v>
      </c>
      <c r="F463" s="116">
        <v>25.85</v>
      </c>
      <c r="G463">
        <v>1452202</v>
      </c>
      <c r="H463" s="116"/>
      <c r="I463" s="116"/>
      <c r="L463" s="170">
        <v>42684</v>
      </c>
      <c r="M463" s="116">
        <v>5.17</v>
      </c>
      <c r="N463" s="116">
        <v>5.26</v>
      </c>
      <c r="O463" s="116">
        <v>5.03</v>
      </c>
      <c r="P463" s="116">
        <v>5.0999999999999996</v>
      </c>
      <c r="Q463" s="116">
        <v>25.85</v>
      </c>
      <c r="R463">
        <v>6827381</v>
      </c>
    </row>
    <row r="464" spans="1:18" x14ac:dyDescent="0.25">
      <c r="A464" s="170">
        <v>42685</v>
      </c>
      <c r="B464" s="116">
        <v>5.14</v>
      </c>
      <c r="C464" s="116">
        <v>5.03</v>
      </c>
      <c r="D464" s="116">
        <v>4.9800000000000004</v>
      </c>
      <c r="E464" s="116">
        <v>5.0999999999999996</v>
      </c>
      <c r="F464" s="116">
        <v>25.15</v>
      </c>
      <c r="G464">
        <v>770533</v>
      </c>
      <c r="H464" s="116"/>
      <c r="I464" s="116"/>
      <c r="L464" s="170">
        <v>42685</v>
      </c>
      <c r="M464" s="116">
        <v>5.0199999999999996</v>
      </c>
      <c r="N464" s="116">
        <v>5.15</v>
      </c>
      <c r="O464" s="116">
        <v>4.97</v>
      </c>
      <c r="P464" s="116">
        <v>5.15</v>
      </c>
      <c r="Q464" s="116">
        <v>25.1</v>
      </c>
      <c r="R464">
        <v>5230827</v>
      </c>
    </row>
    <row r="465" spans="1:18" x14ac:dyDescent="0.25">
      <c r="A465" s="170">
        <v>42689</v>
      </c>
      <c r="B465" s="116">
        <v>5.0199999999999996</v>
      </c>
      <c r="C465" s="116">
        <v>4.87</v>
      </c>
      <c r="D465" s="116">
        <v>4.8499999999999996</v>
      </c>
      <c r="E465" s="116">
        <v>5.0199999999999996</v>
      </c>
      <c r="F465" s="116">
        <v>24.35</v>
      </c>
      <c r="G465">
        <v>1191698</v>
      </c>
      <c r="H465" s="116"/>
      <c r="I465" s="116"/>
      <c r="L465" s="170">
        <v>42689</v>
      </c>
      <c r="M465" s="116">
        <v>4.87</v>
      </c>
      <c r="N465" s="116">
        <v>5.04</v>
      </c>
      <c r="O465" s="116">
        <v>4.84</v>
      </c>
      <c r="P465" s="116">
        <v>5</v>
      </c>
      <c r="Q465" s="116">
        <v>24.35</v>
      </c>
      <c r="R465">
        <v>5384464</v>
      </c>
    </row>
    <row r="466" spans="1:18" x14ac:dyDescent="0.25">
      <c r="A466" s="170">
        <v>42690</v>
      </c>
      <c r="B466" s="116">
        <v>4.96</v>
      </c>
      <c r="C466" s="116">
        <v>4.8099999999999996</v>
      </c>
      <c r="D466" s="116">
        <v>4.8</v>
      </c>
      <c r="E466" s="116">
        <v>4.93</v>
      </c>
      <c r="F466" s="116">
        <v>24.05</v>
      </c>
      <c r="G466">
        <v>615734</v>
      </c>
      <c r="H466" s="116"/>
      <c r="I466" s="116"/>
      <c r="L466" s="170">
        <v>42690</v>
      </c>
      <c r="M466" s="116">
        <v>4.8099999999999996</v>
      </c>
      <c r="N466" s="116">
        <v>4.96</v>
      </c>
      <c r="O466" s="116">
        <v>4.8</v>
      </c>
      <c r="P466" s="116">
        <v>4.9000000000000004</v>
      </c>
      <c r="Q466" s="116">
        <v>24.05</v>
      </c>
      <c r="R466">
        <v>3179227</v>
      </c>
    </row>
    <row r="467" spans="1:18" x14ac:dyDescent="0.25">
      <c r="A467" s="170">
        <v>42691</v>
      </c>
      <c r="B467" s="116">
        <v>4.97</v>
      </c>
      <c r="C467" s="116">
        <v>4.8899999999999997</v>
      </c>
      <c r="D467" s="116">
        <v>4.8</v>
      </c>
      <c r="E467" s="116">
        <v>4.8099999999999996</v>
      </c>
      <c r="F467" s="116">
        <v>24.45</v>
      </c>
      <c r="G467">
        <v>544529</v>
      </c>
      <c r="H467" s="116"/>
      <c r="I467" s="116"/>
      <c r="L467" s="170">
        <v>42691</v>
      </c>
      <c r="M467" s="116">
        <v>4.8899999999999997</v>
      </c>
      <c r="N467" s="116">
        <v>4.9800000000000004</v>
      </c>
      <c r="O467" s="116">
        <v>4.8</v>
      </c>
      <c r="P467" s="116">
        <v>4.83</v>
      </c>
      <c r="Q467" s="116">
        <v>24.45</v>
      </c>
      <c r="R467">
        <v>3567506</v>
      </c>
    </row>
    <row r="468" spans="1:18" x14ac:dyDescent="0.25">
      <c r="A468" s="170">
        <v>42692</v>
      </c>
      <c r="B468" s="116">
        <v>4.9400000000000004</v>
      </c>
      <c r="C468" s="116">
        <v>4.91</v>
      </c>
      <c r="D468" s="116">
        <v>4.87</v>
      </c>
      <c r="E468" s="116">
        <v>4.9000000000000004</v>
      </c>
      <c r="F468" s="116">
        <v>24.55</v>
      </c>
      <c r="G468">
        <v>395161</v>
      </c>
      <c r="H468" s="116"/>
      <c r="I468" s="116"/>
      <c r="L468" s="170">
        <v>42692</v>
      </c>
      <c r="M468" s="116">
        <v>4.91</v>
      </c>
      <c r="N468" s="116">
        <v>4.95</v>
      </c>
      <c r="O468" s="116">
        <v>4.8600000000000003</v>
      </c>
      <c r="P468" s="116">
        <v>4.9000000000000004</v>
      </c>
      <c r="Q468" s="116">
        <v>24.55</v>
      </c>
      <c r="R468">
        <v>1890044</v>
      </c>
    </row>
    <row r="469" spans="1:18" x14ac:dyDescent="0.25">
      <c r="A469" s="170">
        <v>42695</v>
      </c>
      <c r="B469" s="116">
        <v>4.99</v>
      </c>
      <c r="C469" s="116">
        <v>4.78</v>
      </c>
      <c r="D469" s="116">
        <v>4.74</v>
      </c>
      <c r="E469" s="116">
        <v>4.9400000000000004</v>
      </c>
      <c r="F469" s="116">
        <v>23.9</v>
      </c>
      <c r="G469">
        <v>562840</v>
      </c>
      <c r="H469" s="116"/>
      <c r="I469" s="116"/>
      <c r="L469" s="170">
        <v>42695</v>
      </c>
      <c r="M469" s="116">
        <v>4.78</v>
      </c>
      <c r="N469" s="116">
        <v>5</v>
      </c>
      <c r="O469" s="116">
        <v>4.7300000000000004</v>
      </c>
      <c r="P469" s="116">
        <v>4.92</v>
      </c>
      <c r="Q469" s="116">
        <v>23.9</v>
      </c>
      <c r="R469">
        <v>3997073</v>
      </c>
    </row>
    <row r="470" spans="1:18" x14ac:dyDescent="0.25">
      <c r="A470" s="170">
        <v>42696</v>
      </c>
      <c r="B470" s="116">
        <v>4.84</v>
      </c>
      <c r="C470" s="116">
        <v>4.8</v>
      </c>
      <c r="D470" s="116">
        <v>4.72</v>
      </c>
      <c r="E470" s="116">
        <v>4.8</v>
      </c>
      <c r="F470" s="116">
        <v>24</v>
      </c>
      <c r="G470">
        <v>398963</v>
      </c>
      <c r="H470" s="116"/>
      <c r="I470" s="116"/>
      <c r="L470" s="170">
        <v>42696</v>
      </c>
      <c r="M470" s="116">
        <v>4.8</v>
      </c>
      <c r="N470" s="116">
        <v>4.8499999999999996</v>
      </c>
      <c r="O470" s="116">
        <v>4.74</v>
      </c>
      <c r="P470" s="116">
        <v>4.8</v>
      </c>
      <c r="Q470" s="116">
        <v>24</v>
      </c>
      <c r="R470">
        <v>3315745</v>
      </c>
    </row>
    <row r="471" spans="1:18" x14ac:dyDescent="0.25">
      <c r="A471" s="170">
        <v>42697</v>
      </c>
      <c r="B471" s="116">
        <v>4.97</v>
      </c>
      <c r="C471" s="116">
        <v>4.93</v>
      </c>
      <c r="D471" s="116">
        <v>4.8099999999999996</v>
      </c>
      <c r="E471" s="116">
        <v>4.8499999999999996</v>
      </c>
      <c r="F471" s="116">
        <v>24.65</v>
      </c>
      <c r="G471">
        <v>853701</v>
      </c>
      <c r="H471" s="116"/>
      <c r="I471" s="116"/>
      <c r="L471" s="170">
        <v>42697</v>
      </c>
      <c r="M471" s="116">
        <v>4.9400000000000004</v>
      </c>
      <c r="N471" s="116">
        <v>4.9800000000000004</v>
      </c>
      <c r="O471" s="116">
        <v>4.8</v>
      </c>
      <c r="P471" s="116">
        <v>4.8600000000000003</v>
      </c>
      <c r="Q471" s="116">
        <v>24.7</v>
      </c>
      <c r="R471">
        <v>6519299</v>
      </c>
    </row>
    <row r="472" spans="1:18" x14ac:dyDescent="0.25">
      <c r="A472" s="170">
        <v>42698</v>
      </c>
      <c r="B472" s="116">
        <v>4.9400000000000004</v>
      </c>
      <c r="C472" s="116">
        <v>4.83</v>
      </c>
      <c r="D472" s="116">
        <v>4.7699999999999996</v>
      </c>
      <c r="E472" s="116">
        <v>4.91</v>
      </c>
      <c r="F472" s="116">
        <v>24.15</v>
      </c>
      <c r="G472">
        <v>779153</v>
      </c>
      <c r="H472" s="116"/>
      <c r="I472" s="116"/>
      <c r="L472" s="170">
        <v>42698</v>
      </c>
      <c r="M472" s="116">
        <v>4.8099999999999996</v>
      </c>
      <c r="N472" s="116">
        <v>4.9400000000000004</v>
      </c>
      <c r="O472" s="116">
        <v>4.75</v>
      </c>
      <c r="P472" s="116">
        <v>4.9400000000000004</v>
      </c>
      <c r="Q472" s="116">
        <v>24.05</v>
      </c>
      <c r="R472">
        <v>7691698</v>
      </c>
    </row>
    <row r="473" spans="1:18" x14ac:dyDescent="0.25">
      <c r="A473" s="170">
        <v>42699</v>
      </c>
      <c r="B473" s="116">
        <v>4.93</v>
      </c>
      <c r="C473" s="116">
        <v>4.9000000000000004</v>
      </c>
      <c r="D473" s="116">
        <v>4.8600000000000003</v>
      </c>
      <c r="E473" s="116">
        <v>4.93</v>
      </c>
      <c r="F473" s="116">
        <v>24.5</v>
      </c>
      <c r="G473">
        <v>562363</v>
      </c>
      <c r="H473" s="116"/>
      <c r="I473" s="116"/>
      <c r="L473" s="170">
        <v>42699</v>
      </c>
      <c r="M473" s="116">
        <v>4.8899999999999997</v>
      </c>
      <c r="N473" s="116">
        <v>4.9400000000000004</v>
      </c>
      <c r="O473" s="116">
        <v>4.8499999999999996</v>
      </c>
      <c r="P473" s="116">
        <v>4.91</v>
      </c>
      <c r="Q473" s="116">
        <v>24.45</v>
      </c>
      <c r="R473">
        <v>2893807</v>
      </c>
    </row>
    <row r="474" spans="1:18" x14ac:dyDescent="0.25">
      <c r="A474" s="170">
        <v>42702</v>
      </c>
      <c r="B474" s="116">
        <v>5.46</v>
      </c>
      <c r="C474" s="116">
        <v>5.43</v>
      </c>
      <c r="D474" s="116">
        <v>4.8899999999999997</v>
      </c>
      <c r="E474" s="116">
        <v>4.92</v>
      </c>
      <c r="F474" s="116">
        <v>27.15</v>
      </c>
      <c r="G474">
        <v>2499760</v>
      </c>
      <c r="H474" s="116"/>
      <c r="I474" s="116"/>
      <c r="L474" s="170">
        <v>42702</v>
      </c>
      <c r="M474" s="116">
        <v>5.45</v>
      </c>
      <c r="N474" s="116">
        <v>5.49</v>
      </c>
      <c r="O474" s="116">
        <v>4.88</v>
      </c>
      <c r="P474" s="116">
        <v>4.8899999999999997</v>
      </c>
      <c r="Q474" s="116">
        <v>27.25</v>
      </c>
      <c r="R474">
        <v>22439112</v>
      </c>
    </row>
    <row r="475" spans="1:18" x14ac:dyDescent="0.25">
      <c r="A475" s="170">
        <v>42703</v>
      </c>
      <c r="B475" s="116">
        <v>5.69</v>
      </c>
      <c r="C475" s="116">
        <v>5.64</v>
      </c>
      <c r="D475" s="116">
        <v>5.38</v>
      </c>
      <c r="E475" s="116">
        <v>5.47</v>
      </c>
      <c r="F475" s="116">
        <v>28.2</v>
      </c>
      <c r="G475">
        <v>2175629</v>
      </c>
      <c r="H475" s="116"/>
      <c r="I475" s="116"/>
      <c r="L475" s="170">
        <v>42703</v>
      </c>
      <c r="M475" s="116">
        <v>5.66</v>
      </c>
      <c r="N475" s="116">
        <v>5.71</v>
      </c>
      <c r="O475" s="116">
        <v>5.37</v>
      </c>
      <c r="P475" s="116">
        <v>5.45</v>
      </c>
      <c r="Q475" s="116">
        <v>28.3</v>
      </c>
      <c r="R475">
        <v>22269136</v>
      </c>
    </row>
    <row r="476" spans="1:18" x14ac:dyDescent="0.25">
      <c r="A476" s="170">
        <v>42704</v>
      </c>
      <c r="B476" s="116">
        <v>5.76</v>
      </c>
      <c r="C476" s="116">
        <v>5.73</v>
      </c>
      <c r="D476" s="116">
        <v>5.6</v>
      </c>
      <c r="E476" s="116">
        <v>5.67</v>
      </c>
      <c r="F476" s="116">
        <v>28.65</v>
      </c>
      <c r="G476">
        <v>1555140</v>
      </c>
      <c r="H476" s="116"/>
      <c r="I476" s="116"/>
      <c r="L476" s="170">
        <v>42704</v>
      </c>
      <c r="M476" s="116">
        <v>5.74</v>
      </c>
      <c r="N476" s="116">
        <v>5.78</v>
      </c>
      <c r="O476" s="116">
        <v>5.6</v>
      </c>
      <c r="P476" s="116">
        <v>5.7</v>
      </c>
      <c r="Q476" s="116">
        <v>28.7</v>
      </c>
      <c r="R476">
        <v>16057621</v>
      </c>
    </row>
    <row r="477" spans="1:18" x14ac:dyDescent="0.25">
      <c r="A477" s="170">
        <v>42705</v>
      </c>
      <c r="B477" s="116">
        <v>5.94</v>
      </c>
      <c r="C477" s="116">
        <v>5.82</v>
      </c>
      <c r="D477" s="116">
        <v>5.65</v>
      </c>
      <c r="E477" s="116">
        <v>5.73</v>
      </c>
      <c r="F477" s="116">
        <v>29.1</v>
      </c>
      <c r="G477">
        <v>1762674</v>
      </c>
      <c r="H477" s="116"/>
      <c r="I477" s="116"/>
      <c r="L477" s="170">
        <v>42705</v>
      </c>
      <c r="M477" s="116">
        <v>5.82</v>
      </c>
      <c r="N477" s="116">
        <v>5.95</v>
      </c>
      <c r="O477" s="116">
        <v>5.65</v>
      </c>
      <c r="P477" s="116">
        <v>5.74</v>
      </c>
      <c r="Q477" s="116">
        <v>29.1</v>
      </c>
      <c r="R477">
        <v>16697840</v>
      </c>
    </row>
    <row r="478" spans="1:18" x14ac:dyDescent="0.25">
      <c r="A478" s="170">
        <v>42706</v>
      </c>
      <c r="B478" s="116">
        <v>5.91</v>
      </c>
      <c r="C478" s="116">
        <v>5.81</v>
      </c>
      <c r="D478" s="116">
        <v>5.69</v>
      </c>
      <c r="E478" s="116">
        <v>5.78</v>
      </c>
      <c r="F478" s="116">
        <v>29.05</v>
      </c>
      <c r="G478">
        <v>1506525</v>
      </c>
      <c r="H478" s="116"/>
      <c r="I478" s="116"/>
      <c r="L478" s="170">
        <v>42706</v>
      </c>
      <c r="M478" s="116">
        <v>5.83</v>
      </c>
      <c r="N478" s="116">
        <v>5.93</v>
      </c>
      <c r="O478" s="116">
        <v>5.69</v>
      </c>
      <c r="P478" s="116">
        <v>5.8</v>
      </c>
      <c r="Q478" s="116">
        <v>29.15</v>
      </c>
      <c r="R478">
        <v>13615538</v>
      </c>
    </row>
    <row r="479" spans="1:18" x14ac:dyDescent="0.25">
      <c r="A479" s="170">
        <v>42709</v>
      </c>
      <c r="B479" s="116">
        <v>6.32</v>
      </c>
      <c r="C479" s="116">
        <v>6.21</v>
      </c>
      <c r="D479" s="116">
        <v>5.78</v>
      </c>
      <c r="E479" s="116">
        <v>5.82</v>
      </c>
      <c r="F479" s="116">
        <v>31.05</v>
      </c>
      <c r="G479">
        <v>3075680</v>
      </c>
      <c r="H479" s="116"/>
      <c r="I479" s="116"/>
      <c r="L479" s="170">
        <v>42709</v>
      </c>
      <c r="M479" s="116">
        <v>6.22</v>
      </c>
      <c r="N479" s="116">
        <v>6.32</v>
      </c>
      <c r="O479" s="116">
        <v>5.77</v>
      </c>
      <c r="P479" s="116">
        <v>5.8</v>
      </c>
      <c r="Q479" s="116">
        <v>31.1</v>
      </c>
      <c r="R479">
        <v>20036205</v>
      </c>
    </row>
    <row r="480" spans="1:18" x14ac:dyDescent="0.25">
      <c r="A480" s="170">
        <v>42710</v>
      </c>
      <c r="B480" s="116">
        <v>6.52</v>
      </c>
      <c r="C480" s="116">
        <v>6.43</v>
      </c>
      <c r="D480" s="116">
        <v>6.35</v>
      </c>
      <c r="E480" s="116">
        <v>6.38</v>
      </c>
      <c r="F480" s="116">
        <v>32.15</v>
      </c>
      <c r="G480">
        <v>2907582</v>
      </c>
      <c r="H480" s="116"/>
      <c r="I480" s="116"/>
      <c r="L480" s="170">
        <v>42710</v>
      </c>
      <c r="M480" s="116">
        <v>6.45</v>
      </c>
      <c r="N480" s="116">
        <v>6.53</v>
      </c>
      <c r="O480" s="116">
        <v>6.34</v>
      </c>
      <c r="P480" s="116">
        <v>6.41</v>
      </c>
      <c r="Q480" s="116">
        <v>32.25</v>
      </c>
      <c r="R480">
        <v>22469935</v>
      </c>
    </row>
    <row r="481" spans="1:18" x14ac:dyDescent="0.25">
      <c r="A481" s="170">
        <v>42711</v>
      </c>
      <c r="B481" s="116">
        <v>6.79</v>
      </c>
      <c r="C481" s="116">
        <v>6.36</v>
      </c>
      <c r="D481" s="116">
        <v>6.24</v>
      </c>
      <c r="E481" s="116">
        <v>6.49</v>
      </c>
      <c r="F481" s="116">
        <v>31.8</v>
      </c>
      <c r="G481">
        <v>3885784</v>
      </c>
      <c r="H481" s="116"/>
      <c r="I481" s="116"/>
      <c r="L481" s="170">
        <v>42711</v>
      </c>
      <c r="M481" s="116">
        <v>6.36</v>
      </c>
      <c r="N481" s="116">
        <v>6.81</v>
      </c>
      <c r="O481" s="116">
        <v>6.23</v>
      </c>
      <c r="P481" s="116">
        <v>6.45</v>
      </c>
      <c r="Q481" s="116">
        <v>31.8</v>
      </c>
      <c r="R481">
        <v>38412048</v>
      </c>
    </row>
    <row r="482" spans="1:18" x14ac:dyDescent="0.25">
      <c r="A482" s="170">
        <v>42712</v>
      </c>
      <c r="B482" s="116">
        <v>6.47</v>
      </c>
      <c r="C482" s="116">
        <v>6.33</v>
      </c>
      <c r="D482" s="116">
        <v>6.26</v>
      </c>
      <c r="E482" s="116">
        <v>6.4</v>
      </c>
      <c r="F482" s="116">
        <v>31.65</v>
      </c>
      <c r="G482">
        <v>1447464</v>
      </c>
      <c r="H482" s="116"/>
      <c r="I482" s="116"/>
      <c r="L482" s="170">
        <v>42712</v>
      </c>
      <c r="M482" s="116">
        <v>6.35</v>
      </c>
      <c r="N482" s="116">
        <v>6.47</v>
      </c>
      <c r="O482" s="116">
        <v>6.26</v>
      </c>
      <c r="P482" s="116">
        <v>6.43</v>
      </c>
      <c r="Q482" s="116">
        <v>31.75</v>
      </c>
      <c r="R482">
        <v>11056079</v>
      </c>
    </row>
    <row r="483" spans="1:18" x14ac:dyDescent="0.25">
      <c r="A483" s="170">
        <v>42713</v>
      </c>
      <c r="B483" s="116">
        <v>6.42</v>
      </c>
      <c r="C483" s="116">
        <v>6.36</v>
      </c>
      <c r="D483" s="116">
        <v>6.28</v>
      </c>
      <c r="E483" s="116">
        <v>6.36</v>
      </c>
      <c r="F483" s="116">
        <v>31.8</v>
      </c>
      <c r="G483">
        <v>943321</v>
      </c>
      <c r="H483" s="116"/>
      <c r="I483" s="116"/>
      <c r="L483" s="170">
        <v>42713</v>
      </c>
      <c r="M483" s="116">
        <v>6.36</v>
      </c>
      <c r="N483" s="116">
        <v>6.44</v>
      </c>
      <c r="O483" s="116">
        <v>6.28</v>
      </c>
      <c r="P483" s="116">
        <v>6.38</v>
      </c>
      <c r="Q483" s="116">
        <v>31.8</v>
      </c>
      <c r="R483">
        <v>6699626</v>
      </c>
    </row>
    <row r="484" spans="1:18" x14ac:dyDescent="0.25">
      <c r="A484" s="170">
        <v>42716</v>
      </c>
      <c r="B484" s="116">
        <v>6.55</v>
      </c>
      <c r="C484" s="116">
        <v>6.39</v>
      </c>
      <c r="D484" s="116">
        <v>6.31</v>
      </c>
      <c r="E484" s="116">
        <v>6.37</v>
      </c>
      <c r="F484" s="116">
        <v>31.95</v>
      </c>
      <c r="G484">
        <v>1189925</v>
      </c>
      <c r="H484" s="116"/>
      <c r="I484" s="116"/>
      <c r="L484" s="170">
        <v>42716</v>
      </c>
      <c r="M484" s="116">
        <v>6.4</v>
      </c>
      <c r="N484" s="116">
        <v>6.57</v>
      </c>
      <c r="O484" s="116">
        <v>6.3</v>
      </c>
      <c r="P484" s="116">
        <v>6.41</v>
      </c>
      <c r="Q484" s="116">
        <v>32</v>
      </c>
      <c r="R484">
        <v>8088219</v>
      </c>
    </row>
    <row r="485" spans="1:18" x14ac:dyDescent="0.25">
      <c r="A485" s="170">
        <v>42717</v>
      </c>
      <c r="B485" s="116">
        <v>6.51</v>
      </c>
      <c r="C485" s="116">
        <v>6.45</v>
      </c>
      <c r="D485" s="116">
        <v>6.33</v>
      </c>
      <c r="E485" s="116">
        <v>6.41</v>
      </c>
      <c r="F485" s="116">
        <v>32.25</v>
      </c>
      <c r="G485">
        <v>982951</v>
      </c>
      <c r="H485" s="116"/>
      <c r="I485" s="116"/>
      <c r="L485" s="170">
        <v>42717</v>
      </c>
      <c r="M485" s="116">
        <v>6.46</v>
      </c>
      <c r="N485" s="116">
        <v>6.51</v>
      </c>
      <c r="O485" s="116">
        <v>6.33</v>
      </c>
      <c r="P485" s="116">
        <v>6.4</v>
      </c>
      <c r="Q485" s="116">
        <v>32.299999999999997</v>
      </c>
      <c r="R485">
        <v>6566075</v>
      </c>
    </row>
    <row r="486" spans="1:18" x14ac:dyDescent="0.25">
      <c r="A486" s="170">
        <v>42718</v>
      </c>
      <c r="B486" s="116">
        <v>6.5</v>
      </c>
      <c r="C486" s="116">
        <v>6.37</v>
      </c>
      <c r="D486" s="116">
        <v>6.35</v>
      </c>
      <c r="E486" s="116">
        <v>6.5</v>
      </c>
      <c r="F486" s="116">
        <v>31.85</v>
      </c>
      <c r="G486">
        <v>789015</v>
      </c>
      <c r="H486" s="116"/>
      <c r="I486" s="116"/>
      <c r="L486" s="170">
        <v>42718</v>
      </c>
      <c r="M486" s="116">
        <v>6.37</v>
      </c>
      <c r="N486" s="116">
        <v>6.5</v>
      </c>
      <c r="O486" s="116">
        <v>6.36</v>
      </c>
      <c r="P486" s="116">
        <v>6.48</v>
      </c>
      <c r="Q486" s="116">
        <v>31.85</v>
      </c>
      <c r="R486">
        <v>3890544</v>
      </c>
    </row>
    <row r="487" spans="1:18" x14ac:dyDescent="0.25">
      <c r="A487" s="170">
        <v>42719</v>
      </c>
      <c r="B487" s="116">
        <v>6.57</v>
      </c>
      <c r="C487" s="116">
        <v>6.52</v>
      </c>
      <c r="D487" s="116">
        <v>6.29</v>
      </c>
      <c r="E487" s="116">
        <v>6.3</v>
      </c>
      <c r="F487" s="116">
        <v>32.6</v>
      </c>
      <c r="G487">
        <v>1364104</v>
      </c>
      <c r="H487" s="116"/>
      <c r="I487" s="116"/>
      <c r="L487" s="170">
        <v>42719</v>
      </c>
      <c r="M487" s="116">
        <v>6.52</v>
      </c>
      <c r="N487" s="116">
        <v>6.57</v>
      </c>
      <c r="O487" s="116">
        <v>6.28</v>
      </c>
      <c r="P487" s="116">
        <v>6.3</v>
      </c>
      <c r="Q487" s="116">
        <v>32.6</v>
      </c>
      <c r="R487">
        <v>10015714</v>
      </c>
    </row>
    <row r="488" spans="1:18" x14ac:dyDescent="0.25">
      <c r="A488" s="170">
        <v>42720</v>
      </c>
      <c r="B488" s="116">
        <v>6.58</v>
      </c>
      <c r="C488" s="116">
        <v>6.4</v>
      </c>
      <c r="D488" s="116">
        <v>6.36</v>
      </c>
      <c r="E488" s="116">
        <v>6.54</v>
      </c>
      <c r="F488" s="116">
        <v>32</v>
      </c>
      <c r="G488">
        <v>891747</v>
      </c>
      <c r="H488" s="116"/>
      <c r="I488" s="116"/>
      <c r="L488" s="170">
        <v>42720</v>
      </c>
      <c r="M488" s="116">
        <v>6.39</v>
      </c>
      <c r="N488" s="116">
        <v>6.58</v>
      </c>
      <c r="O488" s="116">
        <v>6.36</v>
      </c>
      <c r="P488" s="116">
        <v>6.58</v>
      </c>
      <c r="Q488" s="116">
        <v>31.95</v>
      </c>
      <c r="R488">
        <v>6202817</v>
      </c>
    </row>
    <row r="489" spans="1:18" x14ac:dyDescent="0.25">
      <c r="A489" s="170">
        <v>42723</v>
      </c>
      <c r="B489" s="116">
        <v>6.43</v>
      </c>
      <c r="C489" s="116">
        <v>6.3</v>
      </c>
      <c r="D489" s="116">
        <v>6.28</v>
      </c>
      <c r="E489" s="116">
        <v>6.39</v>
      </c>
      <c r="F489" s="116">
        <v>31.5</v>
      </c>
      <c r="G489">
        <v>680064</v>
      </c>
      <c r="H489" s="116"/>
      <c r="I489" s="116"/>
      <c r="L489" s="170">
        <v>42723</v>
      </c>
      <c r="M489" s="116">
        <v>6.3</v>
      </c>
      <c r="N489" s="116">
        <v>6.44</v>
      </c>
      <c r="O489" s="116">
        <v>6.28</v>
      </c>
      <c r="P489" s="116">
        <v>6.39</v>
      </c>
      <c r="Q489" s="116">
        <v>31.5</v>
      </c>
      <c r="R489">
        <v>5288911</v>
      </c>
    </row>
    <row r="490" spans="1:18" x14ac:dyDescent="0.25">
      <c r="A490" s="170">
        <v>42724</v>
      </c>
      <c r="B490" s="116">
        <v>6.37</v>
      </c>
      <c r="C490" s="116">
        <v>6.07</v>
      </c>
      <c r="D490" s="116">
        <v>6.03</v>
      </c>
      <c r="E490" s="116">
        <v>6.3</v>
      </c>
      <c r="F490" s="116">
        <v>30.35</v>
      </c>
      <c r="G490">
        <v>1236740</v>
      </c>
      <c r="H490" s="116"/>
      <c r="I490" s="116"/>
      <c r="L490" s="170">
        <v>42724</v>
      </c>
      <c r="M490" s="116">
        <v>6.07</v>
      </c>
      <c r="N490" s="116">
        <v>6.37</v>
      </c>
      <c r="O490" s="116">
        <v>6.02</v>
      </c>
      <c r="P490" s="116">
        <v>6.35</v>
      </c>
      <c r="Q490" s="116">
        <v>30.35</v>
      </c>
      <c r="R490">
        <v>6760350</v>
      </c>
    </row>
    <row r="491" spans="1:18" x14ac:dyDescent="0.25">
      <c r="A491" s="170">
        <v>42725</v>
      </c>
      <c r="B491" s="116">
        <v>6.22</v>
      </c>
      <c r="C491" s="116">
        <v>6.11</v>
      </c>
      <c r="D491" s="116">
        <v>6.08</v>
      </c>
      <c r="E491" s="116">
        <v>6.12</v>
      </c>
      <c r="F491" s="116">
        <v>30.55</v>
      </c>
      <c r="G491">
        <v>555285</v>
      </c>
      <c r="H491" s="116"/>
      <c r="I491" s="116"/>
      <c r="L491" s="170">
        <v>42725</v>
      </c>
      <c r="M491" s="116">
        <v>6.11</v>
      </c>
      <c r="N491" s="116">
        <v>6.23</v>
      </c>
      <c r="O491" s="116">
        <v>6.07</v>
      </c>
      <c r="P491" s="116">
        <v>6.1</v>
      </c>
      <c r="Q491" s="116">
        <v>30.55</v>
      </c>
      <c r="R491">
        <v>3608885</v>
      </c>
    </row>
    <row r="492" spans="1:18" x14ac:dyDescent="0.25">
      <c r="A492" s="170">
        <v>42726</v>
      </c>
      <c r="B492" s="116">
        <v>6.1</v>
      </c>
      <c r="C492" s="116">
        <v>5.86</v>
      </c>
      <c r="D492" s="116">
        <v>5.84</v>
      </c>
      <c r="E492" s="116">
        <v>6.1</v>
      </c>
      <c r="F492" s="116">
        <v>29.3</v>
      </c>
      <c r="G492">
        <v>909663</v>
      </c>
      <c r="H492" s="116"/>
      <c r="I492" s="116"/>
      <c r="L492" s="170">
        <v>42726</v>
      </c>
      <c r="M492" s="116">
        <v>5.87</v>
      </c>
      <c r="N492" s="116">
        <v>6.11</v>
      </c>
      <c r="O492" s="116">
        <v>5.84</v>
      </c>
      <c r="P492" s="116">
        <v>6.1</v>
      </c>
      <c r="Q492" s="116">
        <v>29.35</v>
      </c>
      <c r="R492">
        <v>6118477</v>
      </c>
    </row>
    <row r="493" spans="1:18" x14ac:dyDescent="0.25">
      <c r="A493" s="170">
        <v>42727</v>
      </c>
      <c r="B493" s="116">
        <v>5.92</v>
      </c>
      <c r="C493" s="116">
        <v>5.82</v>
      </c>
      <c r="D493" s="116">
        <v>5.74</v>
      </c>
      <c r="E493" s="116">
        <v>5.91</v>
      </c>
      <c r="F493" s="116">
        <v>29.1</v>
      </c>
      <c r="G493">
        <v>960606</v>
      </c>
      <c r="H493" s="116"/>
      <c r="I493" s="116"/>
      <c r="L493" s="170">
        <v>42727</v>
      </c>
      <c r="M493" s="116">
        <v>5.83</v>
      </c>
      <c r="N493" s="116">
        <v>5.94</v>
      </c>
      <c r="O493" s="116">
        <v>5.73</v>
      </c>
      <c r="P493" s="116">
        <v>5.9</v>
      </c>
      <c r="Q493" s="116">
        <v>29.15</v>
      </c>
      <c r="R493">
        <v>8273969</v>
      </c>
    </row>
    <row r="494" spans="1:18" x14ac:dyDescent="0.25">
      <c r="A494" s="170">
        <v>42730</v>
      </c>
      <c r="B494" s="116">
        <v>5.81</v>
      </c>
      <c r="C494" s="116">
        <v>5.59</v>
      </c>
      <c r="D494" s="116">
        <v>5.56</v>
      </c>
      <c r="E494" s="116">
        <v>5.81</v>
      </c>
      <c r="F494" s="116">
        <v>27.95</v>
      </c>
      <c r="G494">
        <v>656909</v>
      </c>
      <c r="H494" s="116"/>
      <c r="I494" s="116"/>
      <c r="L494" s="170">
        <v>42730</v>
      </c>
      <c r="M494" s="116">
        <v>5.58</v>
      </c>
      <c r="N494" s="116">
        <v>5.84</v>
      </c>
      <c r="O494" s="116">
        <v>5.55</v>
      </c>
      <c r="P494" s="116">
        <v>5.83</v>
      </c>
      <c r="Q494" s="116">
        <v>27.9</v>
      </c>
      <c r="R494">
        <v>5153924</v>
      </c>
    </row>
    <row r="495" spans="1:18" x14ac:dyDescent="0.25">
      <c r="A495" s="170">
        <v>42731</v>
      </c>
      <c r="B495" s="116">
        <v>5.8</v>
      </c>
      <c r="C495" s="116">
        <v>5.7</v>
      </c>
      <c r="D495" s="116">
        <v>5.48</v>
      </c>
      <c r="E495" s="116">
        <v>5.58</v>
      </c>
      <c r="F495" s="116">
        <v>28.5</v>
      </c>
      <c r="G495">
        <v>870327</v>
      </c>
      <c r="H495" s="116"/>
      <c r="I495" s="116"/>
      <c r="L495" s="170">
        <v>42731</v>
      </c>
      <c r="M495" s="116">
        <v>5.71</v>
      </c>
      <c r="N495" s="116">
        <v>5.9</v>
      </c>
      <c r="O495" s="116">
        <v>5.46</v>
      </c>
      <c r="P495" s="116">
        <v>5.6</v>
      </c>
      <c r="Q495" s="116">
        <v>28.55</v>
      </c>
      <c r="R495">
        <v>6931697</v>
      </c>
    </row>
    <row r="496" spans="1:18" x14ac:dyDescent="0.25">
      <c r="A496" s="170">
        <v>42732</v>
      </c>
      <c r="B496" s="116">
        <v>5.88</v>
      </c>
      <c r="C496" s="116">
        <v>5.77</v>
      </c>
      <c r="D496" s="116">
        <v>5.68</v>
      </c>
      <c r="E496" s="116">
        <v>5.88</v>
      </c>
      <c r="F496" s="116">
        <v>28.85</v>
      </c>
      <c r="G496">
        <v>673768</v>
      </c>
      <c r="H496" s="116"/>
      <c r="I496" s="116"/>
      <c r="L496" s="170">
        <v>42732</v>
      </c>
      <c r="M496" s="116">
        <v>5.77</v>
      </c>
      <c r="N496" s="116">
        <v>5.87</v>
      </c>
      <c r="O496" s="116">
        <v>5.68</v>
      </c>
      <c r="P496" s="116">
        <v>5.76</v>
      </c>
      <c r="Q496" s="116">
        <v>28.85</v>
      </c>
      <c r="R496">
        <v>5836584</v>
      </c>
    </row>
    <row r="497" spans="1:18" x14ac:dyDescent="0.25">
      <c r="A497" s="170">
        <v>42733</v>
      </c>
      <c r="B497" s="116">
        <v>6.07</v>
      </c>
      <c r="C497" s="116">
        <v>6.02</v>
      </c>
      <c r="D497" s="116">
        <v>5.77</v>
      </c>
      <c r="E497" s="116">
        <v>5.77</v>
      </c>
      <c r="F497" s="116">
        <v>30.1</v>
      </c>
      <c r="G497">
        <v>652768</v>
      </c>
      <c r="H497" s="116"/>
      <c r="I497" s="116"/>
      <c r="L497" s="170">
        <v>42733</v>
      </c>
      <c r="M497" s="116">
        <v>6.04</v>
      </c>
      <c r="N497" s="116">
        <v>6.1</v>
      </c>
      <c r="O497" s="116">
        <v>5.75</v>
      </c>
      <c r="P497" s="116">
        <v>5.77</v>
      </c>
      <c r="Q497" s="116">
        <v>30.2</v>
      </c>
      <c r="R497">
        <v>9591318</v>
      </c>
    </row>
    <row r="498" spans="1:18" x14ac:dyDescent="0.25">
      <c r="A498" s="170">
        <v>42734</v>
      </c>
      <c r="B498" s="116">
        <v>6.14</v>
      </c>
      <c r="C498" s="116">
        <v>6.02</v>
      </c>
      <c r="D498" s="116">
        <v>5.98</v>
      </c>
      <c r="E498" s="116">
        <v>6.12</v>
      </c>
      <c r="F498" s="116">
        <v>30.1</v>
      </c>
      <c r="G498">
        <v>877712</v>
      </c>
      <c r="H498" s="116"/>
      <c r="I498" s="116"/>
      <c r="L498" s="170">
        <v>42734</v>
      </c>
      <c r="M498" s="116">
        <v>6.01</v>
      </c>
      <c r="N498" s="116">
        <v>6.14</v>
      </c>
      <c r="O498" s="116">
        <v>5.98</v>
      </c>
      <c r="P498" s="116">
        <v>6.06</v>
      </c>
      <c r="Q498" s="116">
        <v>30.05</v>
      </c>
      <c r="R498">
        <v>15449242</v>
      </c>
    </row>
    <row r="499" spans="1:18" x14ac:dyDescent="0.25">
      <c r="A499" s="170">
        <v>42737</v>
      </c>
      <c r="B499" s="116">
        <v>6.15</v>
      </c>
      <c r="C499" s="116">
        <v>6.11</v>
      </c>
      <c r="D499" s="116">
        <v>5.84</v>
      </c>
      <c r="E499" s="116">
        <v>6.07</v>
      </c>
      <c r="F499" s="116">
        <v>30.55</v>
      </c>
      <c r="G499">
        <v>1262642</v>
      </c>
      <c r="H499" s="116"/>
      <c r="I499" s="116"/>
      <c r="L499" s="170">
        <v>42737</v>
      </c>
      <c r="M499" s="116">
        <v>6.12</v>
      </c>
      <c r="N499" s="116">
        <v>6.16</v>
      </c>
      <c r="O499" s="116">
        <v>5.82</v>
      </c>
      <c r="P499" s="116">
        <v>6.01</v>
      </c>
      <c r="Q499" s="116">
        <v>30.6</v>
      </c>
      <c r="R499">
        <v>15128286</v>
      </c>
    </row>
    <row r="500" spans="1:18" x14ac:dyDescent="0.25">
      <c r="A500" s="170">
        <v>42738</v>
      </c>
      <c r="B500" s="116">
        <v>6.18</v>
      </c>
      <c r="C500" s="116">
        <v>6.14</v>
      </c>
      <c r="D500" s="116">
        <v>6.04</v>
      </c>
      <c r="E500" s="116">
        <v>6.1</v>
      </c>
      <c r="F500" s="116">
        <v>30.7</v>
      </c>
      <c r="G500">
        <v>444035</v>
      </c>
      <c r="H500" s="116"/>
      <c r="I500" s="116"/>
      <c r="L500" s="170">
        <v>42738</v>
      </c>
      <c r="M500" s="116">
        <v>6.13</v>
      </c>
      <c r="N500" s="116">
        <v>6.19</v>
      </c>
      <c r="O500" s="116">
        <v>6.04</v>
      </c>
      <c r="P500" s="116">
        <v>6.15</v>
      </c>
      <c r="Q500" s="116">
        <v>30.65</v>
      </c>
      <c r="R500">
        <v>4458540</v>
      </c>
    </row>
    <row r="501" spans="1:18" x14ac:dyDescent="0.25">
      <c r="A501" s="170">
        <v>42739</v>
      </c>
      <c r="B501" s="116">
        <v>6.37</v>
      </c>
      <c r="C501" s="116">
        <v>6.32</v>
      </c>
      <c r="D501" s="116">
        <v>6.13</v>
      </c>
      <c r="E501" s="116">
        <v>6.13</v>
      </c>
      <c r="F501" s="116">
        <v>31.6</v>
      </c>
      <c r="G501">
        <v>1064567</v>
      </c>
      <c r="H501" s="116"/>
      <c r="I501" s="116"/>
      <c r="L501" s="170">
        <v>42739</v>
      </c>
      <c r="M501" s="116">
        <v>6.33</v>
      </c>
      <c r="N501" s="116">
        <v>6.36</v>
      </c>
      <c r="O501" s="116">
        <v>6.15</v>
      </c>
      <c r="P501" s="116">
        <v>6.17</v>
      </c>
      <c r="Q501" s="116">
        <v>31.65</v>
      </c>
      <c r="R501">
        <v>9124470</v>
      </c>
    </row>
    <row r="502" spans="1:18" x14ac:dyDescent="0.25">
      <c r="A502" s="170">
        <v>42740</v>
      </c>
      <c r="B502" s="116">
        <v>6.55</v>
      </c>
      <c r="C502" s="116">
        <v>6.52</v>
      </c>
      <c r="D502" s="116">
        <v>6.34</v>
      </c>
      <c r="E502" s="116">
        <v>6.4</v>
      </c>
      <c r="F502" s="116">
        <v>32.6</v>
      </c>
      <c r="G502">
        <v>1393756</v>
      </c>
      <c r="H502" s="116"/>
      <c r="I502" s="116"/>
      <c r="L502" s="170">
        <v>42740</v>
      </c>
      <c r="M502" s="116">
        <v>6.52</v>
      </c>
      <c r="N502" s="116">
        <v>6.55</v>
      </c>
      <c r="O502" s="116">
        <v>6.33</v>
      </c>
      <c r="P502" s="116">
        <v>6.33</v>
      </c>
      <c r="Q502" s="116">
        <v>32.6</v>
      </c>
      <c r="R502">
        <v>7912151</v>
      </c>
    </row>
    <row r="503" spans="1:18" x14ac:dyDescent="0.25">
      <c r="A503" s="170">
        <v>42741</v>
      </c>
      <c r="B503" s="116">
        <v>6.6</v>
      </c>
      <c r="C503" s="116">
        <v>6.53</v>
      </c>
      <c r="D503" s="116">
        <v>6.44</v>
      </c>
      <c r="E503" s="116">
        <v>6.45</v>
      </c>
      <c r="F503" s="116">
        <v>32.65</v>
      </c>
      <c r="G503">
        <v>996807</v>
      </c>
      <c r="H503" s="116"/>
      <c r="I503" s="116"/>
      <c r="L503" s="170">
        <v>42741</v>
      </c>
      <c r="M503" s="116">
        <v>6.54</v>
      </c>
      <c r="N503" s="116">
        <v>6.62</v>
      </c>
      <c r="O503" s="116">
        <v>6.42</v>
      </c>
      <c r="P503" s="116">
        <v>6.54</v>
      </c>
      <c r="Q503" s="116">
        <v>32.700000000000003</v>
      </c>
      <c r="R503">
        <v>9754559</v>
      </c>
    </row>
    <row r="504" spans="1:18" x14ac:dyDescent="0.25">
      <c r="A504" s="170">
        <v>42744</v>
      </c>
      <c r="B504" s="116">
        <v>6.6</v>
      </c>
      <c r="C504" s="116">
        <v>6.57</v>
      </c>
      <c r="D504" s="116">
        <v>6.46</v>
      </c>
      <c r="E504" s="116">
        <v>6.57</v>
      </c>
      <c r="F504" s="116">
        <v>32.85</v>
      </c>
      <c r="G504">
        <v>656623</v>
      </c>
      <c r="H504" s="116"/>
      <c r="I504" s="116"/>
      <c r="L504" s="170">
        <v>42744</v>
      </c>
      <c r="M504" s="116">
        <v>6.58</v>
      </c>
      <c r="N504" s="116">
        <v>6.6</v>
      </c>
      <c r="O504" s="116">
        <v>6.47</v>
      </c>
      <c r="P504" s="116">
        <v>6.57</v>
      </c>
      <c r="Q504" s="116">
        <v>32.9</v>
      </c>
      <c r="R504">
        <v>4950934</v>
      </c>
    </row>
    <row r="505" spans="1:18" x14ac:dyDescent="0.25">
      <c r="A505" s="170">
        <v>42745</v>
      </c>
      <c r="B505" s="116">
        <v>6.72</v>
      </c>
      <c r="C505" s="116">
        <v>6.7</v>
      </c>
      <c r="D505" s="116">
        <v>6.58</v>
      </c>
      <c r="E505" s="116">
        <v>6.61</v>
      </c>
      <c r="F505" s="116">
        <v>33.5</v>
      </c>
      <c r="G505">
        <v>718074</v>
      </c>
      <c r="H505" s="116"/>
      <c r="I505" s="116"/>
      <c r="L505" s="170">
        <v>42745</v>
      </c>
      <c r="M505" s="116">
        <v>6.7</v>
      </c>
      <c r="N505" s="116">
        <v>6.73</v>
      </c>
      <c r="O505" s="116">
        <v>6.58</v>
      </c>
      <c r="P505" s="116">
        <v>6.6</v>
      </c>
      <c r="Q505" s="116">
        <v>33.5</v>
      </c>
      <c r="R505">
        <v>7483093</v>
      </c>
    </row>
    <row r="506" spans="1:18" x14ac:dyDescent="0.25">
      <c r="A506" s="170">
        <v>42746</v>
      </c>
      <c r="B506" s="116">
        <v>7.05</v>
      </c>
      <c r="C506" s="116">
        <v>7.03</v>
      </c>
      <c r="D506" s="116">
        <v>6.76</v>
      </c>
      <c r="E506" s="116">
        <v>6.77</v>
      </c>
      <c r="F506" s="116">
        <v>35.15</v>
      </c>
      <c r="G506">
        <v>1924937</v>
      </c>
      <c r="H506" s="116"/>
      <c r="I506" s="116"/>
      <c r="L506" s="170">
        <v>42746</v>
      </c>
      <c r="M506" s="116">
        <v>7.03</v>
      </c>
      <c r="N506" s="116">
        <v>7.05</v>
      </c>
      <c r="O506" s="116">
        <v>6.76</v>
      </c>
      <c r="P506" s="116">
        <v>6.82</v>
      </c>
      <c r="Q506" s="116">
        <v>35.15</v>
      </c>
      <c r="R506">
        <v>12512471</v>
      </c>
    </row>
    <row r="507" spans="1:18" x14ac:dyDescent="0.25">
      <c r="A507" s="170">
        <v>42747</v>
      </c>
      <c r="B507" s="116">
        <v>7.38</v>
      </c>
      <c r="C507" s="116">
        <v>7.3</v>
      </c>
      <c r="D507" s="116">
        <v>6.85</v>
      </c>
      <c r="E507" s="116">
        <v>7.05</v>
      </c>
      <c r="F507" s="116">
        <v>36.5</v>
      </c>
      <c r="G507">
        <v>2754669</v>
      </c>
      <c r="H507" s="116"/>
      <c r="I507" s="116"/>
      <c r="L507" s="170">
        <v>42747</v>
      </c>
      <c r="M507" s="116">
        <v>7.29</v>
      </c>
      <c r="N507" s="116">
        <v>7.39</v>
      </c>
      <c r="O507" s="116">
        <v>6.84</v>
      </c>
      <c r="P507" s="116">
        <v>7.07</v>
      </c>
      <c r="Q507" s="116">
        <v>36.450000000000003</v>
      </c>
      <c r="R507">
        <v>21478291</v>
      </c>
    </row>
    <row r="508" spans="1:18" x14ac:dyDescent="0.25">
      <c r="A508" s="170">
        <v>42748</v>
      </c>
      <c r="B508" s="116">
        <v>7.46</v>
      </c>
      <c r="C508" s="116">
        <v>7.23</v>
      </c>
      <c r="D508" s="116">
        <v>7.16</v>
      </c>
      <c r="E508" s="116">
        <v>7.29</v>
      </c>
      <c r="F508" s="116">
        <v>36.15</v>
      </c>
      <c r="G508">
        <v>1688251</v>
      </c>
      <c r="H508" s="116"/>
      <c r="I508" s="116"/>
      <c r="L508" s="170">
        <v>42748</v>
      </c>
      <c r="M508" s="116">
        <v>7.23</v>
      </c>
      <c r="N508" s="116">
        <v>7.41</v>
      </c>
      <c r="O508" s="116">
        <v>7.15</v>
      </c>
      <c r="P508" s="116">
        <v>7.29</v>
      </c>
      <c r="Q508" s="116">
        <v>36.15</v>
      </c>
      <c r="R508">
        <v>12810423</v>
      </c>
    </row>
    <row r="509" spans="1:18" x14ac:dyDescent="0.25">
      <c r="A509" s="170">
        <v>42751</v>
      </c>
      <c r="B509" s="116">
        <v>7.37</v>
      </c>
      <c r="C509" s="116">
        <v>7.25</v>
      </c>
      <c r="D509" s="116">
        <v>7.15</v>
      </c>
      <c r="E509" s="116">
        <v>7.23</v>
      </c>
      <c r="F509" s="116">
        <v>36.25</v>
      </c>
      <c r="G509">
        <v>1412448</v>
      </c>
      <c r="H509" s="116"/>
      <c r="I509" s="116"/>
      <c r="L509" s="170">
        <v>42751</v>
      </c>
      <c r="M509" s="116">
        <v>7.23</v>
      </c>
      <c r="N509" s="116">
        <v>7.38</v>
      </c>
      <c r="O509" s="116">
        <v>7.14</v>
      </c>
      <c r="P509" s="116">
        <v>7.23</v>
      </c>
      <c r="Q509" s="116">
        <v>36.15</v>
      </c>
      <c r="R509">
        <v>8874649</v>
      </c>
    </row>
    <row r="510" spans="1:18" x14ac:dyDescent="0.25">
      <c r="A510" s="170">
        <v>42752</v>
      </c>
      <c r="B510" s="116">
        <v>7.46</v>
      </c>
      <c r="C510" s="116">
        <v>7.39</v>
      </c>
      <c r="D510" s="116">
        <v>7.2</v>
      </c>
      <c r="E510" s="116">
        <v>7.26</v>
      </c>
      <c r="F510" s="116">
        <v>36.950000000000003</v>
      </c>
      <c r="G510">
        <v>1554450</v>
      </c>
      <c r="H510" s="116"/>
      <c r="I510" s="116"/>
      <c r="L510" s="170">
        <v>42752</v>
      </c>
      <c r="M510" s="116">
        <v>7.4</v>
      </c>
      <c r="N510" s="116">
        <v>7.46</v>
      </c>
      <c r="O510" s="116">
        <v>7.19</v>
      </c>
      <c r="P510" s="116">
        <v>7.28</v>
      </c>
      <c r="Q510" s="116">
        <v>37</v>
      </c>
      <c r="R510">
        <v>10535800</v>
      </c>
    </row>
    <row r="511" spans="1:18" x14ac:dyDescent="0.25">
      <c r="A511" s="170">
        <v>42753</v>
      </c>
      <c r="B511" s="116">
        <v>7.63</v>
      </c>
      <c r="C511" s="116">
        <v>7.57</v>
      </c>
      <c r="D511" s="116">
        <v>7.43</v>
      </c>
      <c r="E511" s="116">
        <v>7.45</v>
      </c>
      <c r="F511" s="116">
        <v>37.85</v>
      </c>
      <c r="G511">
        <v>1837447</v>
      </c>
      <c r="H511" s="116"/>
      <c r="I511" s="116"/>
      <c r="L511" s="170">
        <v>42753</v>
      </c>
      <c r="M511" s="116">
        <v>7.57</v>
      </c>
      <c r="N511" s="116">
        <v>7.63</v>
      </c>
      <c r="O511" s="116">
        <v>7.42</v>
      </c>
      <c r="P511" s="116">
        <v>7.48</v>
      </c>
      <c r="Q511" s="116">
        <v>37.85</v>
      </c>
      <c r="R511">
        <v>14686482</v>
      </c>
    </row>
    <row r="512" spans="1:18" x14ac:dyDescent="0.25">
      <c r="A512" s="170">
        <v>42754</v>
      </c>
      <c r="B512" s="116">
        <v>7.78</v>
      </c>
      <c r="C512" s="116">
        <v>7.75</v>
      </c>
      <c r="D512" s="116">
        <v>7.52</v>
      </c>
      <c r="E512" s="116">
        <v>7.58</v>
      </c>
      <c r="F512" s="116">
        <v>38.75</v>
      </c>
      <c r="G512">
        <v>1896447</v>
      </c>
      <c r="H512" s="116"/>
      <c r="I512" s="116"/>
      <c r="L512" s="170">
        <v>42754</v>
      </c>
      <c r="M512" s="116">
        <v>7.75</v>
      </c>
      <c r="N512" s="116">
        <v>7.78</v>
      </c>
      <c r="O512" s="116">
        <v>7.51</v>
      </c>
      <c r="P512" s="116">
        <v>7.51</v>
      </c>
      <c r="Q512" s="116">
        <v>38.75</v>
      </c>
      <c r="R512">
        <v>14886361</v>
      </c>
    </row>
    <row r="513" spans="1:18" x14ac:dyDescent="0.25">
      <c r="A513" s="170">
        <v>42755</v>
      </c>
      <c r="B513" s="116">
        <v>7.79</v>
      </c>
      <c r="C513" s="116">
        <v>6.86</v>
      </c>
      <c r="D513" s="116">
        <v>6.79</v>
      </c>
      <c r="E513" s="116">
        <v>7.79</v>
      </c>
      <c r="F513" s="116">
        <v>34.299999999999997</v>
      </c>
      <c r="G513">
        <v>4357921</v>
      </c>
      <c r="H513" s="116"/>
      <c r="I513" s="116"/>
      <c r="L513" s="170">
        <v>42755</v>
      </c>
      <c r="M513" s="116">
        <v>6.87</v>
      </c>
      <c r="N513" s="116">
        <v>7.81</v>
      </c>
      <c r="O513" s="116">
        <v>6.78</v>
      </c>
      <c r="P513" s="116">
        <v>7.74</v>
      </c>
      <c r="Q513" s="116">
        <v>34.35</v>
      </c>
      <c r="R513">
        <v>38401489</v>
      </c>
    </row>
    <row r="514" spans="1:18" x14ac:dyDescent="0.25">
      <c r="A514" s="170">
        <v>42758</v>
      </c>
      <c r="B514" s="116">
        <v>7.02</v>
      </c>
      <c r="C514" s="116">
        <v>6.95</v>
      </c>
      <c r="D514" s="116">
        <v>6.71</v>
      </c>
      <c r="E514" s="116">
        <v>6.8</v>
      </c>
      <c r="F514" s="116">
        <v>34.75</v>
      </c>
      <c r="G514">
        <v>2289297</v>
      </c>
      <c r="H514" s="116"/>
      <c r="I514" s="116"/>
      <c r="L514" s="170">
        <v>42758</v>
      </c>
      <c r="M514" s="116">
        <v>6.95</v>
      </c>
      <c r="N514" s="116">
        <v>7.02</v>
      </c>
      <c r="O514" s="116">
        <v>6.7</v>
      </c>
      <c r="P514" s="116">
        <v>6.76</v>
      </c>
      <c r="Q514" s="116">
        <v>34.75</v>
      </c>
      <c r="R514">
        <v>20240104</v>
      </c>
    </row>
    <row r="515" spans="1:18" x14ac:dyDescent="0.25">
      <c r="A515" s="170">
        <v>42759</v>
      </c>
      <c r="B515" s="116">
        <v>7.07</v>
      </c>
      <c r="C515" s="116">
        <v>7.03</v>
      </c>
      <c r="D515" s="116">
        <v>6.93</v>
      </c>
      <c r="E515" s="116">
        <v>7</v>
      </c>
      <c r="F515" s="116">
        <v>35.15</v>
      </c>
      <c r="G515">
        <v>986248</v>
      </c>
      <c r="H515" s="116"/>
      <c r="I515" s="116"/>
      <c r="L515" s="170">
        <v>42759</v>
      </c>
      <c r="M515" s="116">
        <v>7.04</v>
      </c>
      <c r="N515" s="116">
        <v>7.08</v>
      </c>
      <c r="O515" s="116">
        <v>6.93</v>
      </c>
      <c r="P515" s="116">
        <v>6.96</v>
      </c>
      <c r="Q515" s="116">
        <v>35.200000000000003</v>
      </c>
      <c r="R515">
        <v>11106566</v>
      </c>
    </row>
    <row r="516" spans="1:18" x14ac:dyDescent="0.25">
      <c r="A516" s="170">
        <v>42760</v>
      </c>
      <c r="B516" s="116">
        <v>7.11</v>
      </c>
      <c r="C516" s="116">
        <v>7.07</v>
      </c>
      <c r="D516" s="116">
        <v>6.95</v>
      </c>
      <c r="E516" s="116">
        <v>7.06</v>
      </c>
      <c r="F516" s="116">
        <v>35.35</v>
      </c>
      <c r="G516">
        <v>1040376</v>
      </c>
      <c r="H516" s="116"/>
      <c r="I516" s="116"/>
      <c r="L516" s="170">
        <v>42760</v>
      </c>
      <c r="M516" s="116">
        <v>7.07</v>
      </c>
      <c r="N516" s="116">
        <v>7.12</v>
      </c>
      <c r="O516" s="116">
        <v>6.94</v>
      </c>
      <c r="P516" s="116">
        <v>7.02</v>
      </c>
      <c r="Q516" s="116">
        <v>35.35</v>
      </c>
      <c r="R516">
        <v>9405503</v>
      </c>
    </row>
    <row r="517" spans="1:18" x14ac:dyDescent="0.25">
      <c r="A517" s="170">
        <v>42762</v>
      </c>
      <c r="B517" s="116">
        <v>7.46</v>
      </c>
      <c r="C517" s="116">
        <v>7.32</v>
      </c>
      <c r="D517" s="116">
        <v>7.1</v>
      </c>
      <c r="E517" s="116">
        <v>7.1</v>
      </c>
      <c r="F517" s="116">
        <v>36.6</v>
      </c>
      <c r="G517">
        <v>2133999</v>
      </c>
      <c r="H517" s="116"/>
      <c r="I517" s="116"/>
      <c r="L517" s="170">
        <v>42762</v>
      </c>
      <c r="M517" s="116">
        <v>7.32</v>
      </c>
      <c r="N517" s="116">
        <v>7.47</v>
      </c>
      <c r="O517" s="116">
        <v>7.1</v>
      </c>
      <c r="P517" s="116">
        <v>7.15</v>
      </c>
      <c r="Q517" s="116">
        <v>36.6</v>
      </c>
      <c r="R517">
        <v>14043729</v>
      </c>
    </row>
    <row r="518" spans="1:18" x14ac:dyDescent="0.25">
      <c r="A518" s="170">
        <v>42765</v>
      </c>
      <c r="B518" s="116">
        <v>7.32</v>
      </c>
      <c r="C518" s="116">
        <v>7.21</v>
      </c>
      <c r="D518" s="116">
        <v>7.04</v>
      </c>
      <c r="E518" s="116">
        <v>7.3</v>
      </c>
      <c r="F518" s="116">
        <v>36.049999999999997</v>
      </c>
      <c r="G518">
        <v>1298995</v>
      </c>
      <c r="H518" s="116"/>
      <c r="I518" s="116"/>
      <c r="L518" s="170">
        <v>42765</v>
      </c>
      <c r="M518" s="116">
        <v>7.21</v>
      </c>
      <c r="N518" s="116">
        <v>7.32</v>
      </c>
      <c r="O518" s="116">
        <v>7.03</v>
      </c>
      <c r="P518" s="116">
        <v>7.32</v>
      </c>
      <c r="Q518" s="116">
        <v>36.049999999999997</v>
      </c>
      <c r="R518">
        <v>7780021</v>
      </c>
    </row>
    <row r="519" spans="1:18" x14ac:dyDescent="0.25">
      <c r="A519" s="170">
        <v>42766</v>
      </c>
      <c r="B519" s="116">
        <v>7.49</v>
      </c>
      <c r="C519" s="116">
        <v>7.24</v>
      </c>
      <c r="D519" s="116">
        <v>7.2</v>
      </c>
      <c r="E519" s="116">
        <v>7.2</v>
      </c>
      <c r="F519" s="116">
        <v>36.200000000000003</v>
      </c>
      <c r="G519">
        <v>1763213</v>
      </c>
      <c r="H519" s="116"/>
      <c r="I519" s="116"/>
      <c r="L519" s="170">
        <v>42766</v>
      </c>
      <c r="M519" s="116">
        <v>7.25</v>
      </c>
      <c r="N519" s="116">
        <v>7.5</v>
      </c>
      <c r="O519" s="116">
        <v>7.19</v>
      </c>
      <c r="P519" s="116">
        <v>7.21</v>
      </c>
      <c r="Q519" s="116">
        <v>36.25</v>
      </c>
      <c r="R519">
        <v>13522484</v>
      </c>
    </row>
    <row r="520" spans="1:18" x14ac:dyDescent="0.25">
      <c r="A520" s="170">
        <v>42767</v>
      </c>
      <c r="B520" s="116">
        <v>7.41</v>
      </c>
      <c r="C520" s="116">
        <v>7.37</v>
      </c>
      <c r="D520" s="116">
        <v>7.03</v>
      </c>
      <c r="E520" s="116">
        <v>7.3</v>
      </c>
      <c r="F520" s="116">
        <v>36.85</v>
      </c>
      <c r="G520">
        <v>2481113</v>
      </c>
      <c r="H520" s="116"/>
      <c r="I520" s="116"/>
      <c r="L520" s="170">
        <v>42767</v>
      </c>
      <c r="M520" s="116">
        <v>7.36</v>
      </c>
      <c r="N520" s="116">
        <v>7.41</v>
      </c>
      <c r="O520" s="116">
        <v>7.03</v>
      </c>
      <c r="P520" s="116">
        <v>7.3</v>
      </c>
      <c r="Q520" s="116">
        <v>36.799999999999997</v>
      </c>
      <c r="R520">
        <v>15202434</v>
      </c>
    </row>
    <row r="521" spans="1:18" x14ac:dyDescent="0.25">
      <c r="A521" s="170">
        <v>42768</v>
      </c>
      <c r="B521" s="116">
        <v>7.51</v>
      </c>
      <c r="C521" s="116">
        <v>7.38</v>
      </c>
      <c r="D521" s="116">
        <v>7.26</v>
      </c>
      <c r="E521" s="116">
        <v>7.28</v>
      </c>
      <c r="F521" s="116">
        <v>36.9</v>
      </c>
      <c r="G521">
        <v>900389</v>
      </c>
      <c r="H521" s="116"/>
      <c r="I521" s="116"/>
      <c r="L521" s="170">
        <v>42768</v>
      </c>
      <c r="M521" s="116">
        <v>7.4</v>
      </c>
      <c r="N521" s="116">
        <v>7.52</v>
      </c>
      <c r="O521" s="116">
        <v>7.26</v>
      </c>
      <c r="P521" s="116">
        <v>7.37</v>
      </c>
      <c r="Q521" s="116">
        <v>37</v>
      </c>
      <c r="R521">
        <v>11564558</v>
      </c>
    </row>
    <row r="522" spans="1:18" x14ac:dyDescent="0.25">
      <c r="A522" s="170">
        <v>42769</v>
      </c>
      <c r="B522" s="116">
        <v>7.47</v>
      </c>
      <c r="C522" s="116">
        <v>7.3</v>
      </c>
      <c r="D522" s="116">
        <v>7.22</v>
      </c>
      <c r="E522" s="116">
        <v>7.46</v>
      </c>
      <c r="F522" s="116">
        <v>36.5</v>
      </c>
      <c r="G522">
        <v>936392</v>
      </c>
      <c r="H522" s="116"/>
      <c r="I522" s="116"/>
      <c r="L522" s="170">
        <v>42769</v>
      </c>
      <c r="M522" s="116">
        <v>7.33</v>
      </c>
      <c r="N522" s="116">
        <v>7.49</v>
      </c>
      <c r="O522" s="116">
        <v>7.22</v>
      </c>
      <c r="P522" s="116">
        <v>7.4</v>
      </c>
      <c r="Q522" s="116">
        <v>36.65</v>
      </c>
      <c r="R522">
        <v>5814865</v>
      </c>
    </row>
    <row r="523" spans="1:18" x14ac:dyDescent="0.25">
      <c r="A523" s="170">
        <v>42772</v>
      </c>
      <c r="B523" s="116">
        <v>7.5</v>
      </c>
      <c r="C523" s="116">
        <v>7.45</v>
      </c>
      <c r="D523" s="116">
        <v>7.32</v>
      </c>
      <c r="E523" s="116">
        <v>7.4</v>
      </c>
      <c r="F523" s="116">
        <v>37.25</v>
      </c>
      <c r="G523">
        <v>1554636</v>
      </c>
      <c r="H523" s="116"/>
      <c r="I523" s="116"/>
      <c r="L523" s="170">
        <v>42772</v>
      </c>
      <c r="M523" s="116">
        <v>7.44</v>
      </c>
      <c r="N523" s="116">
        <v>7.52</v>
      </c>
      <c r="O523" s="116">
        <v>7.34</v>
      </c>
      <c r="P523" s="116">
        <v>7.37</v>
      </c>
      <c r="Q523" s="116">
        <v>37.200000000000003</v>
      </c>
      <c r="R523">
        <v>6158224</v>
      </c>
    </row>
    <row r="524" spans="1:18" x14ac:dyDescent="0.25">
      <c r="A524" s="170">
        <v>42773</v>
      </c>
      <c r="B524" s="116">
        <v>7.42</v>
      </c>
      <c r="C524" s="116">
        <v>7.3</v>
      </c>
      <c r="D524" s="116">
        <v>7.24</v>
      </c>
      <c r="E524" s="116">
        <v>7.42</v>
      </c>
      <c r="F524" s="116">
        <v>36.5</v>
      </c>
      <c r="G524">
        <v>473603</v>
      </c>
      <c r="H524" s="116"/>
      <c r="I524" s="116"/>
      <c r="L524" s="170">
        <v>42773</v>
      </c>
      <c r="M524" s="116">
        <v>7.29</v>
      </c>
      <c r="N524" s="116">
        <v>7.44</v>
      </c>
      <c r="O524" s="116">
        <v>7.22</v>
      </c>
      <c r="P524" s="116">
        <v>7.44</v>
      </c>
      <c r="Q524" s="116">
        <v>36.450000000000003</v>
      </c>
      <c r="R524">
        <v>3741289</v>
      </c>
    </row>
    <row r="525" spans="1:18" x14ac:dyDescent="0.25">
      <c r="A525" s="170">
        <v>42774</v>
      </c>
      <c r="B525" s="116">
        <v>7.39</v>
      </c>
      <c r="C525" s="116">
        <v>7.3</v>
      </c>
      <c r="D525" s="116">
        <v>7.17</v>
      </c>
      <c r="E525" s="116">
        <v>7.3</v>
      </c>
      <c r="F525" s="116">
        <v>36.5</v>
      </c>
      <c r="G525">
        <v>683732</v>
      </c>
      <c r="H525" s="116"/>
      <c r="I525" s="116"/>
      <c r="L525" s="170">
        <v>42774</v>
      </c>
      <c r="M525" s="116">
        <v>7.34</v>
      </c>
      <c r="N525" s="116">
        <v>7.41</v>
      </c>
      <c r="O525" s="116">
        <v>7.17</v>
      </c>
      <c r="P525" s="116">
        <v>7.35</v>
      </c>
      <c r="Q525" s="116">
        <v>36.700000000000003</v>
      </c>
      <c r="R525">
        <v>3271722</v>
      </c>
    </row>
    <row r="526" spans="1:18" x14ac:dyDescent="0.25">
      <c r="A526" s="170">
        <v>42775</v>
      </c>
      <c r="B526" s="116">
        <v>7.52</v>
      </c>
      <c r="C526" s="116">
        <v>7.34</v>
      </c>
      <c r="D526" s="116">
        <v>7.26</v>
      </c>
      <c r="E526" s="116">
        <v>7.39</v>
      </c>
      <c r="F526" s="116">
        <v>36.700000000000003</v>
      </c>
      <c r="G526">
        <v>1215898</v>
      </c>
      <c r="H526" s="116"/>
      <c r="I526" s="116"/>
      <c r="L526" s="170">
        <v>42775</v>
      </c>
      <c r="M526" s="116">
        <v>7.35</v>
      </c>
      <c r="N526" s="116">
        <v>7.53</v>
      </c>
      <c r="O526" s="116">
        <v>7.25</v>
      </c>
      <c r="P526" s="116">
        <v>7.4</v>
      </c>
      <c r="Q526" s="116">
        <v>36.75</v>
      </c>
      <c r="R526">
        <v>12223702</v>
      </c>
    </row>
    <row r="527" spans="1:18" x14ac:dyDescent="0.25">
      <c r="A527" s="170">
        <v>42776</v>
      </c>
      <c r="B527" s="116">
        <v>7.41</v>
      </c>
      <c r="C527" s="116">
        <v>7.31</v>
      </c>
      <c r="D527" s="116">
        <v>7.11</v>
      </c>
      <c r="E527" s="116">
        <v>7.4</v>
      </c>
      <c r="F527" s="116">
        <v>36.549999999999997</v>
      </c>
      <c r="G527">
        <v>749943</v>
      </c>
      <c r="H527" s="116"/>
      <c r="I527" s="116"/>
      <c r="L527" s="170">
        <v>42776</v>
      </c>
      <c r="M527" s="116">
        <v>7.32</v>
      </c>
      <c r="N527" s="116">
        <v>7.42</v>
      </c>
      <c r="O527" s="116">
        <v>7.29</v>
      </c>
      <c r="P527" s="116">
        <v>7.39</v>
      </c>
      <c r="Q527" s="116">
        <v>36.6</v>
      </c>
      <c r="R527">
        <v>4516786</v>
      </c>
    </row>
    <row r="528" spans="1:18" x14ac:dyDescent="0.25">
      <c r="A528" s="170">
        <v>42779</v>
      </c>
      <c r="B528" s="116">
        <v>7.45</v>
      </c>
      <c r="C528" s="116">
        <v>7.27</v>
      </c>
      <c r="D528" s="116">
        <v>7.14</v>
      </c>
      <c r="E528" s="116">
        <v>7.39</v>
      </c>
      <c r="F528" s="116">
        <v>36.35</v>
      </c>
      <c r="G528">
        <v>797228</v>
      </c>
      <c r="H528" s="116"/>
      <c r="I528" s="116"/>
      <c r="L528" s="170">
        <v>42779</v>
      </c>
      <c r="M528" s="116">
        <v>7.27</v>
      </c>
      <c r="N528" s="116">
        <v>7.44</v>
      </c>
      <c r="O528" s="116">
        <v>7.14</v>
      </c>
      <c r="P528" s="116">
        <v>7.36</v>
      </c>
      <c r="Q528" s="116">
        <v>36.35</v>
      </c>
      <c r="R528">
        <v>6031761</v>
      </c>
    </row>
    <row r="529" spans="1:18" x14ac:dyDescent="0.25">
      <c r="A529" s="170">
        <v>42780</v>
      </c>
      <c r="B529" s="116">
        <v>7.32</v>
      </c>
      <c r="C529" s="116">
        <v>7.22</v>
      </c>
      <c r="D529" s="116">
        <v>7.17</v>
      </c>
      <c r="E529" s="116">
        <v>7.28</v>
      </c>
      <c r="F529" s="116">
        <v>36.1</v>
      </c>
      <c r="G529">
        <v>526450</v>
      </c>
      <c r="H529" s="116"/>
      <c r="I529" s="116"/>
      <c r="L529" s="170">
        <v>42780</v>
      </c>
      <c r="M529" s="116">
        <v>7.21</v>
      </c>
      <c r="N529" s="116">
        <v>7.32</v>
      </c>
      <c r="O529" s="116">
        <v>7.17</v>
      </c>
      <c r="P529" s="116">
        <v>7.31</v>
      </c>
      <c r="Q529" s="116">
        <v>36.049999999999997</v>
      </c>
      <c r="R529">
        <v>5699012</v>
      </c>
    </row>
    <row r="530" spans="1:18" x14ac:dyDescent="0.25">
      <c r="A530" s="170">
        <v>42781</v>
      </c>
      <c r="B530" s="116">
        <v>7.29</v>
      </c>
      <c r="C530" s="116">
        <v>6.94</v>
      </c>
      <c r="D530" s="116">
        <v>6.87</v>
      </c>
      <c r="E530" s="116">
        <v>7.29</v>
      </c>
      <c r="F530" s="116">
        <v>34.700000000000003</v>
      </c>
      <c r="G530">
        <v>970134</v>
      </c>
      <c r="H530" s="116"/>
      <c r="I530" s="116"/>
      <c r="L530" s="170">
        <v>42781</v>
      </c>
      <c r="M530" s="116">
        <v>6.93</v>
      </c>
      <c r="N530" s="116">
        <v>7.21</v>
      </c>
      <c r="O530" s="116">
        <v>6.85</v>
      </c>
      <c r="P530" s="116">
        <v>7.19</v>
      </c>
      <c r="Q530" s="116">
        <v>34.65</v>
      </c>
      <c r="R530">
        <v>10004512</v>
      </c>
    </row>
    <row r="531" spans="1:18" x14ac:dyDescent="0.25">
      <c r="A531" s="170">
        <v>42782</v>
      </c>
      <c r="B531" s="116">
        <v>7.07</v>
      </c>
      <c r="C531" s="116">
        <v>7.03</v>
      </c>
      <c r="D531" s="116">
        <v>6.88</v>
      </c>
      <c r="E531" s="116">
        <v>7.05</v>
      </c>
      <c r="F531" s="116">
        <v>35.15</v>
      </c>
      <c r="G531">
        <v>432353</v>
      </c>
      <c r="H531" s="116"/>
      <c r="I531" s="116"/>
      <c r="L531" s="170">
        <v>42782</v>
      </c>
      <c r="M531" s="116">
        <v>7.02</v>
      </c>
      <c r="N531" s="116">
        <v>7.07</v>
      </c>
      <c r="O531" s="116">
        <v>6.87</v>
      </c>
      <c r="P531" s="116">
        <v>6.98</v>
      </c>
      <c r="Q531" s="116">
        <v>35.1</v>
      </c>
      <c r="R531">
        <v>4118381</v>
      </c>
    </row>
    <row r="532" spans="1:18" x14ac:dyDescent="0.25">
      <c r="A532" s="170">
        <v>42783</v>
      </c>
      <c r="B532" s="116">
        <v>7.11</v>
      </c>
      <c r="C532" s="116">
        <v>6.97</v>
      </c>
      <c r="D532" s="116">
        <v>6.87</v>
      </c>
      <c r="E532" s="116">
        <v>7.08</v>
      </c>
      <c r="F532" s="116">
        <v>34.85</v>
      </c>
      <c r="G532">
        <v>527571</v>
      </c>
      <c r="H532" s="116"/>
      <c r="I532" s="116"/>
      <c r="L532" s="170">
        <v>42783</v>
      </c>
      <c r="M532" s="116">
        <v>6.97</v>
      </c>
      <c r="N532" s="116">
        <v>7.13</v>
      </c>
      <c r="O532" s="116">
        <v>6.87</v>
      </c>
      <c r="P532" s="116">
        <v>7.06</v>
      </c>
      <c r="Q532" s="116">
        <v>34.85</v>
      </c>
      <c r="R532">
        <v>4955545</v>
      </c>
    </row>
    <row r="533" spans="1:18" x14ac:dyDescent="0.25">
      <c r="A533" s="170">
        <v>42786</v>
      </c>
      <c r="B533" s="116">
        <v>7.21</v>
      </c>
      <c r="C533" s="116">
        <v>7.15</v>
      </c>
      <c r="D533" s="116">
        <v>6.95</v>
      </c>
      <c r="E533" s="116">
        <v>6.97</v>
      </c>
      <c r="F533" s="116">
        <v>35.75</v>
      </c>
      <c r="G533">
        <v>1501979</v>
      </c>
      <c r="H533" s="116"/>
      <c r="I533" s="116"/>
      <c r="L533" s="170">
        <v>42786</v>
      </c>
      <c r="M533" s="116">
        <v>7.16</v>
      </c>
      <c r="N533" s="116">
        <v>7.22</v>
      </c>
      <c r="O533" s="116">
        <v>6.93</v>
      </c>
      <c r="P533" s="116">
        <v>6.97</v>
      </c>
      <c r="Q533" s="116">
        <v>35.799999999999997</v>
      </c>
      <c r="R533">
        <v>7092863</v>
      </c>
    </row>
    <row r="534" spans="1:18" x14ac:dyDescent="0.25">
      <c r="A534" s="170">
        <v>42787</v>
      </c>
      <c r="B534" s="116">
        <v>7.19</v>
      </c>
      <c r="C534" s="116">
        <v>7.16</v>
      </c>
      <c r="D534" s="116">
        <v>7.06</v>
      </c>
      <c r="E534" s="116">
        <v>7.15</v>
      </c>
      <c r="F534" s="116">
        <v>35.799999999999997</v>
      </c>
      <c r="G534">
        <v>312516</v>
      </c>
      <c r="H534" s="116"/>
      <c r="I534" s="116"/>
      <c r="L534" s="170">
        <v>42787</v>
      </c>
      <c r="M534" s="116">
        <v>7.15</v>
      </c>
      <c r="N534" s="116">
        <v>7.18</v>
      </c>
      <c r="O534" s="116">
        <v>7.06</v>
      </c>
      <c r="P534" s="116">
        <v>7.12</v>
      </c>
      <c r="Q534" s="116">
        <v>35.75</v>
      </c>
      <c r="R534">
        <v>5616746</v>
      </c>
    </row>
    <row r="535" spans="1:18" x14ac:dyDescent="0.25">
      <c r="A535" s="170">
        <v>42788</v>
      </c>
      <c r="B535" s="116">
        <v>7.53</v>
      </c>
      <c r="C535" s="116">
        <v>7.35</v>
      </c>
      <c r="D535" s="116">
        <v>7.16</v>
      </c>
      <c r="E535" s="116">
        <v>7.19</v>
      </c>
      <c r="F535" s="116">
        <v>36.75</v>
      </c>
      <c r="G535">
        <v>1055630</v>
      </c>
      <c r="H535" s="116"/>
      <c r="I535" s="116"/>
      <c r="L535" s="170">
        <v>42788</v>
      </c>
      <c r="M535" s="116">
        <v>7.34</v>
      </c>
      <c r="N535" s="116">
        <v>7.54</v>
      </c>
      <c r="O535" s="116">
        <v>7.14</v>
      </c>
      <c r="P535" s="116">
        <v>7.15</v>
      </c>
      <c r="Q535" s="116">
        <v>36.700000000000003</v>
      </c>
      <c r="R535">
        <v>9119397</v>
      </c>
    </row>
    <row r="536" spans="1:18" x14ac:dyDescent="0.25">
      <c r="A536" s="170">
        <v>42789</v>
      </c>
      <c r="B536" s="116">
        <v>7.68</v>
      </c>
      <c r="C536" s="116">
        <v>7.62</v>
      </c>
      <c r="D536" s="116">
        <v>7.21</v>
      </c>
      <c r="E536" s="116">
        <v>7.35</v>
      </c>
      <c r="F536" s="116">
        <v>38.1</v>
      </c>
      <c r="G536">
        <v>1600413</v>
      </c>
      <c r="H536" s="116"/>
      <c r="I536" s="116"/>
      <c r="L536" s="170">
        <v>42789</v>
      </c>
      <c r="M536" s="116">
        <v>7.66</v>
      </c>
      <c r="N536" s="116">
        <v>7.72</v>
      </c>
      <c r="O536" s="116">
        <v>7.21</v>
      </c>
      <c r="P536" s="116">
        <v>7.34</v>
      </c>
      <c r="Q536" s="116">
        <v>38.299999999999997</v>
      </c>
      <c r="R536">
        <v>18395992</v>
      </c>
    </row>
    <row r="537" spans="1:18" x14ac:dyDescent="0.25">
      <c r="A537" s="170">
        <v>42793</v>
      </c>
      <c r="B537" s="116">
        <v>7.87</v>
      </c>
      <c r="C537" s="116">
        <v>7.75</v>
      </c>
      <c r="D537" s="116">
        <v>7.67</v>
      </c>
      <c r="E537" s="116">
        <v>7.7</v>
      </c>
      <c r="F537" s="116">
        <v>38.75</v>
      </c>
      <c r="G537">
        <v>901510</v>
      </c>
      <c r="H537" s="116"/>
      <c r="I537" s="116"/>
      <c r="L537" s="170">
        <v>42793</v>
      </c>
      <c r="M537" s="116">
        <v>7.74</v>
      </c>
      <c r="N537" s="116">
        <v>7.86</v>
      </c>
      <c r="O537" s="116">
        <v>7.68</v>
      </c>
      <c r="P537" s="116">
        <v>7.71</v>
      </c>
      <c r="Q537" s="116">
        <v>38.700000000000003</v>
      </c>
      <c r="R537">
        <v>8398621</v>
      </c>
    </row>
    <row r="538" spans="1:18" x14ac:dyDescent="0.25">
      <c r="A538" s="170">
        <v>42794</v>
      </c>
      <c r="B538" s="116">
        <v>7.83</v>
      </c>
      <c r="C538" s="116">
        <v>7.69</v>
      </c>
      <c r="D538" s="116">
        <v>7.66</v>
      </c>
      <c r="E538" s="116">
        <v>7.69</v>
      </c>
      <c r="F538" s="116">
        <v>38.450000000000003</v>
      </c>
      <c r="G538">
        <v>936383</v>
      </c>
      <c r="H538" s="116"/>
      <c r="I538" s="116"/>
      <c r="L538" s="170">
        <v>42794</v>
      </c>
      <c r="M538" s="116">
        <v>7.72</v>
      </c>
      <c r="N538" s="116">
        <v>7.84</v>
      </c>
      <c r="O538" s="116">
        <v>7.66</v>
      </c>
      <c r="P538" s="116">
        <v>7.72</v>
      </c>
      <c r="Q538" s="116">
        <v>38.6</v>
      </c>
      <c r="R538">
        <v>3993530</v>
      </c>
    </row>
    <row r="539" spans="1:18" x14ac:dyDescent="0.25">
      <c r="A539" s="170">
        <v>42795</v>
      </c>
      <c r="B539" s="116">
        <v>7.81</v>
      </c>
      <c r="C539" s="116">
        <v>7.7</v>
      </c>
      <c r="D539" s="116">
        <v>7.64</v>
      </c>
      <c r="E539" s="116">
        <v>7.76</v>
      </c>
      <c r="F539" s="116">
        <v>38.5</v>
      </c>
      <c r="G539">
        <v>531388</v>
      </c>
      <c r="H539" s="116"/>
      <c r="I539" s="116"/>
      <c r="L539" s="170">
        <v>42795</v>
      </c>
      <c r="M539" s="116">
        <v>7.72</v>
      </c>
      <c r="N539" s="116">
        <v>7.81</v>
      </c>
      <c r="O539" s="116">
        <v>7.64</v>
      </c>
      <c r="P539" s="116">
        <v>7.75</v>
      </c>
      <c r="Q539" s="116">
        <v>38.6</v>
      </c>
      <c r="R539">
        <v>4782698</v>
      </c>
    </row>
    <row r="540" spans="1:18" x14ac:dyDescent="0.25">
      <c r="A540" s="170">
        <v>42796</v>
      </c>
      <c r="B540" s="116">
        <v>7.79</v>
      </c>
      <c r="C540" s="116">
        <v>7.36</v>
      </c>
      <c r="D540" s="116">
        <v>7.33</v>
      </c>
      <c r="E540" s="116">
        <v>7.79</v>
      </c>
      <c r="F540" s="116">
        <v>36.799999999999997</v>
      </c>
      <c r="G540">
        <v>695682</v>
      </c>
      <c r="H540" s="116"/>
      <c r="I540" s="116"/>
      <c r="L540" s="170">
        <v>42796</v>
      </c>
      <c r="M540" s="116">
        <v>7.34</v>
      </c>
      <c r="N540" s="116">
        <v>7.78</v>
      </c>
      <c r="O540" s="116">
        <v>7.3</v>
      </c>
      <c r="P540" s="116">
        <v>7.73</v>
      </c>
      <c r="Q540" s="116">
        <v>36.700000000000003</v>
      </c>
      <c r="R540">
        <v>5014938</v>
      </c>
    </row>
    <row r="541" spans="1:18" x14ac:dyDescent="0.25">
      <c r="A541" s="170">
        <v>42797</v>
      </c>
      <c r="B541" s="116">
        <v>7.47</v>
      </c>
      <c r="C541" s="116">
        <v>7.41</v>
      </c>
      <c r="D541" s="116">
        <v>7.27</v>
      </c>
      <c r="E541" s="116">
        <v>7.34</v>
      </c>
      <c r="F541" s="116">
        <v>37.049999999999997</v>
      </c>
      <c r="G541">
        <v>574546</v>
      </c>
      <c r="H541" s="116"/>
      <c r="I541" s="116"/>
      <c r="L541" s="170">
        <v>42797</v>
      </c>
      <c r="M541" s="116">
        <v>7.41</v>
      </c>
      <c r="N541" s="116">
        <v>7.48</v>
      </c>
      <c r="O541" s="116">
        <v>7.26</v>
      </c>
      <c r="P541" s="116">
        <v>7.36</v>
      </c>
      <c r="Q541" s="116">
        <v>37.049999999999997</v>
      </c>
      <c r="R541">
        <v>3243224</v>
      </c>
    </row>
    <row r="542" spans="1:18" x14ac:dyDescent="0.25">
      <c r="A542" s="170">
        <v>42800</v>
      </c>
      <c r="B542" s="116">
        <v>7.8</v>
      </c>
      <c r="C542" s="116">
        <v>7.71</v>
      </c>
      <c r="D542" s="116">
        <v>7.39</v>
      </c>
      <c r="E542" s="116">
        <v>7.4</v>
      </c>
      <c r="F542" s="116">
        <v>38.549999999999997</v>
      </c>
      <c r="G542">
        <v>766661</v>
      </c>
      <c r="H542" s="116"/>
      <c r="I542" s="116"/>
      <c r="L542" s="170">
        <v>42800</v>
      </c>
      <c r="M542" s="116">
        <v>7.71</v>
      </c>
      <c r="N542" s="116">
        <v>7.78</v>
      </c>
      <c r="O542" s="116">
        <v>7.38</v>
      </c>
      <c r="P542" s="116">
        <v>7.42</v>
      </c>
      <c r="Q542" s="116">
        <v>38.549999999999997</v>
      </c>
      <c r="R542">
        <v>6301171</v>
      </c>
    </row>
    <row r="543" spans="1:18" x14ac:dyDescent="0.25">
      <c r="A543" s="170">
        <v>42801</v>
      </c>
      <c r="B543" s="116">
        <v>8.26</v>
      </c>
      <c r="C543" s="116">
        <v>8.08</v>
      </c>
      <c r="D543" s="116">
        <v>7.83</v>
      </c>
      <c r="E543" s="116">
        <v>7.92</v>
      </c>
      <c r="F543" s="116">
        <v>40.4</v>
      </c>
      <c r="G543">
        <v>3977099</v>
      </c>
      <c r="H543" s="116"/>
      <c r="I543" s="116"/>
      <c r="L543" s="170">
        <v>42801</v>
      </c>
      <c r="M543" s="116">
        <v>8.09</v>
      </c>
      <c r="N543" s="116">
        <v>8.26</v>
      </c>
      <c r="O543" s="116">
        <v>7.83</v>
      </c>
      <c r="P543" s="116">
        <v>7.99</v>
      </c>
      <c r="Q543" s="116">
        <v>40.450000000000003</v>
      </c>
      <c r="R543">
        <v>27114706</v>
      </c>
    </row>
    <row r="544" spans="1:18" x14ac:dyDescent="0.25">
      <c r="A544" s="170">
        <v>42802</v>
      </c>
      <c r="B544" s="116">
        <v>8.14</v>
      </c>
      <c r="C544" s="116">
        <v>7.7</v>
      </c>
      <c r="D544" s="116">
        <v>7.64</v>
      </c>
      <c r="E544" s="116">
        <v>8.1300000000000008</v>
      </c>
      <c r="F544" s="116">
        <v>38.5</v>
      </c>
      <c r="G544">
        <v>1401678</v>
      </c>
      <c r="H544" s="116"/>
      <c r="I544" s="116"/>
      <c r="L544" s="170">
        <v>42802</v>
      </c>
      <c r="M544" s="116">
        <v>7.7</v>
      </c>
      <c r="N544" s="116">
        <v>8.11</v>
      </c>
      <c r="O544" s="116">
        <v>7.63</v>
      </c>
      <c r="P544" s="116">
        <v>8.1</v>
      </c>
      <c r="Q544" s="116">
        <v>38.5</v>
      </c>
      <c r="R544">
        <v>13102839</v>
      </c>
    </row>
    <row r="545" spans="1:18" x14ac:dyDescent="0.25">
      <c r="A545" s="170">
        <v>42803</v>
      </c>
      <c r="B545" s="116">
        <v>7.7</v>
      </c>
      <c r="C545" s="116">
        <v>7.58</v>
      </c>
      <c r="D545" s="116">
        <v>7.48</v>
      </c>
      <c r="E545" s="116">
        <v>7.68</v>
      </c>
      <c r="F545" s="116">
        <v>37.9</v>
      </c>
      <c r="G545">
        <v>1121666</v>
      </c>
      <c r="H545" s="116"/>
      <c r="I545" s="116"/>
      <c r="L545" s="170">
        <v>42803</v>
      </c>
      <c r="M545" s="116">
        <v>7.57</v>
      </c>
      <c r="N545" s="116">
        <v>7.71</v>
      </c>
      <c r="O545" s="116">
        <v>7.47</v>
      </c>
      <c r="P545" s="116">
        <v>7.7</v>
      </c>
      <c r="Q545" s="116">
        <v>37.85</v>
      </c>
      <c r="R545">
        <v>8906889</v>
      </c>
    </row>
    <row r="546" spans="1:18" x14ac:dyDescent="0.25">
      <c r="A546" s="170">
        <v>42804</v>
      </c>
      <c r="B546" s="116">
        <v>7.85</v>
      </c>
      <c r="C546" s="116">
        <v>7.66</v>
      </c>
      <c r="D546" s="116">
        <v>7.6</v>
      </c>
      <c r="E546" s="116">
        <v>7.6</v>
      </c>
      <c r="F546" s="116">
        <v>38.299999999999997</v>
      </c>
      <c r="G546">
        <v>1013436</v>
      </c>
      <c r="H546" s="116"/>
      <c r="I546" s="116"/>
      <c r="L546" s="170">
        <v>42804</v>
      </c>
      <c r="M546" s="116">
        <v>7.66</v>
      </c>
      <c r="N546" s="116">
        <v>7.84</v>
      </c>
      <c r="O546" s="116">
        <v>7.6</v>
      </c>
      <c r="P546" s="116">
        <v>7.62</v>
      </c>
      <c r="Q546" s="116">
        <v>38.299999999999997</v>
      </c>
      <c r="R546">
        <v>7767138</v>
      </c>
    </row>
    <row r="547" spans="1:18" x14ac:dyDescent="0.25">
      <c r="A547" s="170">
        <v>42808</v>
      </c>
      <c r="B547" s="116">
        <v>8.11</v>
      </c>
      <c r="C547" s="116">
        <v>7.91</v>
      </c>
      <c r="D547" s="116">
        <v>7.86</v>
      </c>
      <c r="E547" s="116">
        <v>8</v>
      </c>
      <c r="F547" s="116">
        <v>39.549999999999997</v>
      </c>
      <c r="G547">
        <v>1534801</v>
      </c>
      <c r="H547" s="116"/>
      <c r="I547" s="116"/>
      <c r="L547" s="170">
        <v>42808</v>
      </c>
      <c r="M547" s="116">
        <v>7.9</v>
      </c>
      <c r="N547" s="116">
        <v>8.1</v>
      </c>
      <c r="O547" s="116">
        <v>7.84</v>
      </c>
      <c r="P547" s="116">
        <v>8</v>
      </c>
      <c r="Q547" s="116">
        <v>39.5</v>
      </c>
      <c r="R547">
        <v>11383212</v>
      </c>
    </row>
    <row r="548" spans="1:18" x14ac:dyDescent="0.25">
      <c r="A548" s="170">
        <v>42809</v>
      </c>
      <c r="B548" s="116">
        <v>7.87</v>
      </c>
      <c r="C548" s="116">
        <v>7.77</v>
      </c>
      <c r="D548" s="116">
        <v>7.73</v>
      </c>
      <c r="E548" s="116">
        <v>7.86</v>
      </c>
      <c r="F548" s="116">
        <v>38.85</v>
      </c>
      <c r="G548">
        <v>1315514</v>
      </c>
      <c r="H548" s="116"/>
      <c r="I548" s="116"/>
      <c r="L548" s="170">
        <v>42809</v>
      </c>
      <c r="M548" s="116">
        <v>7.78</v>
      </c>
      <c r="N548" s="116">
        <v>7.88</v>
      </c>
      <c r="O548" s="116">
        <v>7.73</v>
      </c>
      <c r="P548" s="116">
        <v>7.81</v>
      </c>
      <c r="Q548" s="116">
        <v>38.9</v>
      </c>
      <c r="R548">
        <v>10180963</v>
      </c>
    </row>
    <row r="549" spans="1:18" x14ac:dyDescent="0.25">
      <c r="A549" s="170">
        <v>42810</v>
      </c>
      <c r="B549" s="116">
        <v>7.99</v>
      </c>
      <c r="C549" s="116">
        <v>7.98</v>
      </c>
      <c r="D549" s="116">
        <v>7.8</v>
      </c>
      <c r="E549" s="116">
        <v>7.82</v>
      </c>
      <c r="F549" s="116">
        <v>39.9</v>
      </c>
      <c r="G549">
        <v>2006073</v>
      </c>
      <c r="H549" s="116"/>
      <c r="I549" s="116"/>
      <c r="L549" s="170">
        <v>42810</v>
      </c>
      <c r="M549" s="116">
        <v>7.98</v>
      </c>
      <c r="N549" s="116">
        <v>8</v>
      </c>
      <c r="O549" s="116">
        <v>7.78</v>
      </c>
      <c r="P549" s="116">
        <v>7.78</v>
      </c>
      <c r="Q549" s="116">
        <v>39.9</v>
      </c>
      <c r="R549">
        <v>9915635</v>
      </c>
    </row>
    <row r="550" spans="1:18" x14ac:dyDescent="0.25">
      <c r="A550" s="170">
        <v>42811</v>
      </c>
      <c r="B550" s="116">
        <v>8.06</v>
      </c>
      <c r="C550" s="116">
        <v>7.91</v>
      </c>
      <c r="D550" s="116">
        <v>7.84</v>
      </c>
      <c r="E550" s="116">
        <v>8.02</v>
      </c>
      <c r="F550" s="116">
        <v>39.549999999999997</v>
      </c>
      <c r="G550">
        <v>880938</v>
      </c>
      <c r="H550" s="116"/>
      <c r="I550" s="116"/>
      <c r="L550" s="170">
        <v>42811</v>
      </c>
      <c r="M550" s="116">
        <v>7.91</v>
      </c>
      <c r="N550" s="116">
        <v>8.07</v>
      </c>
      <c r="O550" s="116">
        <v>7.84</v>
      </c>
      <c r="P550" s="116">
        <v>8.0299999999999994</v>
      </c>
      <c r="Q550" s="116">
        <v>39.549999999999997</v>
      </c>
      <c r="R550">
        <v>8885252</v>
      </c>
    </row>
    <row r="551" spans="1:18" x14ac:dyDescent="0.25">
      <c r="A551" s="170">
        <v>42814</v>
      </c>
      <c r="B551" s="116">
        <v>8.1999999999999993</v>
      </c>
      <c r="C551" s="116">
        <v>8.0500000000000007</v>
      </c>
      <c r="D551" s="116">
        <v>7.82</v>
      </c>
      <c r="E551" s="116">
        <v>7.9</v>
      </c>
      <c r="F551" s="116">
        <v>40.25</v>
      </c>
      <c r="G551">
        <v>1400961</v>
      </c>
      <c r="H551" s="116"/>
      <c r="I551" s="116"/>
      <c r="L551" s="170">
        <v>42814</v>
      </c>
      <c r="M551" s="116">
        <v>8.06</v>
      </c>
      <c r="N551" s="116">
        <v>8.2200000000000006</v>
      </c>
      <c r="O551" s="116">
        <v>7.82</v>
      </c>
      <c r="P551" s="116">
        <v>7.95</v>
      </c>
      <c r="Q551" s="116">
        <v>40.299999999999997</v>
      </c>
      <c r="R551">
        <v>17813256</v>
      </c>
    </row>
    <row r="552" spans="1:18" x14ac:dyDescent="0.25">
      <c r="A552" s="170">
        <v>42815</v>
      </c>
      <c r="B552" s="116">
        <v>8.08</v>
      </c>
      <c r="C552" s="116">
        <v>7.98</v>
      </c>
      <c r="D552" s="116">
        <v>7.87</v>
      </c>
      <c r="E552" s="116">
        <v>8.08</v>
      </c>
      <c r="F552" s="116">
        <v>39.9</v>
      </c>
      <c r="G552">
        <v>1045381</v>
      </c>
      <c r="H552" s="116"/>
      <c r="I552" s="116"/>
      <c r="L552" s="170">
        <v>42815</v>
      </c>
      <c r="M552" s="116">
        <v>7.99</v>
      </c>
      <c r="N552" s="116">
        <v>8.1</v>
      </c>
      <c r="O552" s="116">
        <v>7.87</v>
      </c>
      <c r="P552" s="116">
        <v>8.07</v>
      </c>
      <c r="Q552" s="116">
        <v>39.950000000000003</v>
      </c>
      <c r="R552">
        <v>8941213</v>
      </c>
    </row>
    <row r="553" spans="1:18" x14ac:dyDescent="0.25">
      <c r="A553" s="170">
        <v>42816</v>
      </c>
      <c r="B553" s="116">
        <v>7.97</v>
      </c>
      <c r="C553" s="116">
        <v>7.87</v>
      </c>
      <c r="D553" s="116">
        <v>7.83</v>
      </c>
      <c r="E553" s="116">
        <v>7.96</v>
      </c>
      <c r="F553" s="116">
        <v>39.35</v>
      </c>
      <c r="G553">
        <v>399395</v>
      </c>
      <c r="H553" s="116"/>
      <c r="I553" s="116"/>
      <c r="L553" s="170">
        <v>42816</v>
      </c>
      <c r="M553" s="116">
        <v>7.88</v>
      </c>
      <c r="N553" s="116">
        <v>7.98</v>
      </c>
      <c r="O553" s="116">
        <v>7.81</v>
      </c>
      <c r="P553" s="116">
        <v>7.93</v>
      </c>
      <c r="Q553" s="116">
        <v>39.4</v>
      </c>
      <c r="R553">
        <v>4346738</v>
      </c>
    </row>
    <row r="554" spans="1:18" x14ac:dyDescent="0.25">
      <c r="A554" s="170">
        <v>42817</v>
      </c>
      <c r="B554" s="116">
        <v>8.01</v>
      </c>
      <c r="C554" s="116">
        <v>7.98</v>
      </c>
      <c r="D554" s="116">
        <v>7.87</v>
      </c>
      <c r="E554" s="116">
        <v>7.89</v>
      </c>
      <c r="F554" s="116">
        <v>39.9</v>
      </c>
      <c r="G554">
        <v>818718</v>
      </c>
      <c r="H554" s="116"/>
      <c r="I554" s="116"/>
      <c r="L554" s="170">
        <v>42817</v>
      </c>
      <c r="M554" s="116">
        <v>7.99</v>
      </c>
      <c r="N554" s="116">
        <v>8.02</v>
      </c>
      <c r="O554" s="116">
        <v>7.86</v>
      </c>
      <c r="P554" s="116">
        <v>7.87</v>
      </c>
      <c r="Q554" s="116">
        <v>39.950000000000003</v>
      </c>
      <c r="R554">
        <v>6163182</v>
      </c>
    </row>
    <row r="555" spans="1:18" x14ac:dyDescent="0.25">
      <c r="A555" s="170">
        <v>42818</v>
      </c>
      <c r="B555" s="116">
        <v>8.0500000000000007</v>
      </c>
      <c r="C555" s="116">
        <v>7.89</v>
      </c>
      <c r="D555" s="116">
        <v>7.86</v>
      </c>
      <c r="E555" s="116">
        <v>8</v>
      </c>
      <c r="F555" s="116">
        <v>39.450000000000003</v>
      </c>
      <c r="G555">
        <v>896858</v>
      </c>
      <c r="H555" s="116"/>
      <c r="I555" s="116"/>
      <c r="L555" s="170">
        <v>42818</v>
      </c>
      <c r="M555" s="116">
        <v>7.89</v>
      </c>
      <c r="N555" s="116">
        <v>8.06</v>
      </c>
      <c r="O555" s="116">
        <v>7.86</v>
      </c>
      <c r="P555" s="116">
        <v>7.99</v>
      </c>
      <c r="Q555" s="116">
        <v>39.450000000000003</v>
      </c>
      <c r="R555">
        <v>6540757</v>
      </c>
    </row>
    <row r="556" spans="1:18" x14ac:dyDescent="0.25">
      <c r="A556" s="170">
        <v>42821</v>
      </c>
      <c r="B556" s="116">
        <v>7.9</v>
      </c>
      <c r="C556" s="116">
        <v>7.82</v>
      </c>
      <c r="D556" s="116">
        <v>7.77</v>
      </c>
      <c r="E556" s="116">
        <v>7.88</v>
      </c>
      <c r="F556" s="116">
        <v>39.1</v>
      </c>
      <c r="G556">
        <v>428395</v>
      </c>
      <c r="H556" s="116"/>
      <c r="I556" s="116"/>
      <c r="L556" s="170">
        <v>42821</v>
      </c>
      <c r="M556" s="116">
        <v>7.83</v>
      </c>
      <c r="N556" s="116">
        <v>7.92</v>
      </c>
      <c r="O556" s="116">
        <v>7.77</v>
      </c>
      <c r="P556" s="116">
        <v>7.89</v>
      </c>
      <c r="Q556" s="116">
        <v>39.15</v>
      </c>
      <c r="R556">
        <v>4916983</v>
      </c>
    </row>
    <row r="557" spans="1:18" x14ac:dyDescent="0.25">
      <c r="A557" s="170">
        <v>42822</v>
      </c>
      <c r="B557" s="116">
        <v>8.1199999999999992</v>
      </c>
      <c r="C557" s="116">
        <v>7.98</v>
      </c>
      <c r="D557" s="116">
        <v>7.85</v>
      </c>
      <c r="E557" s="116">
        <v>7.85</v>
      </c>
      <c r="F557" s="116">
        <v>39.9</v>
      </c>
      <c r="G557">
        <v>1161226</v>
      </c>
      <c r="H557" s="116"/>
      <c r="I557" s="116"/>
      <c r="L557" s="170">
        <v>42822</v>
      </c>
      <c r="M557" s="116">
        <v>7.98</v>
      </c>
      <c r="N557" s="116">
        <v>8.1199999999999992</v>
      </c>
      <c r="O557" s="116">
        <v>7.83</v>
      </c>
      <c r="P557" s="116">
        <v>7.9</v>
      </c>
      <c r="Q557" s="116">
        <v>39.9</v>
      </c>
      <c r="R557">
        <v>9950138</v>
      </c>
    </row>
    <row r="558" spans="1:18" x14ac:dyDescent="0.25">
      <c r="A558" s="170">
        <v>42823</v>
      </c>
      <c r="B558" s="116">
        <v>8.09</v>
      </c>
      <c r="C558" s="116">
        <v>8</v>
      </c>
      <c r="D558" s="116">
        <v>7.97</v>
      </c>
      <c r="E558" s="116">
        <v>8.0399999999999991</v>
      </c>
      <c r="F558" s="116">
        <v>40</v>
      </c>
      <c r="G558">
        <v>657144</v>
      </c>
      <c r="H558" s="116"/>
      <c r="I558" s="116"/>
      <c r="L558" s="170">
        <v>42823</v>
      </c>
      <c r="M558" s="116">
        <v>8</v>
      </c>
      <c r="N558" s="116">
        <v>8.09</v>
      </c>
      <c r="O558" s="116">
        <v>7.98</v>
      </c>
      <c r="P558" s="116">
        <v>8.02</v>
      </c>
      <c r="Q558" s="116">
        <v>40</v>
      </c>
      <c r="R558">
        <v>5290631</v>
      </c>
    </row>
    <row r="559" spans="1:18" x14ac:dyDescent="0.25">
      <c r="A559" s="170">
        <v>42824</v>
      </c>
      <c r="B559" s="116">
        <v>8.08</v>
      </c>
      <c r="C559" s="116">
        <v>7.98</v>
      </c>
      <c r="D559" s="116">
        <v>7.94</v>
      </c>
      <c r="E559" s="116">
        <v>8.06</v>
      </c>
      <c r="F559" s="116">
        <v>39.9</v>
      </c>
      <c r="G559">
        <v>544421</v>
      </c>
      <c r="H559" s="116"/>
      <c r="I559" s="116"/>
      <c r="L559" s="170">
        <v>42824</v>
      </c>
      <c r="M559" s="116">
        <v>7.98</v>
      </c>
      <c r="N559" s="116">
        <v>8.08</v>
      </c>
      <c r="O559" s="116">
        <v>7.94</v>
      </c>
      <c r="P559" s="116">
        <v>8.0500000000000007</v>
      </c>
      <c r="Q559" s="116">
        <v>39.9</v>
      </c>
      <c r="R559">
        <v>14718463</v>
      </c>
    </row>
    <row r="560" spans="1:18" x14ac:dyDescent="0.25">
      <c r="A560" s="170">
        <v>42825</v>
      </c>
      <c r="B560" s="116">
        <v>8.08</v>
      </c>
      <c r="C560" s="116">
        <v>7.99</v>
      </c>
      <c r="D560" s="116">
        <v>7.96</v>
      </c>
      <c r="E560" s="116">
        <v>8.02</v>
      </c>
      <c r="F560" s="116">
        <v>39.950000000000003</v>
      </c>
      <c r="G560">
        <v>491080</v>
      </c>
      <c r="H560" s="116"/>
      <c r="I560" s="116"/>
      <c r="L560" s="170">
        <v>42825</v>
      </c>
      <c r="M560" s="116">
        <v>7.98</v>
      </c>
      <c r="N560" s="116">
        <v>8.08</v>
      </c>
      <c r="O560" s="116">
        <v>7.96</v>
      </c>
      <c r="P560" s="116">
        <v>8.06</v>
      </c>
      <c r="Q560" s="116">
        <v>39.9</v>
      </c>
      <c r="R560">
        <v>5868951</v>
      </c>
    </row>
    <row r="561" spans="1:18" x14ac:dyDescent="0.25">
      <c r="A561" s="170">
        <v>42828</v>
      </c>
      <c r="B561" s="116">
        <v>8.2200000000000006</v>
      </c>
      <c r="C561" s="116">
        <v>8.15</v>
      </c>
      <c r="D561" s="116">
        <v>7.98</v>
      </c>
      <c r="E561" s="116">
        <v>8.1</v>
      </c>
      <c r="F561" s="116">
        <v>40.75</v>
      </c>
      <c r="G561">
        <v>2950120</v>
      </c>
      <c r="H561" s="116"/>
      <c r="I561" s="116"/>
      <c r="L561" s="170">
        <v>42828</v>
      </c>
      <c r="M561" s="116">
        <v>8.14</v>
      </c>
      <c r="N561" s="116">
        <v>8.23</v>
      </c>
      <c r="O561" s="116">
        <v>7.97</v>
      </c>
      <c r="P561" s="116">
        <v>8.0299999999999994</v>
      </c>
      <c r="Q561" s="116">
        <v>40.700000000000003</v>
      </c>
      <c r="R561">
        <v>8398643</v>
      </c>
    </row>
    <row r="562" spans="1:18" x14ac:dyDescent="0.25">
      <c r="A562" s="170">
        <v>42830</v>
      </c>
      <c r="B562" s="116">
        <v>8.5</v>
      </c>
      <c r="C562" s="116">
        <v>8.41</v>
      </c>
      <c r="D562" s="116">
        <v>8.16</v>
      </c>
      <c r="E562" s="116">
        <v>8.16</v>
      </c>
      <c r="F562" s="116">
        <v>42.05</v>
      </c>
      <c r="G562">
        <v>1522163</v>
      </c>
      <c r="H562" s="116"/>
      <c r="I562" s="116"/>
      <c r="L562" s="170">
        <v>42830</v>
      </c>
      <c r="M562" s="116">
        <v>8.43</v>
      </c>
      <c r="N562" s="116">
        <v>8.52</v>
      </c>
      <c r="O562" s="116">
        <v>8.15</v>
      </c>
      <c r="P562" s="116">
        <v>8.15</v>
      </c>
      <c r="Q562" s="116">
        <v>42.15</v>
      </c>
      <c r="R562">
        <v>13506880</v>
      </c>
    </row>
    <row r="563" spans="1:18" x14ac:dyDescent="0.25">
      <c r="A563" s="170">
        <v>42831</v>
      </c>
      <c r="B563" s="116">
        <v>8.9</v>
      </c>
      <c r="C563" s="116">
        <v>8.85</v>
      </c>
      <c r="D563" s="116">
        <v>8.4</v>
      </c>
      <c r="E563" s="116">
        <v>8.4</v>
      </c>
      <c r="F563" s="116">
        <v>44.25</v>
      </c>
      <c r="G563">
        <v>1853424</v>
      </c>
      <c r="H563" s="116"/>
      <c r="I563" s="116"/>
      <c r="L563" s="170">
        <v>42831</v>
      </c>
      <c r="M563" s="116">
        <v>8.86</v>
      </c>
      <c r="N563" s="116">
        <v>8.93</v>
      </c>
      <c r="O563" s="116">
        <v>8.44</v>
      </c>
      <c r="P563" s="116">
        <v>8.4700000000000006</v>
      </c>
      <c r="Q563" s="116">
        <v>44.3</v>
      </c>
      <c r="R563">
        <v>18849013</v>
      </c>
    </row>
    <row r="564" spans="1:18" x14ac:dyDescent="0.25">
      <c r="A564" s="170">
        <v>42832</v>
      </c>
      <c r="B564" s="116">
        <v>8.8800000000000008</v>
      </c>
      <c r="C564" s="116">
        <v>8.7200000000000006</v>
      </c>
      <c r="D564" s="116">
        <v>8.67</v>
      </c>
      <c r="E564" s="116">
        <v>8.86</v>
      </c>
      <c r="F564" s="116">
        <v>43.6</v>
      </c>
      <c r="G564">
        <v>1325987</v>
      </c>
      <c r="H564" s="116"/>
      <c r="I564" s="116"/>
      <c r="L564" s="170">
        <v>42832</v>
      </c>
      <c r="M564" s="116">
        <v>8.73</v>
      </c>
      <c r="N564" s="116">
        <v>8.91</v>
      </c>
      <c r="O564" s="116">
        <v>8.67</v>
      </c>
      <c r="P564" s="116">
        <v>8.91</v>
      </c>
      <c r="Q564" s="116">
        <v>43.65</v>
      </c>
      <c r="R564">
        <v>8906844</v>
      </c>
    </row>
    <row r="565" spans="1:18" x14ac:dyDescent="0.25">
      <c r="A565" s="170">
        <v>42835</v>
      </c>
      <c r="B565" s="116">
        <v>9.06</v>
      </c>
      <c r="C565" s="116">
        <v>8.8699999999999992</v>
      </c>
      <c r="D565" s="116">
        <v>8.74</v>
      </c>
      <c r="E565" s="116">
        <v>8.93</v>
      </c>
      <c r="F565" s="116">
        <v>44.35</v>
      </c>
      <c r="G565">
        <v>1401827</v>
      </c>
      <c r="H565" s="116"/>
      <c r="I565" s="116"/>
      <c r="L565" s="170">
        <v>42835</v>
      </c>
      <c r="M565" s="116">
        <v>8.85</v>
      </c>
      <c r="N565" s="116">
        <v>9.0399999999999991</v>
      </c>
      <c r="O565" s="116">
        <v>8.7100000000000009</v>
      </c>
      <c r="P565" s="116">
        <v>8.99</v>
      </c>
      <c r="Q565" s="116">
        <v>44.25</v>
      </c>
      <c r="R565">
        <v>9812763</v>
      </c>
    </row>
    <row r="566" spans="1:18" x14ac:dyDescent="0.25">
      <c r="A566" s="170">
        <v>42836</v>
      </c>
      <c r="B566" s="116">
        <v>9.26</v>
      </c>
      <c r="C566" s="116">
        <v>7.44</v>
      </c>
      <c r="D566" s="116">
        <v>7.31</v>
      </c>
      <c r="E566" s="116">
        <v>8.9</v>
      </c>
      <c r="F566" s="116">
        <v>37.200000000000003</v>
      </c>
      <c r="G566">
        <v>15749551</v>
      </c>
      <c r="H566" s="116"/>
      <c r="I566" s="116"/>
      <c r="L566" s="170">
        <v>42836</v>
      </c>
      <c r="M566" s="116">
        <v>7.44</v>
      </c>
      <c r="N566" s="116">
        <v>9.27</v>
      </c>
      <c r="O566" s="116">
        <v>7.08</v>
      </c>
      <c r="P566" s="116">
        <v>8.8699999999999992</v>
      </c>
      <c r="Q566" s="116">
        <v>37.200000000000003</v>
      </c>
      <c r="R566">
        <v>124933481</v>
      </c>
    </row>
    <row r="567" spans="1:18" x14ac:dyDescent="0.25">
      <c r="A567" s="170">
        <v>42837</v>
      </c>
      <c r="B567" s="116">
        <v>7.3</v>
      </c>
      <c r="C567" s="116">
        <v>6.77</v>
      </c>
      <c r="D567" s="116">
        <v>6.58</v>
      </c>
      <c r="E567" s="116">
        <v>7.3</v>
      </c>
      <c r="F567" s="116">
        <v>33.85</v>
      </c>
      <c r="G567">
        <v>9315778</v>
      </c>
      <c r="H567" s="116"/>
      <c r="I567" s="116"/>
      <c r="L567" s="170">
        <v>42837</v>
      </c>
      <c r="M567" s="116">
        <v>6.78</v>
      </c>
      <c r="N567" s="116">
        <v>7.31</v>
      </c>
      <c r="O567" s="116">
        <v>6.58</v>
      </c>
      <c r="P567" s="116">
        <v>7.28</v>
      </c>
      <c r="Q567" s="116">
        <v>33.9</v>
      </c>
      <c r="R567">
        <v>71876373</v>
      </c>
    </row>
    <row r="568" spans="1:18" x14ac:dyDescent="0.25">
      <c r="A568" s="170">
        <v>42838</v>
      </c>
      <c r="B568" s="116">
        <v>6.74</v>
      </c>
      <c r="C568" s="116">
        <v>6.57</v>
      </c>
      <c r="D568" s="116">
        <v>6.36</v>
      </c>
      <c r="E568" s="116">
        <v>6.56</v>
      </c>
      <c r="F568" s="116">
        <v>32.85</v>
      </c>
      <c r="G568">
        <v>7543775</v>
      </c>
      <c r="H568" s="116"/>
      <c r="I568" s="116"/>
      <c r="L568" s="170">
        <v>42838</v>
      </c>
      <c r="M568" s="116">
        <v>6.58</v>
      </c>
      <c r="N568" s="116">
        <v>6.76</v>
      </c>
      <c r="O568" s="116">
        <v>6.34</v>
      </c>
      <c r="P568" s="116">
        <v>6.66</v>
      </c>
      <c r="Q568" s="116">
        <v>32.9</v>
      </c>
      <c r="R568">
        <v>59070070</v>
      </c>
    </row>
    <row r="569" spans="1:18" x14ac:dyDescent="0.25">
      <c r="A569" s="170">
        <v>42842</v>
      </c>
      <c r="B569" s="116">
        <v>6.75</v>
      </c>
      <c r="C569" s="116">
        <v>6.57</v>
      </c>
      <c r="D569" s="116">
        <v>6.54</v>
      </c>
      <c r="E569" s="116">
        <v>6.61</v>
      </c>
      <c r="F569" s="116">
        <v>32.85</v>
      </c>
      <c r="G569">
        <v>3304411</v>
      </c>
      <c r="H569" s="116"/>
      <c r="I569" s="116"/>
      <c r="L569" s="170">
        <v>42842</v>
      </c>
      <c r="M569" s="116">
        <v>6.58</v>
      </c>
      <c r="N569" s="116">
        <v>6.76</v>
      </c>
      <c r="O569" s="116">
        <v>6.53</v>
      </c>
      <c r="P569" s="116">
        <v>6.56</v>
      </c>
      <c r="Q569" s="116">
        <v>32.9</v>
      </c>
      <c r="R569">
        <v>29471386</v>
      </c>
    </row>
    <row r="570" spans="1:18" x14ac:dyDescent="0.25">
      <c r="A570" s="170">
        <v>42843</v>
      </c>
      <c r="B570" s="116">
        <v>6.96</v>
      </c>
      <c r="C570" s="116">
        <v>6.66</v>
      </c>
      <c r="D570" s="116">
        <v>6.6</v>
      </c>
      <c r="E570" s="116">
        <v>6.6</v>
      </c>
      <c r="F570" s="116">
        <v>33.299999999999997</v>
      </c>
      <c r="G570">
        <v>5312050</v>
      </c>
      <c r="H570" s="116"/>
      <c r="I570" s="116"/>
      <c r="L570" s="170">
        <v>42843</v>
      </c>
      <c r="M570" s="116">
        <v>6.65</v>
      </c>
      <c r="N570" s="116">
        <v>6.96</v>
      </c>
      <c r="O570" s="116">
        <v>6.58</v>
      </c>
      <c r="P570" s="116">
        <v>6.58</v>
      </c>
      <c r="Q570" s="116">
        <v>33.25</v>
      </c>
      <c r="R570">
        <v>40907218</v>
      </c>
    </row>
    <row r="571" spans="1:18" x14ac:dyDescent="0.25">
      <c r="A571" s="170">
        <v>42844</v>
      </c>
      <c r="B571" s="116">
        <v>6.76</v>
      </c>
      <c r="C571" s="116">
        <v>6.62</v>
      </c>
      <c r="D571" s="116">
        <v>6.57</v>
      </c>
      <c r="E571" s="116">
        <v>6.65</v>
      </c>
      <c r="F571" s="116">
        <v>33.1</v>
      </c>
      <c r="G571">
        <v>2304647</v>
      </c>
      <c r="H571" s="116"/>
      <c r="I571" s="116"/>
      <c r="L571" s="170">
        <v>42844</v>
      </c>
      <c r="M571" s="116">
        <v>6.62</v>
      </c>
      <c r="N571" s="116">
        <v>6.76</v>
      </c>
      <c r="O571" s="116">
        <v>6.56</v>
      </c>
      <c r="P571" s="116">
        <v>6.64</v>
      </c>
      <c r="Q571" s="116">
        <v>33.1</v>
      </c>
      <c r="R571">
        <v>17441817</v>
      </c>
    </row>
    <row r="572" spans="1:18" x14ac:dyDescent="0.25">
      <c r="A572" s="170">
        <v>42845</v>
      </c>
      <c r="B572" s="116">
        <v>6.7</v>
      </c>
      <c r="C572" s="116">
        <v>6.62</v>
      </c>
      <c r="D572" s="116">
        <v>6.6</v>
      </c>
      <c r="E572" s="116">
        <v>6.67</v>
      </c>
      <c r="F572" s="116">
        <v>33.1</v>
      </c>
      <c r="G572">
        <v>1008648</v>
      </c>
      <c r="H572" s="116"/>
      <c r="I572" s="116"/>
      <c r="L572" s="170">
        <v>42845</v>
      </c>
      <c r="M572" s="116">
        <v>6.61</v>
      </c>
      <c r="N572" s="116">
        <v>6.7</v>
      </c>
      <c r="O572" s="116">
        <v>6.59</v>
      </c>
      <c r="P572" s="116">
        <v>6.62</v>
      </c>
      <c r="Q572" s="116">
        <v>33.049999999999997</v>
      </c>
      <c r="R572">
        <v>8099485</v>
      </c>
    </row>
    <row r="573" spans="1:18" x14ac:dyDescent="0.25">
      <c r="A573" s="170">
        <v>42846</v>
      </c>
      <c r="B573" s="116">
        <v>6.69</v>
      </c>
      <c r="C573" s="116">
        <v>6.54</v>
      </c>
      <c r="D573" s="116">
        <v>6.5</v>
      </c>
      <c r="E573" s="116">
        <v>6.63</v>
      </c>
      <c r="F573" s="116">
        <v>32.700000000000003</v>
      </c>
      <c r="G573">
        <v>1473426</v>
      </c>
      <c r="H573" s="116"/>
      <c r="I573" s="116"/>
      <c r="L573" s="170">
        <v>42846</v>
      </c>
      <c r="M573" s="116">
        <v>6.54</v>
      </c>
      <c r="N573" s="116">
        <v>6.69</v>
      </c>
      <c r="O573" s="116">
        <v>6.5</v>
      </c>
      <c r="P573" s="116">
        <v>6.63</v>
      </c>
      <c r="Q573" s="116">
        <v>32.700000000000003</v>
      </c>
      <c r="R573">
        <v>9588545</v>
      </c>
    </row>
    <row r="574" spans="1:18" x14ac:dyDescent="0.25">
      <c r="A574" s="170">
        <v>42849</v>
      </c>
      <c r="B574" s="116">
        <v>6.72</v>
      </c>
      <c r="C574" s="116">
        <v>6.66</v>
      </c>
      <c r="D574" s="116">
        <v>6.56</v>
      </c>
      <c r="E574" s="116">
        <v>6.6</v>
      </c>
      <c r="F574" s="116">
        <v>33.299999999999997</v>
      </c>
      <c r="G574">
        <v>1238546</v>
      </c>
      <c r="H574" s="116"/>
      <c r="I574" s="116"/>
      <c r="L574" s="170">
        <v>42849</v>
      </c>
      <c r="M574" s="116">
        <v>6.65</v>
      </c>
      <c r="N574" s="116">
        <v>6.72</v>
      </c>
      <c r="O574" s="116">
        <v>6.54</v>
      </c>
      <c r="P574" s="116">
        <v>6.54</v>
      </c>
      <c r="Q574" s="116">
        <v>33.25</v>
      </c>
      <c r="R574">
        <v>10703618</v>
      </c>
    </row>
    <row r="575" spans="1:18" x14ac:dyDescent="0.25">
      <c r="A575" s="170">
        <v>42850</v>
      </c>
      <c r="B575" s="116">
        <v>6.71</v>
      </c>
      <c r="C575" s="116">
        <v>6.59</v>
      </c>
      <c r="D575" s="116">
        <v>6.58</v>
      </c>
      <c r="E575" s="116">
        <v>6.7</v>
      </c>
      <c r="F575" s="116">
        <v>32.950000000000003</v>
      </c>
      <c r="G575">
        <v>1063538</v>
      </c>
      <c r="H575" s="116"/>
      <c r="I575" s="116"/>
      <c r="L575" s="170">
        <v>42850</v>
      </c>
      <c r="M575" s="116">
        <v>6.59</v>
      </c>
      <c r="N575" s="116">
        <v>6.72</v>
      </c>
      <c r="O575" s="116">
        <v>6.58</v>
      </c>
      <c r="P575" s="116">
        <v>6.67</v>
      </c>
      <c r="Q575" s="116">
        <v>32.950000000000003</v>
      </c>
      <c r="R575">
        <v>7713638</v>
      </c>
    </row>
    <row r="576" spans="1:18" x14ac:dyDescent="0.25">
      <c r="A576" s="170">
        <v>42851</v>
      </c>
      <c r="B576" s="116">
        <v>6.66</v>
      </c>
      <c r="C576" s="116">
        <v>6.54</v>
      </c>
      <c r="D576" s="116">
        <v>6.46</v>
      </c>
      <c r="E576" s="116">
        <v>6.6</v>
      </c>
      <c r="F576" s="116">
        <v>32.700000000000003</v>
      </c>
      <c r="G576">
        <v>2194436</v>
      </c>
      <c r="H576" s="116"/>
      <c r="I576" s="116"/>
      <c r="L576" s="170">
        <v>42851</v>
      </c>
      <c r="M576" s="116">
        <v>6.54</v>
      </c>
      <c r="N576" s="116">
        <v>6.66</v>
      </c>
      <c r="O576" s="116">
        <v>6.45</v>
      </c>
      <c r="P576" s="116">
        <v>6.66</v>
      </c>
      <c r="Q576" s="116">
        <v>32.700000000000003</v>
      </c>
      <c r="R576">
        <v>12496679</v>
      </c>
    </row>
    <row r="577" spans="1:18" x14ac:dyDescent="0.25">
      <c r="A577" s="170">
        <v>42852</v>
      </c>
      <c r="B577" s="116">
        <v>6.7</v>
      </c>
      <c r="C577" s="116">
        <v>6.55</v>
      </c>
      <c r="D577" s="116">
        <v>6.5</v>
      </c>
      <c r="E577" s="116">
        <v>6.56</v>
      </c>
      <c r="F577" s="116">
        <v>32.75</v>
      </c>
      <c r="G577">
        <v>1765436</v>
      </c>
      <c r="H577" s="116"/>
      <c r="I577" s="116"/>
      <c r="L577" s="170">
        <v>42852</v>
      </c>
      <c r="M577" s="116">
        <v>6.54</v>
      </c>
      <c r="N577" s="116">
        <v>6.62</v>
      </c>
      <c r="O577" s="116">
        <v>6.49</v>
      </c>
      <c r="P577" s="116">
        <v>6.59</v>
      </c>
      <c r="Q577" s="116">
        <v>32.700000000000003</v>
      </c>
      <c r="R577">
        <v>17881436</v>
      </c>
    </row>
    <row r="578" spans="1:18" x14ac:dyDescent="0.25">
      <c r="A578" s="170">
        <v>42853</v>
      </c>
      <c r="B578" s="116">
        <v>6.64</v>
      </c>
      <c r="C578" s="116">
        <v>6.59</v>
      </c>
      <c r="D578" s="116">
        <v>6.51</v>
      </c>
      <c r="E578" s="116">
        <v>6.6</v>
      </c>
      <c r="F578" s="116">
        <v>32.950000000000003</v>
      </c>
      <c r="G578">
        <v>1845587</v>
      </c>
      <c r="H578" s="116"/>
      <c r="I578" s="116"/>
      <c r="L578" s="170">
        <v>42853</v>
      </c>
      <c r="M578" s="116">
        <v>6.6</v>
      </c>
      <c r="N578" s="116">
        <v>6.63</v>
      </c>
      <c r="O578" s="116">
        <v>6.49</v>
      </c>
      <c r="P578" s="116">
        <v>6.6</v>
      </c>
      <c r="Q578" s="116">
        <v>33</v>
      </c>
      <c r="R578">
        <v>8986064</v>
      </c>
    </row>
    <row r="579" spans="1:18" x14ac:dyDescent="0.25">
      <c r="A579" s="170">
        <v>42857</v>
      </c>
      <c r="B579" s="116">
        <v>6.67</v>
      </c>
      <c r="C579" s="116">
        <v>6.5</v>
      </c>
      <c r="D579" s="116">
        <v>6.46</v>
      </c>
      <c r="E579" s="116">
        <v>6.61</v>
      </c>
      <c r="F579" s="116">
        <v>32.5</v>
      </c>
      <c r="G579">
        <v>1163778</v>
      </c>
      <c r="H579" s="116"/>
      <c r="I579" s="116"/>
      <c r="L579" s="170">
        <v>42857</v>
      </c>
      <c r="M579" s="116">
        <v>6.5</v>
      </c>
      <c r="N579" s="116">
        <v>6.67</v>
      </c>
      <c r="O579" s="116">
        <v>6.46</v>
      </c>
      <c r="P579" s="116">
        <v>6.66</v>
      </c>
      <c r="Q579" s="116">
        <v>32.5</v>
      </c>
      <c r="R579">
        <v>8234086</v>
      </c>
    </row>
    <row r="580" spans="1:18" x14ac:dyDescent="0.25">
      <c r="A580" s="170">
        <v>42858</v>
      </c>
      <c r="B580" s="116">
        <v>6.52</v>
      </c>
      <c r="C580" s="116">
        <v>6.19</v>
      </c>
      <c r="D580" s="116">
        <v>6.13</v>
      </c>
      <c r="E580" s="116">
        <v>6.5</v>
      </c>
      <c r="F580" s="116">
        <v>30.95</v>
      </c>
      <c r="G580">
        <v>3135854</v>
      </c>
      <c r="H580" s="116"/>
      <c r="I580" s="116"/>
      <c r="L580" s="170">
        <v>42858</v>
      </c>
      <c r="M580" s="116">
        <v>6.19</v>
      </c>
      <c r="N580" s="116">
        <v>6.53</v>
      </c>
      <c r="O580" s="116">
        <v>6.13</v>
      </c>
      <c r="P580" s="116">
        <v>6.49</v>
      </c>
      <c r="Q580" s="116">
        <v>30.95</v>
      </c>
      <c r="R580">
        <v>18082157</v>
      </c>
    </row>
    <row r="581" spans="1:18" x14ac:dyDescent="0.25">
      <c r="A581" s="170">
        <v>42859</v>
      </c>
      <c r="B581" s="116">
        <v>6.23</v>
      </c>
      <c r="C581" s="116">
        <v>6.13</v>
      </c>
      <c r="D581" s="116">
        <v>6.12</v>
      </c>
      <c r="E581" s="116">
        <v>6.19</v>
      </c>
      <c r="F581" s="116">
        <v>30.65</v>
      </c>
      <c r="G581">
        <v>1041083</v>
      </c>
      <c r="H581" s="116"/>
      <c r="I581" s="116"/>
      <c r="L581" s="170">
        <v>42859</v>
      </c>
      <c r="M581" s="116">
        <v>6.13</v>
      </c>
      <c r="N581" s="116">
        <v>6.24</v>
      </c>
      <c r="O581" s="116">
        <v>6.12</v>
      </c>
      <c r="P581" s="116">
        <v>6.22</v>
      </c>
      <c r="Q581" s="116">
        <v>30.65</v>
      </c>
      <c r="R581">
        <v>6690276</v>
      </c>
    </row>
    <row r="582" spans="1:18" x14ac:dyDescent="0.25">
      <c r="A582" s="170">
        <v>42860</v>
      </c>
      <c r="B582" s="116">
        <v>6.16</v>
      </c>
      <c r="C582" s="116">
        <v>6</v>
      </c>
      <c r="D582" s="116">
        <v>5.97</v>
      </c>
      <c r="E582" s="116">
        <v>6.11</v>
      </c>
      <c r="F582" s="116">
        <v>30</v>
      </c>
      <c r="G582">
        <v>1869147</v>
      </c>
      <c r="H582" s="116"/>
      <c r="I582" s="116"/>
      <c r="L582" s="170">
        <v>42860</v>
      </c>
      <c r="M582" s="116">
        <v>5.99</v>
      </c>
      <c r="N582" s="116">
        <v>6.13</v>
      </c>
      <c r="O582" s="116">
        <v>5.96</v>
      </c>
      <c r="P582" s="116">
        <v>6.13</v>
      </c>
      <c r="Q582" s="116">
        <v>29.95</v>
      </c>
      <c r="R582">
        <v>10300925</v>
      </c>
    </row>
    <row r="583" spans="1:18" x14ac:dyDescent="0.25">
      <c r="A583" s="170">
        <v>42863</v>
      </c>
      <c r="B583" s="116">
        <v>6.22</v>
      </c>
      <c r="C583" s="116">
        <v>6.18</v>
      </c>
      <c r="D583" s="116">
        <v>5.96</v>
      </c>
      <c r="E583" s="116">
        <v>5.99</v>
      </c>
      <c r="F583" s="116">
        <v>30.9</v>
      </c>
      <c r="G583">
        <v>990087</v>
      </c>
      <c r="H583" s="116"/>
      <c r="I583" s="116"/>
      <c r="L583" s="170">
        <v>42863</v>
      </c>
      <c r="M583" s="116">
        <v>6.19</v>
      </c>
      <c r="N583" s="116">
        <v>6.23</v>
      </c>
      <c r="O583" s="116">
        <v>5.95</v>
      </c>
      <c r="P583" s="116">
        <v>6</v>
      </c>
      <c r="Q583" s="116">
        <v>30.95</v>
      </c>
      <c r="R583">
        <v>7333605</v>
      </c>
    </row>
    <row r="584" spans="1:18" x14ac:dyDescent="0.25">
      <c r="A584" s="170">
        <v>42864</v>
      </c>
      <c r="B584" s="116">
        <v>6.28</v>
      </c>
      <c r="C584" s="116">
        <v>6.24</v>
      </c>
      <c r="D584" s="116">
        <v>6.2</v>
      </c>
      <c r="E584" s="116">
        <v>6.24</v>
      </c>
      <c r="F584" s="116">
        <v>31.2</v>
      </c>
      <c r="G584">
        <v>1220305</v>
      </c>
      <c r="H584" s="116"/>
      <c r="I584" s="116"/>
      <c r="L584" s="170">
        <v>42864</v>
      </c>
      <c r="M584" s="116">
        <v>6.24</v>
      </c>
      <c r="N584" s="116">
        <v>6.29</v>
      </c>
      <c r="O584" s="116">
        <v>6.19</v>
      </c>
      <c r="P584" s="116">
        <v>6.2</v>
      </c>
      <c r="Q584" s="116">
        <v>31.2</v>
      </c>
      <c r="R584">
        <v>6176401</v>
      </c>
    </row>
    <row r="585" spans="1:18" x14ac:dyDescent="0.25">
      <c r="A585" s="170">
        <v>42865</v>
      </c>
      <c r="B585" s="116">
        <v>6.32</v>
      </c>
      <c r="C585" s="116">
        <v>6.22</v>
      </c>
      <c r="D585" s="116">
        <v>6.18</v>
      </c>
      <c r="E585" s="116">
        <v>6.25</v>
      </c>
      <c r="F585" s="116">
        <v>31.1</v>
      </c>
      <c r="G585">
        <v>820194</v>
      </c>
      <c r="H585" s="116"/>
      <c r="I585" s="116"/>
      <c r="L585" s="170">
        <v>42865</v>
      </c>
      <c r="M585" s="116">
        <v>6.22</v>
      </c>
      <c r="N585" s="116">
        <v>6.32</v>
      </c>
      <c r="O585" s="116">
        <v>6.17</v>
      </c>
      <c r="P585" s="116">
        <v>6.24</v>
      </c>
      <c r="Q585" s="116">
        <v>31.1</v>
      </c>
      <c r="R585">
        <v>5131328</v>
      </c>
    </row>
    <row r="586" spans="1:18" x14ac:dyDescent="0.25">
      <c r="A586" s="170">
        <v>42866</v>
      </c>
      <c r="B586" s="116">
        <v>6.28</v>
      </c>
      <c r="C586" s="116">
        <v>6.19</v>
      </c>
      <c r="D586" s="116">
        <v>6.15</v>
      </c>
      <c r="E586" s="116">
        <v>6.28</v>
      </c>
      <c r="F586" s="116">
        <v>30.95</v>
      </c>
      <c r="G586">
        <v>726797</v>
      </c>
      <c r="H586" s="116"/>
      <c r="I586" s="116"/>
      <c r="L586" s="170">
        <v>42866</v>
      </c>
      <c r="M586" s="116">
        <v>6.17</v>
      </c>
      <c r="N586" s="116">
        <v>6.27</v>
      </c>
      <c r="O586" s="116">
        <v>6.14</v>
      </c>
      <c r="P586" s="116">
        <v>6.24</v>
      </c>
      <c r="Q586" s="116">
        <v>30.85</v>
      </c>
      <c r="R586">
        <v>5614068</v>
      </c>
    </row>
    <row r="587" spans="1:18" x14ac:dyDescent="0.25">
      <c r="A587" s="170">
        <v>42867</v>
      </c>
      <c r="B587" s="116">
        <v>6.2</v>
      </c>
      <c r="C587" s="116">
        <v>6.06</v>
      </c>
      <c r="D587" s="116">
        <v>6.04</v>
      </c>
      <c r="E587" s="116">
        <v>6.16</v>
      </c>
      <c r="F587" s="116">
        <v>30.3</v>
      </c>
      <c r="G587">
        <v>564476</v>
      </c>
      <c r="H587" s="116"/>
      <c r="I587" s="116"/>
      <c r="L587" s="170">
        <v>42867</v>
      </c>
      <c r="M587" s="116">
        <v>6.05</v>
      </c>
      <c r="N587" s="116">
        <v>6.21</v>
      </c>
      <c r="O587" s="116">
        <v>6.03</v>
      </c>
      <c r="P587" s="116">
        <v>6.19</v>
      </c>
      <c r="Q587" s="116">
        <v>30.25</v>
      </c>
      <c r="R587">
        <v>5506721</v>
      </c>
    </row>
    <row r="588" spans="1:18" x14ac:dyDescent="0.25">
      <c r="A588" s="170">
        <v>42870</v>
      </c>
      <c r="B588" s="116">
        <v>6.1</v>
      </c>
      <c r="C588" s="116">
        <v>6.06</v>
      </c>
      <c r="D588" s="116">
        <v>6.02</v>
      </c>
      <c r="E588" s="116">
        <v>6.06</v>
      </c>
      <c r="F588" s="116">
        <v>30.3</v>
      </c>
      <c r="G588">
        <v>567364</v>
      </c>
      <c r="H588" s="116"/>
      <c r="I588" s="116"/>
      <c r="L588" s="170">
        <v>42870</v>
      </c>
      <c r="M588" s="116">
        <v>6.05</v>
      </c>
      <c r="N588" s="116">
        <v>6.1</v>
      </c>
      <c r="O588" s="116">
        <v>6.02</v>
      </c>
      <c r="P588" s="116">
        <v>6.08</v>
      </c>
      <c r="Q588" s="116">
        <v>30.25</v>
      </c>
      <c r="R588">
        <v>2666848</v>
      </c>
    </row>
    <row r="589" spans="1:18" x14ac:dyDescent="0.25">
      <c r="A589" s="170">
        <v>42871</v>
      </c>
      <c r="B589" s="116">
        <v>6.74</v>
      </c>
      <c r="C589" s="116">
        <v>6.58</v>
      </c>
      <c r="D589" s="116">
        <v>6.1</v>
      </c>
      <c r="E589" s="116">
        <v>6.1</v>
      </c>
      <c r="F589" s="116">
        <v>32.9</v>
      </c>
      <c r="G589">
        <v>5185499</v>
      </c>
      <c r="H589" s="116"/>
      <c r="I589" s="116"/>
      <c r="L589" s="170">
        <v>42871</v>
      </c>
      <c r="M589" s="116">
        <v>6.57</v>
      </c>
      <c r="N589" s="116">
        <v>6.73</v>
      </c>
      <c r="O589" s="116">
        <v>6.07</v>
      </c>
      <c r="P589" s="116">
        <v>6.07</v>
      </c>
      <c r="Q589" s="116">
        <v>32.85</v>
      </c>
      <c r="R589">
        <v>39322702</v>
      </c>
    </row>
    <row r="590" spans="1:18" x14ac:dyDescent="0.25">
      <c r="A590" s="170">
        <v>42872</v>
      </c>
      <c r="B590" s="116">
        <v>6.74</v>
      </c>
      <c r="C590" s="116">
        <v>6.62</v>
      </c>
      <c r="D590" s="116">
        <v>6.5</v>
      </c>
      <c r="E590" s="116">
        <v>6.65</v>
      </c>
      <c r="F590" s="116">
        <v>33.1</v>
      </c>
      <c r="G590">
        <v>3727867</v>
      </c>
      <c r="H590" s="116"/>
      <c r="I590" s="116"/>
      <c r="L590" s="170">
        <v>42872</v>
      </c>
      <c r="M590" s="116">
        <v>6.62</v>
      </c>
      <c r="N590" s="116">
        <v>6.75</v>
      </c>
      <c r="O590" s="116">
        <v>6.49</v>
      </c>
      <c r="P590" s="116">
        <v>6.59</v>
      </c>
      <c r="Q590" s="116">
        <v>33.1</v>
      </c>
      <c r="R590">
        <v>27368209</v>
      </c>
    </row>
    <row r="591" spans="1:18" x14ac:dyDescent="0.25">
      <c r="A591" s="170">
        <v>42873</v>
      </c>
      <c r="B591" s="116">
        <v>6.57</v>
      </c>
      <c r="C591" s="116">
        <v>6.38</v>
      </c>
      <c r="D591" s="116">
        <v>6.35</v>
      </c>
      <c r="E591" s="116">
        <v>6.57</v>
      </c>
      <c r="F591" s="116">
        <v>31.9</v>
      </c>
      <c r="G591">
        <v>1150748</v>
      </c>
      <c r="H591" s="116"/>
      <c r="I591" s="116"/>
      <c r="L591" s="170">
        <v>42873</v>
      </c>
      <c r="M591" s="116">
        <v>6.38</v>
      </c>
      <c r="N591" s="116">
        <v>6.57</v>
      </c>
      <c r="O591" s="116">
        <v>6.34</v>
      </c>
      <c r="P591" s="116">
        <v>6.56</v>
      </c>
      <c r="Q591" s="116">
        <v>31.9</v>
      </c>
      <c r="R591">
        <v>9833756</v>
      </c>
    </row>
    <row r="592" spans="1:18" x14ac:dyDescent="0.25">
      <c r="A592" s="170">
        <v>42874</v>
      </c>
      <c r="B592" s="116">
        <v>6.66</v>
      </c>
      <c r="C592" s="116">
        <v>6.48</v>
      </c>
      <c r="D592" s="116">
        <v>6.4</v>
      </c>
      <c r="E592" s="116">
        <v>6.61</v>
      </c>
      <c r="F592" s="116">
        <v>32.4</v>
      </c>
      <c r="G592">
        <v>2006098</v>
      </c>
      <c r="H592" s="116"/>
      <c r="I592" s="116"/>
      <c r="L592" s="170">
        <v>42874</v>
      </c>
      <c r="M592" s="116">
        <v>6.48</v>
      </c>
      <c r="N592" s="116">
        <v>6.65</v>
      </c>
      <c r="O592" s="116">
        <v>6.4</v>
      </c>
      <c r="P592" s="116">
        <v>6.65</v>
      </c>
      <c r="Q592" s="116">
        <v>32.4</v>
      </c>
      <c r="R592">
        <v>12551755</v>
      </c>
    </row>
    <row r="593" spans="1:18" x14ac:dyDescent="0.25">
      <c r="A593" s="170">
        <v>42877</v>
      </c>
      <c r="B593" s="116">
        <v>6.56</v>
      </c>
      <c r="C593" s="116">
        <v>6.3</v>
      </c>
      <c r="D593" s="116">
        <v>6.23</v>
      </c>
      <c r="E593" s="116">
        <v>6.52</v>
      </c>
      <c r="F593" s="116">
        <v>31.5</v>
      </c>
      <c r="G593">
        <v>876496</v>
      </c>
      <c r="H593" s="116"/>
      <c r="I593" s="116"/>
      <c r="L593" s="170">
        <v>42877</v>
      </c>
      <c r="M593" s="116">
        <v>6.29</v>
      </c>
      <c r="N593" s="116">
        <v>6.56</v>
      </c>
      <c r="O593" s="116">
        <v>6.22</v>
      </c>
      <c r="P593" s="116">
        <v>6.54</v>
      </c>
      <c r="Q593" s="116">
        <v>31.45</v>
      </c>
      <c r="R593">
        <v>6438711</v>
      </c>
    </row>
    <row r="594" spans="1:18" x14ac:dyDescent="0.25">
      <c r="A594" s="170">
        <v>42878</v>
      </c>
      <c r="B594" s="116">
        <v>6.26</v>
      </c>
      <c r="C594" s="116">
        <v>5.97</v>
      </c>
      <c r="D594" s="116">
        <v>5.94</v>
      </c>
      <c r="E594" s="116">
        <v>6.26</v>
      </c>
      <c r="F594" s="116">
        <v>29.85</v>
      </c>
      <c r="G594">
        <v>1496840</v>
      </c>
      <c r="H594" s="116"/>
      <c r="I594" s="116"/>
      <c r="L594" s="170">
        <v>42878</v>
      </c>
      <c r="M594" s="116">
        <v>5.97</v>
      </c>
      <c r="N594" s="116">
        <v>6.25</v>
      </c>
      <c r="O594" s="116">
        <v>5.94</v>
      </c>
      <c r="P594" s="116">
        <v>6.25</v>
      </c>
      <c r="Q594" s="116">
        <v>29.85</v>
      </c>
      <c r="R594">
        <v>8810234</v>
      </c>
    </row>
    <row r="595" spans="1:18" x14ac:dyDescent="0.25">
      <c r="A595" s="170">
        <v>42879</v>
      </c>
      <c r="B595" s="116">
        <v>5.99</v>
      </c>
      <c r="C595" s="116">
        <v>5.61</v>
      </c>
      <c r="D595" s="116">
        <v>5.58</v>
      </c>
      <c r="E595" s="116">
        <v>5.98</v>
      </c>
      <c r="F595" s="116">
        <v>28.05</v>
      </c>
      <c r="G595">
        <v>3596318</v>
      </c>
      <c r="H595" s="116"/>
      <c r="I595" s="116"/>
      <c r="L595" s="170">
        <v>42879</v>
      </c>
      <c r="M595" s="116">
        <v>5.6</v>
      </c>
      <c r="N595" s="116">
        <v>6</v>
      </c>
      <c r="O595" s="116">
        <v>5.57</v>
      </c>
      <c r="P595" s="116">
        <v>5.98</v>
      </c>
      <c r="Q595" s="116">
        <v>28</v>
      </c>
      <c r="R595">
        <v>15417083</v>
      </c>
    </row>
    <row r="596" spans="1:18" x14ac:dyDescent="0.25">
      <c r="A596" s="170">
        <v>42880</v>
      </c>
      <c r="B596" s="116">
        <v>5.78</v>
      </c>
      <c r="C596" s="116">
        <v>5.72</v>
      </c>
      <c r="D596" s="116">
        <v>5.48</v>
      </c>
      <c r="E596" s="116">
        <v>5.61</v>
      </c>
      <c r="F596" s="116">
        <v>28.6</v>
      </c>
      <c r="G596">
        <v>2458329</v>
      </c>
      <c r="H596" s="116"/>
      <c r="I596" s="116"/>
      <c r="L596" s="170">
        <v>42880</v>
      </c>
      <c r="M596" s="116">
        <v>5.73</v>
      </c>
      <c r="N596" s="116">
        <v>5.79</v>
      </c>
      <c r="O596" s="116">
        <v>5.48</v>
      </c>
      <c r="P596" s="116">
        <v>5.6</v>
      </c>
      <c r="Q596" s="116">
        <v>28.65</v>
      </c>
      <c r="R596">
        <v>12744420</v>
      </c>
    </row>
    <row r="597" spans="1:18" x14ac:dyDescent="0.25">
      <c r="A597" s="170">
        <v>42881</v>
      </c>
      <c r="B597" s="116">
        <v>5.93</v>
      </c>
      <c r="C597" s="116">
        <v>5.78</v>
      </c>
      <c r="D597" s="116">
        <v>5.64</v>
      </c>
      <c r="E597" s="116">
        <v>5.64</v>
      </c>
      <c r="F597" s="116">
        <v>28.9</v>
      </c>
      <c r="G597">
        <v>1655169</v>
      </c>
      <c r="H597" s="116"/>
      <c r="I597" s="116"/>
      <c r="L597" s="170">
        <v>42881</v>
      </c>
      <c r="M597" s="116">
        <v>5.78</v>
      </c>
      <c r="N597" s="116">
        <v>5.93</v>
      </c>
      <c r="O597" s="116">
        <v>5.66</v>
      </c>
      <c r="P597" s="116">
        <v>5.71</v>
      </c>
      <c r="Q597" s="116">
        <v>28.9</v>
      </c>
      <c r="R597">
        <v>11266349</v>
      </c>
    </row>
    <row r="598" spans="1:18" x14ac:dyDescent="0.25">
      <c r="A598" s="170">
        <v>42884</v>
      </c>
      <c r="B598" s="116">
        <v>5.57</v>
      </c>
      <c r="C598" s="116">
        <v>5.36</v>
      </c>
      <c r="D598" s="116">
        <v>5.28</v>
      </c>
      <c r="E598" s="116">
        <v>5.36</v>
      </c>
      <c r="F598" s="116">
        <v>26.8</v>
      </c>
      <c r="G598">
        <v>2862775</v>
      </c>
      <c r="H598" s="116"/>
      <c r="I598" s="116"/>
      <c r="L598" s="170">
        <v>42884</v>
      </c>
      <c r="M598" s="116">
        <v>5.34</v>
      </c>
      <c r="N598" s="116">
        <v>5.7</v>
      </c>
      <c r="O598" s="116">
        <v>5.27</v>
      </c>
      <c r="P598" s="116">
        <v>5.33</v>
      </c>
      <c r="Q598" s="116">
        <v>26.7</v>
      </c>
      <c r="R598">
        <v>20070770</v>
      </c>
    </row>
    <row r="599" spans="1:18" x14ac:dyDescent="0.25">
      <c r="A599" s="170">
        <v>42885</v>
      </c>
      <c r="B599" s="116">
        <v>5.54</v>
      </c>
      <c r="C599" s="116">
        <v>5.49</v>
      </c>
      <c r="D599" s="116">
        <v>5.18</v>
      </c>
      <c r="E599" s="116">
        <v>5.34</v>
      </c>
      <c r="F599" s="116">
        <v>27.45</v>
      </c>
      <c r="G599">
        <v>1830128</v>
      </c>
      <c r="H599" s="116"/>
      <c r="I599" s="116"/>
      <c r="L599" s="170">
        <v>42885</v>
      </c>
      <c r="M599" s="116">
        <v>5.47</v>
      </c>
      <c r="N599" s="116">
        <v>5.54</v>
      </c>
      <c r="O599" s="116">
        <v>5.17</v>
      </c>
      <c r="P599" s="116">
        <v>5.32</v>
      </c>
      <c r="Q599" s="116">
        <v>27.35</v>
      </c>
      <c r="R599">
        <v>13584241</v>
      </c>
    </row>
    <row r="600" spans="1:18" x14ac:dyDescent="0.25">
      <c r="A600" s="170">
        <v>42886</v>
      </c>
      <c r="B600" s="116">
        <v>5.63</v>
      </c>
      <c r="C600" s="116">
        <v>5.53</v>
      </c>
      <c r="D600" s="116">
        <v>5.43</v>
      </c>
      <c r="E600" s="116">
        <v>5.49</v>
      </c>
      <c r="F600" s="116">
        <v>27.65</v>
      </c>
      <c r="G600">
        <v>1776363</v>
      </c>
      <c r="H600" s="116"/>
      <c r="I600" s="116"/>
      <c r="L600" s="170">
        <v>42886</v>
      </c>
      <c r="M600" s="116">
        <v>5.54</v>
      </c>
      <c r="N600" s="116">
        <v>5.63</v>
      </c>
      <c r="O600" s="116">
        <v>5.43</v>
      </c>
      <c r="P600" s="116">
        <v>5.52</v>
      </c>
      <c r="Q600" s="116">
        <v>27.7</v>
      </c>
      <c r="R600">
        <v>12954263</v>
      </c>
    </row>
    <row r="601" spans="1:18" x14ac:dyDescent="0.25">
      <c r="A601" s="170">
        <v>42887</v>
      </c>
      <c r="B601" s="116">
        <v>5.65</v>
      </c>
      <c r="C601" s="116">
        <v>5.39</v>
      </c>
      <c r="D601" s="116">
        <v>5.36</v>
      </c>
      <c r="E601" s="116">
        <v>5.57</v>
      </c>
      <c r="F601" s="116">
        <v>26.95</v>
      </c>
      <c r="G601">
        <v>1139581</v>
      </c>
      <c r="H601" s="116"/>
      <c r="I601" s="116"/>
      <c r="L601" s="170">
        <v>42887</v>
      </c>
      <c r="M601" s="116">
        <v>5.39</v>
      </c>
      <c r="N601" s="116">
        <v>5.67</v>
      </c>
      <c r="O601" s="116">
        <v>5.35</v>
      </c>
      <c r="P601" s="116">
        <v>5.55</v>
      </c>
      <c r="Q601" s="116">
        <v>26.95</v>
      </c>
      <c r="R601">
        <v>7640715</v>
      </c>
    </row>
    <row r="602" spans="1:18" x14ac:dyDescent="0.25">
      <c r="A602" s="170">
        <v>42888</v>
      </c>
      <c r="B602" s="116">
        <v>5.5</v>
      </c>
      <c r="C602" s="116">
        <v>5.44</v>
      </c>
      <c r="D602" s="116">
        <v>5.38</v>
      </c>
      <c r="E602" s="116">
        <v>5.5</v>
      </c>
      <c r="F602" s="116">
        <v>27.2</v>
      </c>
      <c r="G602">
        <v>915763</v>
      </c>
      <c r="H602" s="116"/>
      <c r="I602" s="116"/>
      <c r="L602" s="170">
        <v>42888</v>
      </c>
      <c r="M602" s="116">
        <v>5.44</v>
      </c>
      <c r="N602" s="116">
        <v>5.49</v>
      </c>
      <c r="O602" s="116">
        <v>5.38</v>
      </c>
      <c r="P602" s="116">
        <v>5.44</v>
      </c>
      <c r="Q602" s="116">
        <v>27.2</v>
      </c>
      <c r="R602">
        <v>7471650</v>
      </c>
    </row>
    <row r="603" spans="1:18" x14ac:dyDescent="0.25">
      <c r="A603" s="170">
        <v>42891</v>
      </c>
      <c r="B603" s="116">
        <v>5.49</v>
      </c>
      <c r="C603" s="116">
        <v>5.36</v>
      </c>
      <c r="D603" s="116">
        <v>5.35</v>
      </c>
      <c r="E603" s="116">
        <v>5.49</v>
      </c>
      <c r="F603" s="116">
        <v>26.8</v>
      </c>
      <c r="G603">
        <v>892945</v>
      </c>
      <c r="H603" s="116"/>
      <c r="I603" s="116"/>
      <c r="L603" s="170">
        <v>42891</v>
      </c>
      <c r="M603" s="116">
        <v>5.36</v>
      </c>
      <c r="N603" s="116">
        <v>5.49</v>
      </c>
      <c r="O603" s="116">
        <v>5.35</v>
      </c>
      <c r="P603" s="116">
        <v>5.46</v>
      </c>
      <c r="Q603" s="116">
        <v>26.8</v>
      </c>
      <c r="R603">
        <v>4881688</v>
      </c>
    </row>
    <row r="604" spans="1:18" x14ac:dyDescent="0.25">
      <c r="A604" s="170">
        <v>42892</v>
      </c>
      <c r="B604" s="116">
        <v>5.48</v>
      </c>
      <c r="C604" s="116">
        <v>5.45</v>
      </c>
      <c r="D604" s="116">
        <v>5.32</v>
      </c>
      <c r="E604" s="116">
        <v>5.36</v>
      </c>
      <c r="F604" s="116">
        <v>27.25</v>
      </c>
      <c r="G604">
        <v>1776948</v>
      </c>
      <c r="H604" s="116"/>
      <c r="I604" s="116"/>
      <c r="L604" s="170">
        <v>42892</v>
      </c>
      <c r="M604" s="116">
        <v>5.45</v>
      </c>
      <c r="N604" s="116">
        <v>5.49</v>
      </c>
      <c r="O604" s="116">
        <v>5.31</v>
      </c>
      <c r="P604" s="116">
        <v>5.36</v>
      </c>
      <c r="Q604" s="116">
        <v>27.25</v>
      </c>
      <c r="R604">
        <v>11028116</v>
      </c>
    </row>
    <row r="605" spans="1:18" x14ac:dyDescent="0.25">
      <c r="A605" s="170">
        <v>42893</v>
      </c>
      <c r="B605" s="116">
        <v>5.6</v>
      </c>
      <c r="C605" s="116">
        <v>5.48</v>
      </c>
      <c r="D605" s="116">
        <v>5.45</v>
      </c>
      <c r="E605" s="116">
        <v>5.57</v>
      </c>
      <c r="F605" s="116">
        <v>27.4</v>
      </c>
      <c r="G605">
        <v>1015647</v>
      </c>
      <c r="H605" s="116"/>
      <c r="I605" s="116"/>
      <c r="L605" s="170">
        <v>42893</v>
      </c>
      <c r="M605" s="116">
        <v>5.47</v>
      </c>
      <c r="N605" s="116">
        <v>5.6</v>
      </c>
      <c r="O605" s="116">
        <v>5.44</v>
      </c>
      <c r="P605" s="116">
        <v>5.57</v>
      </c>
      <c r="Q605" s="116">
        <v>27.35</v>
      </c>
      <c r="R605">
        <v>9992617</v>
      </c>
    </row>
    <row r="606" spans="1:18" x14ac:dyDescent="0.25">
      <c r="A606" s="170">
        <v>42894</v>
      </c>
      <c r="B606" s="116">
        <v>5.53</v>
      </c>
      <c r="C606" s="116">
        <v>5.37</v>
      </c>
      <c r="D606" s="116">
        <v>5.36</v>
      </c>
      <c r="E606" s="116">
        <v>5.53</v>
      </c>
      <c r="F606" s="116">
        <v>26.85</v>
      </c>
      <c r="G606">
        <v>748883</v>
      </c>
      <c r="H606" s="116"/>
      <c r="I606" s="116"/>
      <c r="L606" s="170">
        <v>42894</v>
      </c>
      <c r="M606" s="116">
        <v>5.38</v>
      </c>
      <c r="N606" s="116">
        <v>5.49</v>
      </c>
      <c r="O606" s="116">
        <v>5.37</v>
      </c>
      <c r="P606" s="116">
        <v>5.49</v>
      </c>
      <c r="Q606" s="116">
        <v>26.9</v>
      </c>
      <c r="R606">
        <v>5149689</v>
      </c>
    </row>
    <row r="607" spans="1:18" x14ac:dyDescent="0.25">
      <c r="A607" s="170">
        <v>42895</v>
      </c>
      <c r="B607" s="116">
        <v>5.39</v>
      </c>
      <c r="C607" s="116">
        <v>5.35</v>
      </c>
      <c r="D607" s="116">
        <v>5.3</v>
      </c>
      <c r="E607" s="116">
        <v>5.38</v>
      </c>
      <c r="F607" s="116">
        <v>26.75</v>
      </c>
      <c r="G607">
        <v>859006</v>
      </c>
      <c r="H607" s="116"/>
      <c r="I607" s="116"/>
      <c r="L607" s="170">
        <v>42895</v>
      </c>
      <c r="M607" s="116">
        <v>5.36</v>
      </c>
      <c r="N607" s="116">
        <v>5.4</v>
      </c>
      <c r="O607" s="116">
        <v>5.29</v>
      </c>
      <c r="P607" s="116">
        <v>5.4</v>
      </c>
      <c r="Q607" s="116">
        <v>26.8</v>
      </c>
      <c r="R607">
        <v>5559464</v>
      </c>
    </row>
    <row r="608" spans="1:18" x14ac:dyDescent="0.25">
      <c r="A608" s="170">
        <v>42898</v>
      </c>
      <c r="B608" s="116">
        <v>5.66</v>
      </c>
      <c r="C608" s="116">
        <v>5.57</v>
      </c>
      <c r="D608" s="116">
        <v>5.29</v>
      </c>
      <c r="E608" s="116">
        <v>5.33</v>
      </c>
      <c r="F608" s="116">
        <v>27.85</v>
      </c>
      <c r="G608">
        <v>1581112</v>
      </c>
      <c r="H608" s="116"/>
      <c r="I608" s="116"/>
      <c r="L608" s="170">
        <v>42898</v>
      </c>
      <c r="M608" s="116">
        <v>5.56</v>
      </c>
      <c r="N608" s="116">
        <v>5.67</v>
      </c>
      <c r="O608" s="116">
        <v>5.3</v>
      </c>
      <c r="P608" s="116">
        <v>5.35</v>
      </c>
      <c r="Q608" s="116">
        <v>27.8</v>
      </c>
      <c r="R608">
        <v>11146080</v>
      </c>
    </row>
    <row r="609" spans="1:18" x14ac:dyDescent="0.25">
      <c r="A609" s="170">
        <v>42899</v>
      </c>
      <c r="B609" s="116">
        <v>5.6</v>
      </c>
      <c r="C609" s="116">
        <v>5.5</v>
      </c>
      <c r="D609" s="116">
        <v>5.46</v>
      </c>
      <c r="E609" s="116">
        <v>5.57</v>
      </c>
      <c r="F609" s="116">
        <v>27.5</v>
      </c>
      <c r="G609">
        <v>1204697</v>
      </c>
      <c r="H609" s="116"/>
      <c r="I609" s="116"/>
      <c r="L609" s="170">
        <v>42899</v>
      </c>
      <c r="M609" s="116">
        <v>5.49</v>
      </c>
      <c r="N609" s="116">
        <v>5.6</v>
      </c>
      <c r="O609" s="116">
        <v>5.46</v>
      </c>
      <c r="P609" s="116">
        <v>5.56</v>
      </c>
      <c r="Q609" s="116">
        <v>27.45</v>
      </c>
      <c r="R609">
        <v>8127530</v>
      </c>
    </row>
    <row r="610" spans="1:18" x14ac:dyDescent="0.25">
      <c r="A610" s="170">
        <v>42900</v>
      </c>
      <c r="B610" s="116">
        <v>5.6</v>
      </c>
      <c r="C610" s="116">
        <v>5.55</v>
      </c>
      <c r="D610" s="116">
        <v>5.37</v>
      </c>
      <c r="E610" s="116">
        <v>5.48</v>
      </c>
      <c r="F610" s="116">
        <v>27.75</v>
      </c>
      <c r="G610">
        <v>1222079</v>
      </c>
      <c r="H610" s="116"/>
      <c r="I610" s="116"/>
      <c r="L610" s="170">
        <v>42900</v>
      </c>
      <c r="M610" s="116">
        <v>5.54</v>
      </c>
      <c r="N610" s="116">
        <v>5.6</v>
      </c>
      <c r="O610" s="116">
        <v>5.37</v>
      </c>
      <c r="P610" s="116">
        <v>5.44</v>
      </c>
      <c r="Q610" s="116">
        <v>27.7</v>
      </c>
      <c r="R610">
        <v>8415127</v>
      </c>
    </row>
    <row r="611" spans="1:18" x14ac:dyDescent="0.25">
      <c r="A611" s="170">
        <v>42901</v>
      </c>
      <c r="B611" s="116">
        <v>5.63</v>
      </c>
      <c r="C611" s="116">
        <v>5.53</v>
      </c>
      <c r="D611" s="116">
        <v>5.48</v>
      </c>
      <c r="E611" s="116">
        <v>5.52</v>
      </c>
      <c r="F611" s="116">
        <v>27.65</v>
      </c>
      <c r="G611">
        <v>1408286</v>
      </c>
      <c r="H611" s="116"/>
      <c r="I611" s="116"/>
      <c r="L611" s="170">
        <v>42901</v>
      </c>
      <c r="M611" s="116">
        <v>5.52</v>
      </c>
      <c r="N611" s="116">
        <v>5.63</v>
      </c>
      <c r="O611" s="116">
        <v>5.47</v>
      </c>
      <c r="P611" s="116">
        <v>5.47</v>
      </c>
      <c r="Q611" s="116">
        <v>27.6</v>
      </c>
      <c r="R611">
        <v>6877768</v>
      </c>
    </row>
    <row r="612" spans="1:18" x14ac:dyDescent="0.25">
      <c r="A612" s="170">
        <v>42902</v>
      </c>
      <c r="B612" s="116">
        <v>5.63</v>
      </c>
      <c r="C612" s="116">
        <v>5.51</v>
      </c>
      <c r="D612" s="116">
        <v>5.48</v>
      </c>
      <c r="E612" s="116">
        <v>5.56</v>
      </c>
      <c r="F612" s="116">
        <v>27.55</v>
      </c>
      <c r="G612">
        <v>1440387</v>
      </c>
      <c r="H612" s="116"/>
      <c r="I612" s="116"/>
      <c r="L612" s="170">
        <v>42902</v>
      </c>
      <c r="M612" s="116">
        <v>5.51</v>
      </c>
      <c r="N612" s="116">
        <v>5.64</v>
      </c>
      <c r="O612" s="116">
        <v>5.48</v>
      </c>
      <c r="P612" s="116">
        <v>5.55</v>
      </c>
      <c r="Q612" s="116">
        <v>27.55</v>
      </c>
      <c r="R612">
        <v>8534829</v>
      </c>
    </row>
    <row r="613" spans="1:18" x14ac:dyDescent="0.25">
      <c r="A613" s="170">
        <v>42905</v>
      </c>
      <c r="B613" s="116">
        <v>5.56</v>
      </c>
      <c r="C613" s="116">
        <v>5.44</v>
      </c>
      <c r="D613" s="116">
        <v>5.43</v>
      </c>
      <c r="E613" s="116">
        <v>5.55</v>
      </c>
      <c r="F613" s="116">
        <v>27.2</v>
      </c>
      <c r="G613">
        <v>748458</v>
      </c>
      <c r="H613" s="116"/>
      <c r="I613" s="116"/>
      <c r="L613" s="170">
        <v>42905</v>
      </c>
      <c r="M613" s="116">
        <v>5.44</v>
      </c>
      <c r="N613" s="116">
        <v>5.56</v>
      </c>
      <c r="O613" s="116">
        <v>5.42</v>
      </c>
      <c r="P613" s="116">
        <v>5.52</v>
      </c>
      <c r="Q613" s="116">
        <v>27.2</v>
      </c>
      <c r="R613">
        <v>4458620</v>
      </c>
    </row>
    <row r="614" spans="1:18" x14ac:dyDescent="0.25">
      <c r="A614" s="170">
        <v>42906</v>
      </c>
      <c r="B614" s="116">
        <v>5.52</v>
      </c>
      <c r="C614" s="116">
        <v>5.47</v>
      </c>
      <c r="D614" s="116">
        <v>5.43</v>
      </c>
      <c r="E614" s="116">
        <v>5.46</v>
      </c>
      <c r="F614" s="116">
        <v>27.35</v>
      </c>
      <c r="G614">
        <v>516248</v>
      </c>
      <c r="H614" s="116"/>
      <c r="I614" s="116"/>
      <c r="L614" s="170">
        <v>42906</v>
      </c>
      <c r="M614" s="116">
        <v>5.47</v>
      </c>
      <c r="N614" s="116">
        <v>5.53</v>
      </c>
      <c r="O614" s="116">
        <v>5.43</v>
      </c>
      <c r="P614" s="116">
        <v>5.45</v>
      </c>
      <c r="Q614" s="116">
        <v>27.35</v>
      </c>
      <c r="R614">
        <v>4201552</v>
      </c>
    </row>
    <row r="615" spans="1:18" x14ac:dyDescent="0.25">
      <c r="A615" s="170">
        <v>42907</v>
      </c>
      <c r="B615" s="116">
        <v>5.51</v>
      </c>
      <c r="C615" s="116">
        <v>5.43</v>
      </c>
      <c r="D615" s="116">
        <v>5.42</v>
      </c>
      <c r="E615" s="116">
        <v>5.47</v>
      </c>
      <c r="F615" s="116">
        <v>27.15</v>
      </c>
      <c r="G615">
        <v>526960</v>
      </c>
      <c r="H615" s="116"/>
      <c r="I615" s="116"/>
      <c r="L615" s="170">
        <v>42907</v>
      </c>
      <c r="M615" s="116">
        <v>5.44</v>
      </c>
      <c r="N615" s="116">
        <v>5.52</v>
      </c>
      <c r="O615" s="116">
        <v>5.42</v>
      </c>
      <c r="P615" s="116">
        <v>5.46</v>
      </c>
      <c r="Q615" s="116">
        <v>27.2</v>
      </c>
      <c r="R615">
        <v>3627154</v>
      </c>
    </row>
    <row r="616" spans="1:18" x14ac:dyDescent="0.25">
      <c r="A616" s="170">
        <v>42908</v>
      </c>
      <c r="B616" s="116">
        <v>5.55</v>
      </c>
      <c r="C616" s="116">
        <v>5.46</v>
      </c>
      <c r="D616" s="116">
        <v>5.42</v>
      </c>
      <c r="E616" s="116">
        <v>5.42</v>
      </c>
      <c r="F616" s="116">
        <v>27.3</v>
      </c>
      <c r="G616">
        <v>815554</v>
      </c>
      <c r="H616" s="116"/>
      <c r="I616" s="116"/>
      <c r="L616" s="170">
        <v>42908</v>
      </c>
      <c r="M616" s="116">
        <v>5.46</v>
      </c>
      <c r="N616" s="116">
        <v>5.56</v>
      </c>
      <c r="O616" s="116">
        <v>5.42</v>
      </c>
      <c r="P616" s="116">
        <v>5.46</v>
      </c>
      <c r="Q616" s="116">
        <v>27.3</v>
      </c>
      <c r="R616">
        <v>5214723</v>
      </c>
    </row>
    <row r="617" spans="1:18" x14ac:dyDescent="0.25">
      <c r="A617" s="170">
        <v>42909</v>
      </c>
      <c r="B617" s="116">
        <v>5.49</v>
      </c>
      <c r="C617" s="116">
        <v>5.36</v>
      </c>
      <c r="D617" s="116">
        <v>5.32</v>
      </c>
      <c r="E617" s="116">
        <v>5.49</v>
      </c>
      <c r="F617" s="116">
        <v>26.8</v>
      </c>
      <c r="G617">
        <v>641256</v>
      </c>
      <c r="H617" s="116"/>
      <c r="I617" s="116"/>
      <c r="L617" s="170">
        <v>42909</v>
      </c>
      <c r="M617" s="116">
        <v>5.36</v>
      </c>
      <c r="N617" s="116">
        <v>5.49</v>
      </c>
      <c r="O617" s="116">
        <v>5.32</v>
      </c>
      <c r="P617" s="116">
        <v>5.49</v>
      </c>
      <c r="Q617" s="116">
        <v>26.8</v>
      </c>
      <c r="R617">
        <v>5710483</v>
      </c>
    </row>
    <row r="618" spans="1:18" x14ac:dyDescent="0.25">
      <c r="A618" s="170">
        <v>42913</v>
      </c>
      <c r="B618" s="116">
        <v>5.44</v>
      </c>
      <c r="C618" s="116">
        <v>5.41</v>
      </c>
      <c r="D618" s="116">
        <v>5.29</v>
      </c>
      <c r="E618" s="116">
        <v>5.36</v>
      </c>
      <c r="F618" s="116">
        <v>27.05</v>
      </c>
      <c r="G618">
        <v>869582</v>
      </c>
      <c r="H618" s="116"/>
      <c r="I618" s="116"/>
      <c r="L618" s="170">
        <v>42913</v>
      </c>
      <c r="M618" s="116">
        <v>5.42</v>
      </c>
      <c r="N618" s="116">
        <v>5.45</v>
      </c>
      <c r="O618" s="116">
        <v>5.29</v>
      </c>
      <c r="P618" s="116">
        <v>5.37</v>
      </c>
      <c r="Q618" s="116">
        <v>27.1</v>
      </c>
      <c r="R618">
        <v>6211034</v>
      </c>
    </row>
    <row r="619" spans="1:18" x14ac:dyDescent="0.25">
      <c r="A619" s="170">
        <v>42914</v>
      </c>
      <c r="B619" s="116">
        <v>5.7</v>
      </c>
      <c r="C619" s="116">
        <v>5.65</v>
      </c>
      <c r="D619" s="116">
        <v>5.35</v>
      </c>
      <c r="E619" s="116">
        <v>5.41</v>
      </c>
      <c r="F619" s="116">
        <v>28.25</v>
      </c>
      <c r="G619">
        <v>1647872</v>
      </c>
      <c r="H619" s="116"/>
      <c r="I619" s="116"/>
      <c r="L619" s="170">
        <v>42914</v>
      </c>
      <c r="M619" s="116">
        <v>5.65</v>
      </c>
      <c r="N619" s="116">
        <v>5.69</v>
      </c>
      <c r="O619" s="116">
        <v>5.35</v>
      </c>
      <c r="P619" s="116">
        <v>5.42</v>
      </c>
      <c r="Q619" s="116">
        <v>28.25</v>
      </c>
      <c r="R619">
        <v>12240267</v>
      </c>
    </row>
    <row r="620" spans="1:18" x14ac:dyDescent="0.25">
      <c r="A620" s="170">
        <v>42915</v>
      </c>
      <c r="B620" s="116">
        <v>5.88</v>
      </c>
      <c r="C620" s="116">
        <v>5.8</v>
      </c>
      <c r="D620" s="116">
        <v>5.66</v>
      </c>
      <c r="E620" s="116">
        <v>5.7</v>
      </c>
      <c r="F620" s="116">
        <v>29</v>
      </c>
      <c r="G620">
        <v>1778023</v>
      </c>
      <c r="H620" s="116"/>
      <c r="I620" s="116"/>
      <c r="L620" s="170">
        <v>42915</v>
      </c>
      <c r="M620" s="116">
        <v>5.82</v>
      </c>
      <c r="N620" s="116">
        <v>5.88</v>
      </c>
      <c r="O620" s="116">
        <v>5.67</v>
      </c>
      <c r="P620" s="116">
        <v>5.74</v>
      </c>
      <c r="Q620" s="116">
        <v>29.1</v>
      </c>
      <c r="R620">
        <v>11046987</v>
      </c>
    </row>
    <row r="621" spans="1:18" x14ac:dyDescent="0.25">
      <c r="A621" s="170">
        <v>42916</v>
      </c>
      <c r="B621" s="116">
        <v>6</v>
      </c>
      <c r="C621" s="116">
        <v>5.94</v>
      </c>
      <c r="D621" s="116">
        <v>5.73</v>
      </c>
      <c r="E621" s="116">
        <v>5.82</v>
      </c>
      <c r="F621" s="116">
        <v>29.7</v>
      </c>
      <c r="G621">
        <v>1423217</v>
      </c>
      <c r="H621" s="116"/>
      <c r="I621" s="116"/>
      <c r="L621" s="170">
        <v>42916</v>
      </c>
      <c r="M621" s="116">
        <v>5.96</v>
      </c>
      <c r="N621" s="116">
        <v>6.02</v>
      </c>
      <c r="O621" s="116">
        <v>5.74</v>
      </c>
      <c r="P621" s="116">
        <v>5.84</v>
      </c>
      <c r="Q621" s="116">
        <v>29.8</v>
      </c>
      <c r="R621">
        <v>11179263</v>
      </c>
    </row>
    <row r="622" spans="1:18" x14ac:dyDescent="0.25">
      <c r="A622" s="170">
        <v>42919</v>
      </c>
      <c r="B622" s="116">
        <v>6.05</v>
      </c>
      <c r="C622" s="116">
        <v>5.94</v>
      </c>
      <c r="D622" s="116">
        <v>5.91</v>
      </c>
      <c r="E622" s="116">
        <v>5.99</v>
      </c>
      <c r="F622" s="116">
        <v>29.7</v>
      </c>
      <c r="G622">
        <v>764569</v>
      </c>
      <c r="H622" s="116"/>
      <c r="I622" s="116"/>
      <c r="L622" s="170">
        <v>42919</v>
      </c>
      <c r="M622" s="116">
        <v>5.94</v>
      </c>
      <c r="N622" s="116">
        <v>6.05</v>
      </c>
      <c r="O622" s="116">
        <v>5.91</v>
      </c>
      <c r="P622" s="116">
        <v>5.96</v>
      </c>
      <c r="Q622" s="116">
        <v>29.7</v>
      </c>
      <c r="R622">
        <v>7592476</v>
      </c>
    </row>
    <row r="623" spans="1:18" x14ac:dyDescent="0.25">
      <c r="A623" s="170">
        <v>42920</v>
      </c>
      <c r="B623" s="116">
        <v>6</v>
      </c>
      <c r="C623" s="116">
        <v>5.78</v>
      </c>
      <c r="D623" s="116">
        <v>5.73</v>
      </c>
      <c r="E623" s="116">
        <v>6</v>
      </c>
      <c r="F623" s="116">
        <v>28.9</v>
      </c>
      <c r="G623">
        <v>595106</v>
      </c>
      <c r="H623" s="116"/>
      <c r="I623" s="116"/>
      <c r="L623" s="170">
        <v>42920</v>
      </c>
      <c r="M623" s="116">
        <v>5.77</v>
      </c>
      <c r="N623" s="116">
        <v>6</v>
      </c>
      <c r="O623" s="116">
        <v>5.73</v>
      </c>
      <c r="P623" s="116">
        <v>5.96</v>
      </c>
      <c r="Q623" s="116">
        <v>28.85</v>
      </c>
      <c r="R623">
        <v>5333314</v>
      </c>
    </row>
    <row r="624" spans="1:18" x14ac:dyDescent="0.25">
      <c r="A624" s="170">
        <v>42921</v>
      </c>
      <c r="B624" s="116">
        <v>5.78</v>
      </c>
      <c r="C624" s="116">
        <v>5.75</v>
      </c>
      <c r="D624" s="116">
        <v>5.69</v>
      </c>
      <c r="E624" s="116">
        <v>5.77</v>
      </c>
      <c r="F624" s="116">
        <v>28.75</v>
      </c>
      <c r="G624">
        <v>715938</v>
      </c>
      <c r="H624" s="116"/>
      <c r="I624" s="116"/>
      <c r="L624" s="170">
        <v>42921</v>
      </c>
      <c r="M624" s="116">
        <v>5.74</v>
      </c>
      <c r="N624" s="116">
        <v>5.77</v>
      </c>
      <c r="O624" s="116">
        <v>5.63</v>
      </c>
      <c r="P624" s="116">
        <v>5.63</v>
      </c>
      <c r="Q624" s="116">
        <v>28.7</v>
      </c>
      <c r="R624">
        <v>3769956</v>
      </c>
    </row>
    <row r="625" spans="1:18" x14ac:dyDescent="0.25">
      <c r="A625" s="170">
        <v>42922</v>
      </c>
      <c r="B625" s="116">
        <v>5.77</v>
      </c>
      <c r="C625" s="116">
        <v>5.66</v>
      </c>
      <c r="D625" s="116">
        <v>5.65</v>
      </c>
      <c r="E625" s="116">
        <v>5.77</v>
      </c>
      <c r="F625" s="116">
        <v>28.3</v>
      </c>
      <c r="G625">
        <v>768732</v>
      </c>
      <c r="H625" s="116"/>
      <c r="I625" s="116"/>
      <c r="L625" s="170">
        <v>42922</v>
      </c>
      <c r="M625" s="116">
        <v>5.66</v>
      </c>
      <c r="N625" s="116">
        <v>5.74</v>
      </c>
      <c r="O625" s="116">
        <v>5.64</v>
      </c>
      <c r="P625" s="116">
        <v>5.7</v>
      </c>
      <c r="Q625" s="116">
        <v>28.3</v>
      </c>
      <c r="R625">
        <v>4195974</v>
      </c>
    </row>
    <row r="626" spans="1:18" x14ac:dyDescent="0.25">
      <c r="A626" s="170">
        <v>42923</v>
      </c>
      <c r="B626" s="116">
        <v>5.75</v>
      </c>
      <c r="C626" s="116">
        <v>5.69</v>
      </c>
      <c r="D626" s="116">
        <v>5.62</v>
      </c>
      <c r="E626" s="116">
        <v>5.66</v>
      </c>
      <c r="F626" s="116">
        <v>28.45</v>
      </c>
      <c r="G626">
        <v>560988</v>
      </c>
      <c r="H626" s="116"/>
      <c r="I626" s="116"/>
      <c r="L626" s="170">
        <v>42923</v>
      </c>
      <c r="M626" s="116">
        <v>5.68</v>
      </c>
      <c r="N626" s="116">
        <v>5.74</v>
      </c>
      <c r="O626" s="116">
        <v>5.62</v>
      </c>
      <c r="P626" s="116">
        <v>5.62</v>
      </c>
      <c r="Q626" s="116">
        <v>28.4</v>
      </c>
      <c r="R626">
        <v>4743322</v>
      </c>
    </row>
    <row r="627" spans="1:18" x14ac:dyDescent="0.25">
      <c r="A627" s="170">
        <v>42926</v>
      </c>
      <c r="B627" s="116">
        <v>6</v>
      </c>
      <c r="C627" s="116">
        <v>5.96</v>
      </c>
      <c r="D627" s="116">
        <v>5.76</v>
      </c>
      <c r="E627" s="116">
        <v>5.8</v>
      </c>
      <c r="F627" s="116">
        <v>29.8</v>
      </c>
      <c r="G627">
        <v>3665257</v>
      </c>
      <c r="H627" s="116"/>
      <c r="I627" s="116"/>
      <c r="L627" s="170">
        <v>42926</v>
      </c>
      <c r="M627" s="116">
        <v>5.96</v>
      </c>
      <c r="N627" s="116">
        <v>6</v>
      </c>
      <c r="O627" s="116">
        <v>5.78</v>
      </c>
      <c r="P627" s="116">
        <v>6</v>
      </c>
      <c r="Q627" s="116">
        <v>29.8</v>
      </c>
      <c r="R627">
        <v>3846095</v>
      </c>
    </row>
    <row r="628" spans="1:18" x14ac:dyDescent="0.25">
      <c r="A628" s="170">
        <v>42927</v>
      </c>
      <c r="B628" s="116">
        <v>6.08</v>
      </c>
      <c r="C628" s="116">
        <v>5.86</v>
      </c>
      <c r="D628" s="116">
        <v>5.81</v>
      </c>
      <c r="E628" s="116">
        <v>5.99</v>
      </c>
      <c r="F628" s="116">
        <v>29.3</v>
      </c>
      <c r="G628">
        <v>1317294</v>
      </c>
      <c r="H628" s="116"/>
      <c r="I628" s="116"/>
      <c r="L628" s="170">
        <v>42927</v>
      </c>
      <c r="M628" s="116">
        <v>5.85</v>
      </c>
      <c r="N628" s="116">
        <v>6.09</v>
      </c>
      <c r="O628" s="116">
        <v>5.81</v>
      </c>
      <c r="P628" s="116">
        <v>6</v>
      </c>
      <c r="Q628" s="116">
        <v>29.25</v>
      </c>
      <c r="R628">
        <v>9189547</v>
      </c>
    </row>
    <row r="629" spans="1:18" x14ac:dyDescent="0.25">
      <c r="A629" s="170">
        <v>42928</v>
      </c>
      <c r="B629" s="116">
        <v>5.93</v>
      </c>
      <c r="C629" s="116">
        <v>5.88</v>
      </c>
      <c r="D629" s="116">
        <v>5.76</v>
      </c>
      <c r="E629" s="116">
        <v>5.82</v>
      </c>
      <c r="F629" s="116">
        <v>29.4</v>
      </c>
      <c r="G629">
        <v>892869</v>
      </c>
      <c r="H629" s="116"/>
      <c r="I629" s="116"/>
      <c r="L629" s="170">
        <v>42928</v>
      </c>
      <c r="M629" s="116">
        <v>5.88</v>
      </c>
      <c r="N629" s="116">
        <v>5.93</v>
      </c>
      <c r="O629" s="116">
        <v>5.84</v>
      </c>
      <c r="P629" s="116">
        <v>5.85</v>
      </c>
      <c r="Q629" s="116">
        <v>29.4</v>
      </c>
      <c r="R629">
        <v>5712613</v>
      </c>
    </row>
    <row r="630" spans="1:18" x14ac:dyDescent="0.25">
      <c r="A630" s="170">
        <v>42929</v>
      </c>
      <c r="B630" s="116">
        <v>6.12</v>
      </c>
      <c r="C630" s="116">
        <v>6.05</v>
      </c>
      <c r="D630" s="116">
        <v>5.86</v>
      </c>
      <c r="E630" s="116">
        <v>5.94</v>
      </c>
      <c r="F630" s="116">
        <v>30.25</v>
      </c>
      <c r="G630">
        <v>1771684</v>
      </c>
      <c r="H630" s="116"/>
      <c r="I630" s="116"/>
      <c r="L630" s="170">
        <v>42929</v>
      </c>
      <c r="M630" s="116">
        <v>6.05</v>
      </c>
      <c r="N630" s="116">
        <v>6.13</v>
      </c>
      <c r="O630" s="116">
        <v>5.86</v>
      </c>
      <c r="P630" s="116">
        <v>5.91</v>
      </c>
      <c r="Q630" s="116">
        <v>30.25</v>
      </c>
      <c r="R630">
        <v>10622284</v>
      </c>
    </row>
    <row r="631" spans="1:18" x14ac:dyDescent="0.25">
      <c r="A631" s="170">
        <v>42930</v>
      </c>
      <c r="B631" s="116">
        <v>6.09</v>
      </c>
      <c r="C631" s="116">
        <v>5.94</v>
      </c>
      <c r="D631" s="116">
        <v>5.91</v>
      </c>
      <c r="E631" s="116">
        <v>6.05</v>
      </c>
      <c r="F631" s="116">
        <v>29.7</v>
      </c>
      <c r="G631">
        <v>621661</v>
      </c>
      <c r="H631" s="116"/>
      <c r="I631" s="116"/>
      <c r="L631" s="170">
        <v>42930</v>
      </c>
      <c r="M631" s="116">
        <v>5.94</v>
      </c>
      <c r="N631" s="116">
        <v>6.1</v>
      </c>
      <c r="O631" s="116">
        <v>5.91</v>
      </c>
      <c r="P631" s="116">
        <v>6.1</v>
      </c>
      <c r="Q631" s="116">
        <v>29.7</v>
      </c>
      <c r="R631">
        <v>5040875</v>
      </c>
    </row>
    <row r="632" spans="1:18" x14ac:dyDescent="0.25">
      <c r="A632" s="170">
        <v>42933</v>
      </c>
      <c r="B632" s="116">
        <v>6.04</v>
      </c>
      <c r="C632" s="116">
        <v>6</v>
      </c>
      <c r="D632" s="116">
        <v>5.93</v>
      </c>
      <c r="E632" s="116">
        <v>5.94</v>
      </c>
      <c r="F632" s="116">
        <v>30</v>
      </c>
      <c r="G632">
        <v>803840</v>
      </c>
      <c r="H632" s="116"/>
      <c r="I632" s="116"/>
      <c r="L632" s="170">
        <v>42933</v>
      </c>
      <c r="M632" s="116">
        <v>6.01</v>
      </c>
      <c r="N632" s="116">
        <v>6.05</v>
      </c>
      <c r="O632" s="116">
        <v>5.93</v>
      </c>
      <c r="P632" s="116">
        <v>5.98</v>
      </c>
      <c r="Q632" s="116">
        <v>30.05</v>
      </c>
      <c r="R632">
        <v>4420791</v>
      </c>
    </row>
    <row r="633" spans="1:18" x14ac:dyDescent="0.25">
      <c r="A633" s="170">
        <v>42934</v>
      </c>
      <c r="B633" s="116">
        <v>6.1</v>
      </c>
      <c r="C633" s="116">
        <v>5.98</v>
      </c>
      <c r="D633" s="116">
        <v>5.92</v>
      </c>
      <c r="E633" s="116">
        <v>5.98</v>
      </c>
      <c r="F633" s="116">
        <v>29.9</v>
      </c>
      <c r="G633">
        <v>719244</v>
      </c>
      <c r="H633" s="116"/>
      <c r="I633" s="116"/>
      <c r="L633" s="170">
        <v>42934</v>
      </c>
      <c r="M633" s="116">
        <v>5.98</v>
      </c>
      <c r="N633" s="116">
        <v>6.1</v>
      </c>
      <c r="O633" s="116">
        <v>5.92</v>
      </c>
      <c r="P633" s="116">
        <v>5.94</v>
      </c>
      <c r="Q633" s="116">
        <v>29.9</v>
      </c>
      <c r="R633">
        <v>4804360</v>
      </c>
    </row>
    <row r="634" spans="1:18" x14ac:dyDescent="0.25">
      <c r="A634" s="170">
        <v>42935</v>
      </c>
      <c r="B634" s="116">
        <v>6.07</v>
      </c>
      <c r="C634" s="116">
        <v>6.05</v>
      </c>
      <c r="D634" s="116">
        <v>5.97</v>
      </c>
      <c r="E634" s="116">
        <v>6</v>
      </c>
      <c r="F634" s="116">
        <v>30.25</v>
      </c>
      <c r="G634">
        <v>843666</v>
      </c>
      <c r="H634" s="116"/>
      <c r="I634" s="116"/>
      <c r="L634" s="170">
        <v>42935</v>
      </c>
      <c r="M634" s="116">
        <v>6.05</v>
      </c>
      <c r="N634" s="116">
        <v>6.08</v>
      </c>
      <c r="O634" s="116">
        <v>5.97</v>
      </c>
      <c r="P634" s="116">
        <v>6</v>
      </c>
      <c r="Q634" s="116">
        <v>30.25</v>
      </c>
      <c r="R634">
        <v>3574063</v>
      </c>
    </row>
    <row r="635" spans="1:18" x14ac:dyDescent="0.25">
      <c r="A635" s="170">
        <v>42936</v>
      </c>
      <c r="B635" s="116">
        <v>6.08</v>
      </c>
      <c r="C635" s="116">
        <v>5.97</v>
      </c>
      <c r="D635" s="116">
        <v>5.96</v>
      </c>
      <c r="E635" s="116">
        <v>6.04</v>
      </c>
      <c r="F635" s="116">
        <v>29.85</v>
      </c>
      <c r="G635">
        <v>442633</v>
      </c>
      <c r="H635" s="116"/>
      <c r="I635" s="116"/>
      <c r="L635" s="170">
        <v>42936</v>
      </c>
      <c r="M635" s="116">
        <v>5.98</v>
      </c>
      <c r="N635" s="116">
        <v>6.08</v>
      </c>
      <c r="O635" s="116">
        <v>5.97</v>
      </c>
      <c r="P635" s="116">
        <v>6.05</v>
      </c>
      <c r="Q635" s="116">
        <v>29.9</v>
      </c>
      <c r="R635">
        <v>3380732</v>
      </c>
    </row>
    <row r="636" spans="1:18" x14ac:dyDescent="0.25">
      <c r="A636" s="170">
        <v>42937</v>
      </c>
      <c r="B636" s="116">
        <v>6.49</v>
      </c>
      <c r="C636" s="116">
        <v>6.39</v>
      </c>
      <c r="D636" s="116">
        <v>5.97</v>
      </c>
      <c r="E636" s="116">
        <v>6</v>
      </c>
      <c r="F636" s="116">
        <v>31.95</v>
      </c>
      <c r="G636">
        <v>3022507</v>
      </c>
      <c r="H636" s="116"/>
      <c r="I636" s="116"/>
      <c r="L636" s="170">
        <v>42937</v>
      </c>
      <c r="M636" s="116">
        <v>6.41</v>
      </c>
      <c r="N636" s="116">
        <v>6.5</v>
      </c>
      <c r="O636" s="116">
        <v>5.97</v>
      </c>
      <c r="P636" s="116">
        <v>5.98</v>
      </c>
      <c r="Q636" s="116">
        <v>32.049999999999997</v>
      </c>
      <c r="R636">
        <v>25510747</v>
      </c>
    </row>
    <row r="637" spans="1:18" x14ac:dyDescent="0.25">
      <c r="A637" s="170">
        <v>42940</v>
      </c>
      <c r="B637" s="116">
        <v>6.75</v>
      </c>
      <c r="C637" s="116">
        <v>6.61</v>
      </c>
      <c r="D637" s="116">
        <v>6.33</v>
      </c>
      <c r="E637" s="116">
        <v>6.46</v>
      </c>
      <c r="F637" s="116">
        <v>33.049999999999997</v>
      </c>
      <c r="G637">
        <v>2686170</v>
      </c>
      <c r="H637" s="116"/>
      <c r="I637" s="116"/>
      <c r="L637" s="170">
        <v>42940</v>
      </c>
      <c r="M637" s="116">
        <v>6.61</v>
      </c>
      <c r="N637" s="116">
        <v>6.75</v>
      </c>
      <c r="O637" s="116">
        <v>6.33</v>
      </c>
      <c r="P637" s="116">
        <v>6.45</v>
      </c>
      <c r="Q637" s="116">
        <v>33.049999999999997</v>
      </c>
      <c r="R637">
        <v>19863273</v>
      </c>
    </row>
    <row r="638" spans="1:18" x14ac:dyDescent="0.25">
      <c r="A638" s="170">
        <v>42941</v>
      </c>
      <c r="B638" s="116">
        <v>6.72</v>
      </c>
      <c r="C638" s="116">
        <v>6.62</v>
      </c>
      <c r="D638" s="116">
        <v>6.58</v>
      </c>
      <c r="E638" s="116">
        <v>6.64</v>
      </c>
      <c r="F638" s="116">
        <v>33.1</v>
      </c>
      <c r="G638">
        <v>1177905</v>
      </c>
      <c r="H638" s="116"/>
      <c r="I638" s="116"/>
      <c r="L638" s="170">
        <v>42941</v>
      </c>
      <c r="M638" s="116">
        <v>6.63</v>
      </c>
      <c r="N638" s="116">
        <v>6.73</v>
      </c>
      <c r="O638" s="116">
        <v>6.58</v>
      </c>
      <c r="P638" s="116">
        <v>6.65</v>
      </c>
      <c r="Q638" s="116">
        <v>33.15</v>
      </c>
      <c r="R638">
        <v>9517433</v>
      </c>
    </row>
    <row r="639" spans="1:18" x14ac:dyDescent="0.25">
      <c r="A639" s="170">
        <v>42942</v>
      </c>
      <c r="B639" s="116">
        <v>7.03</v>
      </c>
      <c r="C639" s="116">
        <v>6.99</v>
      </c>
      <c r="D639" s="116">
        <v>6.6</v>
      </c>
      <c r="E639" s="116">
        <v>6.6</v>
      </c>
      <c r="F639" s="116">
        <v>34.950000000000003</v>
      </c>
      <c r="G639">
        <v>2826076</v>
      </c>
      <c r="H639" s="116"/>
      <c r="I639" s="116"/>
      <c r="L639" s="170">
        <v>42942</v>
      </c>
      <c r="M639" s="116">
        <v>6.99</v>
      </c>
      <c r="N639" s="116">
        <v>7.03</v>
      </c>
      <c r="O639" s="116">
        <v>6.65</v>
      </c>
      <c r="P639" s="116">
        <v>6.69</v>
      </c>
      <c r="Q639" s="116">
        <v>34.950000000000003</v>
      </c>
      <c r="R639">
        <v>21084557</v>
      </c>
    </row>
    <row r="640" spans="1:18" x14ac:dyDescent="0.25">
      <c r="A640" s="170">
        <v>42943</v>
      </c>
      <c r="B640" s="116">
        <v>7.09</v>
      </c>
      <c r="C640" s="116">
        <v>6.78</v>
      </c>
      <c r="D640" s="116">
        <v>6.52</v>
      </c>
      <c r="E640" s="116">
        <v>7.02</v>
      </c>
      <c r="F640" s="116">
        <v>33.9</v>
      </c>
      <c r="G640">
        <v>2445755</v>
      </c>
      <c r="H640" s="116"/>
      <c r="I640" s="116"/>
      <c r="L640" s="170">
        <v>42943</v>
      </c>
      <c r="M640" s="116">
        <v>6.79</v>
      </c>
      <c r="N640" s="116">
        <v>7.08</v>
      </c>
      <c r="O640" s="116">
        <v>6.54</v>
      </c>
      <c r="P640" s="116">
        <v>7.01</v>
      </c>
      <c r="Q640" s="116">
        <v>33.950000000000003</v>
      </c>
      <c r="R640">
        <v>20081010</v>
      </c>
    </row>
    <row r="641" spans="1:18" x14ac:dyDescent="0.25">
      <c r="A641" s="170">
        <v>42944</v>
      </c>
      <c r="B641" s="116">
        <v>6.8</v>
      </c>
      <c r="C641" s="116">
        <v>6.74</v>
      </c>
      <c r="D641" s="116">
        <v>6.64</v>
      </c>
      <c r="E641" s="116">
        <v>6.71</v>
      </c>
      <c r="F641" s="116">
        <v>33.700000000000003</v>
      </c>
      <c r="G641">
        <v>1106286</v>
      </c>
      <c r="H641" s="116"/>
      <c r="I641" s="116"/>
      <c r="L641" s="170">
        <v>42944</v>
      </c>
      <c r="M641" s="116">
        <v>6.74</v>
      </c>
      <c r="N641" s="116">
        <v>6.81</v>
      </c>
      <c r="O641" s="116">
        <v>6.62</v>
      </c>
      <c r="P641" s="116">
        <v>6.8</v>
      </c>
      <c r="Q641" s="116">
        <v>33.700000000000003</v>
      </c>
      <c r="R641">
        <v>8379771</v>
      </c>
    </row>
    <row r="642" spans="1:18" x14ac:dyDescent="0.25">
      <c r="A642" s="170">
        <v>42947</v>
      </c>
      <c r="B642" s="116">
        <v>6.79</v>
      </c>
      <c r="C642" s="116">
        <v>6.69</v>
      </c>
      <c r="D642" s="116">
        <v>6.64</v>
      </c>
      <c r="E642" s="116">
        <v>6.76</v>
      </c>
      <c r="F642" s="116">
        <v>33.450000000000003</v>
      </c>
      <c r="G642">
        <v>550703</v>
      </c>
      <c r="H642" s="116"/>
      <c r="I642" s="116"/>
      <c r="L642" s="170">
        <v>42947</v>
      </c>
      <c r="M642" s="116">
        <v>6.7</v>
      </c>
      <c r="N642" s="116">
        <v>6.8</v>
      </c>
      <c r="O642" s="116">
        <v>6.65</v>
      </c>
      <c r="P642" s="116">
        <v>6.75</v>
      </c>
      <c r="Q642" s="116">
        <v>33.5</v>
      </c>
      <c r="R642">
        <v>4606408</v>
      </c>
    </row>
    <row r="643" spans="1:18" x14ac:dyDescent="0.25">
      <c r="A643" s="170">
        <v>42948</v>
      </c>
      <c r="B643" s="116">
        <v>6.78</v>
      </c>
      <c r="C643" s="116">
        <v>6.67</v>
      </c>
      <c r="D643" s="116">
        <v>6.65</v>
      </c>
      <c r="E643" s="116">
        <v>6.7</v>
      </c>
      <c r="F643" s="116">
        <v>33.35</v>
      </c>
      <c r="G643">
        <v>543372</v>
      </c>
      <c r="H643" s="116"/>
      <c r="I643" s="116"/>
      <c r="L643" s="170">
        <v>42948</v>
      </c>
      <c r="M643" s="116">
        <v>6.67</v>
      </c>
      <c r="N643" s="116">
        <v>6.76</v>
      </c>
      <c r="O643" s="116">
        <v>6.65</v>
      </c>
      <c r="P643" s="116">
        <v>6.73</v>
      </c>
      <c r="Q643" s="116">
        <v>33.35</v>
      </c>
      <c r="R643">
        <v>3488648</v>
      </c>
    </row>
    <row r="644" spans="1:18" x14ac:dyDescent="0.25">
      <c r="A644" s="170">
        <v>42949</v>
      </c>
      <c r="B644" s="116">
        <v>6.73</v>
      </c>
      <c r="C644" s="116">
        <v>6.63</v>
      </c>
      <c r="D644" s="116">
        <v>6.59</v>
      </c>
      <c r="E644" s="116">
        <v>6.67</v>
      </c>
      <c r="F644" s="116">
        <v>33.15</v>
      </c>
      <c r="G644">
        <v>459694</v>
      </c>
      <c r="H644" s="116"/>
      <c r="I644" s="116"/>
      <c r="L644" s="170">
        <v>42949</v>
      </c>
      <c r="M644" s="116">
        <v>6.64</v>
      </c>
      <c r="N644" s="116">
        <v>6.74</v>
      </c>
      <c r="O644" s="116">
        <v>6.6</v>
      </c>
      <c r="P644" s="116">
        <v>6.67</v>
      </c>
      <c r="Q644" s="116">
        <v>33.200000000000003</v>
      </c>
      <c r="R644">
        <v>3362906</v>
      </c>
    </row>
    <row r="645" spans="1:18" x14ac:dyDescent="0.25">
      <c r="A645" s="170">
        <v>42950</v>
      </c>
      <c r="B645" s="116">
        <v>6.67</v>
      </c>
      <c r="C645" s="116">
        <v>6.49</v>
      </c>
      <c r="D645" s="116">
        <v>6.4</v>
      </c>
      <c r="E645" s="116">
        <v>6.66</v>
      </c>
      <c r="F645" s="116">
        <v>32.450000000000003</v>
      </c>
      <c r="G645">
        <v>1286718</v>
      </c>
      <c r="H645" s="116"/>
      <c r="I645" s="116"/>
      <c r="L645" s="170">
        <v>42950</v>
      </c>
      <c r="M645" s="116">
        <v>6.5</v>
      </c>
      <c r="N645" s="116">
        <v>6.68</v>
      </c>
      <c r="O645" s="116">
        <v>6.41</v>
      </c>
      <c r="P645" s="116">
        <v>6.63</v>
      </c>
      <c r="Q645" s="116">
        <v>32.5</v>
      </c>
      <c r="R645">
        <v>8434608</v>
      </c>
    </row>
    <row r="646" spans="1:18" x14ac:dyDescent="0.25">
      <c r="A646" s="170">
        <v>42951</v>
      </c>
      <c r="B646" s="116">
        <v>6.59</v>
      </c>
      <c r="C646" s="116">
        <v>6.57</v>
      </c>
      <c r="D646" s="116">
        <v>6.4</v>
      </c>
      <c r="E646" s="116">
        <v>6.5</v>
      </c>
      <c r="F646" s="116">
        <v>32.85</v>
      </c>
      <c r="G646">
        <v>646717</v>
      </c>
      <c r="H646" s="116"/>
      <c r="I646" s="116"/>
      <c r="L646" s="170">
        <v>42951</v>
      </c>
      <c r="M646" s="116">
        <v>6.58</v>
      </c>
      <c r="N646" s="116">
        <v>6.61</v>
      </c>
      <c r="O646" s="116">
        <v>6.4</v>
      </c>
      <c r="P646" s="116">
        <v>6.5</v>
      </c>
      <c r="Q646" s="116">
        <v>32.9</v>
      </c>
      <c r="R646">
        <v>4498049</v>
      </c>
    </row>
    <row r="647" spans="1:18" x14ac:dyDescent="0.25">
      <c r="A647" s="170">
        <v>42954</v>
      </c>
      <c r="B647" s="116">
        <v>6.71</v>
      </c>
      <c r="C647" s="116">
        <v>6.57</v>
      </c>
      <c r="D647" s="116">
        <v>6.55</v>
      </c>
      <c r="E647" s="116">
        <v>6.56</v>
      </c>
      <c r="F647" s="116">
        <v>32.85</v>
      </c>
      <c r="G647">
        <v>618798</v>
      </c>
      <c r="H647" s="116"/>
      <c r="I647" s="116"/>
      <c r="L647" s="170">
        <v>42954</v>
      </c>
      <c r="M647" s="116">
        <v>6.58</v>
      </c>
      <c r="N647" s="116">
        <v>6.71</v>
      </c>
      <c r="O647" s="116">
        <v>6.52</v>
      </c>
      <c r="P647" s="116">
        <v>6.68</v>
      </c>
      <c r="Q647" s="116">
        <v>32.9</v>
      </c>
      <c r="R647">
        <v>5312933</v>
      </c>
    </row>
    <row r="648" spans="1:18" x14ac:dyDescent="0.25">
      <c r="A648" s="170">
        <v>42955</v>
      </c>
      <c r="B648" s="116">
        <v>6.64</v>
      </c>
      <c r="C648" s="116">
        <v>6.33</v>
      </c>
      <c r="D648" s="116">
        <v>6.27</v>
      </c>
      <c r="E648" s="116">
        <v>6.6</v>
      </c>
      <c r="F648" s="116">
        <v>31.65</v>
      </c>
      <c r="G648">
        <v>759753</v>
      </c>
      <c r="H648" s="116"/>
      <c r="I648" s="116"/>
      <c r="L648" s="170">
        <v>42955</v>
      </c>
      <c r="M648" s="116">
        <v>6.32</v>
      </c>
      <c r="N648" s="116">
        <v>6.64</v>
      </c>
      <c r="O648" s="116">
        <v>6.24</v>
      </c>
      <c r="P648" s="116">
        <v>6.6</v>
      </c>
      <c r="Q648" s="116">
        <v>31.6</v>
      </c>
      <c r="R648">
        <v>5488733</v>
      </c>
    </row>
    <row r="649" spans="1:18" x14ac:dyDescent="0.25">
      <c r="A649" s="170">
        <v>42956</v>
      </c>
      <c r="B649" s="116">
        <v>6.57</v>
      </c>
      <c r="C649" s="116">
        <v>6.31</v>
      </c>
      <c r="D649" s="116">
        <v>6.17</v>
      </c>
      <c r="E649" s="116">
        <v>6.32</v>
      </c>
      <c r="F649" s="116">
        <v>31.55</v>
      </c>
      <c r="G649">
        <v>733148</v>
      </c>
      <c r="H649" s="116"/>
      <c r="I649" s="116"/>
      <c r="L649" s="170">
        <v>42956</v>
      </c>
      <c r="M649" s="116">
        <v>6.31</v>
      </c>
      <c r="N649" s="116">
        <v>6.58</v>
      </c>
      <c r="O649" s="116">
        <v>6.16</v>
      </c>
      <c r="P649" s="116">
        <v>6.31</v>
      </c>
      <c r="Q649" s="116">
        <v>31.55</v>
      </c>
      <c r="R649">
        <v>6873075</v>
      </c>
    </row>
    <row r="650" spans="1:18" x14ac:dyDescent="0.25">
      <c r="A650" s="170">
        <v>42957</v>
      </c>
      <c r="B650" s="116">
        <v>6.22</v>
      </c>
      <c r="C650" s="116">
        <v>5.75</v>
      </c>
      <c r="D650" s="116">
        <v>5.54</v>
      </c>
      <c r="E650" s="116">
        <v>6.22</v>
      </c>
      <c r="F650" s="116">
        <v>28.75</v>
      </c>
      <c r="G650">
        <v>2703663</v>
      </c>
      <c r="H650" s="116"/>
      <c r="I650" s="116"/>
      <c r="L650" s="170">
        <v>42957</v>
      </c>
      <c r="M650" s="116">
        <v>5.74</v>
      </c>
      <c r="N650" s="116">
        <v>6.21</v>
      </c>
      <c r="O650" s="116">
        <v>5.53</v>
      </c>
      <c r="P650" s="116">
        <v>6.21</v>
      </c>
      <c r="Q650" s="116">
        <v>28.7</v>
      </c>
      <c r="R650">
        <v>15563130</v>
      </c>
    </row>
    <row r="651" spans="1:18" x14ac:dyDescent="0.25">
      <c r="A651" s="170">
        <v>42958</v>
      </c>
      <c r="B651" s="116">
        <v>5.63</v>
      </c>
      <c r="C651" s="116">
        <v>5.47</v>
      </c>
      <c r="D651" s="116">
        <v>5.18</v>
      </c>
      <c r="E651" s="116">
        <v>5.5</v>
      </c>
      <c r="F651" s="116">
        <v>27.35</v>
      </c>
      <c r="G651">
        <v>2098773</v>
      </c>
      <c r="H651" s="116"/>
      <c r="I651" s="116"/>
      <c r="L651" s="170">
        <v>42958</v>
      </c>
      <c r="M651" s="116">
        <v>5.44</v>
      </c>
      <c r="N651" s="116">
        <v>5.61</v>
      </c>
      <c r="O651" s="116">
        <v>5.2</v>
      </c>
      <c r="P651" s="116">
        <v>5.42</v>
      </c>
      <c r="Q651" s="116">
        <v>27.2</v>
      </c>
      <c r="R651">
        <v>10716095</v>
      </c>
    </row>
    <row r="652" spans="1:18" x14ac:dyDescent="0.25">
      <c r="A652" s="170">
        <v>42961</v>
      </c>
      <c r="B652" s="116">
        <v>5.75</v>
      </c>
      <c r="C652" s="116">
        <v>5.72</v>
      </c>
      <c r="D652" s="116">
        <v>5.43</v>
      </c>
      <c r="E652" s="116">
        <v>5.43</v>
      </c>
      <c r="F652" s="116">
        <v>28.6</v>
      </c>
      <c r="G652">
        <v>642133</v>
      </c>
      <c r="H652" s="116"/>
      <c r="I652" s="116"/>
      <c r="L652" s="170">
        <v>42961</v>
      </c>
      <c r="M652" s="116">
        <v>5.72</v>
      </c>
      <c r="N652" s="116">
        <v>5.76</v>
      </c>
      <c r="O652" s="116">
        <v>5.47</v>
      </c>
      <c r="P652" s="116">
        <v>5.56</v>
      </c>
      <c r="Q652" s="116">
        <v>28.6</v>
      </c>
      <c r="R652">
        <v>5324506</v>
      </c>
    </row>
    <row r="653" spans="1:18" x14ac:dyDescent="0.25">
      <c r="A653" s="170">
        <v>42963</v>
      </c>
      <c r="B653" s="116">
        <v>5.94</v>
      </c>
      <c r="C653" s="116">
        <v>5.9</v>
      </c>
      <c r="D653" s="116">
        <v>5.69</v>
      </c>
      <c r="E653" s="116">
        <v>5.75</v>
      </c>
      <c r="F653" s="116">
        <v>29.5</v>
      </c>
      <c r="G653">
        <v>999921</v>
      </c>
      <c r="H653" s="116"/>
      <c r="I653" s="116"/>
      <c r="L653" s="170">
        <v>42963</v>
      </c>
      <c r="M653" s="116">
        <v>5.91</v>
      </c>
      <c r="N653" s="116">
        <v>5.95</v>
      </c>
      <c r="O653" s="116">
        <v>5.68</v>
      </c>
      <c r="P653" s="116">
        <v>5.73</v>
      </c>
      <c r="Q653" s="116">
        <v>29.55</v>
      </c>
      <c r="R653">
        <v>9643033</v>
      </c>
    </row>
    <row r="654" spans="1:18" x14ac:dyDescent="0.25">
      <c r="A654" s="170">
        <v>42964</v>
      </c>
      <c r="B654" s="116">
        <v>5.99</v>
      </c>
      <c r="C654" s="116">
        <v>5.75</v>
      </c>
      <c r="D654" s="116">
        <v>5.72</v>
      </c>
      <c r="E654" s="116">
        <v>5.99</v>
      </c>
      <c r="F654" s="116">
        <v>28.75</v>
      </c>
      <c r="G654">
        <v>624652</v>
      </c>
      <c r="H654" s="116"/>
      <c r="I654" s="116"/>
      <c r="L654" s="170">
        <v>42964</v>
      </c>
      <c r="M654" s="116">
        <v>5.74</v>
      </c>
      <c r="N654" s="116">
        <v>5.97</v>
      </c>
      <c r="O654" s="116">
        <v>5.7</v>
      </c>
      <c r="P654" s="116">
        <v>5.92</v>
      </c>
      <c r="Q654" s="116">
        <v>28.7</v>
      </c>
      <c r="R654">
        <v>5285095</v>
      </c>
    </row>
    <row r="655" spans="1:18" x14ac:dyDescent="0.25">
      <c r="A655" s="170">
        <v>42965</v>
      </c>
      <c r="B655" s="116">
        <v>5.8</v>
      </c>
      <c r="C655" s="116">
        <v>5.76</v>
      </c>
      <c r="D655" s="116">
        <v>5.62</v>
      </c>
      <c r="E655" s="116">
        <v>5.73</v>
      </c>
      <c r="F655" s="116">
        <v>28.8</v>
      </c>
      <c r="G655">
        <v>385310</v>
      </c>
      <c r="H655" s="116"/>
      <c r="I655" s="116"/>
      <c r="L655" s="170">
        <v>42965</v>
      </c>
      <c r="M655" s="116">
        <v>5.76</v>
      </c>
      <c r="N655" s="116">
        <v>5.8</v>
      </c>
      <c r="O655" s="116">
        <v>5.62</v>
      </c>
      <c r="P655" s="116">
        <v>5.74</v>
      </c>
      <c r="Q655" s="116">
        <v>28.8</v>
      </c>
      <c r="R655">
        <v>8035722</v>
      </c>
    </row>
    <row r="656" spans="1:18" x14ac:dyDescent="0.25">
      <c r="A656" s="170">
        <v>42968</v>
      </c>
      <c r="B656" s="116">
        <v>5.82</v>
      </c>
      <c r="C656" s="116">
        <v>5.58</v>
      </c>
      <c r="D656" s="116">
        <v>5.55</v>
      </c>
      <c r="E656" s="116">
        <v>5.82</v>
      </c>
      <c r="F656" s="116">
        <v>27.9</v>
      </c>
      <c r="G656">
        <v>455665</v>
      </c>
      <c r="H656" s="116"/>
      <c r="I656" s="116"/>
      <c r="L656" s="170">
        <v>42968</v>
      </c>
      <c r="M656" s="116">
        <v>5.58</v>
      </c>
      <c r="N656" s="116">
        <v>5.82</v>
      </c>
      <c r="O656" s="116">
        <v>5.55</v>
      </c>
      <c r="P656" s="116">
        <v>5.8</v>
      </c>
      <c r="Q656" s="116">
        <v>27.9</v>
      </c>
      <c r="R656">
        <v>7101688</v>
      </c>
    </row>
    <row r="657" spans="1:18" x14ac:dyDescent="0.25">
      <c r="A657" s="170">
        <v>42969</v>
      </c>
      <c r="B657" s="116">
        <v>5.68</v>
      </c>
      <c r="C657" s="116">
        <v>5.56</v>
      </c>
      <c r="D657" s="116">
        <v>5.53</v>
      </c>
      <c r="E657" s="116">
        <v>5.6</v>
      </c>
      <c r="F657" s="116">
        <v>27.8</v>
      </c>
      <c r="G657">
        <v>538241</v>
      </c>
      <c r="H657" s="116"/>
      <c r="I657" s="116"/>
      <c r="L657" s="170">
        <v>42969</v>
      </c>
      <c r="M657" s="116">
        <v>5.55</v>
      </c>
      <c r="N657" s="116">
        <v>5.69</v>
      </c>
      <c r="O657" s="116">
        <v>5.52</v>
      </c>
      <c r="P657" s="116">
        <v>5.58</v>
      </c>
      <c r="Q657" s="116">
        <v>27.75</v>
      </c>
      <c r="R657">
        <v>9042178</v>
      </c>
    </row>
    <row r="658" spans="1:18" x14ac:dyDescent="0.25">
      <c r="A658" s="170">
        <v>42970</v>
      </c>
      <c r="B658" s="116">
        <v>5.73</v>
      </c>
      <c r="C658" s="116">
        <v>5.66</v>
      </c>
      <c r="D658" s="116">
        <v>5.56</v>
      </c>
      <c r="E658" s="116">
        <v>5.58</v>
      </c>
      <c r="F658" s="116">
        <v>28.3</v>
      </c>
      <c r="G658">
        <v>403672</v>
      </c>
      <c r="H658" s="116"/>
      <c r="I658" s="116"/>
      <c r="L658" s="170">
        <v>42970</v>
      </c>
      <c r="M658" s="116">
        <v>5.67</v>
      </c>
      <c r="N658" s="116">
        <v>5.74</v>
      </c>
      <c r="O658" s="116">
        <v>5.56</v>
      </c>
      <c r="P658" s="116">
        <v>5.57</v>
      </c>
      <c r="Q658" s="116">
        <v>28.35</v>
      </c>
      <c r="R658">
        <v>7906237</v>
      </c>
    </row>
    <row r="659" spans="1:18" x14ac:dyDescent="0.25">
      <c r="A659" s="170">
        <v>42971</v>
      </c>
      <c r="B659" s="116">
        <v>5.82</v>
      </c>
      <c r="C659" s="116">
        <v>5.71</v>
      </c>
      <c r="D659" s="116">
        <v>5.67</v>
      </c>
      <c r="E659" s="116">
        <v>5.72</v>
      </c>
      <c r="F659" s="116">
        <v>28.55</v>
      </c>
      <c r="G659">
        <v>813679</v>
      </c>
      <c r="H659" s="116"/>
      <c r="I659" s="116"/>
      <c r="L659" s="170">
        <v>42971</v>
      </c>
      <c r="M659" s="116">
        <v>5.71</v>
      </c>
      <c r="N659" s="116">
        <v>5.82</v>
      </c>
      <c r="O659" s="116">
        <v>5.68</v>
      </c>
      <c r="P659" s="116">
        <v>5.71</v>
      </c>
      <c r="Q659" s="116">
        <v>28.55</v>
      </c>
      <c r="R659">
        <v>11635039</v>
      </c>
    </row>
    <row r="660" spans="1:18" x14ac:dyDescent="0.25">
      <c r="A660" s="170">
        <v>42975</v>
      </c>
      <c r="B660" s="116">
        <v>6.09</v>
      </c>
      <c r="C660" s="116">
        <v>6.06</v>
      </c>
      <c r="D660" s="116">
        <v>5.78</v>
      </c>
      <c r="E660" s="116">
        <v>5.78</v>
      </c>
      <c r="F660" s="116">
        <v>30.3</v>
      </c>
      <c r="G660">
        <v>1522697</v>
      </c>
      <c r="H660" s="116"/>
      <c r="I660" s="116"/>
      <c r="L660" s="170">
        <v>42975</v>
      </c>
      <c r="M660" s="116">
        <v>6.06</v>
      </c>
      <c r="N660" s="116">
        <v>6.09</v>
      </c>
      <c r="O660" s="116">
        <v>5.8</v>
      </c>
      <c r="P660" s="116">
        <v>5.82</v>
      </c>
      <c r="Q660" s="116">
        <v>30.3</v>
      </c>
      <c r="R660">
        <v>24596908</v>
      </c>
    </row>
    <row r="661" spans="1:18" x14ac:dyDescent="0.25">
      <c r="A661" s="170">
        <v>42976</v>
      </c>
      <c r="B661" s="116">
        <v>6.07</v>
      </c>
      <c r="C661" s="116">
        <v>5.95</v>
      </c>
      <c r="D661" s="116">
        <v>5.93</v>
      </c>
      <c r="E661" s="116">
        <v>6.06</v>
      </c>
      <c r="F661" s="116">
        <v>29.75</v>
      </c>
      <c r="G661">
        <v>531359</v>
      </c>
      <c r="H661" s="116"/>
      <c r="I661" s="116"/>
      <c r="L661" s="170">
        <v>42976</v>
      </c>
      <c r="M661" s="116">
        <v>5.96</v>
      </c>
      <c r="N661" s="116">
        <v>6.09</v>
      </c>
      <c r="O661" s="116">
        <v>5.92</v>
      </c>
      <c r="P661" s="116">
        <v>6.07</v>
      </c>
      <c r="Q661" s="116">
        <v>29.8</v>
      </c>
      <c r="R661">
        <v>12705445</v>
      </c>
    </row>
    <row r="662" spans="1:18" x14ac:dyDescent="0.25">
      <c r="A662" s="170">
        <v>42977</v>
      </c>
      <c r="B662" s="116">
        <v>6.59</v>
      </c>
      <c r="C662" s="116">
        <v>6.45</v>
      </c>
      <c r="D662" s="116">
        <v>6.02</v>
      </c>
      <c r="E662" s="116">
        <v>6.06</v>
      </c>
      <c r="F662" s="116">
        <v>32.25</v>
      </c>
      <c r="G662">
        <v>1915950</v>
      </c>
      <c r="H662" s="116"/>
      <c r="I662" s="116"/>
      <c r="L662" s="170">
        <v>42977</v>
      </c>
      <c r="M662" s="116">
        <v>6.43</v>
      </c>
      <c r="N662" s="116">
        <v>6.58</v>
      </c>
      <c r="O662" s="116">
        <v>6.02</v>
      </c>
      <c r="P662" s="116">
        <v>6.03</v>
      </c>
      <c r="Q662" s="116">
        <v>32.15</v>
      </c>
      <c r="R662">
        <v>24058760</v>
      </c>
    </row>
    <row r="663" spans="1:18" x14ac:dyDescent="0.25">
      <c r="A663" s="170">
        <v>42978</v>
      </c>
      <c r="B663" s="116">
        <v>6.7</v>
      </c>
      <c r="C663" s="116">
        <v>6.65</v>
      </c>
      <c r="D663" s="116">
        <v>6.43</v>
      </c>
      <c r="E663" s="116">
        <v>6.5</v>
      </c>
      <c r="F663" s="116">
        <v>33.25</v>
      </c>
      <c r="G663">
        <v>6120359</v>
      </c>
      <c r="H663" s="116"/>
      <c r="I663" s="116"/>
      <c r="L663" s="170">
        <v>42978</v>
      </c>
      <c r="M663" s="116">
        <v>6.67</v>
      </c>
      <c r="N663" s="116">
        <v>6.7</v>
      </c>
      <c r="O663" s="116">
        <v>6.42</v>
      </c>
      <c r="P663" s="116">
        <v>6.49</v>
      </c>
      <c r="Q663" s="116">
        <v>33.35</v>
      </c>
      <c r="R663">
        <v>28734096</v>
      </c>
    </row>
    <row r="664" spans="1:18" x14ac:dyDescent="0.25">
      <c r="A664" s="170">
        <v>42979</v>
      </c>
      <c r="B664" s="116">
        <v>6.73</v>
      </c>
      <c r="C664" s="116">
        <v>6.52</v>
      </c>
      <c r="D664" s="116">
        <v>6.47</v>
      </c>
      <c r="E664" s="116">
        <v>6.64</v>
      </c>
      <c r="F664" s="116">
        <v>32.6</v>
      </c>
      <c r="G664">
        <v>1424252</v>
      </c>
      <c r="H664" s="116"/>
      <c r="I664" s="116"/>
      <c r="L664" s="170">
        <v>42979</v>
      </c>
      <c r="M664" s="116">
        <v>6.53</v>
      </c>
      <c r="N664" s="116">
        <v>6.73</v>
      </c>
      <c r="O664" s="116">
        <v>6.48</v>
      </c>
      <c r="P664" s="116">
        <v>6.73</v>
      </c>
      <c r="Q664" s="116">
        <v>32.65</v>
      </c>
      <c r="R664">
        <v>14320944</v>
      </c>
    </row>
    <row r="665" spans="1:18" x14ac:dyDescent="0.25">
      <c r="A665" s="170">
        <v>42982</v>
      </c>
      <c r="B665" s="116">
        <v>6.54</v>
      </c>
      <c r="C665" s="116">
        <v>6.18</v>
      </c>
      <c r="D665" s="116">
        <v>6.08</v>
      </c>
      <c r="E665" s="116">
        <v>6.54</v>
      </c>
      <c r="F665" s="116">
        <v>30.9</v>
      </c>
      <c r="G665">
        <v>1548511</v>
      </c>
      <c r="H665" s="116"/>
      <c r="I665" s="116"/>
      <c r="L665" s="170">
        <v>42982</v>
      </c>
      <c r="M665" s="116">
        <v>6.17</v>
      </c>
      <c r="N665" s="116">
        <v>6.51</v>
      </c>
      <c r="O665" s="116">
        <v>6.08</v>
      </c>
      <c r="P665" s="116">
        <v>6.5</v>
      </c>
      <c r="Q665" s="116">
        <v>30.85</v>
      </c>
      <c r="R665">
        <v>17809991</v>
      </c>
    </row>
    <row r="666" spans="1:18" x14ac:dyDescent="0.25">
      <c r="A666" s="170">
        <v>42983</v>
      </c>
      <c r="B666" s="116">
        <v>6.32</v>
      </c>
      <c r="C666" s="116">
        <v>6.22</v>
      </c>
      <c r="D666" s="116">
        <v>6.15</v>
      </c>
      <c r="E666" s="116">
        <v>6.18</v>
      </c>
      <c r="F666" s="116">
        <v>31.1</v>
      </c>
      <c r="G666">
        <v>1040444</v>
      </c>
      <c r="H666" s="116"/>
      <c r="I666" s="116"/>
      <c r="L666" s="170">
        <v>42983</v>
      </c>
      <c r="M666" s="116">
        <v>6.21</v>
      </c>
      <c r="N666" s="116">
        <v>6.32</v>
      </c>
      <c r="O666" s="116">
        <v>6.13</v>
      </c>
      <c r="P666" s="116">
        <v>6.15</v>
      </c>
      <c r="Q666" s="116">
        <v>31.05</v>
      </c>
      <c r="R666">
        <v>9406995</v>
      </c>
    </row>
    <row r="667" spans="1:18" x14ac:dyDescent="0.25">
      <c r="A667" s="170">
        <v>42984</v>
      </c>
      <c r="B667" s="116">
        <v>6.4</v>
      </c>
      <c r="C667" s="116">
        <v>6.29</v>
      </c>
      <c r="D667" s="116">
        <v>6.07</v>
      </c>
      <c r="E667" s="116">
        <v>6.19</v>
      </c>
      <c r="F667" s="116">
        <v>31.45</v>
      </c>
      <c r="G667">
        <v>831193</v>
      </c>
      <c r="H667" s="116"/>
      <c r="I667" s="116"/>
      <c r="L667" s="170">
        <v>42984</v>
      </c>
      <c r="M667" s="116">
        <v>6.29</v>
      </c>
      <c r="N667" s="116">
        <v>6.4</v>
      </c>
      <c r="O667" s="116">
        <v>6.06</v>
      </c>
      <c r="P667" s="116">
        <v>6.13</v>
      </c>
      <c r="Q667" s="116">
        <v>31.45</v>
      </c>
      <c r="R667">
        <v>16149623</v>
      </c>
    </row>
    <row r="668" spans="1:18" x14ac:dyDescent="0.25">
      <c r="A668" s="170">
        <v>42985</v>
      </c>
      <c r="B668" s="116">
        <v>6.38</v>
      </c>
      <c r="C668" s="116">
        <v>6.32</v>
      </c>
      <c r="D668" s="116">
        <v>6.24</v>
      </c>
      <c r="E668" s="116">
        <v>6.33</v>
      </c>
      <c r="F668" s="116">
        <v>31.6</v>
      </c>
      <c r="G668">
        <v>647171</v>
      </c>
      <c r="H668" s="116"/>
      <c r="I668" s="116"/>
      <c r="L668" s="170">
        <v>42985</v>
      </c>
      <c r="M668" s="116">
        <v>6.3</v>
      </c>
      <c r="N668" s="116">
        <v>6.38</v>
      </c>
      <c r="O668" s="116">
        <v>6.23</v>
      </c>
      <c r="P668" s="116">
        <v>6.33</v>
      </c>
      <c r="Q668" s="116">
        <v>31.5</v>
      </c>
      <c r="R668">
        <v>12269889</v>
      </c>
    </row>
    <row r="669" spans="1:18" x14ac:dyDescent="0.25">
      <c r="A669" s="170">
        <v>42986</v>
      </c>
      <c r="B669" s="116">
        <v>6.3</v>
      </c>
      <c r="C669" s="116">
        <v>6.17</v>
      </c>
      <c r="D669" s="116">
        <v>6.1</v>
      </c>
      <c r="E669" s="116">
        <v>6.1</v>
      </c>
      <c r="F669" s="116">
        <v>30.85</v>
      </c>
      <c r="G669">
        <v>726909</v>
      </c>
      <c r="H669" s="116"/>
      <c r="I669" s="116"/>
      <c r="L669" s="170">
        <v>42986</v>
      </c>
      <c r="M669" s="116">
        <v>6.17</v>
      </c>
      <c r="N669" s="116">
        <v>6.31</v>
      </c>
      <c r="O669" s="116">
        <v>6.12</v>
      </c>
      <c r="P669" s="116">
        <v>6.3</v>
      </c>
      <c r="Q669" s="116">
        <v>30.85</v>
      </c>
      <c r="R669">
        <v>10709989</v>
      </c>
    </row>
    <row r="670" spans="1:18" x14ac:dyDescent="0.25">
      <c r="A670" s="170">
        <v>42989</v>
      </c>
      <c r="B670" s="116">
        <v>6.3</v>
      </c>
      <c r="C670" s="116">
        <v>6.24</v>
      </c>
      <c r="D670" s="116">
        <v>6.2</v>
      </c>
      <c r="E670" s="116">
        <v>6.21</v>
      </c>
      <c r="F670" s="116">
        <v>31.2</v>
      </c>
      <c r="G670">
        <v>565115</v>
      </c>
      <c r="H670" s="116"/>
      <c r="I670" s="116"/>
      <c r="L670" s="170">
        <v>42989</v>
      </c>
      <c r="M670" s="116">
        <v>6.25</v>
      </c>
      <c r="N670" s="116">
        <v>6.31</v>
      </c>
      <c r="O670" s="116">
        <v>6.2</v>
      </c>
      <c r="P670" s="116">
        <v>6.2</v>
      </c>
      <c r="Q670" s="116">
        <v>31.25</v>
      </c>
      <c r="R670">
        <v>9429467</v>
      </c>
    </row>
    <row r="671" spans="1:18" x14ac:dyDescent="0.25">
      <c r="A671" s="170">
        <v>42990</v>
      </c>
      <c r="B671" s="116">
        <v>6.68</v>
      </c>
      <c r="C671" s="116">
        <v>6.63</v>
      </c>
      <c r="D671" s="116">
        <v>6.23</v>
      </c>
      <c r="E671" s="116">
        <v>6.24</v>
      </c>
      <c r="F671" s="116">
        <v>33.15</v>
      </c>
      <c r="G671">
        <v>2210290</v>
      </c>
      <c r="H671" s="116"/>
      <c r="I671" s="116"/>
      <c r="L671" s="170">
        <v>42990</v>
      </c>
      <c r="M671" s="116">
        <v>6.63</v>
      </c>
      <c r="N671" s="116">
        <v>6.68</v>
      </c>
      <c r="O671" s="116">
        <v>6.23</v>
      </c>
      <c r="P671" s="116">
        <v>6.23</v>
      </c>
      <c r="Q671" s="116">
        <v>33.15</v>
      </c>
      <c r="R671">
        <v>22760784</v>
      </c>
    </row>
    <row r="672" spans="1:18" x14ac:dyDescent="0.25">
      <c r="A672" s="170">
        <v>42991</v>
      </c>
      <c r="B672" s="116">
        <v>6.69</v>
      </c>
      <c r="C672" s="116">
        <v>6.38</v>
      </c>
      <c r="D672" s="116">
        <v>6.34</v>
      </c>
      <c r="E672" s="116">
        <v>6.63</v>
      </c>
      <c r="F672" s="116">
        <v>31.9</v>
      </c>
      <c r="G672">
        <v>1570959</v>
      </c>
      <c r="H672" s="116"/>
      <c r="I672" s="116"/>
      <c r="L672" s="170">
        <v>42991</v>
      </c>
      <c r="M672" s="116">
        <v>6.37</v>
      </c>
      <c r="N672" s="116">
        <v>6.69</v>
      </c>
      <c r="O672" s="116">
        <v>6.33</v>
      </c>
      <c r="P672" s="116">
        <v>6.6</v>
      </c>
      <c r="Q672" s="116">
        <v>31.85</v>
      </c>
      <c r="R672">
        <v>18505610</v>
      </c>
    </row>
    <row r="673" spans="1:18" x14ac:dyDescent="0.25">
      <c r="A673" s="170">
        <v>42992</v>
      </c>
      <c r="B673" s="116">
        <v>6.52</v>
      </c>
      <c r="C673" s="116">
        <v>6.43</v>
      </c>
      <c r="D673" s="116">
        <v>6.24</v>
      </c>
      <c r="E673" s="116">
        <v>6.4</v>
      </c>
      <c r="F673" s="116">
        <v>32.15</v>
      </c>
      <c r="G673">
        <v>1490989</v>
      </c>
      <c r="H673" s="116"/>
      <c r="I673" s="116"/>
      <c r="L673" s="170">
        <v>42992</v>
      </c>
      <c r="M673" s="116">
        <v>6.43</v>
      </c>
      <c r="N673" s="116">
        <v>6.52</v>
      </c>
      <c r="O673" s="116">
        <v>6.22</v>
      </c>
      <c r="P673" s="116">
        <v>6.42</v>
      </c>
      <c r="Q673" s="116">
        <v>32.15</v>
      </c>
      <c r="R673">
        <v>9643528</v>
      </c>
    </row>
    <row r="674" spans="1:18" x14ac:dyDescent="0.25">
      <c r="A674" s="170">
        <v>42993</v>
      </c>
      <c r="B674" s="116">
        <v>6.43</v>
      </c>
      <c r="C674" s="116">
        <v>6.29</v>
      </c>
      <c r="D674" s="116">
        <v>6.27</v>
      </c>
      <c r="E674" s="116">
        <v>6.42</v>
      </c>
      <c r="F674" s="116">
        <v>31.45</v>
      </c>
      <c r="G674">
        <v>1006638</v>
      </c>
      <c r="H674" s="116"/>
      <c r="I674" s="116"/>
      <c r="L674" s="170">
        <v>42993</v>
      </c>
      <c r="M674" s="116">
        <v>6.29</v>
      </c>
      <c r="N674" s="116">
        <v>6.46</v>
      </c>
      <c r="O674" s="116">
        <v>6.26</v>
      </c>
      <c r="P674" s="116">
        <v>6.46</v>
      </c>
      <c r="Q674" s="116">
        <v>31.45</v>
      </c>
      <c r="R674">
        <v>11632789</v>
      </c>
    </row>
    <row r="675" spans="1:18" x14ac:dyDescent="0.25">
      <c r="A675" s="170">
        <v>42996</v>
      </c>
      <c r="B675" s="116">
        <v>6.42</v>
      </c>
      <c r="C675" s="116">
        <v>6.31</v>
      </c>
      <c r="D675" s="116">
        <v>6.28</v>
      </c>
      <c r="E675" s="116">
        <v>6.32</v>
      </c>
      <c r="F675" s="116">
        <v>31.55</v>
      </c>
      <c r="G675">
        <v>504784</v>
      </c>
      <c r="H675" s="116"/>
      <c r="I675" s="116"/>
      <c r="L675" s="170">
        <v>42996</v>
      </c>
      <c r="M675" s="116">
        <v>6.32</v>
      </c>
      <c r="N675" s="116">
        <v>6.42</v>
      </c>
      <c r="O675" s="116">
        <v>6.29</v>
      </c>
      <c r="P675" s="116">
        <v>6.37</v>
      </c>
      <c r="Q675" s="116">
        <v>31.6</v>
      </c>
      <c r="R675">
        <v>4513335</v>
      </c>
    </row>
    <row r="676" spans="1:18" x14ac:dyDescent="0.25">
      <c r="A676" s="170">
        <v>42997</v>
      </c>
      <c r="B676" s="116">
        <v>6.41</v>
      </c>
      <c r="C676" s="116">
        <v>6.33</v>
      </c>
      <c r="D676" s="116">
        <v>6.23</v>
      </c>
      <c r="E676" s="116">
        <v>6.35</v>
      </c>
      <c r="F676" s="116">
        <v>31.65</v>
      </c>
      <c r="G676">
        <v>724198</v>
      </c>
      <c r="H676" s="116"/>
      <c r="I676" s="116"/>
      <c r="L676" s="170">
        <v>42997</v>
      </c>
      <c r="M676" s="116">
        <v>6.34</v>
      </c>
      <c r="N676" s="116">
        <v>6.41</v>
      </c>
      <c r="O676" s="116">
        <v>6.22</v>
      </c>
      <c r="P676" s="116">
        <v>6.37</v>
      </c>
      <c r="Q676" s="116">
        <v>31.7</v>
      </c>
      <c r="R676">
        <v>9119322</v>
      </c>
    </row>
    <row r="677" spans="1:18" x14ac:dyDescent="0.25">
      <c r="A677" s="170">
        <v>42998</v>
      </c>
      <c r="B677" s="116">
        <v>6.65</v>
      </c>
      <c r="C677" s="116">
        <v>6.48</v>
      </c>
      <c r="D677" s="116">
        <v>6.41</v>
      </c>
      <c r="E677" s="116">
        <v>6.45</v>
      </c>
      <c r="F677" s="116">
        <v>32.4</v>
      </c>
      <c r="G677">
        <v>1838897</v>
      </c>
      <c r="H677" s="116"/>
      <c r="I677" s="116"/>
      <c r="L677" s="170">
        <v>42998</v>
      </c>
      <c r="M677" s="116">
        <v>6.47</v>
      </c>
      <c r="N677" s="116">
        <v>6.63</v>
      </c>
      <c r="O677" s="116">
        <v>6.41</v>
      </c>
      <c r="P677" s="116">
        <v>6.45</v>
      </c>
      <c r="Q677" s="116">
        <v>32.35</v>
      </c>
      <c r="R677">
        <v>19354675</v>
      </c>
    </row>
    <row r="678" spans="1:18" x14ac:dyDescent="0.25">
      <c r="A678" s="170">
        <v>42999</v>
      </c>
      <c r="B678" s="116">
        <v>6.53</v>
      </c>
      <c r="C678" s="116">
        <v>6.46</v>
      </c>
      <c r="D678" s="116">
        <v>6.24</v>
      </c>
      <c r="E678" s="116">
        <v>6.47</v>
      </c>
      <c r="F678" s="116">
        <v>32.299999999999997</v>
      </c>
      <c r="G678">
        <v>1528386</v>
      </c>
      <c r="H678" s="116"/>
      <c r="I678" s="116"/>
      <c r="L678" s="170">
        <v>42999</v>
      </c>
      <c r="M678" s="116">
        <v>6.47</v>
      </c>
      <c r="N678" s="116">
        <v>6.55</v>
      </c>
      <c r="O678" s="116">
        <v>6.23</v>
      </c>
      <c r="P678" s="116">
        <v>6.4</v>
      </c>
      <c r="Q678" s="116">
        <v>32.35</v>
      </c>
      <c r="R678">
        <v>16761064</v>
      </c>
    </row>
    <row r="679" spans="1:18" x14ac:dyDescent="0.25">
      <c r="A679" s="170">
        <v>43000</v>
      </c>
      <c r="B679" s="116">
        <v>6.46</v>
      </c>
      <c r="C679" s="116">
        <v>6.1</v>
      </c>
      <c r="D679" s="116">
        <v>6.06</v>
      </c>
      <c r="E679" s="116">
        <v>6.46</v>
      </c>
      <c r="F679" s="116">
        <v>30.5</v>
      </c>
      <c r="G679">
        <v>1206203</v>
      </c>
      <c r="H679" s="116"/>
      <c r="I679" s="116"/>
      <c r="L679" s="170">
        <v>43000</v>
      </c>
      <c r="M679" s="116">
        <v>6.09</v>
      </c>
      <c r="N679" s="116">
        <v>6.45</v>
      </c>
      <c r="O679" s="116">
        <v>6.05</v>
      </c>
      <c r="P679" s="116">
        <v>6.45</v>
      </c>
      <c r="Q679" s="116">
        <v>30.45</v>
      </c>
      <c r="R679">
        <v>10065127</v>
      </c>
    </row>
    <row r="680" spans="1:18" x14ac:dyDescent="0.25">
      <c r="A680" s="170">
        <v>43003</v>
      </c>
      <c r="B680" s="116">
        <v>6.23</v>
      </c>
      <c r="C680" s="116">
        <v>6.16</v>
      </c>
      <c r="D680" s="116">
        <v>5.92</v>
      </c>
      <c r="E680" s="116">
        <v>6.15</v>
      </c>
      <c r="F680" s="116">
        <v>30.8</v>
      </c>
      <c r="G680">
        <v>2202252</v>
      </c>
      <c r="H680" s="116"/>
      <c r="I680" s="116"/>
      <c r="L680" s="170">
        <v>43003</v>
      </c>
      <c r="M680" s="116">
        <v>6.14</v>
      </c>
      <c r="N680" s="116">
        <v>6.22</v>
      </c>
      <c r="O680" s="116">
        <v>5.91</v>
      </c>
      <c r="P680" s="116">
        <v>6.09</v>
      </c>
      <c r="Q680" s="116">
        <v>30.7</v>
      </c>
      <c r="R680">
        <v>17175396</v>
      </c>
    </row>
    <row r="681" spans="1:18" x14ac:dyDescent="0.25">
      <c r="A681" s="170">
        <v>43004</v>
      </c>
      <c r="B681" s="116">
        <v>6.2</v>
      </c>
      <c r="C681" s="116">
        <v>6.04</v>
      </c>
      <c r="D681" s="116">
        <v>6</v>
      </c>
      <c r="E681" s="116">
        <v>6.18</v>
      </c>
      <c r="F681" s="116">
        <v>30.2</v>
      </c>
      <c r="G681">
        <v>989488</v>
      </c>
      <c r="H681" s="116"/>
      <c r="I681" s="116"/>
      <c r="L681" s="170">
        <v>43004</v>
      </c>
      <c r="M681" s="116">
        <v>6.04</v>
      </c>
      <c r="N681" s="116">
        <v>6.19</v>
      </c>
      <c r="O681" s="116">
        <v>5.99</v>
      </c>
      <c r="P681" s="116">
        <v>6.15</v>
      </c>
      <c r="Q681" s="116">
        <v>30.2</v>
      </c>
      <c r="R681">
        <v>12771752</v>
      </c>
    </row>
    <row r="682" spans="1:18" x14ac:dyDescent="0.25">
      <c r="A682" s="170">
        <v>43005</v>
      </c>
      <c r="B682" s="116">
        <v>6.09</v>
      </c>
      <c r="C682" s="116">
        <v>5.82</v>
      </c>
      <c r="D682" s="116">
        <v>5.8</v>
      </c>
      <c r="E682" s="116">
        <v>6.03</v>
      </c>
      <c r="F682" s="116">
        <v>29.1</v>
      </c>
      <c r="G682">
        <v>1150208</v>
      </c>
      <c r="H682" s="116"/>
      <c r="I682" s="116"/>
      <c r="L682" s="170">
        <v>43005</v>
      </c>
      <c r="M682" s="116">
        <v>5.82</v>
      </c>
      <c r="N682" s="116">
        <v>6.08</v>
      </c>
      <c r="O682" s="116">
        <v>5.8</v>
      </c>
      <c r="P682" s="116">
        <v>6.06</v>
      </c>
      <c r="Q682" s="116">
        <v>29.1</v>
      </c>
      <c r="R682">
        <v>8280207</v>
      </c>
    </row>
    <row r="683" spans="1:18" x14ac:dyDescent="0.25">
      <c r="A683" s="170">
        <v>43006</v>
      </c>
      <c r="B683" s="116">
        <v>6.01</v>
      </c>
      <c r="C683" s="116">
        <v>5.87</v>
      </c>
      <c r="D683" s="116">
        <v>5.77</v>
      </c>
      <c r="E683" s="116">
        <v>5.88</v>
      </c>
      <c r="F683" s="116">
        <v>29.35</v>
      </c>
      <c r="G683">
        <v>814693</v>
      </c>
      <c r="H683" s="116"/>
      <c r="I683" s="116"/>
      <c r="L683" s="170">
        <v>43006</v>
      </c>
      <c r="M683" s="116">
        <v>5.86</v>
      </c>
      <c r="N683" s="116">
        <v>6.02</v>
      </c>
      <c r="O683" s="116">
        <v>5.76</v>
      </c>
      <c r="P683" s="116">
        <v>5.85</v>
      </c>
      <c r="Q683" s="116">
        <v>29.3</v>
      </c>
      <c r="R683">
        <v>10524208</v>
      </c>
    </row>
    <row r="684" spans="1:18" x14ac:dyDescent="0.25">
      <c r="A684" s="170">
        <v>43007</v>
      </c>
      <c r="B684" s="116">
        <v>5.99</v>
      </c>
      <c r="C684" s="116">
        <v>5.91</v>
      </c>
      <c r="D684" s="116">
        <v>5.85</v>
      </c>
      <c r="E684" s="116">
        <v>5.85</v>
      </c>
      <c r="F684" s="116">
        <v>29.55</v>
      </c>
      <c r="G684">
        <v>668168</v>
      </c>
      <c r="H684" s="116"/>
      <c r="I684" s="116"/>
      <c r="L684" s="170">
        <v>43007</v>
      </c>
      <c r="M684" s="116">
        <v>5.91</v>
      </c>
      <c r="N684" s="116">
        <v>5.99</v>
      </c>
      <c r="O684" s="116">
        <v>5.89</v>
      </c>
      <c r="P684" s="116">
        <v>5.91</v>
      </c>
      <c r="Q684" s="116">
        <v>29.55</v>
      </c>
      <c r="R684">
        <v>5518065</v>
      </c>
    </row>
    <row r="685" spans="1:18" x14ac:dyDescent="0.25">
      <c r="A685" s="170">
        <v>43011</v>
      </c>
      <c r="B685" s="116">
        <v>5.93</v>
      </c>
      <c r="C685" s="116">
        <v>5.8</v>
      </c>
      <c r="D685" s="116">
        <v>5.75</v>
      </c>
      <c r="E685" s="116">
        <v>5.91</v>
      </c>
      <c r="F685" s="116">
        <v>29</v>
      </c>
      <c r="G685">
        <v>1460653</v>
      </c>
      <c r="H685" s="116"/>
      <c r="I685" s="116"/>
      <c r="L685" s="170">
        <v>43011</v>
      </c>
      <c r="M685" s="116">
        <v>5.81</v>
      </c>
      <c r="N685" s="116">
        <v>5.93</v>
      </c>
      <c r="O685" s="116">
        <v>5.73</v>
      </c>
      <c r="P685" s="116">
        <v>5.9</v>
      </c>
      <c r="Q685" s="116">
        <v>29.05</v>
      </c>
      <c r="R685">
        <v>13025628</v>
      </c>
    </row>
    <row r="686" spans="1:18" x14ac:dyDescent="0.25">
      <c r="A686" s="170">
        <v>43012</v>
      </c>
      <c r="B686" s="116">
        <v>5.95</v>
      </c>
      <c r="C686" s="116">
        <v>5.88</v>
      </c>
      <c r="D686" s="116">
        <v>5.78</v>
      </c>
      <c r="E686" s="116">
        <v>5.85</v>
      </c>
      <c r="F686" s="116">
        <v>29.4</v>
      </c>
      <c r="G686">
        <v>986229</v>
      </c>
      <c r="H686" s="116"/>
      <c r="I686" s="116"/>
      <c r="L686" s="170">
        <v>43012</v>
      </c>
      <c r="M686" s="116">
        <v>5.89</v>
      </c>
      <c r="N686" s="116">
        <v>5.95</v>
      </c>
      <c r="O686" s="116">
        <v>5.79</v>
      </c>
      <c r="P686" s="116">
        <v>5.79</v>
      </c>
      <c r="Q686" s="116">
        <v>29.45</v>
      </c>
      <c r="R686">
        <v>8430499</v>
      </c>
    </row>
    <row r="687" spans="1:18" x14ac:dyDescent="0.25">
      <c r="A687" s="170">
        <v>43013</v>
      </c>
      <c r="B687" s="116">
        <v>6.13</v>
      </c>
      <c r="C687" s="116">
        <v>6.07</v>
      </c>
      <c r="D687" s="116">
        <v>5.9</v>
      </c>
      <c r="E687" s="116">
        <v>5.99</v>
      </c>
      <c r="F687" s="116">
        <v>30.35</v>
      </c>
      <c r="G687">
        <v>1071740</v>
      </c>
      <c r="H687" s="116"/>
      <c r="I687" s="116"/>
      <c r="L687" s="170">
        <v>43013</v>
      </c>
      <c r="M687" s="116">
        <v>6.09</v>
      </c>
      <c r="N687" s="116">
        <v>6.16</v>
      </c>
      <c r="O687" s="116">
        <v>5.9</v>
      </c>
      <c r="P687" s="116">
        <v>5.94</v>
      </c>
      <c r="Q687" s="116">
        <v>30.45</v>
      </c>
      <c r="R687">
        <v>9111745</v>
      </c>
    </row>
    <row r="688" spans="1:18" x14ac:dyDescent="0.25">
      <c r="A688" s="170">
        <v>43014</v>
      </c>
      <c r="B688" s="116">
        <v>6.27</v>
      </c>
      <c r="C688" s="116">
        <v>6.17</v>
      </c>
      <c r="D688" s="116">
        <v>6.1</v>
      </c>
      <c r="E688" s="116">
        <v>6.16</v>
      </c>
      <c r="F688" s="116">
        <v>30.85</v>
      </c>
      <c r="G688">
        <v>966241</v>
      </c>
      <c r="H688" s="116"/>
      <c r="I688" s="116"/>
      <c r="L688" s="170">
        <v>43014</v>
      </c>
      <c r="M688" s="116">
        <v>6.19</v>
      </c>
      <c r="N688" s="116">
        <v>6.26</v>
      </c>
      <c r="O688" s="116">
        <v>6.11</v>
      </c>
      <c r="P688" s="116">
        <v>6.11</v>
      </c>
      <c r="Q688" s="116">
        <v>30.95</v>
      </c>
      <c r="R688">
        <v>8124142</v>
      </c>
    </row>
    <row r="689" spans="1:18" x14ac:dyDescent="0.25">
      <c r="A689" s="170">
        <v>43017</v>
      </c>
      <c r="B689" s="116">
        <v>6.16</v>
      </c>
      <c r="C689" s="116">
        <v>6.02</v>
      </c>
      <c r="D689" s="116">
        <v>5.97</v>
      </c>
      <c r="E689" s="116">
        <v>6.16</v>
      </c>
      <c r="F689" s="116">
        <v>30.1</v>
      </c>
      <c r="G689">
        <v>748389</v>
      </c>
      <c r="H689" s="116"/>
      <c r="I689" s="116"/>
      <c r="L689" s="170">
        <v>43017</v>
      </c>
      <c r="M689" s="116">
        <v>6.02</v>
      </c>
      <c r="N689" s="116">
        <v>6.16</v>
      </c>
      <c r="O689" s="116">
        <v>5.97</v>
      </c>
      <c r="P689" s="116">
        <v>6.14</v>
      </c>
      <c r="Q689" s="116">
        <v>30.1</v>
      </c>
      <c r="R689">
        <v>6076888</v>
      </c>
    </row>
    <row r="690" spans="1:18" x14ac:dyDescent="0.25">
      <c r="A690" s="170">
        <v>43018</v>
      </c>
      <c r="B690" s="116">
        <v>6.1</v>
      </c>
      <c r="C690" s="116">
        <v>5.99</v>
      </c>
      <c r="D690" s="116">
        <v>5.94</v>
      </c>
      <c r="E690" s="116">
        <v>6</v>
      </c>
      <c r="F690" s="116">
        <v>29.95</v>
      </c>
      <c r="G690">
        <v>658771</v>
      </c>
      <c r="H690" s="116"/>
      <c r="I690" s="116"/>
      <c r="L690" s="170">
        <v>43018</v>
      </c>
      <c r="M690" s="116">
        <v>5.99</v>
      </c>
      <c r="N690" s="116">
        <v>6.11</v>
      </c>
      <c r="O690" s="116">
        <v>5.93</v>
      </c>
      <c r="P690" s="116">
        <v>6</v>
      </c>
      <c r="Q690" s="116">
        <v>29.95</v>
      </c>
      <c r="R690">
        <v>6029322</v>
      </c>
    </row>
    <row r="691" spans="1:18" x14ac:dyDescent="0.25">
      <c r="A691" s="170">
        <v>43019</v>
      </c>
      <c r="B691" s="116">
        <v>6.17</v>
      </c>
      <c r="C691" s="116">
        <v>6.01</v>
      </c>
      <c r="D691" s="116">
        <v>5.92</v>
      </c>
      <c r="E691" s="116">
        <v>6.07</v>
      </c>
      <c r="F691" s="116">
        <v>30.05</v>
      </c>
      <c r="G691">
        <v>1074485</v>
      </c>
      <c r="H691" s="116"/>
      <c r="I691" s="116"/>
      <c r="L691" s="170">
        <v>43019</v>
      </c>
      <c r="M691" s="116">
        <v>6.01</v>
      </c>
      <c r="N691" s="116">
        <v>6.18</v>
      </c>
      <c r="O691" s="116">
        <v>5.91</v>
      </c>
      <c r="P691" s="116">
        <v>6.05</v>
      </c>
      <c r="Q691" s="116">
        <v>30.05</v>
      </c>
      <c r="R691">
        <v>7741920</v>
      </c>
    </row>
    <row r="692" spans="1:18" x14ac:dyDescent="0.25">
      <c r="A692" s="170">
        <v>43020</v>
      </c>
      <c r="B692" s="116">
        <v>6.07</v>
      </c>
      <c r="C692" s="116">
        <v>6.04</v>
      </c>
      <c r="D692" s="116">
        <v>5.95</v>
      </c>
      <c r="E692" s="116">
        <v>6.01</v>
      </c>
      <c r="F692" s="116">
        <v>30.2</v>
      </c>
      <c r="G692">
        <v>686194</v>
      </c>
      <c r="H692" s="116"/>
      <c r="I692" s="116"/>
      <c r="L692" s="170">
        <v>43020</v>
      </c>
      <c r="M692" s="116">
        <v>6.05</v>
      </c>
      <c r="N692" s="116">
        <v>6.07</v>
      </c>
      <c r="O692" s="116">
        <v>5.94</v>
      </c>
      <c r="P692" s="116">
        <v>6</v>
      </c>
      <c r="Q692" s="116">
        <v>30.25</v>
      </c>
      <c r="R692">
        <v>4615959</v>
      </c>
    </row>
    <row r="693" spans="1:18" x14ac:dyDescent="0.25">
      <c r="A693" s="170">
        <v>43021</v>
      </c>
      <c r="B693" s="116">
        <v>6.07</v>
      </c>
      <c r="C693" s="116">
        <v>6.01</v>
      </c>
      <c r="D693" s="116">
        <v>5.98</v>
      </c>
      <c r="E693" s="116">
        <v>6.05</v>
      </c>
      <c r="F693" s="116">
        <v>30.05</v>
      </c>
      <c r="G693">
        <v>426406</v>
      </c>
      <c r="H693" s="116"/>
      <c r="I693" s="116"/>
      <c r="L693" s="170">
        <v>43021</v>
      </c>
      <c r="M693" s="116">
        <v>6.01</v>
      </c>
      <c r="N693" s="116">
        <v>6.07</v>
      </c>
      <c r="O693" s="116">
        <v>5.98</v>
      </c>
      <c r="P693" s="116">
        <v>6.05</v>
      </c>
      <c r="Q693" s="116">
        <v>30.05</v>
      </c>
      <c r="R693">
        <v>3182649</v>
      </c>
    </row>
    <row r="694" spans="1:18" x14ac:dyDescent="0.25">
      <c r="A694" s="170">
        <v>43024</v>
      </c>
      <c r="B694" s="116">
        <v>6.06</v>
      </c>
      <c r="C694" s="116">
        <v>5.98</v>
      </c>
      <c r="D694" s="116">
        <v>5.92</v>
      </c>
      <c r="E694" s="116">
        <v>6.03</v>
      </c>
      <c r="F694" s="116">
        <v>29.9</v>
      </c>
      <c r="G694">
        <v>597033</v>
      </c>
      <c r="H694" s="116"/>
      <c r="I694" s="116"/>
      <c r="L694" s="170">
        <v>43024</v>
      </c>
      <c r="M694" s="116">
        <v>5.99</v>
      </c>
      <c r="N694" s="116">
        <v>6.07</v>
      </c>
      <c r="O694" s="116">
        <v>5.92</v>
      </c>
      <c r="P694" s="116">
        <v>6.02</v>
      </c>
      <c r="Q694" s="116">
        <v>29.95</v>
      </c>
      <c r="R694">
        <v>4306285</v>
      </c>
    </row>
    <row r="695" spans="1:18" x14ac:dyDescent="0.25">
      <c r="A695" s="170">
        <v>43025</v>
      </c>
      <c r="B695" s="116">
        <v>6</v>
      </c>
      <c r="C695" s="116">
        <v>5.95</v>
      </c>
      <c r="D695" s="116">
        <v>5.91</v>
      </c>
      <c r="E695" s="116">
        <v>5.92</v>
      </c>
      <c r="F695" s="116">
        <v>29.75</v>
      </c>
      <c r="G695">
        <v>525733</v>
      </c>
      <c r="H695" s="116"/>
      <c r="I695" s="116"/>
      <c r="L695" s="170">
        <v>43025</v>
      </c>
      <c r="M695" s="116">
        <v>5.96</v>
      </c>
      <c r="N695" s="116">
        <v>6</v>
      </c>
      <c r="O695" s="116">
        <v>5.93</v>
      </c>
      <c r="P695" s="116">
        <v>5.99</v>
      </c>
      <c r="Q695" s="116">
        <v>29.8</v>
      </c>
      <c r="R695">
        <v>9888109</v>
      </c>
    </row>
    <row r="696" spans="1:18" x14ac:dyDescent="0.25">
      <c r="A696" s="170">
        <v>43026</v>
      </c>
      <c r="B696" s="116">
        <v>6</v>
      </c>
      <c r="C696" s="116">
        <v>5.85</v>
      </c>
      <c r="D696" s="116">
        <v>5.81</v>
      </c>
      <c r="E696" s="116">
        <v>5.97</v>
      </c>
      <c r="F696" s="116">
        <v>29.25</v>
      </c>
      <c r="G696">
        <v>646368</v>
      </c>
      <c r="H696" s="116"/>
      <c r="I696" s="116"/>
      <c r="L696" s="170">
        <v>43026</v>
      </c>
      <c r="M696" s="116">
        <v>5.84</v>
      </c>
      <c r="N696" s="116">
        <v>6.02</v>
      </c>
      <c r="O696" s="116">
        <v>5.82</v>
      </c>
      <c r="P696" s="116">
        <v>6</v>
      </c>
      <c r="Q696" s="116">
        <v>29.2</v>
      </c>
      <c r="R696">
        <v>10013170</v>
      </c>
    </row>
    <row r="697" spans="1:18" x14ac:dyDescent="0.25">
      <c r="A697" s="170">
        <v>43027</v>
      </c>
      <c r="B697" s="116">
        <v>5.88</v>
      </c>
      <c r="C697" s="116">
        <v>5.81</v>
      </c>
      <c r="D697" s="116">
        <v>5.78</v>
      </c>
      <c r="E697" s="116">
        <v>5.88</v>
      </c>
      <c r="F697" s="116">
        <v>29.05</v>
      </c>
      <c r="G697">
        <v>225280</v>
      </c>
      <c r="H697" s="116"/>
      <c r="I697" s="116"/>
      <c r="L697" s="170">
        <v>43027</v>
      </c>
      <c r="M697" s="116">
        <v>5.81</v>
      </c>
      <c r="N697" s="116">
        <v>5.86</v>
      </c>
      <c r="O697" s="116">
        <v>5.78</v>
      </c>
      <c r="P697" s="116">
        <v>5.84</v>
      </c>
      <c r="Q697" s="116">
        <v>29.05</v>
      </c>
      <c r="R697">
        <v>1234156</v>
      </c>
    </row>
    <row r="698" spans="1:18" x14ac:dyDescent="0.25">
      <c r="A698" s="170">
        <v>43031</v>
      </c>
      <c r="B698" s="116">
        <v>6.14</v>
      </c>
      <c r="C698" s="116">
        <v>6.09</v>
      </c>
      <c r="D698" s="116">
        <v>5.82</v>
      </c>
      <c r="E698" s="116">
        <v>5.82</v>
      </c>
      <c r="F698" s="116">
        <v>30.45</v>
      </c>
      <c r="G698">
        <v>1176423</v>
      </c>
      <c r="H698" s="116"/>
      <c r="I698" s="116"/>
      <c r="L698" s="170">
        <v>43031</v>
      </c>
      <c r="M698" s="116">
        <v>6.09</v>
      </c>
      <c r="N698" s="116">
        <v>6.15</v>
      </c>
      <c r="O698" s="116">
        <v>5.82</v>
      </c>
      <c r="P698" s="116">
        <v>5.85</v>
      </c>
      <c r="Q698" s="116">
        <v>30.45</v>
      </c>
      <c r="R698">
        <v>11771082</v>
      </c>
    </row>
    <row r="699" spans="1:18" x14ac:dyDescent="0.25">
      <c r="A699" s="170">
        <v>43032</v>
      </c>
      <c r="B699" s="116">
        <v>6.17</v>
      </c>
      <c r="C699" s="116">
        <v>6</v>
      </c>
      <c r="D699" s="116">
        <v>5.98</v>
      </c>
      <c r="E699" s="116">
        <v>6.1</v>
      </c>
      <c r="F699" s="116">
        <v>30</v>
      </c>
      <c r="G699">
        <v>787786</v>
      </c>
      <c r="H699" s="116"/>
      <c r="I699" s="116"/>
      <c r="L699" s="170">
        <v>43032</v>
      </c>
      <c r="M699" s="116">
        <v>6</v>
      </c>
      <c r="N699" s="116">
        <v>6.15</v>
      </c>
      <c r="O699" s="116">
        <v>5.98</v>
      </c>
      <c r="P699" s="116">
        <v>6.15</v>
      </c>
      <c r="Q699" s="116">
        <v>30</v>
      </c>
      <c r="R699">
        <v>12917453</v>
      </c>
    </row>
    <row r="700" spans="1:18" x14ac:dyDescent="0.25">
      <c r="A700" s="170">
        <v>43033</v>
      </c>
      <c r="B700" s="116">
        <v>6.13</v>
      </c>
      <c r="C700" s="116">
        <v>6.05</v>
      </c>
      <c r="D700" s="116">
        <v>5.96</v>
      </c>
      <c r="E700" s="116">
        <v>6.05</v>
      </c>
      <c r="F700" s="116">
        <v>30.25</v>
      </c>
      <c r="G700">
        <v>615557</v>
      </c>
      <c r="H700" s="116"/>
      <c r="I700" s="116"/>
      <c r="L700" s="170">
        <v>43033</v>
      </c>
      <c r="M700" s="116">
        <v>6.05</v>
      </c>
      <c r="N700" s="116">
        <v>6.13</v>
      </c>
      <c r="O700" s="116">
        <v>5.96</v>
      </c>
      <c r="P700" s="116">
        <v>6.06</v>
      </c>
      <c r="Q700" s="116">
        <v>30.25</v>
      </c>
      <c r="R700">
        <v>9468323</v>
      </c>
    </row>
    <row r="701" spans="1:18" x14ac:dyDescent="0.25">
      <c r="A701" s="170">
        <v>43034</v>
      </c>
      <c r="B701" s="116">
        <v>6.57</v>
      </c>
      <c r="C701" s="116">
        <v>6.52</v>
      </c>
      <c r="D701" s="116">
        <v>5.8</v>
      </c>
      <c r="E701" s="116">
        <v>6</v>
      </c>
      <c r="F701" s="116">
        <v>32.6</v>
      </c>
      <c r="G701">
        <v>1788190</v>
      </c>
      <c r="H701" s="116"/>
      <c r="I701" s="116"/>
      <c r="L701" s="170">
        <v>43034</v>
      </c>
      <c r="M701" s="116">
        <v>6.52</v>
      </c>
      <c r="N701" s="116">
        <v>6.59</v>
      </c>
      <c r="O701" s="116">
        <v>6</v>
      </c>
      <c r="P701" s="116">
        <v>6.03</v>
      </c>
      <c r="Q701" s="116">
        <v>32.6</v>
      </c>
      <c r="R701">
        <v>17849234</v>
      </c>
    </row>
    <row r="702" spans="1:18" x14ac:dyDescent="0.25">
      <c r="A702" s="170">
        <v>43035</v>
      </c>
      <c r="B702" s="116">
        <v>6.69</v>
      </c>
      <c r="C702" s="116">
        <v>6.53</v>
      </c>
      <c r="D702" s="116">
        <v>6.44</v>
      </c>
      <c r="E702" s="116">
        <v>6.6</v>
      </c>
      <c r="F702" s="116">
        <v>32.65</v>
      </c>
      <c r="G702">
        <v>2003621</v>
      </c>
      <c r="H702" s="116"/>
      <c r="I702" s="116"/>
      <c r="L702" s="170">
        <v>43035</v>
      </c>
      <c r="M702" s="116">
        <v>6.53</v>
      </c>
      <c r="N702" s="116">
        <v>6.7</v>
      </c>
      <c r="O702" s="116">
        <v>6.43</v>
      </c>
      <c r="P702" s="116">
        <v>6.57</v>
      </c>
      <c r="Q702" s="116">
        <v>32.65</v>
      </c>
      <c r="R702">
        <v>15187662</v>
      </c>
    </row>
    <row r="703" spans="1:18" x14ac:dyDescent="0.25">
      <c r="A703" s="170">
        <v>43038</v>
      </c>
      <c r="B703" s="116">
        <v>6.78</v>
      </c>
      <c r="C703" s="116">
        <v>6.69</v>
      </c>
      <c r="D703" s="116">
        <v>6.52</v>
      </c>
      <c r="E703" s="116">
        <v>6.6</v>
      </c>
      <c r="F703" s="116">
        <v>33.450000000000003</v>
      </c>
      <c r="G703">
        <v>1808558</v>
      </c>
      <c r="H703" s="116"/>
      <c r="I703" s="116"/>
      <c r="L703" s="170">
        <v>43038</v>
      </c>
      <c r="M703" s="116">
        <v>6.69</v>
      </c>
      <c r="N703" s="116">
        <v>6.79</v>
      </c>
      <c r="O703" s="116">
        <v>6.53</v>
      </c>
      <c r="P703" s="116">
        <v>6.59</v>
      </c>
      <c r="Q703" s="116">
        <v>33.450000000000003</v>
      </c>
      <c r="R703">
        <v>16206469</v>
      </c>
    </row>
    <row r="704" spans="1:18" x14ac:dyDescent="0.25">
      <c r="A704" s="170">
        <v>43039</v>
      </c>
      <c r="B704" s="116">
        <v>6.71</v>
      </c>
      <c r="C704" s="116">
        <v>6.56</v>
      </c>
      <c r="D704" s="116">
        <v>6.4</v>
      </c>
      <c r="E704" s="116">
        <v>6.7</v>
      </c>
      <c r="F704" s="116">
        <v>32.799999999999997</v>
      </c>
      <c r="G704">
        <v>2125624</v>
      </c>
      <c r="H704" s="116"/>
      <c r="I704" s="116"/>
      <c r="L704" s="170">
        <v>43039</v>
      </c>
      <c r="M704" s="116">
        <v>6.55</v>
      </c>
      <c r="N704" s="116">
        <v>6.72</v>
      </c>
      <c r="O704" s="116">
        <v>6.39</v>
      </c>
      <c r="P704" s="116">
        <v>6.72</v>
      </c>
      <c r="Q704" s="116">
        <v>32.75</v>
      </c>
      <c r="R704">
        <v>12858464</v>
      </c>
    </row>
    <row r="705" spans="1:18" x14ac:dyDescent="0.25">
      <c r="A705" s="170">
        <v>43040</v>
      </c>
      <c r="B705" s="116">
        <v>6.65</v>
      </c>
      <c r="C705" s="116">
        <v>6.53</v>
      </c>
      <c r="D705" s="116">
        <v>6.48</v>
      </c>
      <c r="E705" s="116">
        <v>6.56</v>
      </c>
      <c r="F705" s="116">
        <v>32.65</v>
      </c>
      <c r="G705">
        <v>1564753</v>
      </c>
      <c r="H705" s="116"/>
      <c r="I705" s="116"/>
      <c r="L705" s="170">
        <v>43040</v>
      </c>
      <c r="M705" s="116">
        <v>6.53</v>
      </c>
      <c r="N705" s="116">
        <v>6.66</v>
      </c>
      <c r="O705" s="116">
        <v>6.48</v>
      </c>
      <c r="P705" s="116">
        <v>6.57</v>
      </c>
      <c r="Q705" s="116">
        <v>32.65</v>
      </c>
      <c r="R705">
        <v>12896000</v>
      </c>
    </row>
    <row r="706" spans="1:18" x14ac:dyDescent="0.25">
      <c r="A706" s="170">
        <v>43041</v>
      </c>
      <c r="B706" s="116">
        <v>6.8</v>
      </c>
      <c r="C706" s="116">
        <v>6.73</v>
      </c>
      <c r="D706" s="116">
        <v>6.56</v>
      </c>
      <c r="E706" s="116">
        <v>6.6</v>
      </c>
      <c r="F706" s="116">
        <v>33.65</v>
      </c>
      <c r="G706">
        <v>1613313</v>
      </c>
      <c r="H706" s="116"/>
      <c r="I706" s="116"/>
      <c r="L706" s="170">
        <v>43041</v>
      </c>
      <c r="M706" s="116">
        <v>6.74</v>
      </c>
      <c r="N706" s="116">
        <v>6.8</v>
      </c>
      <c r="O706" s="116">
        <v>6.55</v>
      </c>
      <c r="P706" s="116">
        <v>6.65</v>
      </c>
      <c r="Q706" s="116">
        <v>33.700000000000003</v>
      </c>
      <c r="R706">
        <v>13410630</v>
      </c>
    </row>
    <row r="707" spans="1:18" x14ac:dyDescent="0.25">
      <c r="A707" s="170">
        <v>43042</v>
      </c>
      <c r="B707" s="116">
        <v>6.94</v>
      </c>
      <c r="C707" s="116">
        <v>6.9</v>
      </c>
      <c r="D707" s="116">
        <v>6.72</v>
      </c>
      <c r="E707" s="116">
        <v>6.81</v>
      </c>
      <c r="F707" s="116">
        <v>34.5</v>
      </c>
      <c r="G707">
        <v>1950754</v>
      </c>
      <c r="H707" s="116"/>
      <c r="I707" s="116"/>
      <c r="L707" s="170">
        <v>43042</v>
      </c>
      <c r="M707" s="116">
        <v>6.91</v>
      </c>
      <c r="N707" s="116">
        <v>6.96</v>
      </c>
      <c r="O707" s="116">
        <v>6.72</v>
      </c>
      <c r="P707" s="116">
        <v>6.8</v>
      </c>
      <c r="Q707" s="116">
        <v>34.549999999999997</v>
      </c>
      <c r="R707">
        <v>14245522</v>
      </c>
    </row>
    <row r="708" spans="1:18" x14ac:dyDescent="0.25">
      <c r="A708" s="170">
        <v>43045</v>
      </c>
      <c r="B708" s="116">
        <v>7.21</v>
      </c>
      <c r="C708" s="116">
        <v>7.13</v>
      </c>
      <c r="D708" s="116">
        <v>6.86</v>
      </c>
      <c r="E708" s="116">
        <v>6.9</v>
      </c>
      <c r="F708" s="116">
        <v>35.65</v>
      </c>
      <c r="G708">
        <v>2188615</v>
      </c>
      <c r="H708" s="116"/>
      <c r="I708" s="116"/>
      <c r="L708" s="170">
        <v>43045</v>
      </c>
      <c r="M708" s="116">
        <v>7.13</v>
      </c>
      <c r="N708" s="116">
        <v>7.23</v>
      </c>
      <c r="O708" s="116">
        <v>6.86</v>
      </c>
      <c r="P708" s="116">
        <v>6.86</v>
      </c>
      <c r="Q708" s="116">
        <v>35.65</v>
      </c>
      <c r="R708">
        <v>18837772</v>
      </c>
    </row>
    <row r="709" spans="1:18" x14ac:dyDescent="0.25">
      <c r="A709" s="170">
        <v>43046</v>
      </c>
      <c r="B709" s="116">
        <v>7.24</v>
      </c>
      <c r="C709" s="116">
        <v>6.76</v>
      </c>
      <c r="D709" s="116">
        <v>6.65</v>
      </c>
      <c r="E709" s="116">
        <v>7.17</v>
      </c>
      <c r="F709" s="116">
        <v>33.799999999999997</v>
      </c>
      <c r="G709">
        <v>1866939</v>
      </c>
      <c r="H709" s="116"/>
      <c r="I709" s="116"/>
      <c r="L709" s="170">
        <v>43046</v>
      </c>
      <c r="M709" s="116">
        <v>6.76</v>
      </c>
      <c r="N709" s="116">
        <v>7.24</v>
      </c>
      <c r="O709" s="116">
        <v>6.65</v>
      </c>
      <c r="P709" s="116">
        <v>7.14</v>
      </c>
      <c r="Q709" s="116">
        <v>33.799999999999997</v>
      </c>
      <c r="R709">
        <v>16667140</v>
      </c>
    </row>
    <row r="710" spans="1:18" x14ac:dyDescent="0.25">
      <c r="A710" s="170">
        <v>43047</v>
      </c>
      <c r="B710" s="116">
        <v>7.02</v>
      </c>
      <c r="C710" s="116">
        <v>6.77</v>
      </c>
      <c r="D710" s="116">
        <v>6.7</v>
      </c>
      <c r="E710" s="116">
        <v>6.81</v>
      </c>
      <c r="F710" s="116">
        <v>33.85</v>
      </c>
      <c r="G710">
        <v>1133645</v>
      </c>
      <c r="H710" s="116"/>
      <c r="I710" s="116"/>
      <c r="L710" s="170">
        <v>43047</v>
      </c>
      <c r="M710" s="116">
        <v>6.77</v>
      </c>
      <c r="N710" s="116">
        <v>7.02</v>
      </c>
      <c r="O710" s="116">
        <v>6.7</v>
      </c>
      <c r="P710" s="116">
        <v>6.85</v>
      </c>
      <c r="Q710" s="116">
        <v>33.85</v>
      </c>
      <c r="R710">
        <v>10348933</v>
      </c>
    </row>
    <row r="711" spans="1:18" x14ac:dyDescent="0.25">
      <c r="A711" s="170">
        <v>43048</v>
      </c>
      <c r="B711" s="116">
        <v>6.95</v>
      </c>
      <c r="C711" s="116">
        <v>6.83</v>
      </c>
      <c r="D711" s="116">
        <v>6.56</v>
      </c>
      <c r="E711" s="116">
        <v>6.81</v>
      </c>
      <c r="F711" s="116">
        <v>34.15</v>
      </c>
      <c r="G711">
        <v>1841511</v>
      </c>
      <c r="H711" s="116"/>
      <c r="I711" s="116"/>
      <c r="L711" s="170">
        <v>43048</v>
      </c>
      <c r="M711" s="116">
        <v>6.83</v>
      </c>
      <c r="N711" s="116">
        <v>6.95</v>
      </c>
      <c r="O711" s="116">
        <v>6.54</v>
      </c>
      <c r="P711" s="116">
        <v>6.8</v>
      </c>
      <c r="Q711" s="116">
        <v>34.15</v>
      </c>
      <c r="R711">
        <v>10073179</v>
      </c>
    </row>
    <row r="712" spans="1:18" x14ac:dyDescent="0.25">
      <c r="A712" s="170">
        <v>43049</v>
      </c>
      <c r="B712" s="116">
        <v>6.96</v>
      </c>
      <c r="C712" s="116">
        <v>6.91</v>
      </c>
      <c r="D712" s="116">
        <v>6.73</v>
      </c>
      <c r="E712" s="116">
        <v>6.81</v>
      </c>
      <c r="F712" s="116">
        <v>34.549999999999997</v>
      </c>
      <c r="G712">
        <v>1608465</v>
      </c>
      <c r="H712" s="116"/>
      <c r="I712" s="116"/>
      <c r="L712" s="170">
        <v>43049</v>
      </c>
      <c r="M712" s="116">
        <v>6.91</v>
      </c>
      <c r="N712" s="116">
        <v>6.97</v>
      </c>
      <c r="O712" s="116">
        <v>6.73</v>
      </c>
      <c r="P712" s="116">
        <v>6.8</v>
      </c>
      <c r="Q712" s="116">
        <v>34.549999999999997</v>
      </c>
      <c r="R712">
        <v>9487614</v>
      </c>
    </row>
    <row r="713" spans="1:18" x14ac:dyDescent="0.25">
      <c r="A713" s="170">
        <v>43052</v>
      </c>
      <c r="B713" s="116">
        <v>7.28</v>
      </c>
      <c r="C713" s="116">
        <v>6.78</v>
      </c>
      <c r="D713" s="116">
        <v>6.72</v>
      </c>
      <c r="E713" s="116">
        <v>7.2</v>
      </c>
      <c r="F713" s="116">
        <v>33.9</v>
      </c>
      <c r="G713">
        <v>2057484</v>
      </c>
      <c r="H713" s="116"/>
      <c r="I713" s="116"/>
      <c r="L713" s="170">
        <v>43052</v>
      </c>
      <c r="M713" s="116">
        <v>6.78</v>
      </c>
      <c r="N713" s="116">
        <v>7.26</v>
      </c>
      <c r="O713" s="116">
        <v>6.71</v>
      </c>
      <c r="P713" s="116">
        <v>7.24</v>
      </c>
      <c r="Q713" s="116">
        <v>33.9</v>
      </c>
      <c r="R713">
        <v>15125860</v>
      </c>
    </row>
    <row r="714" spans="1:18" x14ac:dyDescent="0.25">
      <c r="A714" s="170">
        <v>43053</v>
      </c>
      <c r="B714" s="116">
        <v>6.82</v>
      </c>
      <c r="C714" s="116">
        <v>6.71</v>
      </c>
      <c r="D714" s="116">
        <v>6.68</v>
      </c>
      <c r="E714" s="116">
        <v>6.75</v>
      </c>
      <c r="F714" s="116">
        <v>33.549999999999997</v>
      </c>
      <c r="G714">
        <v>689614</v>
      </c>
      <c r="H714" s="116"/>
      <c r="I714" s="116"/>
      <c r="L714" s="170">
        <v>43053</v>
      </c>
      <c r="M714" s="116">
        <v>6.72</v>
      </c>
      <c r="N714" s="116">
        <v>6.82</v>
      </c>
      <c r="O714" s="116">
        <v>6.66</v>
      </c>
      <c r="P714" s="116">
        <v>6.75</v>
      </c>
      <c r="Q714" s="116">
        <v>33.6</v>
      </c>
      <c r="R714">
        <v>5467973</v>
      </c>
    </row>
    <row r="715" spans="1:18" x14ac:dyDescent="0.25">
      <c r="A715" s="170">
        <v>43054</v>
      </c>
      <c r="B715" s="116">
        <v>6.7</v>
      </c>
      <c r="C715" s="116">
        <v>6.42</v>
      </c>
      <c r="D715" s="116">
        <v>6.27</v>
      </c>
      <c r="E715" s="116">
        <v>6.6</v>
      </c>
      <c r="F715" s="116">
        <v>32.1</v>
      </c>
      <c r="G715">
        <v>1212774</v>
      </c>
      <c r="H715" s="116"/>
      <c r="I715" s="116"/>
      <c r="L715" s="170">
        <v>43054</v>
      </c>
      <c r="M715" s="116">
        <v>6.43</v>
      </c>
      <c r="N715" s="116">
        <v>6.72</v>
      </c>
      <c r="O715" s="116">
        <v>6.26</v>
      </c>
      <c r="P715" s="116">
        <v>6.72</v>
      </c>
      <c r="Q715" s="116">
        <v>32.15</v>
      </c>
      <c r="R715">
        <v>7381150</v>
      </c>
    </row>
    <row r="716" spans="1:18" x14ac:dyDescent="0.25">
      <c r="A716" s="170">
        <v>43055</v>
      </c>
      <c r="B716" s="116">
        <v>6.66</v>
      </c>
      <c r="C716" s="116">
        <v>6.62</v>
      </c>
      <c r="D716" s="116">
        <v>6.41</v>
      </c>
      <c r="E716" s="116">
        <v>6.42</v>
      </c>
      <c r="F716" s="116">
        <v>33.1</v>
      </c>
      <c r="G716">
        <v>821601</v>
      </c>
      <c r="H716" s="116"/>
      <c r="I716" s="116"/>
      <c r="L716" s="170">
        <v>43055</v>
      </c>
      <c r="M716" s="116">
        <v>6.63</v>
      </c>
      <c r="N716" s="116">
        <v>6.67</v>
      </c>
      <c r="O716" s="116">
        <v>6.41</v>
      </c>
      <c r="P716" s="116">
        <v>6.47</v>
      </c>
      <c r="Q716" s="116">
        <v>33.15</v>
      </c>
      <c r="R716">
        <v>6949042</v>
      </c>
    </row>
    <row r="717" spans="1:18" x14ac:dyDescent="0.25">
      <c r="A717" s="170">
        <v>43056</v>
      </c>
      <c r="B717" s="116">
        <v>6.92</v>
      </c>
      <c r="C717" s="116">
        <v>6.84</v>
      </c>
      <c r="D717" s="116">
        <v>6.54</v>
      </c>
      <c r="E717" s="116">
        <v>6.75</v>
      </c>
      <c r="F717" s="116">
        <v>34.200000000000003</v>
      </c>
      <c r="G717">
        <v>1484799</v>
      </c>
      <c r="H717" s="116"/>
      <c r="I717" s="116"/>
      <c r="L717" s="170">
        <v>43056</v>
      </c>
      <c r="M717" s="116">
        <v>6.85</v>
      </c>
      <c r="N717" s="116">
        <v>6.93</v>
      </c>
      <c r="O717" s="116">
        <v>6.54</v>
      </c>
      <c r="P717" s="116">
        <v>6.7</v>
      </c>
      <c r="Q717" s="116">
        <v>34.25</v>
      </c>
      <c r="R717">
        <v>10005457</v>
      </c>
    </row>
    <row r="718" spans="1:18" x14ac:dyDescent="0.25">
      <c r="A718" s="170">
        <v>43059</v>
      </c>
      <c r="B718" s="116">
        <v>7.07</v>
      </c>
      <c r="C718" s="116">
        <v>7.01</v>
      </c>
      <c r="D718" s="116">
        <v>6.74</v>
      </c>
      <c r="E718" s="116">
        <v>6.85</v>
      </c>
      <c r="F718" s="116">
        <v>35.049999999999997</v>
      </c>
      <c r="G718">
        <v>1529724</v>
      </c>
      <c r="H718" s="116"/>
      <c r="I718" s="116"/>
      <c r="L718" s="170">
        <v>43059</v>
      </c>
      <c r="M718" s="116">
        <v>7.01</v>
      </c>
      <c r="N718" s="116">
        <v>7.07</v>
      </c>
      <c r="O718" s="116">
        <v>6.74</v>
      </c>
      <c r="P718" s="116">
        <v>6.86</v>
      </c>
      <c r="Q718" s="116">
        <v>35.049999999999997</v>
      </c>
      <c r="R718">
        <v>11469306</v>
      </c>
    </row>
    <row r="719" spans="1:18" x14ac:dyDescent="0.25">
      <c r="A719" s="170">
        <v>43060</v>
      </c>
      <c r="B719" s="116">
        <v>7.08</v>
      </c>
      <c r="C719" s="116">
        <v>6.87</v>
      </c>
      <c r="D719" s="116">
        <v>6.8</v>
      </c>
      <c r="E719" s="116">
        <v>7.08</v>
      </c>
      <c r="F719" s="116">
        <v>34.35</v>
      </c>
      <c r="G719">
        <v>802245</v>
      </c>
      <c r="H719" s="116"/>
      <c r="I719" s="116"/>
      <c r="L719" s="170">
        <v>43060</v>
      </c>
      <c r="M719" s="116">
        <v>6.88</v>
      </c>
      <c r="N719" s="116">
        <v>7.06</v>
      </c>
      <c r="O719" s="116">
        <v>6.8</v>
      </c>
      <c r="P719" s="116">
        <v>7.01</v>
      </c>
      <c r="Q719" s="116">
        <v>34.4</v>
      </c>
      <c r="R719">
        <v>6175775</v>
      </c>
    </row>
    <row r="720" spans="1:18" x14ac:dyDescent="0.25">
      <c r="A720" s="170">
        <v>43061</v>
      </c>
      <c r="B720" s="116">
        <v>7.16</v>
      </c>
      <c r="C720" s="116">
        <v>7.09</v>
      </c>
      <c r="D720" s="116">
        <v>6.87</v>
      </c>
      <c r="E720" s="116">
        <v>6.95</v>
      </c>
      <c r="F720" s="116">
        <v>35.450000000000003</v>
      </c>
      <c r="G720">
        <v>1511610</v>
      </c>
      <c r="H720" s="116"/>
      <c r="I720" s="116"/>
      <c r="L720" s="170">
        <v>43061</v>
      </c>
      <c r="M720" s="116">
        <v>7.09</v>
      </c>
      <c r="N720" s="116">
        <v>7.17</v>
      </c>
      <c r="O720" s="116">
        <v>6.86</v>
      </c>
      <c r="P720" s="116">
        <v>6.95</v>
      </c>
      <c r="Q720" s="116">
        <v>35.450000000000003</v>
      </c>
      <c r="R720">
        <v>15260851</v>
      </c>
    </row>
    <row r="721" spans="1:18" x14ac:dyDescent="0.25">
      <c r="A721" s="170">
        <v>43062</v>
      </c>
      <c r="B721" s="116">
        <v>7.11</v>
      </c>
      <c r="C721" s="116">
        <v>7.03</v>
      </c>
      <c r="D721" s="116">
        <v>6.94</v>
      </c>
      <c r="E721" s="116">
        <v>7.11</v>
      </c>
      <c r="F721" s="116">
        <v>35.15</v>
      </c>
      <c r="G721">
        <v>983212</v>
      </c>
      <c r="H721" s="116"/>
      <c r="I721" s="116"/>
      <c r="L721" s="170">
        <v>43062</v>
      </c>
      <c r="M721" s="116">
        <v>7.04</v>
      </c>
      <c r="N721" s="116">
        <v>7.12</v>
      </c>
      <c r="O721" s="116">
        <v>6.93</v>
      </c>
      <c r="P721" s="116">
        <v>7.06</v>
      </c>
      <c r="Q721" s="116">
        <v>35.200000000000003</v>
      </c>
      <c r="R721">
        <v>12111046</v>
      </c>
    </row>
    <row r="722" spans="1:18" x14ac:dyDescent="0.25">
      <c r="A722" s="170">
        <v>43063</v>
      </c>
      <c r="B722" s="116">
        <v>7.12</v>
      </c>
      <c r="C722" s="116">
        <v>7.08</v>
      </c>
      <c r="D722" s="116">
        <v>7</v>
      </c>
      <c r="E722" s="116">
        <v>7.09</v>
      </c>
      <c r="F722" s="116">
        <v>35.4</v>
      </c>
      <c r="G722">
        <v>784742</v>
      </c>
      <c r="H722" s="116"/>
      <c r="I722" s="116"/>
      <c r="L722" s="170">
        <v>43063</v>
      </c>
      <c r="M722" s="116">
        <v>7.08</v>
      </c>
      <c r="N722" s="116">
        <v>7.11</v>
      </c>
      <c r="O722" s="116">
        <v>7</v>
      </c>
      <c r="P722" s="116">
        <v>7.04</v>
      </c>
      <c r="Q722" s="116">
        <v>35.4</v>
      </c>
      <c r="R722">
        <v>5074819</v>
      </c>
    </row>
    <row r="723" spans="1:18" x14ac:dyDescent="0.25">
      <c r="A723" s="170">
        <v>43066</v>
      </c>
      <c r="B723" s="116">
        <v>7.34</v>
      </c>
      <c r="C723" s="116">
        <v>7.31</v>
      </c>
      <c r="D723" s="116">
        <v>6.99</v>
      </c>
      <c r="E723" s="116">
        <v>7.06</v>
      </c>
      <c r="F723" s="116">
        <v>36.549999999999997</v>
      </c>
      <c r="G723">
        <v>1497975</v>
      </c>
      <c r="H723" s="116"/>
      <c r="I723" s="116"/>
      <c r="L723" s="170">
        <v>43066</v>
      </c>
      <c r="M723" s="116">
        <v>7.32</v>
      </c>
      <c r="N723" s="116">
        <v>7.35</v>
      </c>
      <c r="O723" s="116">
        <v>7</v>
      </c>
      <c r="P723" s="116">
        <v>7.04</v>
      </c>
      <c r="Q723" s="116">
        <v>36.6</v>
      </c>
      <c r="R723">
        <v>12570518</v>
      </c>
    </row>
    <row r="724" spans="1:18" x14ac:dyDescent="0.25">
      <c r="A724" s="170">
        <v>43067</v>
      </c>
      <c r="B724" s="116">
        <v>7.42</v>
      </c>
      <c r="C724" s="116">
        <v>7.31</v>
      </c>
      <c r="D724" s="116">
        <v>7.23</v>
      </c>
      <c r="E724" s="116">
        <v>7.31</v>
      </c>
      <c r="F724" s="116">
        <v>36.549999999999997</v>
      </c>
      <c r="G724">
        <v>1290131</v>
      </c>
      <c r="H724" s="116"/>
      <c r="I724" s="116"/>
      <c r="L724" s="170">
        <v>43067</v>
      </c>
      <c r="M724" s="116">
        <v>7.32</v>
      </c>
      <c r="N724" s="116">
        <v>7.43</v>
      </c>
      <c r="O724" s="116">
        <v>7.23</v>
      </c>
      <c r="P724" s="116">
        <v>7.32</v>
      </c>
      <c r="Q724" s="116">
        <v>36.6</v>
      </c>
      <c r="R724">
        <v>12486335</v>
      </c>
    </row>
    <row r="725" spans="1:18" x14ac:dyDescent="0.25">
      <c r="A725" s="170">
        <v>43068</v>
      </c>
      <c r="B725" s="116">
        <v>7.36</v>
      </c>
      <c r="C725" s="116">
        <v>7.19</v>
      </c>
      <c r="D725" s="116">
        <v>7.15</v>
      </c>
      <c r="E725" s="116">
        <v>7.32</v>
      </c>
      <c r="F725" s="116">
        <v>35.950000000000003</v>
      </c>
      <c r="G725">
        <v>1089951</v>
      </c>
      <c r="H725" s="116"/>
      <c r="I725" s="116"/>
      <c r="L725" s="170">
        <v>43068</v>
      </c>
      <c r="M725" s="116">
        <v>7.2</v>
      </c>
      <c r="N725" s="116">
        <v>7.35</v>
      </c>
      <c r="O725" s="116">
        <v>7.13</v>
      </c>
      <c r="P725" s="116">
        <v>7.3</v>
      </c>
      <c r="Q725" s="116">
        <v>36</v>
      </c>
      <c r="R725">
        <v>10519185</v>
      </c>
    </row>
    <row r="726" spans="1:18" x14ac:dyDescent="0.25">
      <c r="A726" s="170">
        <v>43069</v>
      </c>
      <c r="B726" s="116">
        <v>7.2</v>
      </c>
      <c r="C726" s="116">
        <v>7.1</v>
      </c>
      <c r="D726" s="116">
        <v>7.05</v>
      </c>
      <c r="E726" s="116">
        <v>7.18</v>
      </c>
      <c r="F726" s="116">
        <v>35.5</v>
      </c>
      <c r="G726">
        <v>779574</v>
      </c>
      <c r="H726" s="116"/>
      <c r="I726" s="116"/>
      <c r="L726" s="170">
        <v>43069</v>
      </c>
      <c r="M726" s="116">
        <v>7.1</v>
      </c>
      <c r="N726" s="116">
        <v>7.21</v>
      </c>
      <c r="O726" s="116">
        <v>7.04</v>
      </c>
      <c r="P726" s="116">
        <v>7.17</v>
      </c>
      <c r="Q726" s="116">
        <v>35.5</v>
      </c>
      <c r="R726">
        <v>6720465</v>
      </c>
    </row>
    <row r="727" spans="1:18" x14ac:dyDescent="0.25">
      <c r="A727" s="170">
        <v>43070</v>
      </c>
      <c r="B727" s="116">
        <v>7.31</v>
      </c>
      <c r="C727" s="116">
        <v>6.83</v>
      </c>
      <c r="D727" s="116">
        <v>6.75</v>
      </c>
      <c r="E727" s="116">
        <v>7.14</v>
      </c>
      <c r="F727" s="116">
        <v>34.15</v>
      </c>
      <c r="G727">
        <v>2281026</v>
      </c>
      <c r="H727" s="116"/>
      <c r="I727" s="116"/>
      <c r="L727" s="170">
        <v>43070</v>
      </c>
      <c r="M727" s="116">
        <v>6.83</v>
      </c>
      <c r="N727" s="116">
        <v>7.3</v>
      </c>
      <c r="O727" s="116">
        <v>6.76</v>
      </c>
      <c r="P727" s="116">
        <v>7.1</v>
      </c>
      <c r="Q727" s="116">
        <v>34.15</v>
      </c>
      <c r="R727">
        <v>11317212</v>
      </c>
    </row>
    <row r="728" spans="1:18" x14ac:dyDescent="0.25">
      <c r="A728" s="170">
        <v>43073</v>
      </c>
      <c r="B728" s="116">
        <v>6.93</v>
      </c>
      <c r="C728" s="116">
        <v>6.74</v>
      </c>
      <c r="D728" s="116">
        <v>6.64</v>
      </c>
      <c r="E728" s="116">
        <v>6.87</v>
      </c>
      <c r="F728" s="116">
        <v>33.700000000000003</v>
      </c>
      <c r="G728">
        <v>1667594</v>
      </c>
      <c r="H728" s="116"/>
      <c r="I728" s="116"/>
      <c r="L728" s="170">
        <v>43073</v>
      </c>
      <c r="M728" s="116">
        <v>6.75</v>
      </c>
      <c r="N728" s="116">
        <v>6.93</v>
      </c>
      <c r="O728" s="116">
        <v>6.65</v>
      </c>
      <c r="P728" s="116">
        <v>6.89</v>
      </c>
      <c r="Q728" s="116">
        <v>33.75</v>
      </c>
      <c r="R728">
        <v>7339806</v>
      </c>
    </row>
    <row r="729" spans="1:18" x14ac:dyDescent="0.25">
      <c r="A729" s="170">
        <v>43074</v>
      </c>
      <c r="B729" s="116">
        <v>6.75</v>
      </c>
      <c r="C729" s="116">
        <v>6.7</v>
      </c>
      <c r="D729" s="116">
        <v>6.5</v>
      </c>
      <c r="E729" s="116">
        <v>6.7</v>
      </c>
      <c r="F729" s="116">
        <v>33.5</v>
      </c>
      <c r="G729">
        <v>1966078</v>
      </c>
      <c r="H729" s="116"/>
      <c r="I729" s="116"/>
      <c r="L729" s="170">
        <v>43074</v>
      </c>
      <c r="M729" s="116">
        <v>6.7</v>
      </c>
      <c r="N729" s="116">
        <v>6.78</v>
      </c>
      <c r="O729" s="116">
        <v>6.5</v>
      </c>
      <c r="P729" s="116">
        <v>6.78</v>
      </c>
      <c r="Q729" s="116">
        <v>33.5</v>
      </c>
      <c r="R729">
        <v>9699469</v>
      </c>
    </row>
    <row r="730" spans="1:18" x14ac:dyDescent="0.25">
      <c r="A730" s="170">
        <v>43075</v>
      </c>
      <c r="B730" s="116">
        <v>6.7</v>
      </c>
      <c r="C730" s="116">
        <v>6.54</v>
      </c>
      <c r="D730" s="116">
        <v>6.51</v>
      </c>
      <c r="E730" s="116">
        <v>6.7</v>
      </c>
      <c r="F730" s="116">
        <v>32.700000000000003</v>
      </c>
      <c r="G730">
        <v>1449946</v>
      </c>
      <c r="H730" s="116"/>
      <c r="I730" s="116"/>
      <c r="L730" s="170">
        <v>43075</v>
      </c>
      <c r="M730" s="116">
        <v>6.55</v>
      </c>
      <c r="N730" s="116">
        <v>6.7</v>
      </c>
      <c r="O730" s="116">
        <v>6.5</v>
      </c>
      <c r="P730" s="116">
        <v>6.69</v>
      </c>
      <c r="Q730" s="116">
        <v>32.75</v>
      </c>
      <c r="R730">
        <v>6719426</v>
      </c>
    </row>
    <row r="731" spans="1:18" x14ac:dyDescent="0.25">
      <c r="A731" s="170">
        <v>43076</v>
      </c>
      <c r="B731" s="116">
        <v>6.99</v>
      </c>
      <c r="C731" s="116">
        <v>6.94</v>
      </c>
      <c r="D731" s="116">
        <v>6.5</v>
      </c>
      <c r="E731" s="116">
        <v>6.5</v>
      </c>
      <c r="F731" s="116">
        <v>34.700000000000003</v>
      </c>
      <c r="G731">
        <v>1650422</v>
      </c>
      <c r="H731" s="116"/>
      <c r="I731" s="116"/>
      <c r="L731" s="170">
        <v>43076</v>
      </c>
      <c r="M731" s="116">
        <v>6.96</v>
      </c>
      <c r="N731" s="116">
        <v>7.02</v>
      </c>
      <c r="O731" s="116">
        <v>6.52</v>
      </c>
      <c r="P731" s="116">
        <v>6.57</v>
      </c>
      <c r="Q731" s="116">
        <v>34.799999999999997</v>
      </c>
      <c r="R731">
        <v>17549669</v>
      </c>
    </row>
    <row r="732" spans="1:18" x14ac:dyDescent="0.25">
      <c r="A732" s="170">
        <v>43077</v>
      </c>
      <c r="B732" s="116">
        <v>7.1</v>
      </c>
      <c r="C732" s="116">
        <v>6.98</v>
      </c>
      <c r="D732" s="116">
        <v>6.94</v>
      </c>
      <c r="E732" s="116">
        <v>7.04</v>
      </c>
      <c r="F732" s="116">
        <v>34.9</v>
      </c>
      <c r="G732">
        <v>1873566</v>
      </c>
      <c r="H732" s="116"/>
      <c r="I732" s="116"/>
      <c r="L732" s="170">
        <v>43077</v>
      </c>
      <c r="M732" s="116">
        <v>6.99</v>
      </c>
      <c r="N732" s="116">
        <v>7.11</v>
      </c>
      <c r="O732" s="116">
        <v>6.95</v>
      </c>
      <c r="P732" s="116">
        <v>7</v>
      </c>
      <c r="Q732" s="116">
        <v>34.950000000000003</v>
      </c>
      <c r="R732">
        <v>17501687</v>
      </c>
    </row>
    <row r="733" spans="1:18" x14ac:dyDescent="0.25">
      <c r="A733" s="170">
        <v>43080</v>
      </c>
      <c r="B733" s="116">
        <v>7.13</v>
      </c>
      <c r="C733" s="116">
        <v>7.01</v>
      </c>
      <c r="D733" s="116">
        <v>6.88</v>
      </c>
      <c r="E733" s="116">
        <v>7.06</v>
      </c>
      <c r="F733" s="116">
        <v>35.049999999999997</v>
      </c>
      <c r="G733">
        <v>818957</v>
      </c>
      <c r="H733" s="116"/>
      <c r="I733" s="116"/>
      <c r="L733" s="170">
        <v>43080</v>
      </c>
      <c r="M733" s="116">
        <v>7.01</v>
      </c>
      <c r="N733" s="116">
        <v>7.13</v>
      </c>
      <c r="O733" s="116">
        <v>6.89</v>
      </c>
      <c r="P733" s="116">
        <v>7.05</v>
      </c>
      <c r="Q733" s="116">
        <v>35.049999999999997</v>
      </c>
      <c r="R733">
        <v>6746456</v>
      </c>
    </row>
    <row r="734" spans="1:18" x14ac:dyDescent="0.25">
      <c r="A734" s="170">
        <v>43081</v>
      </c>
      <c r="B734" s="116">
        <v>7.03</v>
      </c>
      <c r="C734" s="116">
        <v>6.95</v>
      </c>
      <c r="D734" s="116">
        <v>6.87</v>
      </c>
      <c r="E734" s="116">
        <v>7.01</v>
      </c>
      <c r="F734" s="116">
        <v>34.75</v>
      </c>
      <c r="G734">
        <v>796364</v>
      </c>
      <c r="H734" s="116"/>
      <c r="I734" s="116"/>
      <c r="L734" s="170">
        <v>43081</v>
      </c>
      <c r="M734" s="116">
        <v>6.95</v>
      </c>
      <c r="N734" s="116">
        <v>7.03</v>
      </c>
      <c r="O734" s="116">
        <v>6.87</v>
      </c>
      <c r="P734" s="116">
        <v>6.96</v>
      </c>
      <c r="Q734" s="116">
        <v>34.75</v>
      </c>
      <c r="R734">
        <v>14951388</v>
      </c>
    </row>
    <row r="735" spans="1:18" x14ac:dyDescent="0.25">
      <c r="A735" s="170">
        <v>43082</v>
      </c>
      <c r="B735" s="116">
        <v>7.14</v>
      </c>
      <c r="C735" s="116">
        <v>6.8</v>
      </c>
      <c r="D735" s="116">
        <v>6.75</v>
      </c>
      <c r="E735" s="116">
        <v>6.96</v>
      </c>
      <c r="F735" s="116">
        <v>34</v>
      </c>
      <c r="G735">
        <v>1555888</v>
      </c>
      <c r="H735" s="116"/>
      <c r="I735" s="116"/>
      <c r="L735" s="170">
        <v>43082</v>
      </c>
      <c r="M735" s="116">
        <v>6.82</v>
      </c>
      <c r="N735" s="116">
        <v>7.15</v>
      </c>
      <c r="O735" s="116">
        <v>6.75</v>
      </c>
      <c r="P735" s="116">
        <v>6.99</v>
      </c>
      <c r="Q735" s="116">
        <v>34.1</v>
      </c>
      <c r="R735">
        <v>19874996</v>
      </c>
    </row>
    <row r="736" spans="1:18" x14ac:dyDescent="0.25">
      <c r="A736" s="170">
        <v>43083</v>
      </c>
      <c r="B736" s="116">
        <v>6.9</v>
      </c>
      <c r="C736" s="116">
        <v>6.85</v>
      </c>
      <c r="D736" s="116">
        <v>6.7</v>
      </c>
      <c r="E736" s="116">
        <v>6.83</v>
      </c>
      <c r="F736" s="116">
        <v>34.25</v>
      </c>
      <c r="G736">
        <v>853965</v>
      </c>
      <c r="H736" s="116"/>
      <c r="I736" s="116"/>
      <c r="L736" s="170">
        <v>43083</v>
      </c>
      <c r="M736" s="116">
        <v>6.86</v>
      </c>
      <c r="N736" s="116">
        <v>6.92</v>
      </c>
      <c r="O736" s="116">
        <v>6.69</v>
      </c>
      <c r="P736" s="116">
        <v>6.82</v>
      </c>
      <c r="Q736" s="116">
        <v>34.299999999999997</v>
      </c>
      <c r="R736">
        <v>15491349</v>
      </c>
    </row>
    <row r="737" spans="1:18" x14ac:dyDescent="0.25">
      <c r="A737" s="170">
        <v>43084</v>
      </c>
      <c r="B737" s="116">
        <v>7.14</v>
      </c>
      <c r="C737" s="116">
        <v>7.05</v>
      </c>
      <c r="D737" s="116">
        <v>6.94</v>
      </c>
      <c r="E737" s="116">
        <v>7.05</v>
      </c>
      <c r="F737" s="116">
        <v>35.25</v>
      </c>
      <c r="G737">
        <v>1338644</v>
      </c>
      <c r="H737" s="116"/>
      <c r="I737" s="116"/>
      <c r="L737" s="170">
        <v>43084</v>
      </c>
      <c r="M737" s="116">
        <v>7.05</v>
      </c>
      <c r="N737" s="116">
        <v>7.15</v>
      </c>
      <c r="O737" s="116">
        <v>6.94</v>
      </c>
      <c r="P737" s="116">
        <v>7.04</v>
      </c>
      <c r="Q737" s="116">
        <v>35.25</v>
      </c>
      <c r="R737">
        <v>12852646</v>
      </c>
    </row>
    <row r="738" spans="1:18" x14ac:dyDescent="0.25">
      <c r="A738" s="170">
        <v>43087</v>
      </c>
      <c r="B738" s="116">
        <v>7.33</v>
      </c>
      <c r="C738" s="116">
        <v>7.11</v>
      </c>
      <c r="D738" s="116">
        <v>6.42</v>
      </c>
      <c r="E738" s="116">
        <v>6.99</v>
      </c>
      <c r="F738" s="116">
        <v>35.549999999999997</v>
      </c>
      <c r="G738">
        <v>4665866</v>
      </c>
      <c r="H738" s="116"/>
      <c r="I738" s="116"/>
      <c r="L738" s="170">
        <v>43087</v>
      </c>
      <c r="M738" s="116">
        <v>7.12</v>
      </c>
      <c r="N738" s="116">
        <v>7.34</v>
      </c>
      <c r="O738" s="116">
        <v>6.37</v>
      </c>
      <c r="P738" s="116">
        <v>6.9</v>
      </c>
      <c r="Q738" s="116">
        <v>35.6</v>
      </c>
      <c r="R738">
        <v>42047762</v>
      </c>
    </row>
    <row r="739" spans="1:18" x14ac:dyDescent="0.25">
      <c r="A739" s="170">
        <v>43088</v>
      </c>
      <c r="B739" s="116">
        <v>7.24</v>
      </c>
      <c r="C739" s="116">
        <v>7.07</v>
      </c>
      <c r="D739" s="116">
        <v>7.01</v>
      </c>
      <c r="E739" s="116">
        <v>7.2</v>
      </c>
      <c r="F739" s="116">
        <v>35.35</v>
      </c>
      <c r="G739">
        <v>1045680</v>
      </c>
      <c r="H739" s="116"/>
      <c r="I739" s="116"/>
      <c r="L739" s="170">
        <v>43088</v>
      </c>
      <c r="M739" s="116">
        <v>7.08</v>
      </c>
      <c r="N739" s="116">
        <v>7.23</v>
      </c>
      <c r="O739" s="116">
        <v>7</v>
      </c>
      <c r="P739" s="116">
        <v>7.16</v>
      </c>
      <c r="Q739" s="116">
        <v>35.4</v>
      </c>
      <c r="R739">
        <v>10630914</v>
      </c>
    </row>
    <row r="740" spans="1:18" x14ac:dyDescent="0.25">
      <c r="A740" s="170">
        <v>43089</v>
      </c>
      <c r="B740" s="116">
        <v>7.21</v>
      </c>
      <c r="C740" s="116">
        <v>7.12</v>
      </c>
      <c r="D740" s="116">
        <v>7.03</v>
      </c>
      <c r="E740" s="116">
        <v>7.07</v>
      </c>
      <c r="F740" s="116">
        <v>35.6</v>
      </c>
      <c r="G740">
        <v>1464438</v>
      </c>
      <c r="H740" s="116"/>
      <c r="I740" s="116"/>
      <c r="L740" s="170">
        <v>43089</v>
      </c>
      <c r="M740" s="116">
        <v>7.13</v>
      </c>
      <c r="N740" s="116">
        <v>7.24</v>
      </c>
      <c r="O740" s="116">
        <v>7.02</v>
      </c>
      <c r="P740" s="116">
        <v>7.08</v>
      </c>
      <c r="Q740" s="116">
        <v>35.65</v>
      </c>
      <c r="R740">
        <v>16904511</v>
      </c>
    </row>
    <row r="741" spans="1:18" x14ac:dyDescent="0.25">
      <c r="A741" s="170">
        <v>43090</v>
      </c>
      <c r="B741" s="116">
        <v>7.32</v>
      </c>
      <c r="C741" s="116">
        <v>7.28</v>
      </c>
      <c r="D741" s="116">
        <v>7.07</v>
      </c>
      <c r="E741" s="116">
        <v>7.13</v>
      </c>
      <c r="F741" s="116">
        <v>36.4</v>
      </c>
      <c r="G741">
        <v>1252451</v>
      </c>
      <c r="H741" s="116"/>
      <c r="I741" s="116"/>
      <c r="L741" s="170">
        <v>43090</v>
      </c>
      <c r="M741" s="116">
        <v>7.29</v>
      </c>
      <c r="N741" s="116">
        <v>7.33</v>
      </c>
      <c r="O741" s="116">
        <v>7.07</v>
      </c>
      <c r="P741" s="116">
        <v>7.13</v>
      </c>
      <c r="Q741" s="116">
        <v>36.450000000000003</v>
      </c>
      <c r="R741">
        <v>15892205</v>
      </c>
    </row>
    <row r="742" spans="1:18" x14ac:dyDescent="0.25">
      <c r="A742" s="170">
        <v>43091</v>
      </c>
      <c r="B742" s="116">
        <v>8</v>
      </c>
      <c r="C742" s="116">
        <v>7.74</v>
      </c>
      <c r="D742" s="116">
        <v>7.31</v>
      </c>
      <c r="E742" s="116">
        <v>7.39</v>
      </c>
      <c r="F742" s="116">
        <v>38.700000000000003</v>
      </c>
      <c r="G742">
        <v>5072286</v>
      </c>
      <c r="H742" s="116"/>
      <c r="I742" s="116"/>
      <c r="L742" s="170">
        <v>43091</v>
      </c>
      <c r="M742" s="116">
        <v>7.74</v>
      </c>
      <c r="N742" s="116">
        <v>8.01</v>
      </c>
      <c r="O742" s="116">
        <v>7.31</v>
      </c>
      <c r="P742" s="116">
        <v>7.35</v>
      </c>
      <c r="Q742" s="116">
        <v>38.700000000000003</v>
      </c>
      <c r="R742">
        <v>41365978</v>
      </c>
    </row>
    <row r="743" spans="1:18" x14ac:dyDescent="0.25">
      <c r="A743" s="170">
        <v>43095</v>
      </c>
      <c r="B743" s="116">
        <v>7.9</v>
      </c>
      <c r="C743" s="116">
        <v>7.85</v>
      </c>
      <c r="D743" s="116">
        <v>7.78</v>
      </c>
      <c r="E743" s="116">
        <v>7.89</v>
      </c>
      <c r="F743" s="116">
        <v>39.25</v>
      </c>
      <c r="G743">
        <v>1607933</v>
      </c>
      <c r="H743" s="116"/>
      <c r="I743" s="116"/>
      <c r="L743" s="170">
        <v>43095</v>
      </c>
      <c r="M743" s="116">
        <v>7.86</v>
      </c>
      <c r="N743" s="116">
        <v>7.91</v>
      </c>
      <c r="O743" s="116">
        <v>7.77</v>
      </c>
      <c r="P743" s="116">
        <v>7.88</v>
      </c>
      <c r="Q743" s="116">
        <v>39.299999999999997</v>
      </c>
      <c r="R743">
        <v>11735053</v>
      </c>
    </row>
    <row r="744" spans="1:18" x14ac:dyDescent="0.25">
      <c r="A744" s="170">
        <v>43096</v>
      </c>
      <c r="B744" s="116">
        <v>8.17</v>
      </c>
      <c r="C744" s="116">
        <v>8.1199999999999992</v>
      </c>
      <c r="D744" s="116">
        <v>7.83</v>
      </c>
      <c r="E744" s="116">
        <v>7.88</v>
      </c>
      <c r="F744" s="116">
        <v>40.6</v>
      </c>
      <c r="G744">
        <v>2617206</v>
      </c>
      <c r="H744" s="116"/>
      <c r="I744" s="116"/>
      <c r="L744" s="170">
        <v>43096</v>
      </c>
      <c r="M744" s="116">
        <v>8.1300000000000008</v>
      </c>
      <c r="N744" s="116">
        <v>8.18</v>
      </c>
      <c r="O744" s="116">
        <v>7.82</v>
      </c>
      <c r="P744" s="116">
        <v>7.91</v>
      </c>
      <c r="Q744" s="116">
        <v>40.65</v>
      </c>
      <c r="R744">
        <v>19252725</v>
      </c>
    </row>
    <row r="745" spans="1:18" x14ac:dyDescent="0.25">
      <c r="A745" s="170">
        <v>43097</v>
      </c>
      <c r="B745" s="116">
        <v>8.27</v>
      </c>
      <c r="C745" s="116">
        <v>8.14</v>
      </c>
      <c r="D745" s="116">
        <v>8.0299999999999994</v>
      </c>
      <c r="E745" s="116">
        <v>8.24</v>
      </c>
      <c r="F745" s="116">
        <v>40.700000000000003</v>
      </c>
      <c r="G745">
        <v>1956506</v>
      </c>
      <c r="H745" s="116"/>
      <c r="I745" s="116"/>
      <c r="L745" s="170">
        <v>43097</v>
      </c>
      <c r="M745" s="116">
        <v>8.14</v>
      </c>
      <c r="N745" s="116">
        <v>8.26</v>
      </c>
      <c r="O745" s="116">
        <v>8.0299999999999994</v>
      </c>
      <c r="P745" s="116">
        <v>8.1999999999999993</v>
      </c>
      <c r="Q745" s="116">
        <v>40.700000000000003</v>
      </c>
      <c r="R745">
        <v>19253735</v>
      </c>
    </row>
    <row r="746" spans="1:18" x14ac:dyDescent="0.25">
      <c r="A746" s="170">
        <v>43098</v>
      </c>
      <c r="B746" s="116">
        <v>8.42</v>
      </c>
      <c r="C746" s="116">
        <v>8.33</v>
      </c>
      <c r="D746" s="116">
        <v>8.1199999999999992</v>
      </c>
      <c r="E746" s="116">
        <v>8.24</v>
      </c>
      <c r="F746" s="116">
        <v>41.65</v>
      </c>
      <c r="G746">
        <v>2123805</v>
      </c>
      <c r="H746" s="116"/>
      <c r="I746" s="116"/>
      <c r="L746" s="170">
        <v>43098</v>
      </c>
      <c r="M746" s="116">
        <v>8.34</v>
      </c>
      <c r="N746" s="116">
        <v>8.42</v>
      </c>
      <c r="O746" s="116">
        <v>8.1199999999999992</v>
      </c>
      <c r="P746" s="116">
        <v>8.16</v>
      </c>
      <c r="Q746" s="116">
        <v>41.7</v>
      </c>
      <c r="R746">
        <v>13477195</v>
      </c>
    </row>
    <row r="747" spans="1:18" x14ac:dyDescent="0.25">
      <c r="A747" s="170">
        <v>43101</v>
      </c>
      <c r="B747" s="116">
        <v>9.02</v>
      </c>
      <c r="C747" s="116">
        <v>8.5299999999999994</v>
      </c>
      <c r="D747" s="116">
        <v>8.2100000000000009</v>
      </c>
      <c r="E747" s="116">
        <v>8.4</v>
      </c>
      <c r="F747" s="116">
        <v>42.65</v>
      </c>
      <c r="G747">
        <v>5960917</v>
      </c>
      <c r="H747" s="116"/>
      <c r="I747" s="116"/>
      <c r="L747" s="170">
        <v>43101</v>
      </c>
      <c r="M747" s="116">
        <v>8.52</v>
      </c>
      <c r="N747" s="116">
        <v>9.0399999999999991</v>
      </c>
      <c r="O747" s="116">
        <v>8.18</v>
      </c>
      <c r="P747" s="116">
        <v>8.32</v>
      </c>
      <c r="Q747" s="116">
        <v>42.6</v>
      </c>
      <c r="R747">
        <v>34368848</v>
      </c>
    </row>
    <row r="748" spans="1:18" x14ac:dyDescent="0.25">
      <c r="A748" s="170">
        <v>43102</v>
      </c>
      <c r="B748" s="116">
        <v>8.84</v>
      </c>
      <c r="C748" s="116">
        <v>8.67</v>
      </c>
      <c r="D748" s="116">
        <v>8.2799999999999994</v>
      </c>
      <c r="E748" s="116">
        <v>8.6</v>
      </c>
      <c r="F748" s="116">
        <v>43.35</v>
      </c>
      <c r="G748">
        <v>4766844</v>
      </c>
      <c r="H748" s="116"/>
      <c r="I748" s="116"/>
      <c r="L748" s="170">
        <v>43102</v>
      </c>
      <c r="M748" s="116">
        <v>8.67</v>
      </c>
      <c r="N748" s="116">
        <v>8.85</v>
      </c>
      <c r="O748" s="116">
        <v>8.2799999999999994</v>
      </c>
      <c r="P748" s="116">
        <v>8.58</v>
      </c>
      <c r="Q748" s="116">
        <v>43.35</v>
      </c>
      <c r="R748">
        <v>25849963</v>
      </c>
    </row>
    <row r="749" spans="1:18" x14ac:dyDescent="0.25">
      <c r="A749" s="170">
        <v>43103</v>
      </c>
      <c r="B749" s="116">
        <v>9</v>
      </c>
      <c r="C749" s="116">
        <v>8.85</v>
      </c>
      <c r="D749" s="116">
        <v>8.74</v>
      </c>
      <c r="E749" s="116">
        <v>8.7799999999999994</v>
      </c>
      <c r="F749" s="116">
        <v>44.25</v>
      </c>
      <c r="G749">
        <v>3500137</v>
      </c>
      <c r="H749" s="116"/>
      <c r="I749" s="116"/>
      <c r="L749" s="170">
        <v>43103</v>
      </c>
      <c r="M749" s="116">
        <v>8.85</v>
      </c>
      <c r="N749" s="116">
        <v>9</v>
      </c>
      <c r="O749" s="116">
        <v>8.7200000000000006</v>
      </c>
      <c r="P749" s="116">
        <v>8.74</v>
      </c>
      <c r="Q749" s="116">
        <v>44.25</v>
      </c>
      <c r="R749">
        <v>36109485</v>
      </c>
    </row>
    <row r="750" spans="1:18" x14ac:dyDescent="0.25">
      <c r="A750" s="170">
        <v>43104</v>
      </c>
      <c r="B750" s="116">
        <v>8.9600000000000009</v>
      </c>
      <c r="C750" s="116">
        <v>8.84</v>
      </c>
      <c r="D750" s="116">
        <v>8.75</v>
      </c>
      <c r="E750" s="116">
        <v>8.86</v>
      </c>
      <c r="F750" s="116">
        <v>44.2</v>
      </c>
      <c r="G750">
        <v>1787134</v>
      </c>
      <c r="H750" s="116"/>
      <c r="I750" s="116"/>
      <c r="L750" s="170">
        <v>43104</v>
      </c>
      <c r="M750" s="116">
        <v>8.85</v>
      </c>
      <c r="N750" s="116">
        <v>8.9600000000000009</v>
      </c>
      <c r="O750" s="116">
        <v>8.75</v>
      </c>
      <c r="P750" s="116">
        <v>8.92</v>
      </c>
      <c r="Q750" s="116">
        <v>44.25</v>
      </c>
      <c r="R750">
        <v>27294014</v>
      </c>
    </row>
    <row r="751" spans="1:18" x14ac:dyDescent="0.25">
      <c r="A751" s="170">
        <v>43105</v>
      </c>
      <c r="B751" s="116">
        <v>9.44</v>
      </c>
      <c r="C751" s="116">
        <v>9.2799999999999994</v>
      </c>
      <c r="D751" s="116">
        <v>8.84</v>
      </c>
      <c r="E751" s="116">
        <v>8.93</v>
      </c>
      <c r="F751" s="116">
        <v>46.4</v>
      </c>
      <c r="G751">
        <v>4794371</v>
      </c>
      <c r="H751" s="116"/>
      <c r="I751" s="116"/>
      <c r="L751" s="170">
        <v>43105</v>
      </c>
      <c r="M751" s="116">
        <v>9.2799999999999994</v>
      </c>
      <c r="N751" s="116">
        <v>9.4499999999999993</v>
      </c>
      <c r="O751" s="116">
        <v>8.84</v>
      </c>
      <c r="P751" s="116">
        <v>8.84</v>
      </c>
      <c r="Q751" s="116">
        <v>46.4</v>
      </c>
      <c r="R751">
        <v>47663047</v>
      </c>
    </row>
    <row r="752" spans="1:18" x14ac:dyDescent="0.25">
      <c r="A752" s="170">
        <v>43108</v>
      </c>
      <c r="B752" s="116">
        <v>9.5500000000000007</v>
      </c>
      <c r="C752" s="116">
        <v>9.3699999999999992</v>
      </c>
      <c r="D752" s="116">
        <v>9.31</v>
      </c>
      <c r="E752" s="116">
        <v>9.41</v>
      </c>
      <c r="F752" s="116">
        <v>46.85</v>
      </c>
      <c r="G752">
        <v>2163655</v>
      </c>
      <c r="H752" s="116"/>
      <c r="I752" s="116"/>
      <c r="L752" s="170">
        <v>43108</v>
      </c>
      <c r="M752" s="116">
        <v>9.39</v>
      </c>
      <c r="N752" s="116">
        <v>9.56</v>
      </c>
      <c r="O752" s="116">
        <v>9.3000000000000007</v>
      </c>
      <c r="P752" s="116">
        <v>9.41</v>
      </c>
      <c r="Q752" s="116">
        <v>46.95</v>
      </c>
      <c r="R752">
        <v>14597285</v>
      </c>
    </row>
    <row r="753" spans="1:18" x14ac:dyDescent="0.25">
      <c r="A753" s="170">
        <v>43109</v>
      </c>
      <c r="B753" s="116">
        <v>9.4600000000000009</v>
      </c>
      <c r="C753" s="116">
        <v>9.1999999999999993</v>
      </c>
      <c r="D753" s="116">
        <v>9.01</v>
      </c>
      <c r="E753" s="116">
        <v>9.42</v>
      </c>
      <c r="F753" s="116">
        <v>46</v>
      </c>
      <c r="G753">
        <v>2929697</v>
      </c>
      <c r="H753" s="116"/>
      <c r="I753" s="116"/>
      <c r="L753" s="170">
        <v>43109</v>
      </c>
      <c r="M753" s="116">
        <v>9.2200000000000006</v>
      </c>
      <c r="N753" s="116">
        <v>9.4499999999999993</v>
      </c>
      <c r="O753" s="116">
        <v>9.01</v>
      </c>
      <c r="P753" s="116">
        <v>9.4499999999999993</v>
      </c>
      <c r="Q753" s="116">
        <v>46.1</v>
      </c>
      <c r="R753">
        <v>18805004</v>
      </c>
    </row>
    <row r="754" spans="1:18" x14ac:dyDescent="0.25">
      <c r="A754" s="170">
        <v>43110</v>
      </c>
      <c r="B754" s="116">
        <v>9.48</v>
      </c>
      <c r="C754" s="116">
        <v>9.27</v>
      </c>
      <c r="D754" s="116">
        <v>9.14</v>
      </c>
      <c r="E754" s="116">
        <v>9.32</v>
      </c>
      <c r="F754" s="116">
        <v>46.35</v>
      </c>
      <c r="G754">
        <v>2584671</v>
      </c>
      <c r="H754" s="116"/>
      <c r="I754" s="116"/>
      <c r="L754" s="170">
        <v>43110</v>
      </c>
      <c r="M754" s="116">
        <v>9.26</v>
      </c>
      <c r="N754" s="116">
        <v>9.48</v>
      </c>
      <c r="O754" s="116">
        <v>9.1199999999999992</v>
      </c>
      <c r="P754" s="116">
        <v>9.31</v>
      </c>
      <c r="Q754" s="116">
        <v>46.3</v>
      </c>
      <c r="R754">
        <v>16415241</v>
      </c>
    </row>
    <row r="755" spans="1:18" x14ac:dyDescent="0.25">
      <c r="A755" s="170">
        <v>43111</v>
      </c>
      <c r="B755" s="116">
        <v>9.35</v>
      </c>
      <c r="C755" s="116">
        <v>9.2200000000000006</v>
      </c>
      <c r="D755" s="116">
        <v>9.1199999999999992</v>
      </c>
      <c r="E755" s="116">
        <v>9.2200000000000006</v>
      </c>
      <c r="F755" s="116">
        <v>46.1</v>
      </c>
      <c r="G755">
        <v>2419862</v>
      </c>
      <c r="H755" s="116"/>
      <c r="I755" s="116"/>
      <c r="L755" s="170">
        <v>43111</v>
      </c>
      <c r="M755" s="116">
        <v>9.2200000000000006</v>
      </c>
      <c r="N755" s="116">
        <v>9.36</v>
      </c>
      <c r="O755" s="116">
        <v>9.11</v>
      </c>
      <c r="P755" s="116">
        <v>9.1999999999999993</v>
      </c>
      <c r="Q755" s="116">
        <v>46.1</v>
      </c>
      <c r="R755">
        <v>10693105</v>
      </c>
    </row>
    <row r="756" spans="1:18" x14ac:dyDescent="0.25">
      <c r="A756" s="170">
        <v>43112</v>
      </c>
      <c r="B756" s="116">
        <v>9.31</v>
      </c>
      <c r="C756" s="116">
        <v>8.9600000000000009</v>
      </c>
      <c r="D756" s="116">
        <v>8.67</v>
      </c>
      <c r="E756" s="116">
        <v>9.25</v>
      </c>
      <c r="F756" s="116">
        <v>44.8</v>
      </c>
      <c r="G756">
        <v>3244789</v>
      </c>
      <c r="H756" s="116"/>
      <c r="I756" s="116"/>
      <c r="L756" s="170">
        <v>43112</v>
      </c>
      <c r="M756" s="116">
        <v>8.9499999999999993</v>
      </c>
      <c r="N756" s="116">
        <v>9.32</v>
      </c>
      <c r="O756" s="116">
        <v>8.65</v>
      </c>
      <c r="P756" s="116">
        <v>9.25</v>
      </c>
      <c r="Q756" s="116">
        <v>44.75</v>
      </c>
      <c r="R756">
        <v>16528799</v>
      </c>
    </row>
    <row r="757" spans="1:18" x14ac:dyDescent="0.25">
      <c r="A757" s="170">
        <v>43115</v>
      </c>
      <c r="B757" s="116">
        <v>9.07</v>
      </c>
      <c r="C757" s="116">
        <v>8.85</v>
      </c>
      <c r="D757" s="116">
        <v>8.77</v>
      </c>
      <c r="E757" s="116">
        <v>9</v>
      </c>
      <c r="F757" s="116">
        <v>44.25</v>
      </c>
      <c r="G757">
        <v>2132695</v>
      </c>
      <c r="H757" s="116"/>
      <c r="I757" s="116"/>
      <c r="L757" s="170">
        <v>43115</v>
      </c>
      <c r="M757" s="116">
        <v>8.84</v>
      </c>
      <c r="N757" s="116">
        <v>9.07</v>
      </c>
      <c r="O757" s="116">
        <v>8.7799999999999994</v>
      </c>
      <c r="P757" s="116">
        <v>8.98</v>
      </c>
      <c r="Q757" s="116">
        <v>44.2</v>
      </c>
      <c r="R757">
        <v>10431743</v>
      </c>
    </row>
    <row r="758" spans="1:18" x14ac:dyDescent="0.25">
      <c r="A758" s="170">
        <v>43116</v>
      </c>
      <c r="B758" s="116">
        <v>8.94</v>
      </c>
      <c r="C758" s="116">
        <v>8.4499999999999993</v>
      </c>
      <c r="D758" s="116">
        <v>8.33</v>
      </c>
      <c r="E758" s="116">
        <v>8.85</v>
      </c>
      <c r="F758" s="116">
        <v>42.25</v>
      </c>
      <c r="G758">
        <v>2023598</v>
      </c>
      <c r="H758" s="116"/>
      <c r="I758" s="116"/>
      <c r="L758" s="170">
        <v>43116</v>
      </c>
      <c r="M758" s="116">
        <v>8.4499999999999993</v>
      </c>
      <c r="N758" s="116">
        <v>8.93</v>
      </c>
      <c r="O758" s="116">
        <v>8.32</v>
      </c>
      <c r="P758" s="116">
        <v>8.9</v>
      </c>
      <c r="Q758" s="116">
        <v>42.25</v>
      </c>
      <c r="R758">
        <v>10240202</v>
      </c>
    </row>
    <row r="759" spans="1:18" x14ac:dyDescent="0.25">
      <c r="A759" s="170">
        <v>43117</v>
      </c>
      <c r="B759" s="116">
        <v>8.43</v>
      </c>
      <c r="C759" s="116">
        <v>8.14</v>
      </c>
      <c r="D759" s="116">
        <v>7.95</v>
      </c>
      <c r="E759" s="116">
        <v>8.4</v>
      </c>
      <c r="F759" s="116">
        <v>40.700000000000003</v>
      </c>
      <c r="G759">
        <v>4331746</v>
      </c>
      <c r="H759" s="116"/>
      <c r="I759" s="116"/>
      <c r="L759" s="170">
        <v>43117</v>
      </c>
      <c r="M759" s="116">
        <v>8.15</v>
      </c>
      <c r="N759" s="116">
        <v>8.44</v>
      </c>
      <c r="O759" s="116">
        <v>7.95</v>
      </c>
      <c r="P759" s="116">
        <v>8.44</v>
      </c>
      <c r="Q759" s="116">
        <v>40.75</v>
      </c>
      <c r="R759">
        <v>28185993</v>
      </c>
    </row>
    <row r="760" spans="1:18" x14ac:dyDescent="0.25">
      <c r="A760" s="170">
        <v>43118</v>
      </c>
      <c r="B760" s="116">
        <v>8.1999999999999993</v>
      </c>
      <c r="C760" s="116">
        <v>7.39</v>
      </c>
      <c r="D760" s="116">
        <v>7.26</v>
      </c>
      <c r="E760" s="116">
        <v>8.14</v>
      </c>
      <c r="F760" s="116">
        <v>36.950000000000003</v>
      </c>
      <c r="G760">
        <v>6420608</v>
      </c>
      <c r="H760" s="116"/>
      <c r="I760" s="116"/>
      <c r="L760" s="170">
        <v>43118</v>
      </c>
      <c r="M760" s="116">
        <v>7.39</v>
      </c>
      <c r="N760" s="116">
        <v>8.1999999999999993</v>
      </c>
      <c r="O760" s="116">
        <v>7.25</v>
      </c>
      <c r="P760" s="116">
        <v>8.19</v>
      </c>
      <c r="Q760" s="116">
        <v>36.950000000000003</v>
      </c>
      <c r="R760">
        <v>43309803</v>
      </c>
    </row>
    <row r="761" spans="1:18" x14ac:dyDescent="0.25">
      <c r="A761" s="170">
        <v>43119</v>
      </c>
      <c r="B761" s="116">
        <v>7.65</v>
      </c>
      <c r="C761" s="116">
        <v>7.6</v>
      </c>
      <c r="D761" s="116">
        <v>7.2</v>
      </c>
      <c r="E761" s="116">
        <v>7.4</v>
      </c>
      <c r="F761" s="116">
        <v>38</v>
      </c>
      <c r="G761">
        <v>2307760</v>
      </c>
      <c r="H761" s="116"/>
      <c r="I761" s="116"/>
      <c r="L761" s="170">
        <v>43119</v>
      </c>
      <c r="M761" s="116">
        <v>7.61</v>
      </c>
      <c r="N761" s="116">
        <v>7.65</v>
      </c>
      <c r="O761" s="116">
        <v>7.21</v>
      </c>
      <c r="P761" s="116">
        <v>7.34</v>
      </c>
      <c r="Q761" s="116">
        <v>38.049999999999997</v>
      </c>
      <c r="R761">
        <v>15908701</v>
      </c>
    </row>
    <row r="762" spans="1:18" x14ac:dyDescent="0.25">
      <c r="A762" s="170">
        <v>43122</v>
      </c>
      <c r="B762" s="116">
        <v>7.74</v>
      </c>
      <c r="C762" s="116">
        <v>7.51</v>
      </c>
      <c r="D762" s="116">
        <v>7.34</v>
      </c>
      <c r="E762" s="116">
        <v>7.74</v>
      </c>
      <c r="F762" s="116">
        <v>37.549999999999997</v>
      </c>
      <c r="G762">
        <v>2111797</v>
      </c>
      <c r="H762" s="116"/>
      <c r="I762" s="116"/>
      <c r="L762" s="170">
        <v>43122</v>
      </c>
      <c r="M762" s="116">
        <v>7.52</v>
      </c>
      <c r="N762" s="116">
        <v>7.66</v>
      </c>
      <c r="O762" s="116">
        <v>7.32</v>
      </c>
      <c r="P762" s="116">
        <v>7.62</v>
      </c>
      <c r="Q762" s="116">
        <v>37.6</v>
      </c>
      <c r="R762">
        <v>21712302</v>
      </c>
    </row>
    <row r="763" spans="1:18" x14ac:dyDescent="0.25">
      <c r="A763" s="170">
        <v>43123</v>
      </c>
      <c r="B763" s="116">
        <v>7.76</v>
      </c>
      <c r="C763" s="116">
        <v>7.65</v>
      </c>
      <c r="D763" s="116">
        <v>7.4</v>
      </c>
      <c r="E763" s="116">
        <v>7.4</v>
      </c>
      <c r="F763" s="116">
        <v>38.25</v>
      </c>
      <c r="G763">
        <v>1791226</v>
      </c>
      <c r="H763" s="116"/>
      <c r="I763" s="116"/>
      <c r="L763" s="170">
        <v>43123</v>
      </c>
      <c r="M763" s="116">
        <v>7.65</v>
      </c>
      <c r="N763" s="116">
        <v>7.76</v>
      </c>
      <c r="O763" s="116">
        <v>7.46</v>
      </c>
      <c r="P763" s="116">
        <v>7.46</v>
      </c>
      <c r="Q763" s="116">
        <v>38.25</v>
      </c>
      <c r="R763">
        <v>27045728</v>
      </c>
    </row>
    <row r="764" spans="1:18" x14ac:dyDescent="0.25">
      <c r="A764" s="170">
        <v>43124</v>
      </c>
      <c r="B764" s="116">
        <v>7.63</v>
      </c>
      <c r="C764" s="116">
        <v>7.5</v>
      </c>
      <c r="D764" s="116">
        <v>7.43</v>
      </c>
      <c r="E764" s="116">
        <v>7.6</v>
      </c>
      <c r="F764" s="116">
        <v>37.5</v>
      </c>
      <c r="G764">
        <v>1450829</v>
      </c>
      <c r="H764" s="116"/>
      <c r="I764" s="116"/>
      <c r="L764" s="170">
        <v>43124</v>
      </c>
      <c r="M764" s="116">
        <v>7.5</v>
      </c>
      <c r="N764" s="116">
        <v>7.64</v>
      </c>
      <c r="O764" s="116">
        <v>7.43</v>
      </c>
      <c r="P764" s="116">
        <v>7.59</v>
      </c>
      <c r="Q764" s="116">
        <v>37.5</v>
      </c>
      <c r="R764">
        <v>20321364</v>
      </c>
    </row>
    <row r="765" spans="1:18" x14ac:dyDescent="0.25">
      <c r="A765" s="170">
        <v>43125</v>
      </c>
      <c r="B765" s="116">
        <v>7.73</v>
      </c>
      <c r="C765" s="116">
        <v>7.64</v>
      </c>
      <c r="D765" s="116">
        <v>7.34</v>
      </c>
      <c r="E765" s="116">
        <v>7.55</v>
      </c>
      <c r="F765" s="116">
        <v>38.200000000000003</v>
      </c>
      <c r="G765">
        <v>1237135</v>
      </c>
      <c r="H765" s="116"/>
      <c r="I765" s="116"/>
      <c r="L765" s="170">
        <v>43125</v>
      </c>
      <c r="M765" s="116">
        <v>7.64</v>
      </c>
      <c r="N765" s="116">
        <v>7.75</v>
      </c>
      <c r="O765" s="116">
        <v>7.33</v>
      </c>
      <c r="P765" s="116">
        <v>7.5</v>
      </c>
      <c r="Q765" s="116">
        <v>38.200000000000003</v>
      </c>
      <c r="R765">
        <v>25236607</v>
      </c>
    </row>
    <row r="766" spans="1:18" x14ac:dyDescent="0.25">
      <c r="A766" s="170">
        <v>43129</v>
      </c>
      <c r="B766" s="116">
        <v>7.64</v>
      </c>
      <c r="C766" s="116">
        <v>7.39</v>
      </c>
      <c r="D766" s="116">
        <v>7.35</v>
      </c>
      <c r="E766" s="116">
        <v>7.6</v>
      </c>
      <c r="F766" s="116">
        <v>36.950000000000003</v>
      </c>
      <c r="G766">
        <v>919548</v>
      </c>
      <c r="H766" s="116"/>
      <c r="I766" s="116"/>
      <c r="L766" s="170">
        <v>43129</v>
      </c>
      <c r="M766" s="116">
        <v>7.4</v>
      </c>
      <c r="N766" s="116">
        <v>7.64</v>
      </c>
      <c r="O766" s="116">
        <v>7.36</v>
      </c>
      <c r="P766" s="116">
        <v>7.64</v>
      </c>
      <c r="Q766" s="116">
        <v>37</v>
      </c>
      <c r="R766">
        <v>7520511</v>
      </c>
    </row>
    <row r="767" spans="1:18" x14ac:dyDescent="0.25">
      <c r="A767" s="170">
        <v>43130</v>
      </c>
      <c r="B767" s="116">
        <v>7.62</v>
      </c>
      <c r="C767" s="116">
        <v>7.47</v>
      </c>
      <c r="D767" s="116">
        <v>7</v>
      </c>
      <c r="E767" s="116">
        <v>7.3</v>
      </c>
      <c r="F767" s="116">
        <v>37.35</v>
      </c>
      <c r="G767">
        <v>1754060</v>
      </c>
      <c r="H767" s="116"/>
      <c r="I767" s="116"/>
      <c r="L767" s="170">
        <v>43130</v>
      </c>
      <c r="M767" s="116">
        <v>7.49</v>
      </c>
      <c r="N767" s="116">
        <v>7.64</v>
      </c>
      <c r="O767" s="116">
        <v>7.2</v>
      </c>
      <c r="P767" s="116">
        <v>7.36</v>
      </c>
      <c r="Q767" s="116">
        <v>37.450000000000003</v>
      </c>
      <c r="R767">
        <v>19387251</v>
      </c>
    </row>
    <row r="768" spans="1:18" x14ac:dyDescent="0.25">
      <c r="A768" s="170">
        <v>43131</v>
      </c>
      <c r="B768" s="116">
        <v>7.65</v>
      </c>
      <c r="C768" s="116">
        <v>7.33</v>
      </c>
      <c r="D768" s="116">
        <v>7.24</v>
      </c>
      <c r="E768" s="116">
        <v>7.47</v>
      </c>
      <c r="F768" s="116">
        <v>36.65</v>
      </c>
      <c r="G768">
        <v>1208632</v>
      </c>
      <c r="H768" s="116"/>
      <c r="I768" s="116"/>
      <c r="L768" s="170">
        <v>43131</v>
      </c>
      <c r="M768" s="116">
        <v>7.33</v>
      </c>
      <c r="N768" s="116">
        <v>7.65</v>
      </c>
      <c r="O768" s="116">
        <v>7.22</v>
      </c>
      <c r="P768" s="116">
        <v>7.41</v>
      </c>
      <c r="Q768" s="116">
        <v>36.65</v>
      </c>
      <c r="R768">
        <v>10959615</v>
      </c>
    </row>
    <row r="769" spans="1:18" x14ac:dyDescent="0.25">
      <c r="A769" s="170">
        <v>43132</v>
      </c>
      <c r="B769" s="116">
        <v>7.46</v>
      </c>
      <c r="C769" s="116">
        <v>7.36</v>
      </c>
      <c r="D769" s="116">
        <v>6.98</v>
      </c>
      <c r="E769" s="116">
        <v>7.3</v>
      </c>
      <c r="F769" s="116">
        <v>36.799999999999997</v>
      </c>
      <c r="G769">
        <v>1464007</v>
      </c>
      <c r="H769" s="116"/>
      <c r="I769" s="116"/>
      <c r="L769" s="170">
        <v>43132</v>
      </c>
      <c r="M769" s="116">
        <v>7.35</v>
      </c>
      <c r="N769" s="116">
        <v>7.45</v>
      </c>
      <c r="O769" s="116">
        <v>6.94</v>
      </c>
      <c r="P769" s="116">
        <v>7.34</v>
      </c>
      <c r="Q769" s="116">
        <v>36.75</v>
      </c>
      <c r="R769">
        <v>10904549</v>
      </c>
    </row>
    <row r="770" spans="1:18" x14ac:dyDescent="0.25">
      <c r="A770" s="170">
        <v>43133</v>
      </c>
      <c r="B770" s="116">
        <v>7.34</v>
      </c>
      <c r="C770" s="116">
        <v>6.54</v>
      </c>
      <c r="D770" s="116">
        <v>6.37</v>
      </c>
      <c r="E770" s="116">
        <v>7.34</v>
      </c>
      <c r="F770" s="116">
        <v>32.700000000000003</v>
      </c>
      <c r="G770">
        <v>2808831</v>
      </c>
      <c r="H770" s="116"/>
      <c r="I770" s="116"/>
      <c r="L770" s="170">
        <v>43133</v>
      </c>
      <c r="M770" s="116">
        <v>6.54</v>
      </c>
      <c r="N770" s="116">
        <v>7.27</v>
      </c>
      <c r="O770" s="116">
        <v>6.39</v>
      </c>
      <c r="P770" s="116">
        <v>7.2</v>
      </c>
      <c r="Q770" s="116">
        <v>32.700000000000003</v>
      </c>
      <c r="R770">
        <v>17433690</v>
      </c>
    </row>
    <row r="771" spans="1:18" x14ac:dyDescent="0.25">
      <c r="A771" s="170">
        <v>43136</v>
      </c>
      <c r="B771" s="116">
        <v>6.69</v>
      </c>
      <c r="C771" s="116">
        <v>6.57</v>
      </c>
      <c r="D771" s="116">
        <v>6.03</v>
      </c>
      <c r="E771" s="116">
        <v>6.54</v>
      </c>
      <c r="F771" s="116">
        <v>32.85</v>
      </c>
      <c r="G771">
        <v>1539043</v>
      </c>
      <c r="H771" s="116"/>
      <c r="I771" s="116"/>
      <c r="L771" s="170">
        <v>43136</v>
      </c>
      <c r="M771" s="116">
        <v>6.54</v>
      </c>
      <c r="N771" s="116">
        <v>6.69</v>
      </c>
      <c r="O771" s="116">
        <v>6.03</v>
      </c>
      <c r="P771" s="116">
        <v>6.39</v>
      </c>
      <c r="Q771" s="116">
        <v>32.700000000000003</v>
      </c>
      <c r="R771">
        <v>15384812</v>
      </c>
    </row>
    <row r="772" spans="1:18" x14ac:dyDescent="0.25">
      <c r="A772" s="170">
        <v>43137</v>
      </c>
      <c r="B772" s="116">
        <v>6.48</v>
      </c>
      <c r="C772" s="116">
        <v>6.33</v>
      </c>
      <c r="D772" s="116">
        <v>5.92</v>
      </c>
      <c r="E772" s="116">
        <v>6.48</v>
      </c>
      <c r="F772" s="116">
        <v>31.65</v>
      </c>
      <c r="G772">
        <v>1825869</v>
      </c>
      <c r="H772" s="116"/>
      <c r="I772" s="116"/>
      <c r="L772" s="170">
        <v>43137</v>
      </c>
      <c r="M772" s="116">
        <v>6.32</v>
      </c>
      <c r="N772" s="116">
        <v>6.44</v>
      </c>
      <c r="O772" s="116">
        <v>5.89</v>
      </c>
      <c r="P772" s="116">
        <v>6.2</v>
      </c>
      <c r="Q772" s="116">
        <v>31.6</v>
      </c>
      <c r="R772">
        <v>15347398</v>
      </c>
    </row>
    <row r="773" spans="1:18" x14ac:dyDescent="0.25">
      <c r="A773" s="170">
        <v>43138</v>
      </c>
      <c r="B773" s="116">
        <v>6.54</v>
      </c>
      <c r="C773" s="116">
        <v>6.39</v>
      </c>
      <c r="D773" s="116">
        <v>6.33</v>
      </c>
      <c r="E773" s="116">
        <v>6.44</v>
      </c>
      <c r="F773" s="116">
        <v>31.95</v>
      </c>
      <c r="G773">
        <v>1858726</v>
      </c>
      <c r="H773" s="116"/>
      <c r="I773" s="116"/>
      <c r="L773" s="170">
        <v>43138</v>
      </c>
      <c r="M773" s="116">
        <v>6.4</v>
      </c>
      <c r="N773" s="116">
        <v>6.56</v>
      </c>
      <c r="O773" s="116">
        <v>6.32</v>
      </c>
      <c r="P773" s="116">
        <v>6.56</v>
      </c>
      <c r="Q773" s="116">
        <v>32</v>
      </c>
      <c r="R773">
        <v>11468909</v>
      </c>
    </row>
    <row r="774" spans="1:18" x14ac:dyDescent="0.25">
      <c r="A774" s="170">
        <v>43139</v>
      </c>
      <c r="B774" s="116">
        <v>6.67</v>
      </c>
      <c r="C774" s="116">
        <v>6.57</v>
      </c>
      <c r="D774" s="116">
        <v>6.43</v>
      </c>
      <c r="E774" s="116">
        <v>6.49</v>
      </c>
      <c r="F774" s="116">
        <v>32.85</v>
      </c>
      <c r="G774">
        <v>1179102</v>
      </c>
      <c r="H774" s="116"/>
      <c r="I774" s="116"/>
      <c r="L774" s="170">
        <v>43139</v>
      </c>
      <c r="M774" s="116">
        <v>6.56</v>
      </c>
      <c r="N774" s="116">
        <v>6.68</v>
      </c>
      <c r="O774" s="116">
        <v>6.43</v>
      </c>
      <c r="P774" s="116">
        <v>6.5</v>
      </c>
      <c r="Q774" s="116">
        <v>32.799999999999997</v>
      </c>
      <c r="R774">
        <v>9392734</v>
      </c>
    </row>
    <row r="775" spans="1:18" x14ac:dyDescent="0.25">
      <c r="A775" s="170">
        <v>43140</v>
      </c>
      <c r="B775" s="116">
        <v>6.91</v>
      </c>
      <c r="C775" s="116">
        <v>6.76</v>
      </c>
      <c r="D775" s="116">
        <v>6.31</v>
      </c>
      <c r="E775" s="116">
        <v>6.48</v>
      </c>
      <c r="F775" s="116">
        <v>33.799999999999997</v>
      </c>
      <c r="G775">
        <v>1509633</v>
      </c>
      <c r="H775" s="116"/>
      <c r="I775" s="116"/>
      <c r="L775" s="170">
        <v>43140</v>
      </c>
      <c r="M775" s="116">
        <v>6.76</v>
      </c>
      <c r="N775" s="116">
        <v>6.92</v>
      </c>
      <c r="O775" s="116">
        <v>6.3</v>
      </c>
      <c r="P775" s="116">
        <v>6.4</v>
      </c>
      <c r="Q775" s="116">
        <v>33.799999999999997</v>
      </c>
      <c r="R775">
        <v>13839094</v>
      </c>
    </row>
    <row r="776" spans="1:18" x14ac:dyDescent="0.25">
      <c r="A776" s="170">
        <v>43143</v>
      </c>
      <c r="B776" s="116">
        <v>6.88</v>
      </c>
      <c r="C776" s="116">
        <v>6.8</v>
      </c>
      <c r="D776" s="116">
        <v>6.68</v>
      </c>
      <c r="E776" s="116">
        <v>6.76</v>
      </c>
      <c r="F776" s="116">
        <v>34</v>
      </c>
      <c r="G776">
        <v>892874</v>
      </c>
      <c r="H776" s="116"/>
      <c r="I776" s="116"/>
      <c r="L776" s="170">
        <v>43143</v>
      </c>
      <c r="M776" s="116">
        <v>6.8</v>
      </c>
      <c r="N776" s="116">
        <v>6.89</v>
      </c>
      <c r="O776" s="116">
        <v>6.66</v>
      </c>
      <c r="P776" s="116">
        <v>6.8</v>
      </c>
      <c r="Q776" s="116">
        <v>34</v>
      </c>
      <c r="R776">
        <v>8726014</v>
      </c>
    </row>
    <row r="777" spans="1:18" x14ac:dyDescent="0.25">
      <c r="A777" s="170">
        <v>43145</v>
      </c>
      <c r="B777" s="116">
        <v>6.91</v>
      </c>
      <c r="C777" s="116">
        <v>6.66</v>
      </c>
      <c r="D777" s="116">
        <v>6.61</v>
      </c>
      <c r="E777" s="116">
        <v>6.81</v>
      </c>
      <c r="F777" s="116">
        <v>33.299999999999997</v>
      </c>
      <c r="G777">
        <v>832310</v>
      </c>
      <c r="H777" s="116"/>
      <c r="I777" s="116"/>
      <c r="L777" s="170">
        <v>43145</v>
      </c>
      <c r="M777" s="116">
        <v>6.67</v>
      </c>
      <c r="N777" s="116">
        <v>6.94</v>
      </c>
      <c r="O777" s="116">
        <v>6.63</v>
      </c>
      <c r="P777" s="116">
        <v>6.94</v>
      </c>
      <c r="Q777" s="116">
        <v>33.35</v>
      </c>
      <c r="R777">
        <v>9307687</v>
      </c>
    </row>
    <row r="778" spans="1:18" x14ac:dyDescent="0.25">
      <c r="A778" s="170">
        <v>43146</v>
      </c>
      <c r="B778" s="116">
        <v>6.75</v>
      </c>
      <c r="C778" s="116">
        <v>6.61</v>
      </c>
      <c r="D778" s="116">
        <v>6.5</v>
      </c>
      <c r="E778" s="116">
        <v>6.66</v>
      </c>
      <c r="F778" s="116">
        <v>33.049999999999997</v>
      </c>
      <c r="G778">
        <v>790816</v>
      </c>
      <c r="H778" s="116"/>
      <c r="I778" s="116"/>
      <c r="L778" s="170">
        <v>43146</v>
      </c>
      <c r="M778" s="116">
        <v>6.62</v>
      </c>
      <c r="N778" s="116">
        <v>6.77</v>
      </c>
      <c r="O778" s="116">
        <v>6.5</v>
      </c>
      <c r="P778" s="116">
        <v>6.76</v>
      </c>
      <c r="Q778" s="116">
        <v>33.1</v>
      </c>
      <c r="R778">
        <v>5912780</v>
      </c>
    </row>
    <row r="779" spans="1:18" x14ac:dyDescent="0.25">
      <c r="A779" s="170">
        <v>43147</v>
      </c>
      <c r="B779" s="116">
        <v>6.68</v>
      </c>
      <c r="C779" s="116">
        <v>6.46</v>
      </c>
      <c r="D779" s="116">
        <v>6.41</v>
      </c>
      <c r="E779" s="116">
        <v>6.6</v>
      </c>
      <c r="F779" s="116">
        <v>32.299999999999997</v>
      </c>
      <c r="G779">
        <v>648294</v>
      </c>
      <c r="H779" s="116"/>
      <c r="I779" s="116"/>
      <c r="L779" s="170">
        <v>43147</v>
      </c>
      <c r="M779" s="116">
        <v>6.47</v>
      </c>
      <c r="N779" s="116">
        <v>6.7</v>
      </c>
      <c r="O779" s="116">
        <v>6.4</v>
      </c>
      <c r="P779" s="116">
        <v>6.7</v>
      </c>
      <c r="Q779" s="116">
        <v>32.35</v>
      </c>
      <c r="R779">
        <v>6906543</v>
      </c>
    </row>
    <row r="780" spans="1:18" x14ac:dyDescent="0.25">
      <c r="A780" s="170">
        <v>43150</v>
      </c>
      <c r="B780" s="116">
        <v>6.46</v>
      </c>
      <c r="C780" s="116">
        <v>6.27</v>
      </c>
      <c r="D780" s="116">
        <v>6.16</v>
      </c>
      <c r="E780" s="116">
        <v>6.46</v>
      </c>
      <c r="F780" s="116">
        <v>31.35</v>
      </c>
      <c r="G780">
        <v>815768</v>
      </c>
      <c r="H780" s="116"/>
      <c r="I780" s="116"/>
      <c r="L780" s="170">
        <v>43150</v>
      </c>
      <c r="M780" s="116">
        <v>6.28</v>
      </c>
      <c r="N780" s="116">
        <v>6.51</v>
      </c>
      <c r="O780" s="116">
        <v>6.15</v>
      </c>
      <c r="P780" s="116">
        <v>6.42</v>
      </c>
      <c r="Q780" s="116">
        <v>31.4</v>
      </c>
      <c r="R780">
        <v>9838366</v>
      </c>
    </row>
    <row r="781" spans="1:18" x14ac:dyDescent="0.25">
      <c r="A781" s="170">
        <v>43151</v>
      </c>
      <c r="B781" s="116">
        <v>6.34</v>
      </c>
      <c r="C781" s="116">
        <v>6.28</v>
      </c>
      <c r="D781" s="116">
        <v>6.16</v>
      </c>
      <c r="E781" s="116">
        <v>6.27</v>
      </c>
      <c r="F781" s="116">
        <v>31.4</v>
      </c>
      <c r="G781">
        <v>480788</v>
      </c>
      <c r="H781" s="116"/>
      <c r="I781" s="116"/>
      <c r="L781" s="170">
        <v>43151</v>
      </c>
      <c r="M781" s="116">
        <v>6.27</v>
      </c>
      <c r="N781" s="116">
        <v>6.34</v>
      </c>
      <c r="O781" s="116">
        <v>6.18</v>
      </c>
      <c r="P781" s="116">
        <v>6.25</v>
      </c>
      <c r="Q781" s="116">
        <v>31.35</v>
      </c>
      <c r="R781">
        <v>6551504</v>
      </c>
    </row>
    <row r="782" spans="1:18" x14ac:dyDescent="0.25">
      <c r="A782" s="170">
        <v>43152</v>
      </c>
      <c r="B782" s="116">
        <v>6.34</v>
      </c>
      <c r="C782" s="116">
        <v>6.27</v>
      </c>
      <c r="D782" s="116">
        <v>6.19</v>
      </c>
      <c r="E782" s="116">
        <v>6.23</v>
      </c>
      <c r="F782" s="116">
        <v>31.35</v>
      </c>
      <c r="G782">
        <v>608370</v>
      </c>
      <c r="H782" s="116"/>
      <c r="I782" s="116"/>
      <c r="L782" s="170">
        <v>43152</v>
      </c>
      <c r="M782" s="116">
        <v>6.27</v>
      </c>
      <c r="N782" s="116">
        <v>6.33</v>
      </c>
      <c r="O782" s="116">
        <v>6.18</v>
      </c>
      <c r="P782" s="116">
        <v>6.3</v>
      </c>
      <c r="Q782" s="116">
        <v>31.35</v>
      </c>
      <c r="R782">
        <v>6096399</v>
      </c>
    </row>
    <row r="783" spans="1:18" x14ac:dyDescent="0.25">
      <c r="A783" s="170">
        <v>43153</v>
      </c>
      <c r="B783" s="116">
        <v>6.43</v>
      </c>
      <c r="C783" s="116">
        <v>6.24</v>
      </c>
      <c r="D783" s="116">
        <v>6.15</v>
      </c>
      <c r="E783" s="116">
        <v>6.2</v>
      </c>
      <c r="F783" s="116">
        <v>31.2</v>
      </c>
      <c r="G783">
        <v>707149</v>
      </c>
      <c r="H783" s="116"/>
      <c r="I783" s="116"/>
      <c r="L783" s="170">
        <v>43153</v>
      </c>
      <c r="M783" s="116">
        <v>6.21</v>
      </c>
      <c r="N783" s="116">
        <v>6.4</v>
      </c>
      <c r="O783" s="116">
        <v>6.17</v>
      </c>
      <c r="P783" s="116">
        <v>6.22</v>
      </c>
      <c r="Q783" s="116">
        <v>31.05</v>
      </c>
      <c r="R783">
        <v>12516530</v>
      </c>
    </row>
    <row r="784" spans="1:18" x14ac:dyDescent="0.25">
      <c r="A784" s="170">
        <v>43154</v>
      </c>
      <c r="B784" s="116">
        <v>6.46</v>
      </c>
      <c r="C784" s="116">
        <v>6.42</v>
      </c>
      <c r="D784" s="116">
        <v>6.24</v>
      </c>
      <c r="E784" s="116">
        <v>6.26</v>
      </c>
      <c r="F784" s="116">
        <v>32.1</v>
      </c>
      <c r="G784">
        <v>639965</v>
      </c>
      <c r="H784" s="116"/>
      <c r="I784" s="116"/>
      <c r="L784" s="170">
        <v>43154</v>
      </c>
      <c r="M784" s="116">
        <v>6.43</v>
      </c>
      <c r="N784" s="116">
        <v>6.47</v>
      </c>
      <c r="O784" s="116">
        <v>6.23</v>
      </c>
      <c r="P784" s="116">
        <v>6.25</v>
      </c>
      <c r="Q784" s="116">
        <v>32.15</v>
      </c>
      <c r="R784">
        <v>7417257</v>
      </c>
    </row>
    <row r="785" spans="1:18" x14ac:dyDescent="0.25">
      <c r="A785" s="170">
        <v>43157</v>
      </c>
      <c r="B785" s="116">
        <v>6.61</v>
      </c>
      <c r="C785" s="116">
        <v>6.53</v>
      </c>
      <c r="D785" s="116">
        <v>6.35</v>
      </c>
      <c r="E785" s="116">
        <v>6.48</v>
      </c>
      <c r="F785" s="116">
        <v>32.65</v>
      </c>
      <c r="G785">
        <v>1323941</v>
      </c>
      <c r="H785" s="116"/>
      <c r="I785" s="116"/>
      <c r="L785" s="170">
        <v>43157</v>
      </c>
      <c r="M785" s="116">
        <v>6.55</v>
      </c>
      <c r="N785" s="116">
        <v>6.62</v>
      </c>
      <c r="O785" s="116">
        <v>6.33</v>
      </c>
      <c r="P785" s="116">
        <v>6.45</v>
      </c>
      <c r="Q785" s="116">
        <v>32.75</v>
      </c>
      <c r="R785">
        <v>8042171</v>
      </c>
    </row>
    <row r="786" spans="1:18" x14ac:dyDescent="0.25">
      <c r="A786" s="170">
        <v>43158</v>
      </c>
      <c r="B786" s="116">
        <v>6.6</v>
      </c>
      <c r="C786" s="116">
        <v>6.41</v>
      </c>
      <c r="D786" s="116">
        <v>6.31</v>
      </c>
      <c r="E786" s="116">
        <v>6.6</v>
      </c>
      <c r="F786" s="116">
        <v>32.049999999999997</v>
      </c>
      <c r="G786">
        <v>752017</v>
      </c>
      <c r="H786" s="116"/>
      <c r="I786" s="116"/>
      <c r="L786" s="170">
        <v>43158</v>
      </c>
      <c r="M786" s="116">
        <v>6.41</v>
      </c>
      <c r="N786" s="116">
        <v>6.59</v>
      </c>
      <c r="O786" s="116">
        <v>6.3</v>
      </c>
      <c r="P786" s="116">
        <v>6.56</v>
      </c>
      <c r="Q786" s="116">
        <v>32.049999999999997</v>
      </c>
      <c r="R786">
        <v>7106014</v>
      </c>
    </row>
    <row r="787" spans="1:18" x14ac:dyDescent="0.25">
      <c r="A787" s="170">
        <v>43159</v>
      </c>
      <c r="B787" s="116">
        <v>6.41</v>
      </c>
      <c r="C787" s="116">
        <v>6.35</v>
      </c>
      <c r="D787" s="116">
        <v>6.28</v>
      </c>
      <c r="E787" s="116">
        <v>6.39</v>
      </c>
      <c r="F787" s="116">
        <v>31.75</v>
      </c>
      <c r="G787">
        <v>488255</v>
      </c>
      <c r="H787" s="116"/>
      <c r="I787" s="116"/>
      <c r="L787" s="170">
        <v>43159</v>
      </c>
      <c r="M787" s="116">
        <v>6.33</v>
      </c>
      <c r="N787" s="116">
        <v>6.41</v>
      </c>
      <c r="O787" s="116">
        <v>6.27</v>
      </c>
      <c r="P787" s="116">
        <v>6.32</v>
      </c>
      <c r="Q787" s="116">
        <v>31.65</v>
      </c>
      <c r="R787">
        <v>5683910</v>
      </c>
    </row>
    <row r="788" spans="1:18" x14ac:dyDescent="0.25">
      <c r="A788" s="170">
        <v>43160</v>
      </c>
      <c r="B788" s="116">
        <v>6.4</v>
      </c>
      <c r="C788" s="116">
        <v>6.27</v>
      </c>
      <c r="D788" s="116">
        <v>6.24</v>
      </c>
      <c r="E788" s="116">
        <v>6.32</v>
      </c>
      <c r="F788" s="116">
        <v>31.35</v>
      </c>
      <c r="G788">
        <v>690273</v>
      </c>
      <c r="H788" s="116"/>
      <c r="I788" s="116"/>
      <c r="L788" s="170">
        <v>43160</v>
      </c>
      <c r="M788" s="116">
        <v>6.27</v>
      </c>
      <c r="N788" s="116">
        <v>6.39</v>
      </c>
      <c r="O788" s="116">
        <v>6.25</v>
      </c>
      <c r="P788" s="116">
        <v>6.32</v>
      </c>
      <c r="Q788" s="116">
        <v>31.35</v>
      </c>
      <c r="R788">
        <v>5109574</v>
      </c>
    </row>
    <row r="789" spans="1:18" x14ac:dyDescent="0.25">
      <c r="A789" s="170">
        <v>43164</v>
      </c>
      <c r="B789" s="116">
        <v>6.32</v>
      </c>
      <c r="C789" s="116">
        <v>6.17</v>
      </c>
      <c r="D789" s="116">
        <v>6.04</v>
      </c>
      <c r="E789" s="116">
        <v>6.28</v>
      </c>
      <c r="F789" s="116">
        <v>30.85</v>
      </c>
      <c r="G789">
        <v>682545</v>
      </c>
      <c r="H789" s="116"/>
      <c r="I789" s="116"/>
      <c r="L789" s="170">
        <v>43164</v>
      </c>
      <c r="M789" s="116">
        <v>6.17</v>
      </c>
      <c r="N789" s="116">
        <v>6.33</v>
      </c>
      <c r="O789" s="116">
        <v>6.03</v>
      </c>
      <c r="P789" s="116">
        <v>6.27</v>
      </c>
      <c r="Q789" s="116">
        <v>30.85</v>
      </c>
      <c r="R789">
        <v>6671043</v>
      </c>
    </row>
    <row r="790" spans="1:18" x14ac:dyDescent="0.25">
      <c r="A790" s="170">
        <v>43165</v>
      </c>
      <c r="B790" s="116">
        <v>6.28</v>
      </c>
      <c r="C790" s="116">
        <v>5.91</v>
      </c>
      <c r="D790" s="116">
        <v>5.76</v>
      </c>
      <c r="E790" s="116">
        <v>6.2</v>
      </c>
      <c r="F790" s="116">
        <v>29.55</v>
      </c>
      <c r="G790">
        <v>1021201</v>
      </c>
      <c r="H790" s="116"/>
      <c r="I790" s="116"/>
      <c r="L790" s="170">
        <v>43165</v>
      </c>
      <c r="M790" s="116">
        <v>5.9</v>
      </c>
      <c r="N790" s="116">
        <v>6.29</v>
      </c>
      <c r="O790" s="116">
        <v>5.75</v>
      </c>
      <c r="P790" s="116">
        <v>6.18</v>
      </c>
      <c r="Q790" s="116">
        <v>29.5</v>
      </c>
      <c r="R790">
        <v>7922751</v>
      </c>
    </row>
    <row r="791" spans="1:18" x14ac:dyDescent="0.25">
      <c r="A791" s="170">
        <v>43166</v>
      </c>
      <c r="B791" s="116">
        <v>5.85</v>
      </c>
      <c r="C791" s="116">
        <v>5.52</v>
      </c>
      <c r="D791" s="116">
        <v>5.42</v>
      </c>
      <c r="E791" s="116">
        <v>5.8</v>
      </c>
      <c r="F791" s="116">
        <v>27.6</v>
      </c>
      <c r="G791">
        <v>7719504</v>
      </c>
      <c r="H791" s="116"/>
      <c r="I791" s="116"/>
      <c r="L791" s="170">
        <v>43166</v>
      </c>
      <c r="M791" s="116">
        <v>5.48</v>
      </c>
      <c r="N791" s="116">
        <v>5.85</v>
      </c>
      <c r="O791" s="116">
        <v>5.41</v>
      </c>
      <c r="P791" s="116">
        <v>5.8</v>
      </c>
      <c r="Q791" s="116">
        <v>27.4</v>
      </c>
      <c r="R791">
        <v>15597411</v>
      </c>
    </row>
    <row r="792" spans="1:18" x14ac:dyDescent="0.25">
      <c r="A792" s="170">
        <v>43167</v>
      </c>
      <c r="B792" s="116">
        <v>5.45</v>
      </c>
      <c r="C792" s="116">
        <v>5.23</v>
      </c>
      <c r="D792" s="116">
        <v>5.04</v>
      </c>
      <c r="E792" s="116">
        <v>5.45</v>
      </c>
      <c r="F792" s="116">
        <v>26.15</v>
      </c>
      <c r="G792">
        <v>3573313</v>
      </c>
      <c r="H792" s="116"/>
      <c r="I792" s="116"/>
      <c r="L792" s="170">
        <v>43167</v>
      </c>
      <c r="M792" s="116">
        <v>5.22</v>
      </c>
      <c r="N792" s="116">
        <v>5.49</v>
      </c>
      <c r="O792" s="116">
        <v>5.03</v>
      </c>
      <c r="P792" s="116">
        <v>5.43</v>
      </c>
      <c r="Q792" s="116">
        <v>26.1</v>
      </c>
      <c r="R792">
        <v>27179786</v>
      </c>
    </row>
    <row r="793" spans="1:18" x14ac:dyDescent="0.25">
      <c r="A793" s="170">
        <v>43168</v>
      </c>
      <c r="B793" s="116">
        <v>5.26</v>
      </c>
      <c r="C793" s="116">
        <v>5.09</v>
      </c>
      <c r="D793" s="116">
        <v>5.01</v>
      </c>
      <c r="E793" s="116">
        <v>5.21</v>
      </c>
      <c r="F793" s="116">
        <v>25.45</v>
      </c>
      <c r="G793">
        <v>1852428</v>
      </c>
      <c r="H793" s="116"/>
      <c r="I793" s="116"/>
      <c r="L793" s="170">
        <v>43168</v>
      </c>
      <c r="M793" s="116">
        <v>5.09</v>
      </c>
      <c r="N793" s="116">
        <v>5.26</v>
      </c>
      <c r="O793" s="116">
        <v>5.01</v>
      </c>
      <c r="P793" s="116">
        <v>5.22</v>
      </c>
      <c r="Q793" s="116">
        <v>25.45</v>
      </c>
      <c r="R793">
        <v>15513863</v>
      </c>
    </row>
    <row r="794" spans="1:18" x14ac:dyDescent="0.25">
      <c r="A794" s="170">
        <v>43171</v>
      </c>
      <c r="B794" s="116">
        <v>5.31</v>
      </c>
      <c r="C794" s="116">
        <v>5.28</v>
      </c>
      <c r="D794" s="116">
        <v>5.09</v>
      </c>
      <c r="E794" s="116">
        <v>5.0999999999999996</v>
      </c>
      <c r="F794" s="116">
        <v>26.4</v>
      </c>
      <c r="G794">
        <v>1175567</v>
      </c>
      <c r="H794" s="116"/>
      <c r="I794" s="116"/>
      <c r="L794" s="170">
        <v>43171</v>
      </c>
      <c r="M794" s="116">
        <v>5.27</v>
      </c>
      <c r="N794" s="116">
        <v>5.3</v>
      </c>
      <c r="O794" s="116">
        <v>5.08</v>
      </c>
      <c r="P794" s="116">
        <v>5.12</v>
      </c>
      <c r="Q794" s="116">
        <v>26.35</v>
      </c>
      <c r="R794">
        <v>9979106</v>
      </c>
    </row>
    <row r="795" spans="1:18" x14ac:dyDescent="0.25">
      <c r="A795" s="170">
        <v>43172</v>
      </c>
      <c r="B795" s="116">
        <v>5.45</v>
      </c>
      <c r="C795" s="116">
        <v>5.35</v>
      </c>
      <c r="D795" s="116">
        <v>5.17</v>
      </c>
      <c r="E795" s="116">
        <v>5.28</v>
      </c>
      <c r="F795" s="116">
        <v>26.75</v>
      </c>
      <c r="G795">
        <v>1230863</v>
      </c>
      <c r="H795" s="116"/>
      <c r="I795" s="116"/>
      <c r="L795" s="170">
        <v>43172</v>
      </c>
      <c r="M795" s="116">
        <v>5.34</v>
      </c>
      <c r="N795" s="116">
        <v>5.44</v>
      </c>
      <c r="O795" s="116">
        <v>5.16</v>
      </c>
      <c r="P795" s="116">
        <v>5.23</v>
      </c>
      <c r="Q795" s="116">
        <v>26.7</v>
      </c>
      <c r="R795">
        <v>11166266</v>
      </c>
    </row>
    <row r="796" spans="1:18" x14ac:dyDescent="0.25">
      <c r="A796" s="170">
        <v>43173</v>
      </c>
      <c r="B796" s="116">
        <v>5.51</v>
      </c>
      <c r="C796" s="116">
        <v>5.46</v>
      </c>
      <c r="D796" s="116">
        <v>5.2</v>
      </c>
      <c r="E796" s="116">
        <v>5.2</v>
      </c>
      <c r="F796" s="116">
        <v>27.3</v>
      </c>
      <c r="G796">
        <v>936037</v>
      </c>
      <c r="H796" s="116"/>
      <c r="I796" s="116"/>
      <c r="L796" s="170">
        <v>43173</v>
      </c>
      <c r="M796" s="116">
        <v>5.46</v>
      </c>
      <c r="N796" s="116">
        <v>5.51</v>
      </c>
      <c r="O796" s="116">
        <v>5.24</v>
      </c>
      <c r="P796" s="116">
        <v>5.28</v>
      </c>
      <c r="Q796" s="116">
        <v>27.3</v>
      </c>
      <c r="R796">
        <v>10792061</v>
      </c>
    </row>
    <row r="797" spans="1:18" x14ac:dyDescent="0.25">
      <c r="A797" s="170">
        <v>43174</v>
      </c>
      <c r="B797" s="116">
        <v>5.75</v>
      </c>
      <c r="C797" s="116">
        <v>5.63</v>
      </c>
      <c r="D797" s="116">
        <v>5.43</v>
      </c>
      <c r="E797" s="116">
        <v>5.46</v>
      </c>
      <c r="F797" s="116">
        <v>28.15</v>
      </c>
      <c r="G797">
        <v>1244866</v>
      </c>
      <c r="H797" s="116"/>
      <c r="I797" s="116"/>
      <c r="L797" s="170">
        <v>43174</v>
      </c>
      <c r="M797" s="116">
        <v>5.62</v>
      </c>
      <c r="N797" s="116">
        <v>5.75</v>
      </c>
      <c r="O797" s="116">
        <v>5.42</v>
      </c>
      <c r="P797" s="116">
        <v>5.42</v>
      </c>
      <c r="Q797" s="116">
        <v>28.1</v>
      </c>
      <c r="R797">
        <v>14966688</v>
      </c>
    </row>
    <row r="798" spans="1:18" x14ac:dyDescent="0.25">
      <c r="A798" s="170">
        <v>43175</v>
      </c>
      <c r="B798" s="116">
        <v>5.78</v>
      </c>
      <c r="C798" s="116">
        <v>5.47</v>
      </c>
      <c r="D798" s="116">
        <v>5.42</v>
      </c>
      <c r="E798" s="116">
        <v>5.63</v>
      </c>
      <c r="F798" s="116">
        <v>27.35</v>
      </c>
      <c r="G798">
        <v>1197124</v>
      </c>
      <c r="H798" s="116"/>
      <c r="I798" s="116"/>
      <c r="L798" s="170">
        <v>43175</v>
      </c>
      <c r="M798" s="116">
        <v>5.46</v>
      </c>
      <c r="N798" s="116">
        <v>5.78</v>
      </c>
      <c r="O798" s="116">
        <v>5.41</v>
      </c>
      <c r="P798" s="116">
        <v>5.66</v>
      </c>
      <c r="Q798" s="116">
        <v>27.3</v>
      </c>
      <c r="R798">
        <v>14419571</v>
      </c>
    </row>
    <row r="799" spans="1:18" x14ac:dyDescent="0.25">
      <c r="A799" s="170">
        <v>43178</v>
      </c>
      <c r="B799" s="116">
        <v>5.52</v>
      </c>
      <c r="C799" s="116">
        <v>5.22</v>
      </c>
      <c r="D799" s="116">
        <v>5.2</v>
      </c>
      <c r="E799" s="116">
        <v>5.5</v>
      </c>
      <c r="F799" s="116">
        <v>26.1</v>
      </c>
      <c r="G799">
        <v>1351111</v>
      </c>
      <c r="H799" s="116"/>
      <c r="I799" s="116"/>
      <c r="L799" s="170">
        <v>43178</v>
      </c>
      <c r="M799" s="116">
        <v>5.22</v>
      </c>
      <c r="N799" s="116">
        <v>5.54</v>
      </c>
      <c r="O799" s="116">
        <v>5.2</v>
      </c>
      <c r="P799" s="116">
        <v>5.48</v>
      </c>
      <c r="Q799" s="116">
        <v>26.1</v>
      </c>
      <c r="R799">
        <v>13720511</v>
      </c>
    </row>
    <row r="800" spans="1:18" x14ac:dyDescent="0.25">
      <c r="A800" s="170">
        <v>43179</v>
      </c>
      <c r="B800" s="116">
        <v>5.26</v>
      </c>
      <c r="C800" s="116">
        <v>5.16</v>
      </c>
      <c r="D800" s="116">
        <v>5.1100000000000003</v>
      </c>
      <c r="E800" s="116">
        <v>5.15</v>
      </c>
      <c r="F800" s="116">
        <v>25.8</v>
      </c>
      <c r="G800">
        <v>1042944</v>
      </c>
      <c r="H800" s="116"/>
      <c r="I800" s="116"/>
      <c r="L800" s="170">
        <v>43179</v>
      </c>
      <c r="M800" s="116">
        <v>5.16</v>
      </c>
      <c r="N800" s="116">
        <v>5.26</v>
      </c>
      <c r="O800" s="116">
        <v>5.0999999999999996</v>
      </c>
      <c r="P800" s="116">
        <v>5.12</v>
      </c>
      <c r="Q800" s="116">
        <v>25.8</v>
      </c>
      <c r="R800">
        <v>11160757</v>
      </c>
    </row>
    <row r="801" spans="1:18" x14ac:dyDescent="0.25">
      <c r="A801" s="170">
        <v>43180</v>
      </c>
      <c r="B801" s="116">
        <v>5.29</v>
      </c>
      <c r="C801" s="116">
        <v>5.14</v>
      </c>
      <c r="D801" s="116">
        <v>5.12</v>
      </c>
      <c r="E801" s="116">
        <v>5.2</v>
      </c>
      <c r="F801" s="116">
        <v>25.7</v>
      </c>
      <c r="G801">
        <v>748339</v>
      </c>
      <c r="H801" s="116"/>
      <c r="I801" s="116"/>
      <c r="L801" s="170">
        <v>43180</v>
      </c>
      <c r="M801" s="116">
        <v>5.13</v>
      </c>
      <c r="N801" s="116">
        <v>5.29</v>
      </c>
      <c r="O801" s="116">
        <v>5.0999999999999996</v>
      </c>
      <c r="P801" s="116">
        <v>5.2</v>
      </c>
      <c r="Q801" s="116">
        <v>25.65</v>
      </c>
      <c r="R801">
        <v>7578090</v>
      </c>
    </row>
    <row r="802" spans="1:18" x14ac:dyDescent="0.25">
      <c r="A802" s="170">
        <v>43181</v>
      </c>
      <c r="B802" s="116">
        <v>5.21</v>
      </c>
      <c r="C802" s="116">
        <v>5.01</v>
      </c>
      <c r="D802" s="116">
        <v>5</v>
      </c>
      <c r="E802" s="116">
        <v>5.16</v>
      </c>
      <c r="F802" s="116">
        <v>25.05</v>
      </c>
      <c r="G802">
        <v>1233869</v>
      </c>
      <c r="H802" s="116"/>
      <c r="I802" s="116"/>
      <c r="L802" s="170">
        <v>43181</v>
      </c>
      <c r="M802" s="116">
        <v>5.03</v>
      </c>
      <c r="N802" s="116">
        <v>5.21</v>
      </c>
      <c r="O802" s="116">
        <v>5</v>
      </c>
      <c r="P802" s="116">
        <v>5.17</v>
      </c>
      <c r="Q802" s="116">
        <v>25.15</v>
      </c>
      <c r="R802">
        <v>7410150</v>
      </c>
    </row>
    <row r="803" spans="1:18" x14ac:dyDescent="0.25">
      <c r="A803" s="170">
        <v>43182</v>
      </c>
      <c r="B803" s="116">
        <v>4.95</v>
      </c>
      <c r="C803" s="116">
        <v>4.8499999999999996</v>
      </c>
      <c r="D803" s="116">
        <v>4.74</v>
      </c>
      <c r="E803" s="116">
        <v>4.95</v>
      </c>
      <c r="F803" s="116">
        <v>24.25</v>
      </c>
      <c r="G803">
        <v>1427680</v>
      </c>
      <c r="H803" s="116"/>
      <c r="I803" s="116"/>
      <c r="L803" s="170">
        <v>43182</v>
      </c>
      <c r="M803" s="116">
        <v>4.82</v>
      </c>
      <c r="N803" s="116">
        <v>4.9000000000000004</v>
      </c>
      <c r="O803" s="116">
        <v>4.7300000000000004</v>
      </c>
      <c r="P803" s="116">
        <v>4.88</v>
      </c>
      <c r="Q803" s="116">
        <v>24.1</v>
      </c>
      <c r="R803">
        <v>12030957</v>
      </c>
    </row>
    <row r="804" spans="1:18" x14ac:dyDescent="0.25">
      <c r="A804" s="170">
        <v>43185</v>
      </c>
      <c r="B804" s="116">
        <v>4.92</v>
      </c>
      <c r="C804" s="116">
        <v>4.8099999999999996</v>
      </c>
      <c r="D804" s="116">
        <v>4.63</v>
      </c>
      <c r="E804" s="116">
        <v>4.92</v>
      </c>
      <c r="F804" s="116">
        <v>24.05</v>
      </c>
      <c r="G804">
        <v>1506889</v>
      </c>
      <c r="H804" s="116"/>
      <c r="I804" s="116"/>
      <c r="L804" s="170">
        <v>43185</v>
      </c>
      <c r="M804" s="116">
        <v>4.8099999999999996</v>
      </c>
      <c r="N804" s="116">
        <v>4.88</v>
      </c>
      <c r="O804" s="116">
        <v>4.62</v>
      </c>
      <c r="P804" s="116">
        <v>4.83</v>
      </c>
      <c r="Q804" s="116">
        <v>24.05</v>
      </c>
      <c r="R804">
        <v>12767918</v>
      </c>
    </row>
    <row r="805" spans="1:18" x14ac:dyDescent="0.25">
      <c r="A805" s="170">
        <v>43186</v>
      </c>
      <c r="B805" s="116">
        <v>5.0599999999999996</v>
      </c>
      <c r="C805" s="116">
        <v>5.04</v>
      </c>
      <c r="D805" s="116">
        <v>4.8499999999999996</v>
      </c>
      <c r="E805" s="116">
        <v>4.8899999999999997</v>
      </c>
      <c r="F805" s="116">
        <v>25.2</v>
      </c>
      <c r="G805">
        <v>1270879</v>
      </c>
      <c r="H805" s="116"/>
      <c r="I805" s="116"/>
      <c r="L805" s="170">
        <v>43186</v>
      </c>
      <c r="M805" s="116">
        <v>5.04</v>
      </c>
      <c r="N805" s="116">
        <v>5.07</v>
      </c>
      <c r="O805" s="116">
        <v>4.8499999999999996</v>
      </c>
      <c r="P805" s="116">
        <v>4.8899999999999997</v>
      </c>
      <c r="Q805" s="116">
        <v>25.2</v>
      </c>
      <c r="R805">
        <v>11940363</v>
      </c>
    </row>
    <row r="806" spans="1:18" x14ac:dyDescent="0.25">
      <c r="A806" s="170">
        <v>43187</v>
      </c>
      <c r="B806" s="116">
        <v>4.9800000000000004</v>
      </c>
      <c r="C806" s="116">
        <v>4.75</v>
      </c>
      <c r="D806" s="116">
        <v>4.71</v>
      </c>
      <c r="E806" s="116">
        <v>4.9800000000000004</v>
      </c>
      <c r="F806" s="116">
        <v>23.75</v>
      </c>
      <c r="G806">
        <v>1640177</v>
      </c>
      <c r="H806" s="116"/>
      <c r="I806" s="116"/>
      <c r="L806" s="170">
        <v>43187</v>
      </c>
      <c r="M806" s="116">
        <v>4.74</v>
      </c>
      <c r="N806" s="116">
        <v>4.99</v>
      </c>
      <c r="O806" s="116">
        <v>4.71</v>
      </c>
      <c r="P806" s="116">
        <v>4.99</v>
      </c>
      <c r="Q806" s="116">
        <v>23.7</v>
      </c>
      <c r="R806">
        <v>23317191</v>
      </c>
    </row>
    <row r="807" spans="1:18" x14ac:dyDescent="0.25">
      <c r="A807" s="170">
        <v>43192</v>
      </c>
      <c r="B807" s="116">
        <v>4.93</v>
      </c>
      <c r="C807" s="116">
        <v>4.8899999999999997</v>
      </c>
      <c r="D807" s="116">
        <v>4.7300000000000004</v>
      </c>
      <c r="E807" s="116">
        <v>4.8099999999999996</v>
      </c>
      <c r="F807" s="116">
        <v>24.45</v>
      </c>
      <c r="G807">
        <v>1116268</v>
      </c>
      <c r="H807" s="116"/>
      <c r="I807" s="116"/>
      <c r="L807" s="170">
        <v>43192</v>
      </c>
      <c r="M807" s="116">
        <v>4.8899999999999997</v>
      </c>
      <c r="N807" s="116">
        <v>4.9400000000000004</v>
      </c>
      <c r="O807" s="116">
        <v>4.72</v>
      </c>
      <c r="P807" s="116">
        <v>4.9000000000000004</v>
      </c>
      <c r="Q807" s="116">
        <v>24.45</v>
      </c>
      <c r="R807">
        <v>13084386</v>
      </c>
    </row>
    <row r="808" spans="1:18" x14ac:dyDescent="0.25">
      <c r="A808" s="170">
        <v>43193</v>
      </c>
      <c r="B808" s="116">
        <v>5.0199999999999996</v>
      </c>
      <c r="C808" s="116">
        <v>5</v>
      </c>
      <c r="D808" s="116">
        <v>4.75</v>
      </c>
      <c r="E808" s="116">
        <v>4.8899999999999997</v>
      </c>
      <c r="F808" s="116">
        <v>25</v>
      </c>
      <c r="G808">
        <v>1354948</v>
      </c>
      <c r="H808" s="116"/>
      <c r="I808" s="116"/>
      <c r="L808" s="170">
        <v>43193</v>
      </c>
      <c r="M808" s="116">
        <v>5.0199999999999996</v>
      </c>
      <c r="N808" s="116">
        <v>5.04</v>
      </c>
      <c r="O808" s="116">
        <v>4.74</v>
      </c>
      <c r="P808" s="116">
        <v>4.84</v>
      </c>
      <c r="Q808" s="116">
        <v>25.1</v>
      </c>
      <c r="R808">
        <v>17305908</v>
      </c>
    </row>
    <row r="809" spans="1:18" x14ac:dyDescent="0.25">
      <c r="A809" s="170">
        <v>43194</v>
      </c>
      <c r="B809" s="116">
        <v>5.27</v>
      </c>
      <c r="C809" s="116">
        <v>5.0199999999999996</v>
      </c>
      <c r="D809" s="116">
        <v>4.96</v>
      </c>
      <c r="E809" s="116">
        <v>5.03</v>
      </c>
      <c r="F809" s="116">
        <v>25.1</v>
      </c>
      <c r="G809">
        <v>1860270</v>
      </c>
      <c r="H809" s="116"/>
      <c r="I809" s="116"/>
      <c r="L809" s="170">
        <v>43194</v>
      </c>
      <c r="M809" s="116">
        <v>5.01</v>
      </c>
      <c r="N809" s="116">
        <v>5.27</v>
      </c>
      <c r="O809" s="116">
        <v>4.95</v>
      </c>
      <c r="P809" s="116">
        <v>5.01</v>
      </c>
      <c r="Q809" s="116">
        <v>25.05</v>
      </c>
      <c r="R809">
        <v>26472761</v>
      </c>
    </row>
    <row r="810" spans="1:18" x14ac:dyDescent="0.25">
      <c r="A810" s="170">
        <v>43195</v>
      </c>
      <c r="B810" s="116">
        <v>5.16</v>
      </c>
      <c r="C810" s="116">
        <v>5.09</v>
      </c>
      <c r="D810" s="116">
        <v>5.05</v>
      </c>
      <c r="E810" s="116">
        <v>5.13</v>
      </c>
      <c r="F810" s="116">
        <v>25.45</v>
      </c>
      <c r="G810">
        <v>1003090</v>
      </c>
      <c r="H810" s="116"/>
      <c r="I810" s="116"/>
      <c r="L810" s="170">
        <v>43195</v>
      </c>
      <c r="M810" s="116">
        <v>5.0999999999999996</v>
      </c>
      <c r="N810" s="116">
        <v>5.17</v>
      </c>
      <c r="O810" s="116">
        <v>5.05</v>
      </c>
      <c r="P810" s="116">
        <v>5.12</v>
      </c>
      <c r="Q810" s="116">
        <v>25.5</v>
      </c>
      <c r="R810">
        <v>14516075</v>
      </c>
    </row>
    <row r="811" spans="1:18" x14ac:dyDescent="0.25">
      <c r="A811" s="170">
        <v>43196</v>
      </c>
      <c r="B811" s="116">
        <v>5.19</v>
      </c>
      <c r="C811" s="116">
        <v>5.14</v>
      </c>
      <c r="D811" s="116">
        <v>5.07</v>
      </c>
      <c r="E811" s="116">
        <v>5.0999999999999996</v>
      </c>
      <c r="F811" s="116">
        <v>25.7</v>
      </c>
      <c r="G811">
        <v>1074412</v>
      </c>
      <c r="H811" s="116"/>
      <c r="I811" s="116"/>
      <c r="L811" s="170">
        <v>43196</v>
      </c>
      <c r="M811" s="116">
        <v>5.13</v>
      </c>
      <c r="N811" s="116">
        <v>5.2</v>
      </c>
      <c r="O811" s="116">
        <v>5.0599999999999996</v>
      </c>
      <c r="P811" s="116">
        <v>5.12</v>
      </c>
      <c r="Q811" s="116">
        <v>25.65</v>
      </c>
      <c r="R811">
        <v>14599472</v>
      </c>
    </row>
    <row r="812" spans="1:18" x14ac:dyDescent="0.25">
      <c r="A812" s="170">
        <v>43199</v>
      </c>
      <c r="B812" s="116">
        <v>5.2</v>
      </c>
      <c r="C812" s="116">
        <v>5.14</v>
      </c>
      <c r="D812" s="116">
        <v>5.08</v>
      </c>
      <c r="E812" s="116">
        <v>5.2</v>
      </c>
      <c r="F812" s="116">
        <v>25.7</v>
      </c>
      <c r="G812">
        <v>933581</v>
      </c>
      <c r="H812" s="116"/>
      <c r="I812" s="116"/>
      <c r="L812" s="170">
        <v>43199</v>
      </c>
      <c r="M812" s="116">
        <v>5.13</v>
      </c>
      <c r="N812" s="116">
        <v>5.2</v>
      </c>
      <c r="O812" s="116">
        <v>5.07</v>
      </c>
      <c r="P812" s="116">
        <v>5.15</v>
      </c>
      <c r="Q812" s="116">
        <v>25.65</v>
      </c>
      <c r="R812">
        <v>10611953</v>
      </c>
    </row>
    <row r="813" spans="1:18" x14ac:dyDescent="0.25">
      <c r="A813" s="170">
        <v>43200</v>
      </c>
      <c r="B813" s="116">
        <v>5.37</v>
      </c>
      <c r="C813" s="116">
        <v>5.3</v>
      </c>
      <c r="D813" s="116">
        <v>5.12</v>
      </c>
      <c r="E813" s="116">
        <v>5.17</v>
      </c>
      <c r="F813" s="116">
        <v>26.5</v>
      </c>
      <c r="G813">
        <v>966974</v>
      </c>
      <c r="H813" s="116"/>
      <c r="I813" s="116"/>
      <c r="L813" s="170">
        <v>43200</v>
      </c>
      <c r="M813" s="116">
        <v>5.28</v>
      </c>
      <c r="N813" s="116">
        <v>5.37</v>
      </c>
      <c r="O813" s="116">
        <v>5.1100000000000003</v>
      </c>
      <c r="P813" s="116">
        <v>5.14</v>
      </c>
      <c r="Q813" s="116">
        <v>26.4</v>
      </c>
      <c r="R813">
        <v>24460341</v>
      </c>
    </row>
    <row r="814" spans="1:18" x14ac:dyDescent="0.25">
      <c r="A814" s="170">
        <v>43201</v>
      </c>
      <c r="B814" s="116">
        <v>5.38</v>
      </c>
      <c r="C814" s="116">
        <v>5.32</v>
      </c>
      <c r="D814" s="116">
        <v>5.21</v>
      </c>
      <c r="E814" s="116">
        <v>5.32</v>
      </c>
      <c r="F814" s="116">
        <v>26.6</v>
      </c>
      <c r="G814">
        <v>1068706</v>
      </c>
      <c r="H814" s="116"/>
      <c r="I814" s="116"/>
      <c r="L814" s="170">
        <v>43201</v>
      </c>
      <c r="M814" s="116">
        <v>5.32</v>
      </c>
      <c r="N814" s="116">
        <v>5.38</v>
      </c>
      <c r="O814" s="116">
        <v>5.2</v>
      </c>
      <c r="P814" s="116">
        <v>5.34</v>
      </c>
      <c r="Q814" s="116">
        <v>26.6</v>
      </c>
      <c r="R814">
        <v>14022327</v>
      </c>
    </row>
    <row r="815" spans="1:18" x14ac:dyDescent="0.25">
      <c r="A815" s="170">
        <v>43202</v>
      </c>
      <c r="B815" s="116">
        <v>5.31</v>
      </c>
      <c r="C815" s="116">
        <v>5.14</v>
      </c>
      <c r="D815" s="116">
        <v>5.0599999999999996</v>
      </c>
      <c r="E815" s="116">
        <v>5.3</v>
      </c>
      <c r="F815" s="116">
        <v>25.7</v>
      </c>
      <c r="G815">
        <v>1392733</v>
      </c>
      <c r="H815" s="116"/>
      <c r="I815" s="116"/>
      <c r="L815" s="170">
        <v>43202</v>
      </c>
      <c r="M815" s="116">
        <v>5.14</v>
      </c>
      <c r="N815" s="116">
        <v>5.3</v>
      </c>
      <c r="O815" s="116">
        <v>5.05</v>
      </c>
      <c r="P815" s="116">
        <v>5.3</v>
      </c>
      <c r="Q815" s="116">
        <v>25.7</v>
      </c>
      <c r="R815">
        <v>25510107</v>
      </c>
    </row>
    <row r="816" spans="1:18" x14ac:dyDescent="0.25">
      <c r="A816" s="170">
        <v>43203</v>
      </c>
      <c r="B816" s="116">
        <v>5.26</v>
      </c>
      <c r="C816" s="116">
        <v>5.17</v>
      </c>
      <c r="D816" s="116">
        <v>5.0999999999999996</v>
      </c>
      <c r="E816" s="116">
        <v>5.15</v>
      </c>
      <c r="F816" s="116">
        <v>25.85</v>
      </c>
      <c r="G816">
        <v>795322</v>
      </c>
      <c r="H816" s="116"/>
      <c r="I816" s="116"/>
      <c r="L816" s="170">
        <v>43203</v>
      </c>
      <c r="M816" s="116">
        <v>5.15</v>
      </c>
      <c r="N816" s="116">
        <v>5.26</v>
      </c>
      <c r="O816" s="116">
        <v>5.09</v>
      </c>
      <c r="P816" s="116">
        <v>5.18</v>
      </c>
      <c r="Q816" s="116">
        <v>25.75</v>
      </c>
      <c r="R816">
        <v>20320904</v>
      </c>
    </row>
    <row r="817" spans="1:18" x14ac:dyDescent="0.25">
      <c r="A817" s="170">
        <v>43206</v>
      </c>
      <c r="B817" s="116">
        <v>5.21</v>
      </c>
      <c r="C817" s="116">
        <v>5.17</v>
      </c>
      <c r="D817" s="116">
        <v>5.03</v>
      </c>
      <c r="E817" s="116">
        <v>5.18</v>
      </c>
      <c r="F817" s="116">
        <v>25.85</v>
      </c>
      <c r="G817">
        <v>600072</v>
      </c>
      <c r="H817" s="116"/>
      <c r="I817" s="116"/>
      <c r="L817" s="170">
        <v>43206</v>
      </c>
      <c r="M817" s="116">
        <v>5.16</v>
      </c>
      <c r="N817" s="116">
        <v>5.2</v>
      </c>
      <c r="O817" s="116">
        <v>5.0199999999999996</v>
      </c>
      <c r="P817" s="116">
        <v>5.1100000000000003</v>
      </c>
      <c r="Q817" s="116">
        <v>25.8</v>
      </c>
      <c r="R817">
        <v>28540502</v>
      </c>
    </row>
    <row r="818" spans="1:18" x14ac:dyDescent="0.25">
      <c r="A818" s="170">
        <v>43207</v>
      </c>
      <c r="B818" s="116">
        <v>5.17</v>
      </c>
      <c r="C818" s="116">
        <v>5.12</v>
      </c>
      <c r="D818" s="116">
        <v>5.07</v>
      </c>
      <c r="E818" s="116">
        <v>5.17</v>
      </c>
      <c r="F818" s="116">
        <v>25.6</v>
      </c>
      <c r="G818">
        <v>660656</v>
      </c>
      <c r="H818" s="116"/>
      <c r="I818" s="116"/>
      <c r="L818" s="170">
        <v>43207</v>
      </c>
      <c r="M818" s="116">
        <v>5.13</v>
      </c>
      <c r="N818" s="116">
        <v>5.17</v>
      </c>
      <c r="O818" s="116">
        <v>5.0599999999999996</v>
      </c>
      <c r="P818" s="116">
        <v>5.13</v>
      </c>
      <c r="Q818" s="116">
        <v>25.65</v>
      </c>
      <c r="R818">
        <v>27763987</v>
      </c>
    </row>
    <row r="819" spans="1:18" x14ac:dyDescent="0.25">
      <c r="A819" s="170">
        <v>43208</v>
      </c>
      <c r="B819" s="116">
        <v>5.23</v>
      </c>
      <c r="C819" s="116">
        <v>5.16</v>
      </c>
      <c r="D819" s="116">
        <v>5.08</v>
      </c>
      <c r="E819" s="116">
        <v>5.08</v>
      </c>
      <c r="F819" s="116">
        <v>25.8</v>
      </c>
      <c r="G819">
        <v>939788</v>
      </c>
      <c r="H819" s="116"/>
      <c r="I819" s="116"/>
      <c r="L819" s="170">
        <v>43208</v>
      </c>
      <c r="M819" s="116">
        <v>5.16</v>
      </c>
      <c r="N819" s="116">
        <v>5.24</v>
      </c>
      <c r="O819" s="116">
        <v>5.0999999999999996</v>
      </c>
      <c r="P819" s="116">
        <v>5.14</v>
      </c>
      <c r="Q819" s="116">
        <v>25.8</v>
      </c>
      <c r="R819">
        <v>29555267</v>
      </c>
    </row>
    <row r="820" spans="1:18" x14ac:dyDescent="0.25">
      <c r="A820" s="170">
        <v>43209</v>
      </c>
      <c r="B820" s="116">
        <v>5.25</v>
      </c>
      <c r="C820" s="116">
        <v>5.22</v>
      </c>
      <c r="D820" s="116">
        <v>5.09</v>
      </c>
      <c r="E820" s="116">
        <v>5.16</v>
      </c>
      <c r="F820" s="116">
        <v>26.1</v>
      </c>
      <c r="G820">
        <v>732401</v>
      </c>
      <c r="H820" s="116"/>
      <c r="I820" s="116"/>
      <c r="L820" s="170">
        <v>43209</v>
      </c>
      <c r="M820" s="116">
        <v>5.23</v>
      </c>
      <c r="N820" s="116">
        <v>5.26</v>
      </c>
      <c r="O820" s="116">
        <v>5.0999999999999996</v>
      </c>
      <c r="P820" s="116">
        <v>5.16</v>
      </c>
      <c r="Q820" s="116">
        <v>26.15</v>
      </c>
      <c r="R820">
        <v>26215675</v>
      </c>
    </row>
    <row r="821" spans="1:18" x14ac:dyDescent="0.25">
      <c r="A821" s="170">
        <v>43210</v>
      </c>
      <c r="B821" s="116">
        <v>5.3</v>
      </c>
      <c r="C821" s="116">
        <v>5.19</v>
      </c>
      <c r="D821" s="116">
        <v>5.14</v>
      </c>
      <c r="E821" s="116">
        <v>5.23</v>
      </c>
      <c r="F821" s="116">
        <v>25.95</v>
      </c>
      <c r="G821">
        <v>714107</v>
      </c>
      <c r="H821" s="116"/>
      <c r="I821" s="116"/>
      <c r="L821" s="170">
        <v>43210</v>
      </c>
      <c r="M821" s="116">
        <v>5.2</v>
      </c>
      <c r="N821" s="116">
        <v>5.3</v>
      </c>
      <c r="O821" s="116">
        <v>5.14</v>
      </c>
      <c r="P821" s="116">
        <v>5.24</v>
      </c>
      <c r="Q821" s="116">
        <v>26</v>
      </c>
      <c r="R821">
        <v>22911489</v>
      </c>
    </row>
    <row r="822" spans="1:18" x14ac:dyDescent="0.25">
      <c r="A822" s="170">
        <v>43213</v>
      </c>
      <c r="B822" s="116">
        <v>5.23</v>
      </c>
      <c r="C822" s="116">
        <v>5.17</v>
      </c>
      <c r="D822" s="116">
        <v>4.8</v>
      </c>
      <c r="E822" s="116">
        <v>5.15</v>
      </c>
      <c r="F822" s="116">
        <v>25.85</v>
      </c>
      <c r="G822">
        <v>685365</v>
      </c>
      <c r="H822" s="116"/>
      <c r="I822" s="116"/>
      <c r="L822" s="170">
        <v>43213</v>
      </c>
      <c r="M822" s="116">
        <v>5.17</v>
      </c>
      <c r="N822" s="116">
        <v>5.22</v>
      </c>
      <c r="O822" s="116">
        <v>5.13</v>
      </c>
      <c r="P822" s="116">
        <v>5.2</v>
      </c>
      <c r="Q822" s="116">
        <v>25.85</v>
      </c>
      <c r="R822">
        <v>6136777</v>
      </c>
    </row>
    <row r="823" spans="1:18" x14ac:dyDescent="0.25">
      <c r="A823" s="170">
        <v>43214</v>
      </c>
      <c r="B823" s="116">
        <v>5.2</v>
      </c>
      <c r="C823" s="116">
        <v>5.04</v>
      </c>
      <c r="D823" s="116">
        <v>4.9800000000000004</v>
      </c>
      <c r="E823" s="116">
        <v>5.2</v>
      </c>
      <c r="F823" s="116">
        <v>25.2</v>
      </c>
      <c r="G823">
        <v>1029389</v>
      </c>
      <c r="H823" s="116"/>
      <c r="I823" s="116"/>
      <c r="L823" s="170">
        <v>43214</v>
      </c>
      <c r="M823" s="116">
        <v>5.0599999999999996</v>
      </c>
      <c r="N823" s="116">
        <v>5.18</v>
      </c>
      <c r="O823" s="116">
        <v>4.9800000000000004</v>
      </c>
      <c r="P823" s="116">
        <v>5.17</v>
      </c>
      <c r="Q823" s="116">
        <v>25.3</v>
      </c>
      <c r="R823">
        <v>9407684</v>
      </c>
    </row>
    <row r="824" spans="1:18" x14ac:dyDescent="0.25">
      <c r="A824" s="170">
        <v>43215</v>
      </c>
      <c r="B824" s="116">
        <v>5.04</v>
      </c>
      <c r="C824" s="116">
        <v>4.95</v>
      </c>
      <c r="D824" s="116">
        <v>4.92</v>
      </c>
      <c r="E824" s="116">
        <v>5</v>
      </c>
      <c r="F824" s="116">
        <v>24.75</v>
      </c>
      <c r="G824">
        <v>383241</v>
      </c>
      <c r="H824" s="116"/>
      <c r="I824" s="116"/>
      <c r="L824" s="170">
        <v>43215</v>
      </c>
      <c r="M824" s="116">
        <v>4.96</v>
      </c>
      <c r="N824" s="116">
        <v>5.05</v>
      </c>
      <c r="O824" s="116">
        <v>4.93</v>
      </c>
      <c r="P824" s="116">
        <v>5.0199999999999996</v>
      </c>
      <c r="Q824" s="116">
        <v>24.8</v>
      </c>
      <c r="R824">
        <v>5388575</v>
      </c>
    </row>
    <row r="825" spans="1:18" x14ac:dyDescent="0.25">
      <c r="A825" s="170">
        <v>43216</v>
      </c>
      <c r="B825" s="116">
        <v>4.97</v>
      </c>
      <c r="C825" s="116">
        <v>4.87</v>
      </c>
      <c r="D825" s="116">
        <v>4.83</v>
      </c>
      <c r="E825" s="116">
        <v>4.95</v>
      </c>
      <c r="F825" s="116">
        <v>24.35</v>
      </c>
      <c r="G825">
        <v>529800</v>
      </c>
      <c r="H825" s="116"/>
      <c r="I825" s="116"/>
      <c r="L825" s="170">
        <v>43216</v>
      </c>
      <c r="M825" s="116">
        <v>4.8600000000000003</v>
      </c>
      <c r="N825" s="116">
        <v>4.96</v>
      </c>
      <c r="O825" s="116">
        <v>4.83</v>
      </c>
      <c r="P825" s="116">
        <v>4.92</v>
      </c>
      <c r="Q825" s="116">
        <v>24.3</v>
      </c>
      <c r="R825">
        <v>12563843</v>
      </c>
    </row>
    <row r="826" spans="1:18" x14ac:dyDescent="0.25">
      <c r="A826" s="170">
        <v>43217</v>
      </c>
      <c r="B826" s="116">
        <v>5.08</v>
      </c>
      <c r="C826" s="116">
        <v>5.05</v>
      </c>
      <c r="D826" s="116">
        <v>4.83</v>
      </c>
      <c r="E826" s="116">
        <v>4.83</v>
      </c>
      <c r="F826" s="116">
        <v>25.25</v>
      </c>
      <c r="G826">
        <v>974148</v>
      </c>
      <c r="H826" s="116"/>
      <c r="I826" s="116"/>
      <c r="L826" s="170">
        <v>43217</v>
      </c>
      <c r="M826" s="116">
        <v>5.0599999999999996</v>
      </c>
      <c r="N826" s="116">
        <v>5.09</v>
      </c>
      <c r="O826" s="116">
        <v>4.88</v>
      </c>
      <c r="P826" s="116">
        <v>4.9000000000000004</v>
      </c>
      <c r="Q826" s="116">
        <v>25.3</v>
      </c>
      <c r="R826">
        <v>11772328</v>
      </c>
    </row>
    <row r="827" spans="1:18" x14ac:dyDescent="0.25">
      <c r="A827" s="170">
        <v>43220</v>
      </c>
      <c r="B827" s="116">
        <v>5.23</v>
      </c>
      <c r="C827" s="116">
        <v>5.14</v>
      </c>
      <c r="D827" s="116">
        <v>5.05</v>
      </c>
      <c r="E827" s="116">
        <v>5.07</v>
      </c>
      <c r="F827" s="116">
        <v>25.7</v>
      </c>
      <c r="G827">
        <v>520509</v>
      </c>
      <c r="H827" s="116"/>
      <c r="I827" s="116"/>
      <c r="L827" s="170">
        <v>43220</v>
      </c>
      <c r="M827" s="116">
        <v>5.14</v>
      </c>
      <c r="N827" s="116">
        <v>5.24</v>
      </c>
      <c r="O827" s="116">
        <v>5.04</v>
      </c>
      <c r="P827" s="116">
        <v>5.08</v>
      </c>
      <c r="Q827" s="116">
        <v>25.7</v>
      </c>
      <c r="R827">
        <v>7265939</v>
      </c>
    </row>
    <row r="828" spans="1:18" x14ac:dyDescent="0.25">
      <c r="A828" s="170">
        <v>43222</v>
      </c>
      <c r="B828" s="116">
        <v>5.22</v>
      </c>
      <c r="C828" s="116">
        <v>5.03</v>
      </c>
      <c r="D828" s="116">
        <v>4.9800000000000004</v>
      </c>
      <c r="E828" s="116">
        <v>5.12</v>
      </c>
      <c r="F828" s="116">
        <v>25.15</v>
      </c>
      <c r="G828">
        <v>641414</v>
      </c>
      <c r="H828" s="116"/>
      <c r="I828" s="116"/>
      <c r="L828" s="170">
        <v>43222</v>
      </c>
      <c r="M828" s="116">
        <v>5.04</v>
      </c>
      <c r="N828" s="116">
        <v>5.22</v>
      </c>
      <c r="O828" s="116">
        <v>4.9800000000000004</v>
      </c>
      <c r="P828" s="116">
        <v>5.1100000000000003</v>
      </c>
      <c r="Q828" s="116">
        <v>25.2</v>
      </c>
      <c r="R828">
        <v>7490102</v>
      </c>
    </row>
    <row r="829" spans="1:18" x14ac:dyDescent="0.25">
      <c r="A829" s="170">
        <v>43223</v>
      </c>
      <c r="B829" s="116">
        <v>5.0599999999999996</v>
      </c>
      <c r="C829" s="116">
        <v>4.92</v>
      </c>
      <c r="D829" s="116">
        <v>4.8600000000000003</v>
      </c>
      <c r="E829" s="116">
        <v>5.0599999999999996</v>
      </c>
      <c r="F829" s="116">
        <v>24.6</v>
      </c>
      <c r="G829">
        <v>560160</v>
      </c>
      <c r="H829" s="116"/>
      <c r="I829" s="116"/>
      <c r="L829" s="170">
        <v>43223</v>
      </c>
      <c r="M829" s="116">
        <v>4.92</v>
      </c>
      <c r="N829" s="116">
        <v>5.03</v>
      </c>
      <c r="O829" s="116">
        <v>4.8499999999999996</v>
      </c>
      <c r="P829" s="116">
        <v>5.03</v>
      </c>
      <c r="Q829" s="116">
        <v>24.6</v>
      </c>
      <c r="R829">
        <v>6414048</v>
      </c>
    </row>
    <row r="830" spans="1:18" x14ac:dyDescent="0.25">
      <c r="A830" s="170">
        <v>43224</v>
      </c>
      <c r="B830" s="116">
        <v>5.12</v>
      </c>
      <c r="C830" s="116">
        <v>5.04</v>
      </c>
      <c r="D830" s="116">
        <v>4.8899999999999997</v>
      </c>
      <c r="E830" s="116">
        <v>4.92</v>
      </c>
      <c r="F830" s="116">
        <v>25.2</v>
      </c>
      <c r="G830">
        <v>1071964</v>
      </c>
      <c r="H830" s="116"/>
      <c r="I830" s="116"/>
      <c r="L830" s="170">
        <v>43224</v>
      </c>
      <c r="M830" s="116">
        <v>5.05</v>
      </c>
      <c r="N830" s="116">
        <v>5.12</v>
      </c>
      <c r="O830" s="116">
        <v>4.8600000000000003</v>
      </c>
      <c r="P830" s="116">
        <v>4.88</v>
      </c>
      <c r="Q830" s="116">
        <v>25.25</v>
      </c>
      <c r="R830">
        <v>11994183</v>
      </c>
    </row>
    <row r="831" spans="1:18" x14ac:dyDescent="0.25">
      <c r="A831" s="170">
        <v>43227</v>
      </c>
      <c r="B831" s="116">
        <v>5.04</v>
      </c>
      <c r="C831" s="116">
        <v>5.03</v>
      </c>
      <c r="D831" s="116">
        <v>4.9000000000000004</v>
      </c>
      <c r="E831" s="116">
        <v>5.03</v>
      </c>
      <c r="F831" s="116">
        <v>25.15</v>
      </c>
      <c r="G831">
        <v>629944</v>
      </c>
      <c r="H831" s="116"/>
      <c r="I831" s="116"/>
      <c r="L831" s="170">
        <v>43227</v>
      </c>
      <c r="M831" s="116">
        <v>5.0199999999999996</v>
      </c>
      <c r="N831" s="116">
        <v>5.05</v>
      </c>
      <c r="O831" s="116">
        <v>4.91</v>
      </c>
      <c r="P831" s="116">
        <v>5.0199999999999996</v>
      </c>
      <c r="Q831" s="116">
        <v>25.1</v>
      </c>
      <c r="R831">
        <v>18031044</v>
      </c>
    </row>
    <row r="832" spans="1:18" x14ac:dyDescent="0.25">
      <c r="A832" s="170">
        <v>43228</v>
      </c>
      <c r="B832" s="116">
        <v>5.12</v>
      </c>
      <c r="C832" s="116">
        <v>4.93</v>
      </c>
      <c r="D832" s="116">
        <v>4.88</v>
      </c>
      <c r="E832" s="116">
        <v>5.12</v>
      </c>
      <c r="F832" s="116">
        <v>24.65</v>
      </c>
      <c r="G832">
        <v>709451</v>
      </c>
      <c r="H832" s="116"/>
      <c r="I832" s="116"/>
      <c r="L832" s="170">
        <v>43228</v>
      </c>
      <c r="M832" s="116">
        <v>4.93</v>
      </c>
      <c r="N832" s="116">
        <v>5.0599999999999996</v>
      </c>
      <c r="O832" s="116">
        <v>4.87</v>
      </c>
      <c r="P832" s="116">
        <v>5.04</v>
      </c>
      <c r="Q832" s="116">
        <v>24.65</v>
      </c>
      <c r="R832">
        <v>20725982</v>
      </c>
    </row>
    <row r="833" spans="1:18" x14ac:dyDescent="0.25">
      <c r="A833" s="170">
        <v>43229</v>
      </c>
      <c r="B833" s="116">
        <v>4.95</v>
      </c>
      <c r="C833" s="116">
        <v>4.9000000000000004</v>
      </c>
      <c r="D833" s="116">
        <v>4.8899999999999997</v>
      </c>
      <c r="E833" s="116">
        <v>4.91</v>
      </c>
      <c r="F833" s="116">
        <v>24.5</v>
      </c>
      <c r="G833">
        <v>347375</v>
      </c>
      <c r="H833" s="116"/>
      <c r="I833" s="116"/>
      <c r="L833" s="170">
        <v>43229</v>
      </c>
      <c r="M833" s="116">
        <v>4.91</v>
      </c>
      <c r="N833" s="116">
        <v>4.95</v>
      </c>
      <c r="O833" s="116">
        <v>4.88</v>
      </c>
      <c r="P833" s="116">
        <v>4.9000000000000004</v>
      </c>
      <c r="Q833" s="116">
        <v>24.55</v>
      </c>
      <c r="R833">
        <v>18402887</v>
      </c>
    </row>
    <row r="834" spans="1:18" x14ac:dyDescent="0.25">
      <c r="A834" s="170">
        <v>43230</v>
      </c>
      <c r="B834" s="116">
        <v>4.92</v>
      </c>
      <c r="C834" s="116">
        <v>4.88</v>
      </c>
      <c r="D834" s="116">
        <v>4.8</v>
      </c>
      <c r="E834" s="116">
        <v>4.87</v>
      </c>
      <c r="F834" s="116">
        <v>24.4</v>
      </c>
      <c r="G834">
        <v>558629</v>
      </c>
      <c r="H834" s="116"/>
      <c r="I834" s="116"/>
      <c r="L834" s="170">
        <v>43230</v>
      </c>
      <c r="M834" s="116">
        <v>4.88</v>
      </c>
      <c r="N834" s="116">
        <v>4.93</v>
      </c>
      <c r="O834" s="116">
        <v>4.79</v>
      </c>
      <c r="P834" s="116">
        <v>4.93</v>
      </c>
      <c r="Q834" s="116">
        <v>24.4</v>
      </c>
      <c r="R834">
        <v>17829555</v>
      </c>
    </row>
    <row r="835" spans="1:18" x14ac:dyDescent="0.25">
      <c r="A835" s="170">
        <v>43231</v>
      </c>
      <c r="B835" s="116">
        <v>4.8899999999999997</v>
      </c>
      <c r="C835" s="116">
        <v>4.7699999999999996</v>
      </c>
      <c r="D835" s="116">
        <v>4.7</v>
      </c>
      <c r="E835" s="116">
        <v>4.8600000000000003</v>
      </c>
      <c r="F835" s="116">
        <v>23.85</v>
      </c>
      <c r="G835">
        <v>644961</v>
      </c>
      <c r="H835" s="116"/>
      <c r="I835" s="116"/>
      <c r="L835" s="170">
        <v>43231</v>
      </c>
      <c r="M835" s="116">
        <v>4.7699999999999996</v>
      </c>
      <c r="N835" s="116">
        <v>4.9000000000000004</v>
      </c>
      <c r="O835" s="116">
        <v>4.7</v>
      </c>
      <c r="P835" s="116">
        <v>4.9000000000000004</v>
      </c>
      <c r="Q835" s="116">
        <v>23.85</v>
      </c>
      <c r="R835">
        <v>7272649</v>
      </c>
    </row>
    <row r="836" spans="1:18" x14ac:dyDescent="0.25">
      <c r="A836" s="170">
        <v>43234</v>
      </c>
      <c r="B836" s="116">
        <v>4.78</v>
      </c>
      <c r="C836" s="116">
        <v>4.34</v>
      </c>
      <c r="D836" s="116">
        <v>4.18</v>
      </c>
      <c r="E836" s="116">
        <v>4.68</v>
      </c>
      <c r="F836" s="116">
        <v>21.7</v>
      </c>
      <c r="G836">
        <v>1276657</v>
      </c>
      <c r="H836" s="116"/>
      <c r="I836" s="116"/>
      <c r="L836" s="170">
        <v>43234</v>
      </c>
      <c r="M836" s="116">
        <v>4.3600000000000003</v>
      </c>
      <c r="N836" s="116">
        <v>4.79</v>
      </c>
      <c r="O836" s="116">
        <v>4.1399999999999997</v>
      </c>
      <c r="P836" s="116">
        <v>4.79</v>
      </c>
      <c r="Q836" s="116">
        <v>21.8</v>
      </c>
      <c r="R836">
        <v>13102221</v>
      </c>
    </row>
    <row r="837" spans="1:18" x14ac:dyDescent="0.25">
      <c r="A837" s="170">
        <v>43235</v>
      </c>
      <c r="B837" s="116">
        <v>4.5</v>
      </c>
      <c r="C837" s="116">
        <v>4.3899999999999997</v>
      </c>
      <c r="D837" s="116">
        <v>4.1900000000000004</v>
      </c>
      <c r="E837" s="116">
        <v>4.34</v>
      </c>
      <c r="F837" s="116">
        <v>21.95</v>
      </c>
      <c r="G837">
        <v>1348241</v>
      </c>
      <c r="H837" s="116"/>
      <c r="I837" s="116"/>
      <c r="L837" s="170">
        <v>43235</v>
      </c>
      <c r="M837" s="116">
        <v>4.4000000000000004</v>
      </c>
      <c r="N837" s="116">
        <v>4.4800000000000004</v>
      </c>
      <c r="O837" s="116">
        <v>4.21</v>
      </c>
      <c r="P837" s="116">
        <v>4.28</v>
      </c>
      <c r="Q837" s="116">
        <v>22</v>
      </c>
      <c r="R837">
        <v>14071606</v>
      </c>
    </row>
    <row r="838" spans="1:18" x14ac:dyDescent="0.25">
      <c r="A838" s="170">
        <v>43236</v>
      </c>
      <c r="B838" s="116">
        <v>4.43</v>
      </c>
      <c r="C838" s="116">
        <v>4.3600000000000003</v>
      </c>
      <c r="D838" s="116">
        <v>4.28</v>
      </c>
      <c r="E838" s="116">
        <v>4.3600000000000003</v>
      </c>
      <c r="F838" s="116">
        <v>21.8</v>
      </c>
      <c r="G838">
        <v>724479</v>
      </c>
      <c r="H838" s="116"/>
      <c r="I838" s="116"/>
      <c r="L838" s="170">
        <v>43236</v>
      </c>
      <c r="M838" s="116">
        <v>4.3600000000000003</v>
      </c>
      <c r="N838" s="116">
        <v>4.42</v>
      </c>
      <c r="O838" s="116">
        <v>4.2699999999999996</v>
      </c>
      <c r="P838" s="116">
        <v>4.4000000000000004</v>
      </c>
      <c r="Q838" s="116">
        <v>21.8</v>
      </c>
      <c r="R838">
        <v>6196115</v>
      </c>
    </row>
    <row r="839" spans="1:18" x14ac:dyDescent="0.25">
      <c r="A839" s="170">
        <v>43237</v>
      </c>
      <c r="B839" s="116">
        <v>4.55</v>
      </c>
      <c r="C839" s="116">
        <v>4.49</v>
      </c>
      <c r="D839" s="116">
        <v>4.2699999999999996</v>
      </c>
      <c r="E839" s="116">
        <v>4.38</v>
      </c>
      <c r="F839" s="116">
        <v>22.45</v>
      </c>
      <c r="G839">
        <v>1006439</v>
      </c>
      <c r="H839" s="116"/>
      <c r="I839" s="116"/>
      <c r="L839" s="170">
        <v>43237</v>
      </c>
      <c r="M839" s="116">
        <v>4.47</v>
      </c>
      <c r="N839" s="116">
        <v>4.55</v>
      </c>
      <c r="O839" s="116">
        <v>4.26</v>
      </c>
      <c r="P839" s="116">
        <v>4.3600000000000003</v>
      </c>
      <c r="Q839" s="116">
        <v>22.35</v>
      </c>
      <c r="R839">
        <v>9330813</v>
      </c>
    </row>
    <row r="840" spans="1:18" x14ac:dyDescent="0.25">
      <c r="A840" s="170">
        <v>43238</v>
      </c>
      <c r="B840" s="116">
        <v>4.51</v>
      </c>
      <c r="C840" s="116">
        <v>4.24</v>
      </c>
      <c r="D840" s="116">
        <v>4.2</v>
      </c>
      <c r="E840" s="116">
        <v>4.49</v>
      </c>
      <c r="F840" s="116">
        <v>21.2</v>
      </c>
      <c r="G840">
        <v>1013423</v>
      </c>
      <c r="H840" s="116"/>
      <c r="I840" s="116"/>
      <c r="L840" s="170">
        <v>43238</v>
      </c>
      <c r="M840" s="116">
        <v>4.2300000000000004</v>
      </c>
      <c r="N840" s="116">
        <v>4.51</v>
      </c>
      <c r="O840" s="116">
        <v>4.17</v>
      </c>
      <c r="P840" s="116">
        <v>4.49</v>
      </c>
      <c r="Q840" s="116">
        <v>21.15</v>
      </c>
      <c r="R840">
        <v>9036639</v>
      </c>
    </row>
    <row r="841" spans="1:18" x14ac:dyDescent="0.25">
      <c r="A841" s="170">
        <v>43241</v>
      </c>
      <c r="B841" s="116">
        <v>4.3099999999999996</v>
      </c>
      <c r="C841" s="116">
        <v>4.1500000000000004</v>
      </c>
      <c r="D841" s="116">
        <v>4.0599999999999996</v>
      </c>
      <c r="E841" s="116">
        <v>4.3</v>
      </c>
      <c r="F841" s="116">
        <v>20.75</v>
      </c>
      <c r="G841">
        <v>790628</v>
      </c>
      <c r="H841" s="116"/>
      <c r="I841" s="116"/>
      <c r="L841" s="170">
        <v>43241</v>
      </c>
      <c r="M841" s="116">
        <v>4.1399999999999997</v>
      </c>
      <c r="N841" s="116">
        <v>4.3099999999999996</v>
      </c>
      <c r="O841" s="116">
        <v>4.0599999999999996</v>
      </c>
      <c r="P841" s="116">
        <v>4.26</v>
      </c>
      <c r="Q841" s="116">
        <v>20.7</v>
      </c>
      <c r="R841">
        <v>7186536</v>
      </c>
    </row>
    <row r="842" spans="1:18" x14ac:dyDescent="0.25">
      <c r="A842" s="170">
        <v>43242</v>
      </c>
      <c r="B842" s="116">
        <v>4.2</v>
      </c>
      <c r="C842" s="116">
        <v>4.04</v>
      </c>
      <c r="D842" s="116">
        <v>4.0199999999999996</v>
      </c>
      <c r="E842" s="116">
        <v>4.2</v>
      </c>
      <c r="F842" s="116">
        <v>20.2</v>
      </c>
      <c r="G842">
        <v>882529</v>
      </c>
      <c r="H842" s="116"/>
      <c r="I842" s="116"/>
      <c r="L842" s="170">
        <v>43242</v>
      </c>
      <c r="M842" s="116">
        <v>4.04</v>
      </c>
      <c r="N842" s="116">
        <v>4.2</v>
      </c>
      <c r="O842" s="116">
        <v>4</v>
      </c>
      <c r="P842" s="116">
        <v>4.16</v>
      </c>
      <c r="Q842" s="116">
        <v>20.2</v>
      </c>
      <c r="R842">
        <v>13814458</v>
      </c>
    </row>
    <row r="843" spans="1:18" x14ac:dyDescent="0.25">
      <c r="A843" s="170">
        <v>43243</v>
      </c>
      <c r="B843" s="116">
        <v>4.0999999999999996</v>
      </c>
      <c r="C843" s="116">
        <v>4.03</v>
      </c>
      <c r="D843" s="116">
        <v>3.97</v>
      </c>
      <c r="E843" s="116">
        <v>4.0199999999999996</v>
      </c>
      <c r="F843" s="116">
        <v>20.149999999999999</v>
      </c>
      <c r="G843">
        <v>971168</v>
      </c>
      <c r="H843" s="116"/>
      <c r="I843" s="116"/>
      <c r="L843" s="170">
        <v>43243</v>
      </c>
      <c r="M843" s="116">
        <v>4.0199999999999996</v>
      </c>
      <c r="N843" s="116">
        <v>4.09</v>
      </c>
      <c r="O843" s="116">
        <v>3.96</v>
      </c>
      <c r="P843" s="116">
        <v>4.0599999999999996</v>
      </c>
      <c r="Q843" s="116">
        <v>20.100000000000001</v>
      </c>
      <c r="R843">
        <v>11592612</v>
      </c>
    </row>
    <row r="844" spans="1:18" x14ac:dyDescent="0.25">
      <c r="A844" s="170">
        <v>43244</v>
      </c>
      <c r="B844" s="116">
        <v>4.04</v>
      </c>
      <c r="C844" s="116">
        <v>3.77</v>
      </c>
      <c r="D844" s="116">
        <v>3.72</v>
      </c>
      <c r="E844" s="116">
        <v>4.04</v>
      </c>
      <c r="F844" s="116">
        <v>18.850000000000001</v>
      </c>
      <c r="G844">
        <v>1713676</v>
      </c>
      <c r="H844" s="116"/>
      <c r="I844" s="116"/>
      <c r="L844" s="170">
        <v>43244</v>
      </c>
      <c r="M844" s="116">
        <v>3.78</v>
      </c>
      <c r="N844" s="116">
        <v>4.04</v>
      </c>
      <c r="O844" s="116">
        <v>3.71</v>
      </c>
      <c r="P844" s="116">
        <v>4.01</v>
      </c>
      <c r="Q844" s="116">
        <v>18.899999999999999</v>
      </c>
      <c r="R844">
        <v>20383467</v>
      </c>
    </row>
    <row r="845" spans="1:18" x14ac:dyDescent="0.25">
      <c r="A845" s="170">
        <v>43245</v>
      </c>
      <c r="B845" s="116">
        <v>4.0999999999999996</v>
      </c>
      <c r="C845" s="116">
        <v>4.01</v>
      </c>
      <c r="D845" s="116">
        <v>3.74</v>
      </c>
      <c r="E845" s="116">
        <v>3.85</v>
      </c>
      <c r="F845" s="116">
        <v>20.05</v>
      </c>
      <c r="G845">
        <v>1485210</v>
      </c>
      <c r="H845" s="116"/>
      <c r="I845" s="116"/>
      <c r="L845" s="170">
        <v>43245</v>
      </c>
      <c r="M845" s="116">
        <v>4.01</v>
      </c>
      <c r="N845" s="116">
        <v>4.12</v>
      </c>
      <c r="O845" s="116">
        <v>3.73</v>
      </c>
      <c r="P845" s="116">
        <v>3.8</v>
      </c>
      <c r="Q845" s="116">
        <v>20.05</v>
      </c>
      <c r="R845">
        <v>23687898</v>
      </c>
    </row>
    <row r="846" spans="1:18" x14ac:dyDescent="0.25">
      <c r="A846" s="170">
        <v>43248</v>
      </c>
      <c r="B846" s="116">
        <v>4.08</v>
      </c>
      <c r="C846" s="116">
        <v>4.0599999999999996</v>
      </c>
      <c r="D846" s="116">
        <v>3.96</v>
      </c>
      <c r="E846" s="116">
        <v>4.05</v>
      </c>
      <c r="F846" s="116">
        <v>20.3</v>
      </c>
      <c r="G846">
        <v>1102992</v>
      </c>
      <c r="H846" s="116"/>
      <c r="I846" s="116"/>
      <c r="L846" s="170">
        <v>43248</v>
      </c>
      <c r="M846" s="116">
        <v>4.05</v>
      </c>
      <c r="N846" s="116">
        <v>4.08</v>
      </c>
      <c r="O846" s="116">
        <v>3.93</v>
      </c>
      <c r="P846" s="116">
        <v>4.0599999999999996</v>
      </c>
      <c r="Q846" s="116">
        <v>20.25</v>
      </c>
      <c r="R846">
        <v>13660763</v>
      </c>
    </row>
    <row r="847" spans="1:18" x14ac:dyDescent="0.25">
      <c r="A847" s="170">
        <v>43249</v>
      </c>
      <c r="B847" s="116">
        <v>4.3</v>
      </c>
      <c r="C847" s="116">
        <v>4.1100000000000003</v>
      </c>
      <c r="D847" s="116">
        <v>4.0199999999999996</v>
      </c>
      <c r="E847" s="116">
        <v>4.05</v>
      </c>
      <c r="F847" s="116">
        <v>20.55</v>
      </c>
      <c r="G847">
        <v>1116040</v>
      </c>
      <c r="H847" s="116"/>
      <c r="I847" s="116"/>
      <c r="L847" s="170">
        <v>43249</v>
      </c>
      <c r="M847" s="116">
        <v>4.0999999999999996</v>
      </c>
      <c r="N847" s="116">
        <v>4.3099999999999996</v>
      </c>
      <c r="O847" s="116">
        <v>4.01</v>
      </c>
      <c r="P847" s="116">
        <v>4.03</v>
      </c>
      <c r="Q847" s="116">
        <v>20.5</v>
      </c>
      <c r="R847">
        <v>19334210</v>
      </c>
    </row>
    <row r="848" spans="1:18" x14ac:dyDescent="0.25">
      <c r="A848" s="170">
        <v>43250</v>
      </c>
      <c r="B848" s="116">
        <v>4.13</v>
      </c>
      <c r="C848" s="116">
        <v>4.03</v>
      </c>
      <c r="D848" s="116">
        <v>3.98</v>
      </c>
      <c r="E848" s="116">
        <v>4.07</v>
      </c>
      <c r="F848" s="116">
        <v>20.149999999999999</v>
      </c>
      <c r="G848">
        <v>1097888</v>
      </c>
      <c r="H848" s="116"/>
      <c r="I848" s="116"/>
      <c r="L848" s="170">
        <v>43250</v>
      </c>
      <c r="M848" s="116">
        <v>4</v>
      </c>
      <c r="N848" s="116">
        <v>4.0999999999999996</v>
      </c>
      <c r="O848" s="116">
        <v>3.96</v>
      </c>
      <c r="P848" s="116">
        <v>4.0999999999999996</v>
      </c>
      <c r="Q848" s="116">
        <v>20</v>
      </c>
      <c r="R848">
        <v>19847499</v>
      </c>
    </row>
    <row r="849" spans="1:18" x14ac:dyDescent="0.25">
      <c r="A849" s="170">
        <v>43251</v>
      </c>
      <c r="B849" s="116">
        <v>4.0999999999999996</v>
      </c>
      <c r="C849" s="116">
        <v>4.04</v>
      </c>
      <c r="D849" s="116">
        <v>3.99</v>
      </c>
      <c r="E849" s="116">
        <v>4.03</v>
      </c>
      <c r="F849" s="116">
        <v>20.2</v>
      </c>
      <c r="G849">
        <v>827775</v>
      </c>
      <c r="H849" s="116"/>
      <c r="I849" s="116"/>
      <c r="L849" s="170">
        <v>43251</v>
      </c>
      <c r="M849" s="116">
        <v>4.03</v>
      </c>
      <c r="N849" s="116">
        <v>4.0999999999999996</v>
      </c>
      <c r="O849" s="116">
        <v>3.98</v>
      </c>
      <c r="P849" s="116">
        <v>4.04</v>
      </c>
      <c r="Q849" s="116">
        <v>20.149999999999999</v>
      </c>
      <c r="R849">
        <v>13337604</v>
      </c>
    </row>
    <row r="850" spans="1:18" x14ac:dyDescent="0.25">
      <c r="A850" s="170">
        <v>43252</v>
      </c>
      <c r="B850" s="116">
        <v>4.05</v>
      </c>
      <c r="C850" s="116">
        <v>3.92</v>
      </c>
      <c r="D850" s="116">
        <v>3.72</v>
      </c>
      <c r="E850" s="116">
        <v>4.05</v>
      </c>
      <c r="F850" s="116">
        <v>19.600000000000001</v>
      </c>
      <c r="G850">
        <v>1484405</v>
      </c>
      <c r="H850" s="116"/>
      <c r="I850" s="116"/>
      <c r="L850" s="170">
        <v>43252</v>
      </c>
      <c r="M850" s="116">
        <v>3.92</v>
      </c>
      <c r="N850" s="116">
        <v>4.04</v>
      </c>
      <c r="O850" s="116">
        <v>3.71</v>
      </c>
      <c r="P850" s="116">
        <v>3.98</v>
      </c>
      <c r="Q850" s="116">
        <v>19.600000000000001</v>
      </c>
      <c r="R850">
        <v>16922073</v>
      </c>
    </row>
    <row r="851" spans="1:18" x14ac:dyDescent="0.25">
      <c r="A851" s="170">
        <v>43255</v>
      </c>
      <c r="B851" s="116">
        <v>3.95</v>
      </c>
      <c r="C851" s="116">
        <v>3.7</v>
      </c>
      <c r="D851" s="116">
        <v>3.66</v>
      </c>
      <c r="E851" s="116">
        <v>3.93</v>
      </c>
      <c r="F851" s="116">
        <v>18.5</v>
      </c>
      <c r="G851">
        <v>1721270</v>
      </c>
      <c r="H851" s="116"/>
      <c r="I851" s="116"/>
      <c r="L851" s="170">
        <v>43255</v>
      </c>
      <c r="M851" s="116">
        <v>3.69</v>
      </c>
      <c r="N851" s="116">
        <v>3.95</v>
      </c>
      <c r="O851" s="116">
        <v>3.65</v>
      </c>
      <c r="P851" s="116">
        <v>3.95</v>
      </c>
      <c r="Q851" s="116">
        <v>18.45</v>
      </c>
      <c r="R851">
        <v>15817584</v>
      </c>
    </row>
    <row r="852" spans="1:18" x14ac:dyDescent="0.25">
      <c r="A852" s="170">
        <v>43256</v>
      </c>
      <c r="B852" s="116">
        <v>3.7</v>
      </c>
      <c r="C852" s="116">
        <v>3.51</v>
      </c>
      <c r="D852" s="116">
        <v>3.44</v>
      </c>
      <c r="E852" s="116">
        <v>3.69</v>
      </c>
      <c r="F852" s="116">
        <v>17.55</v>
      </c>
      <c r="G852">
        <v>1623484</v>
      </c>
      <c r="H852" s="116"/>
      <c r="I852" s="116"/>
      <c r="L852" s="170">
        <v>43256</v>
      </c>
      <c r="M852" s="116">
        <v>3.5</v>
      </c>
      <c r="N852" s="116">
        <v>3.69</v>
      </c>
      <c r="O852" s="116">
        <v>3.43</v>
      </c>
      <c r="P852" s="116">
        <v>3.69</v>
      </c>
      <c r="Q852" s="116">
        <v>17.5</v>
      </c>
      <c r="R852">
        <v>15766305</v>
      </c>
    </row>
    <row r="853" spans="1:18" x14ac:dyDescent="0.25">
      <c r="A853" s="170">
        <v>43257</v>
      </c>
      <c r="B853" s="116">
        <v>3.69</v>
      </c>
      <c r="C853" s="116">
        <v>3.65</v>
      </c>
      <c r="D853" s="116">
        <v>3.49</v>
      </c>
      <c r="E853" s="116">
        <v>3.55</v>
      </c>
      <c r="F853" s="116">
        <v>18.25</v>
      </c>
      <c r="G853">
        <v>3323294</v>
      </c>
      <c r="H853" s="116"/>
      <c r="I853" s="116"/>
      <c r="L853" s="170">
        <v>43257</v>
      </c>
      <c r="M853" s="116">
        <v>3.65</v>
      </c>
      <c r="N853" s="116">
        <v>3.69</v>
      </c>
      <c r="O853" s="116">
        <v>3.48</v>
      </c>
      <c r="P853" s="116">
        <v>3.5</v>
      </c>
      <c r="Q853" s="116">
        <v>18.25</v>
      </c>
      <c r="R853">
        <v>19960969</v>
      </c>
    </row>
    <row r="854" spans="1:18" x14ac:dyDescent="0.25">
      <c r="A854" s="170">
        <v>43258</v>
      </c>
      <c r="B854" s="116">
        <v>3.9</v>
      </c>
      <c r="C854" s="116">
        <v>3.85</v>
      </c>
      <c r="D854" s="116">
        <v>3.67</v>
      </c>
      <c r="E854" s="116">
        <v>3.75</v>
      </c>
      <c r="F854" s="116">
        <v>19.25</v>
      </c>
      <c r="G854">
        <v>1800740</v>
      </c>
      <c r="H854" s="116"/>
      <c r="I854" s="116"/>
      <c r="L854" s="170">
        <v>43258</v>
      </c>
      <c r="M854" s="116">
        <v>3.86</v>
      </c>
      <c r="N854" s="116">
        <v>3.9</v>
      </c>
      <c r="O854" s="116">
        <v>3.67</v>
      </c>
      <c r="P854" s="116">
        <v>3.79</v>
      </c>
      <c r="Q854" s="116">
        <v>19.3</v>
      </c>
      <c r="R854">
        <v>19446368</v>
      </c>
    </row>
    <row r="855" spans="1:18" x14ac:dyDescent="0.25">
      <c r="A855" s="170">
        <v>43259</v>
      </c>
      <c r="B855" s="116">
        <v>3.9</v>
      </c>
      <c r="C855" s="116">
        <v>3.88</v>
      </c>
      <c r="D855" s="116">
        <v>3.77</v>
      </c>
      <c r="E855" s="116">
        <v>3.86</v>
      </c>
      <c r="F855" s="116">
        <v>19.399999999999999</v>
      </c>
      <c r="G855">
        <v>750218</v>
      </c>
      <c r="H855" s="116"/>
      <c r="I855" s="116"/>
      <c r="L855" s="170">
        <v>43259</v>
      </c>
      <c r="M855" s="116">
        <v>3.87</v>
      </c>
      <c r="N855" s="116">
        <v>3.9</v>
      </c>
      <c r="O855" s="116">
        <v>3.76</v>
      </c>
      <c r="P855" s="116">
        <v>3.84</v>
      </c>
      <c r="Q855" s="116">
        <v>19.350000000000001</v>
      </c>
      <c r="R855">
        <v>8912529</v>
      </c>
    </row>
    <row r="856" spans="1:18" x14ac:dyDescent="0.25">
      <c r="A856" s="170">
        <v>43262</v>
      </c>
      <c r="B856" s="116">
        <v>4.0199999999999996</v>
      </c>
      <c r="C856" s="116">
        <v>3.91</v>
      </c>
      <c r="D856" s="116">
        <v>3.83</v>
      </c>
      <c r="E856" s="116">
        <v>3.87</v>
      </c>
      <c r="F856" s="116">
        <v>19.55</v>
      </c>
      <c r="G856">
        <v>1078819</v>
      </c>
      <c r="H856" s="116"/>
      <c r="I856" s="116"/>
      <c r="L856" s="170">
        <v>43262</v>
      </c>
      <c r="M856" s="116">
        <v>3.91</v>
      </c>
      <c r="N856" s="116">
        <v>4.0199999999999996</v>
      </c>
      <c r="O856" s="116">
        <v>3.83</v>
      </c>
      <c r="P856" s="116">
        <v>3.85</v>
      </c>
      <c r="Q856" s="116">
        <v>19.55</v>
      </c>
      <c r="R856">
        <v>10958826</v>
      </c>
    </row>
    <row r="857" spans="1:18" x14ac:dyDescent="0.25">
      <c r="A857" s="170">
        <v>43263</v>
      </c>
      <c r="B857" s="116">
        <v>3.92</v>
      </c>
      <c r="C857" s="116">
        <v>3.85</v>
      </c>
      <c r="D857" s="116">
        <v>3.79</v>
      </c>
      <c r="E857" s="116">
        <v>3.9</v>
      </c>
      <c r="F857" s="116">
        <v>19.25</v>
      </c>
      <c r="G857">
        <v>866374</v>
      </c>
      <c r="H857" s="116"/>
      <c r="I857" s="116"/>
      <c r="L857" s="170">
        <v>43263</v>
      </c>
      <c r="M857" s="116">
        <v>3.86</v>
      </c>
      <c r="N857" s="116">
        <v>3.92</v>
      </c>
      <c r="O857" s="116">
        <v>3.77</v>
      </c>
      <c r="P857" s="116">
        <v>3.9</v>
      </c>
      <c r="Q857" s="116">
        <v>19.3</v>
      </c>
      <c r="R857">
        <v>11435014</v>
      </c>
    </row>
    <row r="858" spans="1:18" x14ac:dyDescent="0.25">
      <c r="A858" s="170">
        <v>43264</v>
      </c>
      <c r="B858" s="116">
        <v>3.93</v>
      </c>
      <c r="C858" s="116">
        <v>3.86</v>
      </c>
      <c r="D858" s="116">
        <v>3.82</v>
      </c>
      <c r="E858" s="116">
        <v>3.9</v>
      </c>
      <c r="F858" s="116">
        <v>19.3</v>
      </c>
      <c r="G858">
        <v>1005423</v>
      </c>
      <c r="H858" s="116"/>
      <c r="I858" s="116"/>
      <c r="L858" s="170">
        <v>43264</v>
      </c>
      <c r="M858" s="116">
        <v>3.86</v>
      </c>
      <c r="N858" s="116">
        <v>3.93</v>
      </c>
      <c r="O858" s="116">
        <v>3.83</v>
      </c>
      <c r="P858" s="116">
        <v>3.86</v>
      </c>
      <c r="Q858" s="116">
        <v>19.3</v>
      </c>
      <c r="R858">
        <v>7278551</v>
      </c>
    </row>
    <row r="859" spans="1:18" x14ac:dyDescent="0.25">
      <c r="A859" s="170">
        <v>43265</v>
      </c>
      <c r="B859" s="116">
        <v>3.88</v>
      </c>
      <c r="C859" s="116">
        <v>3.83</v>
      </c>
      <c r="D859" s="116">
        <v>3.78</v>
      </c>
      <c r="E859" s="116">
        <v>3.83</v>
      </c>
      <c r="F859" s="116">
        <v>19.149999999999999</v>
      </c>
      <c r="G859">
        <v>569925</v>
      </c>
      <c r="H859" s="116"/>
      <c r="I859" s="116"/>
      <c r="L859" s="170">
        <v>43265</v>
      </c>
      <c r="M859" s="116">
        <v>3.83</v>
      </c>
      <c r="N859" s="116">
        <v>3.87</v>
      </c>
      <c r="O859" s="116">
        <v>3.76</v>
      </c>
      <c r="P859" s="116">
        <v>3.84</v>
      </c>
      <c r="Q859" s="116">
        <v>19.149999999999999</v>
      </c>
      <c r="R859">
        <v>6671941</v>
      </c>
    </row>
    <row r="860" spans="1:18" x14ac:dyDescent="0.25">
      <c r="A860" s="170">
        <v>43266</v>
      </c>
      <c r="B860" s="116">
        <v>3.87</v>
      </c>
      <c r="C860" s="116">
        <v>3.69</v>
      </c>
      <c r="D860" s="116">
        <v>3.65</v>
      </c>
      <c r="E860" s="116">
        <v>3.84</v>
      </c>
      <c r="F860" s="116">
        <v>18.45</v>
      </c>
      <c r="G860">
        <v>1473191</v>
      </c>
      <c r="H860" s="116"/>
      <c r="I860" s="116"/>
      <c r="L860" s="170">
        <v>43266</v>
      </c>
      <c r="M860" s="116">
        <v>3.69</v>
      </c>
      <c r="N860" s="116">
        <v>3.87</v>
      </c>
      <c r="O860" s="116">
        <v>3.65</v>
      </c>
      <c r="P860" s="116">
        <v>3.84</v>
      </c>
      <c r="Q860" s="116">
        <v>18.45</v>
      </c>
      <c r="R860">
        <v>12187878</v>
      </c>
    </row>
    <row r="861" spans="1:18" x14ac:dyDescent="0.25">
      <c r="A861" s="170">
        <v>43269</v>
      </c>
      <c r="B861" s="116">
        <v>3.74</v>
      </c>
      <c r="C861" s="116">
        <v>3.66</v>
      </c>
      <c r="D861" s="116">
        <v>3.61</v>
      </c>
      <c r="E861" s="116">
        <v>3.7</v>
      </c>
      <c r="F861" s="116">
        <v>18.3</v>
      </c>
      <c r="G861">
        <v>617645</v>
      </c>
      <c r="H861" s="116"/>
      <c r="I861" s="116"/>
      <c r="L861" s="170">
        <v>43269</v>
      </c>
      <c r="M861" s="116">
        <v>3.65</v>
      </c>
      <c r="N861" s="116">
        <v>3.7</v>
      </c>
      <c r="O861" s="116">
        <v>3.6</v>
      </c>
      <c r="P861" s="116">
        <v>3.67</v>
      </c>
      <c r="Q861" s="116">
        <v>18.25</v>
      </c>
      <c r="R861">
        <v>8202815</v>
      </c>
    </row>
    <row r="862" spans="1:18" x14ac:dyDescent="0.25">
      <c r="A862" s="170">
        <v>43270</v>
      </c>
      <c r="B862" s="116">
        <v>3.73</v>
      </c>
      <c r="C862" s="116">
        <v>3.7</v>
      </c>
      <c r="D862" s="116">
        <v>3.6</v>
      </c>
      <c r="E862" s="116">
        <v>3.62</v>
      </c>
      <c r="F862" s="116">
        <v>18.5</v>
      </c>
      <c r="G862">
        <v>640804</v>
      </c>
      <c r="H862" s="116"/>
      <c r="I862" s="116"/>
      <c r="L862" s="170">
        <v>43270</v>
      </c>
      <c r="M862" s="116">
        <v>3.7</v>
      </c>
      <c r="N862" s="116">
        <v>3.74</v>
      </c>
      <c r="O862" s="116">
        <v>3.59</v>
      </c>
      <c r="P862" s="116">
        <v>3.62</v>
      </c>
      <c r="Q862" s="116">
        <v>18.5</v>
      </c>
      <c r="R862">
        <v>9275480</v>
      </c>
    </row>
    <row r="863" spans="1:18" x14ac:dyDescent="0.25">
      <c r="A863" s="170">
        <v>43271</v>
      </c>
      <c r="B863" s="116">
        <v>3.84</v>
      </c>
      <c r="C863" s="116">
        <v>3.82</v>
      </c>
      <c r="D863" s="116">
        <v>3.42</v>
      </c>
      <c r="E863" s="116">
        <v>3.66</v>
      </c>
      <c r="F863" s="116">
        <v>19.100000000000001</v>
      </c>
      <c r="G863">
        <v>763354</v>
      </c>
      <c r="H863" s="116"/>
      <c r="I863" s="116"/>
      <c r="L863" s="170">
        <v>43271</v>
      </c>
      <c r="M863" s="116">
        <v>3.83</v>
      </c>
      <c r="N863" s="116">
        <v>3.85</v>
      </c>
      <c r="O863" s="116">
        <v>3.64</v>
      </c>
      <c r="P863" s="116">
        <v>3.68</v>
      </c>
      <c r="Q863" s="116">
        <v>19.149999999999999</v>
      </c>
      <c r="R863">
        <v>8856271</v>
      </c>
    </row>
    <row r="864" spans="1:18" x14ac:dyDescent="0.25">
      <c r="A864" s="170">
        <v>43272</v>
      </c>
      <c r="B864" s="116">
        <v>3.91</v>
      </c>
      <c r="C864" s="116">
        <v>3.74</v>
      </c>
      <c r="D864" s="116">
        <v>3.69</v>
      </c>
      <c r="E864" s="116">
        <v>3.9</v>
      </c>
      <c r="F864" s="116">
        <v>18.7</v>
      </c>
      <c r="G864">
        <v>1377402</v>
      </c>
      <c r="H864" s="116"/>
      <c r="I864" s="116"/>
      <c r="L864" s="170">
        <v>43272</v>
      </c>
      <c r="M864" s="116">
        <v>3.74</v>
      </c>
      <c r="N864" s="116">
        <v>3.91</v>
      </c>
      <c r="O864" s="116">
        <v>3.69</v>
      </c>
      <c r="P864" s="116">
        <v>3.89</v>
      </c>
      <c r="Q864" s="116">
        <v>18.7</v>
      </c>
      <c r="R864">
        <v>14679933</v>
      </c>
    </row>
    <row r="865" spans="1:18" x14ac:dyDescent="0.25">
      <c r="A865" s="170">
        <v>43273</v>
      </c>
      <c r="B865" s="116">
        <v>3.74</v>
      </c>
      <c r="C865" s="116">
        <v>3.7</v>
      </c>
      <c r="D865" s="116">
        <v>3.47</v>
      </c>
      <c r="E865" s="116">
        <v>3.72</v>
      </c>
      <c r="F865" s="116">
        <v>18.5</v>
      </c>
      <c r="G865">
        <v>1207348</v>
      </c>
      <c r="H865" s="116"/>
      <c r="I865" s="116"/>
      <c r="L865" s="170">
        <v>43273</v>
      </c>
      <c r="M865" s="116">
        <v>3.7</v>
      </c>
      <c r="N865" s="116">
        <v>3.74</v>
      </c>
      <c r="O865" s="116">
        <v>3.58</v>
      </c>
      <c r="P865" s="116">
        <v>3.72</v>
      </c>
      <c r="Q865" s="116">
        <v>18.5</v>
      </c>
      <c r="R865">
        <v>11590100</v>
      </c>
    </row>
    <row r="866" spans="1:18" x14ac:dyDescent="0.25">
      <c r="A866" s="170">
        <v>43276</v>
      </c>
      <c r="B866" s="116">
        <v>3.75</v>
      </c>
      <c r="C866" s="116">
        <v>3.58</v>
      </c>
      <c r="D866" s="116">
        <v>3.55</v>
      </c>
      <c r="E866" s="116">
        <v>3.72</v>
      </c>
      <c r="F866" s="116">
        <v>17.899999999999999</v>
      </c>
      <c r="G866">
        <v>1544194</v>
      </c>
      <c r="H866" s="116"/>
      <c r="I866" s="116"/>
      <c r="L866" s="170">
        <v>43276</v>
      </c>
      <c r="M866" s="116">
        <v>3.59</v>
      </c>
      <c r="N866" s="116">
        <v>3.77</v>
      </c>
      <c r="O866" s="116">
        <v>3.54</v>
      </c>
      <c r="P866" s="116">
        <v>3.74</v>
      </c>
      <c r="Q866" s="116">
        <v>17.95</v>
      </c>
      <c r="R866">
        <v>11782650</v>
      </c>
    </row>
    <row r="867" spans="1:18" x14ac:dyDescent="0.25">
      <c r="A867" s="170">
        <v>43277</v>
      </c>
      <c r="B867" s="116">
        <v>3.6</v>
      </c>
      <c r="C867" s="116">
        <v>3.43</v>
      </c>
      <c r="D867" s="116">
        <v>3.41</v>
      </c>
      <c r="E867" s="116">
        <v>3.58</v>
      </c>
      <c r="F867" s="116">
        <v>17.149999999999999</v>
      </c>
      <c r="G867">
        <v>1206109</v>
      </c>
      <c r="H867" s="116"/>
      <c r="I867" s="116"/>
      <c r="L867" s="170">
        <v>43277</v>
      </c>
      <c r="M867" s="116">
        <v>3.42</v>
      </c>
      <c r="N867" s="116">
        <v>3.61</v>
      </c>
      <c r="O867" s="116">
        <v>3.4</v>
      </c>
      <c r="P867" s="116">
        <v>3.56</v>
      </c>
      <c r="Q867" s="116">
        <v>17.100000000000001</v>
      </c>
      <c r="R867">
        <v>13986727</v>
      </c>
    </row>
    <row r="868" spans="1:18" x14ac:dyDescent="0.25">
      <c r="A868" s="170">
        <v>43278</v>
      </c>
      <c r="B868" s="116">
        <v>3.46</v>
      </c>
      <c r="C868" s="116">
        <v>3.25</v>
      </c>
      <c r="D868" s="116">
        <v>3.2</v>
      </c>
      <c r="E868" s="116">
        <v>3.46</v>
      </c>
      <c r="F868" s="116">
        <v>16.25</v>
      </c>
      <c r="G868">
        <v>2144647</v>
      </c>
      <c r="H868" s="116"/>
      <c r="I868" s="116"/>
      <c r="L868" s="170">
        <v>43278</v>
      </c>
      <c r="M868" s="116">
        <v>3.26</v>
      </c>
      <c r="N868" s="116">
        <v>3.46</v>
      </c>
      <c r="O868" s="116">
        <v>3.2</v>
      </c>
      <c r="P868" s="116">
        <v>3.42</v>
      </c>
      <c r="Q868" s="116">
        <v>16.3</v>
      </c>
      <c r="R868">
        <v>17424093</v>
      </c>
    </row>
    <row r="869" spans="1:18" x14ac:dyDescent="0.25">
      <c r="A869" s="170">
        <v>43279</v>
      </c>
      <c r="B869" s="116">
        <v>3.28</v>
      </c>
      <c r="C869" s="116">
        <v>3.11</v>
      </c>
      <c r="D869" s="116">
        <v>3.08</v>
      </c>
      <c r="E869" s="116">
        <v>3.2</v>
      </c>
      <c r="F869" s="116">
        <v>15.55</v>
      </c>
      <c r="G869">
        <v>3631722</v>
      </c>
      <c r="H869" s="116"/>
      <c r="I869" s="116"/>
      <c r="L869" s="170">
        <v>43279</v>
      </c>
      <c r="M869" s="116">
        <v>3.1</v>
      </c>
      <c r="N869" s="116">
        <v>3.27</v>
      </c>
      <c r="O869" s="116">
        <v>3.05</v>
      </c>
      <c r="P869" s="116">
        <v>3.25</v>
      </c>
      <c r="Q869" s="116">
        <v>15.5</v>
      </c>
      <c r="R869">
        <v>24227763</v>
      </c>
    </row>
    <row r="870" spans="1:18" x14ac:dyDescent="0.25">
      <c r="A870" s="170">
        <v>43280</v>
      </c>
      <c r="B870" s="116">
        <v>3.28</v>
      </c>
      <c r="C870" s="116">
        <v>3.23</v>
      </c>
      <c r="D870" s="116">
        <v>3.08</v>
      </c>
      <c r="E870" s="116">
        <v>3.13</v>
      </c>
      <c r="F870" s="116">
        <v>16.149999999999999</v>
      </c>
      <c r="G870">
        <v>3048221</v>
      </c>
      <c r="H870" s="116"/>
      <c r="I870" s="116"/>
      <c r="L870" s="170">
        <v>43280</v>
      </c>
      <c r="M870" s="116">
        <v>3.23</v>
      </c>
      <c r="N870" s="116">
        <v>3.29</v>
      </c>
      <c r="O870" s="116">
        <v>3.08</v>
      </c>
      <c r="P870" s="116">
        <v>3.12</v>
      </c>
      <c r="Q870" s="116">
        <v>16.149999999999999</v>
      </c>
      <c r="R870">
        <v>18458160</v>
      </c>
    </row>
    <row r="871" spans="1:18" x14ac:dyDescent="0.25">
      <c r="A871" s="170">
        <v>43283</v>
      </c>
      <c r="B871" s="116">
        <v>3.25</v>
      </c>
      <c r="C871" s="116">
        <v>3.09</v>
      </c>
      <c r="D871" s="116">
        <v>3.04</v>
      </c>
      <c r="E871" s="116">
        <v>3.23</v>
      </c>
      <c r="F871" s="116">
        <v>15.45</v>
      </c>
      <c r="G871">
        <v>1172705</v>
      </c>
      <c r="H871" s="116"/>
      <c r="I871" s="116"/>
      <c r="L871" s="170">
        <v>43283</v>
      </c>
      <c r="M871" s="116">
        <v>3.09</v>
      </c>
      <c r="N871" s="116">
        <v>3.24</v>
      </c>
      <c r="O871" s="116">
        <v>3.03</v>
      </c>
      <c r="P871" s="116">
        <v>3.24</v>
      </c>
      <c r="Q871" s="116">
        <v>15.45</v>
      </c>
      <c r="R871">
        <v>14289411</v>
      </c>
    </row>
    <row r="872" spans="1:18" x14ac:dyDescent="0.25">
      <c r="A872" s="170">
        <v>43284</v>
      </c>
      <c r="B872" s="116">
        <v>3.23</v>
      </c>
      <c r="C872" s="116">
        <v>3.2</v>
      </c>
      <c r="D872" s="116">
        <v>3.07</v>
      </c>
      <c r="E872" s="116">
        <v>3.16</v>
      </c>
      <c r="F872" s="116">
        <v>16</v>
      </c>
      <c r="G872">
        <v>913156</v>
      </c>
      <c r="H872" s="116"/>
      <c r="I872" s="116"/>
      <c r="L872" s="170">
        <v>43284</v>
      </c>
      <c r="M872" s="116">
        <v>3.2</v>
      </c>
      <c r="N872" s="116">
        <v>3.23</v>
      </c>
      <c r="O872" s="116">
        <v>3.06</v>
      </c>
      <c r="P872" s="116">
        <v>3.09</v>
      </c>
      <c r="Q872" s="116">
        <v>16</v>
      </c>
      <c r="R872">
        <v>10469657</v>
      </c>
    </row>
    <row r="873" spans="1:18" x14ac:dyDescent="0.25">
      <c r="A873" s="170">
        <v>43285</v>
      </c>
      <c r="B873" s="116">
        <v>3.26</v>
      </c>
      <c r="C873" s="116">
        <v>3.22</v>
      </c>
      <c r="D873" s="116">
        <v>3.07</v>
      </c>
      <c r="E873" s="116">
        <v>3.26</v>
      </c>
      <c r="F873" s="116">
        <v>16.100000000000001</v>
      </c>
      <c r="G873">
        <v>989630</v>
      </c>
      <c r="H873" s="116"/>
      <c r="I873" s="116"/>
      <c r="L873" s="170">
        <v>43285</v>
      </c>
      <c r="M873" s="116">
        <v>3.22</v>
      </c>
      <c r="N873" s="116">
        <v>3.26</v>
      </c>
      <c r="O873" s="116">
        <v>3.14</v>
      </c>
      <c r="P873" s="116">
        <v>3.18</v>
      </c>
      <c r="Q873" s="116">
        <v>16.100000000000001</v>
      </c>
      <c r="R873">
        <v>8746331</v>
      </c>
    </row>
    <row r="874" spans="1:18" x14ac:dyDescent="0.25">
      <c r="A874" s="170">
        <v>43286</v>
      </c>
      <c r="B874" s="116">
        <v>3.22</v>
      </c>
      <c r="C874" s="116">
        <v>3.12</v>
      </c>
      <c r="D874" s="116">
        <v>3.08</v>
      </c>
      <c r="E874" s="116">
        <v>3.22</v>
      </c>
      <c r="F874" s="116">
        <v>15.6</v>
      </c>
      <c r="G874">
        <v>791592</v>
      </c>
      <c r="H874" s="116"/>
      <c r="I874" s="116"/>
      <c r="L874" s="170">
        <v>43286</v>
      </c>
      <c r="M874" s="116">
        <v>3.11</v>
      </c>
      <c r="N874" s="116">
        <v>3.22</v>
      </c>
      <c r="O874" s="116">
        <v>3.07</v>
      </c>
      <c r="P874" s="116">
        <v>3.2</v>
      </c>
      <c r="Q874" s="116">
        <v>15.55</v>
      </c>
      <c r="R874">
        <v>9583356</v>
      </c>
    </row>
    <row r="875" spans="1:18" x14ac:dyDescent="0.25">
      <c r="A875" s="170">
        <v>43287</v>
      </c>
      <c r="B875" s="116">
        <v>3.43</v>
      </c>
      <c r="C875" s="116">
        <v>3.33</v>
      </c>
      <c r="D875" s="116">
        <v>3.12</v>
      </c>
      <c r="E875" s="116">
        <v>3.14</v>
      </c>
      <c r="F875" s="116">
        <v>16.649999999999999</v>
      </c>
      <c r="G875">
        <v>1926386</v>
      </c>
      <c r="H875" s="116"/>
      <c r="I875" s="116"/>
      <c r="L875" s="170">
        <v>43287</v>
      </c>
      <c r="M875" s="116">
        <v>3.33</v>
      </c>
      <c r="N875" s="116">
        <v>3.43</v>
      </c>
      <c r="O875" s="116">
        <v>3.11</v>
      </c>
      <c r="P875" s="116">
        <v>3.14</v>
      </c>
      <c r="Q875" s="116">
        <v>16.649999999999999</v>
      </c>
      <c r="R875">
        <v>20536428</v>
      </c>
    </row>
    <row r="876" spans="1:18" x14ac:dyDescent="0.25">
      <c r="A876" s="170">
        <v>43290</v>
      </c>
      <c r="B876" s="116">
        <v>3.38</v>
      </c>
      <c r="C876" s="116">
        <v>3.31</v>
      </c>
      <c r="D876" s="116">
        <v>3.28</v>
      </c>
      <c r="E876" s="116">
        <v>3.35</v>
      </c>
      <c r="F876" s="116">
        <v>16.55</v>
      </c>
      <c r="G876">
        <v>997110</v>
      </c>
      <c r="H876" s="116"/>
      <c r="I876" s="116"/>
      <c r="L876" s="170">
        <v>43290</v>
      </c>
      <c r="M876" s="116">
        <v>3.31</v>
      </c>
      <c r="N876" s="116">
        <v>3.4</v>
      </c>
      <c r="O876" s="116">
        <v>3.28</v>
      </c>
      <c r="P876" s="116">
        <v>3.33</v>
      </c>
      <c r="Q876" s="116">
        <v>16.55</v>
      </c>
      <c r="R876">
        <v>8137741</v>
      </c>
    </row>
    <row r="877" spans="1:18" x14ac:dyDescent="0.25">
      <c r="A877" s="170">
        <v>43291</v>
      </c>
      <c r="B877" s="116">
        <v>3.5</v>
      </c>
      <c r="C877" s="116">
        <v>3.47</v>
      </c>
      <c r="D877" s="116">
        <v>3.32</v>
      </c>
      <c r="E877" s="116">
        <v>3.37</v>
      </c>
      <c r="F877" s="116">
        <v>17.350000000000001</v>
      </c>
      <c r="G877">
        <v>1323783</v>
      </c>
      <c r="H877" s="116"/>
      <c r="I877" s="116"/>
      <c r="L877" s="170">
        <v>43291</v>
      </c>
      <c r="M877" s="116">
        <v>3.47</v>
      </c>
      <c r="N877" s="116">
        <v>3.5</v>
      </c>
      <c r="O877" s="116">
        <v>3.31</v>
      </c>
      <c r="P877" s="116">
        <v>3.32</v>
      </c>
      <c r="Q877" s="116">
        <v>17.350000000000001</v>
      </c>
      <c r="R877">
        <v>13163101</v>
      </c>
    </row>
    <row r="878" spans="1:18" x14ac:dyDescent="0.25">
      <c r="A878" s="170">
        <v>43292</v>
      </c>
      <c r="B878" s="116">
        <v>4.16</v>
      </c>
      <c r="C878" s="116">
        <v>4.08</v>
      </c>
      <c r="D878" s="116">
        <v>3.4</v>
      </c>
      <c r="E878" s="116">
        <v>3.47</v>
      </c>
      <c r="F878" s="116">
        <v>20.399999999999999</v>
      </c>
      <c r="G878">
        <v>7377282</v>
      </c>
      <c r="H878" s="116"/>
      <c r="I878" s="116"/>
      <c r="L878" s="170">
        <v>43292</v>
      </c>
      <c r="M878" s="116">
        <v>4.08</v>
      </c>
      <c r="N878" s="116">
        <v>4.18</v>
      </c>
      <c r="O878" s="116">
        <v>3.41</v>
      </c>
      <c r="P878" s="116">
        <v>3.45</v>
      </c>
      <c r="Q878" s="116">
        <v>20.399999999999999</v>
      </c>
      <c r="R878">
        <v>124345256</v>
      </c>
    </row>
    <row r="879" spans="1:18" x14ac:dyDescent="0.25">
      <c r="A879" s="170">
        <v>43293</v>
      </c>
      <c r="B879" s="116">
        <v>4.13</v>
      </c>
      <c r="C879" s="116">
        <v>3.85</v>
      </c>
      <c r="D879" s="116">
        <v>3.76</v>
      </c>
      <c r="E879" s="116">
        <v>4.13</v>
      </c>
      <c r="F879" s="116">
        <v>19.25</v>
      </c>
      <c r="G879">
        <v>4267366</v>
      </c>
      <c r="H879" s="116"/>
      <c r="I879" s="116"/>
      <c r="L879" s="170">
        <v>43293</v>
      </c>
      <c r="M879" s="116">
        <v>3.86</v>
      </c>
      <c r="N879" s="116">
        <v>4.13</v>
      </c>
      <c r="O879" s="116">
        <v>3.75</v>
      </c>
      <c r="P879" s="116">
        <v>4.1100000000000003</v>
      </c>
      <c r="Q879" s="116">
        <v>19.3</v>
      </c>
      <c r="R879">
        <v>71240318</v>
      </c>
    </row>
    <row r="880" spans="1:18" x14ac:dyDescent="0.25">
      <c r="A880" s="170">
        <v>43294</v>
      </c>
      <c r="B880" s="116">
        <v>4.05</v>
      </c>
      <c r="C880" s="116">
        <v>3.97</v>
      </c>
      <c r="D880" s="116">
        <v>3.69</v>
      </c>
      <c r="E880" s="116">
        <v>3.87</v>
      </c>
      <c r="F880" s="116">
        <v>19.850000000000001</v>
      </c>
      <c r="G880">
        <v>3673783</v>
      </c>
      <c r="H880" s="116"/>
      <c r="I880" s="116"/>
      <c r="L880" s="170">
        <v>43294</v>
      </c>
      <c r="M880" s="116">
        <v>3.96</v>
      </c>
      <c r="N880" s="116">
        <v>4.0599999999999996</v>
      </c>
      <c r="O880" s="116">
        <v>3.68</v>
      </c>
      <c r="P880" s="116">
        <v>3.89</v>
      </c>
      <c r="Q880" s="116">
        <v>19.8</v>
      </c>
      <c r="R880">
        <v>61235308</v>
      </c>
    </row>
    <row r="881" spans="1:18" x14ac:dyDescent="0.25">
      <c r="A881" s="170">
        <v>43297</v>
      </c>
      <c r="B881" s="116">
        <v>4.01</v>
      </c>
      <c r="C881" s="116">
        <v>3.9</v>
      </c>
      <c r="D881" s="116">
        <v>3.77</v>
      </c>
      <c r="E881" s="116">
        <v>3.95</v>
      </c>
      <c r="F881" s="116">
        <v>19.5</v>
      </c>
      <c r="G881">
        <v>2360727</v>
      </c>
      <c r="H881" s="116"/>
      <c r="I881" s="116"/>
      <c r="L881" s="170">
        <v>43297</v>
      </c>
      <c r="M881" s="116">
        <v>3.91</v>
      </c>
      <c r="N881" s="116">
        <v>4.0199999999999996</v>
      </c>
      <c r="O881" s="116">
        <v>3.77</v>
      </c>
      <c r="P881" s="116">
        <v>3.92</v>
      </c>
      <c r="Q881" s="116">
        <v>19.55</v>
      </c>
      <c r="R881">
        <v>22562838</v>
      </c>
    </row>
    <row r="882" spans="1:18" x14ac:dyDescent="0.25">
      <c r="A882" s="170">
        <v>43298</v>
      </c>
      <c r="B882" s="116">
        <v>4.22</v>
      </c>
      <c r="C882" s="116">
        <v>4.1900000000000004</v>
      </c>
      <c r="D882" s="116">
        <v>3.86</v>
      </c>
      <c r="E882" s="116">
        <v>3.91</v>
      </c>
      <c r="F882" s="116">
        <v>20.95</v>
      </c>
      <c r="G882">
        <v>3395034</v>
      </c>
      <c r="H882" s="116"/>
      <c r="I882" s="116"/>
      <c r="L882" s="170">
        <v>43298</v>
      </c>
      <c r="M882" s="116">
        <v>4.1900000000000004</v>
      </c>
      <c r="N882" s="116">
        <v>4.22</v>
      </c>
      <c r="O882" s="116">
        <v>3.86</v>
      </c>
      <c r="P882" s="116">
        <v>3.9</v>
      </c>
      <c r="Q882" s="116">
        <v>20.95</v>
      </c>
      <c r="R882">
        <v>54598674</v>
      </c>
    </row>
    <row r="883" spans="1:18" x14ac:dyDescent="0.25">
      <c r="A883" s="170">
        <v>43299</v>
      </c>
      <c r="B883" s="116">
        <v>4.22</v>
      </c>
      <c r="C883" s="116">
        <v>4.0999999999999996</v>
      </c>
      <c r="D883" s="116">
        <v>4.01</v>
      </c>
      <c r="E883" s="116">
        <v>4.2</v>
      </c>
      <c r="F883" s="116">
        <v>20.5</v>
      </c>
      <c r="G883">
        <v>4311570</v>
      </c>
      <c r="H883" s="116"/>
      <c r="I883" s="116"/>
      <c r="L883" s="170">
        <v>43299</v>
      </c>
      <c r="M883" s="116">
        <v>4.12</v>
      </c>
      <c r="N883" s="116">
        <v>4.22</v>
      </c>
      <c r="O883" s="116">
        <v>4.0199999999999996</v>
      </c>
      <c r="P883" s="116">
        <v>4.1900000000000004</v>
      </c>
      <c r="Q883" s="116">
        <v>20.6</v>
      </c>
      <c r="R883">
        <v>37088454</v>
      </c>
    </row>
    <row r="884" spans="1:18" x14ac:dyDescent="0.25">
      <c r="A884" s="170">
        <v>43300</v>
      </c>
      <c r="B884" s="116">
        <v>4.47</v>
      </c>
      <c r="C884" s="116">
        <v>4.45</v>
      </c>
      <c r="D884" s="116">
        <v>4.0999999999999996</v>
      </c>
      <c r="E884" s="116">
        <v>4.17</v>
      </c>
      <c r="F884" s="116">
        <v>22.25</v>
      </c>
      <c r="G884">
        <v>3995374</v>
      </c>
      <c r="H884" s="116"/>
      <c r="I884" s="116"/>
      <c r="L884" s="170">
        <v>43300</v>
      </c>
      <c r="M884" s="116">
        <v>4.46</v>
      </c>
      <c r="N884" s="116">
        <v>4.49</v>
      </c>
      <c r="O884" s="116">
        <v>4.0999999999999996</v>
      </c>
      <c r="P884" s="116">
        <v>4.1900000000000004</v>
      </c>
      <c r="Q884" s="116">
        <v>22.3</v>
      </c>
      <c r="R884">
        <v>45612574</v>
      </c>
    </row>
    <row r="885" spans="1:18" x14ac:dyDescent="0.25">
      <c r="A885" s="170">
        <v>43301</v>
      </c>
      <c r="B885" s="116">
        <v>5</v>
      </c>
      <c r="C885" s="116">
        <v>4.93</v>
      </c>
      <c r="D885" s="116">
        <v>4.33</v>
      </c>
      <c r="E885" s="116">
        <v>4.47</v>
      </c>
      <c r="F885" s="116">
        <v>24.65</v>
      </c>
      <c r="G885">
        <v>6193811</v>
      </c>
      <c r="H885" s="116"/>
      <c r="I885" s="116"/>
      <c r="L885" s="170">
        <v>43301</v>
      </c>
      <c r="M885" s="116">
        <v>4.93</v>
      </c>
      <c r="N885" s="116">
        <v>5</v>
      </c>
      <c r="O885" s="116">
        <v>4.33</v>
      </c>
      <c r="P885" s="116">
        <v>4.46</v>
      </c>
      <c r="Q885" s="116">
        <v>24.65</v>
      </c>
      <c r="R885">
        <v>82844118</v>
      </c>
    </row>
    <row r="886" spans="1:18" x14ac:dyDescent="0.25">
      <c r="A886" s="170">
        <v>43304</v>
      </c>
      <c r="B886" s="116">
        <v>5.17</v>
      </c>
      <c r="C886" s="116">
        <v>4.97</v>
      </c>
      <c r="D886" s="116">
        <v>4.8099999999999996</v>
      </c>
      <c r="E886" s="116">
        <v>4.92</v>
      </c>
      <c r="F886" s="116">
        <v>24.85</v>
      </c>
      <c r="G886">
        <v>5473293</v>
      </c>
      <c r="H886" s="116"/>
      <c r="I886" s="116"/>
      <c r="L886" s="170">
        <v>43304</v>
      </c>
      <c r="M886" s="116">
        <v>4.99</v>
      </c>
      <c r="N886" s="116">
        <v>5.18</v>
      </c>
      <c r="O886" s="116">
        <v>4.82</v>
      </c>
      <c r="P886" s="116">
        <v>4.93</v>
      </c>
      <c r="Q886" s="116">
        <v>24.95</v>
      </c>
      <c r="R886">
        <v>53143037</v>
      </c>
    </row>
    <row r="887" spans="1:18" x14ac:dyDescent="0.25">
      <c r="A887" s="170">
        <v>43305</v>
      </c>
      <c r="B887" s="116">
        <v>5.24</v>
      </c>
      <c r="C887" s="116">
        <v>5.18</v>
      </c>
      <c r="D887" s="116">
        <v>4.88</v>
      </c>
      <c r="E887" s="116">
        <v>5.0199999999999996</v>
      </c>
      <c r="F887" s="116">
        <v>25.9</v>
      </c>
      <c r="G887">
        <v>3837414</v>
      </c>
      <c r="H887" s="116"/>
      <c r="I887" s="116"/>
      <c r="L887" s="170">
        <v>43305</v>
      </c>
      <c r="M887" s="116">
        <v>5.18</v>
      </c>
      <c r="N887" s="116">
        <v>5.25</v>
      </c>
      <c r="O887" s="116">
        <v>4.87</v>
      </c>
      <c r="P887" s="116">
        <v>4.9800000000000004</v>
      </c>
      <c r="Q887" s="116">
        <v>25.9</v>
      </c>
      <c r="R887">
        <v>43439910</v>
      </c>
    </row>
    <row r="888" spans="1:18" x14ac:dyDescent="0.25">
      <c r="A888" s="170">
        <v>43306</v>
      </c>
      <c r="B888" s="116">
        <v>5.5</v>
      </c>
      <c r="C888" s="116">
        <v>5.31</v>
      </c>
      <c r="D888" s="116">
        <v>5.0999999999999996</v>
      </c>
      <c r="E888" s="116">
        <v>5.3</v>
      </c>
      <c r="F888" s="116">
        <v>26.55</v>
      </c>
      <c r="G888">
        <v>5053285</v>
      </c>
      <c r="H888" s="116"/>
      <c r="I888" s="116"/>
      <c r="L888" s="170">
        <v>43306</v>
      </c>
      <c r="M888" s="116">
        <v>5.28</v>
      </c>
      <c r="N888" s="116">
        <v>5.52</v>
      </c>
      <c r="O888" s="116">
        <v>5.09</v>
      </c>
      <c r="P888" s="116">
        <v>5.18</v>
      </c>
      <c r="Q888" s="116">
        <v>26.4</v>
      </c>
      <c r="R888">
        <v>66516286</v>
      </c>
    </row>
    <row r="889" spans="1:18" x14ac:dyDescent="0.25">
      <c r="A889" s="170">
        <v>43307</v>
      </c>
      <c r="B889" s="116">
        <v>5.33</v>
      </c>
      <c r="C889" s="116">
        <v>5.27</v>
      </c>
      <c r="D889" s="116">
        <v>4.88</v>
      </c>
      <c r="E889" s="116">
        <v>5.0999999999999996</v>
      </c>
      <c r="F889" s="116">
        <v>26.35</v>
      </c>
      <c r="G889">
        <v>6263001</v>
      </c>
      <c r="H889" s="116"/>
      <c r="I889" s="116"/>
      <c r="L889" s="170">
        <v>43307</v>
      </c>
      <c r="M889" s="116">
        <v>5.26</v>
      </c>
      <c r="N889" s="116">
        <v>5.34</v>
      </c>
      <c r="O889" s="116">
        <v>4.88</v>
      </c>
      <c r="P889" s="116">
        <v>5.12</v>
      </c>
      <c r="Q889" s="116">
        <v>26.3</v>
      </c>
      <c r="R889">
        <v>62851120</v>
      </c>
    </row>
    <row r="890" spans="1:18" x14ac:dyDescent="0.25">
      <c r="A890" s="170">
        <v>43308</v>
      </c>
      <c r="B890" s="116">
        <v>5.4</v>
      </c>
      <c r="C890" s="116">
        <v>5.24</v>
      </c>
      <c r="D890" s="116">
        <v>5.18</v>
      </c>
      <c r="E890" s="116">
        <v>5.25</v>
      </c>
      <c r="F890" s="116">
        <v>26.2</v>
      </c>
      <c r="G890">
        <v>2969865</v>
      </c>
      <c r="H890" s="116"/>
      <c r="I890" s="116"/>
      <c r="L890" s="170">
        <v>43308</v>
      </c>
      <c r="M890" s="116">
        <v>5.24</v>
      </c>
      <c r="N890" s="116">
        <v>5.4</v>
      </c>
      <c r="O890" s="116">
        <v>5.16</v>
      </c>
      <c r="P890" s="116">
        <v>5.26</v>
      </c>
      <c r="Q890" s="116">
        <v>26.2</v>
      </c>
      <c r="R890">
        <v>39261747</v>
      </c>
    </row>
    <row r="891" spans="1:18" x14ac:dyDescent="0.25">
      <c r="A891" s="170">
        <v>43311</v>
      </c>
      <c r="B891" s="116">
        <v>5.95</v>
      </c>
      <c r="C891" s="116">
        <v>5.81</v>
      </c>
      <c r="D891" s="116">
        <v>5.16</v>
      </c>
      <c r="E891" s="116">
        <v>5.24</v>
      </c>
      <c r="F891" s="116">
        <v>29.05</v>
      </c>
      <c r="G891">
        <v>5526691</v>
      </c>
      <c r="H891" s="116"/>
      <c r="I891" s="116"/>
      <c r="L891" s="170">
        <v>43311</v>
      </c>
      <c r="M891" s="116">
        <v>5.81</v>
      </c>
      <c r="N891" s="116">
        <v>5.96</v>
      </c>
      <c r="O891" s="116">
        <v>5.16</v>
      </c>
      <c r="P891" s="116">
        <v>5.26</v>
      </c>
      <c r="Q891" s="116">
        <v>29.05</v>
      </c>
      <c r="R891">
        <v>72767742</v>
      </c>
    </row>
    <row r="892" spans="1:18" x14ac:dyDescent="0.25">
      <c r="A892" s="170">
        <v>43312</v>
      </c>
      <c r="B892" s="116">
        <v>6.33</v>
      </c>
      <c r="C892" s="116">
        <v>6.27</v>
      </c>
      <c r="D892" s="116">
        <v>5.71</v>
      </c>
      <c r="E892" s="116">
        <v>5.79</v>
      </c>
      <c r="F892" s="116">
        <v>31.35</v>
      </c>
      <c r="G892">
        <v>9958436</v>
      </c>
      <c r="H892" s="116"/>
      <c r="I892" s="116"/>
      <c r="L892" s="170">
        <v>43312</v>
      </c>
      <c r="M892" s="116">
        <v>6.27</v>
      </c>
      <c r="N892" s="116">
        <v>6.33</v>
      </c>
      <c r="O892" s="116">
        <v>5.7</v>
      </c>
      <c r="P892" s="116">
        <v>5.79</v>
      </c>
      <c r="Q892" s="116">
        <v>31.35</v>
      </c>
      <c r="R892">
        <v>100748679</v>
      </c>
    </row>
    <row r="893" spans="1:18" x14ac:dyDescent="0.25">
      <c r="A893" s="170">
        <v>43313</v>
      </c>
      <c r="B893" s="116">
        <v>6.54</v>
      </c>
      <c r="C893" s="116">
        <v>6.22</v>
      </c>
      <c r="D893" s="116">
        <v>6.08</v>
      </c>
      <c r="E893" s="116">
        <v>6.35</v>
      </c>
      <c r="F893" s="116">
        <v>31.1</v>
      </c>
      <c r="G893">
        <v>6957757</v>
      </c>
      <c r="H893" s="116"/>
      <c r="I893" s="116"/>
      <c r="L893" s="170">
        <v>43313</v>
      </c>
      <c r="M893" s="116">
        <v>6.23</v>
      </c>
      <c r="N893" s="116">
        <v>6.54</v>
      </c>
      <c r="O893" s="116">
        <v>6.11</v>
      </c>
      <c r="P893" s="116">
        <v>6.38</v>
      </c>
      <c r="Q893" s="116">
        <v>31.15</v>
      </c>
      <c r="R893">
        <v>74850712</v>
      </c>
    </row>
    <row r="894" spans="1:18" x14ac:dyDescent="0.25">
      <c r="A894" s="170">
        <v>43314</v>
      </c>
      <c r="B894" s="116">
        <v>6.25</v>
      </c>
      <c r="C894" s="116">
        <v>5.98</v>
      </c>
      <c r="D894" s="116">
        <v>5.85</v>
      </c>
      <c r="E894" s="116">
        <v>6.16</v>
      </c>
      <c r="F894" s="116">
        <v>29.9</v>
      </c>
      <c r="G894">
        <v>5105005</v>
      </c>
      <c r="H894" s="116"/>
      <c r="I894" s="116"/>
      <c r="L894" s="170">
        <v>43314</v>
      </c>
      <c r="M894" s="116">
        <v>5.97</v>
      </c>
      <c r="N894" s="116">
        <v>6.25</v>
      </c>
      <c r="O894" s="116">
        <v>5.86</v>
      </c>
      <c r="P894" s="116">
        <v>6.23</v>
      </c>
      <c r="Q894" s="116">
        <v>29.85</v>
      </c>
      <c r="R894">
        <v>70652820</v>
      </c>
    </row>
    <row r="895" spans="1:18" x14ac:dyDescent="0.25">
      <c r="A895" s="170">
        <v>43315</v>
      </c>
      <c r="B895" s="116">
        <v>6.45</v>
      </c>
      <c r="C895" s="116">
        <v>6.4</v>
      </c>
      <c r="D895" s="116">
        <v>5.95</v>
      </c>
      <c r="E895" s="116">
        <v>5.98</v>
      </c>
      <c r="F895" s="116">
        <v>32</v>
      </c>
      <c r="G895">
        <v>5946013</v>
      </c>
      <c r="H895" s="116"/>
      <c r="I895" s="116"/>
      <c r="L895" s="170">
        <v>43315</v>
      </c>
      <c r="M895" s="116">
        <v>6.4</v>
      </c>
      <c r="N895" s="116">
        <v>6.47</v>
      </c>
      <c r="O895" s="116">
        <v>5.96</v>
      </c>
      <c r="P895" s="116">
        <v>5.96</v>
      </c>
      <c r="Q895" s="116">
        <v>32</v>
      </c>
      <c r="R895">
        <v>74365916</v>
      </c>
    </row>
    <row r="896" spans="1:18" x14ac:dyDescent="0.25">
      <c r="A896" s="170">
        <v>43318</v>
      </c>
      <c r="B896" s="116">
        <v>6.72</v>
      </c>
      <c r="C896" s="116">
        <v>6.6</v>
      </c>
      <c r="D896" s="116">
        <v>6.44</v>
      </c>
      <c r="E896" s="116">
        <v>6.44</v>
      </c>
      <c r="F896" s="116">
        <v>33</v>
      </c>
      <c r="G896">
        <v>5767700</v>
      </c>
      <c r="H896" s="116"/>
      <c r="I896" s="116"/>
      <c r="L896" s="170">
        <v>43318</v>
      </c>
      <c r="M896" s="116">
        <v>6.6</v>
      </c>
      <c r="N896" s="116">
        <v>6.72</v>
      </c>
      <c r="O896" s="116">
        <v>6.44</v>
      </c>
      <c r="P896" s="116">
        <v>6.45</v>
      </c>
      <c r="Q896" s="116">
        <v>33</v>
      </c>
      <c r="R896">
        <v>51867164</v>
      </c>
    </row>
    <row r="897" spans="1:18" x14ac:dyDescent="0.25">
      <c r="A897" s="170">
        <v>43319</v>
      </c>
      <c r="B897" s="116">
        <v>6.27</v>
      </c>
      <c r="C897" s="116">
        <v>5.96</v>
      </c>
      <c r="D897" s="116">
        <v>5.83</v>
      </c>
      <c r="E897" s="116">
        <v>6.2</v>
      </c>
      <c r="F897" s="116">
        <v>29.8</v>
      </c>
      <c r="G897">
        <v>8326548</v>
      </c>
      <c r="H897" s="116"/>
      <c r="I897" s="116"/>
      <c r="L897" s="170">
        <v>43319</v>
      </c>
      <c r="M897" s="116">
        <v>5.97</v>
      </c>
      <c r="N897" s="116">
        <v>6.24</v>
      </c>
      <c r="O897" s="116">
        <v>5.8</v>
      </c>
      <c r="P897" s="116">
        <v>6.2</v>
      </c>
      <c r="Q897" s="116">
        <v>29.85</v>
      </c>
      <c r="R897">
        <v>89127565</v>
      </c>
    </row>
    <row r="898" spans="1:18" x14ac:dyDescent="0.25">
      <c r="A898" s="170">
        <v>43320</v>
      </c>
      <c r="B898" s="116">
        <v>6.4</v>
      </c>
      <c r="C898" s="116">
        <v>6.25</v>
      </c>
      <c r="D898" s="116">
        <v>5.57</v>
      </c>
      <c r="E898" s="116">
        <v>5.94</v>
      </c>
      <c r="F898" s="116">
        <v>31.25</v>
      </c>
      <c r="G898">
        <v>8477337</v>
      </c>
      <c r="H898" s="116"/>
      <c r="I898" s="116"/>
      <c r="L898" s="170">
        <v>43320</v>
      </c>
      <c r="M898" s="116">
        <v>6.25</v>
      </c>
      <c r="N898" s="116">
        <v>6.4</v>
      </c>
      <c r="O898" s="116">
        <v>5.57</v>
      </c>
      <c r="P898" s="116">
        <v>5.9</v>
      </c>
      <c r="Q898" s="116">
        <v>31.25</v>
      </c>
      <c r="R898">
        <v>101792774</v>
      </c>
    </row>
    <row r="899" spans="1:18" x14ac:dyDescent="0.25">
      <c r="A899" s="170">
        <v>43321</v>
      </c>
      <c r="B899" s="116">
        <v>6.65</v>
      </c>
      <c r="C899" s="116">
        <v>6.46</v>
      </c>
      <c r="D899" s="116">
        <v>6.38</v>
      </c>
      <c r="E899" s="116">
        <v>6.44</v>
      </c>
      <c r="F899" s="116">
        <v>32.299999999999997</v>
      </c>
      <c r="G899">
        <v>5245308</v>
      </c>
      <c r="H899" s="116"/>
      <c r="I899" s="116"/>
      <c r="L899" s="170">
        <v>43321</v>
      </c>
      <c r="M899" s="116">
        <v>6.48</v>
      </c>
      <c r="N899" s="116">
        <v>6.7</v>
      </c>
      <c r="O899" s="116">
        <v>6.37</v>
      </c>
      <c r="P899" s="116">
        <v>6.56</v>
      </c>
      <c r="Q899" s="116">
        <v>32.4</v>
      </c>
      <c r="R899">
        <v>49741068</v>
      </c>
    </row>
    <row r="900" spans="1:18" x14ac:dyDescent="0.25">
      <c r="A900" s="170">
        <v>43322</v>
      </c>
      <c r="B900" s="116">
        <v>6.47</v>
      </c>
      <c r="C900" s="116">
        <v>6.25</v>
      </c>
      <c r="D900" s="116">
        <v>6.05</v>
      </c>
      <c r="E900" s="116">
        <v>6.42</v>
      </c>
      <c r="F900" s="116">
        <v>31.25</v>
      </c>
      <c r="G900">
        <v>3683688</v>
      </c>
      <c r="H900" s="116"/>
      <c r="I900" s="116"/>
      <c r="L900" s="170">
        <v>43322</v>
      </c>
      <c r="M900" s="116">
        <v>6.26</v>
      </c>
      <c r="N900" s="116">
        <v>6.47</v>
      </c>
      <c r="O900" s="116">
        <v>6.05</v>
      </c>
      <c r="P900" s="116">
        <v>6.4</v>
      </c>
      <c r="Q900" s="116">
        <v>31.3</v>
      </c>
      <c r="R900">
        <v>39172937</v>
      </c>
    </row>
    <row r="901" spans="1:18" x14ac:dyDescent="0.25">
      <c r="A901" s="170">
        <v>43325</v>
      </c>
      <c r="B901" s="116">
        <v>6.4</v>
      </c>
      <c r="C901" s="116">
        <v>6.15</v>
      </c>
      <c r="D901" s="116">
        <v>6.11</v>
      </c>
      <c r="E901" s="116">
        <v>6.26</v>
      </c>
      <c r="F901" s="116">
        <v>30.75</v>
      </c>
      <c r="G901">
        <v>2703326</v>
      </c>
      <c r="H901" s="116"/>
      <c r="I901" s="116"/>
      <c r="L901" s="170">
        <v>43325</v>
      </c>
      <c r="M901" s="116">
        <v>6.15</v>
      </c>
      <c r="N901" s="116">
        <v>6.42</v>
      </c>
      <c r="O901" s="116">
        <v>6.12</v>
      </c>
      <c r="P901" s="116">
        <v>6.26</v>
      </c>
      <c r="Q901" s="116">
        <v>30.75</v>
      </c>
      <c r="R901">
        <v>31651346</v>
      </c>
    </row>
    <row r="902" spans="1:18" x14ac:dyDescent="0.25">
      <c r="A902" s="170">
        <v>43326</v>
      </c>
      <c r="B902" s="116">
        <v>6.47</v>
      </c>
      <c r="C902" s="116">
        <v>6.33</v>
      </c>
      <c r="D902" s="116">
        <v>6.15</v>
      </c>
      <c r="E902" s="116">
        <v>6.15</v>
      </c>
      <c r="F902" s="116">
        <v>31.65</v>
      </c>
      <c r="G902">
        <v>3220212</v>
      </c>
      <c r="H902" s="116"/>
      <c r="I902" s="116"/>
      <c r="L902" s="170">
        <v>43326</v>
      </c>
      <c r="M902" s="116">
        <v>6.34</v>
      </c>
      <c r="N902" s="116">
        <v>6.47</v>
      </c>
      <c r="O902" s="116">
        <v>6.19</v>
      </c>
      <c r="P902" s="116">
        <v>6.19</v>
      </c>
      <c r="Q902" s="116">
        <v>31.7</v>
      </c>
      <c r="R902">
        <v>29004224</v>
      </c>
    </row>
    <row r="903" spans="1:18" x14ac:dyDescent="0.25">
      <c r="A903" s="170">
        <v>43328</v>
      </c>
      <c r="B903" s="116">
        <v>6.44</v>
      </c>
      <c r="C903" s="116">
        <v>6.27</v>
      </c>
      <c r="D903" s="116">
        <v>6.2</v>
      </c>
      <c r="E903" s="116">
        <v>6.3</v>
      </c>
      <c r="F903" s="116">
        <v>31.35</v>
      </c>
      <c r="G903">
        <v>3584575</v>
      </c>
      <c r="H903" s="116"/>
      <c r="I903" s="116"/>
      <c r="L903" s="170">
        <v>43328</v>
      </c>
      <c r="M903" s="116">
        <v>6.28</v>
      </c>
      <c r="N903" s="116">
        <v>6.44</v>
      </c>
      <c r="O903" s="116">
        <v>6.21</v>
      </c>
      <c r="P903" s="116">
        <v>6.28</v>
      </c>
      <c r="Q903" s="116">
        <v>31.4</v>
      </c>
      <c r="R903">
        <v>32663843</v>
      </c>
    </row>
    <row r="904" spans="1:18" x14ac:dyDescent="0.25">
      <c r="A904" s="170">
        <v>43329</v>
      </c>
      <c r="B904" s="116">
        <v>6.43</v>
      </c>
      <c r="C904" s="116">
        <v>6.23</v>
      </c>
      <c r="D904" s="116">
        <v>6.14</v>
      </c>
      <c r="E904" s="116">
        <v>6.32</v>
      </c>
      <c r="F904" s="116">
        <v>31.15</v>
      </c>
      <c r="G904">
        <v>2130283</v>
      </c>
      <c r="H904" s="116"/>
      <c r="I904" s="116"/>
      <c r="L904" s="170">
        <v>43329</v>
      </c>
      <c r="M904" s="116">
        <v>6.25</v>
      </c>
      <c r="N904" s="116">
        <v>6.44</v>
      </c>
      <c r="O904" s="116">
        <v>6.18</v>
      </c>
      <c r="P904" s="116">
        <v>6.32</v>
      </c>
      <c r="Q904" s="116">
        <v>31.25</v>
      </c>
      <c r="R904">
        <v>18379000</v>
      </c>
    </row>
    <row r="905" spans="1:18" x14ac:dyDescent="0.25">
      <c r="A905" s="170">
        <v>43332</v>
      </c>
      <c r="B905" s="116">
        <v>6.39</v>
      </c>
      <c r="C905" s="116">
        <v>6.3</v>
      </c>
      <c r="D905" s="116">
        <v>6.25</v>
      </c>
      <c r="E905" s="116">
        <v>6.3</v>
      </c>
      <c r="F905" s="116">
        <v>31.5</v>
      </c>
      <c r="G905">
        <v>1823603</v>
      </c>
      <c r="H905" s="116"/>
      <c r="I905" s="116"/>
      <c r="L905" s="170">
        <v>43332</v>
      </c>
      <c r="M905" s="116">
        <v>6.31</v>
      </c>
      <c r="N905" s="116">
        <v>6.39</v>
      </c>
      <c r="O905" s="116">
        <v>6.26</v>
      </c>
      <c r="P905" s="116">
        <v>6.29</v>
      </c>
      <c r="Q905" s="116">
        <v>31.55</v>
      </c>
      <c r="R905">
        <v>18974468</v>
      </c>
    </row>
    <row r="906" spans="1:18" x14ac:dyDescent="0.25">
      <c r="A906" s="170">
        <v>43333</v>
      </c>
      <c r="B906" s="116">
        <v>6.63</v>
      </c>
      <c r="C906" s="116">
        <v>6.53</v>
      </c>
      <c r="D906" s="116">
        <v>6.32</v>
      </c>
      <c r="E906" s="116">
        <v>6.36</v>
      </c>
      <c r="F906" s="116">
        <v>32.65</v>
      </c>
      <c r="G906">
        <v>2093437</v>
      </c>
      <c r="H906" s="116"/>
      <c r="I906" s="116"/>
      <c r="L906" s="170">
        <v>43333</v>
      </c>
      <c r="M906" s="116">
        <v>6.53</v>
      </c>
      <c r="N906" s="116">
        <v>6.64</v>
      </c>
      <c r="O906" s="116">
        <v>6.32</v>
      </c>
      <c r="P906" s="116">
        <v>6.4</v>
      </c>
      <c r="Q906" s="116">
        <v>32.65</v>
      </c>
      <c r="R906">
        <v>25921741</v>
      </c>
    </row>
    <row r="907" spans="1:18" x14ac:dyDescent="0.25">
      <c r="A907" s="170">
        <v>43335</v>
      </c>
      <c r="B907" s="116">
        <v>6.67</v>
      </c>
      <c r="C907" s="116">
        <v>6.37</v>
      </c>
      <c r="D907" s="116">
        <v>6.3</v>
      </c>
      <c r="E907" s="116">
        <v>6.6</v>
      </c>
      <c r="F907" s="116">
        <v>31.85</v>
      </c>
      <c r="G907">
        <v>1861383</v>
      </c>
      <c r="H907" s="116"/>
      <c r="I907" s="116"/>
      <c r="L907" s="170">
        <v>43335</v>
      </c>
      <c r="M907" s="116">
        <v>6.38</v>
      </c>
      <c r="N907" s="116">
        <v>6.66</v>
      </c>
      <c r="O907" s="116">
        <v>6.3</v>
      </c>
      <c r="P907" s="116">
        <v>6.64</v>
      </c>
      <c r="Q907" s="116">
        <v>31.9</v>
      </c>
      <c r="R907">
        <v>28047038</v>
      </c>
    </row>
    <row r="908" spans="1:18" x14ac:dyDescent="0.25">
      <c r="A908" s="170">
        <v>43336</v>
      </c>
      <c r="B908" s="116">
        <v>6.43</v>
      </c>
      <c r="C908" s="116">
        <v>6.28</v>
      </c>
      <c r="D908" s="116">
        <v>6.18</v>
      </c>
      <c r="E908" s="116">
        <v>6.37</v>
      </c>
      <c r="F908" s="116">
        <v>31.4</v>
      </c>
      <c r="G908">
        <v>1779026</v>
      </c>
      <c r="H908" s="116"/>
      <c r="I908" s="116"/>
      <c r="L908" s="170">
        <v>43336</v>
      </c>
      <c r="M908" s="116">
        <v>6.27</v>
      </c>
      <c r="N908" s="116">
        <v>6.43</v>
      </c>
      <c r="O908" s="116">
        <v>6.18</v>
      </c>
      <c r="P908" s="116">
        <v>6.38</v>
      </c>
      <c r="Q908" s="116">
        <v>31.35</v>
      </c>
      <c r="R908">
        <v>19330263</v>
      </c>
    </row>
    <row r="909" spans="1:18" x14ac:dyDescent="0.25">
      <c r="A909" s="170">
        <v>43339</v>
      </c>
      <c r="B909" s="116">
        <v>6.77</v>
      </c>
      <c r="C909" s="116">
        <v>6.69</v>
      </c>
      <c r="D909" s="116">
        <v>6.29</v>
      </c>
      <c r="E909" s="116">
        <v>6.32</v>
      </c>
      <c r="F909" s="116">
        <v>33.450000000000003</v>
      </c>
      <c r="G909">
        <v>3779655</v>
      </c>
      <c r="H909" s="116"/>
      <c r="I909" s="116"/>
      <c r="L909" s="170">
        <v>43339</v>
      </c>
      <c r="M909" s="116">
        <v>6.7</v>
      </c>
      <c r="N909" s="116">
        <v>6.78</v>
      </c>
      <c r="O909" s="116">
        <v>6.29</v>
      </c>
      <c r="P909" s="116">
        <v>6.36</v>
      </c>
      <c r="Q909" s="116">
        <v>33.5</v>
      </c>
      <c r="R909">
        <v>39610008</v>
      </c>
    </row>
    <row r="910" spans="1:18" x14ac:dyDescent="0.25">
      <c r="A910" s="170">
        <v>43340</v>
      </c>
      <c r="B910" s="116">
        <v>7.15</v>
      </c>
      <c r="C910" s="116">
        <v>6.98</v>
      </c>
      <c r="D910" s="116">
        <v>6.5</v>
      </c>
      <c r="E910" s="116">
        <v>6.7</v>
      </c>
      <c r="F910" s="116">
        <v>34.9</v>
      </c>
      <c r="G910">
        <v>5451349</v>
      </c>
      <c r="H910" s="116"/>
      <c r="I910" s="116"/>
      <c r="L910" s="170">
        <v>43340</v>
      </c>
      <c r="M910" s="116">
        <v>6.97</v>
      </c>
      <c r="N910" s="116">
        <v>7.15</v>
      </c>
      <c r="O910" s="116">
        <v>6.5</v>
      </c>
      <c r="P910" s="116">
        <v>6.68</v>
      </c>
      <c r="Q910" s="116">
        <v>34.85</v>
      </c>
      <c r="R910">
        <v>68572510</v>
      </c>
    </row>
    <row r="911" spans="1:18" x14ac:dyDescent="0.25">
      <c r="A911" s="170">
        <v>43341</v>
      </c>
      <c r="B911" s="116">
        <v>7.2</v>
      </c>
      <c r="C911" s="116">
        <v>7.03</v>
      </c>
      <c r="D911" s="116">
        <v>6.83</v>
      </c>
      <c r="E911" s="116">
        <v>6.93</v>
      </c>
      <c r="F911" s="116">
        <v>35.15</v>
      </c>
      <c r="G911">
        <v>4013407</v>
      </c>
      <c r="H911" s="116"/>
      <c r="I911" s="116"/>
      <c r="L911" s="170">
        <v>43341</v>
      </c>
      <c r="M911" s="116">
        <v>7.05</v>
      </c>
      <c r="N911" s="116">
        <v>7.2</v>
      </c>
      <c r="O911" s="116">
        <v>6.83</v>
      </c>
      <c r="P911" s="116">
        <v>6.93</v>
      </c>
      <c r="Q911" s="116">
        <v>35.25</v>
      </c>
      <c r="R911">
        <v>51207471</v>
      </c>
    </row>
    <row r="912" spans="1:18" x14ac:dyDescent="0.25">
      <c r="A912" s="170">
        <v>43342</v>
      </c>
      <c r="B912" s="116">
        <v>7.16</v>
      </c>
      <c r="C912" s="116">
        <v>6.9</v>
      </c>
      <c r="D912" s="116">
        <v>6.85</v>
      </c>
      <c r="E912" s="116">
        <v>7.07</v>
      </c>
      <c r="F912" s="116">
        <v>34.5</v>
      </c>
      <c r="G912">
        <v>2233819</v>
      </c>
      <c r="H912" s="116"/>
      <c r="I912" s="116"/>
      <c r="L912" s="170">
        <v>43342</v>
      </c>
      <c r="M912" s="116">
        <v>6.89</v>
      </c>
      <c r="N912" s="116">
        <v>7.16</v>
      </c>
      <c r="O912" s="116">
        <v>6.85</v>
      </c>
      <c r="P912" s="116">
        <v>7.14</v>
      </c>
      <c r="Q912" s="116">
        <v>34.450000000000003</v>
      </c>
      <c r="R912">
        <v>28247511</v>
      </c>
    </row>
    <row r="913" spans="1:18" x14ac:dyDescent="0.25">
      <c r="A913" s="170">
        <v>43343</v>
      </c>
      <c r="B913" s="116">
        <v>7.12</v>
      </c>
      <c r="C913" s="116">
        <v>7.08</v>
      </c>
      <c r="D913" s="116">
        <v>6.72</v>
      </c>
      <c r="E913" s="116">
        <v>6.94</v>
      </c>
      <c r="F913" s="116">
        <v>35.4</v>
      </c>
      <c r="G913">
        <v>2650424</v>
      </c>
      <c r="H913" s="116"/>
      <c r="I913" s="116"/>
      <c r="L913" s="170">
        <v>43343</v>
      </c>
      <c r="M913" s="116">
        <v>7.08</v>
      </c>
      <c r="N913" s="116">
        <v>7.13</v>
      </c>
      <c r="O913" s="116">
        <v>6.71</v>
      </c>
      <c r="P913" s="116">
        <v>6.91</v>
      </c>
      <c r="Q913" s="116">
        <v>35.4</v>
      </c>
      <c r="R913">
        <v>30759470</v>
      </c>
    </row>
    <row r="914" spans="1:18" x14ac:dyDescent="0.25">
      <c r="A914" s="170">
        <v>43346</v>
      </c>
      <c r="B914" s="116">
        <v>7.21</v>
      </c>
      <c r="C914" s="116">
        <v>6.73</v>
      </c>
      <c r="D914" s="116">
        <v>6.65</v>
      </c>
      <c r="E914" s="116">
        <v>7.1</v>
      </c>
      <c r="F914" s="116">
        <v>33.65</v>
      </c>
      <c r="G914">
        <v>2385797</v>
      </c>
      <c r="H914" s="116"/>
      <c r="I914" s="116"/>
      <c r="L914" s="170">
        <v>43346</v>
      </c>
      <c r="M914" s="116">
        <v>6.74</v>
      </c>
      <c r="N914" s="116">
        <v>7.22</v>
      </c>
      <c r="O914" s="116">
        <v>6.64</v>
      </c>
      <c r="P914" s="116">
        <v>7.13</v>
      </c>
      <c r="Q914" s="116">
        <v>33.700000000000003</v>
      </c>
      <c r="R914">
        <v>24281514</v>
      </c>
    </row>
    <row r="915" spans="1:18" x14ac:dyDescent="0.25">
      <c r="A915" s="170">
        <v>43347</v>
      </c>
      <c r="B915" s="116">
        <v>6.82</v>
      </c>
      <c r="C915" s="116">
        <v>6.51</v>
      </c>
      <c r="D915" s="116">
        <v>6.43</v>
      </c>
      <c r="E915" s="116">
        <v>6.76</v>
      </c>
      <c r="F915" s="116">
        <v>32.549999999999997</v>
      </c>
      <c r="G915">
        <v>3381960</v>
      </c>
      <c r="H915" s="116"/>
      <c r="I915" s="116"/>
      <c r="L915" s="170">
        <v>43347</v>
      </c>
      <c r="M915" s="116">
        <v>6.51</v>
      </c>
      <c r="N915" s="116">
        <v>6.83</v>
      </c>
      <c r="O915" s="116">
        <v>6.43</v>
      </c>
      <c r="P915" s="116">
        <v>6.76</v>
      </c>
      <c r="Q915" s="116">
        <v>32.549999999999997</v>
      </c>
      <c r="R915">
        <v>30290599</v>
      </c>
    </row>
    <row r="916" spans="1:18" x14ac:dyDescent="0.25">
      <c r="A916" s="170">
        <v>43348</v>
      </c>
      <c r="B916" s="116">
        <v>6.62</v>
      </c>
      <c r="C916" s="116">
        <v>6.38</v>
      </c>
      <c r="D916" s="116">
        <v>6.14</v>
      </c>
      <c r="E916" s="116">
        <v>6.58</v>
      </c>
      <c r="F916" s="116">
        <v>31.9</v>
      </c>
      <c r="G916">
        <v>3232248</v>
      </c>
      <c r="H916" s="116"/>
      <c r="I916" s="116"/>
      <c r="L916" s="170">
        <v>43348</v>
      </c>
      <c r="M916" s="116">
        <v>6.37</v>
      </c>
      <c r="N916" s="116">
        <v>6.63</v>
      </c>
      <c r="O916" s="116">
        <v>6.13</v>
      </c>
      <c r="P916" s="116">
        <v>6.54</v>
      </c>
      <c r="Q916" s="116">
        <v>31.85</v>
      </c>
      <c r="R916">
        <v>34505554</v>
      </c>
    </row>
    <row r="917" spans="1:18" x14ac:dyDescent="0.25">
      <c r="A917" s="170">
        <v>43349</v>
      </c>
      <c r="B917" s="116">
        <v>6.49</v>
      </c>
      <c r="C917" s="116">
        <v>6.4</v>
      </c>
      <c r="D917" s="116">
        <v>6.28</v>
      </c>
      <c r="E917" s="116">
        <v>6.41</v>
      </c>
      <c r="F917" s="116">
        <v>32</v>
      </c>
      <c r="G917">
        <v>2333405</v>
      </c>
      <c r="H917" s="116"/>
      <c r="I917" s="116"/>
      <c r="L917" s="170">
        <v>43349</v>
      </c>
      <c r="M917" s="116">
        <v>6.38</v>
      </c>
      <c r="N917" s="116">
        <v>6.5</v>
      </c>
      <c r="O917" s="116">
        <v>6.28</v>
      </c>
      <c r="P917" s="116">
        <v>6.4</v>
      </c>
      <c r="Q917" s="116">
        <v>31.9</v>
      </c>
      <c r="R917">
        <v>24426224</v>
      </c>
    </row>
    <row r="918" spans="1:18" x14ac:dyDescent="0.25">
      <c r="A918" s="170">
        <v>43350</v>
      </c>
      <c r="B918" s="116">
        <v>6.62</v>
      </c>
      <c r="C918" s="116">
        <v>6.51</v>
      </c>
      <c r="D918" s="116">
        <v>6.33</v>
      </c>
      <c r="E918" s="116">
        <v>6.37</v>
      </c>
      <c r="F918" s="116">
        <v>32.549999999999997</v>
      </c>
      <c r="G918">
        <v>1915155</v>
      </c>
      <c r="H918" s="116"/>
      <c r="I918" s="116"/>
      <c r="L918" s="170">
        <v>43350</v>
      </c>
      <c r="M918" s="116">
        <v>6.51</v>
      </c>
      <c r="N918" s="116">
        <v>6.63</v>
      </c>
      <c r="O918" s="116">
        <v>6.32</v>
      </c>
      <c r="P918" s="116">
        <v>6.38</v>
      </c>
      <c r="Q918" s="116">
        <v>32.549999999999997</v>
      </c>
      <c r="R918">
        <v>19661362</v>
      </c>
    </row>
    <row r="919" spans="1:18" x14ac:dyDescent="0.25">
      <c r="A919" s="170">
        <v>43353</v>
      </c>
      <c r="B919" s="116">
        <v>6.56</v>
      </c>
      <c r="C919" s="116">
        <v>6.25</v>
      </c>
      <c r="D919" s="116">
        <v>6.19</v>
      </c>
      <c r="E919" s="116">
        <v>6.48</v>
      </c>
      <c r="F919" s="116">
        <v>31.25</v>
      </c>
      <c r="G919">
        <v>1780618</v>
      </c>
      <c r="H919" s="116"/>
      <c r="I919" s="116"/>
      <c r="L919" s="170">
        <v>43353</v>
      </c>
      <c r="M919" s="116">
        <v>6.25</v>
      </c>
      <c r="N919" s="116">
        <v>6.56</v>
      </c>
      <c r="O919" s="116">
        <v>6.2</v>
      </c>
      <c r="P919" s="116">
        <v>6.46</v>
      </c>
      <c r="Q919" s="116">
        <v>31.25</v>
      </c>
      <c r="R919">
        <v>18231655</v>
      </c>
    </row>
    <row r="920" spans="1:18" x14ac:dyDescent="0.25">
      <c r="A920" s="170">
        <v>43354</v>
      </c>
      <c r="B920" s="116">
        <v>6.45</v>
      </c>
      <c r="C920" s="116">
        <v>6.07</v>
      </c>
      <c r="D920" s="116">
        <v>6.01</v>
      </c>
      <c r="E920" s="116">
        <v>6.25</v>
      </c>
      <c r="F920" s="116">
        <v>30.35</v>
      </c>
      <c r="G920">
        <v>2213210</v>
      </c>
      <c r="H920" s="116"/>
      <c r="I920" s="116"/>
      <c r="L920" s="170">
        <v>43354</v>
      </c>
      <c r="M920" s="116">
        <v>6.07</v>
      </c>
      <c r="N920" s="116">
        <v>6.46</v>
      </c>
      <c r="O920" s="116">
        <v>6</v>
      </c>
      <c r="P920" s="116">
        <v>6.26</v>
      </c>
      <c r="Q920" s="116">
        <v>30.35</v>
      </c>
      <c r="R920">
        <v>26956653</v>
      </c>
    </row>
    <row r="921" spans="1:18" x14ac:dyDescent="0.25">
      <c r="A921" s="170">
        <v>43355</v>
      </c>
      <c r="B921" s="116">
        <v>6.12</v>
      </c>
      <c r="C921" s="116">
        <v>6.01</v>
      </c>
      <c r="D921" s="116">
        <v>5.81</v>
      </c>
      <c r="E921" s="116">
        <v>6.08</v>
      </c>
      <c r="F921" s="116">
        <v>30.05</v>
      </c>
      <c r="G921">
        <v>2822454</v>
      </c>
      <c r="H921" s="116"/>
      <c r="I921" s="116"/>
      <c r="L921" s="170">
        <v>43355</v>
      </c>
      <c r="M921" s="116">
        <v>6.01</v>
      </c>
      <c r="N921" s="116">
        <v>6.13</v>
      </c>
      <c r="O921" s="116">
        <v>5.8</v>
      </c>
      <c r="P921" s="116">
        <v>6.1</v>
      </c>
      <c r="Q921" s="116">
        <v>30.05</v>
      </c>
      <c r="R921">
        <v>31178744</v>
      </c>
    </row>
    <row r="922" spans="1:18" x14ac:dyDescent="0.25">
      <c r="A922" s="170">
        <v>43357</v>
      </c>
      <c r="B922" s="116">
        <v>6.26</v>
      </c>
      <c r="C922" s="116">
        <v>6.2</v>
      </c>
      <c r="D922" s="116">
        <v>6.05</v>
      </c>
      <c r="E922" s="116">
        <v>6.1</v>
      </c>
      <c r="F922" s="116">
        <v>31</v>
      </c>
      <c r="G922">
        <v>1480391</v>
      </c>
      <c r="H922" s="116"/>
      <c r="I922" s="116"/>
      <c r="L922" s="170">
        <v>43357</v>
      </c>
      <c r="M922" s="116">
        <v>6.21</v>
      </c>
      <c r="N922" s="116">
        <v>6.26</v>
      </c>
      <c r="O922" s="116">
        <v>6.05</v>
      </c>
      <c r="P922" s="116">
        <v>6.07</v>
      </c>
      <c r="Q922" s="116">
        <v>31.05</v>
      </c>
      <c r="R922">
        <v>15528354</v>
      </c>
    </row>
    <row r="923" spans="1:18" x14ac:dyDescent="0.25">
      <c r="A923" s="170">
        <v>43360</v>
      </c>
      <c r="B923" s="116">
        <v>6.24</v>
      </c>
      <c r="C923" s="116">
        <v>6.12</v>
      </c>
      <c r="D923" s="116">
        <v>6.07</v>
      </c>
      <c r="E923" s="116">
        <v>6.2</v>
      </c>
      <c r="F923" s="116">
        <v>30.6</v>
      </c>
      <c r="G923">
        <v>1669443</v>
      </c>
      <c r="H923" s="116"/>
      <c r="I923" s="116"/>
      <c r="L923" s="170">
        <v>43360</v>
      </c>
      <c r="M923" s="116">
        <v>6.11</v>
      </c>
      <c r="N923" s="116">
        <v>6.24</v>
      </c>
      <c r="O923" s="116">
        <v>6.07</v>
      </c>
      <c r="P923" s="116">
        <v>6.21</v>
      </c>
      <c r="Q923" s="116">
        <v>30.55</v>
      </c>
      <c r="R923">
        <v>21148673</v>
      </c>
    </row>
    <row r="924" spans="1:18" x14ac:dyDescent="0.25">
      <c r="A924" s="170">
        <v>43361</v>
      </c>
      <c r="B924" s="116">
        <v>6.16</v>
      </c>
      <c r="C924" s="116">
        <v>5.91</v>
      </c>
      <c r="D924" s="116">
        <v>5.86</v>
      </c>
      <c r="E924" s="116">
        <v>6.09</v>
      </c>
      <c r="F924" s="116">
        <v>29.55</v>
      </c>
      <c r="G924">
        <v>1567345</v>
      </c>
      <c r="H924" s="116"/>
      <c r="I924" s="116"/>
      <c r="L924" s="170">
        <v>43361</v>
      </c>
      <c r="M924" s="116">
        <v>5.91</v>
      </c>
      <c r="N924" s="116">
        <v>6.16</v>
      </c>
      <c r="O924" s="116">
        <v>5.86</v>
      </c>
      <c r="P924" s="116">
        <v>6.11</v>
      </c>
      <c r="Q924" s="116">
        <v>29.55</v>
      </c>
      <c r="R924">
        <v>17291743</v>
      </c>
    </row>
    <row r="925" spans="1:18" x14ac:dyDescent="0.25">
      <c r="A925" s="170">
        <v>43362</v>
      </c>
      <c r="B925" s="116">
        <v>5.99</v>
      </c>
      <c r="C925" s="116">
        <v>5.85</v>
      </c>
      <c r="D925" s="116">
        <v>5.79</v>
      </c>
      <c r="E925" s="116">
        <v>5.91</v>
      </c>
      <c r="F925" s="116">
        <v>29.25</v>
      </c>
      <c r="G925">
        <v>1892560</v>
      </c>
      <c r="H925" s="116"/>
      <c r="I925" s="116"/>
      <c r="L925" s="170">
        <v>43362</v>
      </c>
      <c r="M925" s="116">
        <v>5.86</v>
      </c>
      <c r="N925" s="116">
        <v>6</v>
      </c>
      <c r="O925" s="116">
        <v>5.78</v>
      </c>
      <c r="P925" s="116">
        <v>5.94</v>
      </c>
      <c r="Q925" s="116">
        <v>29.3</v>
      </c>
      <c r="R925">
        <v>16866001</v>
      </c>
    </row>
    <row r="926" spans="1:18" x14ac:dyDescent="0.25">
      <c r="A926" s="170">
        <v>43364</v>
      </c>
      <c r="B926" s="116">
        <v>5.98</v>
      </c>
      <c r="C926" s="116">
        <v>5.23</v>
      </c>
      <c r="D926" s="116">
        <v>4.9800000000000004</v>
      </c>
      <c r="E926" s="116">
        <v>5.86</v>
      </c>
      <c r="F926" s="116">
        <v>26.15</v>
      </c>
      <c r="G926">
        <v>2910515</v>
      </c>
      <c r="H926" s="116"/>
      <c r="I926" s="116"/>
      <c r="L926" s="170">
        <v>43364</v>
      </c>
      <c r="M926" s="116">
        <v>5.22</v>
      </c>
      <c r="N926" s="116">
        <v>5.98</v>
      </c>
      <c r="O926" s="116">
        <v>4.99</v>
      </c>
      <c r="P926" s="116">
        <v>5.86</v>
      </c>
      <c r="Q926" s="116">
        <v>26.1</v>
      </c>
      <c r="R926">
        <v>35274496</v>
      </c>
    </row>
    <row r="927" spans="1:18" x14ac:dyDescent="0.25">
      <c r="A927" s="170">
        <v>43367</v>
      </c>
      <c r="B927" s="116">
        <v>5.44</v>
      </c>
      <c r="C927" s="116">
        <v>4.93</v>
      </c>
      <c r="D927" s="116">
        <v>4.8499999999999996</v>
      </c>
      <c r="E927" s="116">
        <v>5.36</v>
      </c>
      <c r="F927" s="116">
        <v>24.65</v>
      </c>
      <c r="G927">
        <v>5478909</v>
      </c>
      <c r="H927" s="116"/>
      <c r="I927" s="116"/>
      <c r="L927" s="170">
        <v>43367</v>
      </c>
      <c r="M927" s="116">
        <v>4.95</v>
      </c>
      <c r="N927" s="116">
        <v>5.48</v>
      </c>
      <c r="O927" s="116">
        <v>4.8600000000000003</v>
      </c>
      <c r="P927" s="116">
        <v>5.48</v>
      </c>
      <c r="Q927" s="116">
        <v>24.75</v>
      </c>
      <c r="R927">
        <v>33510440</v>
      </c>
    </row>
    <row r="928" spans="1:18" x14ac:dyDescent="0.25">
      <c r="A928" s="170">
        <v>43368</v>
      </c>
      <c r="B928" s="116">
        <v>5.07</v>
      </c>
      <c r="C928" s="116">
        <v>4.9800000000000004</v>
      </c>
      <c r="D928" s="116">
        <v>4.71</v>
      </c>
      <c r="E928" s="116">
        <v>4.87</v>
      </c>
      <c r="F928" s="116">
        <v>24.9</v>
      </c>
      <c r="G928">
        <v>3038002</v>
      </c>
      <c r="H928" s="116"/>
      <c r="I928" s="116"/>
      <c r="L928" s="170">
        <v>43368</v>
      </c>
      <c r="M928" s="116">
        <v>5</v>
      </c>
      <c r="N928" s="116">
        <v>5.09</v>
      </c>
      <c r="O928" s="116">
        <v>4.71</v>
      </c>
      <c r="P928" s="116">
        <v>4.8</v>
      </c>
      <c r="Q928" s="116">
        <v>25</v>
      </c>
      <c r="R928">
        <v>20136490</v>
      </c>
    </row>
    <row r="929" spans="1:18" x14ac:dyDescent="0.25">
      <c r="A929" s="170">
        <v>43369</v>
      </c>
      <c r="B929" s="116">
        <v>5.32</v>
      </c>
      <c r="C929" s="116">
        <v>5.18</v>
      </c>
      <c r="D929" s="116">
        <v>4.9400000000000004</v>
      </c>
      <c r="E929" s="116">
        <v>5.0199999999999996</v>
      </c>
      <c r="F929" s="116">
        <v>25.9</v>
      </c>
      <c r="G929">
        <v>2804650</v>
      </c>
      <c r="H929" s="116"/>
      <c r="I929" s="116"/>
      <c r="L929" s="170">
        <v>43369</v>
      </c>
      <c r="M929" s="116">
        <v>5.2</v>
      </c>
      <c r="N929" s="116">
        <v>5.32</v>
      </c>
      <c r="O929" s="116">
        <v>4.9400000000000004</v>
      </c>
      <c r="P929" s="116">
        <v>5.04</v>
      </c>
      <c r="Q929" s="116">
        <v>26</v>
      </c>
      <c r="R929">
        <v>19034630</v>
      </c>
    </row>
    <row r="930" spans="1:18" x14ac:dyDescent="0.25">
      <c r="A930" s="170">
        <v>43370</v>
      </c>
      <c r="B930" s="116">
        <v>5.37</v>
      </c>
      <c r="C930" s="116">
        <v>5.14</v>
      </c>
      <c r="D930" s="116">
        <v>5.01</v>
      </c>
      <c r="E930" s="116">
        <v>5.21</v>
      </c>
      <c r="F930" s="116">
        <v>25.7</v>
      </c>
      <c r="G930">
        <v>3066268</v>
      </c>
      <c r="H930" s="116"/>
      <c r="I930" s="116"/>
      <c r="L930" s="170">
        <v>43370</v>
      </c>
      <c r="M930" s="116">
        <v>5.13</v>
      </c>
      <c r="N930" s="116">
        <v>5.35</v>
      </c>
      <c r="O930" s="116">
        <v>5</v>
      </c>
      <c r="P930" s="116">
        <v>5.19</v>
      </c>
      <c r="Q930" s="116">
        <v>25.65</v>
      </c>
      <c r="R930">
        <v>17645008</v>
      </c>
    </row>
    <row r="931" spans="1:18" x14ac:dyDescent="0.25">
      <c r="A931" s="170">
        <v>43371</v>
      </c>
      <c r="B931" s="116">
        <v>5.2</v>
      </c>
      <c r="C931" s="116">
        <v>4.7699999999999996</v>
      </c>
      <c r="D931" s="116">
        <v>4.71</v>
      </c>
      <c r="E931" s="116">
        <v>5.04</v>
      </c>
      <c r="F931" s="116">
        <v>23.85</v>
      </c>
      <c r="G931">
        <v>2101330</v>
      </c>
      <c r="H931" s="116"/>
      <c r="I931" s="116"/>
      <c r="L931" s="170">
        <v>43371</v>
      </c>
      <c r="M931" s="116">
        <v>4.76</v>
      </c>
      <c r="N931" s="116">
        <v>5.22</v>
      </c>
      <c r="O931" s="116">
        <v>4.7</v>
      </c>
      <c r="P931" s="116">
        <v>5.12</v>
      </c>
      <c r="Q931" s="116">
        <v>23.8</v>
      </c>
      <c r="R931">
        <v>20337203</v>
      </c>
    </row>
    <row r="932" spans="1:18" x14ac:dyDescent="0.25">
      <c r="A932" s="170">
        <v>43374</v>
      </c>
      <c r="B932" s="116">
        <v>5.31</v>
      </c>
      <c r="C932" s="116">
        <v>5.21</v>
      </c>
      <c r="D932" s="116">
        <v>4.4400000000000004</v>
      </c>
      <c r="E932" s="116">
        <v>4.84</v>
      </c>
      <c r="F932" s="116">
        <v>26.05</v>
      </c>
      <c r="G932">
        <v>3184428</v>
      </c>
      <c r="H932" s="116"/>
      <c r="I932" s="116"/>
      <c r="L932" s="170">
        <v>43374</v>
      </c>
      <c r="M932" s="116">
        <v>5.21</v>
      </c>
      <c r="N932" s="116">
        <v>5.36</v>
      </c>
      <c r="O932" s="116">
        <v>4.42</v>
      </c>
      <c r="P932" s="116">
        <v>4.7</v>
      </c>
      <c r="Q932" s="116">
        <v>26.05</v>
      </c>
      <c r="R932">
        <v>30035603</v>
      </c>
    </row>
    <row r="933" spans="1:18" x14ac:dyDescent="0.25">
      <c r="A933" s="170">
        <v>43376</v>
      </c>
      <c r="B933" s="116">
        <v>5.39</v>
      </c>
      <c r="C933" s="116">
        <v>5.2</v>
      </c>
      <c r="D933" s="116">
        <v>5.1100000000000003</v>
      </c>
      <c r="E933" s="116">
        <v>5.24</v>
      </c>
      <c r="F933" s="116">
        <v>26</v>
      </c>
      <c r="G933">
        <v>1694194</v>
      </c>
      <c r="H933" s="116"/>
      <c r="I933" s="116"/>
      <c r="L933" s="170">
        <v>43376</v>
      </c>
      <c r="M933" s="116">
        <v>5.19</v>
      </c>
      <c r="N933" s="116">
        <v>5.39</v>
      </c>
      <c r="O933" s="116">
        <v>5.0999999999999996</v>
      </c>
      <c r="P933" s="116">
        <v>5.2</v>
      </c>
      <c r="Q933" s="116">
        <v>25.95</v>
      </c>
      <c r="R933">
        <v>19008480</v>
      </c>
    </row>
    <row r="934" spans="1:18" x14ac:dyDescent="0.25">
      <c r="A934" s="170">
        <v>43377</v>
      </c>
      <c r="B934" s="116">
        <v>5.14</v>
      </c>
      <c r="C934" s="116">
        <v>4.88</v>
      </c>
      <c r="D934" s="116">
        <v>4.7699999999999996</v>
      </c>
      <c r="E934" s="116">
        <v>5.12</v>
      </c>
      <c r="F934" s="116">
        <v>24.4</v>
      </c>
      <c r="G934">
        <v>2067035</v>
      </c>
      <c r="H934" s="116"/>
      <c r="I934" s="116"/>
      <c r="L934" s="170">
        <v>43377</v>
      </c>
      <c r="M934" s="116">
        <v>4.87</v>
      </c>
      <c r="N934" s="116">
        <v>5.14</v>
      </c>
      <c r="O934" s="116">
        <v>4.76</v>
      </c>
      <c r="P934" s="116">
        <v>5.08</v>
      </c>
      <c r="Q934" s="116">
        <v>24.35</v>
      </c>
      <c r="R934">
        <v>21149699</v>
      </c>
    </row>
    <row r="935" spans="1:18" x14ac:dyDescent="0.25">
      <c r="A935" s="170">
        <v>43378</v>
      </c>
      <c r="B935" s="116">
        <v>4.97</v>
      </c>
      <c r="C935" s="116">
        <v>4.68</v>
      </c>
      <c r="D935" s="116">
        <v>4.5999999999999996</v>
      </c>
      <c r="E935" s="116">
        <v>4.84</v>
      </c>
      <c r="F935" s="116">
        <v>23.4</v>
      </c>
      <c r="G935">
        <v>1962281</v>
      </c>
      <c r="H935" s="116"/>
      <c r="I935" s="116"/>
      <c r="L935" s="170">
        <v>43378</v>
      </c>
      <c r="M935" s="116">
        <v>4.6900000000000004</v>
      </c>
      <c r="N935" s="116">
        <v>4.9800000000000004</v>
      </c>
      <c r="O935" s="116">
        <v>4.58</v>
      </c>
      <c r="P935" s="116">
        <v>4.8600000000000003</v>
      </c>
      <c r="Q935" s="116">
        <v>23.45</v>
      </c>
      <c r="R935">
        <v>15616716</v>
      </c>
    </row>
    <row r="936" spans="1:18" x14ac:dyDescent="0.25">
      <c r="A936" s="170">
        <v>43381</v>
      </c>
      <c r="B936" s="116">
        <v>4.79</v>
      </c>
      <c r="C936" s="116">
        <v>4.7</v>
      </c>
      <c r="D936" s="116">
        <v>4.22</v>
      </c>
      <c r="E936" s="116">
        <v>4.7</v>
      </c>
      <c r="F936" s="116">
        <v>23.5</v>
      </c>
      <c r="G936">
        <v>3240010</v>
      </c>
      <c r="H936" s="116"/>
      <c r="I936" s="116"/>
      <c r="L936" s="170">
        <v>43381</v>
      </c>
      <c r="M936" s="116">
        <v>4.7</v>
      </c>
      <c r="N936" s="116">
        <v>4.8099999999999996</v>
      </c>
      <c r="O936" s="116">
        <v>4.2</v>
      </c>
      <c r="P936" s="116">
        <v>4.68</v>
      </c>
      <c r="Q936" s="116">
        <v>23.5</v>
      </c>
      <c r="R936">
        <v>24072777</v>
      </c>
    </row>
    <row r="937" spans="1:18" x14ac:dyDescent="0.25">
      <c r="A937" s="170">
        <v>43382</v>
      </c>
      <c r="B937" s="116">
        <v>4.8600000000000003</v>
      </c>
      <c r="C937" s="116">
        <v>4.8</v>
      </c>
      <c r="D937" s="116">
        <v>4.54</v>
      </c>
      <c r="E937" s="116">
        <v>4.8</v>
      </c>
      <c r="F937" s="116">
        <v>24</v>
      </c>
      <c r="G937">
        <v>2507453</v>
      </c>
      <c r="H937" s="116"/>
      <c r="I937" s="116"/>
      <c r="L937" s="170">
        <v>43382</v>
      </c>
      <c r="M937" s="116">
        <v>4.79</v>
      </c>
      <c r="N937" s="116">
        <v>4.8600000000000003</v>
      </c>
      <c r="O937" s="116">
        <v>4.53</v>
      </c>
      <c r="P937" s="116">
        <v>4.74</v>
      </c>
      <c r="Q937" s="116">
        <v>23.95</v>
      </c>
      <c r="R937">
        <v>20406963</v>
      </c>
    </row>
    <row r="938" spans="1:18" x14ac:dyDescent="0.25">
      <c r="A938" s="170">
        <v>43383</v>
      </c>
      <c r="B938" s="116">
        <v>6.4</v>
      </c>
      <c r="C938" s="116">
        <v>5.99</v>
      </c>
      <c r="D938" s="116">
        <v>4.75</v>
      </c>
      <c r="E938" s="116">
        <v>4.76</v>
      </c>
      <c r="F938" s="116">
        <v>29.95</v>
      </c>
      <c r="G938">
        <v>4421301</v>
      </c>
      <c r="H938" s="116"/>
      <c r="I938" s="116"/>
      <c r="L938" s="170">
        <v>43383</v>
      </c>
      <c r="M938" s="116">
        <v>6</v>
      </c>
      <c r="N938" s="116">
        <v>6.4</v>
      </c>
      <c r="O938" s="116">
        <v>4.74</v>
      </c>
      <c r="P938" s="116">
        <v>4.79</v>
      </c>
      <c r="Q938" s="116">
        <v>30</v>
      </c>
      <c r="R938">
        <v>41931729</v>
      </c>
    </row>
    <row r="939" spans="1:18" x14ac:dyDescent="0.25">
      <c r="A939" s="170">
        <v>43384</v>
      </c>
      <c r="B939" s="116">
        <v>6.28</v>
      </c>
      <c r="C939" s="116">
        <v>5.99</v>
      </c>
      <c r="D939" s="116">
        <v>5.34</v>
      </c>
      <c r="E939" s="116">
        <v>5.62</v>
      </c>
      <c r="F939" s="116">
        <v>29.95</v>
      </c>
      <c r="G939">
        <v>6072433</v>
      </c>
      <c r="H939" s="116"/>
      <c r="I939" s="116"/>
      <c r="L939" s="170">
        <v>43384</v>
      </c>
      <c r="M939" s="116">
        <v>6</v>
      </c>
      <c r="N939" s="116">
        <v>6.29</v>
      </c>
      <c r="O939" s="116">
        <v>5.34</v>
      </c>
      <c r="P939" s="116">
        <v>5.6</v>
      </c>
      <c r="Q939" s="116">
        <v>30</v>
      </c>
      <c r="R939">
        <v>64115027</v>
      </c>
    </row>
    <row r="940" spans="1:18" x14ac:dyDescent="0.25">
      <c r="A940" s="170">
        <v>43385</v>
      </c>
      <c r="B940" s="116">
        <v>6.82</v>
      </c>
      <c r="C940" s="116">
        <v>6.52</v>
      </c>
      <c r="D940" s="116">
        <v>6.07</v>
      </c>
      <c r="E940" s="116">
        <v>6.15</v>
      </c>
      <c r="F940" s="116">
        <v>32.6</v>
      </c>
      <c r="G940">
        <v>6716924</v>
      </c>
      <c r="H940" s="116"/>
      <c r="I940" s="116"/>
      <c r="L940" s="170">
        <v>43385</v>
      </c>
      <c r="M940" s="116">
        <v>6.51</v>
      </c>
      <c r="N940" s="116">
        <v>6.83</v>
      </c>
      <c r="O940" s="116">
        <v>6.08</v>
      </c>
      <c r="P940" s="116">
        <v>6.14</v>
      </c>
      <c r="Q940" s="116">
        <v>32.549999999999997</v>
      </c>
      <c r="R940">
        <v>94525849</v>
      </c>
    </row>
    <row r="941" spans="1:18" x14ac:dyDescent="0.25">
      <c r="A941" s="170">
        <v>43388</v>
      </c>
      <c r="B941" s="116">
        <v>7.04</v>
      </c>
      <c r="C941" s="116">
        <v>6.96</v>
      </c>
      <c r="D941" s="116">
        <v>6.57</v>
      </c>
      <c r="E941" s="116">
        <v>6.59</v>
      </c>
      <c r="F941" s="116">
        <v>34.799999999999997</v>
      </c>
      <c r="G941">
        <v>5613193</v>
      </c>
      <c r="H941" s="116"/>
      <c r="I941" s="116"/>
      <c r="L941" s="170">
        <v>43388</v>
      </c>
      <c r="M941" s="116">
        <v>6.97</v>
      </c>
      <c r="N941" s="116">
        <v>7.06</v>
      </c>
      <c r="O941" s="116">
        <v>6.56</v>
      </c>
      <c r="P941" s="116">
        <v>6.6</v>
      </c>
      <c r="Q941" s="116">
        <v>34.85</v>
      </c>
      <c r="R941">
        <v>55332682</v>
      </c>
    </row>
    <row r="942" spans="1:18" x14ac:dyDescent="0.25">
      <c r="A942" s="170">
        <v>43389</v>
      </c>
      <c r="B942" s="116">
        <v>7.3</v>
      </c>
      <c r="C942" s="116">
        <v>7.15</v>
      </c>
      <c r="D942" s="116">
        <v>6.99</v>
      </c>
      <c r="E942" s="116">
        <v>7.09</v>
      </c>
      <c r="F942" s="116">
        <v>35.75</v>
      </c>
      <c r="G942">
        <v>3805691</v>
      </c>
      <c r="H942" s="116"/>
      <c r="I942" s="116"/>
      <c r="L942" s="170">
        <v>43389</v>
      </c>
      <c r="M942" s="116">
        <v>7.16</v>
      </c>
      <c r="N942" s="116">
        <v>7.3</v>
      </c>
      <c r="O942" s="116">
        <v>6.98</v>
      </c>
      <c r="P942" s="116">
        <v>7.06</v>
      </c>
      <c r="Q942" s="116">
        <v>35.799999999999997</v>
      </c>
      <c r="R942">
        <v>32721671</v>
      </c>
    </row>
    <row r="943" spans="1:18" x14ac:dyDescent="0.25">
      <c r="A943" s="170">
        <v>43390</v>
      </c>
      <c r="B943" s="116">
        <v>7.39</v>
      </c>
      <c r="C943" s="116">
        <v>6.87</v>
      </c>
      <c r="D943" s="116">
        <v>6.62</v>
      </c>
      <c r="E943" s="116">
        <v>7.26</v>
      </c>
      <c r="F943" s="116">
        <v>34.35</v>
      </c>
      <c r="G943">
        <v>6892527</v>
      </c>
      <c r="H943" s="116"/>
      <c r="I943" s="116"/>
      <c r="L943" s="170">
        <v>43390</v>
      </c>
      <c r="M943" s="116">
        <v>6.89</v>
      </c>
      <c r="N943" s="116">
        <v>7.41</v>
      </c>
      <c r="O943" s="116">
        <v>6.62</v>
      </c>
      <c r="P943" s="116">
        <v>7.22</v>
      </c>
      <c r="Q943" s="116">
        <v>34.450000000000003</v>
      </c>
      <c r="R943">
        <v>50318963</v>
      </c>
    </row>
    <row r="944" spans="1:18" x14ac:dyDescent="0.25">
      <c r="A944" s="170">
        <v>43392</v>
      </c>
      <c r="B944" s="116">
        <v>6.92</v>
      </c>
      <c r="C944" s="116">
        <v>6.67</v>
      </c>
      <c r="D944" s="116">
        <v>6.57</v>
      </c>
      <c r="E944" s="116">
        <v>6.8</v>
      </c>
      <c r="F944" s="116">
        <v>33.35</v>
      </c>
      <c r="G944">
        <v>3829410</v>
      </c>
      <c r="H944" s="116"/>
      <c r="I944" s="116"/>
      <c r="L944" s="170">
        <v>43392</v>
      </c>
      <c r="M944" s="116">
        <v>6.68</v>
      </c>
      <c r="N944" s="116">
        <v>6.92</v>
      </c>
      <c r="O944" s="116">
        <v>6.56</v>
      </c>
      <c r="P944" s="116">
        <v>6.8</v>
      </c>
      <c r="Q944" s="116">
        <v>33.4</v>
      </c>
      <c r="R944">
        <v>25395074</v>
      </c>
    </row>
    <row r="945" spans="1:18" x14ac:dyDescent="0.25">
      <c r="A945" s="170">
        <v>43395</v>
      </c>
      <c r="B945" s="116">
        <v>6.89</v>
      </c>
      <c r="C945" s="116">
        <v>6.67</v>
      </c>
      <c r="D945" s="116">
        <v>6.53</v>
      </c>
      <c r="E945" s="116">
        <v>6.74</v>
      </c>
      <c r="F945" s="116">
        <v>33.35</v>
      </c>
      <c r="G945">
        <v>2816031</v>
      </c>
      <c r="H945" s="116"/>
      <c r="I945" s="116"/>
      <c r="L945" s="170">
        <v>43395</v>
      </c>
      <c r="M945" s="116">
        <v>6.67</v>
      </c>
      <c r="N945" s="116">
        <v>6.9</v>
      </c>
      <c r="O945" s="116">
        <v>6.52</v>
      </c>
      <c r="P945" s="116">
        <v>6.79</v>
      </c>
      <c r="Q945" s="116">
        <v>33.35</v>
      </c>
      <c r="R945">
        <v>17539485</v>
      </c>
    </row>
    <row r="946" spans="1:18" x14ac:dyDescent="0.25">
      <c r="A946" s="170">
        <v>43396</v>
      </c>
      <c r="B946" s="116">
        <v>6.79</v>
      </c>
      <c r="C946" s="116">
        <v>6.67</v>
      </c>
      <c r="D946" s="116">
        <v>6.56</v>
      </c>
      <c r="E946" s="116">
        <v>6.62</v>
      </c>
      <c r="F946" s="116">
        <v>33.35</v>
      </c>
      <c r="G946">
        <v>3256910</v>
      </c>
      <c r="H946" s="116"/>
      <c r="I946" s="116"/>
      <c r="L946" s="170">
        <v>43396</v>
      </c>
      <c r="M946" s="116">
        <v>6.68</v>
      </c>
      <c r="N946" s="116">
        <v>6.8</v>
      </c>
      <c r="O946" s="116">
        <v>6.56</v>
      </c>
      <c r="P946" s="116">
        <v>6.6</v>
      </c>
      <c r="Q946" s="116">
        <v>33.4</v>
      </c>
      <c r="R946">
        <v>19084123</v>
      </c>
    </row>
    <row r="947" spans="1:18" x14ac:dyDescent="0.25">
      <c r="A947" s="170">
        <v>43397</v>
      </c>
      <c r="B947" s="116">
        <v>6.84</v>
      </c>
      <c r="C947" s="116">
        <v>6.73</v>
      </c>
      <c r="D947" s="116">
        <v>6.68</v>
      </c>
      <c r="E947" s="116">
        <v>6.76</v>
      </c>
      <c r="F947" s="116">
        <v>33.65</v>
      </c>
      <c r="G947">
        <v>2732130</v>
      </c>
      <c r="H947" s="116"/>
      <c r="I947" s="116"/>
      <c r="L947" s="170">
        <v>43397</v>
      </c>
      <c r="M947" s="116">
        <v>6.74</v>
      </c>
      <c r="N947" s="116">
        <v>6.83</v>
      </c>
      <c r="O947" s="116">
        <v>6.67</v>
      </c>
      <c r="P947" s="116">
        <v>6.77</v>
      </c>
      <c r="Q947" s="116">
        <v>33.700000000000003</v>
      </c>
      <c r="R947">
        <v>16731506</v>
      </c>
    </row>
    <row r="948" spans="1:18" x14ac:dyDescent="0.25">
      <c r="A948" s="170">
        <v>43398</v>
      </c>
      <c r="B948" s="116">
        <v>6.73</v>
      </c>
      <c r="C948" s="116">
        <v>6.6</v>
      </c>
      <c r="D948" s="116">
        <v>6.53</v>
      </c>
      <c r="E948" s="116">
        <v>6.65</v>
      </c>
      <c r="F948" s="116">
        <v>33</v>
      </c>
      <c r="G948">
        <v>2776030</v>
      </c>
      <c r="H948" s="116"/>
      <c r="I948" s="116"/>
      <c r="L948" s="170">
        <v>43398</v>
      </c>
      <c r="M948" s="116">
        <v>6.6</v>
      </c>
      <c r="N948" s="116">
        <v>6.74</v>
      </c>
      <c r="O948" s="116">
        <v>6.53</v>
      </c>
      <c r="P948" s="116">
        <v>6.65</v>
      </c>
      <c r="Q948" s="116">
        <v>33</v>
      </c>
      <c r="R948">
        <v>15207295</v>
      </c>
    </row>
    <row r="949" spans="1:18" x14ac:dyDescent="0.25">
      <c r="A949" s="170">
        <v>43399</v>
      </c>
      <c r="B949" s="116">
        <v>7.2</v>
      </c>
      <c r="C949" s="116">
        <v>7.1</v>
      </c>
      <c r="D949" s="116">
        <v>6.46</v>
      </c>
      <c r="E949" s="116">
        <v>6.62</v>
      </c>
      <c r="F949" s="116">
        <v>35.5</v>
      </c>
      <c r="G949">
        <v>3916420</v>
      </c>
      <c r="H949" s="116"/>
      <c r="I949" s="116"/>
      <c r="L949" s="170">
        <v>43399</v>
      </c>
      <c r="M949" s="116">
        <v>7.11</v>
      </c>
      <c r="N949" s="116">
        <v>7.23</v>
      </c>
      <c r="O949" s="116">
        <v>6.46</v>
      </c>
      <c r="P949" s="116">
        <v>6.61</v>
      </c>
      <c r="Q949" s="116">
        <v>35.549999999999997</v>
      </c>
      <c r="R949">
        <v>25659732</v>
      </c>
    </row>
    <row r="950" spans="1:18" x14ac:dyDescent="0.25">
      <c r="A950" s="170">
        <v>43402</v>
      </c>
      <c r="B950" s="116">
        <v>8.7799999999999994</v>
      </c>
      <c r="C950" s="116">
        <v>8.43</v>
      </c>
      <c r="D950" s="116">
        <v>6.88</v>
      </c>
      <c r="E950" s="116">
        <v>7.09</v>
      </c>
      <c r="F950" s="116">
        <v>42.15</v>
      </c>
      <c r="G950">
        <v>11201779</v>
      </c>
      <c r="H950" s="116"/>
      <c r="I950" s="116"/>
      <c r="L950" s="170">
        <v>43402</v>
      </c>
      <c r="M950" s="116">
        <v>8.4600000000000009</v>
      </c>
      <c r="N950" s="116">
        <v>8.82</v>
      </c>
      <c r="O950" s="116">
        <v>6.87</v>
      </c>
      <c r="P950" s="116">
        <v>7.14</v>
      </c>
      <c r="Q950" s="116">
        <v>42.3</v>
      </c>
      <c r="R950">
        <v>98162778</v>
      </c>
    </row>
    <row r="951" spans="1:18" x14ac:dyDescent="0.25">
      <c r="A951" s="170">
        <v>43403</v>
      </c>
      <c r="B951" s="116">
        <v>9.1</v>
      </c>
      <c r="C951" s="116">
        <v>8.94</v>
      </c>
      <c r="D951" s="116">
        <v>8.33</v>
      </c>
      <c r="E951" s="116">
        <v>8.44</v>
      </c>
      <c r="F951" s="116">
        <v>44.7</v>
      </c>
      <c r="G951">
        <v>6867521</v>
      </c>
      <c r="H951" s="116"/>
      <c r="I951" s="116"/>
      <c r="L951" s="170">
        <v>43403</v>
      </c>
      <c r="M951" s="116">
        <v>8.9499999999999993</v>
      </c>
      <c r="N951" s="116">
        <v>9.1199999999999992</v>
      </c>
      <c r="O951" s="116">
        <v>8.32</v>
      </c>
      <c r="P951" s="116">
        <v>8.39</v>
      </c>
      <c r="Q951" s="116">
        <v>44.75</v>
      </c>
      <c r="R951">
        <v>52394875</v>
      </c>
    </row>
    <row r="952" spans="1:18" x14ac:dyDescent="0.25">
      <c r="A952" s="170">
        <v>43404</v>
      </c>
      <c r="B952" s="116">
        <v>9.2899999999999991</v>
      </c>
      <c r="C952" s="116">
        <v>9.2100000000000009</v>
      </c>
      <c r="D952" s="116">
        <v>8.77</v>
      </c>
      <c r="E952" s="116">
        <v>9</v>
      </c>
      <c r="F952" s="116">
        <v>46.05</v>
      </c>
      <c r="G952">
        <v>5557903</v>
      </c>
      <c r="H952" s="116"/>
      <c r="I952" s="116"/>
      <c r="L952" s="170">
        <v>43404</v>
      </c>
      <c r="M952" s="116">
        <v>9.2200000000000006</v>
      </c>
      <c r="N952" s="116">
        <v>9.33</v>
      </c>
      <c r="O952" s="116">
        <v>8.73</v>
      </c>
      <c r="P952" s="116">
        <v>9</v>
      </c>
      <c r="Q952" s="116">
        <v>46.1</v>
      </c>
      <c r="R952">
        <v>40384600</v>
      </c>
    </row>
    <row r="953" spans="1:18" x14ac:dyDescent="0.25">
      <c r="A953" s="170">
        <v>43405</v>
      </c>
      <c r="B953" s="116">
        <v>10.31</v>
      </c>
      <c r="C953" s="116">
        <v>10.039999999999999</v>
      </c>
      <c r="D953" s="116">
        <v>9</v>
      </c>
      <c r="E953" s="116">
        <v>9.1999999999999993</v>
      </c>
      <c r="F953" s="116">
        <v>50.2</v>
      </c>
      <c r="G953">
        <v>8483733</v>
      </c>
      <c r="H953" s="116"/>
      <c r="I953" s="116"/>
      <c r="L953" s="170">
        <v>43405</v>
      </c>
      <c r="M953" s="116">
        <v>10.039999999999999</v>
      </c>
      <c r="N953" s="116">
        <v>10.38</v>
      </c>
      <c r="O953" s="116">
        <v>9</v>
      </c>
      <c r="P953" s="116">
        <v>9.16</v>
      </c>
      <c r="Q953" s="116">
        <v>50.2</v>
      </c>
      <c r="R953">
        <v>76913113</v>
      </c>
    </row>
    <row r="954" spans="1:18" x14ac:dyDescent="0.25">
      <c r="A954" s="170">
        <v>43406</v>
      </c>
      <c r="B954" s="116">
        <v>10.55</v>
      </c>
      <c r="C954" s="116">
        <v>9.98</v>
      </c>
      <c r="D954" s="116">
        <v>9.75</v>
      </c>
      <c r="E954" s="116">
        <v>10.039999999999999</v>
      </c>
      <c r="F954" s="116">
        <v>49.9</v>
      </c>
      <c r="G954">
        <v>7959597</v>
      </c>
      <c r="H954" s="116"/>
      <c r="I954" s="116"/>
      <c r="L954" s="170">
        <v>43406</v>
      </c>
      <c r="M954" s="116">
        <v>9.9700000000000006</v>
      </c>
      <c r="N954" s="116">
        <v>10.55</v>
      </c>
      <c r="O954" s="116">
        <v>9.73</v>
      </c>
      <c r="P954" s="116">
        <v>10.050000000000001</v>
      </c>
      <c r="Q954" s="116">
        <v>49.85</v>
      </c>
      <c r="R954">
        <v>60809218</v>
      </c>
    </row>
    <row r="955" spans="1:18" x14ac:dyDescent="0.25">
      <c r="A955" s="170">
        <v>43409</v>
      </c>
      <c r="B955" s="116">
        <v>10.19</v>
      </c>
      <c r="C955" s="116">
        <v>10.050000000000001</v>
      </c>
      <c r="D955" s="116">
        <v>9.73</v>
      </c>
      <c r="E955" s="116">
        <v>9.84</v>
      </c>
      <c r="F955" s="116">
        <v>50.25</v>
      </c>
      <c r="G955">
        <v>3127544</v>
      </c>
      <c r="H955" s="116"/>
      <c r="I955" s="116"/>
      <c r="L955" s="170">
        <v>43409</v>
      </c>
      <c r="M955" s="116">
        <v>10.06</v>
      </c>
      <c r="N955" s="116">
        <v>10.199999999999999</v>
      </c>
      <c r="O955" s="116">
        <v>9.7200000000000006</v>
      </c>
      <c r="P955" s="116">
        <v>9.8000000000000007</v>
      </c>
      <c r="Q955" s="116">
        <v>50.3</v>
      </c>
      <c r="R955">
        <v>31165456</v>
      </c>
    </row>
    <row r="956" spans="1:18" x14ac:dyDescent="0.25">
      <c r="A956" s="170">
        <v>43410</v>
      </c>
      <c r="B956" s="116">
        <v>10.19</v>
      </c>
      <c r="C956" s="116">
        <v>9.86</v>
      </c>
      <c r="D956" s="116">
        <v>9.74</v>
      </c>
      <c r="E956" s="116">
        <v>10</v>
      </c>
      <c r="F956" s="116">
        <v>49.3</v>
      </c>
      <c r="G956">
        <v>1993915</v>
      </c>
      <c r="H956" s="116"/>
      <c r="I956" s="116"/>
      <c r="L956" s="170">
        <v>43410</v>
      </c>
      <c r="M956" s="116">
        <v>9.86</v>
      </c>
      <c r="N956" s="116">
        <v>10.19</v>
      </c>
      <c r="O956" s="116">
        <v>9.73</v>
      </c>
      <c r="P956" s="116">
        <v>10.14</v>
      </c>
      <c r="Q956" s="116">
        <v>49.3</v>
      </c>
      <c r="R956">
        <v>16991636</v>
      </c>
    </row>
    <row r="957" spans="1:18" x14ac:dyDescent="0.25">
      <c r="A957" s="170">
        <v>43411</v>
      </c>
      <c r="B957" s="116">
        <v>10.050000000000001</v>
      </c>
      <c r="C957" s="116">
        <v>9.93</v>
      </c>
      <c r="D957" s="116">
        <v>9.86</v>
      </c>
      <c r="E957" s="116">
        <v>9.8699999999999992</v>
      </c>
      <c r="F957" s="116">
        <v>49.65</v>
      </c>
      <c r="G957">
        <v>415676</v>
      </c>
      <c r="H957" s="116"/>
      <c r="I957" s="116"/>
      <c r="L957" s="170">
        <v>43411</v>
      </c>
      <c r="M957" s="116">
        <v>9.92</v>
      </c>
      <c r="N957" s="116">
        <v>10.050000000000001</v>
      </c>
      <c r="O957" s="116">
        <v>9.84</v>
      </c>
      <c r="P957" s="116">
        <v>9.9600000000000009</v>
      </c>
      <c r="Q957" s="116">
        <v>49.6</v>
      </c>
      <c r="R957">
        <v>3416766</v>
      </c>
    </row>
    <row r="958" spans="1:18" x14ac:dyDescent="0.25">
      <c r="A958" s="170">
        <v>43413</v>
      </c>
      <c r="B958" s="116">
        <v>10.18</v>
      </c>
      <c r="C958" s="116">
        <v>9.99</v>
      </c>
      <c r="D958" s="116">
        <v>9.85</v>
      </c>
      <c r="E958" s="116">
        <v>9.93</v>
      </c>
      <c r="F958" s="116">
        <v>49.95</v>
      </c>
      <c r="G958">
        <v>1139298</v>
      </c>
      <c r="H958" s="116"/>
      <c r="I958" s="116"/>
      <c r="L958" s="170">
        <v>43413</v>
      </c>
      <c r="M958" s="116">
        <v>10</v>
      </c>
      <c r="N958" s="116">
        <v>10.18</v>
      </c>
      <c r="O958" s="116">
        <v>9.85</v>
      </c>
      <c r="P958" s="116">
        <v>9.92</v>
      </c>
      <c r="Q958" s="116">
        <v>50</v>
      </c>
      <c r="R958">
        <v>16991410</v>
      </c>
    </row>
    <row r="959" spans="1:18" x14ac:dyDescent="0.25">
      <c r="A959" s="170">
        <v>43416</v>
      </c>
      <c r="B959" s="116">
        <v>10.050000000000001</v>
      </c>
      <c r="C959" s="116">
        <v>9.6300000000000008</v>
      </c>
      <c r="D959" s="116">
        <v>9.39</v>
      </c>
      <c r="E959" s="116">
        <v>10.050000000000001</v>
      </c>
      <c r="F959" s="116">
        <v>48.15</v>
      </c>
      <c r="G959">
        <v>1980621</v>
      </c>
      <c r="H959" s="116"/>
      <c r="I959" s="116"/>
      <c r="L959" s="170">
        <v>43416</v>
      </c>
      <c r="M959" s="116">
        <v>9.6300000000000008</v>
      </c>
      <c r="N959" s="116">
        <v>10.050000000000001</v>
      </c>
      <c r="O959" s="116">
        <v>9.3800000000000008</v>
      </c>
      <c r="P959" s="116">
        <v>10.029999999999999</v>
      </c>
      <c r="Q959" s="116">
        <v>48.15</v>
      </c>
      <c r="R959">
        <v>19517745</v>
      </c>
    </row>
    <row r="960" spans="1:18" x14ac:dyDescent="0.25">
      <c r="A960" s="170">
        <v>43417</v>
      </c>
      <c r="B960" s="116">
        <v>9.84</v>
      </c>
      <c r="C960" s="116">
        <v>9.6999999999999993</v>
      </c>
      <c r="D960" s="116">
        <v>9.49</v>
      </c>
      <c r="E960" s="116">
        <v>9.6300000000000008</v>
      </c>
      <c r="F960" s="116">
        <v>48.5</v>
      </c>
      <c r="G960">
        <v>3479119</v>
      </c>
      <c r="H960" s="116"/>
      <c r="I960" s="116"/>
      <c r="L960" s="170">
        <v>43417</v>
      </c>
      <c r="M960" s="116">
        <v>9.7100000000000009</v>
      </c>
      <c r="N960" s="116">
        <v>9.84</v>
      </c>
      <c r="O960" s="116">
        <v>9.48</v>
      </c>
      <c r="P960" s="116">
        <v>9.6300000000000008</v>
      </c>
      <c r="Q960" s="116">
        <v>48.55</v>
      </c>
      <c r="R960">
        <v>20560525</v>
      </c>
    </row>
    <row r="961" spans="1:18" x14ac:dyDescent="0.25">
      <c r="A961" s="170">
        <v>43418</v>
      </c>
      <c r="B961" s="116">
        <v>10.039999999999999</v>
      </c>
      <c r="C961" s="116">
        <v>9.82</v>
      </c>
      <c r="D961" s="116">
        <v>9.6</v>
      </c>
      <c r="E961" s="116">
        <v>9.77</v>
      </c>
      <c r="F961" s="116">
        <v>49.1</v>
      </c>
      <c r="G961">
        <v>2638207</v>
      </c>
      <c r="H961" s="116"/>
      <c r="I961" s="116"/>
      <c r="L961" s="170">
        <v>43418</v>
      </c>
      <c r="M961" s="116">
        <v>9.86</v>
      </c>
      <c r="N961" s="116">
        <v>10.039999999999999</v>
      </c>
      <c r="O961" s="116">
        <v>9.67</v>
      </c>
      <c r="P961" s="116">
        <v>9.7899999999999991</v>
      </c>
      <c r="Q961" s="116">
        <v>49.3</v>
      </c>
      <c r="R961">
        <v>18786883</v>
      </c>
    </row>
    <row r="962" spans="1:18" x14ac:dyDescent="0.25">
      <c r="A962" s="170">
        <v>43419</v>
      </c>
      <c r="B962" s="116">
        <v>9.9700000000000006</v>
      </c>
      <c r="C962" s="116">
        <v>9.73</v>
      </c>
      <c r="D962" s="116">
        <v>9.65</v>
      </c>
      <c r="E962" s="116">
        <v>9.81</v>
      </c>
      <c r="F962" s="116">
        <v>48.65</v>
      </c>
      <c r="G962">
        <v>2554958</v>
      </c>
      <c r="H962" s="116"/>
      <c r="I962" s="116"/>
      <c r="L962" s="170">
        <v>43419</v>
      </c>
      <c r="M962" s="116">
        <v>9.74</v>
      </c>
      <c r="N962" s="116">
        <v>10</v>
      </c>
      <c r="O962" s="116">
        <v>9.66</v>
      </c>
      <c r="P962" s="116">
        <v>9.7799999999999994</v>
      </c>
      <c r="Q962" s="116">
        <v>48.7</v>
      </c>
      <c r="R962">
        <v>15528852</v>
      </c>
    </row>
    <row r="963" spans="1:18" x14ac:dyDescent="0.25">
      <c r="A963" s="170">
        <v>43420</v>
      </c>
      <c r="B963" s="116">
        <v>9.74</v>
      </c>
      <c r="C963" s="116">
        <v>9.5</v>
      </c>
      <c r="D963" s="116">
        <v>9.36</v>
      </c>
      <c r="E963" s="116">
        <v>9.74</v>
      </c>
      <c r="F963" s="116">
        <v>47.5</v>
      </c>
      <c r="G963">
        <v>2716526</v>
      </c>
      <c r="H963" s="116"/>
      <c r="I963" s="116"/>
      <c r="L963" s="170">
        <v>43420</v>
      </c>
      <c r="M963" s="116">
        <v>9.51</v>
      </c>
      <c r="N963" s="116">
        <v>9.7100000000000009</v>
      </c>
      <c r="O963" s="116">
        <v>9.35</v>
      </c>
      <c r="P963" s="116">
        <v>9.7100000000000009</v>
      </c>
      <c r="Q963" s="116">
        <v>47.55</v>
      </c>
      <c r="R963">
        <v>16223924</v>
      </c>
    </row>
    <row r="964" spans="1:18" x14ac:dyDescent="0.25">
      <c r="A964" s="170">
        <v>43423</v>
      </c>
      <c r="B964" s="116">
        <v>9.65</v>
      </c>
      <c r="C964" s="116">
        <v>9.49</v>
      </c>
      <c r="D964" s="116">
        <v>9.31</v>
      </c>
      <c r="E964" s="116">
        <v>9.5399999999999991</v>
      </c>
      <c r="F964" s="116">
        <v>47.45</v>
      </c>
      <c r="G964">
        <v>1546582</v>
      </c>
      <c r="H964" s="116"/>
      <c r="I964" s="116"/>
      <c r="L964" s="170">
        <v>43423</v>
      </c>
      <c r="M964" s="116">
        <v>9.48</v>
      </c>
      <c r="N964" s="116">
        <v>9.64</v>
      </c>
      <c r="O964" s="116">
        <v>9.31</v>
      </c>
      <c r="P964" s="116">
        <v>9.51</v>
      </c>
      <c r="Q964" s="116">
        <v>47.4</v>
      </c>
      <c r="R964">
        <v>9899995</v>
      </c>
    </row>
    <row r="965" spans="1:18" x14ac:dyDescent="0.25">
      <c r="A965" s="170">
        <v>43424</v>
      </c>
      <c r="B965" s="116">
        <v>9.81</v>
      </c>
      <c r="C965" s="116">
        <v>9.4700000000000006</v>
      </c>
      <c r="D965" s="116">
        <v>9.36</v>
      </c>
      <c r="E965" s="116">
        <v>9.56</v>
      </c>
      <c r="F965" s="116">
        <v>47.35</v>
      </c>
      <c r="G965">
        <v>2605615</v>
      </c>
      <c r="H965" s="116"/>
      <c r="I965" s="116"/>
      <c r="L965" s="170">
        <v>43424</v>
      </c>
      <c r="M965" s="116">
        <v>9.4499999999999993</v>
      </c>
      <c r="N965" s="116">
        <v>9.8000000000000007</v>
      </c>
      <c r="O965" s="116">
        <v>9.35</v>
      </c>
      <c r="P965" s="116">
        <v>9.48</v>
      </c>
      <c r="Q965" s="116">
        <v>47.25</v>
      </c>
      <c r="R965">
        <v>14151952</v>
      </c>
    </row>
    <row r="966" spans="1:18" x14ac:dyDescent="0.25">
      <c r="A966" s="170">
        <v>43425</v>
      </c>
      <c r="B966" s="116">
        <v>9.49</v>
      </c>
      <c r="C966" s="116">
        <v>9.2799999999999994</v>
      </c>
      <c r="D966" s="116">
        <v>9.1999999999999993</v>
      </c>
      <c r="E966" s="116">
        <v>9.41</v>
      </c>
      <c r="F966" s="116">
        <v>46.4</v>
      </c>
      <c r="G966">
        <v>3047940</v>
      </c>
      <c r="H966" s="116"/>
      <c r="I966" s="116"/>
      <c r="L966" s="170">
        <v>43425</v>
      </c>
      <c r="M966" s="116">
        <v>9.2799999999999994</v>
      </c>
      <c r="N966" s="116">
        <v>9.5</v>
      </c>
      <c r="O966" s="116">
        <v>9.19</v>
      </c>
      <c r="P966" s="116">
        <v>9.3800000000000008</v>
      </c>
      <c r="Q966" s="116">
        <v>46.4</v>
      </c>
      <c r="R966">
        <v>15562279</v>
      </c>
    </row>
    <row r="967" spans="1:18" x14ac:dyDescent="0.25">
      <c r="A967" s="170">
        <v>43426</v>
      </c>
      <c r="B967" s="116">
        <v>9.58</v>
      </c>
      <c r="C967" s="116">
        <v>9.5</v>
      </c>
      <c r="D967" s="116">
        <v>9.25</v>
      </c>
      <c r="E967" s="116">
        <v>9.26</v>
      </c>
      <c r="F967" s="116">
        <v>47.5</v>
      </c>
      <c r="G967">
        <v>1231755</v>
      </c>
      <c r="H967" s="116"/>
      <c r="I967" s="116"/>
      <c r="L967" s="170">
        <v>43426</v>
      </c>
      <c r="M967" s="116">
        <v>9.51</v>
      </c>
      <c r="N967" s="116">
        <v>9.6199999999999992</v>
      </c>
      <c r="O967" s="116">
        <v>9.24</v>
      </c>
      <c r="P967" s="116">
        <v>9.33</v>
      </c>
      <c r="Q967" s="116">
        <v>47.55</v>
      </c>
      <c r="R967">
        <v>12456135</v>
      </c>
    </row>
    <row r="968" spans="1:18" x14ac:dyDescent="0.25">
      <c r="A968" s="170">
        <v>43430</v>
      </c>
      <c r="B968" s="116">
        <v>10.18</v>
      </c>
      <c r="C968" s="116">
        <v>10.09</v>
      </c>
      <c r="D968" s="116">
        <v>9.6</v>
      </c>
      <c r="E968" s="116">
        <v>9.6</v>
      </c>
      <c r="F968" s="116">
        <v>50.45</v>
      </c>
      <c r="G968">
        <v>3954685</v>
      </c>
      <c r="H968" s="116"/>
      <c r="I968" s="116"/>
      <c r="L968" s="170">
        <v>43430</v>
      </c>
      <c r="M968" s="116">
        <v>10.1</v>
      </c>
      <c r="N968" s="116">
        <v>10.199999999999999</v>
      </c>
      <c r="O968" s="116">
        <v>9.6</v>
      </c>
      <c r="P968" s="116">
        <v>9.6</v>
      </c>
      <c r="Q968" s="116">
        <v>50.5</v>
      </c>
      <c r="R968">
        <v>31492363</v>
      </c>
    </row>
    <row r="969" spans="1:18" x14ac:dyDescent="0.25">
      <c r="A969" s="170">
        <v>43431</v>
      </c>
      <c r="B969" s="116">
        <v>10.24</v>
      </c>
      <c r="C969" s="116">
        <v>10.09</v>
      </c>
      <c r="D969" s="116">
        <v>10.02</v>
      </c>
      <c r="E969" s="116">
        <v>10.07</v>
      </c>
      <c r="F969" s="116">
        <v>50.45</v>
      </c>
      <c r="G969">
        <v>1196072</v>
      </c>
      <c r="H969" s="116"/>
      <c r="I969" s="116"/>
      <c r="L969" s="170">
        <v>43431</v>
      </c>
      <c r="M969" s="116">
        <v>10.119999999999999</v>
      </c>
      <c r="N969" s="116">
        <v>10.24</v>
      </c>
      <c r="O969" s="116">
        <v>10.029999999999999</v>
      </c>
      <c r="P969" s="116">
        <v>10.1</v>
      </c>
      <c r="Q969" s="116">
        <v>50.6</v>
      </c>
      <c r="R969">
        <v>13328673</v>
      </c>
    </row>
    <row r="970" spans="1:18" x14ac:dyDescent="0.25">
      <c r="A970" s="170">
        <v>43432</v>
      </c>
      <c r="B970" s="116">
        <v>10.96</v>
      </c>
      <c r="C970" s="116">
        <v>10.86</v>
      </c>
      <c r="D970" s="116">
        <v>9.84</v>
      </c>
      <c r="E970" s="116">
        <v>10.16</v>
      </c>
      <c r="F970" s="116">
        <v>54.3</v>
      </c>
      <c r="G970">
        <v>4255305</v>
      </c>
      <c r="H970" s="116"/>
      <c r="I970" s="116"/>
      <c r="L970" s="170">
        <v>43432</v>
      </c>
      <c r="M970" s="116">
        <v>10.89</v>
      </c>
      <c r="N970" s="116">
        <v>10.98</v>
      </c>
      <c r="O970" s="116">
        <v>9.82</v>
      </c>
      <c r="P970" s="116">
        <v>10.14</v>
      </c>
      <c r="Q970" s="116">
        <v>54.45</v>
      </c>
      <c r="R970">
        <v>38498790</v>
      </c>
    </row>
    <row r="971" spans="1:18" x14ac:dyDescent="0.25">
      <c r="A971" s="170">
        <v>43433</v>
      </c>
      <c r="B971" s="116">
        <v>11.46</v>
      </c>
      <c r="C971" s="116">
        <v>11.09</v>
      </c>
      <c r="D971" s="116">
        <v>10.91</v>
      </c>
      <c r="E971" s="116">
        <v>10.99</v>
      </c>
      <c r="F971" s="116">
        <v>55.45</v>
      </c>
      <c r="G971">
        <v>5629699</v>
      </c>
      <c r="H971" s="116"/>
      <c r="I971" s="116"/>
      <c r="L971" s="170">
        <v>43433</v>
      </c>
      <c r="M971" s="116">
        <v>11.09</v>
      </c>
      <c r="N971" s="116">
        <v>11.5</v>
      </c>
      <c r="O971" s="116">
        <v>10.9</v>
      </c>
      <c r="P971" s="116">
        <v>10.98</v>
      </c>
      <c r="Q971" s="116">
        <v>55.45</v>
      </c>
      <c r="R971">
        <v>39117988</v>
      </c>
    </row>
    <row r="972" spans="1:18" x14ac:dyDescent="0.25">
      <c r="A972" s="170">
        <v>43434</v>
      </c>
      <c r="B972" s="116">
        <v>11.25</v>
      </c>
      <c r="C972" s="116">
        <v>11.08</v>
      </c>
      <c r="D972" s="116">
        <v>10.87</v>
      </c>
      <c r="E972" s="116">
        <v>11.14</v>
      </c>
      <c r="F972" s="116">
        <v>55.4</v>
      </c>
      <c r="G972">
        <v>2174435</v>
      </c>
      <c r="H972" s="116"/>
      <c r="I972" s="116"/>
      <c r="L972" s="170">
        <v>43434</v>
      </c>
      <c r="M972" s="116">
        <v>11.1</v>
      </c>
      <c r="N972" s="116">
        <v>11.26</v>
      </c>
      <c r="O972" s="116">
        <v>10.86</v>
      </c>
      <c r="P972" s="116">
        <v>11.14</v>
      </c>
      <c r="Q972" s="116">
        <v>55.5</v>
      </c>
      <c r="R972">
        <v>30203347</v>
      </c>
    </row>
    <row r="973" spans="1:18" x14ac:dyDescent="0.25">
      <c r="A973" s="170">
        <v>43437</v>
      </c>
      <c r="B973" s="116">
        <v>11.64</v>
      </c>
      <c r="C973" s="116">
        <v>11.55</v>
      </c>
      <c r="D973" s="116">
        <v>11.14</v>
      </c>
      <c r="E973" s="116">
        <v>11.22</v>
      </c>
      <c r="F973" s="116">
        <v>57.75</v>
      </c>
      <c r="G973">
        <v>2650174</v>
      </c>
      <c r="H973" s="116"/>
      <c r="I973" s="116"/>
      <c r="L973" s="170">
        <v>43437</v>
      </c>
      <c r="M973" s="116">
        <v>11.57</v>
      </c>
      <c r="N973" s="116">
        <v>11.67</v>
      </c>
      <c r="O973" s="116">
        <v>11.14</v>
      </c>
      <c r="P973" s="116">
        <v>11.27</v>
      </c>
      <c r="Q973" s="116">
        <v>57.85</v>
      </c>
      <c r="R973">
        <v>29914058</v>
      </c>
    </row>
    <row r="974" spans="1:18" x14ac:dyDescent="0.25">
      <c r="A974" s="170">
        <v>43438</v>
      </c>
      <c r="B974" s="116">
        <v>11.6</v>
      </c>
      <c r="C974" s="116">
        <v>11.23</v>
      </c>
      <c r="D974" s="116">
        <v>11.08</v>
      </c>
      <c r="E974" s="116">
        <v>11.55</v>
      </c>
      <c r="F974" s="116">
        <v>56.15</v>
      </c>
      <c r="G974">
        <v>1465541</v>
      </c>
      <c r="H974" s="116"/>
      <c r="I974" s="116"/>
      <c r="L974" s="170">
        <v>43438</v>
      </c>
      <c r="M974" s="116">
        <v>11.25</v>
      </c>
      <c r="N974" s="116">
        <v>11.6</v>
      </c>
      <c r="O974" s="116">
        <v>11.08</v>
      </c>
      <c r="P974" s="116">
        <v>11.6</v>
      </c>
      <c r="Q974" s="116">
        <v>56.25</v>
      </c>
      <c r="R974">
        <v>18072834</v>
      </c>
    </row>
    <row r="975" spans="1:18" x14ac:dyDescent="0.25">
      <c r="A975" s="170">
        <v>43439</v>
      </c>
      <c r="B975" s="116">
        <v>11.02</v>
      </c>
      <c r="C975" s="116">
        <v>10.8</v>
      </c>
      <c r="D975" s="116">
        <v>10.69</v>
      </c>
      <c r="E975" s="116">
        <v>11</v>
      </c>
      <c r="F975" s="116">
        <v>54</v>
      </c>
      <c r="G975">
        <v>1791138</v>
      </c>
      <c r="H975" s="116"/>
      <c r="I975" s="116"/>
      <c r="L975" s="170">
        <v>43439</v>
      </c>
      <c r="M975" s="116">
        <v>10.81</v>
      </c>
      <c r="N975" s="116">
        <v>11.04</v>
      </c>
      <c r="O975" s="116">
        <v>10.7</v>
      </c>
      <c r="P975" s="116">
        <v>11</v>
      </c>
      <c r="Q975" s="116">
        <v>54.05</v>
      </c>
      <c r="R975">
        <v>17905386</v>
      </c>
    </row>
    <row r="976" spans="1:18" x14ac:dyDescent="0.25">
      <c r="A976" s="170">
        <v>43440</v>
      </c>
      <c r="B976" s="116">
        <v>10.77</v>
      </c>
      <c r="C976" s="116">
        <v>10.4</v>
      </c>
      <c r="D976" s="116">
        <v>9.9600000000000009</v>
      </c>
      <c r="E976" s="116">
        <v>10.61</v>
      </c>
      <c r="F976" s="116">
        <v>52</v>
      </c>
      <c r="G976">
        <v>1791965</v>
      </c>
      <c r="H976" s="116"/>
      <c r="I976" s="116"/>
      <c r="L976" s="170">
        <v>43440</v>
      </c>
      <c r="M976" s="116">
        <v>10.42</v>
      </c>
      <c r="N976" s="116">
        <v>10.79</v>
      </c>
      <c r="O976" s="116">
        <v>9.9600000000000009</v>
      </c>
      <c r="P976" s="116">
        <v>10.79</v>
      </c>
      <c r="Q976" s="116">
        <v>52.1</v>
      </c>
      <c r="R976">
        <v>19078322</v>
      </c>
    </row>
    <row r="977" spans="1:18" x14ac:dyDescent="0.25">
      <c r="A977" s="170">
        <v>43441</v>
      </c>
      <c r="B977" s="116">
        <v>10.57</v>
      </c>
      <c r="C977" s="116">
        <v>10.49</v>
      </c>
      <c r="D977" s="116">
        <v>10.31</v>
      </c>
      <c r="E977" s="116">
        <v>10.42</v>
      </c>
      <c r="F977" s="116">
        <v>52.45</v>
      </c>
      <c r="G977">
        <v>919242</v>
      </c>
      <c r="H977" s="116"/>
      <c r="I977" s="116"/>
      <c r="L977" s="170">
        <v>43441</v>
      </c>
      <c r="M977" s="116">
        <v>10.51</v>
      </c>
      <c r="N977" s="116">
        <v>10.6</v>
      </c>
      <c r="O977" s="116">
        <v>10.29</v>
      </c>
      <c r="P977" s="116">
        <v>10.41</v>
      </c>
      <c r="Q977" s="116">
        <v>52.55</v>
      </c>
      <c r="R977">
        <v>9694543</v>
      </c>
    </row>
    <row r="978" spans="1:18" x14ac:dyDescent="0.25">
      <c r="A978" s="170">
        <v>43444</v>
      </c>
      <c r="B978" s="116">
        <v>9.98</v>
      </c>
      <c r="C978" s="116">
        <v>9.8000000000000007</v>
      </c>
      <c r="D978" s="116">
        <v>9.6300000000000008</v>
      </c>
      <c r="E978" s="116">
        <v>9.8000000000000007</v>
      </c>
      <c r="F978" s="116">
        <v>49</v>
      </c>
      <c r="G978">
        <v>1203569</v>
      </c>
      <c r="H978" s="116"/>
      <c r="I978" s="116"/>
      <c r="L978" s="170">
        <v>43444</v>
      </c>
      <c r="M978" s="116">
        <v>9.7899999999999991</v>
      </c>
      <c r="N978" s="116">
        <v>9.99</v>
      </c>
      <c r="O978" s="116">
        <v>9.7100000000000009</v>
      </c>
      <c r="P978" s="116">
        <v>9.74</v>
      </c>
      <c r="Q978" s="116">
        <v>48.95</v>
      </c>
      <c r="R978">
        <v>16869159</v>
      </c>
    </row>
    <row r="979" spans="1:18" x14ac:dyDescent="0.25">
      <c r="A979" s="170">
        <v>43445</v>
      </c>
      <c r="B979" s="116">
        <v>10.38</v>
      </c>
      <c r="C979" s="116">
        <v>10.19</v>
      </c>
      <c r="D979" s="116">
        <v>9.4</v>
      </c>
      <c r="E979" s="116">
        <v>9.64</v>
      </c>
      <c r="F979" s="116">
        <v>50.95</v>
      </c>
      <c r="G979">
        <v>4613787</v>
      </c>
      <c r="H979" s="116"/>
      <c r="I979" s="116"/>
      <c r="L979" s="170">
        <v>43445</v>
      </c>
      <c r="M979" s="116">
        <v>10.16</v>
      </c>
      <c r="N979" s="116">
        <v>10.34</v>
      </c>
      <c r="O979" s="116">
        <v>9.49</v>
      </c>
      <c r="P979" s="116">
        <v>9.51</v>
      </c>
      <c r="Q979" s="116">
        <v>50.8</v>
      </c>
      <c r="R979">
        <v>24442128</v>
      </c>
    </row>
    <row r="980" spans="1:18" x14ac:dyDescent="0.25">
      <c r="A980" s="170">
        <v>43446</v>
      </c>
      <c r="B980" s="116">
        <v>10.63</v>
      </c>
      <c r="C980" s="116">
        <v>10.54</v>
      </c>
      <c r="D980" s="116">
        <v>10.27</v>
      </c>
      <c r="E980" s="116">
        <v>10.46</v>
      </c>
      <c r="F980" s="116">
        <v>52.7</v>
      </c>
      <c r="G980">
        <v>1893031</v>
      </c>
      <c r="H980" s="116"/>
      <c r="I980" s="116"/>
      <c r="L980" s="170">
        <v>43446</v>
      </c>
      <c r="M980" s="116">
        <v>10.56</v>
      </c>
      <c r="N980" s="116">
        <v>10.65</v>
      </c>
      <c r="O980" s="116">
        <v>10.25</v>
      </c>
      <c r="P980" s="116">
        <v>10.25</v>
      </c>
      <c r="Q980" s="116">
        <v>52.8</v>
      </c>
      <c r="R980">
        <v>13963680</v>
      </c>
    </row>
    <row r="981" spans="1:18" x14ac:dyDescent="0.25">
      <c r="A981" s="170">
        <v>43447</v>
      </c>
      <c r="B981" s="116">
        <v>10.8</v>
      </c>
      <c r="C981" s="116">
        <v>10.36</v>
      </c>
      <c r="D981" s="116">
        <v>10</v>
      </c>
      <c r="E981" s="116">
        <v>10.78</v>
      </c>
      <c r="F981" s="116">
        <v>51.8</v>
      </c>
      <c r="G981">
        <v>1964155</v>
      </c>
      <c r="H981" s="116"/>
      <c r="I981" s="116"/>
      <c r="L981" s="170">
        <v>43447</v>
      </c>
      <c r="M981" s="116">
        <v>10.39</v>
      </c>
      <c r="N981" s="116">
        <v>10.85</v>
      </c>
      <c r="O981" s="116">
        <v>10</v>
      </c>
      <c r="P981" s="116">
        <v>10.8</v>
      </c>
      <c r="Q981" s="116">
        <v>51.95</v>
      </c>
      <c r="R981">
        <v>13557527</v>
      </c>
    </row>
    <row r="982" spans="1:18" x14ac:dyDescent="0.25">
      <c r="A982" s="170">
        <v>43448</v>
      </c>
      <c r="B982" s="116">
        <v>10.58</v>
      </c>
      <c r="C982" s="116">
        <v>10.43</v>
      </c>
      <c r="D982" s="116">
        <v>10.25</v>
      </c>
      <c r="E982" s="116">
        <v>10.38</v>
      </c>
      <c r="F982" s="116">
        <v>52.15</v>
      </c>
      <c r="G982">
        <v>1824054</v>
      </c>
      <c r="H982" s="116"/>
      <c r="I982" s="116"/>
      <c r="L982" s="170">
        <v>43448</v>
      </c>
      <c r="M982" s="116">
        <v>10.46</v>
      </c>
      <c r="N982" s="116">
        <v>10.6</v>
      </c>
      <c r="O982" s="116">
        <v>10.25</v>
      </c>
      <c r="P982" s="116">
        <v>10.39</v>
      </c>
      <c r="Q982" s="116">
        <v>52.3</v>
      </c>
      <c r="R982">
        <v>9231345</v>
      </c>
    </row>
    <row r="983" spans="1:18" x14ac:dyDescent="0.25">
      <c r="A983" s="170">
        <v>43451</v>
      </c>
      <c r="B983" s="116">
        <v>10.72</v>
      </c>
      <c r="C983" s="116">
        <v>10.56</v>
      </c>
      <c r="D983" s="116">
        <v>10.37</v>
      </c>
      <c r="E983" s="116">
        <v>10.45</v>
      </c>
      <c r="F983" s="116">
        <v>52.8</v>
      </c>
      <c r="G983">
        <v>982771</v>
      </c>
      <c r="H983" s="116"/>
      <c r="I983" s="116"/>
      <c r="L983" s="170">
        <v>43451</v>
      </c>
      <c r="M983" s="116">
        <v>10.58</v>
      </c>
      <c r="N983" s="116">
        <v>10.71</v>
      </c>
      <c r="O983" s="116">
        <v>10.36</v>
      </c>
      <c r="P983" s="116">
        <v>10.47</v>
      </c>
      <c r="Q983" s="116">
        <v>52.9</v>
      </c>
      <c r="R983">
        <v>7468071</v>
      </c>
    </row>
    <row r="984" spans="1:18" x14ac:dyDescent="0.25">
      <c r="A984" s="170">
        <v>43452</v>
      </c>
      <c r="B984" s="116">
        <v>10.59</v>
      </c>
      <c r="C984" s="116">
        <v>10.53</v>
      </c>
      <c r="D984" s="116">
        <v>10.36</v>
      </c>
      <c r="E984" s="116">
        <v>10.44</v>
      </c>
      <c r="F984" s="116">
        <v>52.65</v>
      </c>
      <c r="G984">
        <v>698077</v>
      </c>
      <c r="H984" s="116"/>
      <c r="I984" s="116"/>
      <c r="L984" s="170">
        <v>43452</v>
      </c>
      <c r="M984" s="116">
        <v>10.56</v>
      </c>
      <c r="N984" s="116">
        <v>10.64</v>
      </c>
      <c r="O984" s="116">
        <v>10.37</v>
      </c>
      <c r="P984" s="116">
        <v>10.41</v>
      </c>
      <c r="Q984" s="116">
        <v>52.8</v>
      </c>
      <c r="R984">
        <v>6914284</v>
      </c>
    </row>
    <row r="985" spans="1:18" x14ac:dyDescent="0.25">
      <c r="A985" s="170">
        <v>43453</v>
      </c>
      <c r="B985" s="116">
        <v>10.73</v>
      </c>
      <c r="C985" s="116">
        <v>10.53</v>
      </c>
      <c r="D985" s="116">
        <v>10.42</v>
      </c>
      <c r="E985" s="116">
        <v>10.69</v>
      </c>
      <c r="F985" s="116">
        <v>52.65</v>
      </c>
      <c r="G985">
        <v>918244</v>
      </c>
      <c r="H985" s="116"/>
      <c r="I985" s="116"/>
      <c r="L985" s="170">
        <v>43453</v>
      </c>
      <c r="M985" s="116">
        <v>10.54</v>
      </c>
      <c r="N985" s="116">
        <v>10.74</v>
      </c>
      <c r="O985" s="116">
        <v>10.41</v>
      </c>
      <c r="P985" s="116">
        <v>10.6</v>
      </c>
      <c r="Q985" s="116">
        <v>52.7</v>
      </c>
      <c r="R985">
        <v>10000224</v>
      </c>
    </row>
    <row r="986" spans="1:18" x14ac:dyDescent="0.25">
      <c r="A986" s="170">
        <v>43454</v>
      </c>
      <c r="B986" s="116">
        <v>10.54</v>
      </c>
      <c r="C986" s="116">
        <v>10.39</v>
      </c>
      <c r="D986" s="116">
        <v>10.32</v>
      </c>
      <c r="E986" s="116">
        <v>10.54</v>
      </c>
      <c r="F986" s="116">
        <v>51.95</v>
      </c>
      <c r="G986">
        <v>948497</v>
      </c>
      <c r="H986" s="116"/>
      <c r="I986" s="116"/>
      <c r="L986" s="170">
        <v>43454</v>
      </c>
      <c r="M986" s="116">
        <v>10.4</v>
      </c>
      <c r="N986" s="116">
        <v>10.51</v>
      </c>
      <c r="O986" s="116">
        <v>10.32</v>
      </c>
      <c r="P986" s="116">
        <v>10.41</v>
      </c>
      <c r="Q986" s="116">
        <v>52</v>
      </c>
      <c r="R986">
        <v>8249803</v>
      </c>
    </row>
    <row r="987" spans="1:18" x14ac:dyDescent="0.25">
      <c r="A987" s="170">
        <v>43455</v>
      </c>
      <c r="B987" s="116">
        <v>10.49</v>
      </c>
      <c r="C987" s="116">
        <v>10.08</v>
      </c>
      <c r="D987" s="116">
        <v>10.02</v>
      </c>
      <c r="E987" s="116">
        <v>10.42</v>
      </c>
      <c r="F987" s="116">
        <v>50.4</v>
      </c>
      <c r="G987">
        <v>1470758</v>
      </c>
      <c r="H987" s="116"/>
      <c r="I987" s="116"/>
      <c r="L987" s="170">
        <v>43455</v>
      </c>
      <c r="M987" s="116">
        <v>10.07</v>
      </c>
      <c r="N987" s="116">
        <v>10.52</v>
      </c>
      <c r="O987" s="116">
        <v>10</v>
      </c>
      <c r="P987" s="116">
        <v>10.47</v>
      </c>
      <c r="Q987" s="116">
        <v>50.35</v>
      </c>
      <c r="R987">
        <v>10831915</v>
      </c>
    </row>
    <row r="988" spans="1:18" x14ac:dyDescent="0.25">
      <c r="A988" s="170">
        <v>43458</v>
      </c>
      <c r="B988" s="116">
        <v>10.25</v>
      </c>
      <c r="C988" s="116">
        <v>10.119999999999999</v>
      </c>
      <c r="D988" s="116">
        <v>9.91</v>
      </c>
      <c r="E988" s="116">
        <v>10.08</v>
      </c>
      <c r="F988" s="116">
        <v>50.6</v>
      </c>
      <c r="G988">
        <v>1133287</v>
      </c>
      <c r="H988" s="116"/>
      <c r="I988" s="116"/>
      <c r="L988" s="170">
        <v>43458</v>
      </c>
      <c r="M988" s="116">
        <v>10.16</v>
      </c>
      <c r="N988" s="116">
        <v>10.28</v>
      </c>
      <c r="O988" s="116">
        <v>9.8800000000000008</v>
      </c>
      <c r="P988" s="116">
        <v>10.17</v>
      </c>
      <c r="Q988" s="116">
        <v>50.8</v>
      </c>
      <c r="R988">
        <v>5916350</v>
      </c>
    </row>
    <row r="989" spans="1:18" x14ac:dyDescent="0.25">
      <c r="A989" s="170">
        <v>43460</v>
      </c>
      <c r="B989" s="116">
        <v>10.35</v>
      </c>
      <c r="C989" s="116">
        <v>10.15</v>
      </c>
      <c r="D989" s="116">
        <v>9.91</v>
      </c>
      <c r="E989" s="116">
        <v>10.1</v>
      </c>
      <c r="F989" s="116">
        <v>50.75</v>
      </c>
      <c r="G989">
        <v>1656686</v>
      </c>
      <c r="H989" s="116"/>
      <c r="I989" s="116"/>
      <c r="L989" s="170">
        <v>43460</v>
      </c>
      <c r="M989" s="116">
        <v>10.17</v>
      </c>
      <c r="N989" s="116">
        <v>10.38</v>
      </c>
      <c r="O989" s="116">
        <v>9.9</v>
      </c>
      <c r="P989" s="116">
        <v>10.1</v>
      </c>
      <c r="Q989" s="116">
        <v>50.85</v>
      </c>
      <c r="R989">
        <v>12324109</v>
      </c>
    </row>
    <row r="990" spans="1:18" x14ac:dyDescent="0.25">
      <c r="A990" s="170">
        <v>43461</v>
      </c>
      <c r="B990" s="116">
        <v>10.4</v>
      </c>
      <c r="C990" s="116">
        <v>10.26</v>
      </c>
      <c r="D990" s="116">
        <v>10.210000000000001</v>
      </c>
      <c r="E990" s="116">
        <v>10.24</v>
      </c>
      <c r="F990" s="116">
        <v>51.3</v>
      </c>
      <c r="G990">
        <v>1327021</v>
      </c>
      <c r="H990" s="116"/>
      <c r="I990" s="116"/>
      <c r="L990" s="170">
        <v>43461</v>
      </c>
      <c r="M990" s="116">
        <v>10.27</v>
      </c>
      <c r="N990" s="116">
        <v>10.4</v>
      </c>
      <c r="O990" s="116">
        <v>10.199999999999999</v>
      </c>
      <c r="P990" s="116">
        <v>10.24</v>
      </c>
      <c r="Q990" s="116">
        <v>51.35</v>
      </c>
      <c r="R990">
        <v>10525643</v>
      </c>
    </row>
    <row r="991" spans="1:18" x14ac:dyDescent="0.25">
      <c r="A991" s="170">
        <v>43462</v>
      </c>
      <c r="B991" s="116">
        <v>10.33</v>
      </c>
      <c r="C991" s="116">
        <v>10.17</v>
      </c>
      <c r="D991" s="116">
        <v>10.1</v>
      </c>
      <c r="E991" s="116">
        <v>10.27</v>
      </c>
      <c r="F991" s="116">
        <v>50.85</v>
      </c>
      <c r="G991">
        <v>1180617</v>
      </c>
      <c r="H991" s="116"/>
      <c r="I991" s="116"/>
      <c r="L991" s="170">
        <v>43462</v>
      </c>
      <c r="M991" s="116">
        <v>10.19</v>
      </c>
      <c r="N991" s="116">
        <v>10.34</v>
      </c>
      <c r="O991" s="116">
        <v>10.119999999999999</v>
      </c>
      <c r="P991" s="116">
        <v>10.25</v>
      </c>
      <c r="Q991" s="116">
        <v>50.95</v>
      </c>
      <c r="R991">
        <v>9364158</v>
      </c>
    </row>
    <row r="992" spans="1:18" x14ac:dyDescent="0.25">
      <c r="A992" s="170">
        <v>43465</v>
      </c>
      <c r="B992" s="116">
        <v>10.25</v>
      </c>
      <c r="C992" s="116">
        <v>10.18</v>
      </c>
      <c r="D992" s="116">
        <v>10.1</v>
      </c>
      <c r="E992" s="116">
        <v>10.119999999999999</v>
      </c>
      <c r="F992" s="116">
        <v>50.9</v>
      </c>
      <c r="G992">
        <v>930924</v>
      </c>
      <c r="H992" s="116"/>
      <c r="I992" s="116"/>
      <c r="L992" s="170">
        <v>43465</v>
      </c>
      <c r="M992" s="116">
        <v>10.19</v>
      </c>
      <c r="N992" s="116">
        <v>10.26</v>
      </c>
      <c r="O992" s="116">
        <v>10.119999999999999</v>
      </c>
      <c r="P992" s="116">
        <v>10.18</v>
      </c>
      <c r="Q992" s="116">
        <v>50.95</v>
      </c>
      <c r="R992">
        <v>5589391</v>
      </c>
    </row>
    <row r="993" spans="1:18" x14ac:dyDescent="0.25">
      <c r="A993" s="170">
        <v>43466</v>
      </c>
      <c r="B993" s="116">
        <v>10.220000000000001</v>
      </c>
      <c r="C993" s="116">
        <v>10.14</v>
      </c>
      <c r="D993" s="116">
        <v>10.08</v>
      </c>
      <c r="E993" s="116">
        <v>10.16</v>
      </c>
      <c r="F993" s="116">
        <v>50.7</v>
      </c>
      <c r="G993">
        <v>1186396</v>
      </c>
      <c r="H993" s="116"/>
      <c r="I993" s="116"/>
      <c r="L993" s="170">
        <v>43466</v>
      </c>
      <c r="M993" s="116">
        <v>10.17</v>
      </c>
      <c r="N993" s="116">
        <v>10.23</v>
      </c>
      <c r="O993" s="116">
        <v>10.09</v>
      </c>
      <c r="P993" s="116">
        <v>10.199999999999999</v>
      </c>
      <c r="Q993" s="116">
        <v>50.85</v>
      </c>
      <c r="R993">
        <v>6302024</v>
      </c>
    </row>
    <row r="994" spans="1:18" x14ac:dyDescent="0.25">
      <c r="A994" s="170">
        <v>43467</v>
      </c>
      <c r="B994" s="116">
        <v>10.220000000000001</v>
      </c>
      <c r="C994" s="116">
        <v>10.130000000000001</v>
      </c>
      <c r="D994" s="116">
        <v>10.050000000000001</v>
      </c>
      <c r="E994" s="116">
        <v>10.1</v>
      </c>
      <c r="F994" s="116">
        <v>50.65</v>
      </c>
      <c r="G994">
        <v>804554</v>
      </c>
      <c r="H994" s="116"/>
      <c r="I994" s="116"/>
      <c r="L994" s="170">
        <v>43467</v>
      </c>
      <c r="M994" s="116">
        <v>10.11</v>
      </c>
      <c r="N994" s="116">
        <v>10.210000000000001</v>
      </c>
      <c r="O994" s="116">
        <v>10.039999999999999</v>
      </c>
      <c r="P994" s="116">
        <v>10.17</v>
      </c>
      <c r="Q994" s="116">
        <v>50.55</v>
      </c>
      <c r="R994">
        <v>6174960</v>
      </c>
    </row>
    <row r="995" spans="1:18" x14ac:dyDescent="0.25">
      <c r="A995" s="170">
        <v>43468</v>
      </c>
      <c r="B995" s="116">
        <v>10.199999999999999</v>
      </c>
      <c r="C995" s="116">
        <v>10.08</v>
      </c>
      <c r="D995" s="116">
        <v>9.77</v>
      </c>
      <c r="E995" s="116">
        <v>10.02</v>
      </c>
      <c r="F995" s="116">
        <v>50.4</v>
      </c>
      <c r="G995">
        <v>1071936</v>
      </c>
      <c r="H995" s="116"/>
      <c r="I995" s="116"/>
      <c r="L995" s="170">
        <v>43468</v>
      </c>
      <c r="M995" s="116">
        <v>10.07</v>
      </c>
      <c r="N995" s="116">
        <v>10.17</v>
      </c>
      <c r="O995" s="116">
        <v>9.76</v>
      </c>
      <c r="P995" s="116">
        <v>10.119999999999999</v>
      </c>
      <c r="Q995" s="116">
        <v>50.35</v>
      </c>
      <c r="R995">
        <v>7113733</v>
      </c>
    </row>
    <row r="996" spans="1:18" x14ac:dyDescent="0.25">
      <c r="A996" s="170">
        <v>43469</v>
      </c>
      <c r="B996" s="116">
        <v>10.130000000000001</v>
      </c>
      <c r="C996" s="116">
        <v>9.99</v>
      </c>
      <c r="D996" s="116">
        <v>9.94</v>
      </c>
      <c r="E996" s="116">
        <v>10</v>
      </c>
      <c r="F996" s="116">
        <v>49.95</v>
      </c>
      <c r="G996">
        <v>1659281</v>
      </c>
      <c r="H996" s="116"/>
      <c r="I996" s="116"/>
      <c r="L996" s="170">
        <v>43469</v>
      </c>
      <c r="M996" s="116">
        <v>10.01</v>
      </c>
      <c r="N996" s="116">
        <v>10.130000000000001</v>
      </c>
      <c r="O996" s="116">
        <v>9.94</v>
      </c>
      <c r="P996" s="116">
        <v>10.08</v>
      </c>
      <c r="Q996" s="116">
        <v>50.05</v>
      </c>
      <c r="R996">
        <v>9620268</v>
      </c>
    </row>
    <row r="997" spans="1:18" x14ac:dyDescent="0.25">
      <c r="A997" s="170">
        <v>43472</v>
      </c>
      <c r="B997" s="116">
        <v>10.16</v>
      </c>
      <c r="C997" s="116">
        <v>10.07</v>
      </c>
      <c r="D997" s="116">
        <v>9.91</v>
      </c>
      <c r="E997" s="116">
        <v>10.09</v>
      </c>
      <c r="F997" s="116">
        <v>50.35</v>
      </c>
      <c r="G997">
        <v>1816914</v>
      </c>
      <c r="H997" s="116"/>
      <c r="I997" s="116"/>
      <c r="L997" s="170">
        <v>43472</v>
      </c>
      <c r="M997" s="116">
        <v>10.07</v>
      </c>
      <c r="N997" s="116">
        <v>10.16</v>
      </c>
      <c r="O997" s="116">
        <v>9.91</v>
      </c>
      <c r="P997" s="116">
        <v>10.15</v>
      </c>
      <c r="Q997" s="116">
        <v>50.35</v>
      </c>
      <c r="R997">
        <v>8717066</v>
      </c>
    </row>
    <row r="998" spans="1:18" x14ac:dyDescent="0.25">
      <c r="A998" s="170">
        <v>43473</v>
      </c>
      <c r="B998" s="116">
        <v>10.52</v>
      </c>
      <c r="C998" s="116">
        <v>10.3</v>
      </c>
      <c r="D998" s="116">
        <v>9.9499999999999993</v>
      </c>
      <c r="E998" s="116">
        <v>10.029999999999999</v>
      </c>
      <c r="F998" s="116">
        <v>51.5</v>
      </c>
      <c r="G998">
        <v>2039569</v>
      </c>
      <c r="H998" s="116"/>
      <c r="I998" s="116"/>
      <c r="L998" s="170">
        <v>43473</v>
      </c>
      <c r="M998" s="116">
        <v>10.31</v>
      </c>
      <c r="N998" s="116">
        <v>10.52</v>
      </c>
      <c r="O998" s="116">
        <v>9.9499999999999993</v>
      </c>
      <c r="P998" s="116">
        <v>10.029999999999999</v>
      </c>
      <c r="Q998" s="116">
        <v>51.55</v>
      </c>
      <c r="R998">
        <v>14694658</v>
      </c>
    </row>
    <row r="999" spans="1:18" x14ac:dyDescent="0.25">
      <c r="A999" s="170">
        <v>43474</v>
      </c>
      <c r="B999" s="116">
        <v>10.4</v>
      </c>
      <c r="C999" s="116">
        <v>10.199999999999999</v>
      </c>
      <c r="D999" s="116">
        <v>10.09</v>
      </c>
      <c r="E999" s="116">
        <v>10.4</v>
      </c>
      <c r="F999" s="116">
        <v>51</v>
      </c>
      <c r="G999">
        <v>982144</v>
      </c>
      <c r="H999" s="116"/>
      <c r="I999" s="116"/>
      <c r="L999" s="170">
        <v>43474</v>
      </c>
      <c r="M999" s="116">
        <v>10.18</v>
      </c>
      <c r="N999" s="116">
        <v>10.38</v>
      </c>
      <c r="O999" s="116">
        <v>10.08</v>
      </c>
      <c r="P999" s="116">
        <v>10.35</v>
      </c>
      <c r="Q999" s="116">
        <v>50.9</v>
      </c>
      <c r="R999">
        <v>7317677</v>
      </c>
    </row>
    <row r="1000" spans="1:18" x14ac:dyDescent="0.25">
      <c r="A1000" s="170">
        <v>43475</v>
      </c>
      <c r="B1000" s="116">
        <v>10.19</v>
      </c>
      <c r="C1000" s="116">
        <v>10.1</v>
      </c>
      <c r="D1000" s="116">
        <v>10.039999999999999</v>
      </c>
      <c r="E1000" s="116">
        <v>10.119999999999999</v>
      </c>
      <c r="F1000" s="116">
        <v>50.5</v>
      </c>
      <c r="G1000">
        <v>408121</v>
      </c>
      <c r="H1000" s="116"/>
      <c r="I1000" s="116"/>
      <c r="L1000" s="170">
        <v>43475</v>
      </c>
      <c r="M1000" s="116">
        <v>10.1</v>
      </c>
      <c r="N1000" s="116">
        <v>10.220000000000001</v>
      </c>
      <c r="O1000" s="116">
        <v>10.039999999999999</v>
      </c>
      <c r="P1000" s="116">
        <v>10.220000000000001</v>
      </c>
      <c r="Q1000" s="116">
        <v>50.5</v>
      </c>
      <c r="R1000">
        <v>3496789</v>
      </c>
    </row>
    <row r="1001" spans="1:18" x14ac:dyDescent="0.25">
      <c r="A1001" s="170">
        <v>43476</v>
      </c>
      <c r="B1001" s="116">
        <v>10.19</v>
      </c>
      <c r="C1001" s="116">
        <v>10.039999999999999</v>
      </c>
      <c r="D1001" s="116">
        <v>9.9600000000000009</v>
      </c>
      <c r="E1001" s="116">
        <v>10.19</v>
      </c>
      <c r="F1001" s="116">
        <v>50.2</v>
      </c>
      <c r="G1001">
        <v>453782</v>
      </c>
      <c r="H1001" s="116"/>
      <c r="I1001" s="116"/>
      <c r="L1001" s="170">
        <v>43476</v>
      </c>
      <c r="M1001" s="116">
        <v>10.050000000000001</v>
      </c>
      <c r="N1001" s="116">
        <v>10.15</v>
      </c>
      <c r="O1001" s="116">
        <v>9.9700000000000006</v>
      </c>
      <c r="P1001" s="116">
        <v>10.15</v>
      </c>
      <c r="Q1001" s="116">
        <v>50.25</v>
      </c>
      <c r="R1001">
        <v>2933044</v>
      </c>
    </row>
    <row r="1002" spans="1:18" x14ac:dyDescent="0.25">
      <c r="A1002" s="170">
        <v>43479</v>
      </c>
      <c r="B1002" s="116">
        <v>10.07</v>
      </c>
      <c r="C1002" s="116">
        <v>9.9</v>
      </c>
      <c r="D1002" s="116">
        <v>9.8800000000000008</v>
      </c>
      <c r="E1002" s="116">
        <v>10.039999999999999</v>
      </c>
      <c r="F1002" s="116">
        <v>49.5</v>
      </c>
      <c r="G1002">
        <v>909320</v>
      </c>
      <c r="H1002" s="116"/>
      <c r="I1002" s="116"/>
      <c r="L1002" s="170">
        <v>43479</v>
      </c>
      <c r="M1002" s="116">
        <v>9.91</v>
      </c>
      <c r="N1002" s="116">
        <v>10.07</v>
      </c>
      <c r="O1002" s="116">
        <v>9.8800000000000008</v>
      </c>
      <c r="P1002" s="116">
        <v>10.050000000000001</v>
      </c>
      <c r="Q1002" s="116">
        <v>49.55</v>
      </c>
      <c r="R1002">
        <v>5325766</v>
      </c>
    </row>
    <row r="1003" spans="1:18" x14ac:dyDescent="0.25">
      <c r="A1003" s="170">
        <v>43480</v>
      </c>
      <c r="B1003" s="116">
        <v>10.24</v>
      </c>
      <c r="C1003" s="116">
        <v>10.07</v>
      </c>
      <c r="D1003" s="116">
        <v>9.98</v>
      </c>
      <c r="E1003" s="116">
        <v>9.98</v>
      </c>
      <c r="F1003" s="116">
        <v>50.35</v>
      </c>
      <c r="G1003">
        <v>2468715</v>
      </c>
      <c r="H1003" s="116"/>
      <c r="I1003" s="116"/>
      <c r="L1003" s="170">
        <v>43480</v>
      </c>
      <c r="M1003" s="116">
        <v>10.050000000000001</v>
      </c>
      <c r="N1003" s="116">
        <v>10.26</v>
      </c>
      <c r="O1003" s="116">
        <v>9.94</v>
      </c>
      <c r="P1003" s="116">
        <v>9.94</v>
      </c>
      <c r="Q1003" s="116">
        <v>50.25</v>
      </c>
      <c r="R1003">
        <v>9396079</v>
      </c>
    </row>
    <row r="1004" spans="1:18" x14ac:dyDescent="0.25">
      <c r="A1004" s="170">
        <v>43481</v>
      </c>
      <c r="B1004" s="116">
        <v>10.09</v>
      </c>
      <c r="C1004" s="116">
        <v>9.9499999999999993</v>
      </c>
      <c r="D1004" s="116">
        <v>9.8699999999999992</v>
      </c>
      <c r="E1004" s="116">
        <v>10.01</v>
      </c>
      <c r="F1004" s="116">
        <v>49.75</v>
      </c>
      <c r="G1004">
        <v>739390</v>
      </c>
      <c r="H1004" s="116"/>
      <c r="I1004" s="116"/>
      <c r="L1004" s="170">
        <v>43481</v>
      </c>
      <c r="M1004" s="116">
        <v>9.9600000000000009</v>
      </c>
      <c r="N1004" s="116">
        <v>10.09</v>
      </c>
      <c r="O1004" s="116">
        <v>9.84</v>
      </c>
      <c r="P1004" s="116">
        <v>10.02</v>
      </c>
      <c r="Q1004" s="116">
        <v>49.8</v>
      </c>
      <c r="R1004">
        <v>5456511</v>
      </c>
    </row>
    <row r="1005" spans="1:18" x14ac:dyDescent="0.25">
      <c r="A1005" s="170">
        <v>43482</v>
      </c>
      <c r="B1005" s="116">
        <v>10.25</v>
      </c>
      <c r="C1005" s="116">
        <v>10.16</v>
      </c>
      <c r="D1005" s="116">
        <v>9.85</v>
      </c>
      <c r="E1005" s="116">
        <v>9.9499999999999993</v>
      </c>
      <c r="F1005" s="116">
        <v>50.8</v>
      </c>
      <c r="G1005">
        <v>1693639</v>
      </c>
      <c r="H1005" s="116"/>
      <c r="I1005" s="116"/>
      <c r="L1005" s="170">
        <v>43482</v>
      </c>
      <c r="M1005" s="116">
        <v>10.17</v>
      </c>
      <c r="N1005" s="116">
        <v>10.27</v>
      </c>
      <c r="O1005" s="116">
        <v>9.86</v>
      </c>
      <c r="P1005" s="116">
        <v>9.98</v>
      </c>
      <c r="Q1005" s="116">
        <v>50.85</v>
      </c>
      <c r="R1005">
        <v>10398155</v>
      </c>
    </row>
    <row r="1006" spans="1:18" x14ac:dyDescent="0.25">
      <c r="A1006" s="170">
        <v>43483</v>
      </c>
      <c r="B1006" s="116">
        <v>10.4</v>
      </c>
      <c r="C1006" s="116">
        <v>10.15</v>
      </c>
      <c r="D1006" s="116">
        <v>10.02</v>
      </c>
      <c r="E1006" s="116">
        <v>10.31</v>
      </c>
      <c r="F1006" s="116">
        <v>50.75</v>
      </c>
      <c r="G1006">
        <v>1838291</v>
      </c>
      <c r="H1006" s="116"/>
      <c r="I1006" s="116"/>
      <c r="L1006" s="170">
        <v>43483</v>
      </c>
      <c r="M1006" s="116">
        <v>10.15</v>
      </c>
      <c r="N1006" s="116">
        <v>10.42</v>
      </c>
      <c r="O1006" s="116">
        <v>10.01</v>
      </c>
      <c r="P1006" s="116">
        <v>10.31</v>
      </c>
      <c r="Q1006" s="116">
        <v>50.75</v>
      </c>
      <c r="R1006">
        <v>11090779</v>
      </c>
    </row>
    <row r="1007" spans="1:18" x14ac:dyDescent="0.25">
      <c r="A1007" s="170">
        <v>43486</v>
      </c>
      <c r="B1007" s="116">
        <v>10.24</v>
      </c>
      <c r="C1007" s="116">
        <v>9.99</v>
      </c>
      <c r="D1007" s="116">
        <v>9.8800000000000008</v>
      </c>
      <c r="E1007" s="116">
        <v>10.14</v>
      </c>
      <c r="F1007" s="116">
        <v>49.95</v>
      </c>
      <c r="G1007">
        <v>2794191</v>
      </c>
      <c r="H1007" s="116"/>
      <c r="I1007" s="116"/>
      <c r="L1007" s="170">
        <v>43486</v>
      </c>
      <c r="M1007" s="116">
        <v>9.9600000000000009</v>
      </c>
      <c r="N1007" s="116">
        <v>10.28</v>
      </c>
      <c r="O1007" s="116">
        <v>9.85</v>
      </c>
      <c r="P1007" s="116">
        <v>10.039999999999999</v>
      </c>
      <c r="Q1007" s="116">
        <v>49.8</v>
      </c>
      <c r="R1007">
        <v>13143168</v>
      </c>
    </row>
    <row r="1008" spans="1:18" x14ac:dyDescent="0.25">
      <c r="A1008" s="170">
        <v>43487</v>
      </c>
      <c r="B1008" s="116">
        <v>10.4</v>
      </c>
      <c r="C1008" s="116">
        <v>10.24</v>
      </c>
      <c r="D1008" s="116">
        <v>9.8000000000000007</v>
      </c>
      <c r="E1008" s="116">
        <v>9.8000000000000007</v>
      </c>
      <c r="F1008" s="116">
        <v>51.2</v>
      </c>
      <c r="G1008">
        <v>2193093</v>
      </c>
      <c r="H1008" s="116"/>
      <c r="I1008" s="116"/>
      <c r="L1008" s="170">
        <v>43487</v>
      </c>
      <c r="M1008" s="116">
        <v>10.26</v>
      </c>
      <c r="N1008" s="116">
        <v>10.44</v>
      </c>
      <c r="O1008" s="116">
        <v>9.91</v>
      </c>
      <c r="P1008" s="116">
        <v>9.92</v>
      </c>
      <c r="Q1008" s="116">
        <v>51.3</v>
      </c>
      <c r="R1008">
        <v>14364718</v>
      </c>
    </row>
    <row r="1009" spans="1:18" x14ac:dyDescent="0.25">
      <c r="A1009" s="170">
        <v>43488</v>
      </c>
      <c r="B1009" s="116">
        <v>10.53</v>
      </c>
      <c r="C1009" s="116">
        <v>10.36</v>
      </c>
      <c r="D1009" s="116">
        <v>10.24</v>
      </c>
      <c r="E1009" s="116">
        <v>10.31</v>
      </c>
      <c r="F1009" s="116">
        <v>51.8</v>
      </c>
      <c r="G1009">
        <v>1184774</v>
      </c>
      <c r="H1009" s="116"/>
      <c r="I1009" s="116"/>
      <c r="L1009" s="170">
        <v>43488</v>
      </c>
      <c r="M1009" s="116">
        <v>10.35</v>
      </c>
      <c r="N1009" s="116">
        <v>10.5</v>
      </c>
      <c r="O1009" s="116">
        <v>10.27</v>
      </c>
      <c r="P1009" s="116">
        <v>10.27</v>
      </c>
      <c r="Q1009" s="116">
        <v>51.75</v>
      </c>
      <c r="R1009">
        <v>10104731</v>
      </c>
    </row>
    <row r="1010" spans="1:18" x14ac:dyDescent="0.25">
      <c r="A1010" s="170">
        <v>43489</v>
      </c>
      <c r="B1010" s="116">
        <v>10.51</v>
      </c>
      <c r="C1010" s="116">
        <v>10.42</v>
      </c>
      <c r="D1010" s="116">
        <v>10.3</v>
      </c>
      <c r="E1010" s="116">
        <v>10.36</v>
      </c>
      <c r="F1010" s="116">
        <v>52.1</v>
      </c>
      <c r="G1010">
        <v>1799422</v>
      </c>
      <c r="H1010" s="116"/>
      <c r="I1010" s="116"/>
      <c r="L1010" s="170">
        <v>43489</v>
      </c>
      <c r="M1010" s="116">
        <v>10.42</v>
      </c>
      <c r="N1010" s="116">
        <v>10.54</v>
      </c>
      <c r="O1010" s="116">
        <v>10.28</v>
      </c>
      <c r="P1010" s="116">
        <v>10.32</v>
      </c>
      <c r="Q1010" s="116">
        <v>52.1</v>
      </c>
      <c r="R1010">
        <v>9678975</v>
      </c>
    </row>
    <row r="1011" spans="1:18" x14ac:dyDescent="0.25">
      <c r="A1011" s="170">
        <v>43490</v>
      </c>
      <c r="B1011" s="116">
        <v>10.43</v>
      </c>
      <c r="C1011" s="116">
        <v>9.86</v>
      </c>
      <c r="D1011" s="116">
        <v>9.66</v>
      </c>
      <c r="E1011" s="116">
        <v>10.42</v>
      </c>
      <c r="F1011" s="116">
        <v>49.3</v>
      </c>
      <c r="G1011">
        <v>3197194</v>
      </c>
      <c r="H1011" s="116"/>
      <c r="I1011" s="116"/>
      <c r="L1011" s="170">
        <v>43490</v>
      </c>
      <c r="M1011" s="116">
        <v>9.83</v>
      </c>
      <c r="N1011" s="116">
        <v>10.43</v>
      </c>
      <c r="O1011" s="116">
        <v>9.65</v>
      </c>
      <c r="P1011" s="116">
        <v>10.39</v>
      </c>
      <c r="Q1011" s="116">
        <v>49.15</v>
      </c>
      <c r="R1011">
        <v>14778257</v>
      </c>
    </row>
    <row r="1012" spans="1:18" x14ac:dyDescent="0.25">
      <c r="A1012" s="170">
        <v>43493</v>
      </c>
      <c r="B1012" s="116">
        <v>10.039999999999999</v>
      </c>
      <c r="C1012" s="116">
        <v>8.0299999999999994</v>
      </c>
      <c r="D1012" s="116">
        <v>7.85</v>
      </c>
      <c r="E1012" s="116">
        <v>9.84</v>
      </c>
      <c r="F1012" s="116">
        <v>40.15</v>
      </c>
      <c r="G1012">
        <v>8813382</v>
      </c>
      <c r="H1012" s="116"/>
      <c r="I1012" s="116"/>
      <c r="L1012" s="170">
        <v>43493</v>
      </c>
      <c r="M1012" s="116">
        <v>8.01</v>
      </c>
      <c r="N1012" s="116">
        <v>10.1</v>
      </c>
      <c r="O1012" s="116">
        <v>7.8</v>
      </c>
      <c r="P1012" s="116">
        <v>9.8000000000000007</v>
      </c>
      <c r="Q1012" s="116">
        <v>40.049999999999997</v>
      </c>
      <c r="R1012">
        <v>50291637</v>
      </c>
    </row>
    <row r="1013" spans="1:18" x14ac:dyDescent="0.25">
      <c r="A1013" s="170">
        <v>43494</v>
      </c>
      <c r="B1013" s="116">
        <v>8.8000000000000007</v>
      </c>
      <c r="C1013" s="116">
        <v>8.64</v>
      </c>
      <c r="D1013" s="116">
        <v>8</v>
      </c>
      <c r="E1013" s="116">
        <v>8.08</v>
      </c>
      <c r="F1013" s="116">
        <v>43.2</v>
      </c>
      <c r="G1013">
        <v>6165256</v>
      </c>
      <c r="H1013" s="116"/>
      <c r="I1013" s="116"/>
      <c r="L1013" s="170">
        <v>43494</v>
      </c>
      <c r="M1013" s="116">
        <v>8.6300000000000008</v>
      </c>
      <c r="N1013" s="116">
        <v>8.8000000000000007</v>
      </c>
      <c r="O1013" s="116">
        <v>7.96</v>
      </c>
      <c r="P1013" s="116">
        <v>8</v>
      </c>
      <c r="Q1013" s="116">
        <v>43.15</v>
      </c>
      <c r="R1013">
        <v>32943730</v>
      </c>
    </row>
    <row r="1014" spans="1:18" x14ac:dyDescent="0.25">
      <c r="A1014" s="170">
        <v>43495</v>
      </c>
      <c r="B1014" s="116">
        <v>9.06</v>
      </c>
      <c r="C1014" s="116">
        <v>8.8800000000000008</v>
      </c>
      <c r="D1014" s="116">
        <v>8.59</v>
      </c>
      <c r="E1014" s="116">
        <v>8.69</v>
      </c>
      <c r="F1014" s="116">
        <v>44.4</v>
      </c>
      <c r="G1014">
        <v>3121486</v>
      </c>
      <c r="H1014" s="116"/>
      <c r="I1014" s="116"/>
      <c r="L1014" s="170">
        <v>43495</v>
      </c>
      <c r="M1014" s="116">
        <v>8.9</v>
      </c>
      <c r="N1014" s="116">
        <v>9.0500000000000007</v>
      </c>
      <c r="O1014" s="116">
        <v>8.56</v>
      </c>
      <c r="P1014" s="116">
        <v>8.6199999999999992</v>
      </c>
      <c r="Q1014" s="116">
        <v>44.5</v>
      </c>
      <c r="R1014">
        <v>16323067</v>
      </c>
    </row>
    <row r="1015" spans="1:18" x14ac:dyDescent="0.25">
      <c r="A1015" s="170">
        <v>43496</v>
      </c>
      <c r="B1015" s="116">
        <v>9.2799999999999994</v>
      </c>
      <c r="C1015" s="116">
        <v>9.11</v>
      </c>
      <c r="D1015" s="116">
        <v>8.6300000000000008</v>
      </c>
      <c r="E1015" s="116">
        <v>9</v>
      </c>
      <c r="F1015" s="116">
        <v>45.55</v>
      </c>
      <c r="G1015">
        <v>4008907</v>
      </c>
      <c r="H1015" s="116"/>
      <c r="I1015" s="116"/>
      <c r="L1015" s="170">
        <v>43496</v>
      </c>
      <c r="M1015" s="116">
        <v>9.1</v>
      </c>
      <c r="N1015" s="116">
        <v>9.3000000000000007</v>
      </c>
      <c r="O1015" s="116">
        <v>8.61</v>
      </c>
      <c r="P1015" s="116">
        <v>8.9499999999999993</v>
      </c>
      <c r="Q1015" s="116">
        <v>45.5</v>
      </c>
      <c r="R1015">
        <v>17642681</v>
      </c>
    </row>
    <row r="1016" spans="1:18" x14ac:dyDescent="0.25">
      <c r="A1016" s="170">
        <v>43497</v>
      </c>
      <c r="B1016" s="116">
        <v>9.35</v>
      </c>
      <c r="C1016" s="116">
        <v>8.84</v>
      </c>
      <c r="D1016" s="116">
        <v>8.4</v>
      </c>
      <c r="E1016" s="116">
        <v>9.23</v>
      </c>
      <c r="F1016" s="116">
        <v>44.2</v>
      </c>
      <c r="G1016">
        <v>3256770</v>
      </c>
      <c r="H1016" s="116"/>
      <c r="I1016" s="116"/>
      <c r="L1016" s="170">
        <v>43497</v>
      </c>
      <c r="M1016" s="116">
        <v>8.84</v>
      </c>
      <c r="N1016" s="116">
        <v>9.3699999999999992</v>
      </c>
      <c r="O1016" s="116">
        <v>8.3699999999999992</v>
      </c>
      <c r="P1016" s="116">
        <v>9.27</v>
      </c>
      <c r="Q1016" s="116">
        <v>44.2</v>
      </c>
      <c r="R1016">
        <v>11033520</v>
      </c>
    </row>
    <row r="1017" spans="1:18" x14ac:dyDescent="0.25">
      <c r="A1017" s="170">
        <v>43500</v>
      </c>
      <c r="B1017" s="116">
        <v>8.86</v>
      </c>
      <c r="C1017" s="116">
        <v>7.95</v>
      </c>
      <c r="D1017" s="116">
        <v>7.81</v>
      </c>
      <c r="E1017" s="116">
        <v>8.86</v>
      </c>
      <c r="F1017" s="116">
        <v>39.75</v>
      </c>
      <c r="G1017">
        <v>7027886</v>
      </c>
      <c r="H1017" s="116"/>
      <c r="I1017" s="116"/>
      <c r="L1017" s="170">
        <v>43500</v>
      </c>
      <c r="M1017" s="116">
        <v>7.95</v>
      </c>
      <c r="N1017" s="116">
        <v>8.86</v>
      </c>
      <c r="O1017" s="116">
        <v>7.73</v>
      </c>
      <c r="P1017" s="116">
        <v>8.85</v>
      </c>
      <c r="Q1017" s="116">
        <v>39.75</v>
      </c>
      <c r="R1017">
        <v>21822407</v>
      </c>
    </row>
    <row r="1018" spans="1:18" x14ac:dyDescent="0.25">
      <c r="A1018" s="170">
        <v>43501</v>
      </c>
      <c r="B1018" s="116">
        <v>8.1300000000000008</v>
      </c>
      <c r="C1018" s="116">
        <v>7.55</v>
      </c>
      <c r="D1018" s="116">
        <v>7.3</v>
      </c>
      <c r="E1018" s="116">
        <v>7.95</v>
      </c>
      <c r="F1018" s="116">
        <v>37.75</v>
      </c>
      <c r="G1018">
        <v>2324580</v>
      </c>
      <c r="H1018" s="116"/>
      <c r="I1018" s="116"/>
      <c r="L1018" s="170">
        <v>43501</v>
      </c>
      <c r="M1018" s="116">
        <v>7.55</v>
      </c>
      <c r="N1018" s="116">
        <v>8.14</v>
      </c>
      <c r="O1018" s="116">
        <v>7.28</v>
      </c>
      <c r="P1018" s="116">
        <v>7.91</v>
      </c>
      <c r="Q1018" s="116">
        <v>37.75</v>
      </c>
      <c r="R1018">
        <v>16204237</v>
      </c>
    </row>
    <row r="1019" spans="1:18" x14ac:dyDescent="0.25">
      <c r="A1019" s="170">
        <v>43502</v>
      </c>
      <c r="B1019" s="116">
        <v>7.72</v>
      </c>
      <c r="C1019" s="116">
        <v>7.61</v>
      </c>
      <c r="D1019" s="116">
        <v>6.94</v>
      </c>
      <c r="E1019" s="116">
        <v>7.66</v>
      </c>
      <c r="F1019" s="116">
        <v>38.049999999999997</v>
      </c>
      <c r="G1019">
        <v>5517325</v>
      </c>
      <c r="H1019" s="116"/>
      <c r="I1019" s="116"/>
      <c r="L1019" s="170">
        <v>43502</v>
      </c>
      <c r="M1019" s="116">
        <v>7.61</v>
      </c>
      <c r="N1019" s="116">
        <v>7.73</v>
      </c>
      <c r="O1019" s="116">
        <v>6.92</v>
      </c>
      <c r="P1019" s="116">
        <v>7.59</v>
      </c>
      <c r="Q1019" s="116">
        <v>38.049999999999997</v>
      </c>
      <c r="R1019">
        <v>29251898</v>
      </c>
    </row>
    <row r="1020" spans="1:18" x14ac:dyDescent="0.25">
      <c r="A1020" s="170">
        <v>43503</v>
      </c>
      <c r="B1020" s="116">
        <v>7.58</v>
      </c>
      <c r="C1020" s="116">
        <v>7.36</v>
      </c>
      <c r="D1020" s="116">
        <v>7.1</v>
      </c>
      <c r="E1020" s="116">
        <v>7.58</v>
      </c>
      <c r="F1020" s="116">
        <v>36.799999999999997</v>
      </c>
      <c r="G1020">
        <v>2236172</v>
      </c>
      <c r="H1020" s="116"/>
      <c r="I1020" s="116"/>
      <c r="L1020" s="170">
        <v>43503</v>
      </c>
      <c r="M1020" s="116">
        <v>7.35</v>
      </c>
      <c r="N1020" s="116">
        <v>7.52</v>
      </c>
      <c r="O1020" s="116">
        <v>7.07</v>
      </c>
      <c r="P1020" s="116">
        <v>7.52</v>
      </c>
      <c r="Q1020" s="116">
        <v>36.75</v>
      </c>
      <c r="R1020">
        <v>16398215</v>
      </c>
    </row>
    <row r="1021" spans="1:18" x14ac:dyDescent="0.25">
      <c r="A1021" s="170">
        <v>43504</v>
      </c>
      <c r="B1021" s="116">
        <v>7.4</v>
      </c>
      <c r="C1021" s="116">
        <v>7.14</v>
      </c>
      <c r="D1021" s="116">
        <v>7.04</v>
      </c>
      <c r="E1021" s="116">
        <v>7.3</v>
      </c>
      <c r="F1021" s="116">
        <v>35.700000000000003</v>
      </c>
      <c r="G1021">
        <v>1096273</v>
      </c>
      <c r="H1021" s="116"/>
      <c r="I1021" s="116"/>
      <c r="L1021" s="170">
        <v>43504</v>
      </c>
      <c r="M1021" s="116">
        <v>7.12</v>
      </c>
      <c r="N1021" s="116">
        <v>7.41</v>
      </c>
      <c r="O1021" s="116">
        <v>7.04</v>
      </c>
      <c r="P1021" s="116">
        <v>7.15</v>
      </c>
      <c r="Q1021" s="116">
        <v>35.6</v>
      </c>
      <c r="R1021">
        <v>10009016</v>
      </c>
    </row>
    <row r="1022" spans="1:18" x14ac:dyDescent="0.25">
      <c r="A1022" s="170">
        <v>43507</v>
      </c>
      <c r="B1022" s="116">
        <v>7.23</v>
      </c>
      <c r="C1022" s="116">
        <v>6.92</v>
      </c>
      <c r="D1022" s="116">
        <v>6.68</v>
      </c>
      <c r="E1022" s="116">
        <v>7.14</v>
      </c>
      <c r="F1022" s="116">
        <v>34.6</v>
      </c>
      <c r="G1022">
        <v>1455433</v>
      </c>
      <c r="H1022" s="116"/>
      <c r="I1022" s="116"/>
      <c r="L1022" s="170">
        <v>43507</v>
      </c>
      <c r="M1022" s="116">
        <v>6.94</v>
      </c>
      <c r="N1022" s="116">
        <v>7.23</v>
      </c>
      <c r="O1022" s="116">
        <v>6.67</v>
      </c>
      <c r="P1022" s="116">
        <v>7.15</v>
      </c>
      <c r="Q1022" s="116">
        <v>34.700000000000003</v>
      </c>
      <c r="R1022">
        <v>11790819</v>
      </c>
    </row>
    <row r="1023" spans="1:18" x14ac:dyDescent="0.25">
      <c r="A1023" s="170">
        <v>43508</v>
      </c>
      <c r="B1023" s="116">
        <v>7.1</v>
      </c>
      <c r="C1023" s="116">
        <v>6.79</v>
      </c>
      <c r="D1023" s="116">
        <v>6.73</v>
      </c>
      <c r="E1023" s="116">
        <v>6.94</v>
      </c>
      <c r="F1023" s="116">
        <v>33.950000000000003</v>
      </c>
      <c r="G1023">
        <v>871203</v>
      </c>
      <c r="H1023" s="116"/>
      <c r="I1023" s="116"/>
      <c r="L1023" s="170">
        <v>43508</v>
      </c>
      <c r="M1023" s="116">
        <v>6.79</v>
      </c>
      <c r="N1023" s="116">
        <v>7.08</v>
      </c>
      <c r="O1023" s="116">
        <v>6.72</v>
      </c>
      <c r="P1023" s="116">
        <v>6.94</v>
      </c>
      <c r="Q1023" s="116">
        <v>33.950000000000003</v>
      </c>
      <c r="R1023">
        <v>6570103</v>
      </c>
    </row>
    <row r="1024" spans="1:18" x14ac:dyDescent="0.25">
      <c r="A1024" s="170">
        <v>43509</v>
      </c>
      <c r="B1024" s="116">
        <v>7.46</v>
      </c>
      <c r="C1024" s="116">
        <v>7.36</v>
      </c>
      <c r="D1024" s="116">
        <v>6.67</v>
      </c>
      <c r="E1024" s="116">
        <v>6.67</v>
      </c>
      <c r="F1024" s="116">
        <v>36.799999999999997</v>
      </c>
      <c r="G1024">
        <v>2910206</v>
      </c>
      <c r="H1024" s="116"/>
      <c r="I1024" s="116"/>
      <c r="L1024" s="170">
        <v>43509</v>
      </c>
      <c r="M1024" s="116">
        <v>7.37</v>
      </c>
      <c r="N1024" s="116">
        <v>7.5</v>
      </c>
      <c r="O1024" s="116">
        <v>6.65</v>
      </c>
      <c r="P1024" s="116">
        <v>6.76</v>
      </c>
      <c r="Q1024" s="116">
        <v>36.85</v>
      </c>
      <c r="R1024">
        <v>24455139</v>
      </c>
    </row>
    <row r="1025" spans="1:18" x14ac:dyDescent="0.25">
      <c r="A1025" s="170">
        <v>43510</v>
      </c>
      <c r="B1025" s="116">
        <v>7.51</v>
      </c>
      <c r="C1025" s="116">
        <v>7.43</v>
      </c>
      <c r="D1025" s="116">
        <v>7.03</v>
      </c>
      <c r="E1025" s="116">
        <v>7.42</v>
      </c>
      <c r="F1025" s="116">
        <v>37.15</v>
      </c>
      <c r="G1025">
        <v>913129</v>
      </c>
      <c r="H1025" s="116"/>
      <c r="I1025" s="116"/>
      <c r="L1025" s="170">
        <v>43510</v>
      </c>
      <c r="M1025" s="116">
        <v>7.43</v>
      </c>
      <c r="N1025" s="116">
        <v>7.51</v>
      </c>
      <c r="O1025" s="116">
        <v>7.01</v>
      </c>
      <c r="P1025" s="116">
        <v>7.31</v>
      </c>
      <c r="Q1025" s="116">
        <v>37.15</v>
      </c>
      <c r="R1025">
        <v>9932519</v>
      </c>
    </row>
    <row r="1026" spans="1:18" x14ac:dyDescent="0.25">
      <c r="A1026" s="170">
        <v>43511</v>
      </c>
      <c r="B1026" s="116">
        <v>8.0399999999999991</v>
      </c>
      <c r="C1026" s="116">
        <v>7.88</v>
      </c>
      <c r="D1026" s="116">
        <v>7.28</v>
      </c>
      <c r="E1026" s="116">
        <v>7.4</v>
      </c>
      <c r="F1026" s="116">
        <v>39.4</v>
      </c>
      <c r="G1026">
        <v>1731952</v>
      </c>
      <c r="H1026" s="116"/>
      <c r="I1026" s="116"/>
      <c r="L1026" s="170">
        <v>43511</v>
      </c>
      <c r="M1026" s="116">
        <v>7.87</v>
      </c>
      <c r="N1026" s="116">
        <v>8.06</v>
      </c>
      <c r="O1026" s="116">
        <v>7.26</v>
      </c>
      <c r="P1026" s="116">
        <v>7.4</v>
      </c>
      <c r="Q1026" s="116">
        <v>39.35</v>
      </c>
      <c r="R1026">
        <v>16027848</v>
      </c>
    </row>
    <row r="1027" spans="1:18" x14ac:dyDescent="0.25">
      <c r="A1027" s="170">
        <v>43514</v>
      </c>
      <c r="B1027" s="116">
        <v>7.93</v>
      </c>
      <c r="C1027" s="116">
        <v>7.51</v>
      </c>
      <c r="D1027" s="116">
        <v>7.41</v>
      </c>
      <c r="E1027" s="116">
        <v>7.9</v>
      </c>
      <c r="F1027" s="116">
        <v>37.549999999999997</v>
      </c>
      <c r="G1027">
        <v>1153992</v>
      </c>
      <c r="H1027" s="116"/>
      <c r="I1027" s="116"/>
      <c r="L1027" s="170">
        <v>43514</v>
      </c>
      <c r="M1027" s="116">
        <v>7.53</v>
      </c>
      <c r="N1027" s="116">
        <v>7.94</v>
      </c>
      <c r="O1027" s="116">
        <v>7.41</v>
      </c>
      <c r="P1027" s="116">
        <v>7.87</v>
      </c>
      <c r="Q1027" s="116">
        <v>37.65</v>
      </c>
      <c r="R1027">
        <v>8362780</v>
      </c>
    </row>
    <row r="1028" spans="1:18" x14ac:dyDescent="0.25">
      <c r="A1028" s="170">
        <v>43515</v>
      </c>
      <c r="B1028" s="116">
        <v>7.82</v>
      </c>
      <c r="C1028" s="116">
        <v>7.37</v>
      </c>
      <c r="D1028" s="116">
        <v>7.33</v>
      </c>
      <c r="E1028" s="116">
        <v>7.45</v>
      </c>
      <c r="F1028" s="116">
        <v>36.85</v>
      </c>
      <c r="G1028">
        <v>1857918</v>
      </c>
      <c r="H1028" s="116"/>
      <c r="I1028" s="116"/>
      <c r="L1028" s="170">
        <v>43515</v>
      </c>
      <c r="M1028" s="116">
        <v>7.37</v>
      </c>
      <c r="N1028" s="116">
        <v>7.82</v>
      </c>
      <c r="O1028" s="116">
        <v>7.3</v>
      </c>
      <c r="P1028" s="116">
        <v>7.45</v>
      </c>
      <c r="Q1028" s="116">
        <v>36.85</v>
      </c>
      <c r="R1028">
        <v>11395529</v>
      </c>
    </row>
    <row r="1029" spans="1:18" x14ac:dyDescent="0.25">
      <c r="A1029" s="170">
        <v>43516</v>
      </c>
      <c r="B1029" s="116">
        <v>8.19</v>
      </c>
      <c r="C1029" s="116">
        <v>7.77</v>
      </c>
      <c r="D1029" s="116">
        <v>7.31</v>
      </c>
      <c r="E1029" s="116">
        <v>7.31</v>
      </c>
      <c r="F1029" s="116">
        <v>38.85</v>
      </c>
      <c r="G1029">
        <v>1632243</v>
      </c>
      <c r="H1029" s="116"/>
      <c r="I1029" s="116"/>
      <c r="L1029" s="170">
        <v>43516</v>
      </c>
      <c r="M1029" s="116">
        <v>7.91</v>
      </c>
      <c r="N1029" s="116">
        <v>8.2200000000000006</v>
      </c>
      <c r="O1029" s="116">
        <v>7.37</v>
      </c>
      <c r="P1029" s="116">
        <v>7.41</v>
      </c>
      <c r="Q1029" s="116">
        <v>39.549999999999997</v>
      </c>
      <c r="R1029">
        <v>11657825</v>
      </c>
    </row>
    <row r="1030" spans="1:18" x14ac:dyDescent="0.25">
      <c r="A1030" s="170">
        <v>43517</v>
      </c>
      <c r="B1030" s="116">
        <v>8.18</v>
      </c>
      <c r="C1030" s="116">
        <v>7.91</v>
      </c>
      <c r="D1030" s="116">
        <v>7.77</v>
      </c>
      <c r="E1030" s="116">
        <v>8</v>
      </c>
      <c r="F1030" s="116">
        <v>39.549999999999997</v>
      </c>
      <c r="G1030">
        <v>1768842</v>
      </c>
      <c r="H1030" s="116"/>
      <c r="I1030" s="116"/>
      <c r="L1030" s="170">
        <v>43517</v>
      </c>
      <c r="M1030" s="116">
        <v>7.91</v>
      </c>
      <c r="N1030" s="116">
        <v>8.19</v>
      </c>
      <c r="O1030" s="116">
        <v>7.77</v>
      </c>
      <c r="P1030" s="116">
        <v>8.0500000000000007</v>
      </c>
      <c r="Q1030" s="116">
        <v>39.549999999999997</v>
      </c>
      <c r="R1030">
        <v>14132459</v>
      </c>
    </row>
    <row r="1031" spans="1:18" x14ac:dyDescent="0.25">
      <c r="A1031" s="170">
        <v>43518</v>
      </c>
      <c r="B1031" s="116">
        <v>8.09</v>
      </c>
      <c r="C1031" s="116">
        <v>7.97</v>
      </c>
      <c r="D1031" s="116">
        <v>7.86</v>
      </c>
      <c r="E1031" s="116">
        <v>7.92</v>
      </c>
      <c r="F1031" s="116">
        <v>39.85</v>
      </c>
      <c r="G1031">
        <v>1567790</v>
      </c>
      <c r="H1031" s="116"/>
      <c r="I1031" s="116"/>
      <c r="L1031" s="170">
        <v>43518</v>
      </c>
      <c r="M1031" s="116">
        <v>7.97</v>
      </c>
      <c r="N1031" s="116">
        <v>8.08</v>
      </c>
      <c r="O1031" s="116">
        <v>7.84</v>
      </c>
      <c r="P1031" s="116">
        <v>7.87</v>
      </c>
      <c r="Q1031" s="116">
        <v>39.85</v>
      </c>
      <c r="R1031">
        <v>12065389</v>
      </c>
    </row>
    <row r="1032" spans="1:18" x14ac:dyDescent="0.25">
      <c r="A1032" s="170">
        <v>43521</v>
      </c>
      <c r="B1032" s="116">
        <v>8.18</v>
      </c>
      <c r="C1032" s="116">
        <v>8.07</v>
      </c>
      <c r="D1032" s="116">
        <v>7.33</v>
      </c>
      <c r="E1032" s="116">
        <v>7.99</v>
      </c>
      <c r="F1032" s="116">
        <v>40.35</v>
      </c>
      <c r="G1032">
        <v>2098496</v>
      </c>
      <c r="H1032" s="116"/>
      <c r="I1032" s="116"/>
      <c r="L1032" s="170">
        <v>43521</v>
      </c>
      <c r="M1032" s="116">
        <v>8.09</v>
      </c>
      <c r="N1032" s="116">
        <v>8.1999999999999993</v>
      </c>
      <c r="O1032" s="116">
        <v>7.27</v>
      </c>
      <c r="P1032" s="116">
        <v>7.97</v>
      </c>
      <c r="Q1032" s="116">
        <v>40.450000000000003</v>
      </c>
      <c r="R1032">
        <v>17835657</v>
      </c>
    </row>
    <row r="1033" spans="1:18" x14ac:dyDescent="0.25">
      <c r="A1033" s="170">
        <v>43522</v>
      </c>
      <c r="B1033" s="116">
        <v>9.76</v>
      </c>
      <c r="C1033" s="116">
        <v>9.3000000000000007</v>
      </c>
      <c r="D1033" s="116">
        <v>7.65</v>
      </c>
      <c r="E1033" s="116">
        <v>8.0299999999999994</v>
      </c>
      <c r="F1033" s="116">
        <v>46.5</v>
      </c>
      <c r="G1033">
        <v>4900904</v>
      </c>
      <c r="H1033" s="116"/>
      <c r="I1033" s="116"/>
      <c r="L1033" s="170">
        <v>43522</v>
      </c>
      <c r="M1033" s="116">
        <v>9.33</v>
      </c>
      <c r="N1033" s="116">
        <v>9.7799999999999994</v>
      </c>
      <c r="O1033" s="116">
        <v>7.6</v>
      </c>
      <c r="P1033" s="116">
        <v>7.94</v>
      </c>
      <c r="Q1033" s="116">
        <v>46.65</v>
      </c>
      <c r="R1033">
        <v>39370573</v>
      </c>
    </row>
    <row r="1034" spans="1:18" x14ac:dyDescent="0.25">
      <c r="A1034" s="170">
        <v>43523</v>
      </c>
      <c r="B1034" s="116">
        <v>9.99</v>
      </c>
      <c r="C1034" s="116">
        <v>9.56</v>
      </c>
      <c r="D1034" s="116">
        <v>9.32</v>
      </c>
      <c r="E1034" s="116">
        <v>9.64</v>
      </c>
      <c r="F1034" s="116">
        <v>47.8</v>
      </c>
      <c r="G1034">
        <v>4433717</v>
      </c>
      <c r="H1034" s="116"/>
      <c r="I1034" s="116"/>
      <c r="L1034" s="170">
        <v>43523</v>
      </c>
      <c r="M1034" s="116">
        <v>9.5500000000000007</v>
      </c>
      <c r="N1034" s="116">
        <v>9.99</v>
      </c>
      <c r="O1034" s="116">
        <v>9.3000000000000007</v>
      </c>
      <c r="P1034" s="116">
        <v>9.69</v>
      </c>
      <c r="Q1034" s="116">
        <v>47.75</v>
      </c>
      <c r="R1034">
        <v>39328080</v>
      </c>
    </row>
    <row r="1035" spans="1:18" x14ac:dyDescent="0.25">
      <c r="A1035" s="170">
        <v>43524</v>
      </c>
      <c r="B1035" s="116">
        <v>9.75</v>
      </c>
      <c r="C1035" s="116">
        <v>9.6199999999999992</v>
      </c>
      <c r="D1035" s="116">
        <v>9.26</v>
      </c>
      <c r="E1035" s="116">
        <v>9.5500000000000007</v>
      </c>
      <c r="F1035" s="116">
        <v>48.1</v>
      </c>
      <c r="G1035">
        <v>2584836</v>
      </c>
      <c r="H1035" s="116"/>
      <c r="I1035" s="116"/>
      <c r="L1035" s="170">
        <v>43524</v>
      </c>
      <c r="M1035" s="116">
        <v>9.6300000000000008</v>
      </c>
      <c r="N1035" s="116">
        <v>9.76</v>
      </c>
      <c r="O1035" s="116">
        <v>9.26</v>
      </c>
      <c r="P1035" s="116">
        <v>9.52</v>
      </c>
      <c r="Q1035" s="116">
        <v>48.15</v>
      </c>
      <c r="R1035">
        <v>24563416</v>
      </c>
    </row>
    <row r="1036" spans="1:18" x14ac:dyDescent="0.25">
      <c r="A1036" s="170">
        <v>43525</v>
      </c>
      <c r="B1036" s="116">
        <v>9.81</v>
      </c>
      <c r="C1036" s="116">
        <v>9.67</v>
      </c>
      <c r="D1036" s="116">
        <v>9.56</v>
      </c>
      <c r="E1036" s="116">
        <v>9.6199999999999992</v>
      </c>
      <c r="F1036" s="116">
        <v>48.35</v>
      </c>
      <c r="G1036">
        <v>1792085</v>
      </c>
      <c r="H1036" s="116"/>
      <c r="I1036" s="116"/>
      <c r="L1036" s="170">
        <v>43525</v>
      </c>
      <c r="M1036" s="116">
        <v>9.68</v>
      </c>
      <c r="N1036" s="116">
        <v>9.8000000000000007</v>
      </c>
      <c r="O1036" s="116">
        <v>9.5500000000000007</v>
      </c>
      <c r="P1036" s="116">
        <v>9.67</v>
      </c>
      <c r="Q1036" s="116">
        <v>48.4</v>
      </c>
      <c r="R1036">
        <v>16489834</v>
      </c>
    </row>
    <row r="1037" spans="1:18" x14ac:dyDescent="0.25">
      <c r="A1037" s="170">
        <v>43529</v>
      </c>
      <c r="B1037" s="116">
        <v>10.44</v>
      </c>
      <c r="C1037" s="116">
        <v>10.220000000000001</v>
      </c>
      <c r="D1037" s="116">
        <v>9.7799999999999994</v>
      </c>
      <c r="E1037" s="116">
        <v>9.7799999999999994</v>
      </c>
      <c r="F1037" s="116">
        <v>51.1</v>
      </c>
      <c r="G1037">
        <v>2614945</v>
      </c>
      <c r="H1037" s="116"/>
      <c r="I1037" s="116"/>
      <c r="L1037" s="170">
        <v>43529</v>
      </c>
      <c r="M1037" s="116">
        <v>10.23</v>
      </c>
      <c r="N1037" s="116">
        <v>10.45</v>
      </c>
      <c r="O1037" s="116">
        <v>9.7799999999999994</v>
      </c>
      <c r="P1037" s="116">
        <v>9.8000000000000007</v>
      </c>
      <c r="Q1037" s="116">
        <v>51.15</v>
      </c>
      <c r="R1037">
        <v>27455057</v>
      </c>
    </row>
    <row r="1038" spans="1:18" x14ac:dyDescent="0.25">
      <c r="A1038" s="170">
        <v>43530</v>
      </c>
      <c r="B1038" s="116">
        <v>10.38</v>
      </c>
      <c r="C1038" s="116">
        <v>10.14</v>
      </c>
      <c r="D1038" s="116">
        <v>9.9600000000000009</v>
      </c>
      <c r="E1038" s="116">
        <v>10.28</v>
      </c>
      <c r="F1038" s="116">
        <v>50.7</v>
      </c>
      <c r="G1038">
        <v>2999473</v>
      </c>
      <c r="H1038" s="116"/>
      <c r="I1038" s="116"/>
      <c r="L1038" s="170">
        <v>43530</v>
      </c>
      <c r="M1038" s="116">
        <v>10.14</v>
      </c>
      <c r="N1038" s="116">
        <v>10.34</v>
      </c>
      <c r="O1038" s="116">
        <v>9.9600000000000009</v>
      </c>
      <c r="P1038" s="116">
        <v>10.34</v>
      </c>
      <c r="Q1038" s="116">
        <v>50.7</v>
      </c>
      <c r="R1038">
        <v>17876199</v>
      </c>
    </row>
    <row r="1039" spans="1:18" x14ac:dyDescent="0.25">
      <c r="A1039" s="170">
        <v>43531</v>
      </c>
      <c r="B1039" s="116">
        <v>10.34</v>
      </c>
      <c r="C1039" s="116">
        <v>10.08</v>
      </c>
      <c r="D1039" s="116">
        <v>10.029999999999999</v>
      </c>
      <c r="E1039" s="116">
        <v>10.24</v>
      </c>
      <c r="F1039" s="116">
        <v>50.4</v>
      </c>
      <c r="G1039">
        <v>1194781</v>
      </c>
      <c r="H1039" s="116"/>
      <c r="I1039" s="116"/>
      <c r="L1039" s="170">
        <v>43531</v>
      </c>
      <c r="M1039" s="116">
        <v>10.08</v>
      </c>
      <c r="N1039" s="116">
        <v>10.32</v>
      </c>
      <c r="O1039" s="116">
        <v>10.039999999999999</v>
      </c>
      <c r="P1039" s="116">
        <v>10.199999999999999</v>
      </c>
      <c r="Q1039" s="116">
        <v>50.4</v>
      </c>
      <c r="R1039">
        <v>11306396</v>
      </c>
    </row>
    <row r="1040" spans="1:18" x14ac:dyDescent="0.25">
      <c r="A1040" s="170">
        <v>43532</v>
      </c>
      <c r="B1040" s="116">
        <v>10.14</v>
      </c>
      <c r="C1040" s="116">
        <v>9.99</v>
      </c>
      <c r="D1040" s="116">
        <v>9.86</v>
      </c>
      <c r="E1040" s="116">
        <v>10.1</v>
      </c>
      <c r="F1040" s="116">
        <v>49.95</v>
      </c>
      <c r="G1040">
        <v>1256222</v>
      </c>
      <c r="H1040" s="116"/>
      <c r="I1040" s="116"/>
      <c r="L1040" s="170">
        <v>43532</v>
      </c>
      <c r="M1040" s="116">
        <v>10</v>
      </c>
      <c r="N1040" s="116">
        <v>10.15</v>
      </c>
      <c r="O1040" s="116">
        <v>9.8699999999999992</v>
      </c>
      <c r="P1040" s="116">
        <v>10.08</v>
      </c>
      <c r="Q1040" s="116">
        <v>50</v>
      </c>
      <c r="R1040">
        <v>11908805</v>
      </c>
    </row>
    <row r="1041" spans="1:18" x14ac:dyDescent="0.25">
      <c r="A1041" s="170">
        <v>43535</v>
      </c>
      <c r="B1041" s="116">
        <v>10.47</v>
      </c>
      <c r="C1041" s="116">
        <v>10.33</v>
      </c>
      <c r="D1041" s="116">
        <v>9.8800000000000008</v>
      </c>
      <c r="E1041" s="116">
        <v>9.99</v>
      </c>
      <c r="F1041" s="116">
        <v>51.65</v>
      </c>
      <c r="G1041">
        <v>2663106</v>
      </c>
      <c r="H1041" s="116"/>
      <c r="I1041" s="116"/>
      <c r="L1041" s="170">
        <v>43535</v>
      </c>
      <c r="M1041" s="116">
        <v>10.35</v>
      </c>
      <c r="N1041" s="116">
        <v>10.49</v>
      </c>
      <c r="O1041" s="116">
        <v>9.8699999999999992</v>
      </c>
      <c r="P1041" s="116">
        <v>9.94</v>
      </c>
      <c r="Q1041" s="116">
        <v>51.75</v>
      </c>
      <c r="R1041">
        <v>23678985</v>
      </c>
    </row>
    <row r="1042" spans="1:18" x14ac:dyDescent="0.25">
      <c r="A1042" s="170">
        <v>43536</v>
      </c>
      <c r="B1042" s="116">
        <v>10.65</v>
      </c>
      <c r="C1042" s="116">
        <v>10.46</v>
      </c>
      <c r="D1042" s="116">
        <v>10.27</v>
      </c>
      <c r="E1042" s="116">
        <v>10.38</v>
      </c>
      <c r="F1042" s="116">
        <v>52.3</v>
      </c>
      <c r="G1042">
        <v>1715054</v>
      </c>
      <c r="H1042" s="116"/>
      <c r="I1042" s="116"/>
      <c r="L1042" s="170">
        <v>43536</v>
      </c>
      <c r="M1042" s="116">
        <v>10.46</v>
      </c>
      <c r="N1042" s="116">
        <v>10.65</v>
      </c>
      <c r="O1042" s="116">
        <v>10.26</v>
      </c>
      <c r="P1042" s="116">
        <v>10.58</v>
      </c>
      <c r="Q1042" s="116">
        <v>52.3</v>
      </c>
      <c r="R1042">
        <v>18892443</v>
      </c>
    </row>
    <row r="1043" spans="1:18" x14ac:dyDescent="0.25">
      <c r="A1043" s="170">
        <v>43537</v>
      </c>
      <c r="B1043" s="116">
        <v>10.49</v>
      </c>
      <c r="C1043" s="116">
        <v>10.31</v>
      </c>
      <c r="D1043" s="116">
        <v>10.16</v>
      </c>
      <c r="E1043" s="116">
        <v>10.49</v>
      </c>
      <c r="F1043" s="116">
        <v>51.55</v>
      </c>
      <c r="G1043">
        <v>1171799</v>
      </c>
      <c r="H1043" s="116"/>
      <c r="I1043" s="116"/>
      <c r="L1043" s="170">
        <v>43537</v>
      </c>
      <c r="M1043" s="116">
        <v>10.32</v>
      </c>
      <c r="N1043" s="116">
        <v>10.45</v>
      </c>
      <c r="O1043" s="116">
        <v>10.15</v>
      </c>
      <c r="P1043" s="116">
        <v>10.44</v>
      </c>
      <c r="Q1043" s="116">
        <v>51.6</v>
      </c>
      <c r="R1043">
        <v>9764946</v>
      </c>
    </row>
    <row r="1044" spans="1:18" x14ac:dyDescent="0.25">
      <c r="A1044" s="170">
        <v>43538</v>
      </c>
      <c r="B1044" s="116">
        <v>10.35</v>
      </c>
      <c r="C1044" s="116">
        <v>10.18</v>
      </c>
      <c r="D1044" s="116">
        <v>10.06</v>
      </c>
      <c r="E1044" s="116">
        <v>10.3</v>
      </c>
      <c r="F1044" s="116">
        <v>50.9</v>
      </c>
      <c r="G1044">
        <v>1012748</v>
      </c>
      <c r="H1044" s="116"/>
      <c r="I1044" s="116"/>
      <c r="L1044" s="170">
        <v>43538</v>
      </c>
      <c r="M1044" s="116">
        <v>10.23</v>
      </c>
      <c r="N1044" s="116">
        <v>10.38</v>
      </c>
      <c r="O1044" s="116">
        <v>10.050000000000001</v>
      </c>
      <c r="P1044" s="116">
        <v>10.23</v>
      </c>
      <c r="Q1044" s="116">
        <v>51.15</v>
      </c>
      <c r="R1044">
        <v>9423480</v>
      </c>
    </row>
    <row r="1045" spans="1:18" x14ac:dyDescent="0.25">
      <c r="A1045" s="170">
        <v>43539</v>
      </c>
      <c r="B1045" s="116">
        <v>10.24</v>
      </c>
      <c r="C1045" s="116">
        <v>10.119999999999999</v>
      </c>
      <c r="D1045" s="116">
        <v>10.02</v>
      </c>
      <c r="E1045" s="116">
        <v>10.16</v>
      </c>
      <c r="F1045" s="116">
        <v>50.6</v>
      </c>
      <c r="G1045">
        <v>839650</v>
      </c>
      <c r="H1045" s="116"/>
      <c r="I1045" s="116"/>
      <c r="L1045" s="170">
        <v>43539</v>
      </c>
      <c r="M1045" s="116">
        <v>10.17</v>
      </c>
      <c r="N1045" s="116">
        <v>10.25</v>
      </c>
      <c r="O1045" s="116">
        <v>10.039999999999999</v>
      </c>
      <c r="P1045" s="116">
        <v>10.1</v>
      </c>
      <c r="Q1045" s="116">
        <v>50.85</v>
      </c>
      <c r="R1045">
        <v>10827468</v>
      </c>
    </row>
    <row r="1046" spans="1:18" x14ac:dyDescent="0.25">
      <c r="A1046" s="170">
        <v>43542</v>
      </c>
      <c r="B1046" s="116">
        <v>10.24</v>
      </c>
      <c r="C1046" s="116">
        <v>9.9600000000000009</v>
      </c>
      <c r="D1046" s="116">
        <v>9.84</v>
      </c>
      <c r="E1046" s="116">
        <v>10.17</v>
      </c>
      <c r="F1046" s="116">
        <v>49.8</v>
      </c>
      <c r="G1046">
        <v>1220073</v>
      </c>
      <c r="H1046" s="116"/>
      <c r="I1046" s="116"/>
      <c r="L1046" s="170">
        <v>43542</v>
      </c>
      <c r="M1046" s="116">
        <v>9.9700000000000006</v>
      </c>
      <c r="N1046" s="116">
        <v>10.23</v>
      </c>
      <c r="O1046" s="116">
        <v>9.83</v>
      </c>
      <c r="P1046" s="116">
        <v>10.18</v>
      </c>
      <c r="Q1046" s="116">
        <v>49.85</v>
      </c>
      <c r="R1046">
        <v>10581699</v>
      </c>
    </row>
    <row r="1047" spans="1:18" x14ac:dyDescent="0.25">
      <c r="A1047" s="170">
        <v>43543</v>
      </c>
      <c r="B1047" s="116">
        <v>10.43</v>
      </c>
      <c r="C1047" s="116">
        <v>10</v>
      </c>
      <c r="D1047" s="116">
        <v>9.83</v>
      </c>
      <c r="E1047" s="116">
        <v>10</v>
      </c>
      <c r="F1047" s="116">
        <v>50</v>
      </c>
      <c r="G1047">
        <v>1382447</v>
      </c>
      <c r="H1047" s="116"/>
      <c r="I1047" s="116"/>
      <c r="L1047" s="170">
        <v>43543</v>
      </c>
      <c r="M1047" s="116">
        <v>10</v>
      </c>
      <c r="N1047" s="116">
        <v>10.45</v>
      </c>
      <c r="O1047" s="116">
        <v>9.81</v>
      </c>
      <c r="P1047" s="116">
        <v>9.9700000000000006</v>
      </c>
      <c r="Q1047" s="116">
        <v>50</v>
      </c>
      <c r="R1047">
        <v>14660154</v>
      </c>
    </row>
    <row r="1048" spans="1:18" x14ac:dyDescent="0.25">
      <c r="A1048" s="170">
        <v>43544</v>
      </c>
      <c r="B1048" s="116">
        <v>10.02</v>
      </c>
      <c r="C1048" s="116">
        <v>9.7200000000000006</v>
      </c>
      <c r="D1048" s="116">
        <v>9.58</v>
      </c>
      <c r="E1048" s="116">
        <v>9.92</v>
      </c>
      <c r="F1048" s="116">
        <v>48.6</v>
      </c>
      <c r="G1048">
        <v>1467401</v>
      </c>
      <c r="H1048" s="116"/>
      <c r="I1048" s="116"/>
      <c r="L1048" s="170">
        <v>43544</v>
      </c>
      <c r="M1048" s="116">
        <v>9.7200000000000006</v>
      </c>
      <c r="N1048" s="116">
        <v>10.050000000000001</v>
      </c>
      <c r="O1048" s="116">
        <v>9.57</v>
      </c>
      <c r="P1048" s="116">
        <v>10</v>
      </c>
      <c r="Q1048" s="116">
        <v>48.6</v>
      </c>
      <c r="R1048">
        <v>13078843</v>
      </c>
    </row>
    <row r="1049" spans="1:18" x14ac:dyDescent="0.25">
      <c r="A1049" s="170">
        <v>43546</v>
      </c>
      <c r="B1049" s="116">
        <v>10.02</v>
      </c>
      <c r="C1049" s="116">
        <v>9.64</v>
      </c>
      <c r="D1049" s="116">
        <v>9.58</v>
      </c>
      <c r="E1049" s="116">
        <v>9.73</v>
      </c>
      <c r="F1049" s="116">
        <v>48.2</v>
      </c>
      <c r="G1049">
        <v>2238369</v>
      </c>
      <c r="H1049" s="116"/>
      <c r="I1049" s="116"/>
      <c r="L1049" s="170">
        <v>43546</v>
      </c>
      <c r="M1049" s="116">
        <v>9.64</v>
      </c>
      <c r="N1049" s="116">
        <v>10.02</v>
      </c>
      <c r="O1049" s="116">
        <v>9.57</v>
      </c>
      <c r="P1049" s="116">
        <v>9.76</v>
      </c>
      <c r="Q1049" s="116">
        <v>48.2</v>
      </c>
      <c r="R1049">
        <v>14952355</v>
      </c>
    </row>
    <row r="1050" spans="1:18" x14ac:dyDescent="0.25">
      <c r="A1050" s="170">
        <v>43549</v>
      </c>
      <c r="B1050" s="116">
        <v>9.66</v>
      </c>
      <c r="C1050" s="116">
        <v>9.51</v>
      </c>
      <c r="D1050" s="116">
        <v>9.4499999999999993</v>
      </c>
      <c r="E1050" s="116">
        <v>9.5</v>
      </c>
      <c r="F1050" s="116">
        <v>47.55</v>
      </c>
      <c r="G1050">
        <v>1008068</v>
      </c>
      <c r="H1050" s="116"/>
      <c r="I1050" s="116"/>
      <c r="L1050" s="170">
        <v>43549</v>
      </c>
      <c r="M1050" s="116">
        <v>9.52</v>
      </c>
      <c r="N1050" s="116">
        <v>9.67</v>
      </c>
      <c r="O1050" s="116">
        <v>9.4499999999999993</v>
      </c>
      <c r="P1050" s="116">
        <v>9.52</v>
      </c>
      <c r="Q1050" s="116">
        <v>47.6</v>
      </c>
      <c r="R1050">
        <v>8340825</v>
      </c>
    </row>
    <row r="1051" spans="1:18" x14ac:dyDescent="0.25">
      <c r="A1051" s="170">
        <v>43550</v>
      </c>
      <c r="B1051" s="116">
        <v>9.75</v>
      </c>
      <c r="C1051" s="116">
        <v>9.56</v>
      </c>
      <c r="D1051" s="116">
        <v>9.5</v>
      </c>
      <c r="E1051" s="116">
        <v>9.7200000000000006</v>
      </c>
      <c r="F1051" s="116">
        <v>47.8</v>
      </c>
      <c r="G1051">
        <v>1497221</v>
      </c>
      <c r="H1051" s="116"/>
      <c r="I1051" s="116"/>
      <c r="L1051" s="170">
        <v>43550</v>
      </c>
      <c r="M1051" s="116">
        <v>9.56</v>
      </c>
      <c r="N1051" s="116">
        <v>9.76</v>
      </c>
      <c r="O1051" s="116">
        <v>9.48</v>
      </c>
      <c r="P1051" s="116">
        <v>9.58</v>
      </c>
      <c r="Q1051" s="116">
        <v>47.8</v>
      </c>
      <c r="R1051">
        <v>9457346</v>
      </c>
    </row>
    <row r="1052" spans="1:18" x14ac:dyDescent="0.25">
      <c r="A1052" s="170">
        <v>43551</v>
      </c>
      <c r="B1052" s="116">
        <v>9.6999999999999993</v>
      </c>
      <c r="C1052" s="116">
        <v>9.34</v>
      </c>
      <c r="D1052" s="116">
        <v>9.2799999999999994</v>
      </c>
      <c r="E1052" s="116">
        <v>9.57</v>
      </c>
      <c r="F1052" s="116">
        <v>46.7</v>
      </c>
      <c r="G1052">
        <v>1415286</v>
      </c>
      <c r="H1052" s="116"/>
      <c r="I1052" s="116"/>
      <c r="L1052" s="170">
        <v>43551</v>
      </c>
      <c r="M1052" s="116">
        <v>9.3800000000000008</v>
      </c>
      <c r="N1052" s="116">
        <v>9.69</v>
      </c>
      <c r="O1052" s="116">
        <v>9.3000000000000007</v>
      </c>
      <c r="P1052" s="116">
        <v>9.6199999999999992</v>
      </c>
      <c r="Q1052" s="116">
        <v>46.9</v>
      </c>
      <c r="R1052">
        <v>7826448</v>
      </c>
    </row>
    <row r="1053" spans="1:18" x14ac:dyDescent="0.25">
      <c r="A1053" s="170">
        <v>43552</v>
      </c>
      <c r="B1053" s="116">
        <v>9.51</v>
      </c>
      <c r="C1053" s="116">
        <v>9.39</v>
      </c>
      <c r="D1053" s="116">
        <v>9.32</v>
      </c>
      <c r="E1053" s="116">
        <v>9.39</v>
      </c>
      <c r="F1053" s="116">
        <v>46.95</v>
      </c>
      <c r="G1053">
        <v>580034</v>
      </c>
      <c r="H1053" s="116"/>
      <c r="I1053" s="116"/>
      <c r="L1053" s="170">
        <v>43552</v>
      </c>
      <c r="M1053" s="116">
        <v>9.3800000000000008</v>
      </c>
      <c r="N1053" s="116">
        <v>9.52</v>
      </c>
      <c r="O1053" s="116">
        <v>9.32</v>
      </c>
      <c r="P1053" s="116">
        <v>9.39</v>
      </c>
      <c r="Q1053" s="116">
        <v>46.9</v>
      </c>
      <c r="R1053">
        <v>8521212</v>
      </c>
    </row>
    <row r="1054" spans="1:18" x14ac:dyDescent="0.25">
      <c r="A1054" s="170">
        <v>43553</v>
      </c>
      <c r="B1054" s="116">
        <v>10.06</v>
      </c>
      <c r="C1054" s="116">
        <v>9.64</v>
      </c>
      <c r="D1054" s="116">
        <v>9.3800000000000008</v>
      </c>
      <c r="E1054" s="116">
        <v>9.48</v>
      </c>
      <c r="F1054" s="116">
        <v>48.2</v>
      </c>
      <c r="G1054">
        <v>1947945</v>
      </c>
      <c r="H1054" s="116"/>
      <c r="I1054" s="116"/>
      <c r="L1054" s="170">
        <v>43553</v>
      </c>
      <c r="M1054" s="116">
        <v>9.64</v>
      </c>
      <c r="N1054" s="116">
        <v>10.07</v>
      </c>
      <c r="O1054" s="116">
        <v>9.36</v>
      </c>
      <c r="P1054" s="116">
        <v>9.41</v>
      </c>
      <c r="Q1054" s="116">
        <v>48.2</v>
      </c>
      <c r="R1054">
        <v>20253763</v>
      </c>
    </row>
    <row r="1055" spans="1:18" x14ac:dyDescent="0.25">
      <c r="A1055" s="170">
        <v>43556</v>
      </c>
      <c r="B1055" s="116">
        <v>9.9499999999999993</v>
      </c>
      <c r="C1055" s="116">
        <v>9.7100000000000009</v>
      </c>
      <c r="D1055" s="116">
        <v>9.56</v>
      </c>
      <c r="E1055" s="116">
        <v>9.65</v>
      </c>
      <c r="F1055" s="116">
        <v>48.55</v>
      </c>
      <c r="G1055">
        <v>3312685</v>
      </c>
      <c r="H1055" s="116"/>
      <c r="I1055" s="116"/>
      <c r="L1055" s="170">
        <v>43556</v>
      </c>
      <c r="M1055" s="116">
        <v>9.74</v>
      </c>
      <c r="N1055" s="116">
        <v>9.9600000000000009</v>
      </c>
      <c r="O1055" s="116">
        <v>9.58</v>
      </c>
      <c r="P1055" s="116">
        <v>9.69</v>
      </c>
      <c r="Q1055" s="116">
        <v>48.7</v>
      </c>
      <c r="R1055">
        <v>15730219</v>
      </c>
    </row>
    <row r="1056" spans="1:18" x14ac:dyDescent="0.25">
      <c r="A1056" s="170">
        <v>43557</v>
      </c>
      <c r="B1056" s="116">
        <v>10.38</v>
      </c>
      <c r="C1056" s="116">
        <v>9.99</v>
      </c>
      <c r="D1056" s="116">
        <v>9.7200000000000006</v>
      </c>
      <c r="E1056" s="116">
        <v>9.84</v>
      </c>
      <c r="F1056" s="116">
        <v>49.95</v>
      </c>
      <c r="G1056">
        <v>2252042</v>
      </c>
      <c r="H1056" s="116"/>
      <c r="I1056" s="116"/>
      <c r="L1056" s="170">
        <v>43557</v>
      </c>
      <c r="M1056" s="116">
        <v>10.01</v>
      </c>
      <c r="N1056" s="116">
        <v>10.37</v>
      </c>
      <c r="O1056" s="116">
        <v>9.74</v>
      </c>
      <c r="P1056" s="116">
        <v>9.76</v>
      </c>
      <c r="Q1056" s="116">
        <v>50.05</v>
      </c>
      <c r="R1056">
        <v>22623085</v>
      </c>
    </row>
    <row r="1057" spans="1:18" x14ac:dyDescent="0.25">
      <c r="A1057" s="170">
        <v>43558</v>
      </c>
      <c r="B1057" s="116">
        <v>10.17</v>
      </c>
      <c r="C1057" s="116">
        <v>9.8699999999999992</v>
      </c>
      <c r="D1057" s="116">
        <v>9.8000000000000007</v>
      </c>
      <c r="E1057" s="116">
        <v>10.07</v>
      </c>
      <c r="F1057" s="116">
        <v>49.35</v>
      </c>
      <c r="G1057">
        <v>1137754</v>
      </c>
      <c r="H1057" s="116"/>
      <c r="I1057" s="116"/>
      <c r="L1057" s="170">
        <v>43558</v>
      </c>
      <c r="M1057" s="116">
        <v>9.8800000000000008</v>
      </c>
      <c r="N1057" s="116">
        <v>10.19</v>
      </c>
      <c r="O1057" s="116">
        <v>9.8000000000000007</v>
      </c>
      <c r="P1057" s="116">
        <v>10.119999999999999</v>
      </c>
      <c r="Q1057" s="116">
        <v>49.4</v>
      </c>
      <c r="R1057">
        <v>11039301</v>
      </c>
    </row>
    <row r="1058" spans="1:18" x14ac:dyDescent="0.25">
      <c r="A1058" s="170">
        <v>43559</v>
      </c>
      <c r="B1058" s="116">
        <v>9.9600000000000009</v>
      </c>
      <c r="C1058" s="116">
        <v>9.61</v>
      </c>
      <c r="D1058" s="116">
        <v>9.5399999999999991</v>
      </c>
      <c r="E1058" s="116">
        <v>9.9600000000000009</v>
      </c>
      <c r="F1058" s="116">
        <v>48.05</v>
      </c>
      <c r="G1058">
        <v>2172336</v>
      </c>
      <c r="H1058" s="116"/>
      <c r="I1058" s="116"/>
      <c r="L1058" s="170">
        <v>43559</v>
      </c>
      <c r="M1058" s="116">
        <v>9.59</v>
      </c>
      <c r="N1058" s="116">
        <v>9.92</v>
      </c>
      <c r="O1058" s="116">
        <v>9.5500000000000007</v>
      </c>
      <c r="P1058" s="116">
        <v>9.9</v>
      </c>
      <c r="Q1058" s="116">
        <v>47.95</v>
      </c>
      <c r="R1058">
        <v>12299012</v>
      </c>
    </row>
    <row r="1059" spans="1:18" x14ac:dyDescent="0.25">
      <c r="A1059" s="170">
        <v>43560</v>
      </c>
      <c r="B1059" s="116">
        <v>10.07</v>
      </c>
      <c r="C1059" s="116">
        <v>9.9499999999999993</v>
      </c>
      <c r="D1059" s="116">
        <v>9.6199999999999992</v>
      </c>
      <c r="E1059" s="116">
        <v>9.6300000000000008</v>
      </c>
      <c r="F1059" s="116">
        <v>49.75</v>
      </c>
      <c r="G1059">
        <v>1748080</v>
      </c>
      <c r="H1059" s="116"/>
      <c r="I1059" s="116"/>
      <c r="L1059" s="170">
        <v>43560</v>
      </c>
      <c r="M1059" s="116">
        <v>9.9700000000000006</v>
      </c>
      <c r="N1059" s="116">
        <v>10.08</v>
      </c>
      <c r="O1059" s="116">
        <v>9.61</v>
      </c>
      <c r="P1059" s="116">
        <v>9.65</v>
      </c>
      <c r="Q1059" s="116">
        <v>49.85</v>
      </c>
      <c r="R1059">
        <v>13088231</v>
      </c>
    </row>
    <row r="1060" spans="1:18" x14ac:dyDescent="0.25">
      <c r="A1060" s="170">
        <v>43563</v>
      </c>
      <c r="B1060" s="116">
        <v>10.18</v>
      </c>
      <c r="C1060" s="116">
        <v>10.029999999999999</v>
      </c>
      <c r="D1060" s="116">
        <v>9.86</v>
      </c>
      <c r="E1060" s="116">
        <v>10.02</v>
      </c>
      <c r="F1060" s="116">
        <v>50.15</v>
      </c>
      <c r="G1060">
        <v>1389007</v>
      </c>
      <c r="H1060" s="116"/>
      <c r="I1060" s="116"/>
      <c r="L1060" s="170">
        <v>43563</v>
      </c>
      <c r="M1060" s="116">
        <v>10.039999999999999</v>
      </c>
      <c r="N1060" s="116">
        <v>10.18</v>
      </c>
      <c r="O1060" s="116">
        <v>9.84</v>
      </c>
      <c r="P1060" s="116">
        <v>10.050000000000001</v>
      </c>
      <c r="Q1060" s="116">
        <v>50.2</v>
      </c>
      <c r="R1060">
        <v>13816483</v>
      </c>
    </row>
    <row r="1061" spans="1:18" x14ac:dyDescent="0.25">
      <c r="A1061" s="170">
        <v>43564</v>
      </c>
      <c r="B1061" s="116">
        <v>10.1</v>
      </c>
      <c r="C1061" s="116">
        <v>10</v>
      </c>
      <c r="D1061" s="116">
        <v>9.85</v>
      </c>
      <c r="E1061" s="116">
        <v>10.050000000000001</v>
      </c>
      <c r="F1061" s="116">
        <v>50</v>
      </c>
      <c r="G1061">
        <v>620810</v>
      </c>
      <c r="H1061" s="116"/>
      <c r="I1061" s="116"/>
      <c r="L1061" s="170">
        <v>43564</v>
      </c>
      <c r="M1061" s="116">
        <v>10.029999999999999</v>
      </c>
      <c r="N1061" s="116">
        <v>10.119999999999999</v>
      </c>
      <c r="O1061" s="116">
        <v>9.86</v>
      </c>
      <c r="P1061" s="116">
        <v>10.08</v>
      </c>
      <c r="Q1061" s="116">
        <v>50.15</v>
      </c>
      <c r="R1061">
        <v>7507082</v>
      </c>
    </row>
    <row r="1062" spans="1:18" x14ac:dyDescent="0.25">
      <c r="A1062" s="170">
        <v>43565</v>
      </c>
      <c r="B1062" s="116">
        <v>10.1</v>
      </c>
      <c r="C1062" s="116">
        <v>9.81</v>
      </c>
      <c r="D1062" s="116">
        <v>9.77</v>
      </c>
      <c r="E1062" s="116">
        <v>10.02</v>
      </c>
      <c r="F1062" s="116">
        <v>49.05</v>
      </c>
      <c r="G1062">
        <v>906341</v>
      </c>
      <c r="H1062" s="116"/>
      <c r="I1062" s="116"/>
      <c r="L1062" s="170">
        <v>43565</v>
      </c>
      <c r="M1062" s="116">
        <v>9.81</v>
      </c>
      <c r="N1062" s="116">
        <v>10.08</v>
      </c>
      <c r="O1062" s="116">
        <v>9.76</v>
      </c>
      <c r="P1062" s="116">
        <v>9.9700000000000006</v>
      </c>
      <c r="Q1062" s="116">
        <v>49.05</v>
      </c>
      <c r="R1062">
        <v>8075543</v>
      </c>
    </row>
    <row r="1063" spans="1:18" x14ac:dyDescent="0.25">
      <c r="A1063" s="170">
        <v>43566</v>
      </c>
      <c r="B1063" s="116">
        <v>10.119999999999999</v>
      </c>
      <c r="C1063" s="116">
        <v>10.07</v>
      </c>
      <c r="D1063" s="116">
        <v>9.31</v>
      </c>
      <c r="E1063" s="116">
        <v>9.31</v>
      </c>
      <c r="F1063" s="116">
        <v>50.35</v>
      </c>
      <c r="G1063">
        <v>1549621</v>
      </c>
      <c r="H1063" s="116"/>
      <c r="I1063" s="116"/>
      <c r="L1063" s="170">
        <v>43566</v>
      </c>
      <c r="M1063" s="116">
        <v>10.09</v>
      </c>
      <c r="N1063" s="116">
        <v>10.16</v>
      </c>
      <c r="O1063" s="116">
        <v>9.6300000000000008</v>
      </c>
      <c r="P1063" s="116">
        <v>9.7899999999999991</v>
      </c>
      <c r="Q1063" s="116">
        <v>50.45</v>
      </c>
      <c r="R1063">
        <v>15503574</v>
      </c>
    </row>
    <row r="1064" spans="1:18" x14ac:dyDescent="0.25">
      <c r="A1064" s="170">
        <v>43567</v>
      </c>
      <c r="B1064" s="116">
        <v>10.96</v>
      </c>
      <c r="C1064" s="116">
        <v>10.59</v>
      </c>
      <c r="D1064" s="116">
        <v>10.06</v>
      </c>
      <c r="E1064" s="116">
        <v>10.18</v>
      </c>
      <c r="F1064" s="116">
        <v>52.95</v>
      </c>
      <c r="G1064">
        <v>2919689</v>
      </c>
      <c r="H1064" s="116"/>
      <c r="I1064" s="116"/>
      <c r="L1064" s="170">
        <v>43567</v>
      </c>
      <c r="M1064" s="116">
        <v>10.64</v>
      </c>
      <c r="N1064" s="116">
        <v>10.98</v>
      </c>
      <c r="O1064" s="116">
        <v>10.050000000000001</v>
      </c>
      <c r="P1064" s="116">
        <v>10.1</v>
      </c>
      <c r="Q1064" s="116">
        <v>53.2</v>
      </c>
      <c r="R1064">
        <v>41104239</v>
      </c>
    </row>
    <row r="1065" spans="1:18" x14ac:dyDescent="0.25">
      <c r="A1065" s="170">
        <v>43570</v>
      </c>
      <c r="B1065" s="116">
        <v>11.04</v>
      </c>
      <c r="C1065" s="116">
        <v>10.92</v>
      </c>
      <c r="D1065" s="116">
        <v>10.11</v>
      </c>
      <c r="E1065" s="116">
        <v>10.65</v>
      </c>
      <c r="F1065" s="116">
        <v>54.6</v>
      </c>
      <c r="G1065">
        <v>3438497</v>
      </c>
      <c r="H1065" s="116"/>
      <c r="I1065" s="116"/>
      <c r="L1065" s="170">
        <v>43570</v>
      </c>
      <c r="M1065" s="116">
        <v>10.92</v>
      </c>
      <c r="N1065" s="116">
        <v>11.05</v>
      </c>
      <c r="O1065" s="116">
        <v>10.11</v>
      </c>
      <c r="P1065" s="116">
        <v>10.65</v>
      </c>
      <c r="Q1065" s="116">
        <v>54.6</v>
      </c>
      <c r="R1065">
        <v>36736634</v>
      </c>
    </row>
    <row r="1066" spans="1:18" x14ac:dyDescent="0.25">
      <c r="A1066" s="170">
        <v>43571</v>
      </c>
      <c r="B1066" s="116">
        <v>11.01</v>
      </c>
      <c r="C1066" s="116">
        <v>10.85</v>
      </c>
      <c r="D1066" s="116">
        <v>10.76</v>
      </c>
      <c r="E1066" s="116">
        <v>10.91</v>
      </c>
      <c r="F1066" s="116">
        <v>54.25</v>
      </c>
      <c r="G1066">
        <v>1218292</v>
      </c>
      <c r="H1066" s="116"/>
      <c r="I1066" s="116"/>
      <c r="L1066" s="170">
        <v>43571</v>
      </c>
      <c r="M1066" s="116">
        <v>10.87</v>
      </c>
      <c r="N1066" s="116">
        <v>11.02</v>
      </c>
      <c r="O1066" s="116">
        <v>10.75</v>
      </c>
      <c r="P1066" s="116">
        <v>10.9</v>
      </c>
      <c r="Q1066" s="116">
        <v>54.35</v>
      </c>
      <c r="R1066">
        <v>14215499</v>
      </c>
    </row>
    <row r="1067" spans="1:18" x14ac:dyDescent="0.25">
      <c r="A1067" s="170">
        <v>43573</v>
      </c>
      <c r="B1067" s="116">
        <v>11.16</v>
      </c>
      <c r="C1067" s="116">
        <v>10.83</v>
      </c>
      <c r="D1067" s="116">
        <v>10.56</v>
      </c>
      <c r="E1067" s="116">
        <v>10.86</v>
      </c>
      <c r="F1067" s="116">
        <v>54.15</v>
      </c>
      <c r="G1067">
        <v>1552971</v>
      </c>
      <c r="H1067" s="116"/>
      <c r="I1067" s="116"/>
      <c r="L1067" s="170">
        <v>43573</v>
      </c>
      <c r="M1067" s="116">
        <v>10.83</v>
      </c>
      <c r="N1067" s="116">
        <v>11.16</v>
      </c>
      <c r="O1067" s="116">
        <v>10.56</v>
      </c>
      <c r="P1067" s="116">
        <v>10.8</v>
      </c>
      <c r="Q1067" s="116">
        <v>54.15</v>
      </c>
      <c r="R1067">
        <v>18818096</v>
      </c>
    </row>
    <row r="1068" spans="1:18" x14ac:dyDescent="0.25">
      <c r="A1068" s="170">
        <v>43577</v>
      </c>
      <c r="B1068" s="116">
        <v>10.9</v>
      </c>
      <c r="C1068" s="116">
        <v>10.17</v>
      </c>
      <c r="D1068" s="116">
        <v>10.07</v>
      </c>
      <c r="E1068" s="116">
        <v>10.78</v>
      </c>
      <c r="F1068" s="116">
        <v>50.85</v>
      </c>
      <c r="G1068">
        <v>1431412</v>
      </c>
      <c r="H1068" s="116"/>
      <c r="I1068" s="116"/>
      <c r="L1068" s="170">
        <v>43577</v>
      </c>
      <c r="M1068" s="116">
        <v>10.17</v>
      </c>
      <c r="N1068" s="116">
        <v>10.9</v>
      </c>
      <c r="O1068" s="116">
        <v>10.07</v>
      </c>
      <c r="P1068" s="116">
        <v>10.76</v>
      </c>
      <c r="Q1068" s="116">
        <v>50.85</v>
      </c>
      <c r="R1068">
        <v>13818482</v>
      </c>
    </row>
    <row r="1069" spans="1:18" x14ac:dyDescent="0.25">
      <c r="A1069" s="170">
        <v>43578</v>
      </c>
      <c r="B1069" s="116">
        <v>10.46</v>
      </c>
      <c r="C1069" s="116">
        <v>10.199999999999999</v>
      </c>
      <c r="D1069" s="116">
        <v>10.130000000000001</v>
      </c>
      <c r="E1069" s="116">
        <v>10.23</v>
      </c>
      <c r="F1069" s="116">
        <v>51</v>
      </c>
      <c r="G1069">
        <v>1736955</v>
      </c>
      <c r="H1069" s="116"/>
      <c r="I1069" s="116"/>
      <c r="L1069" s="170">
        <v>43578</v>
      </c>
      <c r="M1069" s="116">
        <v>10.220000000000001</v>
      </c>
      <c r="N1069" s="116">
        <v>10.44</v>
      </c>
      <c r="O1069" s="116">
        <v>10.119999999999999</v>
      </c>
      <c r="P1069" s="116">
        <v>10.17</v>
      </c>
      <c r="Q1069" s="116">
        <v>51.1</v>
      </c>
      <c r="R1069">
        <v>11504673</v>
      </c>
    </row>
    <row r="1070" spans="1:18" x14ac:dyDescent="0.25">
      <c r="A1070" s="170">
        <v>43579</v>
      </c>
      <c r="B1070" s="116">
        <v>10.6</v>
      </c>
      <c r="C1070" s="116">
        <v>10.53</v>
      </c>
      <c r="D1070" s="116">
        <v>10.23</v>
      </c>
      <c r="E1070" s="116">
        <v>10.4</v>
      </c>
      <c r="F1070" s="116">
        <v>52.65</v>
      </c>
      <c r="G1070">
        <v>1383731</v>
      </c>
      <c r="H1070" s="116"/>
      <c r="I1070" s="116"/>
      <c r="L1070" s="170">
        <v>43579</v>
      </c>
      <c r="M1070" s="116">
        <v>10.54</v>
      </c>
      <c r="N1070" s="116">
        <v>10.6</v>
      </c>
      <c r="O1070" s="116">
        <v>10.210000000000001</v>
      </c>
      <c r="P1070" s="116">
        <v>10.28</v>
      </c>
      <c r="Q1070" s="116">
        <v>52.7</v>
      </c>
      <c r="R1070">
        <v>9800225</v>
      </c>
    </row>
    <row r="1071" spans="1:18" x14ac:dyDescent="0.25">
      <c r="A1071" s="170">
        <v>43580</v>
      </c>
      <c r="B1071" s="116">
        <v>10.69</v>
      </c>
      <c r="C1071" s="116">
        <v>10.16</v>
      </c>
      <c r="D1071" s="116">
        <v>10.06</v>
      </c>
      <c r="E1071" s="116">
        <v>10.58</v>
      </c>
      <c r="F1071" s="116">
        <v>50.8</v>
      </c>
      <c r="G1071">
        <v>1038852</v>
      </c>
      <c r="H1071" s="116"/>
      <c r="I1071" s="116"/>
      <c r="L1071" s="170">
        <v>43580</v>
      </c>
      <c r="M1071" s="116">
        <v>10.14</v>
      </c>
      <c r="N1071" s="116">
        <v>10.71</v>
      </c>
      <c r="O1071" s="116">
        <v>10.029999999999999</v>
      </c>
      <c r="P1071" s="116">
        <v>10.6</v>
      </c>
      <c r="Q1071" s="116">
        <v>50.7</v>
      </c>
      <c r="R1071">
        <v>13776777</v>
      </c>
    </row>
    <row r="1072" spans="1:18" x14ac:dyDescent="0.25">
      <c r="A1072" s="170">
        <v>43581</v>
      </c>
      <c r="B1072" s="116">
        <v>10.27</v>
      </c>
      <c r="C1072" s="116">
        <v>9.68</v>
      </c>
      <c r="D1072" s="116">
        <v>9.57</v>
      </c>
      <c r="E1072" s="116">
        <v>10.199999999999999</v>
      </c>
      <c r="F1072" s="116">
        <v>48.4</v>
      </c>
      <c r="G1072">
        <v>1775540</v>
      </c>
      <c r="H1072" s="116"/>
      <c r="I1072" s="116"/>
      <c r="L1072" s="170">
        <v>43581</v>
      </c>
      <c r="M1072" s="116">
        <v>9.68</v>
      </c>
      <c r="N1072" s="116">
        <v>10.27</v>
      </c>
      <c r="O1072" s="116">
        <v>9.56</v>
      </c>
      <c r="P1072" s="116">
        <v>10.16</v>
      </c>
      <c r="Q1072" s="116">
        <v>48.4</v>
      </c>
      <c r="R1072">
        <v>15899088</v>
      </c>
    </row>
    <row r="1073" spans="1:18" x14ac:dyDescent="0.25">
      <c r="A1073" s="170">
        <v>43585</v>
      </c>
      <c r="B1073" s="116">
        <v>9.74</v>
      </c>
      <c r="C1073" s="116">
        <v>8.9700000000000006</v>
      </c>
      <c r="D1073" s="116">
        <v>8.8000000000000007</v>
      </c>
      <c r="E1073" s="116">
        <v>9.69</v>
      </c>
      <c r="F1073" s="116">
        <v>44.85</v>
      </c>
      <c r="G1073">
        <v>2707969</v>
      </c>
      <c r="H1073" s="116"/>
      <c r="I1073" s="116"/>
      <c r="L1073" s="170">
        <v>43585</v>
      </c>
      <c r="M1073" s="116">
        <v>8.98</v>
      </c>
      <c r="N1073" s="116">
        <v>9.73</v>
      </c>
      <c r="O1073" s="116">
        <v>8.8000000000000007</v>
      </c>
      <c r="P1073" s="116">
        <v>9.7100000000000009</v>
      </c>
      <c r="Q1073" s="116">
        <v>44.9</v>
      </c>
      <c r="R1073">
        <v>19021979</v>
      </c>
    </row>
    <row r="1074" spans="1:18" x14ac:dyDescent="0.25">
      <c r="A1074" s="170">
        <v>43587</v>
      </c>
      <c r="B1074" s="116">
        <v>9.17</v>
      </c>
      <c r="C1074" s="116">
        <v>8.8800000000000008</v>
      </c>
      <c r="D1074" s="116">
        <v>8.6999999999999993</v>
      </c>
      <c r="E1074" s="116">
        <v>8.99</v>
      </c>
      <c r="F1074" s="116">
        <v>44.4</v>
      </c>
      <c r="G1074">
        <v>1736809</v>
      </c>
      <c r="H1074" s="116"/>
      <c r="I1074" s="116"/>
      <c r="L1074" s="170">
        <v>43587</v>
      </c>
      <c r="M1074" s="116">
        <v>8.89</v>
      </c>
      <c r="N1074" s="116">
        <v>9.18</v>
      </c>
      <c r="O1074" s="116">
        <v>8.6999999999999993</v>
      </c>
      <c r="P1074" s="116">
        <v>8.98</v>
      </c>
      <c r="Q1074" s="116">
        <v>44.45</v>
      </c>
      <c r="R1074">
        <v>13724184</v>
      </c>
    </row>
    <row r="1075" spans="1:18" x14ac:dyDescent="0.25">
      <c r="A1075" s="170">
        <v>43588</v>
      </c>
      <c r="B1075" s="116">
        <v>9.0500000000000007</v>
      </c>
      <c r="C1075" s="116">
        <v>8.75</v>
      </c>
      <c r="D1075" s="116">
        <v>8.59</v>
      </c>
      <c r="E1075" s="116">
        <v>8.94</v>
      </c>
      <c r="F1075" s="116">
        <v>43.75</v>
      </c>
      <c r="G1075">
        <v>2060607</v>
      </c>
      <c r="H1075" s="116"/>
      <c r="I1075" s="116"/>
      <c r="L1075" s="170">
        <v>43588</v>
      </c>
      <c r="M1075" s="116">
        <v>8.77</v>
      </c>
      <c r="N1075" s="116">
        <v>9.0500000000000007</v>
      </c>
      <c r="O1075" s="116">
        <v>8.57</v>
      </c>
      <c r="P1075" s="116">
        <v>8.8699999999999992</v>
      </c>
      <c r="Q1075" s="116">
        <v>43.85</v>
      </c>
      <c r="R1075">
        <v>13632818</v>
      </c>
    </row>
    <row r="1076" spans="1:18" x14ac:dyDescent="0.25">
      <c r="A1076" s="170">
        <v>43591</v>
      </c>
      <c r="B1076" s="116">
        <v>8.76</v>
      </c>
      <c r="C1076" s="116">
        <v>8.56</v>
      </c>
      <c r="D1076" s="116">
        <v>8.52</v>
      </c>
      <c r="E1076" s="116">
        <v>8.76</v>
      </c>
      <c r="F1076" s="116">
        <v>42.8</v>
      </c>
      <c r="G1076">
        <v>1471559</v>
      </c>
      <c r="H1076" s="116"/>
      <c r="I1076" s="116"/>
      <c r="L1076" s="170">
        <v>43591</v>
      </c>
      <c r="M1076" s="116">
        <v>8.56</v>
      </c>
      <c r="N1076" s="116">
        <v>8.76</v>
      </c>
      <c r="O1076" s="116">
        <v>8.5</v>
      </c>
      <c r="P1076" s="116">
        <v>8.66</v>
      </c>
      <c r="Q1076" s="116">
        <v>42.8</v>
      </c>
      <c r="R1076">
        <v>7489771</v>
      </c>
    </row>
    <row r="1077" spans="1:18" x14ac:dyDescent="0.25">
      <c r="A1077" s="170">
        <v>43592</v>
      </c>
      <c r="B1077" s="116">
        <v>8.6999999999999993</v>
      </c>
      <c r="C1077" s="116">
        <v>8.2899999999999991</v>
      </c>
      <c r="D1077" s="116">
        <v>8.24</v>
      </c>
      <c r="E1077" s="116">
        <v>8.56</v>
      </c>
      <c r="F1077" s="116">
        <v>41.45</v>
      </c>
      <c r="G1077">
        <v>1029253</v>
      </c>
      <c r="H1077" s="116"/>
      <c r="I1077" s="116"/>
      <c r="L1077" s="170">
        <v>43592</v>
      </c>
      <c r="M1077" s="116">
        <v>8.3000000000000007</v>
      </c>
      <c r="N1077" s="116">
        <v>8.7100000000000009</v>
      </c>
      <c r="O1077" s="116">
        <v>8.23</v>
      </c>
      <c r="P1077" s="116">
        <v>8.6</v>
      </c>
      <c r="Q1077" s="116">
        <v>41.5</v>
      </c>
      <c r="R1077">
        <v>8436065</v>
      </c>
    </row>
    <row r="1078" spans="1:18" x14ac:dyDescent="0.25">
      <c r="A1078" s="170">
        <v>43593</v>
      </c>
      <c r="B1078" s="116">
        <v>8.4</v>
      </c>
      <c r="C1078" s="116">
        <v>8.27</v>
      </c>
      <c r="D1078" s="116">
        <v>8.15</v>
      </c>
      <c r="E1078" s="116">
        <v>8.24</v>
      </c>
      <c r="F1078" s="116">
        <v>41.35</v>
      </c>
      <c r="G1078">
        <v>1107875</v>
      </c>
      <c r="H1078" s="116"/>
      <c r="I1078" s="116"/>
      <c r="L1078" s="170">
        <v>43593</v>
      </c>
      <c r="M1078" s="116">
        <v>8.27</v>
      </c>
      <c r="N1078" s="116">
        <v>8.42</v>
      </c>
      <c r="O1078" s="116">
        <v>8.15</v>
      </c>
      <c r="P1078" s="116">
        <v>8.2799999999999994</v>
      </c>
      <c r="Q1078" s="116">
        <v>41.35</v>
      </c>
      <c r="R1078">
        <v>7510676</v>
      </c>
    </row>
    <row r="1079" spans="1:18" x14ac:dyDescent="0.25">
      <c r="A1079" s="170">
        <v>43594</v>
      </c>
      <c r="B1079" s="116">
        <v>8.3699999999999992</v>
      </c>
      <c r="C1079" s="116">
        <v>8.18</v>
      </c>
      <c r="D1079" s="116">
        <v>8.1300000000000008</v>
      </c>
      <c r="E1079" s="116">
        <v>8.25</v>
      </c>
      <c r="F1079" s="116">
        <v>40.9</v>
      </c>
      <c r="G1079">
        <v>1279097</v>
      </c>
      <c r="H1079" s="116"/>
      <c r="I1079" s="116"/>
      <c r="L1079" s="170">
        <v>43594</v>
      </c>
      <c r="M1079" s="116">
        <v>8.19</v>
      </c>
      <c r="N1079" s="116">
        <v>8.3800000000000008</v>
      </c>
      <c r="O1079" s="116">
        <v>8.1199999999999992</v>
      </c>
      <c r="P1079" s="116">
        <v>8.27</v>
      </c>
      <c r="Q1079" s="116">
        <v>40.950000000000003</v>
      </c>
      <c r="R1079">
        <v>6432508</v>
      </c>
    </row>
    <row r="1080" spans="1:18" x14ac:dyDescent="0.25">
      <c r="A1080" s="170">
        <v>43595</v>
      </c>
      <c r="B1080" s="116">
        <v>8.4499999999999993</v>
      </c>
      <c r="C1080" s="116">
        <v>8.27</v>
      </c>
      <c r="D1080" s="116">
        <v>8.19</v>
      </c>
      <c r="E1080" s="116">
        <v>8.26</v>
      </c>
      <c r="F1080" s="116">
        <v>41.35</v>
      </c>
      <c r="G1080">
        <v>927980</v>
      </c>
      <c r="H1080" s="116"/>
      <c r="I1080" s="116"/>
      <c r="L1080" s="170">
        <v>43595</v>
      </c>
      <c r="M1080" s="116">
        <v>8.2899999999999991</v>
      </c>
      <c r="N1080" s="116">
        <v>8.4600000000000009</v>
      </c>
      <c r="O1080" s="116">
        <v>8.17</v>
      </c>
      <c r="P1080" s="116">
        <v>8.23</v>
      </c>
      <c r="Q1080" s="116">
        <v>41.45</v>
      </c>
      <c r="R1080">
        <v>5976875</v>
      </c>
    </row>
    <row r="1081" spans="1:18" x14ac:dyDescent="0.25">
      <c r="A1081" s="170">
        <v>43598</v>
      </c>
      <c r="B1081" s="116">
        <v>8.2799999999999994</v>
      </c>
      <c r="C1081" s="116">
        <v>7.69</v>
      </c>
      <c r="D1081" s="116">
        <v>7.64</v>
      </c>
      <c r="E1081" s="116">
        <v>8.2799999999999994</v>
      </c>
      <c r="F1081" s="116">
        <v>38.450000000000003</v>
      </c>
      <c r="G1081">
        <v>1074159</v>
      </c>
      <c r="H1081" s="116"/>
      <c r="I1081" s="116"/>
      <c r="L1081" s="170">
        <v>43598</v>
      </c>
      <c r="M1081" s="116">
        <v>7.69</v>
      </c>
      <c r="N1081" s="116">
        <v>8.3000000000000007</v>
      </c>
      <c r="O1081" s="116">
        <v>7.64</v>
      </c>
      <c r="P1081" s="116">
        <v>8.3000000000000007</v>
      </c>
      <c r="Q1081" s="116">
        <v>38.450000000000003</v>
      </c>
      <c r="R1081">
        <v>11897612</v>
      </c>
    </row>
    <row r="1082" spans="1:18" x14ac:dyDescent="0.25">
      <c r="A1082" s="170">
        <v>43599</v>
      </c>
      <c r="B1082" s="116">
        <v>8.2799999999999994</v>
      </c>
      <c r="C1082" s="116">
        <v>8.16</v>
      </c>
      <c r="D1082" s="116">
        <v>7.45</v>
      </c>
      <c r="E1082" s="116">
        <v>7.7</v>
      </c>
      <c r="F1082" s="116">
        <v>40.799999999999997</v>
      </c>
      <c r="G1082">
        <v>1727215</v>
      </c>
      <c r="H1082" s="116"/>
      <c r="I1082" s="116"/>
      <c r="L1082" s="170">
        <v>43599</v>
      </c>
      <c r="M1082" s="116">
        <v>8.16</v>
      </c>
      <c r="N1082" s="116">
        <v>8.2899999999999991</v>
      </c>
      <c r="O1082" s="116">
        <v>7.47</v>
      </c>
      <c r="P1082" s="116">
        <v>7.63</v>
      </c>
      <c r="Q1082" s="116">
        <v>40.799999999999997</v>
      </c>
      <c r="R1082">
        <v>14689706</v>
      </c>
    </row>
    <row r="1083" spans="1:18" x14ac:dyDescent="0.25">
      <c r="A1083" s="170">
        <v>43600</v>
      </c>
      <c r="B1083" s="116">
        <v>8.26</v>
      </c>
      <c r="C1083" s="116">
        <v>7.74</v>
      </c>
      <c r="D1083" s="116">
        <v>7.64</v>
      </c>
      <c r="E1083" s="116">
        <v>8.26</v>
      </c>
      <c r="F1083" s="116">
        <v>38.700000000000003</v>
      </c>
      <c r="G1083">
        <v>1425920</v>
      </c>
      <c r="H1083" s="116"/>
      <c r="I1083" s="116"/>
      <c r="L1083" s="170">
        <v>43600</v>
      </c>
      <c r="M1083" s="116">
        <v>7.73</v>
      </c>
      <c r="N1083" s="116">
        <v>8.25</v>
      </c>
      <c r="O1083" s="116">
        <v>7.62</v>
      </c>
      <c r="P1083" s="116">
        <v>8.2100000000000009</v>
      </c>
      <c r="Q1083" s="116">
        <v>38.65</v>
      </c>
      <c r="R1083">
        <v>10066705</v>
      </c>
    </row>
    <row r="1084" spans="1:18" x14ac:dyDescent="0.25">
      <c r="A1084" s="170">
        <v>43601</v>
      </c>
      <c r="B1084" s="116">
        <v>8.14</v>
      </c>
      <c r="C1084" s="116">
        <v>8.06</v>
      </c>
      <c r="D1084" s="116">
        <v>7.55</v>
      </c>
      <c r="E1084" s="116">
        <v>7.74</v>
      </c>
      <c r="F1084" s="116">
        <v>40.299999999999997</v>
      </c>
      <c r="G1084">
        <v>1467012</v>
      </c>
      <c r="H1084" s="116"/>
      <c r="I1084" s="116"/>
      <c r="L1084" s="170">
        <v>43601</v>
      </c>
      <c r="M1084" s="116">
        <v>8.06</v>
      </c>
      <c r="N1084" s="116">
        <v>8.14</v>
      </c>
      <c r="O1084" s="116">
        <v>7.53</v>
      </c>
      <c r="P1084" s="116">
        <v>7.71</v>
      </c>
      <c r="Q1084" s="116">
        <v>40.299999999999997</v>
      </c>
      <c r="R1084">
        <v>12518377</v>
      </c>
    </row>
    <row r="1085" spans="1:18" x14ac:dyDescent="0.25">
      <c r="A1085" s="170">
        <v>43602</v>
      </c>
      <c r="B1085" s="116">
        <v>8.2100000000000009</v>
      </c>
      <c r="C1085" s="116">
        <v>8.1199999999999992</v>
      </c>
      <c r="D1085" s="116">
        <v>7.76</v>
      </c>
      <c r="E1085" s="116">
        <v>8.06</v>
      </c>
      <c r="F1085" s="116">
        <v>40.6</v>
      </c>
      <c r="G1085">
        <v>1602608</v>
      </c>
      <c r="H1085" s="116"/>
      <c r="I1085" s="116"/>
      <c r="L1085" s="170">
        <v>43602</v>
      </c>
      <c r="M1085" s="116">
        <v>8.1300000000000008</v>
      </c>
      <c r="N1085" s="116">
        <v>8.25</v>
      </c>
      <c r="O1085" s="116">
        <v>7.74</v>
      </c>
      <c r="P1085" s="116">
        <v>8.1</v>
      </c>
      <c r="Q1085" s="116">
        <v>40.65</v>
      </c>
      <c r="R1085">
        <v>13404672</v>
      </c>
    </row>
    <row r="1086" spans="1:18" x14ac:dyDescent="0.25">
      <c r="A1086" s="170">
        <v>43605</v>
      </c>
      <c r="B1086" s="116">
        <v>9.4499999999999993</v>
      </c>
      <c r="C1086" s="116">
        <v>9.36</v>
      </c>
      <c r="D1086" s="116">
        <v>8.5399999999999991</v>
      </c>
      <c r="E1086" s="116">
        <v>8.93</v>
      </c>
      <c r="F1086" s="116">
        <v>46.8</v>
      </c>
      <c r="G1086">
        <v>4253782</v>
      </c>
      <c r="H1086" s="116"/>
      <c r="I1086" s="116"/>
      <c r="L1086" s="170">
        <v>43605</v>
      </c>
      <c r="M1086" s="116">
        <v>9.35</v>
      </c>
      <c r="N1086" s="116">
        <v>9.51</v>
      </c>
      <c r="O1086" s="116">
        <v>8.5299999999999994</v>
      </c>
      <c r="P1086" s="116">
        <v>8.94</v>
      </c>
      <c r="Q1086" s="116">
        <v>46.75</v>
      </c>
      <c r="R1086">
        <v>40542988</v>
      </c>
    </row>
    <row r="1087" spans="1:18" x14ac:dyDescent="0.25">
      <c r="A1087" s="170">
        <v>43606</v>
      </c>
      <c r="B1087" s="116">
        <v>9.6199999999999992</v>
      </c>
      <c r="C1087" s="116">
        <v>9.1999999999999993</v>
      </c>
      <c r="D1087" s="116">
        <v>8.9700000000000006</v>
      </c>
      <c r="E1087" s="116">
        <v>9.5</v>
      </c>
      <c r="F1087" s="116">
        <v>46</v>
      </c>
      <c r="G1087">
        <v>2644106</v>
      </c>
      <c r="H1087" s="116"/>
      <c r="I1087" s="116"/>
      <c r="L1087" s="170">
        <v>43606</v>
      </c>
      <c r="M1087" s="116">
        <v>9.1999999999999993</v>
      </c>
      <c r="N1087" s="116">
        <v>9.6199999999999992</v>
      </c>
      <c r="O1087" s="116">
        <v>8.9600000000000009</v>
      </c>
      <c r="P1087" s="116">
        <v>9.4600000000000009</v>
      </c>
      <c r="Q1087" s="116">
        <v>46</v>
      </c>
      <c r="R1087">
        <v>25614931</v>
      </c>
    </row>
    <row r="1088" spans="1:18" x14ac:dyDescent="0.25">
      <c r="A1088" s="170">
        <v>43607</v>
      </c>
      <c r="B1088" s="116">
        <v>9.43</v>
      </c>
      <c r="C1088" s="116">
        <v>9.36</v>
      </c>
      <c r="D1088" s="116">
        <v>8.98</v>
      </c>
      <c r="E1088" s="116">
        <v>9.3800000000000008</v>
      </c>
      <c r="F1088" s="116">
        <v>46.8</v>
      </c>
      <c r="G1088">
        <v>2870191</v>
      </c>
      <c r="H1088" s="116"/>
      <c r="I1088" s="116"/>
      <c r="L1088" s="170">
        <v>43607</v>
      </c>
      <c r="M1088" s="116">
        <v>9.34</v>
      </c>
      <c r="N1088" s="116">
        <v>9.4</v>
      </c>
      <c r="O1088" s="116">
        <v>8.98</v>
      </c>
      <c r="P1088" s="116">
        <v>9.36</v>
      </c>
      <c r="Q1088" s="116">
        <v>46.7</v>
      </c>
      <c r="R1088">
        <v>19258903</v>
      </c>
    </row>
    <row r="1089" spans="1:18" x14ac:dyDescent="0.25">
      <c r="A1089" s="170">
        <v>43608</v>
      </c>
      <c r="B1089" s="116">
        <v>10.19</v>
      </c>
      <c r="C1089" s="116">
        <v>9.33</v>
      </c>
      <c r="D1089" s="116">
        <v>9.14</v>
      </c>
      <c r="E1089" s="116">
        <v>9.8000000000000007</v>
      </c>
      <c r="F1089" s="116">
        <v>46.65</v>
      </c>
      <c r="G1089">
        <v>6035506</v>
      </c>
      <c r="H1089" s="116"/>
      <c r="I1089" s="116"/>
      <c r="L1089" s="170">
        <v>43608</v>
      </c>
      <c r="M1089" s="116">
        <v>9.33</v>
      </c>
      <c r="N1089" s="116">
        <v>10.199999999999999</v>
      </c>
      <c r="O1089" s="116">
        <v>9.1199999999999992</v>
      </c>
      <c r="P1089" s="116">
        <v>9.77</v>
      </c>
      <c r="Q1089" s="116">
        <v>46.65</v>
      </c>
      <c r="R1089">
        <v>50231342</v>
      </c>
    </row>
    <row r="1090" spans="1:18" x14ac:dyDescent="0.25">
      <c r="A1090" s="170">
        <v>43609</v>
      </c>
      <c r="B1090" s="116">
        <v>9.4499999999999993</v>
      </c>
      <c r="C1090" s="116">
        <v>9.34</v>
      </c>
      <c r="D1090" s="116">
        <v>9</v>
      </c>
      <c r="E1090" s="116">
        <v>9.35</v>
      </c>
      <c r="F1090" s="116">
        <v>46.7</v>
      </c>
      <c r="G1090">
        <v>2230759</v>
      </c>
      <c r="H1090" s="116"/>
      <c r="I1090" s="116"/>
      <c r="L1090" s="170">
        <v>43609</v>
      </c>
      <c r="M1090" s="116">
        <v>9.36</v>
      </c>
      <c r="N1090" s="116">
        <v>9.4600000000000009</v>
      </c>
      <c r="O1090" s="116">
        <v>9.01</v>
      </c>
      <c r="P1090" s="116">
        <v>9.36</v>
      </c>
      <c r="Q1090" s="116">
        <v>46.8</v>
      </c>
      <c r="R1090">
        <v>19365940</v>
      </c>
    </row>
    <row r="1091" spans="1:18" x14ac:dyDescent="0.25">
      <c r="A1091" s="170">
        <v>43612</v>
      </c>
      <c r="B1091" s="116">
        <v>9.91</v>
      </c>
      <c r="C1091" s="116">
        <v>9.8000000000000007</v>
      </c>
      <c r="D1091" s="116">
        <v>9.32</v>
      </c>
      <c r="E1091" s="116">
        <v>9.42</v>
      </c>
      <c r="F1091" s="116">
        <v>49</v>
      </c>
      <c r="G1091">
        <v>2813082</v>
      </c>
      <c r="H1091" s="116"/>
      <c r="I1091" s="116"/>
      <c r="L1091" s="170">
        <v>43612</v>
      </c>
      <c r="M1091" s="116">
        <v>9.82</v>
      </c>
      <c r="N1091" s="116">
        <v>9.94</v>
      </c>
      <c r="O1091" s="116">
        <v>9.31</v>
      </c>
      <c r="P1091" s="116">
        <v>9.48</v>
      </c>
      <c r="Q1091" s="116">
        <v>49.1</v>
      </c>
      <c r="R1091">
        <v>22998049</v>
      </c>
    </row>
    <row r="1092" spans="1:18" x14ac:dyDescent="0.25">
      <c r="A1092" s="170">
        <v>43613</v>
      </c>
      <c r="B1092" s="116">
        <v>10.06</v>
      </c>
      <c r="C1092" s="116">
        <v>9.81</v>
      </c>
      <c r="D1092" s="116">
        <v>9.6999999999999993</v>
      </c>
      <c r="E1092" s="116">
        <v>9.94</v>
      </c>
      <c r="F1092" s="116">
        <v>49.05</v>
      </c>
      <c r="G1092">
        <v>2695198</v>
      </c>
      <c r="H1092" s="116"/>
      <c r="I1092" s="116"/>
      <c r="L1092" s="170">
        <v>43613</v>
      </c>
      <c r="M1092" s="116">
        <v>9.8000000000000007</v>
      </c>
      <c r="N1092" s="116">
        <v>10.07</v>
      </c>
      <c r="O1092" s="116">
        <v>9.6999999999999993</v>
      </c>
      <c r="P1092" s="116">
        <v>9.94</v>
      </c>
      <c r="Q1092" s="116">
        <v>49</v>
      </c>
      <c r="R1092">
        <v>17598192</v>
      </c>
    </row>
    <row r="1093" spans="1:18" x14ac:dyDescent="0.25">
      <c r="A1093" s="170">
        <v>43614</v>
      </c>
      <c r="B1093" s="116">
        <v>9.91</v>
      </c>
      <c r="C1093" s="116">
        <v>9.68</v>
      </c>
      <c r="D1093" s="116">
        <v>9.41</v>
      </c>
      <c r="E1093" s="116">
        <v>9.81</v>
      </c>
      <c r="F1093" s="116">
        <v>48.4</v>
      </c>
      <c r="G1093">
        <v>3303338</v>
      </c>
      <c r="H1093" s="116"/>
      <c r="I1093" s="116"/>
      <c r="L1093" s="170">
        <v>43614</v>
      </c>
      <c r="M1093" s="116">
        <v>9.67</v>
      </c>
      <c r="N1093" s="116">
        <v>9.94</v>
      </c>
      <c r="O1093" s="116">
        <v>9.41</v>
      </c>
      <c r="P1093" s="116">
        <v>9.8000000000000007</v>
      </c>
      <c r="Q1093" s="116">
        <v>48.35</v>
      </c>
      <c r="R1093">
        <v>15057913</v>
      </c>
    </row>
    <row r="1094" spans="1:18" x14ac:dyDescent="0.25">
      <c r="A1094" s="170">
        <v>43615</v>
      </c>
      <c r="B1094" s="116">
        <v>10.54</v>
      </c>
      <c r="C1094" s="116">
        <v>10.3</v>
      </c>
      <c r="D1094" s="116">
        <v>9.8800000000000008</v>
      </c>
      <c r="E1094" s="116">
        <v>10.01</v>
      </c>
      <c r="F1094" s="116">
        <v>51.5</v>
      </c>
      <c r="G1094">
        <v>4577007</v>
      </c>
      <c r="H1094" s="116"/>
      <c r="I1094" s="116"/>
      <c r="L1094" s="170">
        <v>43615</v>
      </c>
      <c r="M1094" s="116">
        <v>10.31</v>
      </c>
      <c r="N1094" s="116">
        <v>10.56</v>
      </c>
      <c r="O1094" s="116">
        <v>9.8699999999999992</v>
      </c>
      <c r="P1094" s="116">
        <v>9.99</v>
      </c>
      <c r="Q1094" s="116">
        <v>51.55</v>
      </c>
      <c r="R1094">
        <v>44609030</v>
      </c>
    </row>
    <row r="1095" spans="1:18" x14ac:dyDescent="0.25">
      <c r="A1095" s="170">
        <v>43616</v>
      </c>
      <c r="B1095" s="116">
        <v>10.65</v>
      </c>
      <c r="C1095" s="116">
        <v>10.07</v>
      </c>
      <c r="D1095" s="116">
        <v>9.82</v>
      </c>
      <c r="E1095" s="116">
        <v>10.32</v>
      </c>
      <c r="F1095" s="116">
        <v>50.35</v>
      </c>
      <c r="G1095">
        <v>2954310</v>
      </c>
      <c r="H1095" s="116"/>
      <c r="I1095" s="116"/>
      <c r="L1095" s="170">
        <v>43616</v>
      </c>
      <c r="M1095" s="116">
        <v>10.07</v>
      </c>
      <c r="N1095" s="116">
        <v>10.66</v>
      </c>
      <c r="O1095" s="116">
        <v>9.82</v>
      </c>
      <c r="P1095" s="116">
        <v>10.35</v>
      </c>
      <c r="Q1095" s="116">
        <v>50.35</v>
      </c>
      <c r="R1095">
        <v>26960956</v>
      </c>
    </row>
    <row r="1096" spans="1:18" x14ac:dyDescent="0.25">
      <c r="A1096" s="170">
        <v>43619</v>
      </c>
      <c r="B1096" s="116">
        <v>10.130000000000001</v>
      </c>
      <c r="C1096" s="116">
        <v>10.06</v>
      </c>
      <c r="D1096" s="116">
        <v>9.8000000000000007</v>
      </c>
      <c r="E1096" s="116">
        <v>10.130000000000001</v>
      </c>
      <c r="F1096" s="116">
        <v>50.3</v>
      </c>
      <c r="G1096">
        <v>1167467</v>
      </c>
      <c r="H1096" s="116"/>
      <c r="I1096" s="116"/>
      <c r="L1096" s="170">
        <v>43619</v>
      </c>
      <c r="M1096" s="116">
        <v>10.07</v>
      </c>
      <c r="N1096" s="116">
        <v>10.130000000000001</v>
      </c>
      <c r="O1096" s="116">
        <v>9.82</v>
      </c>
      <c r="P1096" s="116">
        <v>10.09</v>
      </c>
      <c r="Q1096" s="116">
        <v>50.35</v>
      </c>
      <c r="R1096">
        <v>10128255</v>
      </c>
    </row>
    <row r="1097" spans="1:18" x14ac:dyDescent="0.25">
      <c r="A1097" s="170">
        <v>43620</v>
      </c>
      <c r="B1097" s="116">
        <v>10.25</v>
      </c>
      <c r="C1097" s="116">
        <v>10.06</v>
      </c>
      <c r="D1097" s="116">
        <v>9.92</v>
      </c>
      <c r="E1097" s="116">
        <v>9.9600000000000009</v>
      </c>
      <c r="F1097" s="116">
        <v>50.3</v>
      </c>
      <c r="G1097">
        <v>1050074</v>
      </c>
      <c r="H1097" s="116"/>
      <c r="I1097" s="116"/>
      <c r="L1097" s="170">
        <v>43620</v>
      </c>
      <c r="M1097" s="116">
        <v>10.06</v>
      </c>
      <c r="N1097" s="116">
        <v>10.25</v>
      </c>
      <c r="O1097" s="116">
        <v>9.92</v>
      </c>
      <c r="P1097" s="116">
        <v>9.9600000000000009</v>
      </c>
      <c r="Q1097" s="116">
        <v>50.3</v>
      </c>
      <c r="R1097">
        <v>9212403</v>
      </c>
    </row>
    <row r="1098" spans="1:18" x14ac:dyDescent="0.25">
      <c r="A1098" s="170">
        <v>43622</v>
      </c>
      <c r="B1098" s="116">
        <v>10.06</v>
      </c>
      <c r="C1098" s="116">
        <v>9.6199999999999992</v>
      </c>
      <c r="D1098" s="116">
        <v>9.41</v>
      </c>
      <c r="E1098" s="116">
        <v>9.98</v>
      </c>
      <c r="F1098" s="116">
        <v>48.1</v>
      </c>
      <c r="G1098">
        <v>1280569</v>
      </c>
      <c r="H1098" s="116"/>
      <c r="I1098" s="116"/>
      <c r="L1098" s="170">
        <v>43622</v>
      </c>
      <c r="M1098" s="116">
        <v>9.64</v>
      </c>
      <c r="N1098" s="116">
        <v>10.08</v>
      </c>
      <c r="O1098" s="116">
        <v>9.41</v>
      </c>
      <c r="P1098" s="116">
        <v>10.06</v>
      </c>
      <c r="Q1098" s="116">
        <v>48.2</v>
      </c>
      <c r="R1098">
        <v>10504638</v>
      </c>
    </row>
    <row r="1099" spans="1:18" x14ac:dyDescent="0.25">
      <c r="A1099" s="170">
        <v>43623</v>
      </c>
      <c r="B1099" s="116">
        <v>9.6999999999999993</v>
      </c>
      <c r="C1099" s="116">
        <v>9.4600000000000009</v>
      </c>
      <c r="D1099" s="116">
        <v>9.24</v>
      </c>
      <c r="E1099" s="116">
        <v>9.65</v>
      </c>
      <c r="F1099" s="116">
        <v>47.3</v>
      </c>
      <c r="G1099">
        <v>942893</v>
      </c>
      <c r="H1099" s="116"/>
      <c r="I1099" s="116"/>
      <c r="L1099" s="170">
        <v>43623</v>
      </c>
      <c r="M1099" s="116">
        <v>9.4700000000000006</v>
      </c>
      <c r="N1099" s="116">
        <v>9.7100000000000009</v>
      </c>
      <c r="O1099" s="116">
        <v>9.24</v>
      </c>
      <c r="P1099" s="116">
        <v>9.64</v>
      </c>
      <c r="Q1099" s="116">
        <v>47.35</v>
      </c>
      <c r="R1099">
        <v>9372442</v>
      </c>
    </row>
    <row r="1100" spans="1:18" x14ac:dyDescent="0.25">
      <c r="A1100" s="170">
        <v>43626</v>
      </c>
      <c r="B1100" s="116">
        <v>9.65</v>
      </c>
      <c r="C1100" s="116">
        <v>9.4600000000000009</v>
      </c>
      <c r="D1100" s="116">
        <v>9.27</v>
      </c>
      <c r="E1100" s="116">
        <v>9.64</v>
      </c>
      <c r="F1100" s="116">
        <v>47.3</v>
      </c>
      <c r="G1100">
        <v>875936</v>
      </c>
      <c r="H1100" s="116"/>
      <c r="I1100" s="116"/>
      <c r="L1100" s="170">
        <v>43626</v>
      </c>
      <c r="M1100" s="116">
        <v>9.4700000000000006</v>
      </c>
      <c r="N1100" s="116">
        <v>9.67</v>
      </c>
      <c r="O1100" s="116">
        <v>9.27</v>
      </c>
      <c r="P1100" s="116">
        <v>9.51</v>
      </c>
      <c r="Q1100" s="116">
        <v>47.35</v>
      </c>
      <c r="R1100">
        <v>7790036</v>
      </c>
    </row>
    <row r="1101" spans="1:18" x14ac:dyDescent="0.25">
      <c r="A1101" s="170">
        <v>43627</v>
      </c>
      <c r="B1101" s="116">
        <v>9.75</v>
      </c>
      <c r="C1101" s="116">
        <v>9.65</v>
      </c>
      <c r="D1101" s="116">
        <v>9.33</v>
      </c>
      <c r="E1101" s="116">
        <v>9.5399999999999991</v>
      </c>
      <c r="F1101" s="116">
        <v>48.25</v>
      </c>
      <c r="G1101">
        <v>853759</v>
      </c>
      <c r="H1101" s="116"/>
      <c r="I1101" s="116"/>
      <c r="L1101" s="170">
        <v>43627</v>
      </c>
      <c r="M1101" s="116">
        <v>9.65</v>
      </c>
      <c r="N1101" s="116">
        <v>9.74</v>
      </c>
      <c r="O1101" s="116">
        <v>9.32</v>
      </c>
      <c r="P1101" s="116">
        <v>9.5500000000000007</v>
      </c>
      <c r="Q1101" s="116">
        <v>48.25</v>
      </c>
      <c r="R1101">
        <v>7777356</v>
      </c>
    </row>
    <row r="1102" spans="1:18" x14ac:dyDescent="0.25">
      <c r="A1102" s="170">
        <v>43628</v>
      </c>
      <c r="B1102" s="116">
        <v>10.09</v>
      </c>
      <c r="C1102" s="116">
        <v>9.83</v>
      </c>
      <c r="D1102" s="116">
        <v>9.6199999999999992</v>
      </c>
      <c r="E1102" s="116">
        <v>9.68</v>
      </c>
      <c r="F1102" s="116">
        <v>49.15</v>
      </c>
      <c r="G1102">
        <v>1429009</v>
      </c>
      <c r="H1102" s="116"/>
      <c r="I1102" s="116"/>
      <c r="L1102" s="170">
        <v>43628</v>
      </c>
      <c r="M1102" s="116">
        <v>9.82</v>
      </c>
      <c r="N1102" s="116">
        <v>10.09</v>
      </c>
      <c r="O1102" s="116">
        <v>9.6199999999999992</v>
      </c>
      <c r="P1102" s="116">
        <v>9.65</v>
      </c>
      <c r="Q1102" s="116">
        <v>49.1</v>
      </c>
      <c r="R1102">
        <v>15460100</v>
      </c>
    </row>
    <row r="1103" spans="1:18" x14ac:dyDescent="0.25">
      <c r="A1103" s="170">
        <v>43629</v>
      </c>
      <c r="B1103" s="116">
        <v>9.84</v>
      </c>
      <c r="C1103" s="116">
        <v>9.67</v>
      </c>
      <c r="D1103" s="116">
        <v>9.36</v>
      </c>
      <c r="E1103" s="116">
        <v>9.84</v>
      </c>
      <c r="F1103" s="116">
        <v>48.35</v>
      </c>
      <c r="G1103">
        <v>851172</v>
      </c>
      <c r="H1103" s="116"/>
      <c r="I1103" s="116"/>
      <c r="L1103" s="170">
        <v>43629</v>
      </c>
      <c r="M1103" s="116">
        <v>9.67</v>
      </c>
      <c r="N1103" s="116">
        <v>9.83</v>
      </c>
      <c r="O1103" s="116">
        <v>9.35</v>
      </c>
      <c r="P1103" s="116">
        <v>9.8000000000000007</v>
      </c>
      <c r="Q1103" s="116">
        <v>48.35</v>
      </c>
      <c r="R1103">
        <v>8790669</v>
      </c>
    </row>
    <row r="1104" spans="1:18" x14ac:dyDescent="0.25">
      <c r="A1104" s="170">
        <v>43630</v>
      </c>
      <c r="B1104" s="116">
        <v>10</v>
      </c>
      <c r="C1104" s="116">
        <v>9.6999999999999993</v>
      </c>
      <c r="D1104" s="116">
        <v>9.6</v>
      </c>
      <c r="E1104" s="116">
        <v>9.75</v>
      </c>
      <c r="F1104" s="116">
        <v>48.5</v>
      </c>
      <c r="G1104">
        <v>939657</v>
      </c>
      <c r="H1104" s="116"/>
      <c r="I1104" s="116"/>
      <c r="L1104" s="170">
        <v>43630</v>
      </c>
      <c r="M1104" s="116">
        <v>9.6999999999999993</v>
      </c>
      <c r="N1104" s="116">
        <v>10</v>
      </c>
      <c r="O1104" s="116">
        <v>9.6199999999999992</v>
      </c>
      <c r="P1104" s="116">
        <v>9.6999999999999993</v>
      </c>
      <c r="Q1104" s="116">
        <v>48.5</v>
      </c>
      <c r="R1104">
        <v>10216642</v>
      </c>
    </row>
    <row r="1105" spans="1:18" x14ac:dyDescent="0.25">
      <c r="A1105" s="170">
        <v>43633</v>
      </c>
      <c r="B1105" s="116">
        <v>9.74</v>
      </c>
      <c r="C1105" s="116">
        <v>9.35</v>
      </c>
      <c r="D1105" s="116">
        <v>9.23</v>
      </c>
      <c r="E1105" s="116">
        <v>9.74</v>
      </c>
      <c r="F1105" s="116">
        <v>46.75</v>
      </c>
      <c r="G1105">
        <v>981669</v>
      </c>
      <c r="H1105" s="116"/>
      <c r="I1105" s="116"/>
      <c r="L1105" s="170">
        <v>43633</v>
      </c>
      <c r="M1105" s="116">
        <v>9.35</v>
      </c>
      <c r="N1105" s="116">
        <v>9.7100000000000009</v>
      </c>
      <c r="O1105" s="116">
        <v>9.2200000000000006</v>
      </c>
      <c r="P1105" s="116">
        <v>9.6999999999999993</v>
      </c>
      <c r="Q1105" s="116">
        <v>46.75</v>
      </c>
      <c r="R1105">
        <v>11965086</v>
      </c>
    </row>
    <row r="1106" spans="1:18" x14ac:dyDescent="0.25">
      <c r="A1106" s="170">
        <v>43634</v>
      </c>
      <c r="B1106" s="116">
        <v>9.4700000000000006</v>
      </c>
      <c r="C1106" s="116">
        <v>9.3699999999999992</v>
      </c>
      <c r="D1106" s="116">
        <v>9.17</v>
      </c>
      <c r="E1106" s="116">
        <v>9.36</v>
      </c>
      <c r="F1106" s="116">
        <v>46.85</v>
      </c>
      <c r="G1106">
        <v>903623</v>
      </c>
      <c r="H1106" s="116"/>
      <c r="I1106" s="116"/>
      <c r="L1106" s="170">
        <v>43634</v>
      </c>
      <c r="M1106" s="116">
        <v>9.3699999999999992</v>
      </c>
      <c r="N1106" s="116">
        <v>9.4700000000000006</v>
      </c>
      <c r="O1106" s="116">
        <v>9.17</v>
      </c>
      <c r="P1106" s="116">
        <v>9.36</v>
      </c>
      <c r="Q1106" s="116">
        <v>46.85</v>
      </c>
      <c r="R1106">
        <v>9064307</v>
      </c>
    </row>
    <row r="1107" spans="1:18" x14ac:dyDescent="0.25">
      <c r="A1107" s="170">
        <v>43635</v>
      </c>
      <c r="B1107" s="116">
        <v>9.52</v>
      </c>
      <c r="C1107" s="116">
        <v>9.34</v>
      </c>
      <c r="D1107" s="116">
        <v>8.86</v>
      </c>
      <c r="E1107" s="116">
        <v>9.52</v>
      </c>
      <c r="F1107" s="116">
        <v>46.7</v>
      </c>
      <c r="G1107">
        <v>1575692</v>
      </c>
      <c r="H1107" s="116"/>
      <c r="I1107" s="116"/>
      <c r="L1107" s="170">
        <v>43635</v>
      </c>
      <c r="M1107" s="116">
        <v>9.34</v>
      </c>
      <c r="N1107" s="116">
        <v>9.52</v>
      </c>
      <c r="O1107" s="116">
        <v>8.86</v>
      </c>
      <c r="P1107" s="116">
        <v>9.4</v>
      </c>
      <c r="Q1107" s="116">
        <v>46.7</v>
      </c>
      <c r="R1107">
        <v>17770408</v>
      </c>
    </row>
    <row r="1108" spans="1:18" x14ac:dyDescent="0.25">
      <c r="A1108" s="170">
        <v>43636</v>
      </c>
      <c r="B1108" s="116">
        <v>9.5500000000000007</v>
      </c>
      <c r="C1108" s="116">
        <v>9.5</v>
      </c>
      <c r="D1108" s="116">
        <v>9.14</v>
      </c>
      <c r="E1108" s="116">
        <v>9.1999999999999993</v>
      </c>
      <c r="F1108" s="116">
        <v>47.5</v>
      </c>
      <c r="G1108">
        <v>923491</v>
      </c>
      <c r="H1108" s="116"/>
      <c r="I1108" s="116"/>
      <c r="L1108" s="170">
        <v>43636</v>
      </c>
      <c r="M1108" s="116">
        <v>9.5</v>
      </c>
      <c r="N1108" s="116">
        <v>9.58</v>
      </c>
      <c r="O1108" s="116">
        <v>9.1</v>
      </c>
      <c r="P1108" s="116">
        <v>9.19</v>
      </c>
      <c r="Q1108" s="116">
        <v>47.5</v>
      </c>
      <c r="R1108">
        <v>9180146</v>
      </c>
    </row>
    <row r="1109" spans="1:18" x14ac:dyDescent="0.25">
      <c r="A1109" s="170">
        <v>43637</v>
      </c>
      <c r="B1109" s="116">
        <v>9.69</v>
      </c>
      <c r="C1109" s="116">
        <v>9.58</v>
      </c>
      <c r="D1109" s="116">
        <v>9.3699999999999992</v>
      </c>
      <c r="E1109" s="116">
        <v>9.5500000000000007</v>
      </c>
      <c r="F1109" s="116">
        <v>47.9</v>
      </c>
      <c r="G1109">
        <v>685419</v>
      </c>
      <c r="H1109" s="116"/>
      <c r="I1109" s="116"/>
      <c r="L1109" s="170">
        <v>43637</v>
      </c>
      <c r="M1109" s="116">
        <v>9.58</v>
      </c>
      <c r="N1109" s="116">
        <v>9.6999999999999993</v>
      </c>
      <c r="O1109" s="116">
        <v>9.3800000000000008</v>
      </c>
      <c r="P1109" s="116">
        <v>9.5</v>
      </c>
      <c r="Q1109" s="116">
        <v>47.9</v>
      </c>
      <c r="R1109">
        <v>7305311</v>
      </c>
    </row>
    <row r="1110" spans="1:18" x14ac:dyDescent="0.25">
      <c r="A1110" s="170">
        <v>43640</v>
      </c>
      <c r="B1110" s="116">
        <v>10.1</v>
      </c>
      <c r="C1110" s="116">
        <v>10.039999999999999</v>
      </c>
      <c r="D1110" s="116">
        <v>9.43</v>
      </c>
      <c r="E1110" s="116">
        <v>9.6</v>
      </c>
      <c r="F1110" s="116">
        <v>50.2</v>
      </c>
      <c r="G1110">
        <v>1173058</v>
      </c>
      <c r="H1110" s="116"/>
      <c r="I1110" s="116"/>
      <c r="L1110" s="170">
        <v>43640</v>
      </c>
      <c r="M1110" s="116">
        <v>10.029999999999999</v>
      </c>
      <c r="N1110" s="116">
        <v>10.1</v>
      </c>
      <c r="O1110" s="116">
        <v>9.43</v>
      </c>
      <c r="P1110" s="116">
        <v>9.58</v>
      </c>
      <c r="Q1110" s="116">
        <v>50.15</v>
      </c>
      <c r="R1110">
        <v>15302455</v>
      </c>
    </row>
    <row r="1111" spans="1:18" x14ac:dyDescent="0.25">
      <c r="A1111" s="170">
        <v>43641</v>
      </c>
      <c r="B1111" s="116">
        <v>10.17</v>
      </c>
      <c r="C1111" s="116">
        <v>10.1</v>
      </c>
      <c r="D1111" s="116">
        <v>9.77</v>
      </c>
      <c r="E1111" s="116">
        <v>10.1</v>
      </c>
      <c r="F1111" s="116">
        <v>50.5</v>
      </c>
      <c r="G1111">
        <v>2135053</v>
      </c>
      <c r="H1111" s="116"/>
      <c r="I1111" s="116"/>
      <c r="L1111" s="170">
        <v>43641</v>
      </c>
      <c r="M1111" s="116">
        <v>10.11</v>
      </c>
      <c r="N1111" s="116">
        <v>10.18</v>
      </c>
      <c r="O1111" s="116">
        <v>9.7799999999999994</v>
      </c>
      <c r="P1111" s="116">
        <v>10.06</v>
      </c>
      <c r="Q1111" s="116">
        <v>50.55</v>
      </c>
      <c r="R1111">
        <v>14732369</v>
      </c>
    </row>
    <row r="1112" spans="1:18" x14ac:dyDescent="0.25">
      <c r="A1112" s="170">
        <v>43642</v>
      </c>
      <c r="B1112" s="116">
        <v>10.31</v>
      </c>
      <c r="C1112" s="116">
        <v>10.26</v>
      </c>
      <c r="D1112" s="116">
        <v>10.06</v>
      </c>
      <c r="E1112" s="116">
        <v>10.19</v>
      </c>
      <c r="F1112" s="116">
        <v>51.3</v>
      </c>
      <c r="G1112">
        <v>1486418</v>
      </c>
      <c r="H1112" s="116"/>
      <c r="I1112" s="116"/>
      <c r="L1112" s="170">
        <v>43642</v>
      </c>
      <c r="M1112" s="116">
        <v>10.26</v>
      </c>
      <c r="N1112" s="116">
        <v>10.3</v>
      </c>
      <c r="O1112" s="116">
        <v>10.06</v>
      </c>
      <c r="P1112" s="116">
        <v>10.14</v>
      </c>
      <c r="Q1112" s="116">
        <v>51.3</v>
      </c>
      <c r="R1112">
        <v>13262391</v>
      </c>
    </row>
    <row r="1113" spans="1:18" x14ac:dyDescent="0.25">
      <c r="A1113" s="170">
        <v>43643</v>
      </c>
      <c r="B1113" s="116">
        <v>10.4</v>
      </c>
      <c r="C1113" s="116">
        <v>10.29</v>
      </c>
      <c r="D1113" s="116">
        <v>10.199999999999999</v>
      </c>
      <c r="E1113" s="116">
        <v>10.220000000000001</v>
      </c>
      <c r="F1113" s="116">
        <v>51.45</v>
      </c>
      <c r="G1113">
        <v>858499</v>
      </c>
      <c r="H1113" s="116"/>
      <c r="I1113" s="116"/>
      <c r="L1113" s="170">
        <v>43643</v>
      </c>
      <c r="M1113" s="116">
        <v>10.3</v>
      </c>
      <c r="N1113" s="116">
        <v>10.41</v>
      </c>
      <c r="O1113" s="116">
        <v>10.199999999999999</v>
      </c>
      <c r="P1113" s="116">
        <v>10.3</v>
      </c>
      <c r="Q1113" s="116">
        <v>51.5</v>
      </c>
      <c r="R1113">
        <v>7884139</v>
      </c>
    </row>
    <row r="1114" spans="1:18" x14ac:dyDescent="0.25">
      <c r="A1114" s="170">
        <v>43644</v>
      </c>
      <c r="B1114" s="116">
        <v>10.46</v>
      </c>
      <c r="C1114" s="116">
        <v>10.26</v>
      </c>
      <c r="D1114" s="116">
        <v>10.18</v>
      </c>
      <c r="E1114" s="116">
        <v>10.34</v>
      </c>
      <c r="F1114" s="116">
        <v>51.3</v>
      </c>
      <c r="G1114">
        <v>3965800</v>
      </c>
      <c r="H1114" s="116"/>
      <c r="I1114" s="116"/>
      <c r="L1114" s="170">
        <v>43644</v>
      </c>
      <c r="M1114" s="116">
        <v>10.27</v>
      </c>
      <c r="N1114" s="116">
        <v>10.47</v>
      </c>
      <c r="O1114" s="116">
        <v>10.16</v>
      </c>
      <c r="P1114" s="116">
        <v>10.45</v>
      </c>
      <c r="Q1114" s="116">
        <v>51.35</v>
      </c>
      <c r="R1114">
        <v>10327185</v>
      </c>
    </row>
    <row r="1115" spans="1:18" x14ac:dyDescent="0.25">
      <c r="A1115" s="170">
        <v>43647</v>
      </c>
      <c r="B1115" s="116">
        <v>12.25</v>
      </c>
      <c r="C1115" s="116">
        <v>12.05</v>
      </c>
      <c r="D1115" s="116">
        <v>10.16</v>
      </c>
      <c r="E1115" s="116">
        <v>10.51</v>
      </c>
      <c r="F1115" s="116">
        <v>60.25</v>
      </c>
      <c r="G1115">
        <v>6061800</v>
      </c>
      <c r="H1115" s="116"/>
      <c r="I1115" s="116"/>
      <c r="L1115" s="170">
        <v>43647</v>
      </c>
      <c r="M1115" s="116">
        <v>12.06</v>
      </c>
      <c r="N1115" s="116">
        <v>12.25</v>
      </c>
      <c r="O1115" s="116">
        <v>10.16</v>
      </c>
      <c r="P1115" s="116">
        <v>10.45</v>
      </c>
      <c r="Q1115" s="116">
        <v>60.3</v>
      </c>
      <c r="R1115">
        <v>80055330</v>
      </c>
    </row>
    <row r="1116" spans="1:18" x14ac:dyDescent="0.25">
      <c r="A1116" s="170">
        <v>43648</v>
      </c>
      <c r="B1116" s="116">
        <v>13.07</v>
      </c>
      <c r="C1116" s="116">
        <v>12.96</v>
      </c>
      <c r="D1116" s="116">
        <v>12.03</v>
      </c>
      <c r="E1116" s="116">
        <v>12.16</v>
      </c>
      <c r="F1116" s="116">
        <v>64.8</v>
      </c>
      <c r="G1116">
        <v>9324229</v>
      </c>
      <c r="H1116" s="116"/>
      <c r="I1116" s="116"/>
      <c r="L1116" s="170">
        <v>43648</v>
      </c>
      <c r="M1116" s="116">
        <v>12.95</v>
      </c>
      <c r="N1116" s="116">
        <v>13.08</v>
      </c>
      <c r="O1116" s="116">
        <v>12.03</v>
      </c>
      <c r="P1116" s="116">
        <v>12.15</v>
      </c>
      <c r="Q1116" s="116">
        <v>64.75</v>
      </c>
      <c r="R1116">
        <v>129393170</v>
      </c>
    </row>
    <row r="1117" spans="1:18" x14ac:dyDescent="0.25">
      <c r="A1117" s="170">
        <v>43649</v>
      </c>
      <c r="B1117" s="116">
        <v>13.25</v>
      </c>
      <c r="C1117" s="116">
        <v>13.16</v>
      </c>
      <c r="D1117" s="116">
        <v>12.74</v>
      </c>
      <c r="E1117" s="116">
        <v>12.86</v>
      </c>
      <c r="F1117" s="116">
        <v>65.8</v>
      </c>
      <c r="G1117">
        <v>3553871</v>
      </c>
      <c r="H1117" s="116"/>
      <c r="I1117" s="116"/>
      <c r="L1117" s="170">
        <v>43649</v>
      </c>
      <c r="M1117" s="116">
        <v>13.15</v>
      </c>
      <c r="N1117" s="116">
        <v>13.25</v>
      </c>
      <c r="O1117" s="116">
        <v>12.72</v>
      </c>
      <c r="P1117" s="116">
        <v>12.86</v>
      </c>
      <c r="Q1117" s="116">
        <v>65.75</v>
      </c>
      <c r="R1117">
        <v>52851764</v>
      </c>
    </row>
    <row r="1118" spans="1:18" x14ac:dyDescent="0.25">
      <c r="A1118" s="170">
        <v>43650</v>
      </c>
      <c r="B1118" s="116">
        <v>13.37</v>
      </c>
      <c r="C1118" s="116">
        <v>13.06</v>
      </c>
      <c r="D1118" s="116">
        <v>12.94</v>
      </c>
      <c r="E1118" s="116">
        <v>13.18</v>
      </c>
      <c r="F1118" s="116">
        <v>65.3</v>
      </c>
      <c r="G1118">
        <v>1836286</v>
      </c>
      <c r="H1118" s="116"/>
      <c r="I1118" s="116"/>
      <c r="L1118" s="170">
        <v>43650</v>
      </c>
      <c r="M1118" s="116">
        <v>13.07</v>
      </c>
      <c r="N1118" s="116">
        <v>13.38</v>
      </c>
      <c r="O1118" s="116">
        <v>12.94</v>
      </c>
      <c r="P1118" s="116">
        <v>13.16</v>
      </c>
      <c r="Q1118" s="116">
        <v>65.349999999999994</v>
      </c>
      <c r="R1118">
        <v>22977698</v>
      </c>
    </row>
    <row r="1119" spans="1:18" x14ac:dyDescent="0.25">
      <c r="A1119" s="170">
        <v>43651</v>
      </c>
      <c r="B1119" s="116">
        <v>13.16</v>
      </c>
      <c r="C1119" s="116">
        <v>12.74</v>
      </c>
      <c r="D1119" s="116">
        <v>12.5</v>
      </c>
      <c r="E1119" s="116">
        <v>13.07</v>
      </c>
      <c r="F1119" s="116">
        <v>63.7</v>
      </c>
      <c r="G1119">
        <v>1951588</v>
      </c>
      <c r="H1119" s="116"/>
      <c r="I1119" s="116"/>
      <c r="L1119" s="170">
        <v>43651</v>
      </c>
      <c r="M1119" s="116">
        <v>12.73</v>
      </c>
      <c r="N1119" s="116">
        <v>13.18</v>
      </c>
      <c r="O1119" s="116">
        <v>12.54</v>
      </c>
      <c r="P1119" s="116">
        <v>13.01</v>
      </c>
      <c r="Q1119" s="116">
        <v>63.65</v>
      </c>
      <c r="R1119">
        <v>19891405</v>
      </c>
    </row>
    <row r="1120" spans="1:18" x14ac:dyDescent="0.25">
      <c r="A1120" s="170">
        <v>43654</v>
      </c>
      <c r="B1120" s="116">
        <v>12.77</v>
      </c>
      <c r="C1120" s="116">
        <v>12.4</v>
      </c>
      <c r="D1120" s="116">
        <v>12.29</v>
      </c>
      <c r="E1120" s="116">
        <v>12.55</v>
      </c>
      <c r="F1120" s="116">
        <v>62</v>
      </c>
      <c r="G1120">
        <v>1736366</v>
      </c>
      <c r="H1120" s="116"/>
      <c r="I1120" s="116"/>
      <c r="L1120" s="170">
        <v>43654</v>
      </c>
      <c r="M1120" s="116">
        <v>12.42</v>
      </c>
      <c r="N1120" s="116">
        <v>12.77</v>
      </c>
      <c r="O1120" s="116">
        <v>12.29</v>
      </c>
      <c r="P1120" s="116">
        <v>12.5</v>
      </c>
      <c r="Q1120" s="116">
        <v>62.1</v>
      </c>
      <c r="R1120">
        <v>17035534</v>
      </c>
    </row>
    <row r="1121" spans="1:18" x14ac:dyDescent="0.25">
      <c r="A1121" s="170">
        <v>43655</v>
      </c>
      <c r="B1121" s="116">
        <v>13.75</v>
      </c>
      <c r="C1121" s="116">
        <v>13.44</v>
      </c>
      <c r="D1121" s="116">
        <v>12.16</v>
      </c>
      <c r="E1121" s="116">
        <v>12.38</v>
      </c>
      <c r="F1121" s="116">
        <v>67.2</v>
      </c>
      <c r="G1121">
        <v>4094856</v>
      </c>
      <c r="H1121" s="116"/>
      <c r="I1121" s="116"/>
      <c r="L1121" s="170">
        <v>43655</v>
      </c>
      <c r="M1121" s="116">
        <v>13.43</v>
      </c>
      <c r="N1121" s="116">
        <v>13.75</v>
      </c>
      <c r="O1121" s="116">
        <v>12.16</v>
      </c>
      <c r="P1121" s="116">
        <v>12.29</v>
      </c>
      <c r="Q1121" s="116">
        <v>67.150000000000006</v>
      </c>
      <c r="R1121">
        <v>51654011</v>
      </c>
    </row>
    <row r="1122" spans="1:18" x14ac:dyDescent="0.25">
      <c r="A1122" s="170">
        <v>43656</v>
      </c>
      <c r="B1122" s="116">
        <v>13.64</v>
      </c>
      <c r="C1122" s="116">
        <v>12.59</v>
      </c>
      <c r="D1122" s="116">
        <v>12.49</v>
      </c>
      <c r="E1122" s="116">
        <v>13.57</v>
      </c>
      <c r="F1122" s="116">
        <v>62.95</v>
      </c>
      <c r="G1122">
        <v>3070732</v>
      </c>
      <c r="H1122" s="116"/>
      <c r="I1122" s="116"/>
      <c r="L1122" s="170">
        <v>43656</v>
      </c>
      <c r="M1122" s="116">
        <v>12.59</v>
      </c>
      <c r="N1122" s="116">
        <v>13.65</v>
      </c>
      <c r="O1122" s="116">
        <v>12.49</v>
      </c>
      <c r="P1122" s="116">
        <v>13.59</v>
      </c>
      <c r="Q1122" s="116">
        <v>62.95</v>
      </c>
      <c r="R1122">
        <v>37061160</v>
      </c>
    </row>
    <row r="1123" spans="1:18" x14ac:dyDescent="0.25">
      <c r="A1123" s="170">
        <v>43657</v>
      </c>
      <c r="B1123" s="116">
        <v>12.88</v>
      </c>
      <c r="C1123" s="116">
        <v>12.54</v>
      </c>
      <c r="D1123" s="116">
        <v>12.33</v>
      </c>
      <c r="E1123" s="116">
        <v>12.88</v>
      </c>
      <c r="F1123" s="116">
        <v>62.7</v>
      </c>
      <c r="G1123">
        <v>1742633</v>
      </c>
      <c r="H1123" s="116"/>
      <c r="I1123" s="116"/>
      <c r="L1123" s="170">
        <v>43657</v>
      </c>
      <c r="M1123" s="116">
        <v>12.54</v>
      </c>
      <c r="N1123" s="116">
        <v>12.82</v>
      </c>
      <c r="O1123" s="116">
        <v>12.32</v>
      </c>
      <c r="P1123" s="116">
        <v>12.67</v>
      </c>
      <c r="Q1123" s="116">
        <v>62.7</v>
      </c>
      <c r="R1123">
        <v>18334515</v>
      </c>
    </row>
    <row r="1124" spans="1:18" x14ac:dyDescent="0.25">
      <c r="A1124" s="170">
        <v>43658</v>
      </c>
      <c r="B1124" s="116">
        <v>13.13</v>
      </c>
      <c r="C1124" s="116">
        <v>12.76</v>
      </c>
      <c r="D1124" s="116">
        <v>12.51</v>
      </c>
      <c r="E1124" s="116">
        <v>12.51</v>
      </c>
      <c r="F1124" s="116">
        <v>63.8</v>
      </c>
      <c r="G1124">
        <v>1946933</v>
      </c>
      <c r="H1124" s="116"/>
      <c r="I1124" s="116"/>
      <c r="L1124" s="170">
        <v>43658</v>
      </c>
      <c r="M1124" s="116">
        <v>12.77</v>
      </c>
      <c r="N1124" s="116">
        <v>13.13</v>
      </c>
      <c r="O1124" s="116">
        <v>12.52</v>
      </c>
      <c r="P1124" s="116">
        <v>12.57</v>
      </c>
      <c r="Q1124" s="116">
        <v>63.85</v>
      </c>
      <c r="R1124">
        <v>23842359</v>
      </c>
    </row>
    <row r="1125" spans="1:18" x14ac:dyDescent="0.25">
      <c r="A1125" s="170">
        <v>43661</v>
      </c>
      <c r="B1125" s="116">
        <v>12.85</v>
      </c>
      <c r="C1125" s="116">
        <v>12.53</v>
      </c>
      <c r="D1125" s="116">
        <v>12.18</v>
      </c>
      <c r="E1125" s="116">
        <v>12.84</v>
      </c>
      <c r="F1125" s="116">
        <v>62.65</v>
      </c>
      <c r="G1125">
        <v>1545506</v>
      </c>
      <c r="H1125" s="116"/>
      <c r="I1125" s="116"/>
      <c r="L1125" s="170">
        <v>43661</v>
      </c>
      <c r="M1125" s="116">
        <v>12.54</v>
      </c>
      <c r="N1125" s="116">
        <v>12.83</v>
      </c>
      <c r="O1125" s="116">
        <v>12.17</v>
      </c>
      <c r="P1125" s="116">
        <v>12.79</v>
      </c>
      <c r="Q1125" s="116">
        <v>62.7</v>
      </c>
      <c r="R1125">
        <v>15979626</v>
      </c>
    </row>
    <row r="1126" spans="1:18" x14ac:dyDescent="0.25">
      <c r="A1126" s="170">
        <v>43662</v>
      </c>
      <c r="B1126" s="116">
        <v>12.84</v>
      </c>
      <c r="C1126" s="116">
        <v>12.75</v>
      </c>
      <c r="D1126" s="116">
        <v>12.41</v>
      </c>
      <c r="E1126" s="116">
        <v>12.66</v>
      </c>
      <c r="F1126" s="116">
        <v>63.75</v>
      </c>
      <c r="G1126">
        <v>1435020</v>
      </c>
      <c r="H1126" s="116"/>
      <c r="I1126" s="116"/>
      <c r="L1126" s="170">
        <v>43662</v>
      </c>
      <c r="M1126" s="116">
        <v>12.75</v>
      </c>
      <c r="N1126" s="116">
        <v>12.86</v>
      </c>
      <c r="O1126" s="116">
        <v>12.4</v>
      </c>
      <c r="P1126" s="116">
        <v>12.48</v>
      </c>
      <c r="Q1126" s="116">
        <v>63.75</v>
      </c>
      <c r="R1126">
        <v>13788018</v>
      </c>
    </row>
    <row r="1127" spans="1:18" x14ac:dyDescent="0.25">
      <c r="A1127" s="170">
        <v>43663</v>
      </c>
      <c r="B1127" s="116">
        <v>12.83</v>
      </c>
      <c r="C1127" s="116">
        <v>12.67</v>
      </c>
      <c r="D1127" s="116">
        <v>12.48</v>
      </c>
      <c r="E1127" s="116">
        <v>12.83</v>
      </c>
      <c r="F1127" s="116">
        <v>63.35</v>
      </c>
      <c r="G1127">
        <v>1477702</v>
      </c>
      <c r="H1127" s="116"/>
      <c r="I1127" s="116"/>
      <c r="L1127" s="170">
        <v>43663</v>
      </c>
      <c r="M1127" s="116">
        <v>12.68</v>
      </c>
      <c r="N1127" s="116">
        <v>12.8</v>
      </c>
      <c r="O1127" s="116">
        <v>12.47</v>
      </c>
      <c r="P1127" s="116">
        <v>12.68</v>
      </c>
      <c r="Q1127" s="116">
        <v>63.4</v>
      </c>
      <c r="R1127">
        <v>10827643</v>
      </c>
    </row>
    <row r="1128" spans="1:18" x14ac:dyDescent="0.25">
      <c r="A1128" s="170">
        <v>43664</v>
      </c>
      <c r="B1128" s="116">
        <v>13.19</v>
      </c>
      <c r="C1128" s="116">
        <v>12.53</v>
      </c>
      <c r="D1128" s="116">
        <v>12.29</v>
      </c>
      <c r="E1128" s="116">
        <v>12.82</v>
      </c>
      <c r="F1128" s="116">
        <v>62.65</v>
      </c>
      <c r="G1128">
        <v>2204809</v>
      </c>
      <c r="H1128" s="116"/>
      <c r="I1128" s="116"/>
      <c r="L1128" s="170">
        <v>43664</v>
      </c>
      <c r="M1128" s="116">
        <v>12.54</v>
      </c>
      <c r="N1128" s="116">
        <v>13.18</v>
      </c>
      <c r="O1128" s="116">
        <v>12.29</v>
      </c>
      <c r="P1128" s="116">
        <v>12.79</v>
      </c>
      <c r="Q1128" s="116">
        <v>62.7</v>
      </c>
      <c r="R1128">
        <v>27403170</v>
      </c>
    </row>
    <row r="1129" spans="1:18" x14ac:dyDescent="0.25">
      <c r="A1129" s="170">
        <v>43665</v>
      </c>
      <c r="B1129" s="116">
        <v>12.57</v>
      </c>
      <c r="C1129" s="116">
        <v>12.17</v>
      </c>
      <c r="D1129" s="116">
        <v>11.98</v>
      </c>
      <c r="E1129" s="116">
        <v>12.57</v>
      </c>
      <c r="F1129" s="116">
        <v>60.85</v>
      </c>
      <c r="G1129">
        <v>1757916</v>
      </c>
      <c r="H1129" s="116"/>
      <c r="I1129" s="116"/>
      <c r="L1129" s="170">
        <v>43665</v>
      </c>
      <c r="M1129" s="116">
        <v>12.19</v>
      </c>
      <c r="N1129" s="116">
        <v>12.56</v>
      </c>
      <c r="O1129" s="116">
        <v>11.98</v>
      </c>
      <c r="P1129" s="116">
        <v>12.54</v>
      </c>
      <c r="Q1129" s="116">
        <v>60.95</v>
      </c>
      <c r="R1129">
        <v>15192321</v>
      </c>
    </row>
    <row r="1130" spans="1:18" x14ac:dyDescent="0.25">
      <c r="A1130" s="170">
        <v>43668</v>
      </c>
      <c r="B1130" s="116">
        <v>12.78</v>
      </c>
      <c r="C1130" s="116">
        <v>12.57</v>
      </c>
      <c r="D1130" s="116">
        <v>12.04</v>
      </c>
      <c r="E1130" s="116">
        <v>12.22</v>
      </c>
      <c r="F1130" s="116">
        <v>62.85</v>
      </c>
      <c r="G1130">
        <v>1697555</v>
      </c>
      <c r="H1130" s="116"/>
      <c r="I1130" s="116"/>
      <c r="L1130" s="170">
        <v>43668</v>
      </c>
      <c r="M1130" s="116">
        <v>12.59</v>
      </c>
      <c r="N1130" s="116">
        <v>12.8</v>
      </c>
      <c r="O1130" s="116">
        <v>12.04</v>
      </c>
      <c r="P1130" s="116">
        <v>12.22</v>
      </c>
      <c r="Q1130" s="116">
        <v>62.95</v>
      </c>
      <c r="R1130">
        <v>12831653</v>
      </c>
    </row>
    <row r="1131" spans="1:18" x14ac:dyDescent="0.25">
      <c r="A1131" s="170">
        <v>43669</v>
      </c>
      <c r="B1131" s="116">
        <v>12.87</v>
      </c>
      <c r="C1131" s="116">
        <v>12.62</v>
      </c>
      <c r="D1131" s="116">
        <v>12.43</v>
      </c>
      <c r="E1131" s="116">
        <v>12.72</v>
      </c>
      <c r="F1131" s="116">
        <v>63.1</v>
      </c>
      <c r="G1131">
        <v>1464248</v>
      </c>
      <c r="H1131" s="116"/>
      <c r="I1131" s="116"/>
      <c r="L1131" s="170">
        <v>43669</v>
      </c>
      <c r="M1131" s="116">
        <v>12.62</v>
      </c>
      <c r="N1131" s="116">
        <v>12.88</v>
      </c>
      <c r="O1131" s="116">
        <v>12.44</v>
      </c>
      <c r="P1131" s="116">
        <v>12.62</v>
      </c>
      <c r="Q1131" s="116">
        <v>63.1</v>
      </c>
      <c r="R1131">
        <v>13341706</v>
      </c>
    </row>
    <row r="1132" spans="1:18" x14ac:dyDescent="0.25">
      <c r="A1132" s="170">
        <v>43670</v>
      </c>
      <c r="B1132" s="116">
        <v>12.72</v>
      </c>
      <c r="C1132" s="116">
        <v>12.5</v>
      </c>
      <c r="D1132" s="116">
        <v>12.34</v>
      </c>
      <c r="E1132" s="116">
        <v>12.7</v>
      </c>
      <c r="F1132" s="116">
        <v>62.5</v>
      </c>
      <c r="G1132">
        <v>1360363</v>
      </c>
      <c r="H1132" s="116"/>
      <c r="I1132" s="116"/>
      <c r="L1132" s="170">
        <v>43670</v>
      </c>
      <c r="M1132" s="116">
        <v>12.51</v>
      </c>
      <c r="N1132" s="116">
        <v>12.73</v>
      </c>
      <c r="O1132" s="116">
        <v>12.34</v>
      </c>
      <c r="P1132" s="116">
        <v>12.62</v>
      </c>
      <c r="Q1132" s="116">
        <v>62.55</v>
      </c>
      <c r="R1132">
        <v>9184835</v>
      </c>
    </row>
    <row r="1133" spans="1:18" x14ac:dyDescent="0.25">
      <c r="A1133" s="170">
        <v>43671</v>
      </c>
      <c r="B1133" s="116">
        <v>12.79</v>
      </c>
      <c r="C1133" s="116">
        <v>12.41</v>
      </c>
      <c r="D1133" s="116">
        <v>12.02</v>
      </c>
      <c r="E1133" s="116">
        <v>12.5</v>
      </c>
      <c r="F1133" s="116">
        <v>62.05</v>
      </c>
      <c r="G1133">
        <v>1360206</v>
      </c>
      <c r="H1133" s="116"/>
      <c r="I1133" s="116"/>
      <c r="L1133" s="170">
        <v>43671</v>
      </c>
      <c r="M1133" s="116">
        <v>12.42</v>
      </c>
      <c r="N1133" s="116">
        <v>12.8</v>
      </c>
      <c r="O1133" s="116">
        <v>12</v>
      </c>
      <c r="P1133" s="116">
        <v>12.52</v>
      </c>
      <c r="Q1133" s="116">
        <v>62.1</v>
      </c>
      <c r="R1133">
        <v>14890472</v>
      </c>
    </row>
    <row r="1134" spans="1:18" x14ac:dyDescent="0.25">
      <c r="A1134" s="170">
        <v>43672</v>
      </c>
      <c r="B1134" s="116">
        <v>12.68</v>
      </c>
      <c r="C1134" s="116">
        <v>12.59</v>
      </c>
      <c r="D1134" s="116">
        <v>12.3</v>
      </c>
      <c r="E1134" s="116">
        <v>12.4</v>
      </c>
      <c r="F1134" s="116">
        <v>62.95</v>
      </c>
      <c r="G1134">
        <v>897622</v>
      </c>
      <c r="H1134" s="116"/>
      <c r="I1134" s="116"/>
      <c r="L1134" s="170">
        <v>43672</v>
      </c>
      <c r="M1134" s="116">
        <v>12.58</v>
      </c>
      <c r="N1134" s="116">
        <v>12.68</v>
      </c>
      <c r="O1134" s="116">
        <v>12.29</v>
      </c>
      <c r="P1134" s="116">
        <v>12.4</v>
      </c>
      <c r="Q1134" s="116">
        <v>62.9</v>
      </c>
      <c r="R1134">
        <v>8597588</v>
      </c>
    </row>
    <row r="1135" spans="1:18" x14ac:dyDescent="0.25">
      <c r="A1135" s="170">
        <v>43675</v>
      </c>
      <c r="B1135" s="116">
        <v>12.62</v>
      </c>
      <c r="C1135" s="116">
        <v>12.31</v>
      </c>
      <c r="D1135" s="116">
        <v>12.09</v>
      </c>
      <c r="E1135" s="116">
        <v>12.59</v>
      </c>
      <c r="F1135" s="116">
        <v>61.55</v>
      </c>
      <c r="G1135">
        <v>1196307</v>
      </c>
      <c r="H1135" s="116"/>
      <c r="I1135" s="116"/>
      <c r="L1135" s="170">
        <v>43675</v>
      </c>
      <c r="M1135" s="116">
        <v>12.32</v>
      </c>
      <c r="N1135" s="116">
        <v>12.62</v>
      </c>
      <c r="O1135" s="116">
        <v>12.08</v>
      </c>
      <c r="P1135" s="116">
        <v>12.57</v>
      </c>
      <c r="Q1135" s="116">
        <v>61.6</v>
      </c>
      <c r="R1135">
        <v>10450560</v>
      </c>
    </row>
    <row r="1136" spans="1:18" x14ac:dyDescent="0.25">
      <c r="A1136" s="170">
        <v>43676</v>
      </c>
      <c r="B1136" s="116">
        <v>12.45</v>
      </c>
      <c r="C1136" s="116">
        <v>12.12</v>
      </c>
      <c r="D1136" s="116">
        <v>12.04</v>
      </c>
      <c r="E1136" s="116">
        <v>12.36</v>
      </c>
      <c r="F1136" s="116">
        <v>60.6</v>
      </c>
      <c r="G1136">
        <v>880331</v>
      </c>
      <c r="H1136" s="116"/>
      <c r="I1136" s="116"/>
      <c r="L1136" s="170">
        <v>43676</v>
      </c>
      <c r="M1136" s="116">
        <v>12.13</v>
      </c>
      <c r="N1136" s="116">
        <v>12.45</v>
      </c>
      <c r="O1136" s="116">
        <v>12.04</v>
      </c>
      <c r="P1136" s="116">
        <v>12.34</v>
      </c>
      <c r="Q1136" s="116">
        <v>60.65</v>
      </c>
      <c r="R1136">
        <v>8157234</v>
      </c>
    </row>
    <row r="1137" spans="1:18" x14ac:dyDescent="0.25">
      <c r="A1137" s="170">
        <v>43677</v>
      </c>
      <c r="B1137" s="116">
        <v>12.42</v>
      </c>
      <c r="C1137" s="116">
        <v>12.2</v>
      </c>
      <c r="D1137" s="116">
        <v>11.94</v>
      </c>
      <c r="E1137" s="116">
        <v>12</v>
      </c>
      <c r="F1137" s="116">
        <v>61</v>
      </c>
      <c r="G1137">
        <v>954133</v>
      </c>
      <c r="H1137" s="116"/>
      <c r="I1137" s="116"/>
      <c r="L1137" s="170">
        <v>43677</v>
      </c>
      <c r="M1137" s="116">
        <v>12.2</v>
      </c>
      <c r="N1137" s="116">
        <v>12.42</v>
      </c>
      <c r="O1137" s="116">
        <v>11.94</v>
      </c>
      <c r="P1137" s="116">
        <v>12.12</v>
      </c>
      <c r="Q1137" s="116">
        <v>61</v>
      </c>
      <c r="R1137">
        <v>10839824</v>
      </c>
    </row>
    <row r="1138" spans="1:18" x14ac:dyDescent="0.25">
      <c r="A1138" s="170">
        <v>43678</v>
      </c>
      <c r="B1138" s="116">
        <v>12.23</v>
      </c>
      <c r="C1138" s="116">
        <v>11.87</v>
      </c>
      <c r="D1138" s="116">
        <v>11.64</v>
      </c>
      <c r="E1138" s="116">
        <v>12.22</v>
      </c>
      <c r="F1138" s="116">
        <v>59.35</v>
      </c>
      <c r="G1138">
        <v>1136084</v>
      </c>
      <c r="H1138" s="116"/>
      <c r="I1138" s="116"/>
      <c r="L1138" s="170">
        <v>43678</v>
      </c>
      <c r="M1138" s="116">
        <v>11.88</v>
      </c>
      <c r="N1138" s="116">
        <v>12.22</v>
      </c>
      <c r="O1138" s="116">
        <v>11.62</v>
      </c>
      <c r="P1138" s="116">
        <v>12.2</v>
      </c>
      <c r="Q1138" s="116">
        <v>59.4</v>
      </c>
      <c r="R1138">
        <v>11153236</v>
      </c>
    </row>
    <row r="1139" spans="1:18" x14ac:dyDescent="0.25">
      <c r="A1139" s="170">
        <v>43679</v>
      </c>
      <c r="B1139" s="116">
        <v>12.7</v>
      </c>
      <c r="C1139" s="116">
        <v>12.29</v>
      </c>
      <c r="D1139" s="116">
        <v>11.67</v>
      </c>
      <c r="E1139" s="116">
        <v>11.78</v>
      </c>
      <c r="F1139" s="116">
        <v>61.45</v>
      </c>
      <c r="G1139">
        <v>2172026</v>
      </c>
      <c r="H1139" s="116"/>
      <c r="I1139" s="116"/>
      <c r="L1139" s="170">
        <v>43679</v>
      </c>
      <c r="M1139" s="116">
        <v>12.29</v>
      </c>
      <c r="N1139" s="116">
        <v>12.7</v>
      </c>
      <c r="O1139" s="116">
        <v>11.67</v>
      </c>
      <c r="P1139" s="116">
        <v>11.87</v>
      </c>
      <c r="Q1139" s="116">
        <v>61.45</v>
      </c>
      <c r="R1139">
        <v>18806303</v>
      </c>
    </row>
    <row r="1140" spans="1:18" x14ac:dyDescent="0.25">
      <c r="A1140" s="170">
        <v>43682</v>
      </c>
      <c r="B1140" s="116">
        <v>12.2</v>
      </c>
      <c r="C1140" s="116">
        <v>11.65</v>
      </c>
      <c r="D1140" s="116">
        <v>11.38</v>
      </c>
      <c r="E1140" s="116">
        <v>12.2</v>
      </c>
      <c r="F1140" s="116">
        <v>58.25</v>
      </c>
      <c r="G1140">
        <v>1787741</v>
      </c>
      <c r="H1140" s="116"/>
      <c r="I1140" s="116"/>
      <c r="L1140" s="170">
        <v>43682</v>
      </c>
      <c r="M1140" s="116">
        <v>11.66</v>
      </c>
      <c r="N1140" s="116">
        <v>12.17</v>
      </c>
      <c r="O1140" s="116">
        <v>11.38</v>
      </c>
      <c r="P1140" s="116">
        <v>12.17</v>
      </c>
      <c r="Q1140" s="116">
        <v>58.3</v>
      </c>
      <c r="R1140">
        <v>18586749</v>
      </c>
    </row>
    <row r="1141" spans="1:18" x14ac:dyDescent="0.25">
      <c r="A1141" s="170">
        <v>43683</v>
      </c>
      <c r="B1141" s="116">
        <v>12.03</v>
      </c>
      <c r="C1141" s="116">
        <v>11.9</v>
      </c>
      <c r="D1141" s="116">
        <v>11.6</v>
      </c>
      <c r="E1141" s="116">
        <v>11.6</v>
      </c>
      <c r="F1141" s="116">
        <v>59.5</v>
      </c>
      <c r="G1141">
        <v>1119511</v>
      </c>
      <c r="H1141" s="116"/>
      <c r="I1141" s="116"/>
      <c r="L1141" s="170">
        <v>43683</v>
      </c>
      <c r="M1141" s="116">
        <v>11.91</v>
      </c>
      <c r="N1141" s="116">
        <v>12.04</v>
      </c>
      <c r="O1141" s="116">
        <v>11.56</v>
      </c>
      <c r="P1141" s="116">
        <v>11.56</v>
      </c>
      <c r="Q1141" s="116">
        <v>59.55</v>
      </c>
      <c r="R1141">
        <v>9394907</v>
      </c>
    </row>
    <row r="1142" spans="1:18" x14ac:dyDescent="0.25">
      <c r="A1142" s="170">
        <v>43684</v>
      </c>
      <c r="B1142" s="116">
        <v>12.4</v>
      </c>
      <c r="C1142" s="116">
        <v>11.85</v>
      </c>
      <c r="D1142" s="116">
        <v>11.69</v>
      </c>
      <c r="E1142" s="116">
        <v>11.9</v>
      </c>
      <c r="F1142" s="116">
        <v>59.25</v>
      </c>
      <c r="G1142">
        <v>1697185</v>
      </c>
      <c r="H1142" s="116"/>
      <c r="I1142" s="116"/>
      <c r="L1142" s="170">
        <v>43684</v>
      </c>
      <c r="M1142" s="116">
        <v>11.88</v>
      </c>
      <c r="N1142" s="116">
        <v>12.4</v>
      </c>
      <c r="O1142" s="116">
        <v>11.68</v>
      </c>
      <c r="P1142" s="116">
        <v>11.94</v>
      </c>
      <c r="Q1142" s="116">
        <v>59.4</v>
      </c>
      <c r="R1142">
        <v>13479811</v>
      </c>
    </row>
    <row r="1143" spans="1:18" x14ac:dyDescent="0.25">
      <c r="A1143" s="170">
        <v>43685</v>
      </c>
      <c r="B1143" s="116">
        <v>12.2</v>
      </c>
      <c r="C1143" s="116">
        <v>11.98</v>
      </c>
      <c r="D1143" s="116">
        <v>11.35</v>
      </c>
      <c r="E1143" s="116">
        <v>12.08</v>
      </c>
      <c r="F1143" s="116">
        <v>59.9</v>
      </c>
      <c r="G1143">
        <v>1792343</v>
      </c>
      <c r="H1143" s="116"/>
      <c r="I1143" s="116"/>
      <c r="L1143" s="170">
        <v>43685</v>
      </c>
      <c r="M1143" s="116">
        <v>12</v>
      </c>
      <c r="N1143" s="116">
        <v>12.19</v>
      </c>
      <c r="O1143" s="116">
        <v>11.31</v>
      </c>
      <c r="P1143" s="116">
        <v>12</v>
      </c>
      <c r="Q1143" s="116">
        <v>60</v>
      </c>
      <c r="R1143">
        <v>15486113</v>
      </c>
    </row>
    <row r="1144" spans="1:18" x14ac:dyDescent="0.25">
      <c r="A1144" s="170">
        <v>43686</v>
      </c>
      <c r="B1144" s="116">
        <v>12.34</v>
      </c>
      <c r="C1144" s="116">
        <v>12.1</v>
      </c>
      <c r="D1144" s="116">
        <v>11.94</v>
      </c>
      <c r="E1144" s="116">
        <v>12</v>
      </c>
      <c r="F1144" s="116">
        <v>60.5</v>
      </c>
      <c r="G1144">
        <v>1184161</v>
      </c>
      <c r="H1144" s="116"/>
      <c r="I1144" s="116"/>
      <c r="L1144" s="170">
        <v>43686</v>
      </c>
      <c r="M1144" s="116">
        <v>12.11</v>
      </c>
      <c r="N1144" s="116">
        <v>12.35</v>
      </c>
      <c r="O1144" s="116">
        <v>11.92</v>
      </c>
      <c r="P1144" s="116">
        <v>12.1</v>
      </c>
      <c r="Q1144" s="116">
        <v>60.55</v>
      </c>
      <c r="R1144">
        <v>9456081</v>
      </c>
    </row>
    <row r="1145" spans="1:18" x14ac:dyDescent="0.25">
      <c r="A1145" s="170">
        <v>43690</v>
      </c>
      <c r="B1145" s="116">
        <v>12.25</v>
      </c>
      <c r="C1145" s="116">
        <v>11.7</v>
      </c>
      <c r="D1145" s="116">
        <v>11.64</v>
      </c>
      <c r="E1145" s="116">
        <v>12.2</v>
      </c>
      <c r="F1145" s="116">
        <v>58.5</v>
      </c>
      <c r="G1145">
        <v>943002</v>
      </c>
      <c r="H1145" s="116"/>
      <c r="I1145" s="116"/>
      <c r="L1145" s="170">
        <v>43690</v>
      </c>
      <c r="M1145" s="116">
        <v>11.7</v>
      </c>
      <c r="N1145" s="116">
        <v>12.26</v>
      </c>
      <c r="O1145" s="116">
        <v>11.63</v>
      </c>
      <c r="P1145" s="116">
        <v>12.1</v>
      </c>
      <c r="Q1145" s="116">
        <v>58.5</v>
      </c>
      <c r="R1145">
        <v>7997922</v>
      </c>
    </row>
    <row r="1146" spans="1:18" x14ac:dyDescent="0.25">
      <c r="A1146" s="170">
        <v>43691</v>
      </c>
      <c r="B1146" s="116">
        <v>11.88</v>
      </c>
      <c r="C1146" s="116">
        <v>11.83</v>
      </c>
      <c r="D1146" s="116">
        <v>11.53</v>
      </c>
      <c r="E1146" s="116">
        <v>11.85</v>
      </c>
      <c r="F1146" s="116">
        <v>59.15</v>
      </c>
      <c r="G1146">
        <v>945027</v>
      </c>
      <c r="H1146" s="116"/>
      <c r="I1146" s="116"/>
      <c r="L1146" s="170">
        <v>43691</v>
      </c>
      <c r="M1146" s="116">
        <v>11.84</v>
      </c>
      <c r="N1146" s="116">
        <v>11.89</v>
      </c>
      <c r="O1146" s="116">
        <v>11.52</v>
      </c>
      <c r="P1146" s="116">
        <v>11.8</v>
      </c>
      <c r="Q1146" s="116">
        <v>59.2</v>
      </c>
      <c r="R1146">
        <v>8253507</v>
      </c>
    </row>
    <row r="1147" spans="1:18" x14ac:dyDescent="0.25">
      <c r="A1147" s="170">
        <v>43693</v>
      </c>
      <c r="B1147" s="116">
        <v>11.92</v>
      </c>
      <c r="C1147" s="116">
        <v>11.87</v>
      </c>
      <c r="D1147" s="116">
        <v>11.61</v>
      </c>
      <c r="E1147" s="116">
        <v>11.78</v>
      </c>
      <c r="F1147" s="116">
        <v>59.35</v>
      </c>
      <c r="G1147">
        <v>751189</v>
      </c>
      <c r="H1147" s="116"/>
      <c r="I1147" s="116"/>
      <c r="L1147" s="170">
        <v>43693</v>
      </c>
      <c r="M1147" s="116">
        <v>11.87</v>
      </c>
      <c r="N1147" s="116">
        <v>11.92</v>
      </c>
      <c r="O1147" s="116">
        <v>11.63</v>
      </c>
      <c r="P1147" s="116">
        <v>11.72</v>
      </c>
      <c r="Q1147" s="116">
        <v>59.35</v>
      </c>
      <c r="R1147">
        <v>5694242</v>
      </c>
    </row>
    <row r="1148" spans="1:18" x14ac:dyDescent="0.25">
      <c r="A1148" s="170">
        <v>43696</v>
      </c>
      <c r="B1148" s="116">
        <v>12.22</v>
      </c>
      <c r="C1148" s="116">
        <v>12.06</v>
      </c>
      <c r="D1148" s="116">
        <v>11.74</v>
      </c>
      <c r="E1148" s="116">
        <v>11.79</v>
      </c>
      <c r="F1148" s="116">
        <v>60.3</v>
      </c>
      <c r="G1148">
        <v>775952</v>
      </c>
      <c r="H1148" s="116"/>
      <c r="I1148" s="116"/>
      <c r="L1148" s="170">
        <v>43696</v>
      </c>
      <c r="M1148" s="116">
        <v>12.06</v>
      </c>
      <c r="N1148" s="116">
        <v>12.22</v>
      </c>
      <c r="O1148" s="116">
        <v>11.73</v>
      </c>
      <c r="P1148" s="116">
        <v>11.76</v>
      </c>
      <c r="Q1148" s="116">
        <v>60.3</v>
      </c>
      <c r="R1148">
        <v>7194834</v>
      </c>
    </row>
    <row r="1149" spans="1:18" x14ac:dyDescent="0.25">
      <c r="A1149" s="170">
        <v>43697</v>
      </c>
      <c r="B1149" s="116">
        <v>12.14</v>
      </c>
      <c r="C1149" s="116">
        <v>11.8</v>
      </c>
      <c r="D1149" s="116">
        <v>11.55</v>
      </c>
      <c r="E1149" s="116">
        <v>12.14</v>
      </c>
      <c r="F1149" s="116">
        <v>59</v>
      </c>
      <c r="G1149">
        <v>860109</v>
      </c>
      <c r="H1149" s="116"/>
      <c r="I1149" s="116"/>
      <c r="L1149" s="170">
        <v>43697</v>
      </c>
      <c r="M1149" s="116">
        <v>11.81</v>
      </c>
      <c r="N1149" s="116">
        <v>12.05</v>
      </c>
      <c r="O1149" s="116">
        <v>11.53</v>
      </c>
      <c r="P1149" s="116">
        <v>12.05</v>
      </c>
      <c r="Q1149" s="116">
        <v>59.05</v>
      </c>
      <c r="R1149">
        <v>8870270</v>
      </c>
    </row>
    <row r="1150" spans="1:18" x14ac:dyDescent="0.25">
      <c r="A1150" s="170">
        <v>43698</v>
      </c>
      <c r="B1150" s="116">
        <v>11.79</v>
      </c>
      <c r="C1150" s="116">
        <v>11.65</v>
      </c>
      <c r="D1150" s="116">
        <v>11.52</v>
      </c>
      <c r="E1150" s="116">
        <v>11.79</v>
      </c>
      <c r="F1150" s="116">
        <v>58.25</v>
      </c>
      <c r="G1150">
        <v>520455</v>
      </c>
      <c r="H1150" s="116"/>
      <c r="I1150" s="116"/>
      <c r="L1150" s="170">
        <v>43698</v>
      </c>
      <c r="M1150" s="116">
        <v>11.65</v>
      </c>
      <c r="N1150" s="116">
        <v>11.78</v>
      </c>
      <c r="O1150" s="116">
        <v>11.51</v>
      </c>
      <c r="P1150" s="116">
        <v>11.65</v>
      </c>
      <c r="Q1150" s="116">
        <v>58.25</v>
      </c>
      <c r="R1150">
        <v>5810634</v>
      </c>
    </row>
    <row r="1151" spans="1:18" x14ac:dyDescent="0.25">
      <c r="A1151" s="170">
        <v>43699</v>
      </c>
      <c r="B1151" s="116">
        <v>11.87</v>
      </c>
      <c r="C1151" s="116">
        <v>11.39</v>
      </c>
      <c r="D1151" s="116">
        <v>11.3</v>
      </c>
      <c r="E1151" s="116">
        <v>11.7</v>
      </c>
      <c r="F1151" s="116">
        <v>56.95</v>
      </c>
      <c r="G1151">
        <v>833763</v>
      </c>
      <c r="H1151" s="116"/>
      <c r="I1151" s="116"/>
      <c r="L1151" s="170">
        <v>43699</v>
      </c>
      <c r="M1151" s="116">
        <v>11.38</v>
      </c>
      <c r="N1151" s="116">
        <v>11.87</v>
      </c>
      <c r="O1151" s="116">
        <v>11.28</v>
      </c>
      <c r="P1151" s="116">
        <v>11.64</v>
      </c>
      <c r="Q1151" s="116">
        <v>56.9</v>
      </c>
      <c r="R1151">
        <v>8491499</v>
      </c>
    </row>
    <row r="1152" spans="1:18" x14ac:dyDescent="0.25">
      <c r="A1152" s="170">
        <v>43700</v>
      </c>
      <c r="B1152" s="116">
        <v>11.82</v>
      </c>
      <c r="C1152" s="116">
        <v>11.71</v>
      </c>
      <c r="D1152" s="116">
        <v>11.03</v>
      </c>
      <c r="E1152" s="116">
        <v>11.29</v>
      </c>
      <c r="F1152" s="116">
        <v>58.55</v>
      </c>
      <c r="G1152">
        <v>1795065</v>
      </c>
      <c r="H1152" s="116"/>
      <c r="I1152" s="116"/>
      <c r="L1152" s="170">
        <v>43700</v>
      </c>
      <c r="M1152" s="116">
        <v>11.72</v>
      </c>
      <c r="N1152" s="116">
        <v>11.84</v>
      </c>
      <c r="O1152" s="116">
        <v>11.03</v>
      </c>
      <c r="P1152" s="116">
        <v>11.4</v>
      </c>
      <c r="Q1152" s="116">
        <v>58.6</v>
      </c>
      <c r="R1152">
        <v>8517451</v>
      </c>
    </row>
    <row r="1153" spans="1:18" x14ac:dyDescent="0.25">
      <c r="A1153" s="170">
        <v>43703</v>
      </c>
      <c r="B1153" s="116">
        <v>12</v>
      </c>
      <c r="C1153" s="116">
        <v>11.83</v>
      </c>
      <c r="D1153" s="116">
        <v>11.34</v>
      </c>
      <c r="E1153" s="116">
        <v>11.76</v>
      </c>
      <c r="F1153" s="116">
        <v>59.15</v>
      </c>
      <c r="G1153">
        <v>1155783</v>
      </c>
      <c r="H1153" s="116"/>
      <c r="I1153" s="116"/>
      <c r="L1153" s="170">
        <v>43703</v>
      </c>
      <c r="M1153" s="116">
        <v>11.83</v>
      </c>
      <c r="N1153" s="116">
        <v>12.02</v>
      </c>
      <c r="O1153" s="116">
        <v>11.31</v>
      </c>
      <c r="P1153" s="116">
        <v>11.85</v>
      </c>
      <c r="Q1153" s="116">
        <v>59.15</v>
      </c>
      <c r="R1153">
        <v>11589064</v>
      </c>
    </row>
    <row r="1154" spans="1:18" x14ac:dyDescent="0.25">
      <c r="A1154" s="170">
        <v>43704</v>
      </c>
      <c r="B1154" s="116">
        <v>12.16</v>
      </c>
      <c r="C1154" s="116">
        <v>11.99</v>
      </c>
      <c r="D1154" s="116">
        <v>11.78</v>
      </c>
      <c r="E1154" s="116">
        <v>11.96</v>
      </c>
      <c r="F1154" s="116">
        <v>59.95</v>
      </c>
      <c r="G1154">
        <v>922667</v>
      </c>
      <c r="H1154" s="116"/>
      <c r="I1154" s="116"/>
      <c r="L1154" s="170">
        <v>43704</v>
      </c>
      <c r="M1154" s="116">
        <v>11.99</v>
      </c>
      <c r="N1154" s="116">
        <v>12.16</v>
      </c>
      <c r="O1154" s="116">
        <v>11.77</v>
      </c>
      <c r="P1154" s="116">
        <v>11.82</v>
      </c>
      <c r="Q1154" s="116">
        <v>59.95</v>
      </c>
      <c r="R1154">
        <v>8855769</v>
      </c>
    </row>
    <row r="1155" spans="1:18" x14ac:dyDescent="0.25">
      <c r="A1155" s="170">
        <v>43705</v>
      </c>
      <c r="B1155" s="116">
        <v>12.05</v>
      </c>
      <c r="C1155" s="116">
        <v>11.85</v>
      </c>
      <c r="D1155" s="116">
        <v>11.61</v>
      </c>
      <c r="E1155" s="116">
        <v>11.85</v>
      </c>
      <c r="F1155" s="116">
        <v>59.25</v>
      </c>
      <c r="G1155">
        <v>961161</v>
      </c>
      <c r="H1155" s="116"/>
      <c r="I1155" s="116"/>
      <c r="L1155" s="170">
        <v>43705</v>
      </c>
      <c r="M1155" s="116">
        <v>11.85</v>
      </c>
      <c r="N1155" s="116">
        <v>12.04</v>
      </c>
      <c r="O1155" s="116">
        <v>11.6</v>
      </c>
      <c r="P1155" s="116">
        <v>11.95</v>
      </c>
      <c r="Q1155" s="116">
        <v>59.25</v>
      </c>
      <c r="R1155">
        <v>7236667</v>
      </c>
    </row>
    <row r="1156" spans="1:18" x14ac:dyDescent="0.25">
      <c r="A1156" s="170">
        <v>43706</v>
      </c>
      <c r="B1156" s="116">
        <v>11.92</v>
      </c>
      <c r="C1156" s="116">
        <v>11.47</v>
      </c>
      <c r="D1156" s="116">
        <v>11.22</v>
      </c>
      <c r="E1156" s="116">
        <v>11.83</v>
      </c>
      <c r="F1156" s="116">
        <v>57.35</v>
      </c>
      <c r="G1156">
        <v>586761</v>
      </c>
      <c r="H1156" s="116"/>
      <c r="I1156" s="116"/>
      <c r="L1156" s="170">
        <v>43706</v>
      </c>
      <c r="M1156" s="116">
        <v>11.47</v>
      </c>
      <c r="N1156" s="116">
        <v>11.93</v>
      </c>
      <c r="O1156" s="116">
        <v>11.22</v>
      </c>
      <c r="P1156" s="116">
        <v>11.8</v>
      </c>
      <c r="Q1156" s="116">
        <v>57.35</v>
      </c>
      <c r="R1156">
        <v>7711499</v>
      </c>
    </row>
    <row r="1157" spans="1:18" x14ac:dyDescent="0.25">
      <c r="A1157" s="170">
        <v>43707</v>
      </c>
      <c r="B1157" s="116">
        <v>11.84</v>
      </c>
      <c r="C1157" s="116">
        <v>11.68</v>
      </c>
      <c r="D1157" s="116">
        <v>11.45</v>
      </c>
      <c r="E1157" s="116">
        <v>11.53</v>
      </c>
      <c r="F1157" s="116">
        <v>58.4</v>
      </c>
      <c r="G1157">
        <v>971436</v>
      </c>
      <c r="H1157" s="116"/>
      <c r="I1157" s="116"/>
      <c r="L1157" s="170">
        <v>43707</v>
      </c>
      <c r="M1157" s="116">
        <v>11.68</v>
      </c>
      <c r="N1157" s="116">
        <v>11.85</v>
      </c>
      <c r="O1157" s="116">
        <v>11.44</v>
      </c>
      <c r="P1157" s="116">
        <v>11.52</v>
      </c>
      <c r="Q1157" s="116">
        <v>58.4</v>
      </c>
      <c r="R1157">
        <v>7908205</v>
      </c>
    </row>
    <row r="1158" spans="1:18" x14ac:dyDescent="0.25">
      <c r="A1158" s="170">
        <v>43711</v>
      </c>
      <c r="B1158" s="116">
        <v>11.74</v>
      </c>
      <c r="C1158" s="116">
        <v>11.48</v>
      </c>
      <c r="D1158" s="116">
        <v>11.42</v>
      </c>
      <c r="E1158" s="116">
        <v>11.63</v>
      </c>
      <c r="F1158" s="116">
        <v>57.4</v>
      </c>
      <c r="G1158">
        <v>665157</v>
      </c>
      <c r="H1158" s="116"/>
      <c r="I1158" s="116"/>
      <c r="L1158" s="170">
        <v>43711</v>
      </c>
      <c r="M1158" s="116">
        <v>11.48</v>
      </c>
      <c r="N1158" s="116">
        <v>11.77</v>
      </c>
      <c r="O1158" s="116">
        <v>11.43</v>
      </c>
      <c r="P1158" s="116">
        <v>11.53</v>
      </c>
      <c r="Q1158" s="116">
        <v>57.4</v>
      </c>
      <c r="R1158">
        <v>7461344</v>
      </c>
    </row>
    <row r="1159" spans="1:18" x14ac:dyDescent="0.25">
      <c r="A1159" s="170">
        <v>43712</v>
      </c>
      <c r="B1159" s="116">
        <v>11.54</v>
      </c>
      <c r="C1159" s="116">
        <v>11.32</v>
      </c>
      <c r="D1159" s="116">
        <v>11.14</v>
      </c>
      <c r="E1159" s="116">
        <v>11.54</v>
      </c>
      <c r="F1159" s="116">
        <v>56.6</v>
      </c>
      <c r="G1159">
        <v>690180</v>
      </c>
      <c r="H1159" s="116"/>
      <c r="I1159" s="116"/>
      <c r="L1159" s="170">
        <v>43712</v>
      </c>
      <c r="M1159" s="116">
        <v>11.33</v>
      </c>
      <c r="N1159" s="116">
        <v>11.55</v>
      </c>
      <c r="O1159" s="116">
        <v>11.14</v>
      </c>
      <c r="P1159" s="116">
        <v>11.48</v>
      </c>
      <c r="Q1159" s="116">
        <v>56.65</v>
      </c>
      <c r="R1159">
        <v>8412811</v>
      </c>
    </row>
    <row r="1160" spans="1:18" x14ac:dyDescent="0.25">
      <c r="A1160" s="170">
        <v>43713</v>
      </c>
      <c r="B1160" s="116">
        <v>11.53</v>
      </c>
      <c r="C1160" s="116">
        <v>11.42</v>
      </c>
      <c r="D1160" s="116">
        <v>11.3</v>
      </c>
      <c r="E1160" s="116">
        <v>11.4</v>
      </c>
      <c r="F1160" s="116">
        <v>57.1</v>
      </c>
      <c r="G1160">
        <v>758447</v>
      </c>
      <c r="H1160" s="116"/>
      <c r="I1160" s="116"/>
      <c r="L1160" s="170">
        <v>43713</v>
      </c>
      <c r="M1160" s="116">
        <v>11.43</v>
      </c>
      <c r="N1160" s="116">
        <v>11.53</v>
      </c>
      <c r="O1160" s="116">
        <v>11.3</v>
      </c>
      <c r="P1160" s="116">
        <v>11.37</v>
      </c>
      <c r="Q1160" s="116">
        <v>57.15</v>
      </c>
      <c r="R1160">
        <v>5652967</v>
      </c>
    </row>
    <row r="1161" spans="1:18" x14ac:dyDescent="0.25">
      <c r="A1161" s="170">
        <v>43714</v>
      </c>
      <c r="B1161" s="116">
        <v>11.86</v>
      </c>
      <c r="C1161" s="116">
        <v>11.67</v>
      </c>
      <c r="D1161" s="116">
        <v>11.49</v>
      </c>
      <c r="E1161" s="116">
        <v>11.6</v>
      </c>
      <c r="F1161" s="116">
        <v>58.35</v>
      </c>
      <c r="G1161">
        <v>798631</v>
      </c>
      <c r="H1161" s="116"/>
      <c r="I1161" s="116"/>
      <c r="L1161" s="170">
        <v>43714</v>
      </c>
      <c r="M1161" s="116">
        <v>11.67</v>
      </c>
      <c r="N1161" s="116">
        <v>11.86</v>
      </c>
      <c r="O1161" s="116">
        <v>11.49</v>
      </c>
      <c r="P1161" s="116">
        <v>11.52</v>
      </c>
      <c r="Q1161" s="116">
        <v>58.35</v>
      </c>
      <c r="R1161">
        <v>8465988</v>
      </c>
    </row>
    <row r="1162" spans="1:18" x14ac:dyDescent="0.25">
      <c r="A1162" s="170">
        <v>43717</v>
      </c>
      <c r="B1162" s="116">
        <v>12.12</v>
      </c>
      <c r="C1162" s="116">
        <v>12.02</v>
      </c>
      <c r="D1162" s="116">
        <v>11.64</v>
      </c>
      <c r="E1162" s="116">
        <v>11.66</v>
      </c>
      <c r="F1162" s="116">
        <v>60.1</v>
      </c>
      <c r="G1162">
        <v>1274270</v>
      </c>
      <c r="H1162" s="116"/>
      <c r="I1162" s="116"/>
      <c r="L1162" s="170">
        <v>43717</v>
      </c>
      <c r="M1162" s="116">
        <v>12.03</v>
      </c>
      <c r="N1162" s="116">
        <v>12.14</v>
      </c>
      <c r="O1162" s="116">
        <v>11.66</v>
      </c>
      <c r="P1162" s="116">
        <v>11.69</v>
      </c>
      <c r="Q1162" s="116">
        <v>60.15</v>
      </c>
      <c r="R1162">
        <v>7763407</v>
      </c>
    </row>
    <row r="1163" spans="1:18" x14ac:dyDescent="0.25">
      <c r="A1163" s="170">
        <v>43719</v>
      </c>
      <c r="B1163" s="116">
        <v>12.88</v>
      </c>
      <c r="C1163" s="116">
        <v>12.73</v>
      </c>
      <c r="D1163" s="116">
        <v>12.07</v>
      </c>
      <c r="E1163" s="116">
        <v>12.07</v>
      </c>
      <c r="F1163" s="116">
        <v>63.65</v>
      </c>
      <c r="G1163">
        <v>1410049</v>
      </c>
      <c r="H1163" s="116"/>
      <c r="I1163" s="116"/>
      <c r="L1163" s="170">
        <v>43719</v>
      </c>
      <c r="M1163" s="116">
        <v>12.75</v>
      </c>
      <c r="N1163" s="116">
        <v>12.9</v>
      </c>
      <c r="O1163" s="116">
        <v>12.11</v>
      </c>
      <c r="P1163" s="116">
        <v>12.12</v>
      </c>
      <c r="Q1163" s="116">
        <v>63.75</v>
      </c>
      <c r="R1163">
        <v>15589815</v>
      </c>
    </row>
    <row r="1164" spans="1:18" x14ac:dyDescent="0.25">
      <c r="A1164" s="170">
        <v>43720</v>
      </c>
      <c r="B1164" s="116">
        <v>13.04</v>
      </c>
      <c r="C1164" s="116">
        <v>12.76</v>
      </c>
      <c r="D1164" s="116">
        <v>12.62</v>
      </c>
      <c r="E1164" s="116">
        <v>12.88</v>
      </c>
      <c r="F1164" s="116">
        <v>63.8</v>
      </c>
      <c r="G1164">
        <v>1419172</v>
      </c>
      <c r="H1164" s="116"/>
      <c r="I1164" s="116"/>
      <c r="L1164" s="170">
        <v>43720</v>
      </c>
      <c r="M1164" s="116">
        <v>12.76</v>
      </c>
      <c r="N1164" s="116">
        <v>13.04</v>
      </c>
      <c r="O1164" s="116">
        <v>12.6</v>
      </c>
      <c r="P1164" s="116">
        <v>12.89</v>
      </c>
      <c r="Q1164" s="116">
        <v>63.8</v>
      </c>
      <c r="R1164">
        <v>11940537</v>
      </c>
    </row>
    <row r="1165" spans="1:18" x14ac:dyDescent="0.25">
      <c r="A1165" s="170">
        <v>43721</v>
      </c>
      <c r="B1165" s="116">
        <v>13</v>
      </c>
      <c r="C1165" s="116">
        <v>12.92</v>
      </c>
      <c r="D1165" s="116">
        <v>12.45</v>
      </c>
      <c r="E1165" s="116">
        <v>12.76</v>
      </c>
      <c r="F1165" s="116">
        <v>64.599999999999994</v>
      </c>
      <c r="G1165">
        <v>1096090</v>
      </c>
      <c r="H1165" s="116"/>
      <c r="I1165" s="116"/>
      <c r="L1165" s="170">
        <v>43721</v>
      </c>
      <c r="M1165" s="116">
        <v>12.92</v>
      </c>
      <c r="N1165" s="116">
        <v>13.03</v>
      </c>
      <c r="O1165" s="116">
        <v>12.44</v>
      </c>
      <c r="P1165" s="116">
        <v>12.72</v>
      </c>
      <c r="Q1165" s="116">
        <v>64.599999999999994</v>
      </c>
      <c r="R1165">
        <v>9349038</v>
      </c>
    </row>
    <row r="1166" spans="1:18" x14ac:dyDescent="0.25">
      <c r="A1166" s="170">
        <v>43724</v>
      </c>
      <c r="B1166" s="116">
        <v>13.12</v>
      </c>
      <c r="C1166" s="116">
        <v>12.95</v>
      </c>
      <c r="D1166" s="116">
        <v>12.75</v>
      </c>
      <c r="E1166" s="116">
        <v>12.82</v>
      </c>
      <c r="F1166" s="116">
        <v>64.75</v>
      </c>
      <c r="G1166">
        <v>1136900</v>
      </c>
      <c r="H1166" s="116"/>
      <c r="I1166" s="116"/>
      <c r="L1166" s="170">
        <v>43724</v>
      </c>
      <c r="M1166" s="116">
        <v>12.94</v>
      </c>
      <c r="N1166" s="116">
        <v>13.13</v>
      </c>
      <c r="O1166" s="116">
        <v>12.76</v>
      </c>
      <c r="P1166" s="116">
        <v>12.82</v>
      </c>
      <c r="Q1166" s="116">
        <v>64.7</v>
      </c>
      <c r="R1166">
        <v>10353566</v>
      </c>
    </row>
    <row r="1167" spans="1:18" x14ac:dyDescent="0.25">
      <c r="A1167" s="170">
        <v>43725</v>
      </c>
      <c r="B1167" s="116">
        <v>13.07</v>
      </c>
      <c r="C1167" s="116">
        <v>12.76</v>
      </c>
      <c r="D1167" s="116">
        <v>12.71</v>
      </c>
      <c r="E1167" s="116">
        <v>12.94</v>
      </c>
      <c r="F1167" s="116">
        <v>63.8</v>
      </c>
      <c r="G1167">
        <v>1009973</v>
      </c>
      <c r="H1167" s="116"/>
      <c r="I1167" s="116"/>
      <c r="L1167" s="170">
        <v>43725</v>
      </c>
      <c r="M1167" s="116">
        <v>12.76</v>
      </c>
      <c r="N1167" s="116">
        <v>13.08</v>
      </c>
      <c r="O1167" s="116">
        <v>12.71</v>
      </c>
      <c r="P1167" s="116">
        <v>13.04</v>
      </c>
      <c r="Q1167" s="116">
        <v>63.8</v>
      </c>
      <c r="R1167">
        <v>9802730</v>
      </c>
    </row>
    <row r="1168" spans="1:18" x14ac:dyDescent="0.25">
      <c r="A1168" s="170">
        <v>43726</v>
      </c>
      <c r="B1168" s="116">
        <v>13</v>
      </c>
      <c r="C1168" s="116">
        <v>12.84</v>
      </c>
      <c r="D1168" s="116">
        <v>12.56</v>
      </c>
      <c r="E1168" s="116">
        <v>12.89</v>
      </c>
      <c r="F1168" s="116">
        <v>64.2</v>
      </c>
      <c r="G1168">
        <v>978103</v>
      </c>
      <c r="H1168" s="116"/>
      <c r="I1168" s="116"/>
      <c r="L1168" s="170">
        <v>43726</v>
      </c>
      <c r="M1168" s="116">
        <v>12.85</v>
      </c>
      <c r="N1168" s="116">
        <v>12.99</v>
      </c>
      <c r="O1168" s="116">
        <v>12.59</v>
      </c>
      <c r="P1168" s="116">
        <v>12.88</v>
      </c>
      <c r="Q1168" s="116">
        <v>64.25</v>
      </c>
      <c r="R1168">
        <v>9861516</v>
      </c>
    </row>
    <row r="1169" spans="1:18" x14ac:dyDescent="0.25">
      <c r="A1169" s="170">
        <v>43727</v>
      </c>
      <c r="B1169" s="116">
        <v>12.89</v>
      </c>
      <c r="C1169" s="116">
        <v>12.37</v>
      </c>
      <c r="D1169" s="116">
        <v>12.18</v>
      </c>
      <c r="E1169" s="116">
        <v>12.89</v>
      </c>
      <c r="F1169" s="116">
        <v>61.85</v>
      </c>
      <c r="G1169">
        <v>756742</v>
      </c>
      <c r="H1169" s="116"/>
      <c r="I1169" s="116"/>
      <c r="L1169" s="170">
        <v>43727</v>
      </c>
      <c r="M1169" s="116">
        <v>12.38</v>
      </c>
      <c r="N1169" s="116">
        <v>12.85</v>
      </c>
      <c r="O1169" s="116">
        <v>12.18</v>
      </c>
      <c r="P1169" s="116">
        <v>12.84</v>
      </c>
      <c r="Q1169" s="116">
        <v>61.9</v>
      </c>
      <c r="R1169">
        <v>10058270</v>
      </c>
    </row>
    <row r="1170" spans="1:18" x14ac:dyDescent="0.25">
      <c r="A1170" s="170">
        <v>43728</v>
      </c>
      <c r="B1170" s="116">
        <v>13.1</v>
      </c>
      <c r="C1170" s="116">
        <v>12.77</v>
      </c>
      <c r="D1170" s="116">
        <v>12.26</v>
      </c>
      <c r="E1170" s="116">
        <v>12.42</v>
      </c>
      <c r="F1170" s="116">
        <v>63.85</v>
      </c>
      <c r="G1170">
        <v>1716211</v>
      </c>
      <c r="H1170" s="116"/>
      <c r="I1170" s="116"/>
      <c r="L1170" s="170">
        <v>43728</v>
      </c>
      <c r="M1170" s="116">
        <v>12.77</v>
      </c>
      <c r="N1170" s="116">
        <v>13.1</v>
      </c>
      <c r="O1170" s="116">
        <v>12.25</v>
      </c>
      <c r="P1170" s="116">
        <v>12.42</v>
      </c>
      <c r="Q1170" s="116">
        <v>63.85</v>
      </c>
      <c r="R1170">
        <v>16758487</v>
      </c>
    </row>
    <row r="1171" spans="1:18" x14ac:dyDescent="0.25">
      <c r="A1171" s="170">
        <v>43731</v>
      </c>
      <c r="B1171" s="116">
        <v>13.3</v>
      </c>
      <c r="C1171" s="116">
        <v>13.17</v>
      </c>
      <c r="D1171" s="116">
        <v>12.71</v>
      </c>
      <c r="E1171" s="116">
        <v>12.88</v>
      </c>
      <c r="F1171" s="116">
        <v>65.849999999999994</v>
      </c>
      <c r="G1171">
        <v>3415693</v>
      </c>
      <c r="H1171" s="116"/>
      <c r="I1171" s="116"/>
      <c r="L1171" s="170">
        <v>43731</v>
      </c>
      <c r="M1171" s="116">
        <v>13.18</v>
      </c>
      <c r="N1171" s="116">
        <v>13.26</v>
      </c>
      <c r="O1171" s="116">
        <v>12.7</v>
      </c>
      <c r="P1171" s="116">
        <v>12.82</v>
      </c>
      <c r="Q1171" s="116">
        <v>65.900000000000006</v>
      </c>
      <c r="R1171">
        <v>17329812</v>
      </c>
    </row>
    <row r="1172" spans="1:18" x14ac:dyDescent="0.25">
      <c r="A1172" s="170">
        <v>43732</v>
      </c>
      <c r="B1172" s="116">
        <v>13.63</v>
      </c>
      <c r="C1172" s="116">
        <v>13.54</v>
      </c>
      <c r="D1172" s="116">
        <v>13.15</v>
      </c>
      <c r="E1172" s="116">
        <v>13.2</v>
      </c>
      <c r="F1172" s="116">
        <v>67.7</v>
      </c>
      <c r="G1172">
        <v>2102758</v>
      </c>
      <c r="H1172" s="116"/>
      <c r="I1172" s="116"/>
      <c r="L1172" s="170">
        <v>43732</v>
      </c>
      <c r="M1172" s="116">
        <v>13.52</v>
      </c>
      <c r="N1172" s="116">
        <v>13.64</v>
      </c>
      <c r="O1172" s="116">
        <v>13.14</v>
      </c>
      <c r="P1172" s="116">
        <v>13.28</v>
      </c>
      <c r="Q1172" s="116">
        <v>67.599999999999994</v>
      </c>
      <c r="R1172">
        <v>20451509</v>
      </c>
    </row>
    <row r="1173" spans="1:18" x14ac:dyDescent="0.25">
      <c r="A1173" s="170">
        <v>43733</v>
      </c>
      <c r="B1173" s="116">
        <v>13.97</v>
      </c>
      <c r="C1173" s="116">
        <v>13.68</v>
      </c>
      <c r="D1173" s="116">
        <v>13.38</v>
      </c>
      <c r="E1173" s="116">
        <v>13.5</v>
      </c>
      <c r="F1173" s="116">
        <v>68.400000000000006</v>
      </c>
      <c r="G1173">
        <v>3004044</v>
      </c>
      <c r="H1173" s="116"/>
      <c r="I1173" s="116"/>
      <c r="L1173" s="170">
        <v>43733</v>
      </c>
      <c r="M1173" s="116">
        <v>13.69</v>
      </c>
      <c r="N1173" s="116">
        <v>13.98</v>
      </c>
      <c r="O1173" s="116">
        <v>13.37</v>
      </c>
      <c r="P1173" s="116">
        <v>13.51</v>
      </c>
      <c r="Q1173" s="116">
        <v>68.45</v>
      </c>
      <c r="R1173">
        <v>27753848</v>
      </c>
    </row>
    <row r="1174" spans="1:18" x14ac:dyDescent="0.25">
      <c r="A1174" s="170">
        <v>43734</v>
      </c>
      <c r="B1174" s="116">
        <v>13.8</v>
      </c>
      <c r="C1174" s="116">
        <v>13.65</v>
      </c>
      <c r="D1174" s="116">
        <v>13.44</v>
      </c>
      <c r="E1174" s="116">
        <v>13.68</v>
      </c>
      <c r="F1174" s="116">
        <v>68.25</v>
      </c>
      <c r="G1174">
        <v>1307279</v>
      </c>
      <c r="H1174" s="116"/>
      <c r="I1174" s="116"/>
      <c r="L1174" s="170">
        <v>43734</v>
      </c>
      <c r="M1174" s="116">
        <v>13.65</v>
      </c>
      <c r="N1174" s="116">
        <v>13.79</v>
      </c>
      <c r="O1174" s="116">
        <v>13.43</v>
      </c>
      <c r="P1174" s="116">
        <v>13.68</v>
      </c>
      <c r="Q1174" s="116">
        <v>68.25</v>
      </c>
      <c r="R1174">
        <v>13262226</v>
      </c>
    </row>
    <row r="1175" spans="1:18" x14ac:dyDescent="0.25">
      <c r="A1175" s="170">
        <v>43735</v>
      </c>
      <c r="B1175" s="116">
        <v>13.81</v>
      </c>
      <c r="C1175" s="116">
        <v>13.39</v>
      </c>
      <c r="D1175" s="116">
        <v>13.34</v>
      </c>
      <c r="E1175" s="116">
        <v>13.7</v>
      </c>
      <c r="F1175" s="116">
        <v>66.95</v>
      </c>
      <c r="G1175">
        <v>1068942</v>
      </c>
      <c r="H1175" s="116"/>
      <c r="I1175" s="116"/>
      <c r="L1175" s="170">
        <v>43735</v>
      </c>
      <c r="M1175" s="116">
        <v>13.4</v>
      </c>
      <c r="N1175" s="116">
        <v>13.8</v>
      </c>
      <c r="O1175" s="116">
        <v>13.33</v>
      </c>
      <c r="P1175" s="116">
        <v>13.68</v>
      </c>
      <c r="Q1175" s="116">
        <v>67</v>
      </c>
      <c r="R1175">
        <v>8629367</v>
      </c>
    </row>
    <row r="1176" spans="1:18" x14ac:dyDescent="0.25">
      <c r="A1176" s="170">
        <v>43738</v>
      </c>
      <c r="B1176" s="116">
        <v>13.47</v>
      </c>
      <c r="C1176" s="116">
        <v>12.86</v>
      </c>
      <c r="D1176" s="116">
        <v>12.67</v>
      </c>
      <c r="E1176" s="116">
        <v>13.47</v>
      </c>
      <c r="F1176" s="116">
        <v>64.3</v>
      </c>
      <c r="G1176">
        <v>1058516</v>
      </c>
      <c r="H1176" s="116"/>
      <c r="I1176" s="116"/>
      <c r="L1176" s="170">
        <v>43738</v>
      </c>
      <c r="M1176" s="116">
        <v>12.86</v>
      </c>
      <c r="N1176" s="116">
        <v>13.39</v>
      </c>
      <c r="O1176" s="116">
        <v>12.68</v>
      </c>
      <c r="P1176" s="116">
        <v>13.39</v>
      </c>
      <c r="Q1176" s="116">
        <v>64.3</v>
      </c>
      <c r="R1176">
        <v>11603051</v>
      </c>
    </row>
    <row r="1177" spans="1:18" x14ac:dyDescent="0.25">
      <c r="A1177" s="170">
        <v>43739</v>
      </c>
      <c r="B1177" s="116">
        <v>13.04</v>
      </c>
      <c r="C1177" s="116">
        <v>12.36</v>
      </c>
      <c r="D1177" s="116">
        <v>12.07</v>
      </c>
      <c r="E1177" s="116">
        <v>12.98</v>
      </c>
      <c r="F1177" s="116">
        <v>61.8</v>
      </c>
      <c r="G1177">
        <v>1109337</v>
      </c>
      <c r="H1177" s="116"/>
      <c r="I1177" s="116"/>
      <c r="L1177" s="170">
        <v>43739</v>
      </c>
      <c r="M1177" s="116">
        <v>12.35</v>
      </c>
      <c r="N1177" s="116">
        <v>13.05</v>
      </c>
      <c r="O1177" s="116">
        <v>12.05</v>
      </c>
      <c r="P1177" s="116">
        <v>12.96</v>
      </c>
      <c r="Q1177" s="116">
        <v>61.75</v>
      </c>
      <c r="R1177">
        <v>9945041</v>
      </c>
    </row>
    <row r="1178" spans="1:18" x14ac:dyDescent="0.25">
      <c r="A1178" s="170">
        <v>43741</v>
      </c>
      <c r="B1178" s="116">
        <v>12.41</v>
      </c>
      <c r="C1178" s="116">
        <v>12.24</v>
      </c>
      <c r="D1178" s="116">
        <v>12.13</v>
      </c>
      <c r="E1178" s="116">
        <v>12.3</v>
      </c>
      <c r="F1178" s="116">
        <v>61.2</v>
      </c>
      <c r="G1178">
        <v>1029066</v>
      </c>
      <c r="H1178" s="116"/>
      <c r="I1178" s="116"/>
      <c r="L1178" s="170">
        <v>43741</v>
      </c>
      <c r="M1178" s="116">
        <v>12.26</v>
      </c>
      <c r="N1178" s="116">
        <v>12.42</v>
      </c>
      <c r="O1178" s="116">
        <v>12.12</v>
      </c>
      <c r="P1178" s="116">
        <v>12.32</v>
      </c>
      <c r="Q1178" s="116">
        <v>61.3</v>
      </c>
      <c r="R1178">
        <v>7901384</v>
      </c>
    </row>
    <row r="1179" spans="1:18" x14ac:dyDescent="0.25">
      <c r="A1179" s="170">
        <v>43742</v>
      </c>
      <c r="B1179" s="116">
        <v>12.39</v>
      </c>
      <c r="C1179" s="116">
        <v>12.03</v>
      </c>
      <c r="D1179" s="116">
        <v>11.92</v>
      </c>
      <c r="E1179" s="116">
        <v>12.35</v>
      </c>
      <c r="F1179" s="116">
        <v>60.15</v>
      </c>
      <c r="G1179">
        <v>1409265</v>
      </c>
      <c r="H1179" s="116"/>
      <c r="I1179" s="116"/>
      <c r="L1179" s="170">
        <v>43742</v>
      </c>
      <c r="M1179" s="116">
        <v>12.02</v>
      </c>
      <c r="N1179" s="116">
        <v>12.37</v>
      </c>
      <c r="O1179" s="116">
        <v>11.9</v>
      </c>
      <c r="P1179" s="116">
        <v>12.35</v>
      </c>
      <c r="Q1179" s="116">
        <v>60.1</v>
      </c>
      <c r="R1179">
        <v>9635437</v>
      </c>
    </row>
    <row r="1180" spans="1:18" x14ac:dyDescent="0.25">
      <c r="A1180" s="170">
        <v>43745</v>
      </c>
      <c r="B1180" s="116">
        <v>12.02</v>
      </c>
      <c r="C1180" s="116">
        <v>11.87</v>
      </c>
      <c r="D1180" s="116">
        <v>11.78</v>
      </c>
      <c r="E1180" s="116">
        <v>11.94</v>
      </c>
      <c r="F1180" s="116">
        <v>59.35</v>
      </c>
      <c r="G1180">
        <v>759841</v>
      </c>
      <c r="H1180" s="116"/>
      <c r="I1180" s="116"/>
      <c r="L1180" s="170">
        <v>43745</v>
      </c>
      <c r="M1180" s="116">
        <v>11.86</v>
      </c>
      <c r="N1180" s="116">
        <v>12.04</v>
      </c>
      <c r="O1180" s="116">
        <v>11.77</v>
      </c>
      <c r="P1180" s="116">
        <v>11.92</v>
      </c>
      <c r="Q1180" s="116">
        <v>59.3</v>
      </c>
      <c r="R1180">
        <v>6695582</v>
      </c>
    </row>
    <row r="1181" spans="1:18" x14ac:dyDescent="0.25">
      <c r="A1181" s="170">
        <v>43747</v>
      </c>
      <c r="B1181" s="116">
        <v>12.22</v>
      </c>
      <c r="C1181" s="116">
        <v>12.15</v>
      </c>
      <c r="D1181" s="116">
        <v>11.68</v>
      </c>
      <c r="E1181" s="116">
        <v>11.98</v>
      </c>
      <c r="F1181" s="116">
        <v>60.75</v>
      </c>
      <c r="G1181">
        <v>1063127</v>
      </c>
      <c r="H1181" s="116"/>
      <c r="I1181" s="116"/>
      <c r="L1181" s="170">
        <v>43747</v>
      </c>
      <c r="M1181" s="116">
        <v>12.15</v>
      </c>
      <c r="N1181" s="116">
        <v>12.22</v>
      </c>
      <c r="O1181" s="116">
        <v>11.68</v>
      </c>
      <c r="P1181" s="116">
        <v>11.84</v>
      </c>
      <c r="Q1181" s="116">
        <v>60.75</v>
      </c>
      <c r="R1181">
        <v>9589622</v>
      </c>
    </row>
    <row r="1182" spans="1:18" x14ac:dyDescent="0.25">
      <c r="A1182" s="170">
        <v>43748</v>
      </c>
      <c r="B1182" s="116">
        <v>12.63</v>
      </c>
      <c r="C1182" s="116">
        <v>12.52</v>
      </c>
      <c r="D1182" s="116">
        <v>11.8</v>
      </c>
      <c r="E1182" s="116">
        <v>12.19</v>
      </c>
      <c r="F1182" s="116">
        <v>62.6</v>
      </c>
      <c r="G1182">
        <v>1781957</v>
      </c>
      <c r="H1182" s="116"/>
      <c r="I1182" s="116"/>
      <c r="L1182" s="170">
        <v>43748</v>
      </c>
      <c r="M1182" s="116">
        <v>12.5</v>
      </c>
      <c r="N1182" s="116">
        <v>12.62</v>
      </c>
      <c r="O1182" s="116">
        <v>11.78</v>
      </c>
      <c r="P1182" s="116">
        <v>12.16</v>
      </c>
      <c r="Q1182" s="116">
        <v>62.5</v>
      </c>
      <c r="R1182">
        <v>17192619</v>
      </c>
    </row>
    <row r="1183" spans="1:18" x14ac:dyDescent="0.25">
      <c r="A1183" s="170">
        <v>43749</v>
      </c>
      <c r="B1183" s="116">
        <v>12.8</v>
      </c>
      <c r="C1183" s="116">
        <v>12.49</v>
      </c>
      <c r="D1183" s="116">
        <v>12.37</v>
      </c>
      <c r="E1183" s="116">
        <v>12.8</v>
      </c>
      <c r="F1183" s="116">
        <v>62.45</v>
      </c>
      <c r="G1183">
        <v>825290</v>
      </c>
      <c r="H1183" s="116"/>
      <c r="I1183" s="116"/>
      <c r="L1183" s="170">
        <v>43749</v>
      </c>
      <c r="M1183" s="116">
        <v>12.49</v>
      </c>
      <c r="N1183" s="116">
        <v>12.63</v>
      </c>
      <c r="O1183" s="116">
        <v>12.36</v>
      </c>
      <c r="P1183" s="116">
        <v>12.54</v>
      </c>
      <c r="Q1183" s="116">
        <v>62.45</v>
      </c>
      <c r="R1183">
        <v>11196547</v>
      </c>
    </row>
    <row r="1184" spans="1:18" x14ac:dyDescent="0.25">
      <c r="A1184" s="170">
        <v>43752</v>
      </c>
      <c r="B1184" s="116">
        <v>12.74</v>
      </c>
      <c r="C1184" s="116">
        <v>12.45</v>
      </c>
      <c r="D1184" s="116">
        <v>12.4</v>
      </c>
      <c r="E1184" s="116">
        <v>12.59</v>
      </c>
      <c r="F1184" s="116">
        <v>62.25</v>
      </c>
      <c r="G1184">
        <v>789363</v>
      </c>
      <c r="H1184" s="116"/>
      <c r="I1184" s="116"/>
      <c r="L1184" s="170">
        <v>43752</v>
      </c>
      <c r="M1184" s="116">
        <v>12.46</v>
      </c>
      <c r="N1184" s="116">
        <v>12.75</v>
      </c>
      <c r="O1184" s="116">
        <v>12.41</v>
      </c>
      <c r="P1184" s="116">
        <v>12.52</v>
      </c>
      <c r="Q1184" s="116">
        <v>62.3</v>
      </c>
      <c r="R1184">
        <v>7633987</v>
      </c>
    </row>
    <row r="1185" spans="1:18" x14ac:dyDescent="0.25">
      <c r="A1185" s="170">
        <v>43753</v>
      </c>
      <c r="B1185" s="116">
        <v>12.49</v>
      </c>
      <c r="C1185" s="116">
        <v>12.38</v>
      </c>
      <c r="D1185" s="116">
        <v>12.19</v>
      </c>
      <c r="E1185" s="116">
        <v>12.49</v>
      </c>
      <c r="F1185" s="116">
        <v>61.9</v>
      </c>
      <c r="G1185">
        <v>643343</v>
      </c>
      <c r="H1185" s="116"/>
      <c r="I1185" s="116"/>
      <c r="L1185" s="170">
        <v>43753</v>
      </c>
      <c r="M1185" s="116">
        <v>12.38</v>
      </c>
      <c r="N1185" s="116">
        <v>12.47</v>
      </c>
      <c r="O1185" s="116">
        <v>12.2</v>
      </c>
      <c r="P1185" s="116">
        <v>12.43</v>
      </c>
      <c r="Q1185" s="116">
        <v>61.9</v>
      </c>
      <c r="R1185">
        <v>6691019</v>
      </c>
    </row>
    <row r="1186" spans="1:18" x14ac:dyDescent="0.25">
      <c r="A1186" s="170">
        <v>43754</v>
      </c>
      <c r="B1186" s="116">
        <v>12.42</v>
      </c>
      <c r="C1186" s="116">
        <v>12.23</v>
      </c>
      <c r="D1186" s="116">
        <v>12.12</v>
      </c>
      <c r="E1186" s="116">
        <v>12.34</v>
      </c>
      <c r="F1186" s="116">
        <v>61.15</v>
      </c>
      <c r="G1186">
        <v>429615</v>
      </c>
      <c r="H1186" s="116"/>
      <c r="I1186" s="116"/>
      <c r="L1186" s="170">
        <v>43754</v>
      </c>
      <c r="M1186" s="116">
        <v>12.23</v>
      </c>
      <c r="N1186" s="116">
        <v>12.42</v>
      </c>
      <c r="O1186" s="116">
        <v>12.11</v>
      </c>
      <c r="P1186" s="116">
        <v>12.38</v>
      </c>
      <c r="Q1186" s="116">
        <v>61.15</v>
      </c>
      <c r="R1186">
        <v>4421121</v>
      </c>
    </row>
    <row r="1187" spans="1:18" x14ac:dyDescent="0.25">
      <c r="A1187" s="170">
        <v>43755</v>
      </c>
      <c r="B1187" s="116">
        <v>12.52</v>
      </c>
      <c r="C1187" s="116">
        <v>12.45</v>
      </c>
      <c r="D1187" s="116">
        <v>12.14</v>
      </c>
      <c r="E1187" s="116">
        <v>12.22</v>
      </c>
      <c r="F1187" s="116">
        <v>62.25</v>
      </c>
      <c r="G1187">
        <v>617340</v>
      </c>
      <c r="H1187" s="116"/>
      <c r="I1187" s="116"/>
      <c r="L1187" s="170">
        <v>43755</v>
      </c>
      <c r="M1187" s="116">
        <v>12.45</v>
      </c>
      <c r="N1187" s="116">
        <v>12.52</v>
      </c>
      <c r="O1187" s="116">
        <v>12.15</v>
      </c>
      <c r="P1187" s="116">
        <v>12.24</v>
      </c>
      <c r="Q1187" s="116">
        <v>62.25</v>
      </c>
      <c r="R1187">
        <v>4935055</v>
      </c>
    </row>
    <row r="1188" spans="1:18" x14ac:dyDescent="0.25">
      <c r="A1188" s="170">
        <v>43756</v>
      </c>
      <c r="B1188" s="116">
        <v>13.13</v>
      </c>
      <c r="C1188" s="116">
        <v>12.82</v>
      </c>
      <c r="D1188" s="116">
        <v>12.48</v>
      </c>
      <c r="E1188" s="116">
        <v>12.6</v>
      </c>
      <c r="F1188" s="116">
        <v>64.099999999999994</v>
      </c>
      <c r="G1188">
        <v>1435332</v>
      </c>
      <c r="H1188" s="116"/>
      <c r="I1188" s="116"/>
      <c r="L1188" s="170">
        <v>43756</v>
      </c>
      <c r="M1188" s="116">
        <v>12.83</v>
      </c>
      <c r="N1188" s="116">
        <v>13.12</v>
      </c>
      <c r="O1188" s="116">
        <v>12.45</v>
      </c>
      <c r="P1188" s="116">
        <v>12.51</v>
      </c>
      <c r="Q1188" s="116">
        <v>64.150000000000006</v>
      </c>
      <c r="R1188">
        <v>13108241</v>
      </c>
    </row>
    <row r="1189" spans="1:18" x14ac:dyDescent="0.25">
      <c r="A1189" s="170">
        <v>43760</v>
      </c>
      <c r="B1189" s="116">
        <v>13.02</v>
      </c>
      <c r="C1189" s="116">
        <v>12.65</v>
      </c>
      <c r="D1189" s="116">
        <v>12.59</v>
      </c>
      <c r="E1189" s="116">
        <v>12.86</v>
      </c>
      <c r="F1189" s="116">
        <v>63.25</v>
      </c>
      <c r="G1189">
        <v>647787</v>
      </c>
      <c r="H1189" s="116"/>
      <c r="I1189" s="116"/>
      <c r="L1189" s="170">
        <v>43760</v>
      </c>
      <c r="M1189" s="116">
        <v>12.65</v>
      </c>
      <c r="N1189" s="116">
        <v>13.01</v>
      </c>
      <c r="O1189" s="116">
        <v>12.59</v>
      </c>
      <c r="P1189" s="116">
        <v>12.8</v>
      </c>
      <c r="Q1189" s="116">
        <v>63.25</v>
      </c>
      <c r="R1189">
        <v>6883425</v>
      </c>
    </row>
    <row r="1190" spans="1:18" x14ac:dyDescent="0.25">
      <c r="A1190" s="170">
        <v>43761</v>
      </c>
      <c r="B1190" s="116">
        <v>12.72</v>
      </c>
      <c r="C1190" s="116">
        <v>12.5</v>
      </c>
      <c r="D1190" s="116">
        <v>12.36</v>
      </c>
      <c r="E1190" s="116">
        <v>12.61</v>
      </c>
      <c r="F1190" s="116">
        <v>62.5</v>
      </c>
      <c r="G1190">
        <v>483414</v>
      </c>
      <c r="H1190" s="116"/>
      <c r="I1190" s="116"/>
      <c r="L1190" s="170">
        <v>43761</v>
      </c>
      <c r="M1190" s="116">
        <v>12.51</v>
      </c>
      <c r="N1190" s="116">
        <v>12.74</v>
      </c>
      <c r="O1190" s="116">
        <v>12.36</v>
      </c>
      <c r="P1190" s="116">
        <v>12.65</v>
      </c>
      <c r="Q1190" s="116">
        <v>62.55</v>
      </c>
      <c r="R1190">
        <v>5230738</v>
      </c>
    </row>
    <row r="1191" spans="1:18" x14ac:dyDescent="0.25">
      <c r="A1191" s="170">
        <v>43762</v>
      </c>
      <c r="B1191" s="116">
        <v>12.9</v>
      </c>
      <c r="C1191" s="116">
        <v>12.68</v>
      </c>
      <c r="D1191" s="116">
        <v>12.48</v>
      </c>
      <c r="E1191" s="116">
        <v>12.49</v>
      </c>
      <c r="F1191" s="116">
        <v>63.4</v>
      </c>
      <c r="G1191">
        <v>608325</v>
      </c>
      <c r="H1191" s="116"/>
      <c r="I1191" s="116"/>
      <c r="L1191" s="170">
        <v>43762</v>
      </c>
      <c r="M1191" s="116">
        <v>12.69</v>
      </c>
      <c r="N1191" s="116">
        <v>12.91</v>
      </c>
      <c r="O1191" s="116">
        <v>12.45</v>
      </c>
      <c r="P1191" s="116">
        <v>12.48</v>
      </c>
      <c r="Q1191" s="116">
        <v>63.45</v>
      </c>
      <c r="R1191">
        <v>9146255</v>
      </c>
    </row>
    <row r="1192" spans="1:18" x14ac:dyDescent="0.25">
      <c r="A1192" s="170">
        <v>43763</v>
      </c>
      <c r="B1192" s="116">
        <v>13</v>
      </c>
      <c r="C1192" s="116">
        <v>12.83</v>
      </c>
      <c r="D1192" s="116">
        <v>12.65</v>
      </c>
      <c r="E1192" s="116">
        <v>12.8</v>
      </c>
      <c r="F1192" s="116">
        <v>64.150000000000006</v>
      </c>
      <c r="G1192">
        <v>542284</v>
      </c>
      <c r="H1192" s="116"/>
      <c r="I1192" s="116"/>
      <c r="L1192" s="170">
        <v>43763</v>
      </c>
      <c r="M1192" s="116">
        <v>12.84</v>
      </c>
      <c r="N1192" s="116">
        <v>13</v>
      </c>
      <c r="O1192" s="116">
        <v>12.63</v>
      </c>
      <c r="P1192" s="116">
        <v>12.7</v>
      </c>
      <c r="Q1192" s="116">
        <v>64.2</v>
      </c>
      <c r="R1192">
        <v>6767043</v>
      </c>
    </row>
    <row r="1193" spans="1:18" x14ac:dyDescent="0.25">
      <c r="A1193" s="170">
        <v>43765</v>
      </c>
      <c r="B1193" s="116">
        <v>12.99</v>
      </c>
      <c r="C1193" s="116">
        <v>12.9</v>
      </c>
      <c r="D1193" s="116">
        <v>12.86</v>
      </c>
      <c r="E1193" s="116">
        <v>12.92</v>
      </c>
      <c r="F1193" s="116">
        <v>64.5</v>
      </c>
      <c r="G1193">
        <v>55561</v>
      </c>
      <c r="H1193" s="116"/>
      <c r="I1193" s="116"/>
      <c r="L1193" s="170">
        <v>43765</v>
      </c>
      <c r="M1193" s="116">
        <v>12.9</v>
      </c>
      <c r="N1193" s="116">
        <v>13</v>
      </c>
      <c r="O1193" s="116">
        <v>12.86</v>
      </c>
      <c r="P1193" s="116">
        <v>12.87</v>
      </c>
      <c r="Q1193" s="116">
        <v>64.5</v>
      </c>
      <c r="R1193">
        <v>708471</v>
      </c>
    </row>
    <row r="1194" spans="1:18" x14ac:dyDescent="0.25">
      <c r="A1194" s="170">
        <v>43767</v>
      </c>
      <c r="B1194" s="116">
        <v>13.42</v>
      </c>
      <c r="C1194" s="116">
        <v>13.25</v>
      </c>
      <c r="D1194" s="116">
        <v>12.84</v>
      </c>
      <c r="E1194" s="116">
        <v>12.98</v>
      </c>
      <c r="F1194" s="116">
        <v>66.25</v>
      </c>
      <c r="G1194">
        <v>938713</v>
      </c>
      <c r="H1194" s="116"/>
      <c r="I1194" s="116"/>
      <c r="L1194" s="170">
        <v>43767</v>
      </c>
      <c r="M1194" s="116">
        <v>13.25</v>
      </c>
      <c r="N1194" s="116">
        <v>13.42</v>
      </c>
      <c r="O1194" s="116">
        <v>12.84</v>
      </c>
      <c r="P1194" s="116">
        <v>12.88</v>
      </c>
      <c r="Q1194" s="116">
        <v>66.25</v>
      </c>
      <c r="R1194">
        <v>9957744</v>
      </c>
    </row>
    <row r="1195" spans="1:18" x14ac:dyDescent="0.25">
      <c r="A1195" s="170">
        <v>43768</v>
      </c>
      <c r="B1195" s="116">
        <v>13.4</v>
      </c>
      <c r="C1195" s="116">
        <v>13.2</v>
      </c>
      <c r="D1195" s="116">
        <v>13.12</v>
      </c>
      <c r="E1195" s="116">
        <v>13.4</v>
      </c>
      <c r="F1195" s="116">
        <v>66</v>
      </c>
      <c r="G1195">
        <v>396732</v>
      </c>
      <c r="H1195" s="116"/>
      <c r="I1195" s="116"/>
      <c r="L1195" s="170">
        <v>43768</v>
      </c>
      <c r="M1195" s="116">
        <v>13.21</v>
      </c>
      <c r="N1195" s="116">
        <v>13.33</v>
      </c>
      <c r="O1195" s="116">
        <v>13.1</v>
      </c>
      <c r="P1195" s="116">
        <v>13.25</v>
      </c>
      <c r="Q1195" s="116">
        <v>66.05</v>
      </c>
      <c r="R1195">
        <v>4433796</v>
      </c>
    </row>
    <row r="1196" spans="1:18" x14ac:dyDescent="0.25">
      <c r="A1196" s="170">
        <v>43769</v>
      </c>
      <c r="B1196" s="116">
        <v>13.55</v>
      </c>
      <c r="C1196" s="116">
        <v>13.22</v>
      </c>
      <c r="D1196" s="116">
        <v>13.12</v>
      </c>
      <c r="E1196" s="116">
        <v>13.24</v>
      </c>
      <c r="F1196" s="116">
        <v>66.099999999999994</v>
      </c>
      <c r="G1196">
        <v>481744</v>
      </c>
      <c r="H1196" s="116"/>
      <c r="I1196" s="116"/>
      <c r="L1196" s="170">
        <v>43769</v>
      </c>
      <c r="M1196" s="116">
        <v>13.21</v>
      </c>
      <c r="N1196" s="116">
        <v>13.56</v>
      </c>
      <c r="O1196" s="116">
        <v>13.16</v>
      </c>
      <c r="P1196" s="116">
        <v>13.22</v>
      </c>
      <c r="Q1196" s="116">
        <v>66.05</v>
      </c>
      <c r="R1196">
        <v>7022328</v>
      </c>
    </row>
    <row r="1197" spans="1:18" x14ac:dyDescent="0.25">
      <c r="A1197" s="170">
        <v>43770</v>
      </c>
      <c r="B1197" s="116">
        <v>13.7</v>
      </c>
      <c r="C1197" s="116">
        <v>13.57</v>
      </c>
      <c r="D1197" s="116">
        <v>13.13</v>
      </c>
      <c r="E1197" s="116">
        <v>13.26</v>
      </c>
      <c r="F1197" s="116">
        <v>67.849999999999994</v>
      </c>
      <c r="G1197">
        <v>1458652</v>
      </c>
      <c r="H1197" s="116"/>
      <c r="I1197" s="116"/>
      <c r="L1197" s="170">
        <v>43770</v>
      </c>
      <c r="M1197" s="116">
        <v>13.58</v>
      </c>
      <c r="N1197" s="116">
        <v>13.71</v>
      </c>
      <c r="O1197" s="116">
        <v>13.12</v>
      </c>
      <c r="P1197" s="116">
        <v>13.22</v>
      </c>
      <c r="Q1197" s="116">
        <v>67.900000000000006</v>
      </c>
      <c r="R1197">
        <v>9822268</v>
      </c>
    </row>
    <row r="1198" spans="1:18" x14ac:dyDescent="0.25">
      <c r="A1198" s="170">
        <v>43773</v>
      </c>
      <c r="B1198" s="116">
        <v>14.75</v>
      </c>
      <c r="C1198" s="116">
        <v>14.31</v>
      </c>
      <c r="D1198" s="116">
        <v>13.64</v>
      </c>
      <c r="E1198" s="116">
        <v>13.66</v>
      </c>
      <c r="F1198" s="116">
        <v>71.55</v>
      </c>
      <c r="G1198">
        <v>2128821</v>
      </c>
      <c r="H1198" s="116"/>
      <c r="I1198" s="116"/>
      <c r="L1198" s="170">
        <v>43773</v>
      </c>
      <c r="M1198" s="116">
        <v>14.32</v>
      </c>
      <c r="N1198" s="116">
        <v>14.76</v>
      </c>
      <c r="O1198" s="116">
        <v>13.63</v>
      </c>
      <c r="P1198" s="116">
        <v>13.63</v>
      </c>
      <c r="Q1198" s="116">
        <v>71.599999999999994</v>
      </c>
      <c r="R1198">
        <v>32691051</v>
      </c>
    </row>
    <row r="1199" spans="1:18" x14ac:dyDescent="0.25">
      <c r="A1199" s="170">
        <v>43774</v>
      </c>
      <c r="B1199" s="116">
        <v>14.48</v>
      </c>
      <c r="C1199" s="116">
        <v>13.99</v>
      </c>
      <c r="D1199" s="116">
        <v>13.87</v>
      </c>
      <c r="E1199" s="116">
        <v>14.37</v>
      </c>
      <c r="F1199" s="116">
        <v>69.95</v>
      </c>
      <c r="G1199">
        <v>745579</v>
      </c>
      <c r="H1199" s="116"/>
      <c r="I1199" s="116"/>
      <c r="L1199" s="170">
        <v>43774</v>
      </c>
      <c r="M1199" s="116">
        <v>13.98</v>
      </c>
      <c r="N1199" s="116">
        <v>14.49</v>
      </c>
      <c r="O1199" s="116">
        <v>13.87</v>
      </c>
      <c r="P1199" s="116">
        <v>14.32</v>
      </c>
      <c r="Q1199" s="116">
        <v>69.900000000000006</v>
      </c>
      <c r="R1199">
        <v>9665951</v>
      </c>
    </row>
    <row r="1200" spans="1:18" x14ac:dyDescent="0.25">
      <c r="A1200" s="170">
        <v>43775</v>
      </c>
      <c r="B1200" s="116">
        <v>14.42</v>
      </c>
      <c r="C1200" s="116">
        <v>14.22</v>
      </c>
      <c r="D1200" s="116">
        <v>13.72</v>
      </c>
      <c r="E1200" s="116">
        <v>13.98</v>
      </c>
      <c r="F1200" s="116">
        <v>71.099999999999994</v>
      </c>
      <c r="G1200">
        <v>1244875</v>
      </c>
      <c r="H1200" s="116"/>
      <c r="I1200" s="116"/>
      <c r="L1200" s="170">
        <v>43775</v>
      </c>
      <c r="M1200" s="116">
        <v>14.22</v>
      </c>
      <c r="N1200" s="116">
        <v>14.43</v>
      </c>
      <c r="O1200" s="116">
        <v>13.7</v>
      </c>
      <c r="P1200" s="116">
        <v>13.93</v>
      </c>
      <c r="Q1200" s="116">
        <v>71.099999999999994</v>
      </c>
      <c r="R1200">
        <v>12612507</v>
      </c>
    </row>
    <row r="1201" spans="1:18" x14ac:dyDescent="0.25">
      <c r="A1201" s="170">
        <v>43776</v>
      </c>
      <c r="B1201" s="116">
        <v>14.3</v>
      </c>
      <c r="C1201" s="116">
        <v>14.11</v>
      </c>
      <c r="D1201" s="116">
        <v>14.05</v>
      </c>
      <c r="E1201" s="116">
        <v>14.25</v>
      </c>
      <c r="F1201" s="116">
        <v>70.55</v>
      </c>
      <c r="G1201">
        <v>487138</v>
      </c>
      <c r="H1201" s="116"/>
      <c r="I1201" s="116"/>
      <c r="L1201" s="170">
        <v>43776</v>
      </c>
      <c r="M1201" s="116">
        <v>14.11</v>
      </c>
      <c r="N1201" s="116">
        <v>14.3</v>
      </c>
      <c r="O1201" s="116">
        <v>14.05</v>
      </c>
      <c r="P1201" s="116">
        <v>14.26</v>
      </c>
      <c r="Q1201" s="116">
        <v>70.55</v>
      </c>
      <c r="R1201">
        <v>5564428</v>
      </c>
    </row>
    <row r="1202" spans="1:18" x14ac:dyDescent="0.25">
      <c r="A1202" s="170">
        <v>43777</v>
      </c>
      <c r="B1202" s="116">
        <v>14.42</v>
      </c>
      <c r="C1202" s="116">
        <v>13.75</v>
      </c>
      <c r="D1202" s="116">
        <v>13.66</v>
      </c>
      <c r="E1202" s="116">
        <v>14.09</v>
      </c>
      <c r="F1202" s="116">
        <v>68.75</v>
      </c>
      <c r="G1202">
        <v>939872</v>
      </c>
      <c r="H1202" s="116"/>
      <c r="I1202" s="116"/>
      <c r="L1202" s="170">
        <v>43777</v>
      </c>
      <c r="M1202" s="116">
        <v>13.74</v>
      </c>
      <c r="N1202" s="116">
        <v>14.42</v>
      </c>
      <c r="O1202" s="116">
        <v>13.66</v>
      </c>
      <c r="P1202" s="116">
        <v>14.06</v>
      </c>
      <c r="Q1202" s="116">
        <v>68.7</v>
      </c>
      <c r="R1202">
        <v>8559882</v>
      </c>
    </row>
    <row r="1203" spans="1:18" x14ac:dyDescent="0.25">
      <c r="A1203" s="170">
        <v>43780</v>
      </c>
      <c r="B1203" s="116">
        <v>13.75</v>
      </c>
      <c r="C1203" s="116">
        <v>13.46</v>
      </c>
      <c r="D1203" s="116">
        <v>13.34</v>
      </c>
      <c r="E1203" s="116">
        <v>13.75</v>
      </c>
      <c r="F1203" s="116">
        <v>67.3</v>
      </c>
      <c r="G1203">
        <v>668309</v>
      </c>
      <c r="H1203" s="116"/>
      <c r="I1203" s="116"/>
      <c r="L1203" s="170">
        <v>43780</v>
      </c>
      <c r="M1203" s="116">
        <v>13.46</v>
      </c>
      <c r="N1203" s="116">
        <v>13.7</v>
      </c>
      <c r="O1203" s="116">
        <v>13.32</v>
      </c>
      <c r="P1203" s="116">
        <v>13.69</v>
      </c>
      <c r="Q1203" s="116">
        <v>67.3</v>
      </c>
      <c r="R1203">
        <v>7633861</v>
      </c>
    </row>
    <row r="1204" spans="1:18" x14ac:dyDescent="0.25">
      <c r="A1204" s="170">
        <v>43782</v>
      </c>
      <c r="B1204" s="116">
        <v>13.5</v>
      </c>
      <c r="C1204" s="116">
        <v>12.67</v>
      </c>
      <c r="D1204" s="116">
        <v>12.46</v>
      </c>
      <c r="E1204" s="116">
        <v>13.5</v>
      </c>
      <c r="F1204" s="116">
        <v>63.35</v>
      </c>
      <c r="G1204">
        <v>1665777</v>
      </c>
      <c r="H1204" s="116"/>
      <c r="I1204" s="116"/>
      <c r="L1204" s="170">
        <v>43782</v>
      </c>
      <c r="M1204" s="116">
        <v>12.67</v>
      </c>
      <c r="N1204" s="116">
        <v>13.5</v>
      </c>
      <c r="O1204" s="116">
        <v>12.44</v>
      </c>
      <c r="P1204" s="116">
        <v>13.45</v>
      </c>
      <c r="Q1204" s="116">
        <v>63.35</v>
      </c>
      <c r="R1204">
        <v>25061819</v>
      </c>
    </row>
    <row r="1205" spans="1:18" x14ac:dyDescent="0.25">
      <c r="A1205" s="170">
        <v>43783</v>
      </c>
      <c r="B1205" s="116">
        <v>12.65</v>
      </c>
      <c r="C1205" s="116">
        <v>12.36</v>
      </c>
      <c r="D1205" s="116">
        <v>11.97</v>
      </c>
      <c r="E1205" s="116">
        <v>12.37</v>
      </c>
      <c r="F1205" s="116">
        <v>61.8</v>
      </c>
      <c r="G1205">
        <v>1847493</v>
      </c>
      <c r="H1205" s="116"/>
      <c r="I1205" s="116"/>
      <c r="L1205" s="170">
        <v>43783</v>
      </c>
      <c r="M1205" s="116">
        <v>12.36</v>
      </c>
      <c r="N1205" s="116">
        <v>12.66</v>
      </c>
      <c r="O1205" s="116">
        <v>11.96</v>
      </c>
      <c r="P1205" s="116">
        <v>12.4</v>
      </c>
      <c r="Q1205" s="116">
        <v>61.8</v>
      </c>
      <c r="R1205">
        <v>22541888</v>
      </c>
    </row>
    <row r="1206" spans="1:18" x14ac:dyDescent="0.25">
      <c r="A1206" s="170">
        <v>43784</v>
      </c>
      <c r="B1206" s="116">
        <v>12.47</v>
      </c>
      <c r="C1206" s="116">
        <v>12.17</v>
      </c>
      <c r="D1206" s="116">
        <v>12.09</v>
      </c>
      <c r="E1206" s="116">
        <v>12.32</v>
      </c>
      <c r="F1206" s="116">
        <v>60.85</v>
      </c>
      <c r="G1206">
        <v>727039</v>
      </c>
      <c r="H1206" s="116"/>
      <c r="I1206" s="116"/>
      <c r="L1206" s="170">
        <v>43784</v>
      </c>
      <c r="M1206" s="116">
        <v>12.17</v>
      </c>
      <c r="N1206" s="116">
        <v>12.46</v>
      </c>
      <c r="O1206" s="116">
        <v>12.1</v>
      </c>
      <c r="P1206" s="116">
        <v>12.32</v>
      </c>
      <c r="Q1206" s="116">
        <v>60.85</v>
      </c>
      <c r="R1206">
        <v>7044754</v>
      </c>
    </row>
    <row r="1207" spans="1:18" x14ac:dyDescent="0.25">
      <c r="A1207" s="170">
        <v>43787</v>
      </c>
      <c r="B1207" s="116">
        <v>12.32</v>
      </c>
      <c r="C1207" s="116">
        <v>11.96</v>
      </c>
      <c r="D1207" s="116">
        <v>11.9</v>
      </c>
      <c r="E1207" s="116">
        <v>12.14</v>
      </c>
      <c r="F1207" s="116">
        <v>59.8</v>
      </c>
      <c r="G1207">
        <v>586965</v>
      </c>
      <c r="H1207" s="116"/>
      <c r="I1207" s="116"/>
      <c r="L1207" s="170">
        <v>43787</v>
      </c>
      <c r="M1207" s="116">
        <v>11.97</v>
      </c>
      <c r="N1207" s="116">
        <v>12.33</v>
      </c>
      <c r="O1207" s="116">
        <v>11.9</v>
      </c>
      <c r="P1207" s="116">
        <v>12.2</v>
      </c>
      <c r="Q1207" s="116">
        <v>59.85</v>
      </c>
      <c r="R1207">
        <v>7928200</v>
      </c>
    </row>
    <row r="1208" spans="1:18" x14ac:dyDescent="0.25">
      <c r="A1208" s="170">
        <v>43788</v>
      </c>
      <c r="B1208" s="116">
        <v>12.2</v>
      </c>
      <c r="C1208" s="116">
        <v>12.05</v>
      </c>
      <c r="D1208" s="116">
        <v>11.83</v>
      </c>
      <c r="E1208" s="116">
        <v>11.94</v>
      </c>
      <c r="F1208" s="116">
        <v>60.25</v>
      </c>
      <c r="G1208">
        <v>616727</v>
      </c>
      <c r="H1208" s="116"/>
      <c r="I1208" s="116"/>
      <c r="L1208" s="170">
        <v>43788</v>
      </c>
      <c r="M1208" s="116">
        <v>12.05</v>
      </c>
      <c r="N1208" s="116">
        <v>12.2</v>
      </c>
      <c r="O1208" s="116">
        <v>11.83</v>
      </c>
      <c r="P1208" s="116">
        <v>11.97</v>
      </c>
      <c r="Q1208" s="116">
        <v>60.25</v>
      </c>
      <c r="R1208">
        <v>6159411</v>
      </c>
    </row>
    <row r="1209" spans="1:18" x14ac:dyDescent="0.25">
      <c r="A1209" s="170">
        <v>43789</v>
      </c>
      <c r="B1209" s="116">
        <v>12.29</v>
      </c>
      <c r="C1209" s="116">
        <v>12.06</v>
      </c>
      <c r="D1209" s="116">
        <v>11.87</v>
      </c>
      <c r="E1209" s="116">
        <v>12.04</v>
      </c>
      <c r="F1209" s="116">
        <v>60.3</v>
      </c>
      <c r="G1209">
        <v>944627</v>
      </c>
      <c r="H1209" s="116"/>
      <c r="I1209" s="116"/>
      <c r="L1209" s="170">
        <v>43789</v>
      </c>
      <c r="M1209" s="116">
        <v>12.07</v>
      </c>
      <c r="N1209" s="116">
        <v>12.29</v>
      </c>
      <c r="O1209" s="116">
        <v>11.86</v>
      </c>
      <c r="P1209" s="116">
        <v>12.06</v>
      </c>
      <c r="Q1209" s="116">
        <v>60.35</v>
      </c>
      <c r="R1209">
        <v>9165116</v>
      </c>
    </row>
    <row r="1210" spans="1:18" x14ac:dyDescent="0.25">
      <c r="A1210" s="170">
        <v>43790</v>
      </c>
      <c r="B1210" s="116">
        <v>12.68</v>
      </c>
      <c r="C1210" s="116">
        <v>12.3</v>
      </c>
      <c r="D1210" s="116">
        <v>12.01</v>
      </c>
      <c r="E1210" s="116">
        <v>12.18</v>
      </c>
      <c r="F1210" s="116">
        <v>61.5</v>
      </c>
      <c r="G1210">
        <v>2353453</v>
      </c>
      <c r="H1210" s="116"/>
      <c r="I1210" s="116"/>
      <c r="L1210" s="170">
        <v>43790</v>
      </c>
      <c r="M1210" s="116">
        <v>12.3</v>
      </c>
      <c r="N1210" s="116">
        <v>12.68</v>
      </c>
      <c r="O1210" s="116">
        <v>12</v>
      </c>
      <c r="P1210" s="116">
        <v>12.08</v>
      </c>
      <c r="Q1210" s="116">
        <v>61.5</v>
      </c>
      <c r="R1210">
        <v>14897583</v>
      </c>
    </row>
    <row r="1211" spans="1:18" x14ac:dyDescent="0.25">
      <c r="A1211" s="170">
        <v>43791</v>
      </c>
      <c r="B1211" s="116">
        <v>12.47</v>
      </c>
      <c r="C1211" s="116">
        <v>12.1</v>
      </c>
      <c r="D1211" s="116">
        <v>11.96</v>
      </c>
      <c r="E1211" s="116">
        <v>12.37</v>
      </c>
      <c r="F1211" s="116">
        <v>60.5</v>
      </c>
      <c r="G1211">
        <v>712358</v>
      </c>
      <c r="H1211" s="116"/>
      <c r="I1211" s="116"/>
      <c r="L1211" s="170">
        <v>43791</v>
      </c>
      <c r="M1211" s="116">
        <v>12.1</v>
      </c>
      <c r="N1211" s="116">
        <v>12.46</v>
      </c>
      <c r="O1211" s="116">
        <v>11.94</v>
      </c>
      <c r="P1211" s="116">
        <v>12.34</v>
      </c>
      <c r="Q1211" s="116">
        <v>60.5</v>
      </c>
      <c r="R1211">
        <v>8690224</v>
      </c>
    </row>
    <row r="1212" spans="1:18" x14ac:dyDescent="0.25">
      <c r="A1212" s="170">
        <v>43794</v>
      </c>
      <c r="B1212" s="116">
        <v>12.56</v>
      </c>
      <c r="C1212" s="116">
        <v>12.48</v>
      </c>
      <c r="D1212" s="116">
        <v>12.08</v>
      </c>
      <c r="E1212" s="116">
        <v>12.18</v>
      </c>
      <c r="F1212" s="116">
        <v>62.4</v>
      </c>
      <c r="G1212">
        <v>807817</v>
      </c>
      <c r="H1212" s="116"/>
      <c r="I1212" s="116"/>
      <c r="L1212" s="170">
        <v>43794</v>
      </c>
      <c r="M1212" s="116">
        <v>12.48</v>
      </c>
      <c r="N1212" s="116">
        <v>12.56</v>
      </c>
      <c r="O1212" s="116">
        <v>12.05</v>
      </c>
      <c r="P1212" s="116">
        <v>12.1</v>
      </c>
      <c r="Q1212" s="116">
        <v>62.4</v>
      </c>
      <c r="R1212">
        <v>8246971</v>
      </c>
    </row>
    <row r="1213" spans="1:18" x14ac:dyDescent="0.25">
      <c r="A1213" s="170">
        <v>43795</v>
      </c>
      <c r="B1213" s="116">
        <v>12.74</v>
      </c>
      <c r="C1213" s="116">
        <v>12.36</v>
      </c>
      <c r="D1213" s="116">
        <v>12.28</v>
      </c>
      <c r="E1213" s="116">
        <v>12.54</v>
      </c>
      <c r="F1213" s="116">
        <v>61.8</v>
      </c>
      <c r="G1213">
        <v>792843</v>
      </c>
      <c r="H1213" s="116"/>
      <c r="I1213" s="116"/>
      <c r="L1213" s="170">
        <v>43795</v>
      </c>
      <c r="M1213" s="116">
        <v>12.37</v>
      </c>
      <c r="N1213" s="116">
        <v>12.74</v>
      </c>
      <c r="O1213" s="116">
        <v>12.27</v>
      </c>
      <c r="P1213" s="116">
        <v>12.56</v>
      </c>
      <c r="Q1213" s="116">
        <v>61.85</v>
      </c>
      <c r="R1213">
        <v>10876439</v>
      </c>
    </row>
    <row r="1214" spans="1:18" x14ac:dyDescent="0.25">
      <c r="A1214" s="170">
        <v>43796</v>
      </c>
      <c r="B1214" s="116">
        <v>12.46</v>
      </c>
      <c r="C1214" s="116">
        <v>12.34</v>
      </c>
      <c r="D1214" s="116">
        <v>12.2</v>
      </c>
      <c r="E1214" s="116">
        <v>12.36</v>
      </c>
      <c r="F1214" s="116">
        <v>61.7</v>
      </c>
      <c r="G1214">
        <v>460992</v>
      </c>
      <c r="H1214" s="116"/>
      <c r="I1214" s="116"/>
      <c r="L1214" s="170">
        <v>43796</v>
      </c>
      <c r="M1214" s="116">
        <v>12.34</v>
      </c>
      <c r="N1214" s="116">
        <v>12.47</v>
      </c>
      <c r="O1214" s="116">
        <v>12.2</v>
      </c>
      <c r="P1214" s="116">
        <v>12.3</v>
      </c>
      <c r="Q1214" s="116">
        <v>61.7</v>
      </c>
      <c r="R1214">
        <v>4946721</v>
      </c>
    </row>
    <row r="1215" spans="1:18" x14ac:dyDescent="0.25">
      <c r="A1215" s="170">
        <v>43797</v>
      </c>
      <c r="B1215" s="116">
        <v>12.49</v>
      </c>
      <c r="C1215" s="116">
        <v>12.31</v>
      </c>
      <c r="D1215" s="116">
        <v>12.26</v>
      </c>
      <c r="E1215" s="116">
        <v>12.34</v>
      </c>
      <c r="F1215" s="116">
        <v>61.55</v>
      </c>
      <c r="G1215">
        <v>651997</v>
      </c>
      <c r="H1215" s="116"/>
      <c r="I1215" s="116"/>
      <c r="L1215" s="170">
        <v>43797</v>
      </c>
      <c r="M1215" s="116">
        <v>12.31</v>
      </c>
      <c r="N1215" s="116">
        <v>12.49</v>
      </c>
      <c r="O1215" s="116">
        <v>12.26</v>
      </c>
      <c r="P1215" s="116">
        <v>12.4</v>
      </c>
      <c r="Q1215" s="116">
        <v>61.55</v>
      </c>
      <c r="R1215">
        <v>5416336</v>
      </c>
    </row>
    <row r="1216" spans="1:18" x14ac:dyDescent="0.25">
      <c r="A1216" s="170">
        <v>43798</v>
      </c>
      <c r="B1216" s="116">
        <v>13.32</v>
      </c>
      <c r="C1216" s="116">
        <v>12.72</v>
      </c>
      <c r="D1216" s="116">
        <v>12.32</v>
      </c>
      <c r="E1216" s="116">
        <v>12.39</v>
      </c>
      <c r="F1216" s="116">
        <v>63.6</v>
      </c>
      <c r="G1216">
        <v>2504754</v>
      </c>
      <c r="H1216" s="116"/>
      <c r="I1216" s="116"/>
      <c r="L1216" s="170">
        <v>43798</v>
      </c>
      <c r="M1216" s="116">
        <v>12.72</v>
      </c>
      <c r="N1216" s="116">
        <v>13.33</v>
      </c>
      <c r="O1216" s="116">
        <v>12.3</v>
      </c>
      <c r="P1216" s="116">
        <v>12.32</v>
      </c>
      <c r="Q1216" s="116">
        <v>63.6</v>
      </c>
      <c r="R1216">
        <v>20190214</v>
      </c>
    </row>
    <row r="1217" spans="1:18" x14ac:dyDescent="0.25">
      <c r="A1217" s="170">
        <v>43801</v>
      </c>
      <c r="B1217" s="116">
        <v>12.84</v>
      </c>
      <c r="C1217" s="116">
        <v>12.46</v>
      </c>
      <c r="D1217" s="116">
        <v>12.41</v>
      </c>
      <c r="E1217" s="116">
        <v>12.79</v>
      </c>
      <c r="F1217" s="116">
        <v>62.3</v>
      </c>
      <c r="G1217">
        <v>723222</v>
      </c>
      <c r="H1217" s="116"/>
      <c r="I1217" s="116"/>
      <c r="L1217" s="170">
        <v>43801</v>
      </c>
      <c r="M1217" s="116">
        <v>12.46</v>
      </c>
      <c r="N1217" s="116">
        <v>12.84</v>
      </c>
      <c r="O1217" s="116">
        <v>12.4</v>
      </c>
      <c r="P1217" s="116">
        <v>12.79</v>
      </c>
      <c r="Q1217" s="116">
        <v>62.3</v>
      </c>
      <c r="R1217">
        <v>6394975</v>
      </c>
    </row>
    <row r="1218" spans="1:18" x14ac:dyDescent="0.25">
      <c r="A1218" s="170">
        <v>43802</v>
      </c>
      <c r="B1218" s="116">
        <v>12.49</v>
      </c>
      <c r="C1218" s="116">
        <v>11.95</v>
      </c>
      <c r="D1218" s="116">
        <v>11.91</v>
      </c>
      <c r="E1218" s="116">
        <v>12.49</v>
      </c>
      <c r="F1218" s="116">
        <v>59.75</v>
      </c>
      <c r="G1218">
        <v>836274</v>
      </c>
      <c r="H1218" s="116"/>
      <c r="I1218" s="116"/>
      <c r="L1218" s="170">
        <v>43802</v>
      </c>
      <c r="M1218" s="116">
        <v>11.96</v>
      </c>
      <c r="N1218" s="116">
        <v>12.48</v>
      </c>
      <c r="O1218" s="116">
        <v>11.9</v>
      </c>
      <c r="P1218" s="116">
        <v>12.42</v>
      </c>
      <c r="Q1218" s="116">
        <v>59.8</v>
      </c>
      <c r="R1218">
        <v>6038538</v>
      </c>
    </row>
    <row r="1219" spans="1:18" x14ac:dyDescent="0.25">
      <c r="A1219" s="170">
        <v>43803</v>
      </c>
      <c r="B1219" s="116">
        <v>12.4</v>
      </c>
      <c r="C1219" s="116">
        <v>12.36</v>
      </c>
      <c r="D1219" s="116">
        <v>11.82</v>
      </c>
      <c r="E1219" s="116">
        <v>11.94</v>
      </c>
      <c r="F1219" s="116">
        <v>61.8</v>
      </c>
      <c r="G1219">
        <v>644188</v>
      </c>
      <c r="H1219" s="116"/>
      <c r="I1219" s="116"/>
      <c r="L1219" s="170">
        <v>43803</v>
      </c>
      <c r="M1219" s="116">
        <v>12.36</v>
      </c>
      <c r="N1219" s="116">
        <v>12.41</v>
      </c>
      <c r="O1219" s="116">
        <v>11.81</v>
      </c>
      <c r="P1219" s="116">
        <v>11.9</v>
      </c>
      <c r="Q1219" s="116">
        <v>61.8</v>
      </c>
      <c r="R1219">
        <v>7439111</v>
      </c>
    </row>
    <row r="1220" spans="1:18" x14ac:dyDescent="0.25">
      <c r="A1220" s="170">
        <v>43804</v>
      </c>
      <c r="B1220" s="116">
        <v>12.43</v>
      </c>
      <c r="C1220" s="116">
        <v>12.15</v>
      </c>
      <c r="D1220" s="116">
        <v>12.06</v>
      </c>
      <c r="E1220" s="116">
        <v>12.37</v>
      </c>
      <c r="F1220" s="116">
        <v>60.75</v>
      </c>
      <c r="G1220">
        <v>300805</v>
      </c>
      <c r="H1220" s="116"/>
      <c r="I1220" s="116"/>
      <c r="L1220" s="170">
        <v>43804</v>
      </c>
      <c r="M1220" s="116">
        <v>12.17</v>
      </c>
      <c r="N1220" s="116">
        <v>12.44</v>
      </c>
      <c r="O1220" s="116">
        <v>12.07</v>
      </c>
      <c r="P1220" s="116">
        <v>12.3</v>
      </c>
      <c r="Q1220" s="116">
        <v>60.85</v>
      </c>
      <c r="R1220">
        <v>4682689</v>
      </c>
    </row>
    <row r="1221" spans="1:18" x14ac:dyDescent="0.25">
      <c r="A1221" s="170">
        <v>43805</v>
      </c>
      <c r="B1221" s="116">
        <v>12.27</v>
      </c>
      <c r="C1221" s="116">
        <v>11.96</v>
      </c>
      <c r="D1221" s="116">
        <v>11.76</v>
      </c>
      <c r="E1221" s="116">
        <v>12.19</v>
      </c>
      <c r="F1221" s="116">
        <v>59.8</v>
      </c>
      <c r="G1221">
        <v>427615</v>
      </c>
      <c r="H1221" s="116"/>
      <c r="I1221" s="116"/>
      <c r="L1221" s="170">
        <v>43805</v>
      </c>
      <c r="M1221" s="116">
        <v>11.96</v>
      </c>
      <c r="N1221" s="116">
        <v>12.28</v>
      </c>
      <c r="O1221" s="116">
        <v>11.76</v>
      </c>
      <c r="P1221" s="116">
        <v>12.14</v>
      </c>
      <c r="Q1221" s="116">
        <v>59.8</v>
      </c>
      <c r="R1221">
        <v>5226089</v>
      </c>
    </row>
    <row r="1222" spans="1:18" x14ac:dyDescent="0.25">
      <c r="A1222" s="170">
        <v>43808</v>
      </c>
      <c r="B1222" s="116">
        <v>12.3</v>
      </c>
      <c r="C1222" s="116">
        <v>12.01</v>
      </c>
      <c r="D1222" s="116">
        <v>11.82</v>
      </c>
      <c r="E1222" s="116">
        <v>11.97</v>
      </c>
      <c r="F1222" s="116">
        <v>60.05</v>
      </c>
      <c r="G1222">
        <v>432807</v>
      </c>
      <c r="H1222" s="116"/>
      <c r="I1222" s="116"/>
      <c r="L1222" s="170">
        <v>43808</v>
      </c>
      <c r="M1222" s="116">
        <v>12</v>
      </c>
      <c r="N1222" s="116">
        <v>12.28</v>
      </c>
      <c r="O1222" s="116">
        <v>11.83</v>
      </c>
      <c r="P1222" s="116">
        <v>11.94</v>
      </c>
      <c r="Q1222" s="116">
        <v>60</v>
      </c>
      <c r="R1222">
        <v>6557887</v>
      </c>
    </row>
    <row r="1223" spans="1:18" x14ac:dyDescent="0.25">
      <c r="A1223" s="170">
        <v>43809</v>
      </c>
      <c r="B1223" s="116">
        <v>12.2</v>
      </c>
      <c r="C1223" s="116">
        <v>11.83</v>
      </c>
      <c r="D1223" s="116">
        <v>11.7</v>
      </c>
      <c r="E1223" s="116">
        <v>12.2</v>
      </c>
      <c r="F1223" s="116">
        <v>59.15</v>
      </c>
      <c r="G1223">
        <v>381333</v>
      </c>
      <c r="H1223" s="116"/>
      <c r="I1223" s="116"/>
      <c r="L1223" s="170">
        <v>43809</v>
      </c>
      <c r="M1223" s="116">
        <v>11.83</v>
      </c>
      <c r="N1223" s="116">
        <v>12.17</v>
      </c>
      <c r="O1223" s="116">
        <v>11.69</v>
      </c>
      <c r="P1223" s="116">
        <v>12.1</v>
      </c>
      <c r="Q1223" s="116">
        <v>59.15</v>
      </c>
      <c r="R1223">
        <v>4957016</v>
      </c>
    </row>
    <row r="1224" spans="1:18" x14ac:dyDescent="0.25">
      <c r="A1224" s="170">
        <v>43810</v>
      </c>
      <c r="B1224" s="116">
        <v>12.06</v>
      </c>
      <c r="C1224" s="116">
        <v>12.03</v>
      </c>
      <c r="D1224" s="116">
        <v>11.75</v>
      </c>
      <c r="E1224" s="116">
        <v>11.85</v>
      </c>
      <c r="F1224" s="116">
        <v>60.15</v>
      </c>
      <c r="G1224">
        <v>476170</v>
      </c>
      <c r="H1224" s="116"/>
      <c r="I1224" s="116"/>
      <c r="L1224" s="170">
        <v>43810</v>
      </c>
      <c r="M1224" s="116">
        <v>12.01</v>
      </c>
      <c r="N1224" s="116">
        <v>12.07</v>
      </c>
      <c r="O1224" s="116">
        <v>11.75</v>
      </c>
      <c r="P1224" s="116">
        <v>11.82</v>
      </c>
      <c r="Q1224" s="116">
        <v>60.05</v>
      </c>
      <c r="R1224">
        <v>6734695</v>
      </c>
    </row>
    <row r="1225" spans="1:18" x14ac:dyDescent="0.25">
      <c r="A1225" s="170">
        <v>43811</v>
      </c>
      <c r="B1225" s="116">
        <v>12.2</v>
      </c>
      <c r="C1225" s="116">
        <v>12.07</v>
      </c>
      <c r="D1225" s="116">
        <v>12.01</v>
      </c>
      <c r="E1225" s="116">
        <v>12.06</v>
      </c>
      <c r="F1225" s="116">
        <v>60.35</v>
      </c>
      <c r="G1225">
        <v>424123</v>
      </c>
      <c r="H1225" s="116"/>
      <c r="I1225" s="116"/>
      <c r="L1225" s="170">
        <v>43811</v>
      </c>
      <c r="M1225" s="116">
        <v>12.08</v>
      </c>
      <c r="N1225" s="116">
        <v>12.2</v>
      </c>
      <c r="O1225" s="116">
        <v>12</v>
      </c>
      <c r="P1225" s="116">
        <v>12.03</v>
      </c>
      <c r="Q1225" s="116">
        <v>60.4</v>
      </c>
      <c r="R1225">
        <v>4679625</v>
      </c>
    </row>
    <row r="1226" spans="1:18" x14ac:dyDescent="0.25">
      <c r="A1226" s="170">
        <v>43812</v>
      </c>
      <c r="B1226" s="116">
        <v>12.33</v>
      </c>
      <c r="C1226" s="116">
        <v>12.26</v>
      </c>
      <c r="D1226" s="116">
        <v>12.07</v>
      </c>
      <c r="E1226" s="116">
        <v>12.13</v>
      </c>
      <c r="F1226" s="116">
        <v>61.3</v>
      </c>
      <c r="G1226">
        <v>614793</v>
      </c>
      <c r="H1226" s="116"/>
      <c r="I1226" s="116"/>
      <c r="L1226" s="170">
        <v>43812</v>
      </c>
      <c r="M1226" s="116">
        <v>12.26</v>
      </c>
      <c r="N1226" s="116">
        <v>12.34</v>
      </c>
      <c r="O1226" s="116">
        <v>12.06</v>
      </c>
      <c r="P1226" s="116">
        <v>12.1</v>
      </c>
      <c r="Q1226" s="116">
        <v>61.3</v>
      </c>
      <c r="R1226">
        <v>5774996</v>
      </c>
    </row>
    <row r="1227" spans="1:18" x14ac:dyDescent="0.25">
      <c r="A1227" s="170">
        <v>43815</v>
      </c>
      <c r="B1227" s="116">
        <v>12.37</v>
      </c>
      <c r="C1227" s="116">
        <v>12.2</v>
      </c>
      <c r="D1227" s="116">
        <v>12.16</v>
      </c>
      <c r="E1227" s="116">
        <v>12.28</v>
      </c>
      <c r="F1227" s="116">
        <v>61</v>
      </c>
      <c r="G1227">
        <v>314256</v>
      </c>
      <c r="H1227" s="116"/>
      <c r="I1227" s="116"/>
      <c r="L1227" s="170">
        <v>43815</v>
      </c>
      <c r="M1227" s="116">
        <v>12.2</v>
      </c>
      <c r="N1227" s="116">
        <v>12.37</v>
      </c>
      <c r="O1227" s="116">
        <v>12.16</v>
      </c>
      <c r="P1227" s="116">
        <v>12.26</v>
      </c>
      <c r="Q1227" s="116">
        <v>61</v>
      </c>
      <c r="R1227">
        <v>4605621</v>
      </c>
    </row>
    <row r="1228" spans="1:18" x14ac:dyDescent="0.25">
      <c r="A1228" s="170">
        <v>43816</v>
      </c>
      <c r="B1228" s="116">
        <v>12.47</v>
      </c>
      <c r="C1228" s="116">
        <v>12.37</v>
      </c>
      <c r="D1228" s="116">
        <v>12.19</v>
      </c>
      <c r="E1228" s="116">
        <v>12.36</v>
      </c>
      <c r="F1228" s="116">
        <v>61.85</v>
      </c>
      <c r="G1228">
        <v>487134</v>
      </c>
      <c r="H1228" s="116"/>
      <c r="I1228" s="116"/>
      <c r="L1228" s="170">
        <v>43816</v>
      </c>
      <c r="M1228" s="116">
        <v>12.37</v>
      </c>
      <c r="N1228" s="116">
        <v>12.47</v>
      </c>
      <c r="O1228" s="116">
        <v>12.18</v>
      </c>
      <c r="P1228" s="116">
        <v>12.22</v>
      </c>
      <c r="Q1228" s="116">
        <v>61.85</v>
      </c>
      <c r="R1228">
        <v>4262313</v>
      </c>
    </row>
    <row r="1229" spans="1:18" x14ac:dyDescent="0.25">
      <c r="A1229" s="170">
        <v>43817</v>
      </c>
      <c r="B1229" s="116">
        <v>12.47</v>
      </c>
      <c r="C1229" s="116">
        <v>12.25</v>
      </c>
      <c r="D1229" s="116">
        <v>12.05</v>
      </c>
      <c r="E1229" s="116">
        <v>12.47</v>
      </c>
      <c r="F1229" s="116">
        <v>61.25</v>
      </c>
      <c r="G1229">
        <v>367079</v>
      </c>
      <c r="H1229" s="116"/>
      <c r="I1229" s="116"/>
      <c r="L1229" s="170">
        <v>43817</v>
      </c>
      <c r="M1229" s="116">
        <v>12.25</v>
      </c>
      <c r="N1229" s="116">
        <v>12.45</v>
      </c>
      <c r="O1229" s="116">
        <v>12.05</v>
      </c>
      <c r="P1229" s="116">
        <v>12.4</v>
      </c>
      <c r="Q1229" s="116">
        <v>61.25</v>
      </c>
      <c r="R1229">
        <v>5425898</v>
      </c>
    </row>
    <row r="1230" spans="1:18" x14ac:dyDescent="0.25">
      <c r="A1230" s="170">
        <v>43818</v>
      </c>
      <c r="B1230" s="116">
        <v>12.35</v>
      </c>
      <c r="C1230" s="116">
        <v>12.3</v>
      </c>
      <c r="D1230" s="116">
        <v>12.14</v>
      </c>
      <c r="E1230" s="116">
        <v>12.3</v>
      </c>
      <c r="F1230" s="116">
        <v>61.5</v>
      </c>
      <c r="G1230">
        <v>253136</v>
      </c>
      <c r="H1230" s="116"/>
      <c r="I1230" s="116"/>
      <c r="L1230" s="170">
        <v>43818</v>
      </c>
      <c r="M1230" s="116">
        <v>12.3</v>
      </c>
      <c r="N1230" s="116">
        <v>12.35</v>
      </c>
      <c r="O1230" s="116">
        <v>12.13</v>
      </c>
      <c r="P1230" s="116">
        <v>12.22</v>
      </c>
      <c r="Q1230" s="116">
        <v>61.5</v>
      </c>
      <c r="R1230">
        <v>3309830</v>
      </c>
    </row>
    <row r="1231" spans="1:18" x14ac:dyDescent="0.25">
      <c r="A1231" s="170">
        <v>43819</v>
      </c>
      <c r="B1231" s="116">
        <v>12.6</v>
      </c>
      <c r="C1231" s="116">
        <v>12.39</v>
      </c>
      <c r="D1231" s="116">
        <v>12.2</v>
      </c>
      <c r="E1231" s="116">
        <v>12.2</v>
      </c>
      <c r="F1231" s="116">
        <v>61.95</v>
      </c>
      <c r="G1231">
        <v>466988</v>
      </c>
      <c r="H1231" s="116"/>
      <c r="I1231" s="116"/>
      <c r="L1231" s="170">
        <v>43819</v>
      </c>
      <c r="M1231" s="116">
        <v>12.38</v>
      </c>
      <c r="N1231" s="116">
        <v>12.61</v>
      </c>
      <c r="O1231" s="116">
        <v>12.28</v>
      </c>
      <c r="P1231" s="116">
        <v>12.3</v>
      </c>
      <c r="Q1231" s="116">
        <v>61.9</v>
      </c>
      <c r="R1231">
        <v>4775709</v>
      </c>
    </row>
    <row r="1232" spans="1:18" x14ac:dyDescent="0.25">
      <c r="A1232" s="170">
        <v>43822</v>
      </c>
      <c r="B1232" s="116">
        <v>12.41</v>
      </c>
      <c r="C1232" s="116">
        <v>12.22</v>
      </c>
      <c r="D1232" s="116">
        <v>12.09</v>
      </c>
      <c r="E1232" s="116">
        <v>12.4</v>
      </c>
      <c r="F1232" s="116">
        <v>61.1</v>
      </c>
      <c r="G1232">
        <v>497945</v>
      </c>
      <c r="H1232" s="116"/>
      <c r="I1232" s="116"/>
      <c r="L1232" s="170">
        <v>43822</v>
      </c>
      <c r="M1232" s="116">
        <v>12.2</v>
      </c>
      <c r="N1232" s="116">
        <v>12.43</v>
      </c>
      <c r="O1232" s="116">
        <v>12.09</v>
      </c>
      <c r="P1232" s="116">
        <v>12.34</v>
      </c>
      <c r="Q1232" s="116">
        <v>61</v>
      </c>
      <c r="R1232">
        <v>4176895</v>
      </c>
    </row>
    <row r="1233" spans="1:18" x14ac:dyDescent="0.25">
      <c r="A1233" s="170">
        <v>43823</v>
      </c>
      <c r="B1233" s="116">
        <v>12.31</v>
      </c>
      <c r="C1233" s="116">
        <v>12.15</v>
      </c>
      <c r="D1233" s="116">
        <v>12.12</v>
      </c>
      <c r="E1233" s="116">
        <v>12.25</v>
      </c>
      <c r="F1233" s="116">
        <v>60.75</v>
      </c>
      <c r="G1233">
        <v>255337</v>
      </c>
      <c r="H1233" s="116"/>
      <c r="I1233" s="116"/>
      <c r="L1233" s="170">
        <v>43823</v>
      </c>
      <c r="M1233" s="116">
        <v>12.14</v>
      </c>
      <c r="N1233" s="116">
        <v>12.32</v>
      </c>
      <c r="O1233" s="116">
        <v>12.1</v>
      </c>
      <c r="P1233" s="116">
        <v>12.24</v>
      </c>
      <c r="Q1233" s="116">
        <v>60.7</v>
      </c>
      <c r="R1233">
        <v>3093544</v>
      </c>
    </row>
    <row r="1234" spans="1:18" x14ac:dyDescent="0.25">
      <c r="A1234" s="170">
        <v>43825</v>
      </c>
      <c r="B1234" s="116">
        <v>12.26</v>
      </c>
      <c r="C1234" s="116">
        <v>12.01</v>
      </c>
      <c r="D1234" s="116">
        <v>11.98</v>
      </c>
      <c r="E1234" s="116">
        <v>12.26</v>
      </c>
      <c r="F1234" s="116">
        <v>60.05</v>
      </c>
      <c r="G1234">
        <v>248303</v>
      </c>
      <c r="H1234" s="116"/>
      <c r="I1234" s="116"/>
      <c r="L1234" s="170">
        <v>43825</v>
      </c>
      <c r="M1234" s="116">
        <v>12.01</v>
      </c>
      <c r="N1234" s="116">
        <v>12.18</v>
      </c>
      <c r="O1234" s="116">
        <v>11.96</v>
      </c>
      <c r="P1234" s="116">
        <v>12.14</v>
      </c>
      <c r="Q1234" s="116">
        <v>60.05</v>
      </c>
      <c r="R1234">
        <v>3163650</v>
      </c>
    </row>
    <row r="1235" spans="1:18" x14ac:dyDescent="0.25">
      <c r="A1235" s="170">
        <v>43826</v>
      </c>
      <c r="B1235" s="116">
        <v>12.15</v>
      </c>
      <c r="C1235" s="116">
        <v>12.05</v>
      </c>
      <c r="D1235" s="116">
        <v>12</v>
      </c>
      <c r="E1235" s="116">
        <v>12.04</v>
      </c>
      <c r="F1235" s="116">
        <v>60.25</v>
      </c>
      <c r="G1235">
        <v>159088</v>
      </c>
      <c r="H1235" s="116"/>
      <c r="I1235" s="116"/>
      <c r="L1235" s="170">
        <v>43826</v>
      </c>
      <c r="M1235" s="116">
        <v>12.05</v>
      </c>
      <c r="N1235" s="116">
        <v>12.15</v>
      </c>
      <c r="O1235" s="116">
        <v>12</v>
      </c>
      <c r="P1235" s="116">
        <v>12</v>
      </c>
      <c r="Q1235" s="116">
        <v>60.25</v>
      </c>
      <c r="R1235">
        <v>2481455</v>
      </c>
    </row>
    <row r="1236" spans="1:18" x14ac:dyDescent="0.25">
      <c r="A1236" s="170">
        <v>43829</v>
      </c>
      <c r="B1236" s="116">
        <v>12.39</v>
      </c>
      <c r="C1236" s="116">
        <v>12.22</v>
      </c>
      <c r="D1236" s="116">
        <v>12.04</v>
      </c>
      <c r="E1236" s="116">
        <v>12.08</v>
      </c>
      <c r="F1236" s="116">
        <v>61.1</v>
      </c>
      <c r="G1236">
        <v>843883</v>
      </c>
      <c r="H1236" s="116"/>
      <c r="I1236" s="116"/>
      <c r="L1236" s="170">
        <v>43829</v>
      </c>
      <c r="M1236" s="116">
        <v>12.21</v>
      </c>
      <c r="N1236" s="116">
        <v>12.4</v>
      </c>
      <c r="O1236" s="116">
        <v>12.04</v>
      </c>
      <c r="P1236" s="116">
        <v>12.06</v>
      </c>
      <c r="Q1236" s="116">
        <v>61.05</v>
      </c>
      <c r="R1236">
        <v>8110014</v>
      </c>
    </row>
    <row r="1237" spans="1:18" x14ac:dyDescent="0.25">
      <c r="A1237" s="170">
        <v>43830</v>
      </c>
      <c r="B1237" s="116">
        <v>12.42</v>
      </c>
      <c r="C1237" s="116">
        <v>12.36</v>
      </c>
      <c r="D1237" s="116">
        <v>12.22</v>
      </c>
      <c r="E1237" s="116">
        <v>12.39</v>
      </c>
      <c r="F1237" s="116">
        <v>61.8</v>
      </c>
      <c r="G1237">
        <v>299215</v>
      </c>
      <c r="H1237" s="116"/>
      <c r="I1237" s="116"/>
      <c r="L1237" s="170">
        <v>43830</v>
      </c>
      <c r="M1237" s="116">
        <v>12.36</v>
      </c>
      <c r="N1237" s="116">
        <v>12.43</v>
      </c>
      <c r="O1237" s="116">
        <v>12.21</v>
      </c>
      <c r="P1237" s="116">
        <v>12.25</v>
      </c>
      <c r="Q1237" s="116">
        <v>61.8</v>
      </c>
      <c r="R1237">
        <v>7555401</v>
      </c>
    </row>
    <row r="1238" spans="1:18" x14ac:dyDescent="0.25">
      <c r="A1238" s="170">
        <v>43831</v>
      </c>
      <c r="B1238" s="116">
        <v>12.86</v>
      </c>
      <c r="C1238" s="116">
        <v>12.78</v>
      </c>
      <c r="D1238" s="116">
        <v>12.32</v>
      </c>
      <c r="E1238" s="116">
        <v>12.32</v>
      </c>
      <c r="F1238" s="116">
        <v>63.9</v>
      </c>
      <c r="G1238">
        <v>1059348</v>
      </c>
      <c r="H1238" s="116"/>
      <c r="I1238" s="116"/>
      <c r="L1238" s="170">
        <v>43831</v>
      </c>
      <c r="M1238" s="116">
        <v>12.78</v>
      </c>
      <c r="N1238" s="116">
        <v>12.86</v>
      </c>
      <c r="O1238" s="116">
        <v>12.31</v>
      </c>
      <c r="P1238" s="116">
        <v>12.36</v>
      </c>
      <c r="Q1238" s="116">
        <v>63.9</v>
      </c>
      <c r="R1238">
        <v>16415397</v>
      </c>
    </row>
    <row r="1239" spans="1:18" x14ac:dyDescent="0.25">
      <c r="A1239" s="170">
        <v>43832</v>
      </c>
      <c r="B1239" s="116">
        <v>12.96</v>
      </c>
      <c r="C1239" s="116">
        <v>12.9</v>
      </c>
      <c r="D1239" s="116">
        <v>12.68</v>
      </c>
      <c r="E1239" s="116">
        <v>12.86</v>
      </c>
      <c r="F1239" s="116">
        <v>64.5</v>
      </c>
      <c r="G1239">
        <v>742616</v>
      </c>
      <c r="H1239" s="116"/>
      <c r="I1239" s="116"/>
      <c r="L1239" s="170">
        <v>43832</v>
      </c>
      <c r="M1239" s="116">
        <v>12.89</v>
      </c>
      <c r="N1239" s="116">
        <v>12.97</v>
      </c>
      <c r="O1239" s="116">
        <v>12.68</v>
      </c>
      <c r="P1239" s="116">
        <v>12.8</v>
      </c>
      <c r="Q1239" s="116">
        <v>64.45</v>
      </c>
      <c r="R1239">
        <v>10996418</v>
      </c>
    </row>
    <row r="1240" spans="1:18" x14ac:dyDescent="0.25">
      <c r="A1240" s="170">
        <v>43833</v>
      </c>
      <c r="B1240" s="116">
        <v>12.99</v>
      </c>
      <c r="C1240" s="116">
        <v>12.65</v>
      </c>
      <c r="D1240" s="116">
        <v>12.55</v>
      </c>
      <c r="E1240" s="116">
        <v>12.88</v>
      </c>
      <c r="F1240" s="116">
        <v>63.25</v>
      </c>
      <c r="G1240">
        <v>841958</v>
      </c>
      <c r="H1240" s="116"/>
      <c r="I1240" s="116"/>
      <c r="L1240" s="170">
        <v>43833</v>
      </c>
      <c r="M1240" s="116">
        <v>12.65</v>
      </c>
      <c r="N1240" s="116">
        <v>12.99</v>
      </c>
      <c r="O1240" s="116">
        <v>12.54</v>
      </c>
      <c r="P1240" s="116">
        <v>12.88</v>
      </c>
      <c r="Q1240" s="116">
        <v>63.25</v>
      </c>
      <c r="R1240">
        <v>8114232</v>
      </c>
    </row>
    <row r="1241" spans="1:18" x14ac:dyDescent="0.25">
      <c r="A1241" s="170">
        <v>43836</v>
      </c>
      <c r="B1241" s="116">
        <v>12.62</v>
      </c>
      <c r="C1241" s="116">
        <v>12.03</v>
      </c>
      <c r="D1241" s="116">
        <v>11.89</v>
      </c>
      <c r="E1241" s="116">
        <v>12.62</v>
      </c>
      <c r="F1241" s="116">
        <v>60.15</v>
      </c>
      <c r="G1241">
        <v>813048</v>
      </c>
      <c r="H1241" s="116"/>
      <c r="I1241" s="116"/>
      <c r="L1241" s="170">
        <v>43836</v>
      </c>
      <c r="M1241" s="116">
        <v>12.02</v>
      </c>
      <c r="N1241" s="116">
        <v>12.65</v>
      </c>
      <c r="O1241" s="116">
        <v>11.9</v>
      </c>
      <c r="P1241" s="116">
        <v>12.6</v>
      </c>
      <c r="Q1241" s="116">
        <v>60.1</v>
      </c>
      <c r="R1241">
        <v>9700870</v>
      </c>
    </row>
    <row r="1242" spans="1:18" x14ac:dyDescent="0.25">
      <c r="A1242" s="170">
        <v>43837</v>
      </c>
      <c r="B1242" s="116">
        <v>12.35</v>
      </c>
      <c r="C1242" s="116">
        <v>12.2</v>
      </c>
      <c r="D1242" s="116">
        <v>11.94</v>
      </c>
      <c r="E1242" s="116">
        <v>12.24</v>
      </c>
      <c r="F1242" s="116">
        <v>61</v>
      </c>
      <c r="G1242">
        <v>557125</v>
      </c>
      <c r="H1242" s="116"/>
      <c r="I1242" s="116"/>
      <c r="L1242" s="170">
        <v>43837</v>
      </c>
      <c r="M1242" s="116">
        <v>12.2</v>
      </c>
      <c r="N1242" s="116">
        <v>12.35</v>
      </c>
      <c r="O1242" s="116">
        <v>11.93</v>
      </c>
      <c r="P1242" s="116">
        <v>12.07</v>
      </c>
      <c r="Q1242" s="116">
        <v>61</v>
      </c>
      <c r="R1242">
        <v>8704020</v>
      </c>
    </row>
    <row r="1243" spans="1:18" x14ac:dyDescent="0.25">
      <c r="A1243" s="170">
        <v>43838</v>
      </c>
      <c r="B1243" s="116">
        <v>12.2</v>
      </c>
      <c r="C1243" s="116">
        <v>11.97</v>
      </c>
      <c r="D1243" s="116">
        <v>11.61</v>
      </c>
      <c r="E1243" s="116">
        <v>12.2</v>
      </c>
      <c r="F1243" s="116">
        <v>59.85</v>
      </c>
      <c r="G1243">
        <v>826557</v>
      </c>
      <c r="H1243" s="116"/>
      <c r="I1243" s="116"/>
      <c r="L1243" s="170">
        <v>43838</v>
      </c>
      <c r="M1243" s="116">
        <v>11.97</v>
      </c>
      <c r="N1243" s="116">
        <v>12.11</v>
      </c>
      <c r="O1243" s="116">
        <v>11.6</v>
      </c>
      <c r="P1243" s="116">
        <v>12.08</v>
      </c>
      <c r="Q1243" s="116">
        <v>59.85</v>
      </c>
      <c r="R1243">
        <v>11149419</v>
      </c>
    </row>
    <row r="1244" spans="1:18" x14ac:dyDescent="0.25">
      <c r="A1244" s="170">
        <v>43839</v>
      </c>
      <c r="B1244" s="116">
        <v>12.31</v>
      </c>
      <c r="C1244" s="116">
        <v>12.23</v>
      </c>
      <c r="D1244" s="116">
        <v>12.04</v>
      </c>
      <c r="E1244" s="116">
        <v>12.04</v>
      </c>
      <c r="F1244" s="116">
        <v>61.15</v>
      </c>
      <c r="G1244">
        <v>682128</v>
      </c>
      <c r="H1244" s="116"/>
      <c r="I1244" s="116"/>
      <c r="L1244" s="170">
        <v>43839</v>
      </c>
      <c r="M1244" s="116">
        <v>12.23</v>
      </c>
      <c r="N1244" s="116">
        <v>12.32</v>
      </c>
      <c r="O1244" s="116">
        <v>12.02</v>
      </c>
      <c r="P1244" s="116">
        <v>12.07</v>
      </c>
      <c r="Q1244" s="116">
        <v>61.15</v>
      </c>
      <c r="R1244">
        <v>9268945</v>
      </c>
    </row>
    <row r="1245" spans="1:18" x14ac:dyDescent="0.25">
      <c r="A1245" s="170">
        <v>43840</v>
      </c>
      <c r="B1245" s="116">
        <v>12.5</v>
      </c>
      <c r="C1245" s="116">
        <v>12.23</v>
      </c>
      <c r="D1245" s="116">
        <v>12.18</v>
      </c>
      <c r="E1245" s="116">
        <v>12.29</v>
      </c>
      <c r="F1245" s="116">
        <v>61.15</v>
      </c>
      <c r="G1245">
        <v>450958</v>
      </c>
      <c r="H1245" s="116"/>
      <c r="I1245" s="116"/>
      <c r="L1245" s="170">
        <v>43840</v>
      </c>
      <c r="M1245" s="116">
        <v>12.24</v>
      </c>
      <c r="N1245" s="116">
        <v>12.5</v>
      </c>
      <c r="O1245" s="116">
        <v>12.19</v>
      </c>
      <c r="P1245" s="116">
        <v>12.25</v>
      </c>
      <c r="Q1245" s="116">
        <v>61.2</v>
      </c>
      <c r="R1245">
        <v>6911234</v>
      </c>
    </row>
    <row r="1246" spans="1:18" x14ac:dyDescent="0.25">
      <c r="A1246" s="170">
        <v>43843</v>
      </c>
      <c r="B1246" s="116">
        <v>12.53</v>
      </c>
      <c r="C1246" s="116">
        <v>12.48</v>
      </c>
      <c r="D1246" s="116">
        <v>12.15</v>
      </c>
      <c r="E1246" s="116">
        <v>12.32</v>
      </c>
      <c r="F1246" s="116">
        <v>62.4</v>
      </c>
      <c r="G1246">
        <v>1458206</v>
      </c>
      <c r="H1246" s="116"/>
      <c r="I1246" s="116"/>
      <c r="L1246" s="170">
        <v>43843</v>
      </c>
      <c r="M1246" s="116">
        <v>12.46</v>
      </c>
      <c r="N1246" s="116">
        <v>12.54</v>
      </c>
      <c r="O1246" s="116">
        <v>12.15</v>
      </c>
      <c r="P1246" s="116">
        <v>12.26</v>
      </c>
      <c r="Q1246" s="116">
        <v>62.3</v>
      </c>
      <c r="R1246">
        <v>11404017</v>
      </c>
    </row>
    <row r="1247" spans="1:18" x14ac:dyDescent="0.25">
      <c r="A1247" s="170">
        <v>43844</v>
      </c>
      <c r="B1247" s="116">
        <v>12.66</v>
      </c>
      <c r="C1247" s="116">
        <v>12.48</v>
      </c>
      <c r="D1247" s="116">
        <v>12.43</v>
      </c>
      <c r="E1247" s="116">
        <v>12.5</v>
      </c>
      <c r="F1247" s="116">
        <v>62.4</v>
      </c>
      <c r="G1247">
        <v>412168</v>
      </c>
      <c r="H1247" s="116"/>
      <c r="I1247" s="116"/>
      <c r="L1247" s="170">
        <v>43844</v>
      </c>
      <c r="M1247" s="116">
        <v>12.49</v>
      </c>
      <c r="N1247" s="116">
        <v>12.65</v>
      </c>
      <c r="O1247" s="116">
        <v>12.42</v>
      </c>
      <c r="P1247" s="116">
        <v>12.48</v>
      </c>
      <c r="Q1247" s="116">
        <v>62.45</v>
      </c>
      <c r="R1247">
        <v>5833027</v>
      </c>
    </row>
    <row r="1248" spans="1:18" x14ac:dyDescent="0.25">
      <c r="A1248" s="170">
        <v>43845</v>
      </c>
      <c r="B1248" s="116">
        <v>12.8</v>
      </c>
      <c r="C1248" s="116">
        <v>12.66</v>
      </c>
      <c r="D1248" s="116">
        <v>12.35</v>
      </c>
      <c r="E1248" s="116">
        <v>12.51</v>
      </c>
      <c r="F1248" s="116">
        <v>63.3</v>
      </c>
      <c r="G1248">
        <v>689955</v>
      </c>
      <c r="H1248" s="116"/>
      <c r="I1248" s="116"/>
      <c r="L1248" s="170">
        <v>43845</v>
      </c>
      <c r="M1248" s="116">
        <v>12.66</v>
      </c>
      <c r="N1248" s="116">
        <v>12.81</v>
      </c>
      <c r="O1248" s="116">
        <v>12.34</v>
      </c>
      <c r="P1248" s="116">
        <v>12.44</v>
      </c>
      <c r="Q1248" s="116">
        <v>63.3</v>
      </c>
      <c r="R1248">
        <v>9760457</v>
      </c>
    </row>
    <row r="1249" spans="1:18" x14ac:dyDescent="0.25">
      <c r="A1249" s="170">
        <v>43846</v>
      </c>
      <c r="B1249" s="116">
        <v>13.05</v>
      </c>
      <c r="C1249" s="116">
        <v>12.99</v>
      </c>
      <c r="D1249" s="116">
        <v>12.57</v>
      </c>
      <c r="E1249" s="116">
        <v>12.63</v>
      </c>
      <c r="F1249" s="116">
        <v>64.95</v>
      </c>
      <c r="G1249">
        <v>642122</v>
      </c>
      <c r="H1249" s="116"/>
      <c r="I1249" s="116"/>
      <c r="L1249" s="170">
        <v>43846</v>
      </c>
      <c r="M1249" s="116">
        <v>12.99</v>
      </c>
      <c r="N1249" s="116">
        <v>13.05</v>
      </c>
      <c r="O1249" s="116">
        <v>12.56</v>
      </c>
      <c r="P1249" s="116">
        <v>12.62</v>
      </c>
      <c r="Q1249" s="116">
        <v>64.95</v>
      </c>
      <c r="R1249">
        <v>8761628</v>
      </c>
    </row>
    <row r="1250" spans="1:18" x14ac:dyDescent="0.25">
      <c r="A1250" s="170">
        <v>43847</v>
      </c>
      <c r="B1250" s="116">
        <v>13.19</v>
      </c>
      <c r="C1250" s="116">
        <v>12.92</v>
      </c>
      <c r="D1250" s="116">
        <v>12.86</v>
      </c>
      <c r="E1250" s="116">
        <v>12.9</v>
      </c>
      <c r="F1250" s="116">
        <v>64.599999999999994</v>
      </c>
      <c r="G1250">
        <v>589672</v>
      </c>
      <c r="H1250" s="116"/>
      <c r="I1250" s="116"/>
      <c r="L1250" s="170">
        <v>43847</v>
      </c>
      <c r="M1250" s="116">
        <v>12.92</v>
      </c>
      <c r="N1250" s="116">
        <v>13.19</v>
      </c>
      <c r="O1250" s="116">
        <v>12.84</v>
      </c>
      <c r="P1250" s="116">
        <v>12.9</v>
      </c>
      <c r="Q1250" s="116">
        <v>64.599999999999994</v>
      </c>
      <c r="R1250">
        <v>8843288</v>
      </c>
    </row>
    <row r="1251" spans="1:18" x14ac:dyDescent="0.25">
      <c r="A1251" s="170">
        <v>43850</v>
      </c>
      <c r="B1251" s="116">
        <v>13.03</v>
      </c>
      <c r="C1251" s="116">
        <v>12.67</v>
      </c>
      <c r="D1251" s="116">
        <v>12.61</v>
      </c>
      <c r="E1251" s="116">
        <v>12.92</v>
      </c>
      <c r="F1251" s="116">
        <v>63.35</v>
      </c>
      <c r="G1251">
        <v>391773</v>
      </c>
      <c r="H1251" s="116"/>
      <c r="I1251" s="116"/>
      <c r="L1251" s="170">
        <v>43850</v>
      </c>
      <c r="M1251" s="116">
        <v>12.67</v>
      </c>
      <c r="N1251" s="116">
        <v>13.04</v>
      </c>
      <c r="O1251" s="116">
        <v>12.59</v>
      </c>
      <c r="P1251" s="116">
        <v>12.92</v>
      </c>
      <c r="Q1251" s="116">
        <v>63.35</v>
      </c>
      <c r="R1251">
        <v>6195478</v>
      </c>
    </row>
    <row r="1252" spans="1:18" x14ac:dyDescent="0.25">
      <c r="A1252" s="170">
        <v>43851</v>
      </c>
      <c r="B1252" s="116">
        <v>12.7</v>
      </c>
      <c r="C1252" s="116">
        <v>12.55</v>
      </c>
      <c r="D1252" s="116">
        <v>12.48</v>
      </c>
      <c r="E1252" s="116">
        <v>12.64</v>
      </c>
      <c r="F1252" s="116">
        <v>62.75</v>
      </c>
      <c r="G1252">
        <v>586666</v>
      </c>
      <c r="H1252" s="116"/>
      <c r="I1252" s="116"/>
      <c r="L1252" s="170">
        <v>43851</v>
      </c>
      <c r="M1252" s="116">
        <v>12.55</v>
      </c>
      <c r="N1252" s="116">
        <v>12.71</v>
      </c>
      <c r="O1252" s="116">
        <v>12.48</v>
      </c>
      <c r="P1252" s="116">
        <v>12.58</v>
      </c>
      <c r="Q1252" s="116">
        <v>62.75</v>
      </c>
      <c r="R1252">
        <v>4651073</v>
      </c>
    </row>
    <row r="1253" spans="1:18" x14ac:dyDescent="0.25">
      <c r="A1253" s="170">
        <v>43852</v>
      </c>
      <c r="B1253" s="116">
        <v>12.67</v>
      </c>
      <c r="C1253" s="116">
        <v>12.49</v>
      </c>
      <c r="D1253" s="116">
        <v>12.46</v>
      </c>
      <c r="E1253" s="116">
        <v>12.53</v>
      </c>
      <c r="F1253" s="116">
        <v>62.45</v>
      </c>
      <c r="G1253">
        <v>306041</v>
      </c>
      <c r="H1253" s="116"/>
      <c r="I1253" s="116"/>
      <c r="L1253" s="170">
        <v>43852</v>
      </c>
      <c r="M1253" s="116">
        <v>12.5</v>
      </c>
      <c r="N1253" s="116">
        <v>12.68</v>
      </c>
      <c r="O1253" s="116">
        <v>12.45</v>
      </c>
      <c r="P1253" s="116">
        <v>12.58</v>
      </c>
      <c r="Q1253" s="116">
        <v>62.5</v>
      </c>
      <c r="R1253">
        <v>3354431</v>
      </c>
    </row>
    <row r="1254" spans="1:18" x14ac:dyDescent="0.25">
      <c r="A1254" s="170">
        <v>43853</v>
      </c>
      <c r="B1254" s="116">
        <v>12.73</v>
      </c>
      <c r="C1254" s="116">
        <v>12.65</v>
      </c>
      <c r="D1254" s="116">
        <v>12.49</v>
      </c>
      <c r="E1254" s="116">
        <v>12.66</v>
      </c>
      <c r="F1254" s="116">
        <v>63.25</v>
      </c>
      <c r="G1254">
        <v>330388</v>
      </c>
      <c r="H1254" s="116"/>
      <c r="I1254" s="116"/>
      <c r="L1254" s="170">
        <v>43853</v>
      </c>
      <c r="M1254" s="116">
        <v>12.67</v>
      </c>
      <c r="N1254" s="116">
        <v>12.74</v>
      </c>
      <c r="O1254" s="116">
        <v>12.46</v>
      </c>
      <c r="P1254" s="116">
        <v>12.52</v>
      </c>
      <c r="Q1254" s="116">
        <v>63.35</v>
      </c>
      <c r="R1254">
        <v>4473067</v>
      </c>
    </row>
    <row r="1255" spans="1:18" x14ac:dyDescent="0.25">
      <c r="A1255" s="170">
        <v>43854</v>
      </c>
      <c r="B1255" s="116">
        <v>12.88</v>
      </c>
      <c r="C1255" s="116">
        <v>12.7</v>
      </c>
      <c r="D1255" s="116">
        <v>12.52</v>
      </c>
      <c r="E1255" s="116">
        <v>12.67</v>
      </c>
      <c r="F1255" s="116">
        <v>63.5</v>
      </c>
      <c r="G1255">
        <v>294110</v>
      </c>
      <c r="H1255" s="116"/>
      <c r="I1255" s="116"/>
      <c r="L1255" s="170">
        <v>43854</v>
      </c>
      <c r="M1255" s="116">
        <v>12.71</v>
      </c>
      <c r="N1255" s="116">
        <v>12.89</v>
      </c>
      <c r="O1255" s="116">
        <v>12.51</v>
      </c>
      <c r="P1255" s="116">
        <v>12.64</v>
      </c>
      <c r="Q1255" s="116">
        <v>63.55</v>
      </c>
      <c r="R1255">
        <v>5429840</v>
      </c>
    </row>
    <row r="1256" spans="1:18" x14ac:dyDescent="0.25">
      <c r="A1256" s="170">
        <v>43857</v>
      </c>
      <c r="B1256" s="116">
        <v>13.05</v>
      </c>
      <c r="C1256" s="116">
        <v>12.93</v>
      </c>
      <c r="D1256" s="116">
        <v>12.54</v>
      </c>
      <c r="E1256" s="116">
        <v>12.69</v>
      </c>
      <c r="F1256" s="116">
        <v>64.650000000000006</v>
      </c>
      <c r="G1256">
        <v>1643754</v>
      </c>
      <c r="H1256" s="116"/>
      <c r="I1256" s="116"/>
      <c r="L1256" s="170">
        <v>43857</v>
      </c>
      <c r="M1256" s="116">
        <v>12.94</v>
      </c>
      <c r="N1256" s="116">
        <v>13.05</v>
      </c>
      <c r="O1256" s="116">
        <v>12.54</v>
      </c>
      <c r="P1256" s="116">
        <v>12.67</v>
      </c>
      <c r="Q1256" s="116">
        <v>64.7</v>
      </c>
      <c r="R1256">
        <v>8398543</v>
      </c>
    </row>
    <row r="1257" spans="1:18" x14ac:dyDescent="0.25">
      <c r="A1257" s="170">
        <v>43858</v>
      </c>
      <c r="B1257" s="116">
        <v>13.08</v>
      </c>
      <c r="C1257" s="116">
        <v>12.74</v>
      </c>
      <c r="D1257" s="116">
        <v>12.71</v>
      </c>
      <c r="E1257" s="116">
        <v>12.99</v>
      </c>
      <c r="F1257" s="116">
        <v>63.7</v>
      </c>
      <c r="G1257">
        <v>424167</v>
      </c>
      <c r="H1257" s="116"/>
      <c r="I1257" s="116"/>
      <c r="L1257" s="170">
        <v>43858</v>
      </c>
      <c r="M1257" s="116">
        <v>12.76</v>
      </c>
      <c r="N1257" s="116">
        <v>13.08</v>
      </c>
      <c r="O1257" s="116">
        <v>12.71</v>
      </c>
      <c r="P1257" s="116">
        <v>12.93</v>
      </c>
      <c r="Q1257" s="116">
        <v>63.8</v>
      </c>
      <c r="R1257">
        <v>7444387</v>
      </c>
    </row>
    <row r="1258" spans="1:18" x14ac:dyDescent="0.25">
      <c r="A1258" s="170">
        <v>43859</v>
      </c>
      <c r="B1258" s="116">
        <v>13</v>
      </c>
      <c r="C1258" s="116">
        <v>12.8</v>
      </c>
      <c r="D1258" s="116">
        <v>12.75</v>
      </c>
      <c r="E1258" s="116">
        <v>12.86</v>
      </c>
      <c r="F1258" s="116">
        <v>64</v>
      </c>
      <c r="G1258">
        <v>356874</v>
      </c>
      <c r="H1258" s="116"/>
      <c r="I1258" s="116"/>
      <c r="L1258" s="170">
        <v>43859</v>
      </c>
      <c r="M1258" s="116">
        <v>12.81</v>
      </c>
      <c r="N1258" s="116">
        <v>13.02</v>
      </c>
      <c r="O1258" s="116">
        <v>12.77</v>
      </c>
      <c r="P1258" s="116">
        <v>12.82</v>
      </c>
      <c r="Q1258" s="116">
        <v>64.05</v>
      </c>
      <c r="R1258">
        <v>5907232</v>
      </c>
    </row>
    <row r="1259" spans="1:18" x14ac:dyDescent="0.25">
      <c r="A1259" s="170">
        <v>43860</v>
      </c>
      <c r="B1259" s="116">
        <v>12.83</v>
      </c>
      <c r="C1259" s="116">
        <v>12.52</v>
      </c>
      <c r="D1259" s="116">
        <v>12.44</v>
      </c>
      <c r="E1259" s="116">
        <v>12.83</v>
      </c>
      <c r="F1259" s="116">
        <v>62.6</v>
      </c>
      <c r="G1259">
        <v>257685</v>
      </c>
      <c r="H1259" s="116"/>
      <c r="I1259" s="116"/>
      <c r="L1259" s="170">
        <v>43860</v>
      </c>
      <c r="M1259" s="116">
        <v>12.54</v>
      </c>
      <c r="N1259" s="116">
        <v>12.83</v>
      </c>
      <c r="O1259" s="116">
        <v>12.44</v>
      </c>
      <c r="P1259" s="116">
        <v>12.83</v>
      </c>
      <c r="Q1259" s="116">
        <v>62.7</v>
      </c>
      <c r="R1259">
        <v>4508995</v>
      </c>
    </row>
    <row r="1260" spans="1:18" x14ac:dyDescent="0.25">
      <c r="A1260" s="170">
        <v>43861</v>
      </c>
      <c r="B1260" s="116">
        <v>12.64</v>
      </c>
      <c r="C1260" s="116">
        <v>12.21</v>
      </c>
      <c r="D1260" s="116">
        <v>12.12</v>
      </c>
      <c r="E1260" s="116">
        <v>12.57</v>
      </c>
      <c r="F1260" s="116">
        <v>61.05</v>
      </c>
      <c r="G1260">
        <v>391343</v>
      </c>
      <c r="H1260" s="116"/>
      <c r="I1260" s="116"/>
      <c r="L1260" s="170">
        <v>43861</v>
      </c>
      <c r="M1260" s="116">
        <v>12.21</v>
      </c>
      <c r="N1260" s="116">
        <v>12.64</v>
      </c>
      <c r="O1260" s="116">
        <v>12.1</v>
      </c>
      <c r="P1260" s="116">
        <v>12.56</v>
      </c>
      <c r="Q1260" s="116">
        <v>61.05</v>
      </c>
      <c r="R1260">
        <v>5754033</v>
      </c>
    </row>
    <row r="1261" spans="1:18" x14ac:dyDescent="0.25">
      <c r="A1261" s="170">
        <v>43862</v>
      </c>
      <c r="B1261" s="116">
        <v>12.43</v>
      </c>
      <c r="C1261" s="116">
        <v>11.96</v>
      </c>
      <c r="D1261" s="116">
        <v>11.87</v>
      </c>
      <c r="E1261" s="116">
        <v>12.09</v>
      </c>
      <c r="F1261" s="116">
        <v>59.8</v>
      </c>
      <c r="G1261">
        <v>433596</v>
      </c>
      <c r="H1261" s="116"/>
      <c r="I1261" s="116"/>
      <c r="L1261" s="170">
        <v>43862</v>
      </c>
      <c r="M1261" s="116">
        <v>11.97</v>
      </c>
      <c r="N1261" s="116">
        <v>12.43</v>
      </c>
      <c r="O1261" s="116">
        <v>11.87</v>
      </c>
      <c r="P1261" s="116">
        <v>12.1</v>
      </c>
      <c r="Q1261" s="116">
        <v>59.85</v>
      </c>
      <c r="R1261">
        <v>6088733</v>
      </c>
    </row>
    <row r="1262" spans="1:18" x14ac:dyDescent="0.25">
      <c r="A1262" s="170">
        <v>43864</v>
      </c>
      <c r="B1262" s="116">
        <v>12</v>
      </c>
      <c r="C1262" s="116">
        <v>11.79</v>
      </c>
      <c r="D1262" s="116">
        <v>11.67</v>
      </c>
      <c r="E1262" s="116">
        <v>11.96</v>
      </c>
      <c r="F1262" s="116">
        <v>58.95</v>
      </c>
      <c r="G1262">
        <v>314444</v>
      </c>
      <c r="H1262" s="116"/>
      <c r="I1262" s="116"/>
      <c r="L1262" s="170">
        <v>43864</v>
      </c>
      <c r="M1262" s="116">
        <v>11.8</v>
      </c>
      <c r="N1262" s="116">
        <v>12.01</v>
      </c>
      <c r="O1262" s="116">
        <v>11.66</v>
      </c>
      <c r="P1262" s="116">
        <v>12</v>
      </c>
      <c r="Q1262" s="116">
        <v>59</v>
      </c>
      <c r="R1262">
        <v>6340354</v>
      </c>
    </row>
    <row r="1263" spans="1:18" x14ac:dyDescent="0.25">
      <c r="A1263" s="170">
        <v>43865</v>
      </c>
      <c r="B1263" s="116">
        <v>12.14</v>
      </c>
      <c r="C1263" s="116">
        <v>12.09</v>
      </c>
      <c r="D1263" s="116">
        <v>11.84</v>
      </c>
      <c r="E1263" s="116">
        <v>11.86</v>
      </c>
      <c r="F1263" s="116">
        <v>60.45</v>
      </c>
      <c r="G1263">
        <v>389961</v>
      </c>
      <c r="H1263" s="116"/>
      <c r="I1263" s="116"/>
      <c r="L1263" s="170">
        <v>43865</v>
      </c>
      <c r="M1263" s="116">
        <v>12.09</v>
      </c>
      <c r="N1263" s="116">
        <v>12.14</v>
      </c>
      <c r="O1263" s="116">
        <v>11.81</v>
      </c>
      <c r="P1263" s="116">
        <v>11.81</v>
      </c>
      <c r="Q1263" s="116">
        <v>60.45</v>
      </c>
      <c r="R1263">
        <v>5643410</v>
      </c>
    </row>
    <row r="1264" spans="1:18" x14ac:dyDescent="0.25">
      <c r="A1264" s="170">
        <v>43866</v>
      </c>
      <c r="B1264" s="116">
        <v>12.51</v>
      </c>
      <c r="C1264" s="116">
        <v>12.39</v>
      </c>
      <c r="D1264" s="116">
        <v>12.12</v>
      </c>
      <c r="E1264" s="116">
        <v>12.2</v>
      </c>
      <c r="F1264" s="116">
        <v>61.95</v>
      </c>
      <c r="G1264">
        <v>409621</v>
      </c>
      <c r="H1264" s="116"/>
      <c r="I1264" s="116"/>
      <c r="L1264" s="170">
        <v>43866</v>
      </c>
      <c r="M1264" s="116">
        <v>12.4</v>
      </c>
      <c r="N1264" s="116">
        <v>12.53</v>
      </c>
      <c r="O1264" s="116">
        <v>12.1</v>
      </c>
      <c r="P1264" s="116">
        <v>12.12</v>
      </c>
      <c r="Q1264" s="116">
        <v>62</v>
      </c>
      <c r="R1264">
        <v>4945952</v>
      </c>
    </row>
    <row r="1265" spans="1:18" x14ac:dyDescent="0.25">
      <c r="A1265" s="170">
        <v>43867</v>
      </c>
      <c r="B1265" s="116">
        <v>12.5</v>
      </c>
      <c r="C1265" s="116">
        <v>12.15</v>
      </c>
      <c r="D1265" s="116">
        <v>12.1</v>
      </c>
      <c r="E1265" s="116">
        <v>12.4</v>
      </c>
      <c r="F1265" s="116">
        <v>60.75</v>
      </c>
      <c r="G1265">
        <v>837148</v>
      </c>
      <c r="H1265" s="116"/>
      <c r="I1265" s="116"/>
      <c r="L1265" s="170">
        <v>43867</v>
      </c>
      <c r="M1265" s="116">
        <v>12.16</v>
      </c>
      <c r="N1265" s="116">
        <v>12.47</v>
      </c>
      <c r="O1265" s="116">
        <v>12.1</v>
      </c>
      <c r="P1265" s="116">
        <v>12.46</v>
      </c>
      <c r="Q1265" s="116">
        <v>60.8</v>
      </c>
      <c r="R1265">
        <v>10491714</v>
      </c>
    </row>
    <row r="1266" spans="1:18" x14ac:dyDescent="0.25">
      <c r="A1266" s="170">
        <v>43868</v>
      </c>
      <c r="B1266" s="116">
        <v>12.35</v>
      </c>
      <c r="C1266" s="116">
        <v>12.17</v>
      </c>
      <c r="D1266" s="116">
        <v>12.04</v>
      </c>
      <c r="E1266" s="116">
        <v>12.12</v>
      </c>
      <c r="F1266" s="116">
        <v>60.85</v>
      </c>
      <c r="G1266">
        <v>487968</v>
      </c>
      <c r="H1266" s="116"/>
      <c r="I1266" s="116"/>
      <c r="L1266" s="170">
        <v>43868</v>
      </c>
      <c r="M1266" s="116">
        <v>12.17</v>
      </c>
      <c r="N1266" s="116">
        <v>12.36</v>
      </c>
      <c r="O1266" s="116">
        <v>12.04</v>
      </c>
      <c r="P1266" s="116">
        <v>12.14</v>
      </c>
      <c r="Q1266" s="116">
        <v>60.85</v>
      </c>
      <c r="R1266">
        <v>4877776</v>
      </c>
    </row>
    <row r="1267" spans="1:18" x14ac:dyDescent="0.25">
      <c r="A1267" s="170">
        <v>43871</v>
      </c>
      <c r="B1267" s="116">
        <v>12.2</v>
      </c>
      <c r="C1267" s="116">
        <v>11.97</v>
      </c>
      <c r="D1267" s="116">
        <v>11.84</v>
      </c>
      <c r="E1267" s="116">
        <v>12.2</v>
      </c>
      <c r="F1267" s="116">
        <v>59.85</v>
      </c>
      <c r="G1267">
        <v>383544</v>
      </c>
      <c r="H1267" s="116"/>
      <c r="I1267" s="116"/>
      <c r="L1267" s="170">
        <v>43871</v>
      </c>
      <c r="M1267" s="116">
        <v>11.98</v>
      </c>
      <c r="N1267" s="116">
        <v>12.2</v>
      </c>
      <c r="O1267" s="116">
        <v>11.84</v>
      </c>
      <c r="P1267" s="116">
        <v>12.2</v>
      </c>
      <c r="Q1267" s="116">
        <v>59.9</v>
      </c>
      <c r="R1267">
        <v>6218372</v>
      </c>
    </row>
    <row r="1268" spans="1:18" x14ac:dyDescent="0.25">
      <c r="A1268" s="170">
        <v>43872</v>
      </c>
      <c r="B1268" s="116">
        <v>12.19</v>
      </c>
      <c r="C1268" s="116">
        <v>12.02</v>
      </c>
      <c r="D1268" s="116">
        <v>11.89</v>
      </c>
      <c r="E1268" s="116">
        <v>12.06</v>
      </c>
      <c r="F1268" s="116">
        <v>60.1</v>
      </c>
      <c r="G1268">
        <v>870342</v>
      </c>
      <c r="H1268" s="116"/>
      <c r="I1268" s="116"/>
      <c r="L1268" s="170">
        <v>43872</v>
      </c>
      <c r="M1268" s="116">
        <v>12.03</v>
      </c>
      <c r="N1268" s="116">
        <v>12.2</v>
      </c>
      <c r="O1268" s="116">
        <v>11.9</v>
      </c>
      <c r="P1268" s="116">
        <v>11.96</v>
      </c>
      <c r="Q1268" s="116">
        <v>60.15</v>
      </c>
      <c r="R1268">
        <v>5724445</v>
      </c>
    </row>
    <row r="1269" spans="1:18" x14ac:dyDescent="0.25">
      <c r="A1269" s="170">
        <v>43873</v>
      </c>
      <c r="B1269" s="116">
        <v>12.22</v>
      </c>
      <c r="C1269" s="116">
        <v>12.09</v>
      </c>
      <c r="D1269" s="116">
        <v>11.95</v>
      </c>
      <c r="E1269" s="116">
        <v>12.02</v>
      </c>
      <c r="F1269" s="116">
        <v>60.45</v>
      </c>
      <c r="G1269">
        <v>473884</v>
      </c>
      <c r="H1269" s="116"/>
      <c r="I1269" s="116"/>
      <c r="L1269" s="170">
        <v>43873</v>
      </c>
      <c r="M1269" s="116">
        <v>12.09</v>
      </c>
      <c r="N1269" s="116">
        <v>12.22</v>
      </c>
      <c r="O1269" s="116">
        <v>11.96</v>
      </c>
      <c r="P1269" s="116">
        <v>12.03</v>
      </c>
      <c r="Q1269" s="116">
        <v>60.45</v>
      </c>
      <c r="R1269">
        <v>4788293</v>
      </c>
    </row>
    <row r="1270" spans="1:18" x14ac:dyDescent="0.25">
      <c r="A1270" s="170">
        <v>43874</v>
      </c>
      <c r="B1270" s="116">
        <v>12.22</v>
      </c>
      <c r="C1270" s="116">
        <v>12.03</v>
      </c>
      <c r="D1270" s="116">
        <v>11.94</v>
      </c>
      <c r="E1270" s="116">
        <v>12.09</v>
      </c>
      <c r="F1270" s="116">
        <v>60.15</v>
      </c>
      <c r="G1270">
        <v>758416</v>
      </c>
      <c r="H1270" s="116"/>
      <c r="I1270" s="116"/>
      <c r="L1270" s="170">
        <v>43874</v>
      </c>
      <c r="M1270" s="116">
        <v>12.02</v>
      </c>
      <c r="N1270" s="116">
        <v>12.23</v>
      </c>
      <c r="O1270" s="116">
        <v>11.92</v>
      </c>
      <c r="P1270" s="116">
        <v>12.12</v>
      </c>
      <c r="Q1270" s="116">
        <v>60.1</v>
      </c>
      <c r="R1270">
        <v>6296965</v>
      </c>
    </row>
    <row r="1271" spans="1:18" x14ac:dyDescent="0.25">
      <c r="A1271" s="170">
        <v>43875</v>
      </c>
      <c r="B1271" s="116">
        <v>12.1</v>
      </c>
      <c r="C1271" s="116">
        <v>11.91</v>
      </c>
      <c r="D1271" s="116">
        <v>11.77</v>
      </c>
      <c r="E1271" s="116">
        <v>12.06</v>
      </c>
      <c r="F1271" s="116">
        <v>59.55</v>
      </c>
      <c r="G1271">
        <v>525986</v>
      </c>
      <c r="H1271" s="116"/>
      <c r="I1271" s="116"/>
      <c r="L1271" s="170">
        <v>43875</v>
      </c>
      <c r="M1271" s="116">
        <v>11.92</v>
      </c>
      <c r="N1271" s="116">
        <v>12.1</v>
      </c>
      <c r="O1271" s="116">
        <v>11.78</v>
      </c>
      <c r="P1271" s="116">
        <v>12.05</v>
      </c>
      <c r="Q1271" s="116">
        <v>59.6</v>
      </c>
      <c r="R1271">
        <v>7427284</v>
      </c>
    </row>
    <row r="1272" spans="1:18" x14ac:dyDescent="0.25">
      <c r="A1272" s="170">
        <v>43878</v>
      </c>
      <c r="B1272" s="116">
        <v>11.91</v>
      </c>
      <c r="C1272" s="116">
        <v>11.5</v>
      </c>
      <c r="D1272" s="116">
        <v>11.3</v>
      </c>
      <c r="E1272" s="116">
        <v>11.91</v>
      </c>
      <c r="F1272" s="116">
        <v>57.5</v>
      </c>
      <c r="G1272">
        <v>303266</v>
      </c>
      <c r="H1272" s="116"/>
      <c r="I1272" s="116"/>
      <c r="L1272" s="170">
        <v>43878</v>
      </c>
      <c r="M1272" s="116">
        <v>11.51</v>
      </c>
      <c r="N1272" s="116">
        <v>11.89</v>
      </c>
      <c r="O1272" s="116">
        <v>11.31</v>
      </c>
      <c r="P1272" s="116">
        <v>11.86</v>
      </c>
      <c r="Q1272" s="116">
        <v>57.55</v>
      </c>
      <c r="R1272">
        <v>4879254</v>
      </c>
    </row>
    <row r="1273" spans="1:18" x14ac:dyDescent="0.25">
      <c r="A1273" s="170">
        <v>43879</v>
      </c>
      <c r="B1273" s="116">
        <v>11.42</v>
      </c>
      <c r="C1273" s="116">
        <v>11.34</v>
      </c>
      <c r="D1273" s="116">
        <v>11.06</v>
      </c>
      <c r="E1273" s="116">
        <v>11.2</v>
      </c>
      <c r="F1273" s="116">
        <v>56.7</v>
      </c>
      <c r="G1273">
        <v>642829</v>
      </c>
      <c r="H1273" s="116"/>
      <c r="I1273" s="116"/>
      <c r="L1273" s="170">
        <v>43879</v>
      </c>
      <c r="M1273" s="116">
        <v>11.35</v>
      </c>
      <c r="N1273" s="116">
        <v>11.4</v>
      </c>
      <c r="O1273" s="116">
        <v>11.05</v>
      </c>
      <c r="P1273" s="116">
        <v>11.22</v>
      </c>
      <c r="Q1273" s="116">
        <v>56.75</v>
      </c>
      <c r="R1273">
        <v>9016531</v>
      </c>
    </row>
    <row r="1274" spans="1:18" x14ac:dyDescent="0.25">
      <c r="A1274" s="170">
        <v>43880</v>
      </c>
      <c r="B1274" s="116">
        <v>11.81</v>
      </c>
      <c r="C1274" s="116">
        <v>11.64</v>
      </c>
      <c r="D1274" s="116">
        <v>11.3</v>
      </c>
      <c r="E1274" s="116">
        <v>11.4</v>
      </c>
      <c r="F1274" s="116">
        <v>58.2</v>
      </c>
      <c r="G1274">
        <v>2019272</v>
      </c>
      <c r="H1274" s="116"/>
      <c r="I1274" s="116"/>
      <c r="L1274" s="170">
        <v>43880</v>
      </c>
      <c r="M1274" s="116">
        <v>11.69</v>
      </c>
      <c r="N1274" s="116">
        <v>11.82</v>
      </c>
      <c r="O1274" s="116">
        <v>11.29</v>
      </c>
      <c r="P1274" s="116">
        <v>11.45</v>
      </c>
      <c r="Q1274" s="116">
        <v>58.45</v>
      </c>
      <c r="R1274">
        <v>7146637</v>
      </c>
    </row>
    <row r="1275" spans="1:18" x14ac:dyDescent="0.25">
      <c r="A1275" s="170">
        <v>43881</v>
      </c>
      <c r="B1275" s="116">
        <v>11.78</v>
      </c>
      <c r="C1275" s="116">
        <v>11.53</v>
      </c>
      <c r="D1275" s="116">
        <v>11.44</v>
      </c>
      <c r="E1275" s="116">
        <v>11.64</v>
      </c>
      <c r="F1275" s="116">
        <v>57.65</v>
      </c>
      <c r="G1275">
        <v>339923</v>
      </c>
      <c r="H1275" s="116"/>
      <c r="I1275" s="116"/>
      <c r="L1275" s="170">
        <v>43881</v>
      </c>
      <c r="M1275" s="116">
        <v>11.53</v>
      </c>
      <c r="N1275" s="116">
        <v>11.78</v>
      </c>
      <c r="O1275" s="116">
        <v>11.44</v>
      </c>
      <c r="P1275" s="116">
        <v>11.65</v>
      </c>
      <c r="Q1275" s="116">
        <v>57.65</v>
      </c>
      <c r="R1275">
        <v>4518689</v>
      </c>
    </row>
    <row r="1276" spans="1:18" x14ac:dyDescent="0.25">
      <c r="A1276" s="170">
        <v>43885</v>
      </c>
      <c r="B1276" s="116">
        <v>11.53</v>
      </c>
      <c r="C1276" s="116">
        <v>11.21</v>
      </c>
      <c r="D1276" s="116">
        <v>11.17</v>
      </c>
      <c r="E1276" s="116">
        <v>11.45</v>
      </c>
      <c r="F1276" s="116">
        <v>56.05</v>
      </c>
      <c r="G1276">
        <v>294994</v>
      </c>
      <c r="H1276" s="116"/>
      <c r="I1276" s="116"/>
      <c r="L1276" s="170">
        <v>43885</v>
      </c>
      <c r="M1276" s="116">
        <v>11.21</v>
      </c>
      <c r="N1276" s="116">
        <v>11.55</v>
      </c>
      <c r="O1276" s="116">
        <v>11.16</v>
      </c>
      <c r="P1276" s="116">
        <v>11.4</v>
      </c>
      <c r="Q1276" s="116">
        <v>56.05</v>
      </c>
      <c r="R1276">
        <v>2857286</v>
      </c>
    </row>
    <row r="1277" spans="1:18" x14ac:dyDescent="0.25">
      <c r="A1277" s="170">
        <v>43886</v>
      </c>
      <c r="B1277" s="116">
        <v>11.41</v>
      </c>
      <c r="C1277" s="116">
        <v>11.2</v>
      </c>
      <c r="D1277" s="116">
        <v>11.16</v>
      </c>
      <c r="E1277" s="116">
        <v>11.24</v>
      </c>
      <c r="F1277" s="116">
        <v>56</v>
      </c>
      <c r="G1277">
        <v>568353</v>
      </c>
      <c r="H1277" s="116"/>
      <c r="I1277" s="116"/>
      <c r="L1277" s="170">
        <v>43886</v>
      </c>
      <c r="M1277" s="116">
        <v>11.21</v>
      </c>
      <c r="N1277" s="116">
        <v>11.42</v>
      </c>
      <c r="O1277" s="116">
        <v>11.14</v>
      </c>
      <c r="P1277" s="116">
        <v>11.22</v>
      </c>
      <c r="Q1277" s="116">
        <v>56.05</v>
      </c>
      <c r="R1277">
        <v>4336908</v>
      </c>
    </row>
    <row r="1278" spans="1:18" x14ac:dyDescent="0.25">
      <c r="A1278" s="170">
        <v>43887</v>
      </c>
      <c r="B1278" s="116">
        <v>11.2</v>
      </c>
      <c r="C1278" s="116">
        <v>10.91</v>
      </c>
      <c r="D1278" s="116">
        <v>10.77</v>
      </c>
      <c r="E1278" s="116">
        <v>11.11</v>
      </c>
      <c r="F1278" s="116">
        <v>54.55</v>
      </c>
      <c r="G1278">
        <v>681363</v>
      </c>
      <c r="H1278" s="116"/>
      <c r="I1278" s="116"/>
      <c r="L1278" s="170">
        <v>43887</v>
      </c>
      <c r="M1278" s="116">
        <v>10.89</v>
      </c>
      <c r="N1278" s="116">
        <v>11.23</v>
      </c>
      <c r="O1278" s="116">
        <v>10.76</v>
      </c>
      <c r="P1278" s="116">
        <v>11.11</v>
      </c>
      <c r="Q1278" s="116">
        <v>54.45</v>
      </c>
      <c r="R1278">
        <v>9107030</v>
      </c>
    </row>
    <row r="1279" spans="1:18" x14ac:dyDescent="0.25">
      <c r="A1279" s="170">
        <v>43888</v>
      </c>
      <c r="B1279" s="116">
        <v>11.1</v>
      </c>
      <c r="C1279" s="116">
        <v>10.56</v>
      </c>
      <c r="D1279" s="116">
        <v>10.48</v>
      </c>
      <c r="E1279" s="116">
        <v>11.1</v>
      </c>
      <c r="F1279" s="116">
        <v>52.8</v>
      </c>
      <c r="G1279">
        <v>370330</v>
      </c>
      <c r="H1279" s="116"/>
      <c r="I1279" s="116"/>
      <c r="L1279" s="170">
        <v>43888</v>
      </c>
      <c r="M1279" s="116">
        <v>10.56</v>
      </c>
      <c r="N1279" s="116">
        <v>10.94</v>
      </c>
      <c r="O1279" s="116">
        <v>10.48</v>
      </c>
      <c r="P1279" s="116">
        <v>10.9</v>
      </c>
      <c r="Q1279" s="116">
        <v>52.8</v>
      </c>
      <c r="R1279">
        <v>6132453</v>
      </c>
    </row>
    <row r="1280" spans="1:18" x14ac:dyDescent="0.25">
      <c r="A1280" s="170">
        <v>43889</v>
      </c>
      <c r="B1280" s="116">
        <v>10.34</v>
      </c>
      <c r="C1280" s="116">
        <v>9.4600000000000009</v>
      </c>
      <c r="D1280" s="116">
        <v>9.3000000000000007</v>
      </c>
      <c r="E1280" s="116">
        <v>10.3</v>
      </c>
      <c r="F1280" s="116">
        <v>47.3</v>
      </c>
      <c r="G1280">
        <v>720048</v>
      </c>
      <c r="H1280" s="116"/>
      <c r="I1280" s="116"/>
      <c r="L1280" s="170">
        <v>43889</v>
      </c>
      <c r="M1280" s="116">
        <v>9.4600000000000009</v>
      </c>
      <c r="N1280" s="116">
        <v>10.34</v>
      </c>
      <c r="O1280" s="116">
        <v>9.3000000000000007</v>
      </c>
      <c r="P1280" s="116">
        <v>10.199999999999999</v>
      </c>
      <c r="Q1280" s="116">
        <v>47.3</v>
      </c>
      <c r="R1280">
        <v>12816929</v>
      </c>
    </row>
    <row r="1281" spans="1:18" x14ac:dyDescent="0.25">
      <c r="A1281" s="170">
        <v>43892</v>
      </c>
      <c r="B1281" s="116">
        <v>10</v>
      </c>
      <c r="C1281" s="116">
        <v>9.4</v>
      </c>
      <c r="D1281" s="116">
        <v>9.3000000000000007</v>
      </c>
      <c r="E1281" s="116">
        <v>9.8000000000000007</v>
      </c>
      <c r="F1281" s="116">
        <v>47</v>
      </c>
      <c r="G1281">
        <v>994731</v>
      </c>
      <c r="H1281" s="116"/>
      <c r="I1281" s="116"/>
      <c r="L1281" s="170">
        <v>43892</v>
      </c>
      <c r="M1281" s="116">
        <v>9.41</v>
      </c>
      <c r="N1281" s="116">
        <v>10.01</v>
      </c>
      <c r="O1281" s="116">
        <v>9.2899999999999991</v>
      </c>
      <c r="P1281" s="116">
        <v>9.84</v>
      </c>
      <c r="Q1281" s="116">
        <v>47.05</v>
      </c>
      <c r="R1281">
        <v>9497793</v>
      </c>
    </row>
    <row r="1282" spans="1:18" x14ac:dyDescent="0.25">
      <c r="A1282" s="170">
        <v>43893</v>
      </c>
      <c r="B1282" s="116">
        <v>9.92</v>
      </c>
      <c r="C1282" s="116">
        <v>9.7899999999999991</v>
      </c>
      <c r="D1282" s="116">
        <v>9.52</v>
      </c>
      <c r="E1282" s="116">
        <v>9.52</v>
      </c>
      <c r="F1282" s="116">
        <v>48.95</v>
      </c>
      <c r="G1282">
        <v>636277</v>
      </c>
      <c r="H1282" s="116"/>
      <c r="I1282" s="116"/>
      <c r="L1282" s="170">
        <v>43893</v>
      </c>
      <c r="M1282" s="116">
        <v>9.7799999999999994</v>
      </c>
      <c r="N1282" s="116">
        <v>9.93</v>
      </c>
      <c r="O1282" s="116">
        <v>9.5500000000000007</v>
      </c>
      <c r="P1282" s="116">
        <v>9.61</v>
      </c>
      <c r="Q1282" s="116">
        <v>48.9</v>
      </c>
      <c r="R1282">
        <v>7774434</v>
      </c>
    </row>
    <row r="1283" spans="1:18" x14ac:dyDescent="0.25">
      <c r="A1283" s="170">
        <v>43894</v>
      </c>
      <c r="B1283" s="116">
        <v>9.7899999999999991</v>
      </c>
      <c r="C1283" s="116">
        <v>9.52</v>
      </c>
      <c r="D1283" s="116">
        <v>9.2100000000000009</v>
      </c>
      <c r="E1283" s="116">
        <v>9.7899999999999991</v>
      </c>
      <c r="F1283" s="116">
        <v>47.6</v>
      </c>
      <c r="G1283">
        <v>2612508</v>
      </c>
      <c r="H1283" s="116"/>
      <c r="I1283" s="116"/>
      <c r="L1283" s="170">
        <v>43894</v>
      </c>
      <c r="M1283" s="116">
        <v>9.5299999999999994</v>
      </c>
      <c r="N1283" s="116">
        <v>9.7799999999999994</v>
      </c>
      <c r="O1283" s="116">
        <v>9.1999999999999993</v>
      </c>
      <c r="P1283" s="116">
        <v>9.6999999999999993</v>
      </c>
      <c r="Q1283" s="116">
        <v>47.65</v>
      </c>
      <c r="R1283">
        <v>9510975</v>
      </c>
    </row>
    <row r="1284" spans="1:18" x14ac:dyDescent="0.25">
      <c r="A1284" s="170">
        <v>43895</v>
      </c>
      <c r="B1284" s="116">
        <v>9.66</v>
      </c>
      <c r="C1284" s="116">
        <v>9.34</v>
      </c>
      <c r="D1284" s="116">
        <v>9.2799999999999994</v>
      </c>
      <c r="E1284" s="116">
        <v>9.5399999999999991</v>
      </c>
      <c r="F1284" s="116">
        <v>46.7</v>
      </c>
      <c r="G1284">
        <v>495787</v>
      </c>
      <c r="H1284" s="116"/>
      <c r="I1284" s="116"/>
      <c r="L1284" s="170">
        <v>43895</v>
      </c>
      <c r="M1284" s="116">
        <v>9.35</v>
      </c>
      <c r="N1284" s="116">
        <v>9.66</v>
      </c>
      <c r="O1284" s="116">
        <v>9.27</v>
      </c>
      <c r="P1284" s="116">
        <v>9.5</v>
      </c>
      <c r="Q1284" s="116">
        <v>46.75</v>
      </c>
      <c r="R1284">
        <v>9256866</v>
      </c>
    </row>
    <row r="1285" spans="1:18" x14ac:dyDescent="0.25">
      <c r="A1285" s="170">
        <v>43896</v>
      </c>
      <c r="B1285" s="116">
        <v>8.92</v>
      </c>
      <c r="C1285" s="116">
        <v>8.81</v>
      </c>
      <c r="D1285" s="116">
        <v>8.49</v>
      </c>
      <c r="E1285" s="116">
        <v>8.7799999999999994</v>
      </c>
      <c r="F1285" s="116">
        <v>44.05</v>
      </c>
      <c r="G1285">
        <v>423931</v>
      </c>
      <c r="H1285" s="116"/>
      <c r="I1285" s="116"/>
      <c r="L1285" s="170">
        <v>43896</v>
      </c>
      <c r="M1285" s="116">
        <v>8.82</v>
      </c>
      <c r="N1285" s="116">
        <v>8.92</v>
      </c>
      <c r="O1285" s="116">
        <v>8.43</v>
      </c>
      <c r="P1285" s="116">
        <v>8.6</v>
      </c>
      <c r="Q1285" s="116">
        <v>44.1</v>
      </c>
      <c r="R1285">
        <v>5363133</v>
      </c>
    </row>
    <row r="1286" spans="1:18" x14ac:dyDescent="0.25">
      <c r="A1286" s="170">
        <v>43899</v>
      </c>
      <c r="B1286" s="116">
        <v>8.73</v>
      </c>
      <c r="C1286" s="116">
        <v>8.15</v>
      </c>
      <c r="D1286" s="116">
        <v>8</v>
      </c>
      <c r="E1286" s="116">
        <v>8.73</v>
      </c>
      <c r="F1286" s="116">
        <v>40.75</v>
      </c>
      <c r="G1286">
        <v>631056</v>
      </c>
      <c r="H1286" s="116"/>
      <c r="I1286" s="116"/>
      <c r="L1286" s="170">
        <v>43899</v>
      </c>
      <c r="M1286" s="116">
        <v>8.15</v>
      </c>
      <c r="N1286" s="116">
        <v>8.6999999999999993</v>
      </c>
      <c r="O1286" s="116">
        <v>7.97</v>
      </c>
      <c r="P1286" s="116">
        <v>8.66</v>
      </c>
      <c r="Q1286" s="116">
        <v>40.75</v>
      </c>
      <c r="R1286">
        <v>6931134</v>
      </c>
    </row>
    <row r="1287" spans="1:18" x14ac:dyDescent="0.25">
      <c r="A1287" s="170">
        <v>43901</v>
      </c>
      <c r="B1287" s="116">
        <v>8.4600000000000009</v>
      </c>
      <c r="C1287" s="116">
        <v>8.23</v>
      </c>
      <c r="D1287" s="116">
        <v>8.0399999999999991</v>
      </c>
      <c r="E1287" s="116">
        <v>8.24</v>
      </c>
      <c r="F1287" s="116">
        <v>41.15</v>
      </c>
      <c r="G1287">
        <v>1340510</v>
      </c>
      <c r="H1287" s="116"/>
      <c r="I1287" s="116"/>
      <c r="L1287" s="170">
        <v>43901</v>
      </c>
      <c r="M1287" s="116">
        <v>8.24</v>
      </c>
      <c r="N1287" s="116">
        <v>8.5500000000000007</v>
      </c>
      <c r="O1287" s="116">
        <v>8.01</v>
      </c>
      <c r="P1287" s="116">
        <v>8.1</v>
      </c>
      <c r="Q1287" s="116">
        <v>41.2</v>
      </c>
      <c r="R1287">
        <v>8429950</v>
      </c>
    </row>
    <row r="1288" spans="1:18" x14ac:dyDescent="0.25">
      <c r="A1288" s="170">
        <v>43902</v>
      </c>
      <c r="B1288" s="116">
        <v>7.84</v>
      </c>
      <c r="C1288" s="116">
        <v>6.07</v>
      </c>
      <c r="D1288" s="116">
        <v>5.95</v>
      </c>
      <c r="E1288" s="116">
        <v>7.6</v>
      </c>
      <c r="F1288" s="116">
        <v>30.35</v>
      </c>
      <c r="G1288">
        <v>1959161</v>
      </c>
      <c r="H1288" s="116"/>
      <c r="I1288" s="116"/>
      <c r="L1288" s="170">
        <v>43902</v>
      </c>
      <c r="M1288" s="116">
        <v>6.06</v>
      </c>
      <c r="N1288" s="116">
        <v>7.96</v>
      </c>
      <c r="O1288" s="116">
        <v>5.94</v>
      </c>
      <c r="P1288" s="116">
        <v>7.59</v>
      </c>
      <c r="Q1288" s="116">
        <v>30.3</v>
      </c>
      <c r="R1288">
        <v>25003394</v>
      </c>
    </row>
    <row r="1289" spans="1:18" x14ac:dyDescent="0.25">
      <c r="A1289" s="170">
        <v>43903</v>
      </c>
      <c r="B1289" s="116">
        <v>6.34</v>
      </c>
      <c r="C1289" s="116">
        <v>6.17</v>
      </c>
      <c r="D1289" s="116">
        <v>4.8600000000000003</v>
      </c>
      <c r="E1289" s="116">
        <v>5.68</v>
      </c>
      <c r="F1289" s="116">
        <v>30.85</v>
      </c>
      <c r="G1289">
        <v>2527726</v>
      </c>
      <c r="H1289" s="116"/>
      <c r="I1289" s="116"/>
      <c r="L1289" s="170">
        <v>43903</v>
      </c>
      <c r="M1289" s="116">
        <v>6.19</v>
      </c>
      <c r="N1289" s="116">
        <v>6.34</v>
      </c>
      <c r="O1289" s="116">
        <v>4.5999999999999996</v>
      </c>
      <c r="P1289" s="116">
        <v>5.46</v>
      </c>
      <c r="Q1289" s="116">
        <v>30.95</v>
      </c>
      <c r="R1289">
        <v>20770964</v>
      </c>
    </row>
    <row r="1290" spans="1:18" x14ac:dyDescent="0.25">
      <c r="A1290" s="170">
        <v>43906</v>
      </c>
      <c r="B1290" s="116">
        <v>6.06</v>
      </c>
      <c r="C1290" s="116">
        <v>5.69</v>
      </c>
      <c r="D1290" s="116">
        <v>5.56</v>
      </c>
      <c r="E1290" s="116">
        <v>5.92</v>
      </c>
      <c r="F1290" s="116">
        <v>28.45</v>
      </c>
      <c r="G1290">
        <v>1335371</v>
      </c>
      <c r="H1290" s="116"/>
      <c r="I1290" s="116"/>
      <c r="L1290" s="170">
        <v>43906</v>
      </c>
      <c r="M1290" s="116">
        <v>5.69</v>
      </c>
      <c r="N1290" s="116">
        <v>6.06</v>
      </c>
      <c r="O1290" s="116">
        <v>5.4</v>
      </c>
      <c r="P1290" s="116">
        <v>5.84</v>
      </c>
      <c r="Q1290" s="116">
        <v>28.45</v>
      </c>
      <c r="R1290">
        <v>11982290</v>
      </c>
    </row>
    <row r="1291" spans="1:18" x14ac:dyDescent="0.25">
      <c r="A1291" s="170">
        <v>43907</v>
      </c>
      <c r="B1291" s="116">
        <v>5.95</v>
      </c>
      <c r="C1291" s="116">
        <v>5.38</v>
      </c>
      <c r="D1291" s="116">
        <v>5.23</v>
      </c>
      <c r="E1291" s="116">
        <v>5.65</v>
      </c>
      <c r="F1291" s="116">
        <v>26.9</v>
      </c>
      <c r="G1291">
        <v>1873312</v>
      </c>
      <c r="H1291" s="116"/>
      <c r="I1291" s="116"/>
      <c r="L1291" s="170">
        <v>43907</v>
      </c>
      <c r="M1291" s="116">
        <v>5.37</v>
      </c>
      <c r="N1291" s="116">
        <v>5.95</v>
      </c>
      <c r="O1291" s="116">
        <v>5.22</v>
      </c>
      <c r="P1291" s="116">
        <v>5.7</v>
      </c>
      <c r="Q1291" s="116">
        <v>26.85</v>
      </c>
      <c r="R1291">
        <v>13828097</v>
      </c>
    </row>
    <row r="1292" spans="1:18" x14ac:dyDescent="0.25">
      <c r="A1292" s="170">
        <v>43908</v>
      </c>
      <c r="B1292" s="116">
        <v>5.75</v>
      </c>
      <c r="C1292" s="116">
        <v>5.63</v>
      </c>
      <c r="D1292" s="116">
        <v>5.31</v>
      </c>
      <c r="E1292" s="116">
        <v>5.6</v>
      </c>
      <c r="F1292" s="116">
        <v>28.15</v>
      </c>
      <c r="G1292">
        <v>1928579</v>
      </c>
      <c r="H1292" s="116"/>
      <c r="I1292" s="116"/>
      <c r="L1292" s="170">
        <v>43908</v>
      </c>
      <c r="M1292" s="116">
        <v>5.63</v>
      </c>
      <c r="N1292" s="116">
        <v>5.76</v>
      </c>
      <c r="O1292" s="116">
        <v>5.32</v>
      </c>
      <c r="P1292" s="116">
        <v>5.6</v>
      </c>
      <c r="Q1292" s="116">
        <v>28.15</v>
      </c>
      <c r="R1292">
        <v>13702802</v>
      </c>
    </row>
    <row r="1293" spans="1:18" x14ac:dyDescent="0.25">
      <c r="A1293" s="170">
        <v>43909</v>
      </c>
      <c r="B1293" s="116">
        <v>5.61</v>
      </c>
      <c r="C1293" s="116">
        <v>5.4</v>
      </c>
      <c r="D1293" s="116">
        <v>5.07</v>
      </c>
      <c r="E1293" s="116">
        <v>5.32</v>
      </c>
      <c r="F1293" s="116">
        <v>27</v>
      </c>
      <c r="G1293">
        <v>1732704</v>
      </c>
      <c r="H1293" s="116"/>
      <c r="I1293" s="116"/>
      <c r="L1293" s="170">
        <v>43909</v>
      </c>
      <c r="M1293" s="116">
        <v>5.4</v>
      </c>
      <c r="N1293" s="116">
        <v>5.6</v>
      </c>
      <c r="O1293" s="116">
        <v>4.8</v>
      </c>
      <c r="P1293" s="116">
        <v>5.4</v>
      </c>
      <c r="Q1293" s="116">
        <v>27</v>
      </c>
      <c r="R1293">
        <v>13335416</v>
      </c>
    </row>
    <row r="1294" spans="1:18" x14ac:dyDescent="0.25">
      <c r="A1294" s="170">
        <v>43910</v>
      </c>
      <c r="B1294" s="116">
        <v>5.9</v>
      </c>
      <c r="C1294" s="116">
        <v>5.81</v>
      </c>
      <c r="D1294" s="116">
        <v>5.35</v>
      </c>
      <c r="E1294" s="116">
        <v>5.6</v>
      </c>
      <c r="F1294" s="116">
        <v>29.05</v>
      </c>
      <c r="G1294">
        <v>2345790</v>
      </c>
      <c r="H1294" s="116"/>
      <c r="I1294" s="116"/>
      <c r="L1294" s="170">
        <v>43910</v>
      </c>
      <c r="M1294" s="116">
        <v>5.81</v>
      </c>
      <c r="N1294" s="116">
        <v>5.89</v>
      </c>
      <c r="O1294" s="116">
        <v>5.34</v>
      </c>
      <c r="P1294" s="116">
        <v>5.7</v>
      </c>
      <c r="Q1294" s="116">
        <v>29.05</v>
      </c>
      <c r="R1294">
        <v>12103072</v>
      </c>
    </row>
    <row r="1295" spans="1:18" x14ac:dyDescent="0.25">
      <c r="A1295" s="170">
        <v>43913</v>
      </c>
      <c r="B1295" s="116">
        <v>5.55</v>
      </c>
      <c r="C1295" s="116">
        <v>5.14</v>
      </c>
      <c r="D1295" s="116">
        <v>5.05</v>
      </c>
      <c r="E1295" s="116">
        <v>5.5</v>
      </c>
      <c r="F1295" s="116">
        <v>25.7</v>
      </c>
      <c r="G1295">
        <v>532258</v>
      </c>
      <c r="H1295" s="116"/>
      <c r="I1295" s="116"/>
      <c r="L1295" s="170">
        <v>43913</v>
      </c>
      <c r="M1295" s="116">
        <v>5.13</v>
      </c>
      <c r="N1295" s="116">
        <v>5.56</v>
      </c>
      <c r="O1295" s="116">
        <v>5.0599999999999996</v>
      </c>
      <c r="P1295" s="116">
        <v>5.23</v>
      </c>
      <c r="Q1295" s="116">
        <v>25.65</v>
      </c>
      <c r="R1295">
        <v>4609535</v>
      </c>
    </row>
    <row r="1296" spans="1:18" x14ac:dyDescent="0.25">
      <c r="A1296" s="170">
        <v>43914</v>
      </c>
      <c r="B1296" s="116">
        <v>5.68</v>
      </c>
      <c r="C1296" s="116">
        <v>5.6</v>
      </c>
      <c r="D1296" s="116">
        <v>5.14</v>
      </c>
      <c r="E1296" s="116">
        <v>5.34</v>
      </c>
      <c r="F1296" s="116">
        <v>28</v>
      </c>
      <c r="G1296">
        <v>547038</v>
      </c>
      <c r="H1296" s="116"/>
      <c r="I1296" s="116"/>
      <c r="L1296" s="170">
        <v>43914</v>
      </c>
      <c r="M1296" s="116">
        <v>5.59</v>
      </c>
      <c r="N1296" s="116">
        <v>5.69</v>
      </c>
      <c r="O1296" s="116">
        <v>5.13</v>
      </c>
      <c r="P1296" s="116">
        <v>5.47</v>
      </c>
      <c r="Q1296" s="116">
        <v>27.95</v>
      </c>
      <c r="R1296">
        <v>7520328</v>
      </c>
    </row>
    <row r="1297" spans="1:18" x14ac:dyDescent="0.25">
      <c r="A1297" s="170">
        <v>43915</v>
      </c>
      <c r="B1297" s="116">
        <v>5.82</v>
      </c>
      <c r="C1297" s="116">
        <v>5.71</v>
      </c>
      <c r="D1297" s="116">
        <v>5.49</v>
      </c>
      <c r="E1297" s="116">
        <v>5.59</v>
      </c>
      <c r="F1297" s="116">
        <v>28.55</v>
      </c>
      <c r="G1297">
        <v>422200</v>
      </c>
      <c r="H1297" s="116"/>
      <c r="I1297" s="116"/>
      <c r="L1297" s="170">
        <v>43915</v>
      </c>
      <c r="M1297" s="116">
        <v>5.71</v>
      </c>
      <c r="N1297" s="116">
        <v>5.82</v>
      </c>
      <c r="O1297" s="116">
        <v>5.47</v>
      </c>
      <c r="P1297" s="116">
        <v>5.59</v>
      </c>
      <c r="Q1297" s="116">
        <v>28.55</v>
      </c>
      <c r="R1297">
        <v>6050633</v>
      </c>
    </row>
    <row r="1298" spans="1:18" x14ac:dyDescent="0.25">
      <c r="A1298" s="170">
        <v>43916</v>
      </c>
      <c r="B1298" s="116">
        <v>6.2</v>
      </c>
      <c r="C1298" s="116">
        <v>6.02</v>
      </c>
      <c r="D1298" s="116">
        <v>5.61</v>
      </c>
      <c r="E1298" s="116">
        <v>5.8</v>
      </c>
      <c r="F1298" s="116">
        <v>30.1</v>
      </c>
      <c r="G1298">
        <v>896580</v>
      </c>
      <c r="H1298" s="116"/>
      <c r="I1298" s="116"/>
      <c r="L1298" s="170">
        <v>43916</v>
      </c>
      <c r="M1298" s="116">
        <v>6.02</v>
      </c>
      <c r="N1298" s="116">
        <v>6.2</v>
      </c>
      <c r="O1298" s="116">
        <v>5.61</v>
      </c>
      <c r="P1298" s="116">
        <v>5.79</v>
      </c>
      <c r="Q1298" s="116">
        <v>30.1</v>
      </c>
      <c r="R1298">
        <v>11771130</v>
      </c>
    </row>
    <row r="1299" spans="1:18" x14ac:dyDescent="0.25">
      <c r="A1299" s="170">
        <v>43917</v>
      </c>
      <c r="B1299" s="116">
        <v>6.48</v>
      </c>
      <c r="C1299" s="116">
        <v>5.52</v>
      </c>
      <c r="D1299" s="116">
        <v>5.45</v>
      </c>
      <c r="E1299" s="116">
        <v>6.2</v>
      </c>
      <c r="F1299" s="116">
        <v>27.6</v>
      </c>
      <c r="G1299">
        <v>1237727</v>
      </c>
      <c r="H1299" s="116"/>
      <c r="I1299" s="116"/>
      <c r="L1299" s="170">
        <v>43917</v>
      </c>
      <c r="M1299" s="116">
        <v>5.52</v>
      </c>
      <c r="N1299" s="116">
        <v>6.48</v>
      </c>
      <c r="O1299" s="116">
        <v>5.44</v>
      </c>
      <c r="P1299" s="116">
        <v>6.25</v>
      </c>
      <c r="Q1299" s="116">
        <v>27.6</v>
      </c>
      <c r="R1299">
        <v>14004031</v>
      </c>
    </row>
    <row r="1300" spans="1:18" x14ac:dyDescent="0.25">
      <c r="A1300" s="170">
        <v>43920</v>
      </c>
      <c r="B1300" s="116">
        <v>5.5</v>
      </c>
      <c r="C1300" s="116">
        <v>5.36</v>
      </c>
      <c r="D1300" s="116">
        <v>5.2</v>
      </c>
      <c r="E1300" s="116">
        <v>5.5</v>
      </c>
      <c r="F1300" s="116">
        <v>26.8</v>
      </c>
      <c r="G1300">
        <v>545059</v>
      </c>
      <c r="H1300" s="116"/>
      <c r="I1300" s="116"/>
      <c r="L1300" s="170">
        <v>43920</v>
      </c>
      <c r="M1300" s="116">
        <v>5.36</v>
      </c>
      <c r="N1300" s="116">
        <v>5.49</v>
      </c>
      <c r="O1300" s="116">
        <v>5.22</v>
      </c>
      <c r="P1300" s="116">
        <v>5.49</v>
      </c>
      <c r="Q1300" s="116">
        <v>26.8</v>
      </c>
      <c r="R1300">
        <v>7063132</v>
      </c>
    </row>
    <row r="1301" spans="1:18" x14ac:dyDescent="0.25">
      <c r="A1301" s="170">
        <v>43921</v>
      </c>
      <c r="B1301" s="116">
        <v>5.63</v>
      </c>
      <c r="C1301" s="116">
        <v>5.55</v>
      </c>
      <c r="D1301" s="116">
        <v>5.3</v>
      </c>
      <c r="E1301" s="116">
        <v>5.36</v>
      </c>
      <c r="F1301" s="116">
        <v>27.75</v>
      </c>
      <c r="G1301">
        <v>647177</v>
      </c>
      <c r="H1301" s="116"/>
      <c r="I1301" s="116"/>
      <c r="L1301" s="170">
        <v>43921</v>
      </c>
      <c r="M1301" s="116">
        <v>5.55</v>
      </c>
      <c r="N1301" s="116">
        <v>5.66</v>
      </c>
      <c r="O1301" s="116">
        <v>5.1100000000000003</v>
      </c>
      <c r="P1301" s="116">
        <v>5.1100000000000003</v>
      </c>
      <c r="Q1301" s="116">
        <v>27.75</v>
      </c>
      <c r="R1301">
        <v>8659262</v>
      </c>
    </row>
    <row r="1302" spans="1:18" x14ac:dyDescent="0.25">
      <c r="A1302" s="170">
        <v>43922</v>
      </c>
      <c r="B1302" s="116">
        <v>5.52</v>
      </c>
      <c r="C1302" s="116">
        <v>5.36</v>
      </c>
      <c r="D1302" s="116">
        <v>5.32</v>
      </c>
      <c r="E1302" s="116">
        <v>5.5</v>
      </c>
      <c r="F1302" s="116">
        <v>26.8</v>
      </c>
      <c r="G1302">
        <v>447140</v>
      </c>
      <c r="H1302" s="116"/>
      <c r="I1302" s="116"/>
      <c r="L1302" s="170">
        <v>43922</v>
      </c>
      <c r="M1302" s="116">
        <v>5.36</v>
      </c>
      <c r="N1302" s="116">
        <v>5.58</v>
      </c>
      <c r="O1302" s="116">
        <v>5.31</v>
      </c>
      <c r="P1302" s="116">
        <v>5.55</v>
      </c>
      <c r="Q1302" s="116">
        <v>26.8</v>
      </c>
      <c r="R1302">
        <v>5854439</v>
      </c>
    </row>
    <row r="1303" spans="1:18" x14ac:dyDescent="0.25">
      <c r="A1303" s="170">
        <v>43924</v>
      </c>
      <c r="B1303" s="116">
        <v>5.63</v>
      </c>
      <c r="C1303" s="116">
        <v>5.35</v>
      </c>
      <c r="D1303" s="116">
        <v>5.2</v>
      </c>
      <c r="E1303" s="116">
        <v>5.63</v>
      </c>
      <c r="F1303" s="116">
        <v>26.75</v>
      </c>
      <c r="G1303">
        <v>495766</v>
      </c>
      <c r="H1303" s="116"/>
      <c r="I1303" s="116"/>
      <c r="L1303" s="170">
        <v>43924</v>
      </c>
      <c r="M1303" s="116">
        <v>5.35</v>
      </c>
      <c r="N1303" s="116">
        <v>5.43</v>
      </c>
      <c r="O1303" s="116">
        <v>5.16</v>
      </c>
      <c r="P1303" s="116">
        <v>5.39</v>
      </c>
      <c r="Q1303" s="116">
        <v>26.75</v>
      </c>
      <c r="R1303">
        <v>4740718</v>
      </c>
    </row>
    <row r="1304" spans="1:18" x14ac:dyDescent="0.25">
      <c r="A1304" s="170">
        <v>43928</v>
      </c>
      <c r="B1304" s="116">
        <v>5.81</v>
      </c>
      <c r="C1304" s="116">
        <v>5.76</v>
      </c>
      <c r="D1304" s="116">
        <v>5.4</v>
      </c>
      <c r="E1304" s="116">
        <v>5.45</v>
      </c>
      <c r="F1304" s="116">
        <v>28.8</v>
      </c>
      <c r="G1304">
        <v>644593</v>
      </c>
      <c r="H1304" s="116"/>
      <c r="I1304" s="116"/>
      <c r="L1304" s="170">
        <v>43928</v>
      </c>
      <c r="M1304" s="116">
        <v>5.76</v>
      </c>
      <c r="N1304" s="116">
        <v>5.82</v>
      </c>
      <c r="O1304" s="116">
        <v>5.4</v>
      </c>
      <c r="P1304" s="116">
        <v>5.5</v>
      </c>
      <c r="Q1304" s="116">
        <v>28.8</v>
      </c>
      <c r="R1304">
        <v>8053637</v>
      </c>
    </row>
    <row r="1305" spans="1:18" x14ac:dyDescent="0.25">
      <c r="A1305" s="170">
        <v>43929</v>
      </c>
      <c r="B1305" s="116">
        <v>6.22</v>
      </c>
      <c r="C1305" s="116">
        <v>5.78</v>
      </c>
      <c r="D1305" s="116">
        <v>5.53</v>
      </c>
      <c r="E1305" s="116">
        <v>5.59</v>
      </c>
      <c r="F1305" s="116">
        <v>28.9</v>
      </c>
      <c r="G1305">
        <v>750819</v>
      </c>
      <c r="H1305" s="116"/>
      <c r="I1305" s="116"/>
      <c r="L1305" s="170">
        <v>43929</v>
      </c>
      <c r="M1305" s="116">
        <v>5.79</v>
      </c>
      <c r="N1305" s="116">
        <v>6.23</v>
      </c>
      <c r="O1305" s="116">
        <v>5.5</v>
      </c>
      <c r="P1305" s="116">
        <v>5.73</v>
      </c>
      <c r="Q1305" s="116">
        <v>28.95</v>
      </c>
      <c r="R1305">
        <v>12308064</v>
      </c>
    </row>
    <row r="1306" spans="1:18" x14ac:dyDescent="0.25">
      <c r="A1306" s="170">
        <v>43930</v>
      </c>
      <c r="B1306" s="116">
        <v>6.14</v>
      </c>
      <c r="C1306" s="116">
        <v>6.08</v>
      </c>
      <c r="D1306" s="116">
        <v>5.85</v>
      </c>
      <c r="E1306" s="116">
        <v>6</v>
      </c>
      <c r="F1306" s="116">
        <v>30.4</v>
      </c>
      <c r="G1306">
        <v>672720</v>
      </c>
      <c r="H1306" s="116"/>
      <c r="I1306" s="116"/>
      <c r="L1306" s="170">
        <v>43930</v>
      </c>
      <c r="M1306" s="116">
        <v>6.08</v>
      </c>
      <c r="N1306" s="116">
        <v>6.15</v>
      </c>
      <c r="O1306" s="116">
        <v>5.84</v>
      </c>
      <c r="P1306" s="116">
        <v>5.84</v>
      </c>
      <c r="Q1306" s="116">
        <v>30.4</v>
      </c>
      <c r="R1306">
        <v>8693884</v>
      </c>
    </row>
    <row r="1307" spans="1:18" x14ac:dyDescent="0.25">
      <c r="A1307" s="170">
        <v>43934</v>
      </c>
      <c r="B1307" s="116">
        <v>6.25</v>
      </c>
      <c r="C1307" s="116">
        <v>5.93</v>
      </c>
      <c r="D1307" s="116">
        <v>5.78</v>
      </c>
      <c r="E1307" s="116">
        <v>6.19</v>
      </c>
      <c r="F1307" s="116">
        <v>29.65</v>
      </c>
      <c r="G1307">
        <v>493953</v>
      </c>
      <c r="H1307" s="116"/>
      <c r="I1307" s="116"/>
      <c r="L1307" s="170">
        <v>43934</v>
      </c>
      <c r="M1307" s="116">
        <v>5.93</v>
      </c>
      <c r="N1307" s="116">
        <v>6.26</v>
      </c>
      <c r="O1307" s="116">
        <v>5.77</v>
      </c>
      <c r="P1307" s="116">
        <v>6.12</v>
      </c>
      <c r="Q1307" s="116">
        <v>29.65</v>
      </c>
      <c r="R1307">
        <v>9137324</v>
      </c>
    </row>
    <row r="1308" spans="1:18" x14ac:dyDescent="0.25">
      <c r="A1308" s="170">
        <v>43936</v>
      </c>
      <c r="B1308" s="116">
        <v>6.23</v>
      </c>
      <c r="C1308" s="116">
        <v>5.87</v>
      </c>
      <c r="D1308" s="116">
        <v>5.82</v>
      </c>
      <c r="E1308" s="116">
        <v>5.96</v>
      </c>
      <c r="F1308" s="116">
        <v>29.35</v>
      </c>
      <c r="G1308">
        <v>602492</v>
      </c>
      <c r="H1308" s="116"/>
      <c r="I1308" s="116"/>
      <c r="L1308" s="170">
        <v>43936</v>
      </c>
      <c r="M1308" s="116">
        <v>5.86</v>
      </c>
      <c r="N1308" s="116">
        <v>6.23</v>
      </c>
      <c r="O1308" s="116">
        <v>5.81</v>
      </c>
      <c r="P1308" s="116">
        <v>6.08</v>
      </c>
      <c r="Q1308" s="116">
        <v>29.3</v>
      </c>
      <c r="R1308">
        <v>16172034</v>
      </c>
    </row>
    <row r="1309" spans="1:18" x14ac:dyDescent="0.25">
      <c r="A1309" s="170">
        <v>43937</v>
      </c>
      <c r="B1309" s="116">
        <v>6.04</v>
      </c>
      <c r="C1309" s="116">
        <v>5.99</v>
      </c>
      <c r="D1309" s="116">
        <v>5.84</v>
      </c>
      <c r="E1309" s="116">
        <v>5.92</v>
      </c>
      <c r="F1309" s="116">
        <v>29.95</v>
      </c>
      <c r="G1309">
        <v>323181</v>
      </c>
      <c r="H1309" s="116"/>
      <c r="I1309" s="116"/>
      <c r="L1309" s="170">
        <v>43937</v>
      </c>
      <c r="M1309" s="116">
        <v>5.97</v>
      </c>
      <c r="N1309" s="116">
        <v>6.04</v>
      </c>
      <c r="O1309" s="116">
        <v>5.82</v>
      </c>
      <c r="P1309" s="116">
        <v>5.86</v>
      </c>
      <c r="Q1309" s="116">
        <v>29.85</v>
      </c>
      <c r="R1309">
        <v>5450088</v>
      </c>
    </row>
    <row r="1310" spans="1:18" x14ac:dyDescent="0.25">
      <c r="A1310" s="170">
        <v>43938</v>
      </c>
      <c r="B1310" s="116">
        <v>6.26</v>
      </c>
      <c r="C1310" s="116">
        <v>6.18</v>
      </c>
      <c r="D1310" s="116">
        <v>6.05</v>
      </c>
      <c r="E1310" s="116">
        <v>6.26</v>
      </c>
      <c r="F1310" s="116">
        <v>30.9</v>
      </c>
      <c r="G1310">
        <v>737796</v>
      </c>
      <c r="H1310" s="116"/>
      <c r="I1310" s="116"/>
      <c r="L1310" s="170">
        <v>43938</v>
      </c>
      <c r="M1310" s="116">
        <v>6.18</v>
      </c>
      <c r="N1310" s="116">
        <v>6.26</v>
      </c>
      <c r="O1310" s="116">
        <v>6.04</v>
      </c>
      <c r="P1310" s="116">
        <v>6.18</v>
      </c>
      <c r="Q1310" s="116">
        <v>30.9</v>
      </c>
      <c r="R1310">
        <v>12247415</v>
      </c>
    </row>
    <row r="1311" spans="1:18" x14ac:dyDescent="0.25">
      <c r="A1311" s="170">
        <v>43941</v>
      </c>
      <c r="B1311" s="116">
        <v>7.1</v>
      </c>
      <c r="C1311" s="116">
        <v>6.93</v>
      </c>
      <c r="D1311" s="116">
        <v>6.16</v>
      </c>
      <c r="E1311" s="116">
        <v>6.4</v>
      </c>
      <c r="F1311" s="116">
        <v>34.65</v>
      </c>
      <c r="G1311">
        <v>2171413</v>
      </c>
      <c r="H1311" s="116"/>
      <c r="I1311" s="116"/>
      <c r="L1311" s="170">
        <v>43941</v>
      </c>
      <c r="M1311" s="116">
        <v>6.95</v>
      </c>
      <c r="N1311" s="116">
        <v>7.1</v>
      </c>
      <c r="O1311" s="116">
        <v>6.17</v>
      </c>
      <c r="P1311" s="116">
        <v>6.27</v>
      </c>
      <c r="Q1311" s="116">
        <v>34.75</v>
      </c>
      <c r="R1311">
        <v>33451999</v>
      </c>
    </row>
    <row r="1312" spans="1:18" x14ac:dyDescent="0.25">
      <c r="A1312" s="170">
        <v>43942</v>
      </c>
      <c r="B1312" s="116">
        <v>6.88</v>
      </c>
      <c r="C1312" s="116">
        <v>6.38</v>
      </c>
      <c r="D1312" s="116">
        <v>6.31</v>
      </c>
      <c r="E1312" s="116">
        <v>6.88</v>
      </c>
      <c r="F1312" s="116">
        <v>31.9</v>
      </c>
      <c r="G1312">
        <v>678578</v>
      </c>
      <c r="H1312" s="116"/>
      <c r="I1312" s="116"/>
      <c r="L1312" s="170">
        <v>43942</v>
      </c>
      <c r="M1312" s="116">
        <v>6.38</v>
      </c>
      <c r="N1312" s="116">
        <v>6.89</v>
      </c>
      <c r="O1312" s="116">
        <v>6.3</v>
      </c>
      <c r="P1312" s="116">
        <v>6.8</v>
      </c>
      <c r="Q1312" s="116">
        <v>31.9</v>
      </c>
      <c r="R1312">
        <v>14129082</v>
      </c>
    </row>
    <row r="1313" spans="1:18" x14ac:dyDescent="0.25">
      <c r="A1313" s="170">
        <v>43943</v>
      </c>
      <c r="B1313" s="116">
        <v>6.6</v>
      </c>
      <c r="C1313" s="116">
        <v>6.5</v>
      </c>
      <c r="D1313" s="116">
        <v>5.92</v>
      </c>
      <c r="E1313" s="116">
        <v>6.3</v>
      </c>
      <c r="F1313" s="116">
        <v>32.5</v>
      </c>
      <c r="G1313">
        <v>849996</v>
      </c>
      <c r="H1313" s="116"/>
      <c r="I1313" s="116"/>
      <c r="L1313" s="170">
        <v>43943</v>
      </c>
      <c r="M1313" s="116">
        <v>6.48</v>
      </c>
      <c r="N1313" s="116">
        <v>6.6</v>
      </c>
      <c r="O1313" s="116">
        <v>5.92</v>
      </c>
      <c r="P1313" s="116">
        <v>6.2</v>
      </c>
      <c r="Q1313" s="116">
        <v>32.4</v>
      </c>
      <c r="R1313">
        <v>16728395</v>
      </c>
    </row>
    <row r="1314" spans="1:18" x14ac:dyDescent="0.25">
      <c r="A1314" s="170">
        <v>43944</v>
      </c>
      <c r="B1314" s="116">
        <v>6.72</v>
      </c>
      <c r="C1314" s="116">
        <v>6.49</v>
      </c>
      <c r="D1314" s="116">
        <v>6.44</v>
      </c>
      <c r="E1314" s="116">
        <v>6.53</v>
      </c>
      <c r="F1314" s="116">
        <v>32.450000000000003</v>
      </c>
      <c r="G1314">
        <v>460463</v>
      </c>
      <c r="H1314" s="116"/>
      <c r="I1314" s="116"/>
      <c r="L1314" s="170">
        <v>43944</v>
      </c>
      <c r="M1314" s="116">
        <v>6.49</v>
      </c>
      <c r="N1314" s="116">
        <v>6.72</v>
      </c>
      <c r="O1314" s="116">
        <v>6.43</v>
      </c>
      <c r="P1314" s="116">
        <v>6.43</v>
      </c>
      <c r="Q1314" s="116">
        <v>32.450000000000003</v>
      </c>
      <c r="R1314">
        <v>8175038</v>
      </c>
    </row>
    <row r="1315" spans="1:18" x14ac:dyDescent="0.25">
      <c r="A1315" s="170">
        <v>43945</v>
      </c>
      <c r="B1315" s="116">
        <v>6.5</v>
      </c>
      <c r="C1315" s="116">
        <v>6.13</v>
      </c>
      <c r="D1315" s="116">
        <v>6.1</v>
      </c>
      <c r="E1315" s="116">
        <v>6.5</v>
      </c>
      <c r="F1315" s="116">
        <v>30.65</v>
      </c>
      <c r="G1315">
        <v>531837</v>
      </c>
      <c r="H1315" s="116"/>
      <c r="I1315" s="116"/>
      <c r="L1315" s="170">
        <v>43945</v>
      </c>
      <c r="M1315" s="116">
        <v>6.13</v>
      </c>
      <c r="N1315" s="116">
        <v>6.47</v>
      </c>
      <c r="O1315" s="116">
        <v>6.09</v>
      </c>
      <c r="P1315" s="116">
        <v>6.46</v>
      </c>
      <c r="Q1315" s="116">
        <v>30.65</v>
      </c>
      <c r="R1315">
        <v>9228858</v>
      </c>
    </row>
    <row r="1316" spans="1:18" x14ac:dyDescent="0.25">
      <c r="A1316" s="170">
        <v>43948</v>
      </c>
      <c r="B1316" s="116">
        <v>6.38</v>
      </c>
      <c r="C1316" s="116">
        <v>6.17</v>
      </c>
      <c r="D1316" s="116">
        <v>6.1</v>
      </c>
      <c r="E1316" s="116">
        <v>6.38</v>
      </c>
      <c r="F1316" s="116">
        <v>30.85</v>
      </c>
      <c r="G1316">
        <v>617970</v>
      </c>
      <c r="H1316" s="116"/>
      <c r="I1316" s="116"/>
      <c r="L1316" s="170">
        <v>43948</v>
      </c>
      <c r="M1316" s="116">
        <v>6.17</v>
      </c>
      <c r="N1316" s="116">
        <v>6.4</v>
      </c>
      <c r="O1316" s="116">
        <v>6.1</v>
      </c>
      <c r="P1316" s="116">
        <v>6.32</v>
      </c>
      <c r="Q1316" s="116">
        <v>30.85</v>
      </c>
      <c r="R1316">
        <v>8557927</v>
      </c>
    </row>
    <row r="1317" spans="1:18" x14ac:dyDescent="0.25">
      <c r="A1317" s="170">
        <v>43949</v>
      </c>
      <c r="B1317" s="116">
        <v>6.14</v>
      </c>
      <c r="C1317" s="116">
        <v>6.04</v>
      </c>
      <c r="D1317" s="116">
        <v>5.75</v>
      </c>
      <c r="E1317" s="116">
        <v>5.75</v>
      </c>
      <c r="F1317" s="116">
        <v>30.2</v>
      </c>
      <c r="G1317">
        <v>888178</v>
      </c>
      <c r="H1317" s="116"/>
      <c r="I1317" s="116"/>
      <c r="L1317" s="170">
        <v>43949</v>
      </c>
      <c r="M1317" s="116">
        <v>6.03</v>
      </c>
      <c r="N1317" s="116">
        <v>6.14</v>
      </c>
      <c r="O1317" s="116">
        <v>5.8</v>
      </c>
      <c r="P1317" s="116">
        <v>5.8</v>
      </c>
      <c r="Q1317" s="116">
        <v>30.15</v>
      </c>
      <c r="R1317">
        <v>17621342</v>
      </c>
    </row>
    <row r="1318" spans="1:18" x14ac:dyDescent="0.25">
      <c r="A1318" s="170">
        <v>43950</v>
      </c>
      <c r="B1318" s="116">
        <v>6.32</v>
      </c>
      <c r="C1318" s="116">
        <v>6.25</v>
      </c>
      <c r="D1318" s="116">
        <v>6.06</v>
      </c>
      <c r="E1318" s="116">
        <v>6.17</v>
      </c>
      <c r="F1318" s="116">
        <v>31.25</v>
      </c>
      <c r="G1318">
        <v>432240</v>
      </c>
      <c r="H1318" s="116"/>
      <c r="I1318" s="116"/>
      <c r="L1318" s="170">
        <v>43950</v>
      </c>
      <c r="M1318" s="116">
        <v>6.25</v>
      </c>
      <c r="N1318" s="116">
        <v>6.32</v>
      </c>
      <c r="O1318" s="116">
        <v>6.06</v>
      </c>
      <c r="P1318" s="116">
        <v>6.15</v>
      </c>
      <c r="Q1318" s="116">
        <v>31.25</v>
      </c>
      <c r="R1318">
        <v>8641323</v>
      </c>
    </row>
    <row r="1319" spans="1:18" x14ac:dyDescent="0.25">
      <c r="A1319" s="170">
        <v>43951</v>
      </c>
      <c r="B1319" s="116">
        <v>6.56</v>
      </c>
      <c r="C1319" s="116">
        <v>6.33</v>
      </c>
      <c r="D1319" s="116">
        <v>6.29</v>
      </c>
      <c r="E1319" s="116">
        <v>6.4</v>
      </c>
      <c r="F1319" s="116">
        <v>31.65</v>
      </c>
      <c r="G1319">
        <v>781213</v>
      </c>
      <c r="H1319" s="116"/>
      <c r="I1319" s="116"/>
      <c r="L1319" s="170">
        <v>43951</v>
      </c>
      <c r="M1319" s="116">
        <v>6.33</v>
      </c>
      <c r="N1319" s="116">
        <v>6.55</v>
      </c>
      <c r="O1319" s="116">
        <v>6.3</v>
      </c>
      <c r="P1319" s="116">
        <v>6.39</v>
      </c>
      <c r="Q1319" s="116">
        <v>31.65</v>
      </c>
      <c r="R1319">
        <v>12912035</v>
      </c>
    </row>
    <row r="1320" spans="1:18" x14ac:dyDescent="0.25">
      <c r="A1320" s="170">
        <v>43955</v>
      </c>
      <c r="B1320" s="116">
        <v>6.3</v>
      </c>
      <c r="C1320" s="116">
        <v>5.98</v>
      </c>
      <c r="D1320" s="116">
        <v>5.92</v>
      </c>
      <c r="E1320" s="116">
        <v>6.3</v>
      </c>
      <c r="F1320" s="116">
        <v>29.9</v>
      </c>
      <c r="G1320">
        <v>521333</v>
      </c>
      <c r="H1320" s="116"/>
      <c r="I1320" s="116"/>
      <c r="L1320" s="170">
        <v>43955</v>
      </c>
      <c r="M1320" s="116">
        <v>5.97</v>
      </c>
      <c r="N1320" s="116">
        <v>6.2</v>
      </c>
      <c r="O1320" s="116">
        <v>5.92</v>
      </c>
      <c r="P1320" s="116">
        <v>6.2</v>
      </c>
      <c r="Q1320" s="116">
        <v>29.85</v>
      </c>
      <c r="R1320">
        <v>7612210</v>
      </c>
    </row>
    <row r="1321" spans="1:18" x14ac:dyDescent="0.25">
      <c r="A1321" s="170">
        <v>43956</v>
      </c>
      <c r="B1321" s="116">
        <v>6.17</v>
      </c>
      <c r="C1321" s="116">
        <v>6.09</v>
      </c>
      <c r="D1321" s="116">
        <v>6</v>
      </c>
      <c r="E1321" s="116">
        <v>6</v>
      </c>
      <c r="F1321" s="116">
        <v>30.45</v>
      </c>
      <c r="G1321">
        <v>364579</v>
      </c>
      <c r="H1321" s="116"/>
      <c r="I1321" s="116"/>
      <c r="L1321" s="170">
        <v>43956</v>
      </c>
      <c r="M1321" s="116">
        <v>6.09</v>
      </c>
      <c r="N1321" s="116">
        <v>6.17</v>
      </c>
      <c r="O1321" s="116">
        <v>6</v>
      </c>
      <c r="P1321" s="116">
        <v>6.11</v>
      </c>
      <c r="Q1321" s="116">
        <v>30.45</v>
      </c>
      <c r="R1321">
        <v>5987373</v>
      </c>
    </row>
    <row r="1322" spans="1:18" x14ac:dyDescent="0.25">
      <c r="A1322" s="170">
        <v>43957</v>
      </c>
      <c r="B1322" s="116">
        <v>6.19</v>
      </c>
      <c r="C1322" s="116">
        <v>6.13</v>
      </c>
      <c r="D1322" s="116">
        <v>5.96</v>
      </c>
      <c r="E1322" s="116">
        <v>6.19</v>
      </c>
      <c r="F1322" s="116">
        <v>30.65</v>
      </c>
      <c r="G1322">
        <v>312593</v>
      </c>
      <c r="H1322" s="116"/>
      <c r="I1322" s="116"/>
      <c r="L1322" s="170">
        <v>43957</v>
      </c>
      <c r="M1322" s="116">
        <v>6.13</v>
      </c>
      <c r="N1322" s="116">
        <v>6.18</v>
      </c>
      <c r="O1322" s="116">
        <v>5.94</v>
      </c>
      <c r="P1322" s="116">
        <v>6.14</v>
      </c>
      <c r="Q1322" s="116">
        <v>30.65</v>
      </c>
      <c r="R1322">
        <v>5955064</v>
      </c>
    </row>
    <row r="1323" spans="1:18" x14ac:dyDescent="0.25">
      <c r="A1323" s="170">
        <v>43958</v>
      </c>
      <c r="B1323" s="116">
        <v>6.22</v>
      </c>
      <c r="C1323" s="116">
        <v>6.11</v>
      </c>
      <c r="D1323" s="116">
        <v>6.06</v>
      </c>
      <c r="E1323" s="116">
        <v>6.13</v>
      </c>
      <c r="F1323" s="116">
        <v>30.55</v>
      </c>
      <c r="G1323">
        <v>205856</v>
      </c>
      <c r="H1323" s="116"/>
      <c r="I1323" s="116"/>
      <c r="L1323" s="170">
        <v>43958</v>
      </c>
      <c r="M1323" s="116">
        <v>6.11</v>
      </c>
      <c r="N1323" s="116">
        <v>6.22</v>
      </c>
      <c r="O1323" s="116">
        <v>6.04</v>
      </c>
      <c r="P1323" s="116">
        <v>6.04</v>
      </c>
      <c r="Q1323" s="116">
        <v>30.55</v>
      </c>
      <c r="R1323">
        <v>4391029</v>
      </c>
    </row>
    <row r="1324" spans="1:18" x14ac:dyDescent="0.25">
      <c r="A1324" s="170">
        <v>43959</v>
      </c>
      <c r="B1324" s="116">
        <v>6.24</v>
      </c>
      <c r="C1324" s="116">
        <v>5.99</v>
      </c>
      <c r="D1324" s="116">
        <v>5.95</v>
      </c>
      <c r="E1324" s="116">
        <v>6.12</v>
      </c>
      <c r="F1324" s="116">
        <v>29.95</v>
      </c>
      <c r="G1324">
        <v>365019</v>
      </c>
      <c r="H1324" s="116"/>
      <c r="I1324" s="116"/>
      <c r="L1324" s="170">
        <v>43959</v>
      </c>
      <c r="M1324" s="116">
        <v>5.98</v>
      </c>
      <c r="N1324" s="116">
        <v>6.24</v>
      </c>
      <c r="O1324" s="116">
        <v>5.94</v>
      </c>
      <c r="P1324" s="116">
        <v>6.16</v>
      </c>
      <c r="Q1324" s="116">
        <v>29.9</v>
      </c>
      <c r="R1324">
        <v>5789733</v>
      </c>
    </row>
    <row r="1325" spans="1:18" x14ac:dyDescent="0.25">
      <c r="A1325" s="170">
        <v>43962</v>
      </c>
      <c r="B1325" s="116">
        <v>6.1</v>
      </c>
      <c r="C1325" s="116">
        <v>5.92</v>
      </c>
      <c r="D1325" s="116">
        <v>5.9</v>
      </c>
      <c r="E1325" s="116">
        <v>6</v>
      </c>
      <c r="F1325" s="116">
        <v>29.6</v>
      </c>
      <c r="G1325">
        <v>390051</v>
      </c>
      <c r="H1325" s="116"/>
      <c r="I1325" s="116"/>
      <c r="L1325" s="170">
        <v>43962</v>
      </c>
      <c r="M1325" s="116">
        <v>5.92</v>
      </c>
      <c r="N1325" s="116">
        <v>6.09</v>
      </c>
      <c r="O1325" s="116">
        <v>5.9</v>
      </c>
      <c r="P1325" s="116">
        <v>6</v>
      </c>
      <c r="Q1325" s="116">
        <v>29.6</v>
      </c>
      <c r="R1325">
        <v>5428878</v>
      </c>
    </row>
    <row r="1326" spans="1:18" x14ac:dyDescent="0.25">
      <c r="A1326" s="170">
        <v>43963</v>
      </c>
      <c r="B1326" s="116">
        <v>6.01</v>
      </c>
      <c r="C1326" s="116">
        <v>5.98</v>
      </c>
      <c r="D1326" s="116">
        <v>5.81</v>
      </c>
      <c r="E1326" s="116">
        <v>5.93</v>
      </c>
      <c r="F1326" s="116">
        <v>29.9</v>
      </c>
      <c r="G1326">
        <v>257966</v>
      </c>
      <c r="H1326" s="116"/>
      <c r="I1326" s="116"/>
      <c r="L1326" s="170">
        <v>43963</v>
      </c>
      <c r="M1326" s="116">
        <v>5.97</v>
      </c>
      <c r="N1326" s="116">
        <v>6</v>
      </c>
      <c r="O1326" s="116">
        <v>5.81</v>
      </c>
      <c r="P1326" s="116">
        <v>5.92</v>
      </c>
      <c r="Q1326" s="116">
        <v>29.85</v>
      </c>
      <c r="R1326">
        <v>3729943</v>
      </c>
    </row>
    <row r="1327" spans="1:18" x14ac:dyDescent="0.25">
      <c r="A1327" s="170">
        <v>43964</v>
      </c>
      <c r="B1327" s="116">
        <v>6.55</v>
      </c>
      <c r="C1327" s="116">
        <v>6.37</v>
      </c>
      <c r="D1327" s="116">
        <v>5.98</v>
      </c>
      <c r="E1327" s="116">
        <v>6.18</v>
      </c>
      <c r="F1327" s="116">
        <v>31.85</v>
      </c>
      <c r="G1327">
        <v>914750</v>
      </c>
      <c r="H1327" s="116"/>
      <c r="I1327" s="116"/>
      <c r="L1327" s="170">
        <v>43964</v>
      </c>
      <c r="M1327" s="116">
        <v>6.37</v>
      </c>
      <c r="N1327" s="116">
        <v>6.55</v>
      </c>
      <c r="O1327" s="116">
        <v>5.98</v>
      </c>
      <c r="P1327" s="116">
        <v>6.35</v>
      </c>
      <c r="Q1327" s="116">
        <v>31.85</v>
      </c>
      <c r="R1327">
        <v>16104643</v>
      </c>
    </row>
    <row r="1328" spans="1:18" x14ac:dyDescent="0.25">
      <c r="A1328" s="170">
        <v>43965</v>
      </c>
      <c r="B1328" s="116">
        <v>7.2</v>
      </c>
      <c r="C1328" s="116">
        <v>6.61</v>
      </c>
      <c r="D1328" s="116">
        <v>6.44</v>
      </c>
      <c r="E1328" s="116">
        <v>6.54</v>
      </c>
      <c r="F1328" s="116">
        <v>33.049999999999997</v>
      </c>
      <c r="G1328">
        <v>2285842</v>
      </c>
      <c r="H1328" s="116"/>
      <c r="I1328" s="116"/>
      <c r="L1328" s="170">
        <v>43965</v>
      </c>
      <c r="M1328" s="116">
        <v>6.61</v>
      </c>
      <c r="N1328" s="116">
        <v>7.27</v>
      </c>
      <c r="O1328" s="116">
        <v>6.42</v>
      </c>
      <c r="P1328" s="116">
        <v>6.5</v>
      </c>
      <c r="Q1328" s="116">
        <v>33.049999999999997</v>
      </c>
      <c r="R1328">
        <v>50402124</v>
      </c>
    </row>
    <row r="1329" spans="1:18" x14ac:dyDescent="0.25">
      <c r="A1329" s="170">
        <v>43966</v>
      </c>
      <c r="B1329" s="116">
        <v>6.74</v>
      </c>
      <c r="C1329" s="116">
        <v>6.47</v>
      </c>
      <c r="D1329" s="116">
        <v>6.43</v>
      </c>
      <c r="E1329" s="116">
        <v>6.74</v>
      </c>
      <c r="F1329" s="116">
        <v>32.35</v>
      </c>
      <c r="G1329">
        <v>537153</v>
      </c>
      <c r="H1329" s="116"/>
      <c r="I1329" s="116"/>
      <c r="L1329" s="170">
        <v>43966</v>
      </c>
      <c r="M1329" s="116">
        <v>6.47</v>
      </c>
      <c r="N1329" s="116">
        <v>6.67</v>
      </c>
      <c r="O1329" s="116">
        <v>6.42</v>
      </c>
      <c r="P1329" s="116">
        <v>6.66</v>
      </c>
      <c r="Q1329" s="116">
        <v>32.35</v>
      </c>
      <c r="R1329">
        <v>9887393</v>
      </c>
    </row>
    <row r="1330" spans="1:18" x14ac:dyDescent="0.25">
      <c r="A1330" s="170">
        <v>43969</v>
      </c>
      <c r="B1330" s="116">
        <v>6.7</v>
      </c>
      <c r="C1330" s="116">
        <v>6.19</v>
      </c>
      <c r="D1330" s="116">
        <v>6.06</v>
      </c>
      <c r="E1330" s="116">
        <v>6.7</v>
      </c>
      <c r="F1330" s="116">
        <v>30.95</v>
      </c>
      <c r="G1330">
        <v>612365</v>
      </c>
      <c r="H1330" s="116"/>
      <c r="I1330" s="116"/>
      <c r="L1330" s="170">
        <v>43969</v>
      </c>
      <c r="M1330" s="116">
        <v>6.18</v>
      </c>
      <c r="N1330" s="116">
        <v>6.66</v>
      </c>
      <c r="O1330" s="116">
        <v>6.06</v>
      </c>
      <c r="P1330" s="116">
        <v>6.66</v>
      </c>
      <c r="Q1330" s="116">
        <v>30.9</v>
      </c>
      <c r="R1330">
        <v>15995995</v>
      </c>
    </row>
    <row r="1331" spans="1:18" x14ac:dyDescent="0.25">
      <c r="A1331" s="170">
        <v>43970</v>
      </c>
      <c r="B1331" s="116">
        <v>7.27</v>
      </c>
      <c r="C1331" s="116">
        <v>7.08</v>
      </c>
      <c r="D1331" s="116">
        <v>6.12</v>
      </c>
      <c r="E1331" s="116">
        <v>6.21</v>
      </c>
      <c r="F1331" s="116">
        <v>35.4</v>
      </c>
      <c r="G1331">
        <v>3002869</v>
      </c>
      <c r="H1331" s="116"/>
      <c r="I1331" s="116"/>
      <c r="L1331" s="170">
        <v>43970</v>
      </c>
      <c r="M1331" s="116">
        <v>7.06</v>
      </c>
      <c r="N1331" s="116">
        <v>7.28</v>
      </c>
      <c r="O1331" s="116">
        <v>6.12</v>
      </c>
      <c r="P1331" s="116">
        <v>6.3</v>
      </c>
      <c r="Q1331" s="116">
        <v>35.299999999999997</v>
      </c>
      <c r="R1331">
        <v>65301341</v>
      </c>
    </row>
    <row r="1332" spans="1:18" x14ac:dyDescent="0.25">
      <c r="A1332" s="170">
        <v>43971</v>
      </c>
      <c r="B1332" s="116">
        <v>7.38</v>
      </c>
      <c r="C1332" s="116">
        <v>6.91</v>
      </c>
      <c r="D1332" s="116">
        <v>6.83</v>
      </c>
      <c r="E1332" s="116">
        <v>7.34</v>
      </c>
      <c r="F1332" s="116">
        <v>34.549999999999997</v>
      </c>
      <c r="G1332">
        <v>2162736</v>
      </c>
      <c r="H1332" s="116"/>
      <c r="I1332" s="116"/>
      <c r="L1332" s="170">
        <v>43971</v>
      </c>
      <c r="M1332" s="116">
        <v>6.92</v>
      </c>
      <c r="N1332" s="116">
        <v>7.4</v>
      </c>
      <c r="O1332" s="116">
        <v>6.83</v>
      </c>
      <c r="P1332" s="116">
        <v>7.3</v>
      </c>
      <c r="Q1332" s="116">
        <v>34.6</v>
      </c>
      <c r="R1332">
        <v>46375146</v>
      </c>
    </row>
    <row r="1333" spans="1:18" x14ac:dyDescent="0.25">
      <c r="A1333" s="170">
        <v>43972</v>
      </c>
      <c r="B1333" s="116">
        <v>6.98</v>
      </c>
      <c r="C1333" s="116">
        <v>6.83</v>
      </c>
      <c r="D1333" s="116">
        <v>6.62</v>
      </c>
      <c r="E1333" s="116">
        <v>6.86</v>
      </c>
      <c r="F1333" s="116">
        <v>34.15</v>
      </c>
      <c r="G1333">
        <v>1037552</v>
      </c>
      <c r="H1333" s="116"/>
      <c r="I1333" s="116"/>
      <c r="L1333" s="170">
        <v>43972</v>
      </c>
      <c r="M1333" s="116">
        <v>6.85</v>
      </c>
      <c r="N1333" s="116">
        <v>6.98</v>
      </c>
      <c r="O1333" s="116">
        <v>6.64</v>
      </c>
      <c r="P1333" s="116">
        <v>6.94</v>
      </c>
      <c r="Q1333" s="116">
        <v>34.25</v>
      </c>
      <c r="R1333">
        <v>23795462</v>
      </c>
    </row>
    <row r="1334" spans="1:18" x14ac:dyDescent="0.25">
      <c r="A1334" s="170">
        <v>43973</v>
      </c>
      <c r="B1334" s="116">
        <v>6.89</v>
      </c>
      <c r="C1334" s="116">
        <v>6.6</v>
      </c>
      <c r="D1334" s="116">
        <v>6.57</v>
      </c>
      <c r="E1334" s="116">
        <v>6.75</v>
      </c>
      <c r="F1334" s="116">
        <v>33</v>
      </c>
      <c r="G1334">
        <v>562762</v>
      </c>
      <c r="H1334" s="116"/>
      <c r="I1334" s="116"/>
      <c r="L1334" s="170">
        <v>43973</v>
      </c>
      <c r="M1334" s="116">
        <v>6.6</v>
      </c>
      <c r="N1334" s="116">
        <v>6.9</v>
      </c>
      <c r="O1334" s="116">
        <v>6.57</v>
      </c>
      <c r="P1334" s="116">
        <v>6.7</v>
      </c>
      <c r="Q1334" s="116">
        <v>33</v>
      </c>
      <c r="R1334">
        <v>13601869</v>
      </c>
    </row>
    <row r="1335" spans="1:18" x14ac:dyDescent="0.25">
      <c r="A1335" s="170">
        <v>43977</v>
      </c>
      <c r="B1335" s="116">
        <v>7.42</v>
      </c>
      <c r="C1335" s="116">
        <v>7.34</v>
      </c>
      <c r="D1335" s="116">
        <v>6.62</v>
      </c>
      <c r="E1335" s="116">
        <v>6.62</v>
      </c>
      <c r="F1335" s="116">
        <v>36.700000000000003</v>
      </c>
      <c r="G1335">
        <v>2119458</v>
      </c>
      <c r="H1335" s="116"/>
      <c r="I1335" s="116"/>
      <c r="L1335" s="170">
        <v>43977</v>
      </c>
      <c r="M1335" s="116">
        <v>7.34</v>
      </c>
      <c r="N1335" s="116">
        <v>7.44</v>
      </c>
      <c r="O1335" s="116">
        <v>6.68</v>
      </c>
      <c r="P1335" s="116">
        <v>6.68</v>
      </c>
      <c r="Q1335" s="116">
        <v>36.700000000000003</v>
      </c>
      <c r="R1335">
        <v>52481588</v>
      </c>
    </row>
    <row r="1336" spans="1:18" x14ac:dyDescent="0.25">
      <c r="A1336" s="170">
        <v>43978</v>
      </c>
      <c r="B1336" s="116">
        <v>7.65</v>
      </c>
      <c r="C1336" s="116">
        <v>7.4</v>
      </c>
      <c r="D1336" s="116">
        <v>7.17</v>
      </c>
      <c r="E1336" s="116">
        <v>7.31</v>
      </c>
      <c r="F1336" s="116">
        <v>37</v>
      </c>
      <c r="G1336">
        <v>1535108</v>
      </c>
      <c r="H1336" s="116"/>
      <c r="I1336" s="116"/>
      <c r="L1336" s="170">
        <v>43978</v>
      </c>
      <c r="M1336" s="116">
        <v>7.4</v>
      </c>
      <c r="N1336" s="116">
        <v>7.65</v>
      </c>
      <c r="O1336" s="116">
        <v>7.17</v>
      </c>
      <c r="P1336" s="116">
        <v>7.3</v>
      </c>
      <c r="Q1336" s="116">
        <v>37</v>
      </c>
      <c r="R1336">
        <v>35135620</v>
      </c>
    </row>
    <row r="1337" spans="1:18" x14ac:dyDescent="0.25">
      <c r="A1337" s="170">
        <v>43979</v>
      </c>
      <c r="B1337" s="116">
        <v>7.63</v>
      </c>
      <c r="C1337" s="116">
        <v>7.21</v>
      </c>
      <c r="D1337" s="116">
        <v>7.11</v>
      </c>
      <c r="E1337" s="116">
        <v>7.52</v>
      </c>
      <c r="F1337" s="116">
        <v>36.049999999999997</v>
      </c>
      <c r="G1337">
        <v>1307999</v>
      </c>
      <c r="H1337" s="116"/>
      <c r="I1337" s="116"/>
      <c r="L1337" s="170">
        <v>43979</v>
      </c>
      <c r="M1337" s="116">
        <v>7.2</v>
      </c>
      <c r="N1337" s="116">
        <v>7.62</v>
      </c>
      <c r="O1337" s="116">
        <v>7.1</v>
      </c>
      <c r="P1337" s="116">
        <v>7.56</v>
      </c>
      <c r="Q1337" s="116">
        <v>36</v>
      </c>
      <c r="R1337">
        <v>26945091</v>
      </c>
    </row>
    <row r="1338" spans="1:18" x14ac:dyDescent="0.25">
      <c r="A1338" s="170">
        <v>43980</v>
      </c>
      <c r="B1338" s="116">
        <v>7.45</v>
      </c>
      <c r="C1338" s="116">
        <v>7.28</v>
      </c>
      <c r="D1338" s="116">
        <v>7.12</v>
      </c>
      <c r="E1338" s="116">
        <v>7.22</v>
      </c>
      <c r="F1338" s="116">
        <v>36.4</v>
      </c>
      <c r="G1338">
        <v>904371</v>
      </c>
      <c r="H1338" s="116"/>
      <c r="I1338" s="116"/>
      <c r="L1338" s="170">
        <v>43980</v>
      </c>
      <c r="M1338" s="116">
        <v>7.28</v>
      </c>
      <c r="N1338" s="116">
        <v>7.46</v>
      </c>
      <c r="O1338" s="116">
        <v>7.11</v>
      </c>
      <c r="P1338" s="116">
        <v>7.23</v>
      </c>
      <c r="Q1338" s="116">
        <v>36.4</v>
      </c>
      <c r="R1338">
        <v>20284093</v>
      </c>
    </row>
    <row r="1339" spans="1:18" x14ac:dyDescent="0.25">
      <c r="A1339" s="170">
        <v>43983</v>
      </c>
      <c r="B1339" s="116">
        <v>8</v>
      </c>
      <c r="C1339" s="116">
        <v>7.91</v>
      </c>
      <c r="D1339" s="116">
        <v>7.56</v>
      </c>
      <c r="E1339" s="116">
        <v>8</v>
      </c>
      <c r="F1339" s="116">
        <v>39.549999999999997</v>
      </c>
      <c r="G1339">
        <v>2525081</v>
      </c>
      <c r="H1339" s="116"/>
      <c r="I1339" s="116"/>
      <c r="L1339" s="170">
        <v>43983</v>
      </c>
      <c r="M1339" s="116">
        <v>7.91</v>
      </c>
      <c r="N1339" s="116">
        <v>8</v>
      </c>
      <c r="O1339" s="116">
        <v>7.55</v>
      </c>
      <c r="P1339" s="116">
        <v>8</v>
      </c>
      <c r="Q1339" s="116">
        <v>39.549999999999997</v>
      </c>
      <c r="R1339">
        <v>55761866</v>
      </c>
    </row>
    <row r="1340" spans="1:18" x14ac:dyDescent="0.25">
      <c r="A1340" s="170">
        <v>43984</v>
      </c>
      <c r="B1340" s="116">
        <v>8.1</v>
      </c>
      <c r="C1340" s="116">
        <v>8.0399999999999991</v>
      </c>
      <c r="D1340" s="116">
        <v>7.8</v>
      </c>
      <c r="E1340" s="116">
        <v>8</v>
      </c>
      <c r="F1340" s="116">
        <v>40.200000000000003</v>
      </c>
      <c r="G1340">
        <v>1233600</v>
      </c>
      <c r="H1340" s="116"/>
      <c r="I1340" s="116"/>
      <c r="L1340" s="170">
        <v>43984</v>
      </c>
      <c r="M1340" s="116">
        <v>8.0399999999999991</v>
      </c>
      <c r="N1340" s="116">
        <v>8.1</v>
      </c>
      <c r="O1340" s="116">
        <v>7.81</v>
      </c>
      <c r="P1340" s="116">
        <v>7.91</v>
      </c>
      <c r="Q1340" s="116">
        <v>40.200000000000003</v>
      </c>
      <c r="R1340">
        <v>24601803</v>
      </c>
    </row>
    <row r="1341" spans="1:18" x14ac:dyDescent="0.25">
      <c r="A1341" s="170">
        <v>43985</v>
      </c>
      <c r="B1341" s="116">
        <v>8.44</v>
      </c>
      <c r="C1341" s="116">
        <v>7.54</v>
      </c>
      <c r="D1341" s="116">
        <v>7.43</v>
      </c>
      <c r="E1341" s="116">
        <v>8.44</v>
      </c>
      <c r="F1341" s="116">
        <v>37.700000000000003</v>
      </c>
      <c r="G1341">
        <v>3752746</v>
      </c>
      <c r="H1341" s="116"/>
      <c r="I1341" s="116"/>
      <c r="L1341" s="170">
        <v>43985</v>
      </c>
      <c r="M1341" s="116">
        <v>7.54</v>
      </c>
      <c r="N1341" s="116">
        <v>8.3800000000000008</v>
      </c>
      <c r="O1341" s="116">
        <v>7.42</v>
      </c>
      <c r="P1341" s="116">
        <v>8.3800000000000008</v>
      </c>
      <c r="Q1341" s="116">
        <v>37.700000000000003</v>
      </c>
      <c r="R1341">
        <v>68612729</v>
      </c>
    </row>
    <row r="1342" spans="1:18" x14ac:dyDescent="0.25">
      <c r="A1342" s="170">
        <v>43986</v>
      </c>
      <c r="B1342" s="116">
        <v>7.83</v>
      </c>
      <c r="C1342" s="116">
        <v>7.74</v>
      </c>
      <c r="D1342" s="116">
        <v>7.46</v>
      </c>
      <c r="E1342" s="116">
        <v>7.5</v>
      </c>
      <c r="F1342" s="116">
        <v>38.700000000000003</v>
      </c>
      <c r="G1342">
        <v>1087317</v>
      </c>
      <c r="H1342" s="116"/>
      <c r="I1342" s="116"/>
      <c r="L1342" s="170">
        <v>43986</v>
      </c>
      <c r="M1342" s="116">
        <v>7.75</v>
      </c>
      <c r="N1342" s="116">
        <v>7.85</v>
      </c>
      <c r="O1342" s="116">
        <v>7.45</v>
      </c>
      <c r="P1342" s="116">
        <v>7.54</v>
      </c>
      <c r="Q1342" s="116">
        <v>38.75</v>
      </c>
      <c r="R1342">
        <v>21815712</v>
      </c>
    </row>
    <row r="1343" spans="1:18" x14ac:dyDescent="0.25">
      <c r="A1343" s="170">
        <v>43987</v>
      </c>
      <c r="B1343" s="116">
        <v>7.88</v>
      </c>
      <c r="C1343" s="116">
        <v>7.77</v>
      </c>
      <c r="D1343" s="116">
        <v>7.7</v>
      </c>
      <c r="E1343" s="116">
        <v>7.84</v>
      </c>
      <c r="F1343" s="116">
        <v>38.85</v>
      </c>
      <c r="G1343">
        <v>664427</v>
      </c>
      <c r="H1343" s="116"/>
      <c r="I1343" s="116"/>
      <c r="L1343" s="170">
        <v>43987</v>
      </c>
      <c r="M1343" s="116">
        <v>7.78</v>
      </c>
      <c r="N1343" s="116">
        <v>7.88</v>
      </c>
      <c r="O1343" s="116">
        <v>7.69</v>
      </c>
      <c r="P1343" s="116">
        <v>7.8</v>
      </c>
      <c r="Q1343" s="116">
        <v>38.9</v>
      </c>
      <c r="R1343">
        <v>11140608</v>
      </c>
    </row>
    <row r="1344" spans="1:18" x14ac:dyDescent="0.25">
      <c r="A1344" s="170">
        <v>43990</v>
      </c>
      <c r="B1344" s="116">
        <v>8</v>
      </c>
      <c r="C1344" s="116">
        <v>7.71</v>
      </c>
      <c r="D1344" s="116">
        <v>7.65</v>
      </c>
      <c r="E1344" s="116">
        <v>7.9</v>
      </c>
      <c r="F1344" s="116">
        <v>38.549999999999997</v>
      </c>
      <c r="G1344">
        <v>830404</v>
      </c>
      <c r="H1344" s="116"/>
      <c r="I1344" s="116"/>
      <c r="L1344" s="170">
        <v>43990</v>
      </c>
      <c r="M1344" s="116">
        <v>7.71</v>
      </c>
      <c r="N1344" s="116">
        <v>8</v>
      </c>
      <c r="O1344" s="116">
        <v>7.65</v>
      </c>
      <c r="P1344" s="116">
        <v>7.82</v>
      </c>
      <c r="Q1344" s="116">
        <v>38.549999999999997</v>
      </c>
      <c r="R1344">
        <v>12806286</v>
      </c>
    </row>
    <row r="1345" spans="1:18" x14ac:dyDescent="0.25">
      <c r="A1345" s="170">
        <v>43991</v>
      </c>
      <c r="B1345" s="116">
        <v>7.82</v>
      </c>
      <c r="C1345" s="116">
        <v>7.67</v>
      </c>
      <c r="D1345" s="116">
        <v>7.6</v>
      </c>
      <c r="E1345" s="116">
        <v>7.8</v>
      </c>
      <c r="F1345" s="116">
        <v>38.35</v>
      </c>
      <c r="G1345">
        <v>452833</v>
      </c>
      <c r="H1345" s="116"/>
      <c r="I1345" s="116"/>
      <c r="L1345" s="170">
        <v>43991</v>
      </c>
      <c r="M1345" s="116">
        <v>7.67</v>
      </c>
      <c r="N1345" s="116">
        <v>7.85</v>
      </c>
      <c r="O1345" s="116">
        <v>7.61</v>
      </c>
      <c r="P1345" s="116">
        <v>7.78</v>
      </c>
      <c r="Q1345" s="116">
        <v>38.35</v>
      </c>
      <c r="R1345">
        <v>8948783</v>
      </c>
    </row>
    <row r="1346" spans="1:18" x14ac:dyDescent="0.25">
      <c r="A1346" s="170">
        <v>43992</v>
      </c>
      <c r="B1346" s="116">
        <v>7.81</v>
      </c>
      <c r="C1346" s="116">
        <v>7.76</v>
      </c>
      <c r="D1346" s="116">
        <v>7.63</v>
      </c>
      <c r="E1346" s="116">
        <v>7.7</v>
      </c>
      <c r="F1346" s="116">
        <v>38.799999999999997</v>
      </c>
      <c r="G1346">
        <v>596234</v>
      </c>
      <c r="H1346" s="116"/>
      <c r="I1346" s="116"/>
      <c r="L1346" s="170">
        <v>43992</v>
      </c>
      <c r="M1346" s="116">
        <v>7.76</v>
      </c>
      <c r="N1346" s="116">
        <v>7.82</v>
      </c>
      <c r="O1346" s="116">
        <v>7.62</v>
      </c>
      <c r="P1346" s="116">
        <v>7.74</v>
      </c>
      <c r="Q1346" s="116">
        <v>38.799999999999997</v>
      </c>
      <c r="R1346">
        <v>10496559</v>
      </c>
    </row>
    <row r="1347" spans="1:18" x14ac:dyDescent="0.25">
      <c r="A1347" s="170">
        <v>43993</v>
      </c>
      <c r="B1347" s="116">
        <v>7.81</v>
      </c>
      <c r="C1347" s="116">
        <v>7.57</v>
      </c>
      <c r="D1347" s="116">
        <v>7.54</v>
      </c>
      <c r="E1347" s="116">
        <v>7.81</v>
      </c>
      <c r="F1347" s="116">
        <v>37.85</v>
      </c>
      <c r="G1347">
        <v>567619</v>
      </c>
      <c r="H1347" s="116"/>
      <c r="I1347" s="116"/>
      <c r="L1347" s="170">
        <v>43993</v>
      </c>
      <c r="M1347" s="116">
        <v>7.57</v>
      </c>
      <c r="N1347" s="116">
        <v>7.78</v>
      </c>
      <c r="O1347" s="116">
        <v>7.53</v>
      </c>
      <c r="P1347" s="116">
        <v>7.77</v>
      </c>
      <c r="Q1347" s="116">
        <v>37.85</v>
      </c>
      <c r="R1347">
        <v>11304368</v>
      </c>
    </row>
    <row r="1348" spans="1:18" x14ac:dyDescent="0.25">
      <c r="A1348" s="170">
        <v>43994</v>
      </c>
      <c r="B1348" s="116">
        <v>7.63</v>
      </c>
      <c r="C1348" s="116">
        <v>7.61</v>
      </c>
      <c r="D1348" s="116">
        <v>7.22</v>
      </c>
      <c r="E1348" s="116">
        <v>7.4</v>
      </c>
      <c r="F1348" s="116">
        <v>38.049999999999997</v>
      </c>
      <c r="G1348">
        <v>692050</v>
      </c>
      <c r="H1348" s="116"/>
      <c r="I1348" s="116"/>
      <c r="L1348" s="170">
        <v>43994</v>
      </c>
      <c r="M1348" s="116">
        <v>7.6</v>
      </c>
      <c r="N1348" s="116">
        <v>7.65</v>
      </c>
      <c r="O1348" s="116">
        <v>7.22</v>
      </c>
      <c r="P1348" s="116">
        <v>7.22</v>
      </c>
      <c r="Q1348" s="116">
        <v>38</v>
      </c>
      <c r="R1348">
        <v>13619065</v>
      </c>
    </row>
    <row r="1349" spans="1:18" x14ac:dyDescent="0.25">
      <c r="A1349" s="170">
        <v>43997</v>
      </c>
      <c r="B1349" s="116">
        <v>7.75</v>
      </c>
      <c r="C1349" s="116">
        <v>7.49</v>
      </c>
      <c r="D1349" s="116">
        <v>7.47</v>
      </c>
      <c r="E1349" s="116">
        <v>7.65</v>
      </c>
      <c r="F1349" s="116">
        <v>37.450000000000003</v>
      </c>
      <c r="G1349">
        <v>563226</v>
      </c>
      <c r="H1349" s="116"/>
      <c r="I1349" s="116"/>
      <c r="L1349" s="170">
        <v>43997</v>
      </c>
      <c r="M1349" s="116">
        <v>7.5</v>
      </c>
      <c r="N1349" s="116">
        <v>7.76</v>
      </c>
      <c r="O1349" s="116">
        <v>7.46</v>
      </c>
      <c r="P1349" s="116">
        <v>7.58</v>
      </c>
      <c r="Q1349" s="116">
        <v>37.5</v>
      </c>
      <c r="R1349">
        <v>10878874</v>
      </c>
    </row>
    <row r="1350" spans="1:18" x14ac:dyDescent="0.25">
      <c r="A1350" s="170">
        <v>43998</v>
      </c>
      <c r="B1350" s="116">
        <v>7.63</v>
      </c>
      <c r="C1350" s="116">
        <v>7.32</v>
      </c>
      <c r="D1350" s="116">
        <v>7.12</v>
      </c>
      <c r="E1350" s="116">
        <v>7.6</v>
      </c>
      <c r="F1350" s="116">
        <v>36.6</v>
      </c>
      <c r="G1350">
        <v>618906</v>
      </c>
      <c r="H1350" s="116"/>
      <c r="I1350" s="116"/>
      <c r="L1350" s="170">
        <v>43998</v>
      </c>
      <c r="M1350" s="116">
        <v>7.32</v>
      </c>
      <c r="N1350" s="116">
        <v>7.64</v>
      </c>
      <c r="O1350" s="116">
        <v>7.11</v>
      </c>
      <c r="P1350" s="116">
        <v>7.54</v>
      </c>
      <c r="Q1350" s="116">
        <v>36.6</v>
      </c>
      <c r="R1350">
        <v>13320251</v>
      </c>
    </row>
    <row r="1351" spans="1:18" x14ac:dyDescent="0.25">
      <c r="A1351" s="170">
        <v>43999</v>
      </c>
      <c r="B1351" s="116">
        <v>7.46</v>
      </c>
      <c r="C1351" s="116">
        <v>7.36</v>
      </c>
      <c r="D1351" s="116">
        <v>7.16</v>
      </c>
      <c r="E1351" s="116">
        <v>7.2</v>
      </c>
      <c r="F1351" s="116">
        <v>36.799999999999997</v>
      </c>
      <c r="G1351">
        <v>727731</v>
      </c>
      <c r="H1351" s="116"/>
      <c r="I1351" s="116"/>
      <c r="L1351" s="170">
        <v>43999</v>
      </c>
      <c r="M1351" s="116">
        <v>7.36</v>
      </c>
      <c r="N1351" s="116">
        <v>7.46</v>
      </c>
      <c r="O1351" s="116">
        <v>7.16</v>
      </c>
      <c r="P1351" s="116">
        <v>7.25</v>
      </c>
      <c r="Q1351" s="116">
        <v>36.799999999999997</v>
      </c>
      <c r="R1351">
        <v>12394097</v>
      </c>
    </row>
    <row r="1352" spans="1:18" x14ac:dyDescent="0.25">
      <c r="A1352" s="170">
        <v>44000</v>
      </c>
      <c r="B1352" s="116">
        <v>7.68</v>
      </c>
      <c r="C1352" s="116">
        <v>7.52</v>
      </c>
      <c r="D1352" s="116">
        <v>7.33</v>
      </c>
      <c r="E1352" s="116">
        <v>7.33</v>
      </c>
      <c r="F1352" s="116">
        <v>37.6</v>
      </c>
      <c r="G1352">
        <v>825760</v>
      </c>
      <c r="H1352" s="116"/>
      <c r="I1352" s="116"/>
      <c r="L1352" s="170">
        <v>44000</v>
      </c>
      <c r="M1352" s="116">
        <v>7.52</v>
      </c>
      <c r="N1352" s="116">
        <v>7.68</v>
      </c>
      <c r="O1352" s="116">
        <v>7.34</v>
      </c>
      <c r="P1352" s="116">
        <v>7.4</v>
      </c>
      <c r="Q1352" s="116">
        <v>37.6</v>
      </c>
      <c r="R1352">
        <v>9678941</v>
      </c>
    </row>
    <row r="1353" spans="1:18" x14ac:dyDescent="0.25">
      <c r="A1353" s="170">
        <v>44001</v>
      </c>
      <c r="B1353" s="116">
        <v>7.71</v>
      </c>
      <c r="C1353" s="116">
        <v>7.6</v>
      </c>
      <c r="D1353" s="116">
        <v>7.52</v>
      </c>
      <c r="E1353" s="116">
        <v>7.52</v>
      </c>
      <c r="F1353" s="116">
        <v>38</v>
      </c>
      <c r="G1353">
        <v>1008554</v>
      </c>
      <c r="H1353" s="116"/>
      <c r="I1353" s="116"/>
      <c r="L1353" s="170">
        <v>44001</v>
      </c>
      <c r="M1353" s="116">
        <v>7.6</v>
      </c>
      <c r="N1353" s="116">
        <v>7.71</v>
      </c>
      <c r="O1353" s="116">
        <v>7.52</v>
      </c>
      <c r="P1353" s="116">
        <v>7.53</v>
      </c>
      <c r="Q1353" s="116">
        <v>38</v>
      </c>
      <c r="R1353">
        <v>10731869</v>
      </c>
    </row>
    <row r="1354" spans="1:18" x14ac:dyDescent="0.25">
      <c r="A1354" s="170">
        <v>44004</v>
      </c>
      <c r="B1354" s="116">
        <v>7.79</v>
      </c>
      <c r="C1354" s="116">
        <v>7.64</v>
      </c>
      <c r="D1354" s="116">
        <v>7.2</v>
      </c>
      <c r="E1354" s="116">
        <v>7.66</v>
      </c>
      <c r="F1354" s="116">
        <v>38.200000000000003</v>
      </c>
      <c r="G1354">
        <v>2121172</v>
      </c>
      <c r="H1354" s="116"/>
      <c r="I1354" s="116"/>
      <c r="L1354" s="170">
        <v>44004</v>
      </c>
      <c r="M1354" s="116">
        <v>7.64</v>
      </c>
      <c r="N1354" s="116">
        <v>7.72</v>
      </c>
      <c r="O1354" s="116">
        <v>7.19</v>
      </c>
      <c r="P1354" s="116">
        <v>7.71</v>
      </c>
      <c r="Q1354" s="116">
        <v>38.200000000000003</v>
      </c>
      <c r="R1354">
        <v>28617224</v>
      </c>
    </row>
    <row r="1355" spans="1:18" x14ac:dyDescent="0.25">
      <c r="A1355" s="170">
        <v>44005</v>
      </c>
      <c r="B1355" s="116">
        <v>7.68</v>
      </c>
      <c r="C1355" s="116">
        <v>7.57</v>
      </c>
      <c r="D1355" s="116">
        <v>7.45</v>
      </c>
      <c r="E1355" s="116">
        <v>7.64</v>
      </c>
      <c r="F1355" s="116">
        <v>37.85</v>
      </c>
      <c r="G1355">
        <v>1429777</v>
      </c>
      <c r="H1355" s="116"/>
      <c r="I1355" s="116"/>
      <c r="L1355" s="170">
        <v>44005</v>
      </c>
      <c r="M1355" s="116">
        <v>7.58</v>
      </c>
      <c r="N1355" s="116">
        <v>7.68</v>
      </c>
      <c r="O1355" s="116">
        <v>7.44</v>
      </c>
      <c r="P1355" s="116">
        <v>7.6</v>
      </c>
      <c r="Q1355" s="116">
        <v>37.9</v>
      </c>
      <c r="R1355">
        <v>11481054</v>
      </c>
    </row>
    <row r="1356" spans="1:18" x14ac:dyDescent="0.25">
      <c r="A1356" s="170">
        <v>44006</v>
      </c>
      <c r="B1356" s="116">
        <v>7.82</v>
      </c>
      <c r="C1356" s="116">
        <v>7.57</v>
      </c>
      <c r="D1356" s="116">
        <v>7.4</v>
      </c>
      <c r="E1356" s="116">
        <v>7.63</v>
      </c>
      <c r="F1356" s="116">
        <v>37.85</v>
      </c>
      <c r="G1356">
        <v>1344329</v>
      </c>
      <c r="H1356" s="116"/>
      <c r="I1356" s="116"/>
      <c r="L1356" s="170">
        <v>44006</v>
      </c>
      <c r="M1356" s="116">
        <v>7.55</v>
      </c>
      <c r="N1356" s="116">
        <v>7.82</v>
      </c>
      <c r="O1356" s="116">
        <v>7.4</v>
      </c>
      <c r="P1356" s="116">
        <v>7.66</v>
      </c>
      <c r="Q1356" s="116">
        <v>37.75</v>
      </c>
      <c r="R1356">
        <v>20525135</v>
      </c>
    </row>
    <row r="1357" spans="1:18" x14ac:dyDescent="0.25">
      <c r="A1357" s="170">
        <v>44007</v>
      </c>
      <c r="B1357" s="116">
        <v>7.65</v>
      </c>
      <c r="C1357" s="116">
        <v>7.35</v>
      </c>
      <c r="D1357" s="116">
        <v>7.3</v>
      </c>
      <c r="E1357" s="116">
        <v>7.56</v>
      </c>
      <c r="F1357" s="116">
        <v>36.75</v>
      </c>
      <c r="G1357">
        <v>1275502</v>
      </c>
      <c r="H1357" s="116"/>
      <c r="I1357" s="116"/>
      <c r="L1357" s="170">
        <v>44007</v>
      </c>
      <c r="M1357" s="116">
        <v>7.35</v>
      </c>
      <c r="N1357" s="116">
        <v>7.65</v>
      </c>
      <c r="O1357" s="116">
        <v>7.3</v>
      </c>
      <c r="P1357" s="116">
        <v>7.57</v>
      </c>
      <c r="Q1357" s="116">
        <v>36.75</v>
      </c>
      <c r="R1357">
        <v>15974452</v>
      </c>
    </row>
    <row r="1358" spans="1:18" x14ac:dyDescent="0.25">
      <c r="A1358" s="170">
        <v>44008</v>
      </c>
      <c r="B1358" s="116">
        <v>7.57</v>
      </c>
      <c r="C1358" s="116">
        <v>7.34</v>
      </c>
      <c r="D1358" s="116">
        <v>7.27</v>
      </c>
      <c r="E1358" s="116">
        <v>7.51</v>
      </c>
      <c r="F1358" s="116">
        <v>36.700000000000003</v>
      </c>
      <c r="G1358">
        <v>605058</v>
      </c>
      <c r="H1358" s="116"/>
      <c r="I1358" s="116"/>
      <c r="L1358" s="170">
        <v>44008</v>
      </c>
      <c r="M1358" s="116">
        <v>7.35</v>
      </c>
      <c r="N1358" s="116">
        <v>7.58</v>
      </c>
      <c r="O1358" s="116">
        <v>7.28</v>
      </c>
      <c r="P1358" s="116">
        <v>7.56</v>
      </c>
      <c r="Q1358" s="116">
        <v>36.75</v>
      </c>
      <c r="R1358">
        <v>5533269</v>
      </c>
    </row>
    <row r="1359" spans="1:18" x14ac:dyDescent="0.25">
      <c r="A1359" s="170">
        <v>44011</v>
      </c>
      <c r="B1359" s="116">
        <v>7.44</v>
      </c>
      <c r="C1359" s="116">
        <v>7.25</v>
      </c>
      <c r="D1359" s="116">
        <v>7.2</v>
      </c>
      <c r="E1359" s="116">
        <v>7.4</v>
      </c>
      <c r="F1359" s="116">
        <v>36.25</v>
      </c>
      <c r="G1359">
        <v>336655</v>
      </c>
      <c r="H1359" s="116"/>
      <c r="I1359" s="116"/>
      <c r="L1359" s="170">
        <v>44011</v>
      </c>
      <c r="M1359" s="116">
        <v>7.25</v>
      </c>
      <c r="N1359" s="116">
        <v>7.45</v>
      </c>
      <c r="O1359" s="116">
        <v>7.19</v>
      </c>
      <c r="P1359" s="116">
        <v>7.39</v>
      </c>
      <c r="Q1359" s="116">
        <v>36.25</v>
      </c>
      <c r="R1359">
        <v>4370886</v>
      </c>
    </row>
    <row r="1360" spans="1:18" x14ac:dyDescent="0.25">
      <c r="A1360" s="170">
        <v>44012</v>
      </c>
      <c r="B1360" s="116">
        <v>7.34</v>
      </c>
      <c r="C1360" s="116">
        <v>7.2</v>
      </c>
      <c r="D1360" s="116">
        <v>7.16</v>
      </c>
      <c r="E1360" s="116">
        <v>7.3</v>
      </c>
      <c r="F1360" s="116">
        <v>36</v>
      </c>
      <c r="G1360">
        <v>337603</v>
      </c>
      <c r="H1360" s="116"/>
      <c r="I1360" s="116"/>
      <c r="L1360" s="170">
        <v>44012</v>
      </c>
      <c r="M1360" s="116">
        <v>7.2</v>
      </c>
      <c r="N1360" s="116">
        <v>7.35</v>
      </c>
      <c r="O1360" s="116">
        <v>7.16</v>
      </c>
      <c r="P1360" s="116">
        <v>7.35</v>
      </c>
      <c r="Q1360" s="116">
        <v>36</v>
      </c>
      <c r="R1360">
        <v>2777667</v>
      </c>
    </row>
    <row r="1361" spans="1:18" x14ac:dyDescent="0.25">
      <c r="A1361" s="170">
        <v>44013</v>
      </c>
      <c r="B1361" s="116">
        <v>7.22</v>
      </c>
      <c r="C1361" s="116">
        <v>7.17</v>
      </c>
      <c r="D1361" s="116">
        <v>7.15</v>
      </c>
      <c r="E1361" s="116">
        <v>7.2</v>
      </c>
      <c r="F1361" s="116">
        <v>35.85</v>
      </c>
      <c r="G1361">
        <v>375262</v>
      </c>
      <c r="H1361" s="116"/>
      <c r="I1361" s="116"/>
      <c r="L1361" s="170">
        <v>44013</v>
      </c>
      <c r="M1361" s="116">
        <v>7.18</v>
      </c>
      <c r="N1361" s="116">
        <v>7.22</v>
      </c>
      <c r="O1361" s="116">
        <v>7.15</v>
      </c>
      <c r="P1361" s="116">
        <v>7.16</v>
      </c>
      <c r="Q1361" s="116">
        <v>35.9</v>
      </c>
      <c r="R1361">
        <v>2451686</v>
      </c>
    </row>
    <row r="1362" spans="1:18" x14ac:dyDescent="0.25">
      <c r="A1362" s="170">
        <v>44014</v>
      </c>
      <c r="B1362" s="116">
        <v>7.25</v>
      </c>
      <c r="C1362" s="116">
        <v>7.17</v>
      </c>
      <c r="D1362" s="116">
        <v>7.12</v>
      </c>
      <c r="E1362" s="116">
        <v>7.12</v>
      </c>
      <c r="F1362" s="116">
        <v>35.85</v>
      </c>
      <c r="G1362">
        <v>204886</v>
      </c>
      <c r="H1362" s="116"/>
      <c r="I1362" s="116"/>
      <c r="L1362" s="170">
        <v>44014</v>
      </c>
      <c r="M1362" s="116">
        <v>7.16</v>
      </c>
      <c r="N1362" s="116">
        <v>7.25</v>
      </c>
      <c r="O1362" s="116">
        <v>7.13</v>
      </c>
      <c r="P1362" s="116">
        <v>7.22</v>
      </c>
      <c r="Q1362" s="116">
        <v>35.799999999999997</v>
      </c>
      <c r="R1362">
        <v>2674918</v>
      </c>
    </row>
    <row r="1363" spans="1:18" x14ac:dyDescent="0.25">
      <c r="A1363" s="170">
        <v>44015</v>
      </c>
      <c r="B1363" s="116">
        <v>7.22</v>
      </c>
      <c r="C1363" s="116">
        <v>7.18</v>
      </c>
      <c r="D1363" s="116">
        <v>7.15</v>
      </c>
      <c r="E1363" s="116">
        <v>7.17</v>
      </c>
      <c r="F1363" s="116">
        <v>35.9</v>
      </c>
      <c r="G1363">
        <v>376975</v>
      </c>
      <c r="H1363" s="116"/>
      <c r="I1363" s="116"/>
      <c r="L1363" s="170">
        <v>44015</v>
      </c>
      <c r="M1363" s="116">
        <v>7.18</v>
      </c>
      <c r="N1363" s="116">
        <v>7.22</v>
      </c>
      <c r="O1363" s="116">
        <v>7.16</v>
      </c>
      <c r="P1363" s="116">
        <v>7.18</v>
      </c>
      <c r="Q1363" s="116">
        <v>35.9</v>
      </c>
      <c r="R1363">
        <v>2643230</v>
      </c>
    </row>
    <row r="1364" spans="1:18" x14ac:dyDescent="0.25">
      <c r="A1364" s="170">
        <v>44018</v>
      </c>
      <c r="B1364" s="116">
        <v>7.3</v>
      </c>
      <c r="C1364" s="116">
        <v>7.18</v>
      </c>
      <c r="D1364" s="116">
        <v>7.16</v>
      </c>
      <c r="E1364" s="116">
        <v>7.16</v>
      </c>
      <c r="F1364" s="116">
        <v>35.9</v>
      </c>
      <c r="G1364">
        <v>248335</v>
      </c>
      <c r="H1364" s="116"/>
      <c r="I1364" s="116"/>
      <c r="L1364" s="170">
        <v>44018</v>
      </c>
      <c r="M1364" s="116">
        <v>7.18</v>
      </c>
      <c r="N1364" s="116">
        <v>7.3</v>
      </c>
      <c r="O1364" s="116">
        <v>7.16</v>
      </c>
      <c r="P1364" s="116">
        <v>7.18</v>
      </c>
      <c r="Q1364" s="116">
        <v>35.9</v>
      </c>
      <c r="R1364">
        <v>4527779</v>
      </c>
    </row>
    <row r="1365" spans="1:18" x14ac:dyDescent="0.25">
      <c r="A1365" s="170">
        <v>44019</v>
      </c>
      <c r="B1365" s="116">
        <v>7.27</v>
      </c>
      <c r="C1365" s="116">
        <v>7.19</v>
      </c>
      <c r="D1365" s="116">
        <v>7.14</v>
      </c>
      <c r="E1365" s="116">
        <v>7.27</v>
      </c>
      <c r="F1365" s="116">
        <v>35.950000000000003</v>
      </c>
      <c r="G1365">
        <v>217744</v>
      </c>
      <c r="H1365" s="116"/>
      <c r="I1365" s="116"/>
      <c r="L1365" s="170">
        <v>44019</v>
      </c>
      <c r="M1365" s="116">
        <v>7.19</v>
      </c>
      <c r="N1365" s="116">
        <v>7.25</v>
      </c>
      <c r="O1365" s="116">
        <v>7.14</v>
      </c>
      <c r="P1365" s="116">
        <v>7.19</v>
      </c>
      <c r="Q1365" s="116">
        <v>35.950000000000003</v>
      </c>
      <c r="R1365">
        <v>3771401</v>
      </c>
    </row>
    <row r="1366" spans="1:18" x14ac:dyDescent="0.25">
      <c r="A1366" s="170">
        <v>44020</v>
      </c>
      <c r="B1366" s="116">
        <v>7.23</v>
      </c>
      <c r="C1366" s="116">
        <v>7.15</v>
      </c>
      <c r="D1366" s="116">
        <v>7.12</v>
      </c>
      <c r="E1366" s="116">
        <v>7.2</v>
      </c>
      <c r="F1366" s="116">
        <v>35.75</v>
      </c>
      <c r="G1366">
        <v>141883</v>
      </c>
      <c r="H1366" s="116"/>
      <c r="I1366" s="116"/>
      <c r="L1366" s="170">
        <v>44020</v>
      </c>
      <c r="M1366" s="116">
        <v>7.14</v>
      </c>
      <c r="N1366" s="116">
        <v>7.22</v>
      </c>
      <c r="O1366" s="116">
        <v>7.12</v>
      </c>
      <c r="P1366" s="116">
        <v>7.2</v>
      </c>
      <c r="Q1366" s="116">
        <v>35.700000000000003</v>
      </c>
      <c r="R1366">
        <v>2637156</v>
      </c>
    </row>
    <row r="1367" spans="1:18" x14ac:dyDescent="0.25">
      <c r="A1367" s="170">
        <v>44021</v>
      </c>
      <c r="B1367" s="116">
        <v>7.19</v>
      </c>
      <c r="C1367" s="116">
        <v>7.11</v>
      </c>
      <c r="D1367" s="116">
        <v>7.1</v>
      </c>
      <c r="E1367" s="116">
        <v>7.19</v>
      </c>
      <c r="F1367" s="116">
        <v>35.549999999999997</v>
      </c>
      <c r="G1367">
        <v>308855</v>
      </c>
      <c r="H1367" s="116"/>
      <c r="I1367" s="116"/>
      <c r="L1367" s="170">
        <v>44021</v>
      </c>
      <c r="M1367" s="116">
        <v>7.11</v>
      </c>
      <c r="N1367" s="116">
        <v>7.19</v>
      </c>
      <c r="O1367" s="116">
        <v>7.1</v>
      </c>
      <c r="P1367" s="116">
        <v>7.19</v>
      </c>
      <c r="Q1367" s="116">
        <v>35.549999999999997</v>
      </c>
      <c r="R1367">
        <v>2214256</v>
      </c>
    </row>
    <row r="1368" spans="1:18" x14ac:dyDescent="0.25">
      <c r="A1368" s="170">
        <v>44022</v>
      </c>
      <c r="B1368" s="116">
        <v>7.1</v>
      </c>
      <c r="C1368" s="116">
        <v>6.96</v>
      </c>
      <c r="D1368" s="116">
        <v>6.94</v>
      </c>
      <c r="E1368" s="116">
        <v>7.06</v>
      </c>
      <c r="F1368" s="116">
        <v>34.799999999999997</v>
      </c>
      <c r="G1368">
        <v>407157</v>
      </c>
      <c r="H1368" s="116"/>
      <c r="I1368" s="116"/>
      <c r="L1368" s="170">
        <v>44022</v>
      </c>
      <c r="M1368" s="116">
        <v>6.96</v>
      </c>
      <c r="N1368" s="116">
        <v>7.08</v>
      </c>
      <c r="O1368" s="116">
        <v>6.94</v>
      </c>
      <c r="P1368" s="116">
        <v>7.03</v>
      </c>
      <c r="Q1368" s="116">
        <v>34.799999999999997</v>
      </c>
      <c r="R1368">
        <v>4439842</v>
      </c>
    </row>
    <row r="1369" spans="1:18" x14ac:dyDescent="0.25">
      <c r="A1369" s="170">
        <v>44025</v>
      </c>
      <c r="B1369" s="116">
        <v>7.07</v>
      </c>
      <c r="C1369" s="116">
        <v>6.94</v>
      </c>
      <c r="D1369" s="116">
        <v>6.87</v>
      </c>
      <c r="E1369" s="116">
        <v>7.07</v>
      </c>
      <c r="F1369" s="116">
        <v>34.700000000000003</v>
      </c>
      <c r="G1369">
        <v>239906</v>
      </c>
      <c r="H1369" s="116"/>
      <c r="I1369" s="116"/>
      <c r="L1369" s="170">
        <v>44025</v>
      </c>
      <c r="M1369" s="116">
        <v>6.94</v>
      </c>
      <c r="N1369" s="116">
        <v>6.99</v>
      </c>
      <c r="O1369" s="116">
        <v>6.88</v>
      </c>
      <c r="P1369" s="116">
        <v>6.98</v>
      </c>
      <c r="Q1369" s="116">
        <v>34.700000000000003</v>
      </c>
      <c r="R1369">
        <v>3333128</v>
      </c>
    </row>
    <row r="1370" spans="1:18" x14ac:dyDescent="0.25">
      <c r="A1370" s="170">
        <v>44026</v>
      </c>
      <c r="B1370" s="116">
        <v>7.22</v>
      </c>
      <c r="C1370" s="116">
        <v>7.14</v>
      </c>
      <c r="D1370" s="116">
        <v>6.87</v>
      </c>
      <c r="E1370" s="116">
        <v>6.97</v>
      </c>
      <c r="F1370" s="116">
        <v>35.700000000000003</v>
      </c>
      <c r="G1370">
        <v>475896</v>
      </c>
      <c r="H1370" s="116"/>
      <c r="I1370" s="116"/>
      <c r="L1370" s="170">
        <v>44026</v>
      </c>
      <c r="M1370" s="116">
        <v>7.14</v>
      </c>
      <c r="N1370" s="116">
        <v>7.23</v>
      </c>
      <c r="O1370" s="116">
        <v>6.87</v>
      </c>
      <c r="P1370" s="116">
        <v>6.94</v>
      </c>
      <c r="Q1370" s="116">
        <v>35.700000000000003</v>
      </c>
      <c r="R1370">
        <v>6152177</v>
      </c>
    </row>
    <row r="1371" spans="1:18" x14ac:dyDescent="0.25">
      <c r="A1371" s="170">
        <v>44027</v>
      </c>
      <c r="B1371" s="116">
        <v>7.18</v>
      </c>
      <c r="C1371" s="116">
        <v>6.94</v>
      </c>
      <c r="D1371" s="116">
        <v>6.91</v>
      </c>
      <c r="E1371" s="116">
        <v>7.18</v>
      </c>
      <c r="F1371" s="116">
        <v>34.700000000000003</v>
      </c>
      <c r="G1371">
        <v>155646</v>
      </c>
      <c r="H1371" s="116"/>
      <c r="I1371" s="116"/>
      <c r="L1371" s="170">
        <v>44027</v>
      </c>
      <c r="M1371" s="116">
        <v>6.94</v>
      </c>
      <c r="N1371" s="116">
        <v>7.17</v>
      </c>
      <c r="O1371" s="116">
        <v>6.91</v>
      </c>
      <c r="P1371" s="116">
        <v>7.17</v>
      </c>
      <c r="Q1371" s="116">
        <v>34.700000000000003</v>
      </c>
      <c r="R1371">
        <v>2903309</v>
      </c>
    </row>
    <row r="1372" spans="1:18" x14ac:dyDescent="0.25">
      <c r="A1372" s="170">
        <v>44028</v>
      </c>
      <c r="B1372" s="116">
        <v>6.99</v>
      </c>
      <c r="C1372" s="116">
        <v>6.94</v>
      </c>
      <c r="D1372" s="116">
        <v>6.9</v>
      </c>
      <c r="E1372" s="116">
        <v>6.94</v>
      </c>
      <c r="F1372" s="116">
        <v>34.700000000000003</v>
      </c>
      <c r="G1372">
        <v>109430</v>
      </c>
      <c r="H1372" s="116"/>
      <c r="I1372" s="116"/>
      <c r="L1372" s="170">
        <v>44028</v>
      </c>
      <c r="M1372" s="116">
        <v>6.94</v>
      </c>
      <c r="N1372" s="116">
        <v>6.99</v>
      </c>
      <c r="O1372" s="116">
        <v>6.91</v>
      </c>
      <c r="P1372" s="116">
        <v>6.93</v>
      </c>
      <c r="Q1372" s="116">
        <v>34.700000000000003</v>
      </c>
      <c r="R1372">
        <v>1958064</v>
      </c>
    </row>
    <row r="1373" spans="1:18" x14ac:dyDescent="0.25">
      <c r="A1373" s="170">
        <v>44029</v>
      </c>
      <c r="B1373" s="116">
        <v>7.22</v>
      </c>
      <c r="C1373" s="116">
        <v>7.1</v>
      </c>
      <c r="D1373" s="116">
        <v>6.92</v>
      </c>
      <c r="E1373" s="116">
        <v>6.95</v>
      </c>
      <c r="F1373" s="116">
        <v>35.5</v>
      </c>
      <c r="G1373">
        <v>279652</v>
      </c>
      <c r="H1373" s="116"/>
      <c r="I1373" s="116"/>
      <c r="L1373" s="170">
        <v>44029</v>
      </c>
      <c r="M1373" s="116">
        <v>7.1</v>
      </c>
      <c r="N1373" s="116">
        <v>7.23</v>
      </c>
      <c r="O1373" s="116">
        <v>6.92</v>
      </c>
      <c r="P1373" s="116">
        <v>6.98</v>
      </c>
      <c r="Q1373" s="116">
        <v>35.5</v>
      </c>
      <c r="R1373">
        <v>5039398</v>
      </c>
    </row>
    <row r="1374" spans="1:18" x14ac:dyDescent="0.25">
      <c r="A1374" s="170">
        <v>44032</v>
      </c>
      <c r="B1374" s="116">
        <v>7.19</v>
      </c>
      <c r="C1374" s="116">
        <v>7.07</v>
      </c>
      <c r="D1374" s="116">
        <v>7.01</v>
      </c>
      <c r="E1374" s="116">
        <v>7.01</v>
      </c>
      <c r="F1374" s="116">
        <v>35.35</v>
      </c>
      <c r="G1374">
        <v>204911</v>
      </c>
      <c r="H1374" s="116"/>
      <c r="I1374" s="116"/>
      <c r="L1374" s="170">
        <v>44032</v>
      </c>
      <c r="M1374" s="116">
        <v>7.07</v>
      </c>
      <c r="N1374" s="116">
        <v>7.2</v>
      </c>
      <c r="O1374" s="116">
        <v>7.03</v>
      </c>
      <c r="P1374" s="116">
        <v>7.11</v>
      </c>
      <c r="Q1374" s="116">
        <v>35.35</v>
      </c>
      <c r="R1374">
        <v>1882940</v>
      </c>
    </row>
    <row r="1375" spans="1:18" x14ac:dyDescent="0.25">
      <c r="A1375" s="170">
        <v>44033</v>
      </c>
      <c r="B1375" s="116">
        <v>7.13</v>
      </c>
      <c r="C1375" s="116">
        <v>7.05</v>
      </c>
      <c r="D1375" s="116">
        <v>7.03</v>
      </c>
      <c r="E1375" s="116">
        <v>7.12</v>
      </c>
      <c r="F1375" s="116">
        <v>35.25</v>
      </c>
      <c r="G1375">
        <v>144451</v>
      </c>
      <c r="H1375" s="116"/>
      <c r="I1375" s="116"/>
      <c r="L1375" s="170">
        <v>44033</v>
      </c>
      <c r="M1375" s="116">
        <v>7.05</v>
      </c>
      <c r="N1375" s="116">
        <v>7.14</v>
      </c>
      <c r="O1375" s="116">
        <v>7.02</v>
      </c>
      <c r="P1375" s="116">
        <v>7.08</v>
      </c>
      <c r="Q1375" s="116">
        <v>35.25</v>
      </c>
      <c r="R1375">
        <v>2626292</v>
      </c>
    </row>
    <row r="1376" spans="1:18" x14ac:dyDescent="0.25">
      <c r="A1376" s="170">
        <v>44034</v>
      </c>
      <c r="B1376" s="116">
        <v>7.09</v>
      </c>
      <c r="C1376" s="116">
        <v>7.01</v>
      </c>
      <c r="D1376" s="116">
        <v>6.97</v>
      </c>
      <c r="E1376" s="116">
        <v>7.05</v>
      </c>
      <c r="F1376" s="116">
        <v>35.049999999999997</v>
      </c>
      <c r="G1376">
        <v>140305</v>
      </c>
      <c r="H1376" s="116"/>
      <c r="I1376" s="116"/>
      <c r="L1376" s="170">
        <v>44034</v>
      </c>
      <c r="M1376" s="116">
        <v>7.01</v>
      </c>
      <c r="N1376" s="116">
        <v>7.1</v>
      </c>
      <c r="O1376" s="116">
        <v>6.97</v>
      </c>
      <c r="P1376" s="116">
        <v>7.01</v>
      </c>
      <c r="Q1376" s="116">
        <v>35.049999999999997</v>
      </c>
      <c r="R1376">
        <v>3257659</v>
      </c>
    </row>
    <row r="1377" spans="1:18" x14ac:dyDescent="0.25">
      <c r="A1377" s="170">
        <v>44035</v>
      </c>
      <c r="B1377" s="116">
        <v>7.08</v>
      </c>
      <c r="C1377" s="116">
        <v>7.03</v>
      </c>
      <c r="D1377" s="116">
        <v>6.97</v>
      </c>
      <c r="E1377" s="116">
        <v>6.97</v>
      </c>
      <c r="F1377" s="116">
        <v>35.15</v>
      </c>
      <c r="G1377">
        <v>181973</v>
      </c>
      <c r="H1377" s="116"/>
      <c r="I1377" s="116"/>
      <c r="L1377" s="170">
        <v>44035</v>
      </c>
      <c r="M1377" s="116">
        <v>7.03</v>
      </c>
      <c r="N1377" s="116">
        <v>7.08</v>
      </c>
      <c r="O1377" s="116">
        <v>7.01</v>
      </c>
      <c r="P1377" s="116">
        <v>7.02</v>
      </c>
      <c r="Q1377" s="116">
        <v>35.15</v>
      </c>
      <c r="R1377">
        <v>1820537</v>
      </c>
    </row>
    <row r="1378" spans="1:18" x14ac:dyDescent="0.25">
      <c r="A1378" s="170">
        <v>44036</v>
      </c>
      <c r="B1378" s="116">
        <v>7.05</v>
      </c>
      <c r="C1378" s="116">
        <v>7</v>
      </c>
      <c r="D1378" s="116">
        <v>6.99</v>
      </c>
      <c r="E1378" s="116">
        <v>7</v>
      </c>
      <c r="F1378" s="116">
        <v>35</v>
      </c>
      <c r="G1378">
        <v>98592</v>
      </c>
      <c r="H1378" s="116"/>
      <c r="I1378" s="116"/>
      <c r="L1378" s="170">
        <v>44036</v>
      </c>
      <c r="M1378" s="116">
        <v>7</v>
      </c>
      <c r="N1378" s="116">
        <v>7.05</v>
      </c>
      <c r="O1378" s="116">
        <v>6.98</v>
      </c>
      <c r="P1378" s="116">
        <v>7.02</v>
      </c>
      <c r="Q1378" s="116">
        <v>35</v>
      </c>
      <c r="R1378">
        <v>1749963</v>
      </c>
    </row>
    <row r="1379" spans="1:18" x14ac:dyDescent="0.25">
      <c r="A1379" s="170">
        <v>44039</v>
      </c>
      <c r="B1379" s="116">
        <v>7.13</v>
      </c>
      <c r="C1379" s="116">
        <v>7.06</v>
      </c>
      <c r="D1379" s="116">
        <v>7</v>
      </c>
      <c r="E1379" s="116">
        <v>7</v>
      </c>
      <c r="F1379" s="116">
        <v>35.299999999999997</v>
      </c>
      <c r="G1379">
        <v>676366</v>
      </c>
      <c r="H1379" s="116"/>
      <c r="I1379" s="116"/>
      <c r="L1379" s="170">
        <v>44039</v>
      </c>
      <c r="M1379" s="116">
        <v>7.05</v>
      </c>
      <c r="N1379" s="116">
        <v>7.14</v>
      </c>
      <c r="O1379" s="116">
        <v>7</v>
      </c>
      <c r="P1379" s="116">
        <v>7</v>
      </c>
      <c r="Q1379" s="116">
        <v>35.25</v>
      </c>
      <c r="R1379">
        <v>3375946</v>
      </c>
    </row>
    <row r="1380" spans="1:18" x14ac:dyDescent="0.25">
      <c r="A1380" s="170">
        <v>44040</v>
      </c>
      <c r="B1380" s="116">
        <v>7.13</v>
      </c>
      <c r="C1380" s="116">
        <v>7.1</v>
      </c>
      <c r="D1380" s="116">
        <v>7.01</v>
      </c>
      <c r="E1380" s="116">
        <v>7.01</v>
      </c>
      <c r="F1380" s="116">
        <v>35.5</v>
      </c>
      <c r="G1380">
        <v>344265</v>
      </c>
      <c r="H1380" s="116"/>
      <c r="I1380" s="116"/>
      <c r="L1380" s="170">
        <v>44040</v>
      </c>
      <c r="M1380" s="116">
        <v>7.1</v>
      </c>
      <c r="N1380" s="116">
        <v>7.14</v>
      </c>
      <c r="O1380" s="116">
        <v>7.02</v>
      </c>
      <c r="P1380" s="116">
        <v>7.07</v>
      </c>
      <c r="Q1380" s="116">
        <v>35.5</v>
      </c>
      <c r="R1380">
        <v>2364320</v>
      </c>
    </row>
    <row r="1381" spans="1:18" x14ac:dyDescent="0.25">
      <c r="A1381" s="170">
        <v>44041</v>
      </c>
      <c r="B1381" s="116">
        <v>7.28</v>
      </c>
      <c r="C1381" s="116">
        <v>7.12</v>
      </c>
      <c r="D1381" s="116">
        <v>7.07</v>
      </c>
      <c r="E1381" s="116">
        <v>7.1</v>
      </c>
      <c r="F1381" s="116">
        <v>35.6</v>
      </c>
      <c r="G1381">
        <v>224382</v>
      </c>
      <c r="H1381" s="116"/>
      <c r="I1381" s="116"/>
      <c r="L1381" s="170">
        <v>44041</v>
      </c>
      <c r="M1381" s="116">
        <v>7.13</v>
      </c>
      <c r="N1381" s="116">
        <v>7.29</v>
      </c>
      <c r="O1381" s="116">
        <v>7.08</v>
      </c>
      <c r="P1381" s="116">
        <v>7.12</v>
      </c>
      <c r="Q1381" s="116">
        <v>35.65</v>
      </c>
      <c r="R1381">
        <v>4205985</v>
      </c>
    </row>
    <row r="1382" spans="1:18" x14ac:dyDescent="0.25">
      <c r="A1382" s="170">
        <v>44042</v>
      </c>
      <c r="B1382" s="116">
        <v>7.2</v>
      </c>
      <c r="C1382" s="116">
        <v>7.11</v>
      </c>
      <c r="D1382" s="116">
        <v>7.08</v>
      </c>
      <c r="E1382" s="116">
        <v>7.2</v>
      </c>
      <c r="F1382" s="116">
        <v>35.549999999999997</v>
      </c>
      <c r="G1382">
        <v>89323</v>
      </c>
      <c r="H1382" s="116"/>
      <c r="I1382" s="116"/>
      <c r="L1382" s="170">
        <v>44042</v>
      </c>
      <c r="M1382" s="116">
        <v>7.1</v>
      </c>
      <c r="N1382" s="116">
        <v>7.17</v>
      </c>
      <c r="O1382" s="116">
        <v>7.08</v>
      </c>
      <c r="P1382" s="116">
        <v>7.14</v>
      </c>
      <c r="Q1382" s="116">
        <v>35.5</v>
      </c>
      <c r="R1382">
        <v>1467552</v>
      </c>
    </row>
    <row r="1383" spans="1:18" x14ac:dyDescent="0.25">
      <c r="A1383" s="170">
        <v>44043</v>
      </c>
      <c r="B1383" s="116">
        <v>7.25</v>
      </c>
      <c r="C1383" s="116">
        <v>7.08</v>
      </c>
      <c r="D1383" s="116">
        <v>7.02</v>
      </c>
      <c r="E1383" s="116">
        <v>7.2</v>
      </c>
      <c r="F1383" s="116">
        <v>35.4</v>
      </c>
      <c r="G1383">
        <v>368875</v>
      </c>
      <c r="H1383" s="116"/>
      <c r="I1383" s="116"/>
      <c r="L1383" s="170">
        <v>44043</v>
      </c>
      <c r="M1383" s="116">
        <v>7.08</v>
      </c>
      <c r="N1383" s="116">
        <v>7.25</v>
      </c>
      <c r="O1383" s="116">
        <v>7.02</v>
      </c>
      <c r="P1383" s="116">
        <v>7.19</v>
      </c>
      <c r="Q1383" s="116">
        <v>35.4</v>
      </c>
      <c r="R1383">
        <v>3255265</v>
      </c>
    </row>
    <row r="1384" spans="1:18" x14ac:dyDescent="0.25">
      <c r="A1384" s="170">
        <v>44046</v>
      </c>
      <c r="B1384" s="116">
        <v>7.07</v>
      </c>
      <c r="C1384" s="116">
        <v>7.03</v>
      </c>
      <c r="D1384" s="116">
        <v>7.02</v>
      </c>
      <c r="E1384" s="116">
        <v>7.04</v>
      </c>
      <c r="F1384" s="116">
        <v>35.15</v>
      </c>
      <c r="G1384">
        <v>153538</v>
      </c>
      <c r="H1384" s="116"/>
      <c r="I1384" s="116"/>
      <c r="L1384" s="170">
        <v>44046</v>
      </c>
      <c r="M1384" s="116">
        <v>7.03</v>
      </c>
      <c r="N1384" s="116">
        <v>7.08</v>
      </c>
      <c r="O1384" s="116">
        <v>7.02</v>
      </c>
      <c r="P1384" s="116">
        <v>7.02</v>
      </c>
      <c r="Q1384" s="116">
        <v>35.15</v>
      </c>
      <c r="R1384">
        <v>1251347</v>
      </c>
    </row>
    <row r="1385" spans="1:18" x14ac:dyDescent="0.25">
      <c r="A1385" s="170">
        <v>44047</v>
      </c>
      <c r="B1385" s="116">
        <v>7.23</v>
      </c>
      <c r="C1385" s="116">
        <v>7.19</v>
      </c>
      <c r="D1385" s="116">
        <v>7.01</v>
      </c>
      <c r="E1385" s="116">
        <v>7.01</v>
      </c>
      <c r="F1385" s="116">
        <v>35.950000000000003</v>
      </c>
      <c r="G1385">
        <v>120443</v>
      </c>
      <c r="H1385" s="116"/>
      <c r="I1385" s="116"/>
      <c r="L1385" s="170">
        <v>44047</v>
      </c>
      <c r="M1385" s="116">
        <v>7.19</v>
      </c>
      <c r="N1385" s="116">
        <v>7.23</v>
      </c>
      <c r="O1385" s="116">
        <v>7.02</v>
      </c>
      <c r="P1385" s="116">
        <v>7.04</v>
      </c>
      <c r="Q1385" s="116">
        <v>35.950000000000003</v>
      </c>
      <c r="R1385">
        <v>4654226</v>
      </c>
    </row>
    <row r="1386" spans="1:18" x14ac:dyDescent="0.25">
      <c r="A1386" s="170">
        <v>44048</v>
      </c>
      <c r="B1386" s="116">
        <v>7.24</v>
      </c>
      <c r="C1386" s="116">
        <v>7.05</v>
      </c>
      <c r="D1386" s="116">
        <v>7.03</v>
      </c>
      <c r="E1386" s="116">
        <v>7.2</v>
      </c>
      <c r="F1386" s="116">
        <v>35.25</v>
      </c>
      <c r="G1386">
        <v>94680</v>
      </c>
      <c r="H1386" s="116"/>
      <c r="I1386" s="116"/>
      <c r="L1386" s="170">
        <v>44048</v>
      </c>
      <c r="M1386" s="116">
        <v>7.05</v>
      </c>
      <c r="N1386" s="116">
        <v>7.23</v>
      </c>
      <c r="O1386" s="116">
        <v>7.03</v>
      </c>
      <c r="P1386" s="116">
        <v>7.22</v>
      </c>
      <c r="Q1386" s="116">
        <v>35.25</v>
      </c>
      <c r="R1386">
        <v>2642660</v>
      </c>
    </row>
    <row r="1387" spans="1:18" x14ac:dyDescent="0.25">
      <c r="A1387" s="170">
        <v>44049</v>
      </c>
      <c r="B1387" s="116">
        <v>7.15</v>
      </c>
      <c r="C1387" s="116">
        <v>7.04</v>
      </c>
      <c r="D1387" s="116">
        <v>7.03</v>
      </c>
      <c r="E1387" s="116">
        <v>7.14</v>
      </c>
      <c r="F1387" s="116">
        <v>35.200000000000003</v>
      </c>
      <c r="G1387">
        <v>276497</v>
      </c>
      <c r="H1387" s="116"/>
      <c r="I1387" s="116"/>
      <c r="L1387" s="170">
        <v>44049</v>
      </c>
      <c r="M1387" s="116">
        <v>7.04</v>
      </c>
      <c r="N1387" s="116">
        <v>7.16</v>
      </c>
      <c r="O1387" s="116">
        <v>7.03</v>
      </c>
      <c r="P1387" s="116">
        <v>7.08</v>
      </c>
      <c r="Q1387" s="116">
        <v>35.200000000000003</v>
      </c>
      <c r="R1387">
        <v>3362314</v>
      </c>
    </row>
    <row r="1388" spans="1:18" x14ac:dyDescent="0.25">
      <c r="A1388" s="170">
        <v>44050</v>
      </c>
      <c r="B1388" s="116">
        <v>7.38</v>
      </c>
      <c r="C1388" s="116">
        <v>7.33</v>
      </c>
      <c r="D1388" s="116">
        <v>7.03</v>
      </c>
      <c r="E1388" s="116">
        <v>7.04</v>
      </c>
      <c r="F1388" s="116">
        <v>36.65</v>
      </c>
      <c r="G1388">
        <v>327519</v>
      </c>
      <c r="H1388" s="116"/>
      <c r="I1388" s="116"/>
      <c r="L1388" s="170">
        <v>44050</v>
      </c>
      <c r="M1388" s="116">
        <v>7.33</v>
      </c>
      <c r="N1388" s="116">
        <v>7.38</v>
      </c>
      <c r="O1388" s="116">
        <v>7.04</v>
      </c>
      <c r="P1388" s="116">
        <v>7.04</v>
      </c>
      <c r="Q1388" s="116">
        <v>36.65</v>
      </c>
      <c r="R1388">
        <v>8391661</v>
      </c>
    </row>
    <row r="1389" spans="1:18" x14ac:dyDescent="0.25">
      <c r="A1389" s="170">
        <v>44053</v>
      </c>
      <c r="B1389" s="116">
        <v>7.74</v>
      </c>
      <c r="C1389" s="116">
        <v>7.53</v>
      </c>
      <c r="D1389" s="116">
        <v>7.31</v>
      </c>
      <c r="E1389" s="116">
        <v>7.33</v>
      </c>
      <c r="F1389" s="116">
        <v>37.65</v>
      </c>
      <c r="G1389">
        <v>1090057</v>
      </c>
      <c r="H1389" s="116"/>
      <c r="I1389" s="116"/>
      <c r="L1389" s="170">
        <v>44053</v>
      </c>
      <c r="M1389" s="116">
        <v>7.53</v>
      </c>
      <c r="N1389" s="116">
        <v>7.79</v>
      </c>
      <c r="O1389" s="116">
        <v>7.33</v>
      </c>
      <c r="P1389" s="116">
        <v>7.33</v>
      </c>
      <c r="Q1389" s="116">
        <v>37.65</v>
      </c>
      <c r="R1389">
        <v>10573381</v>
      </c>
    </row>
    <row r="1390" spans="1:18" x14ac:dyDescent="0.25">
      <c r="A1390" s="170">
        <v>44054</v>
      </c>
      <c r="B1390" s="116">
        <v>7.74</v>
      </c>
      <c r="C1390" s="116">
        <v>7.54</v>
      </c>
      <c r="D1390" s="116">
        <v>7.51</v>
      </c>
      <c r="E1390" s="116">
        <v>7.56</v>
      </c>
      <c r="F1390" s="116">
        <v>37.700000000000003</v>
      </c>
      <c r="G1390">
        <v>288477</v>
      </c>
      <c r="H1390" s="116"/>
      <c r="I1390" s="116"/>
      <c r="L1390" s="170">
        <v>44054</v>
      </c>
      <c r="M1390" s="116">
        <v>7.53</v>
      </c>
      <c r="N1390" s="116">
        <v>7.74</v>
      </c>
      <c r="O1390" s="116">
        <v>7.51</v>
      </c>
      <c r="P1390" s="116">
        <v>7.65</v>
      </c>
      <c r="Q1390" s="116">
        <v>37.65</v>
      </c>
      <c r="R1390">
        <v>4917397</v>
      </c>
    </row>
    <row r="1391" spans="1:18" x14ac:dyDescent="0.25">
      <c r="A1391" s="170">
        <v>44055</v>
      </c>
      <c r="B1391" s="116">
        <v>7.62</v>
      </c>
      <c r="C1391" s="116">
        <v>7.46</v>
      </c>
      <c r="D1391" s="116">
        <v>7.45</v>
      </c>
      <c r="E1391" s="116">
        <v>7.53</v>
      </c>
      <c r="F1391" s="116">
        <v>37.299999999999997</v>
      </c>
      <c r="G1391">
        <v>311527</v>
      </c>
      <c r="H1391" s="116"/>
      <c r="I1391" s="116"/>
      <c r="L1391" s="170">
        <v>44055</v>
      </c>
      <c r="M1391" s="116">
        <v>7.46</v>
      </c>
      <c r="N1391" s="116">
        <v>7.63</v>
      </c>
      <c r="O1391" s="116">
        <v>7.45</v>
      </c>
      <c r="P1391" s="116">
        <v>7.5</v>
      </c>
      <c r="Q1391" s="116">
        <v>37.299999999999997</v>
      </c>
      <c r="R1391">
        <v>1947534</v>
      </c>
    </row>
    <row r="1392" spans="1:18" x14ac:dyDescent="0.25">
      <c r="A1392" s="170">
        <v>44056</v>
      </c>
      <c r="B1392" s="116">
        <v>7.59</v>
      </c>
      <c r="C1392" s="116">
        <v>7.53</v>
      </c>
      <c r="D1392" s="116">
        <v>7.43</v>
      </c>
      <c r="E1392" s="116">
        <v>7.46</v>
      </c>
      <c r="F1392" s="116">
        <v>37.65</v>
      </c>
      <c r="G1392">
        <v>159519</v>
      </c>
      <c r="H1392" s="116"/>
      <c r="I1392" s="116"/>
      <c r="L1392" s="170">
        <v>44056</v>
      </c>
      <c r="M1392" s="116">
        <v>7.53</v>
      </c>
      <c r="N1392" s="116">
        <v>7.59</v>
      </c>
      <c r="O1392" s="116">
        <v>7.43</v>
      </c>
      <c r="P1392" s="116">
        <v>7.47</v>
      </c>
      <c r="Q1392" s="116">
        <v>37.65</v>
      </c>
      <c r="R1392">
        <v>2346928</v>
      </c>
    </row>
    <row r="1393" spans="1:18" x14ac:dyDescent="0.25">
      <c r="A1393" s="170">
        <v>44057</v>
      </c>
      <c r="B1393" s="116">
        <v>7.57</v>
      </c>
      <c r="C1393" s="116">
        <v>7.44</v>
      </c>
      <c r="D1393" s="116">
        <v>7.41</v>
      </c>
      <c r="E1393" s="116">
        <v>7.54</v>
      </c>
      <c r="F1393" s="116">
        <v>37.200000000000003</v>
      </c>
      <c r="G1393">
        <v>212075</v>
      </c>
      <c r="H1393" s="116"/>
      <c r="I1393" s="116"/>
      <c r="L1393" s="170">
        <v>44057</v>
      </c>
      <c r="M1393" s="116">
        <v>7.43</v>
      </c>
      <c r="N1393" s="116">
        <v>7.57</v>
      </c>
      <c r="O1393" s="116">
        <v>7.41</v>
      </c>
      <c r="P1393" s="116">
        <v>7.53</v>
      </c>
      <c r="Q1393" s="116">
        <v>37.15</v>
      </c>
      <c r="R1393">
        <v>2003769</v>
      </c>
    </row>
    <row r="1394" spans="1:18" x14ac:dyDescent="0.25">
      <c r="A1394" s="170">
        <v>44060</v>
      </c>
      <c r="B1394" s="116">
        <v>7.51</v>
      </c>
      <c r="C1394" s="116">
        <v>7.41</v>
      </c>
      <c r="D1394" s="116">
        <v>7.34</v>
      </c>
      <c r="E1394" s="116">
        <v>7.42</v>
      </c>
      <c r="F1394" s="116">
        <v>37.049999999999997</v>
      </c>
      <c r="G1394">
        <v>308130</v>
      </c>
      <c r="H1394" s="116"/>
      <c r="I1394" s="116"/>
      <c r="L1394" s="170">
        <v>44060</v>
      </c>
      <c r="M1394" s="116">
        <v>7.41</v>
      </c>
      <c r="N1394" s="116">
        <v>7.51</v>
      </c>
      <c r="O1394" s="116">
        <v>7.34</v>
      </c>
      <c r="P1394" s="116">
        <v>7.44</v>
      </c>
      <c r="Q1394" s="116">
        <v>37.049999999999997</v>
      </c>
      <c r="R1394">
        <v>1192671</v>
      </c>
    </row>
    <row r="1395" spans="1:18" x14ac:dyDescent="0.25">
      <c r="A1395" s="170">
        <v>44061</v>
      </c>
      <c r="B1395" s="116">
        <v>7.47</v>
      </c>
      <c r="C1395" s="116">
        <v>7.37</v>
      </c>
      <c r="D1395" s="116">
        <v>7.34</v>
      </c>
      <c r="E1395" s="116">
        <v>7.4</v>
      </c>
      <c r="F1395" s="116">
        <v>36.85</v>
      </c>
      <c r="G1395">
        <v>103223</v>
      </c>
      <c r="H1395" s="116"/>
      <c r="I1395" s="116"/>
      <c r="L1395" s="170">
        <v>44061</v>
      </c>
      <c r="M1395" s="116">
        <v>7.36</v>
      </c>
      <c r="N1395" s="116">
        <v>7.46</v>
      </c>
      <c r="O1395" s="116">
        <v>7.35</v>
      </c>
      <c r="P1395" s="116">
        <v>7.44</v>
      </c>
      <c r="Q1395" s="116">
        <v>36.799999999999997</v>
      </c>
      <c r="R1395">
        <v>1510249</v>
      </c>
    </row>
    <row r="1396" spans="1:18" x14ac:dyDescent="0.25">
      <c r="A1396" s="170">
        <v>44062</v>
      </c>
      <c r="B1396" s="116">
        <v>7.55</v>
      </c>
      <c r="C1396" s="116">
        <v>7.5</v>
      </c>
      <c r="D1396" s="116">
        <v>7.34</v>
      </c>
      <c r="E1396" s="116">
        <v>7.36</v>
      </c>
      <c r="F1396" s="116">
        <v>37.5</v>
      </c>
      <c r="G1396">
        <v>368046</v>
      </c>
      <c r="H1396" s="116"/>
      <c r="I1396" s="116"/>
      <c r="L1396" s="170">
        <v>44062</v>
      </c>
      <c r="M1396" s="116">
        <v>7.5</v>
      </c>
      <c r="N1396" s="116">
        <v>7.56</v>
      </c>
      <c r="O1396" s="116">
        <v>7.34</v>
      </c>
      <c r="P1396" s="116">
        <v>7.34</v>
      </c>
      <c r="Q1396" s="116">
        <v>37.5</v>
      </c>
      <c r="R1396">
        <v>3794761</v>
      </c>
    </row>
    <row r="1397" spans="1:18" x14ac:dyDescent="0.25">
      <c r="A1397" s="170">
        <v>44063</v>
      </c>
      <c r="B1397" s="116">
        <v>7.92</v>
      </c>
      <c r="C1397" s="116">
        <v>7.69</v>
      </c>
      <c r="D1397" s="116">
        <v>7.47</v>
      </c>
      <c r="E1397" s="116">
        <v>7.5</v>
      </c>
      <c r="F1397" s="116">
        <v>38.450000000000003</v>
      </c>
      <c r="G1397">
        <v>728463</v>
      </c>
      <c r="H1397" s="116"/>
      <c r="I1397" s="116"/>
      <c r="L1397" s="170">
        <v>44063</v>
      </c>
      <c r="M1397" s="116">
        <v>7.69</v>
      </c>
      <c r="N1397" s="116">
        <v>7.93</v>
      </c>
      <c r="O1397" s="116">
        <v>7.42</v>
      </c>
      <c r="P1397" s="116">
        <v>7.48</v>
      </c>
      <c r="Q1397" s="116">
        <v>38.450000000000003</v>
      </c>
      <c r="R1397">
        <v>14353885</v>
      </c>
    </row>
    <row r="1398" spans="1:18" x14ac:dyDescent="0.25">
      <c r="A1398" s="170">
        <v>44064</v>
      </c>
      <c r="B1398" s="116">
        <v>7.99</v>
      </c>
      <c r="C1398" s="116">
        <v>7.84</v>
      </c>
      <c r="D1398" s="116">
        <v>7.69</v>
      </c>
      <c r="E1398" s="116">
        <v>7.72</v>
      </c>
      <c r="F1398" s="116">
        <v>39.200000000000003</v>
      </c>
      <c r="G1398">
        <v>753560</v>
      </c>
      <c r="H1398" s="116"/>
      <c r="I1398" s="116"/>
      <c r="L1398" s="170">
        <v>44064</v>
      </c>
      <c r="M1398" s="116">
        <v>7.83</v>
      </c>
      <c r="N1398" s="116">
        <v>7.99</v>
      </c>
      <c r="O1398" s="116">
        <v>7.68</v>
      </c>
      <c r="P1398" s="116">
        <v>7.76</v>
      </c>
      <c r="Q1398" s="116">
        <v>39.15</v>
      </c>
      <c r="R1398">
        <v>11864048</v>
      </c>
    </row>
    <row r="1399" spans="1:18" x14ac:dyDescent="0.25">
      <c r="A1399" s="170">
        <v>44067</v>
      </c>
      <c r="B1399" s="116">
        <v>7.99</v>
      </c>
      <c r="C1399" s="116">
        <v>7.67</v>
      </c>
      <c r="D1399" s="116">
        <v>7.66</v>
      </c>
      <c r="E1399" s="116">
        <v>7.96</v>
      </c>
      <c r="F1399" s="116">
        <v>38.35</v>
      </c>
      <c r="G1399">
        <v>508460</v>
      </c>
      <c r="H1399" s="116"/>
      <c r="I1399" s="116"/>
      <c r="L1399" s="170">
        <v>44067</v>
      </c>
      <c r="M1399" s="116">
        <v>7.68</v>
      </c>
      <c r="N1399" s="116">
        <v>7.99</v>
      </c>
      <c r="O1399" s="116">
        <v>7.66</v>
      </c>
      <c r="P1399" s="116">
        <v>7.89</v>
      </c>
      <c r="Q1399" s="116">
        <v>38.4</v>
      </c>
      <c r="R1399">
        <v>4747208</v>
      </c>
    </row>
    <row r="1400" spans="1:18" x14ac:dyDescent="0.25">
      <c r="A1400" s="170">
        <v>44068</v>
      </c>
      <c r="B1400" s="116">
        <v>8.31</v>
      </c>
      <c r="C1400" s="116">
        <v>8.18</v>
      </c>
      <c r="D1400" s="116">
        <v>7.8</v>
      </c>
      <c r="E1400" s="116">
        <v>7.94</v>
      </c>
      <c r="F1400" s="116">
        <v>40.9</v>
      </c>
      <c r="G1400">
        <v>1528460</v>
      </c>
      <c r="H1400" s="116"/>
      <c r="I1400" s="116"/>
      <c r="L1400" s="170">
        <v>44068</v>
      </c>
      <c r="M1400" s="116">
        <v>8.19</v>
      </c>
      <c r="N1400" s="116">
        <v>8.32</v>
      </c>
      <c r="O1400" s="116">
        <v>7.81</v>
      </c>
      <c r="P1400" s="116">
        <v>7.84</v>
      </c>
      <c r="Q1400" s="116">
        <v>40.950000000000003</v>
      </c>
      <c r="R1400">
        <v>29779678</v>
      </c>
    </row>
    <row r="1401" spans="1:18" x14ac:dyDescent="0.25">
      <c r="A1401" s="170">
        <v>44069</v>
      </c>
      <c r="B1401" s="116">
        <v>8.16</v>
      </c>
      <c r="C1401" s="116">
        <v>8.0299999999999994</v>
      </c>
      <c r="D1401" s="116">
        <v>7.94</v>
      </c>
      <c r="E1401" s="116">
        <v>8.1</v>
      </c>
      <c r="F1401" s="116">
        <v>40.15</v>
      </c>
      <c r="G1401">
        <v>554591</v>
      </c>
      <c r="H1401" s="116"/>
      <c r="I1401" s="116"/>
      <c r="L1401" s="170">
        <v>44069</v>
      </c>
      <c r="M1401" s="116">
        <v>8.0299999999999994</v>
      </c>
      <c r="N1401" s="116">
        <v>8.18</v>
      </c>
      <c r="O1401" s="116">
        <v>7.93</v>
      </c>
      <c r="P1401" s="116">
        <v>8.18</v>
      </c>
      <c r="Q1401" s="116">
        <v>40.15</v>
      </c>
      <c r="R1401">
        <v>10045179</v>
      </c>
    </row>
    <row r="1402" spans="1:18" x14ac:dyDescent="0.25">
      <c r="A1402" s="170">
        <v>44070</v>
      </c>
      <c r="B1402" s="116">
        <v>8.11</v>
      </c>
      <c r="C1402" s="116">
        <v>7.89</v>
      </c>
      <c r="D1402" s="116">
        <v>7.86</v>
      </c>
      <c r="E1402" s="116">
        <v>8.0399999999999991</v>
      </c>
      <c r="F1402" s="116">
        <v>39.450000000000003</v>
      </c>
      <c r="G1402">
        <v>328918</v>
      </c>
      <c r="H1402" s="116"/>
      <c r="I1402" s="116"/>
      <c r="L1402" s="170">
        <v>44070</v>
      </c>
      <c r="M1402" s="116">
        <v>7.89</v>
      </c>
      <c r="N1402" s="116">
        <v>8.1199999999999992</v>
      </c>
      <c r="O1402" s="116">
        <v>7.83</v>
      </c>
      <c r="P1402" s="116">
        <v>8.1</v>
      </c>
      <c r="Q1402" s="116">
        <v>39.450000000000003</v>
      </c>
      <c r="R1402">
        <v>4907127</v>
      </c>
    </row>
    <row r="1403" spans="1:18" x14ac:dyDescent="0.25">
      <c r="A1403" s="170">
        <v>44071</v>
      </c>
      <c r="B1403" s="116">
        <v>7.98</v>
      </c>
      <c r="C1403" s="116">
        <v>7.84</v>
      </c>
      <c r="D1403" s="116">
        <v>7.81</v>
      </c>
      <c r="E1403" s="116">
        <v>7.96</v>
      </c>
      <c r="F1403" s="116">
        <v>39.200000000000003</v>
      </c>
      <c r="G1403">
        <v>242526</v>
      </c>
      <c r="H1403" s="116"/>
      <c r="I1403" s="116"/>
      <c r="L1403" s="170">
        <v>44071</v>
      </c>
      <c r="M1403" s="116">
        <v>7.85</v>
      </c>
      <c r="N1403" s="116">
        <v>7.97</v>
      </c>
      <c r="O1403" s="116">
        <v>7.82</v>
      </c>
      <c r="P1403" s="116">
        <v>7.89</v>
      </c>
      <c r="Q1403" s="116">
        <v>39.25</v>
      </c>
      <c r="R1403">
        <v>3835614</v>
      </c>
    </row>
    <row r="1404" spans="1:18" x14ac:dyDescent="0.25">
      <c r="A1404" s="170">
        <v>44074</v>
      </c>
      <c r="B1404" s="116">
        <v>8.23</v>
      </c>
      <c r="C1404" s="116">
        <v>7.46</v>
      </c>
      <c r="D1404" s="116">
        <v>7.37</v>
      </c>
      <c r="E1404" s="116">
        <v>7.88</v>
      </c>
      <c r="F1404" s="116">
        <v>37.299999999999997</v>
      </c>
      <c r="G1404">
        <v>1423540</v>
      </c>
      <c r="H1404" s="116"/>
      <c r="I1404" s="116"/>
      <c r="L1404" s="170">
        <v>44074</v>
      </c>
      <c r="M1404" s="116">
        <v>7.45</v>
      </c>
      <c r="N1404" s="116">
        <v>8.23</v>
      </c>
      <c r="O1404" s="116">
        <v>7.34</v>
      </c>
      <c r="P1404" s="116">
        <v>7.9</v>
      </c>
      <c r="Q1404" s="116">
        <v>37.25</v>
      </c>
      <c r="R1404">
        <v>19723766</v>
      </c>
    </row>
    <row r="1405" spans="1:18" x14ac:dyDescent="0.25">
      <c r="A1405" s="170">
        <v>44075</v>
      </c>
      <c r="B1405" s="116">
        <v>7.88</v>
      </c>
      <c r="C1405" s="116">
        <v>7.76</v>
      </c>
      <c r="D1405" s="116">
        <v>7.46</v>
      </c>
      <c r="E1405" s="116">
        <v>7.74</v>
      </c>
      <c r="F1405" s="116">
        <v>38.799999999999997</v>
      </c>
      <c r="G1405">
        <v>1415957</v>
      </c>
      <c r="H1405" s="116"/>
      <c r="I1405" s="116"/>
      <c r="L1405" s="170">
        <v>44075</v>
      </c>
      <c r="M1405" s="116">
        <v>7.76</v>
      </c>
      <c r="N1405" s="116">
        <v>7.89</v>
      </c>
      <c r="O1405" s="116">
        <v>7.46</v>
      </c>
      <c r="P1405" s="116">
        <v>7.8</v>
      </c>
      <c r="Q1405" s="116">
        <v>38.799999999999997</v>
      </c>
      <c r="R1405">
        <v>14917261</v>
      </c>
    </row>
    <row r="1406" spans="1:18" x14ac:dyDescent="0.25">
      <c r="A1406" s="170">
        <v>44076</v>
      </c>
      <c r="B1406" s="116">
        <v>7.94</v>
      </c>
      <c r="C1406" s="116">
        <v>7.83</v>
      </c>
      <c r="D1406" s="116">
        <v>7.68</v>
      </c>
      <c r="E1406" s="116">
        <v>7.94</v>
      </c>
      <c r="F1406" s="116">
        <v>39.15</v>
      </c>
      <c r="G1406">
        <v>269372</v>
      </c>
      <c r="H1406" s="116"/>
      <c r="I1406" s="116"/>
      <c r="L1406" s="170">
        <v>44076</v>
      </c>
      <c r="M1406" s="116">
        <v>7.83</v>
      </c>
      <c r="N1406" s="116">
        <v>7.89</v>
      </c>
      <c r="O1406" s="116">
        <v>7.67</v>
      </c>
      <c r="P1406" s="116">
        <v>7.84</v>
      </c>
      <c r="Q1406" s="116">
        <v>39.15</v>
      </c>
      <c r="R1406">
        <v>5714891</v>
      </c>
    </row>
    <row r="1407" spans="1:18" x14ac:dyDescent="0.25">
      <c r="A1407" s="170">
        <v>44077</v>
      </c>
      <c r="B1407" s="116">
        <v>7.84</v>
      </c>
      <c r="C1407" s="116">
        <v>7.73</v>
      </c>
      <c r="D1407" s="116">
        <v>7.7</v>
      </c>
      <c r="E1407" s="116">
        <v>7.82</v>
      </c>
      <c r="F1407" s="116">
        <v>38.65</v>
      </c>
      <c r="G1407">
        <v>507602</v>
      </c>
      <c r="H1407" s="116"/>
      <c r="I1407" s="116"/>
      <c r="L1407" s="170">
        <v>44077</v>
      </c>
      <c r="M1407" s="116">
        <v>7.73</v>
      </c>
      <c r="N1407" s="116">
        <v>7.84</v>
      </c>
      <c r="O1407" s="116">
        <v>7.71</v>
      </c>
      <c r="P1407" s="116">
        <v>7.8</v>
      </c>
      <c r="Q1407" s="116">
        <v>38.65</v>
      </c>
      <c r="R1407">
        <v>2712760</v>
      </c>
    </row>
    <row r="1408" spans="1:18" x14ac:dyDescent="0.25">
      <c r="A1408" s="170">
        <v>44078</v>
      </c>
      <c r="B1408" s="116">
        <v>7.71</v>
      </c>
      <c r="C1408" s="116">
        <v>7.52</v>
      </c>
      <c r="D1408" s="116">
        <v>7.49</v>
      </c>
      <c r="E1408" s="116">
        <v>7.6</v>
      </c>
      <c r="F1408" s="116">
        <v>37.6</v>
      </c>
      <c r="G1408">
        <v>482269</v>
      </c>
      <c r="H1408" s="116"/>
      <c r="I1408" s="116"/>
      <c r="L1408" s="170">
        <v>44078</v>
      </c>
      <c r="M1408" s="116">
        <v>7.52</v>
      </c>
      <c r="N1408" s="116">
        <v>7.71</v>
      </c>
      <c r="O1408" s="116">
        <v>7.5</v>
      </c>
      <c r="P1408" s="116">
        <v>7.54</v>
      </c>
      <c r="Q1408" s="116">
        <v>37.6</v>
      </c>
      <c r="R1408">
        <v>3218545</v>
      </c>
    </row>
    <row r="1409" spans="1:18" x14ac:dyDescent="0.25">
      <c r="A1409" s="170">
        <v>44081</v>
      </c>
      <c r="B1409" s="116">
        <v>7.6</v>
      </c>
      <c r="C1409" s="116">
        <v>7.44</v>
      </c>
      <c r="D1409" s="116">
        <v>7.42</v>
      </c>
      <c r="E1409" s="116">
        <v>7.6</v>
      </c>
      <c r="F1409" s="116">
        <v>37.200000000000003</v>
      </c>
      <c r="G1409">
        <v>138616</v>
      </c>
      <c r="H1409" s="116"/>
      <c r="I1409" s="116"/>
      <c r="L1409" s="170">
        <v>44081</v>
      </c>
      <c r="M1409" s="116">
        <v>7.44</v>
      </c>
      <c r="N1409" s="116">
        <v>7.59</v>
      </c>
      <c r="O1409" s="116">
        <v>7.43</v>
      </c>
      <c r="P1409" s="116">
        <v>7.58</v>
      </c>
      <c r="Q1409" s="116">
        <v>37.200000000000003</v>
      </c>
      <c r="R1409">
        <v>2459307</v>
      </c>
    </row>
    <row r="1410" spans="1:18" x14ac:dyDescent="0.25">
      <c r="A1410" s="170">
        <v>44082</v>
      </c>
      <c r="B1410" s="116">
        <v>7.55</v>
      </c>
      <c r="C1410" s="116">
        <v>7.44</v>
      </c>
      <c r="D1410" s="116">
        <v>7.42</v>
      </c>
      <c r="E1410" s="116">
        <v>7.47</v>
      </c>
      <c r="F1410" s="116">
        <v>37.200000000000003</v>
      </c>
      <c r="G1410">
        <v>289066</v>
      </c>
      <c r="H1410" s="116"/>
      <c r="I1410" s="116"/>
      <c r="L1410" s="170">
        <v>44082</v>
      </c>
      <c r="M1410" s="116">
        <v>7.43</v>
      </c>
      <c r="N1410" s="116">
        <v>7.56</v>
      </c>
      <c r="O1410" s="116">
        <v>7.42</v>
      </c>
      <c r="P1410" s="116">
        <v>7.44</v>
      </c>
      <c r="Q1410" s="116">
        <v>37.15</v>
      </c>
      <c r="R1410">
        <v>2594127</v>
      </c>
    </row>
    <row r="1411" spans="1:18" x14ac:dyDescent="0.25">
      <c r="A1411" s="170">
        <v>44083</v>
      </c>
      <c r="B1411" s="116">
        <v>7.46</v>
      </c>
      <c r="C1411" s="116">
        <v>7.43</v>
      </c>
      <c r="D1411" s="116">
        <v>7.34</v>
      </c>
      <c r="E1411" s="116">
        <v>7.4</v>
      </c>
      <c r="F1411" s="116">
        <v>37.15</v>
      </c>
      <c r="G1411">
        <v>361064</v>
      </c>
      <c r="H1411" s="116"/>
      <c r="I1411" s="116"/>
      <c r="L1411" s="170">
        <v>44083</v>
      </c>
      <c r="M1411" s="116">
        <v>7.42</v>
      </c>
      <c r="N1411" s="116">
        <v>7.44</v>
      </c>
      <c r="O1411" s="116">
        <v>7.34</v>
      </c>
      <c r="P1411" s="116">
        <v>7.38</v>
      </c>
      <c r="Q1411" s="116">
        <v>37.1</v>
      </c>
      <c r="R1411">
        <v>1810077</v>
      </c>
    </row>
    <row r="1412" spans="1:18" x14ac:dyDescent="0.25">
      <c r="A1412" s="170">
        <v>44084</v>
      </c>
      <c r="B1412" s="116">
        <v>7.64</v>
      </c>
      <c r="C1412" s="116">
        <v>7.53</v>
      </c>
      <c r="D1412" s="116">
        <v>7.45</v>
      </c>
      <c r="E1412" s="116">
        <v>7.55</v>
      </c>
      <c r="F1412" s="116">
        <v>37.65</v>
      </c>
      <c r="G1412">
        <v>2392771</v>
      </c>
      <c r="H1412" s="116"/>
      <c r="I1412" s="116"/>
      <c r="L1412" s="170">
        <v>44084</v>
      </c>
      <c r="M1412" s="116">
        <v>7.53</v>
      </c>
      <c r="N1412" s="116">
        <v>7.63</v>
      </c>
      <c r="O1412" s="116">
        <v>7.45</v>
      </c>
      <c r="P1412" s="116">
        <v>7.5</v>
      </c>
      <c r="Q1412" s="116">
        <v>37.65</v>
      </c>
      <c r="R1412">
        <v>3318946</v>
      </c>
    </row>
    <row r="1413" spans="1:18" x14ac:dyDescent="0.25">
      <c r="A1413" s="170">
        <v>44085</v>
      </c>
      <c r="B1413" s="116">
        <v>7.59</v>
      </c>
      <c r="C1413" s="116">
        <v>7.48</v>
      </c>
      <c r="D1413" s="116">
        <v>7.45</v>
      </c>
      <c r="E1413" s="116">
        <v>7.53</v>
      </c>
      <c r="F1413" s="116">
        <v>37.4</v>
      </c>
      <c r="G1413">
        <v>84191</v>
      </c>
      <c r="H1413" s="116"/>
      <c r="I1413" s="116"/>
      <c r="L1413" s="170">
        <v>44085</v>
      </c>
      <c r="M1413" s="116">
        <v>7.48</v>
      </c>
      <c r="N1413" s="116">
        <v>7.58</v>
      </c>
      <c r="O1413" s="116">
        <v>7.44</v>
      </c>
      <c r="P1413" s="116">
        <v>7.58</v>
      </c>
      <c r="Q1413" s="116">
        <v>37.4</v>
      </c>
      <c r="R1413">
        <v>1620858</v>
      </c>
    </row>
    <row r="1414" spans="1:18" x14ac:dyDescent="0.25">
      <c r="A1414" s="170">
        <v>44088</v>
      </c>
      <c r="B1414" s="116">
        <v>7.58</v>
      </c>
      <c r="C1414" s="116">
        <v>7.45</v>
      </c>
      <c r="D1414" s="116">
        <v>7.42</v>
      </c>
      <c r="E1414" s="116">
        <v>7.58</v>
      </c>
      <c r="F1414" s="116">
        <v>37.25</v>
      </c>
      <c r="G1414">
        <v>197096</v>
      </c>
      <c r="H1414" s="116"/>
      <c r="I1414" s="116"/>
      <c r="L1414" s="170">
        <v>44088</v>
      </c>
      <c r="M1414" s="116">
        <v>7.45</v>
      </c>
      <c r="N1414" s="116">
        <v>7.56</v>
      </c>
      <c r="O1414" s="116">
        <v>7.42</v>
      </c>
      <c r="P1414" s="116">
        <v>7.54</v>
      </c>
      <c r="Q1414" s="116">
        <v>37.25</v>
      </c>
      <c r="R1414">
        <v>1419964</v>
      </c>
    </row>
    <row r="1415" spans="1:18" x14ac:dyDescent="0.25">
      <c r="A1415" s="170">
        <v>44089</v>
      </c>
      <c r="B1415" s="116">
        <v>7.52</v>
      </c>
      <c r="C1415" s="116">
        <v>7.43</v>
      </c>
      <c r="D1415" s="116">
        <v>7.42</v>
      </c>
      <c r="E1415" s="116">
        <v>7.42</v>
      </c>
      <c r="F1415" s="116">
        <v>37.15</v>
      </c>
      <c r="G1415">
        <v>110423</v>
      </c>
      <c r="H1415" s="116"/>
      <c r="I1415" s="116"/>
      <c r="L1415" s="170">
        <v>44089</v>
      </c>
      <c r="M1415" s="116">
        <v>7.43</v>
      </c>
      <c r="N1415" s="116">
        <v>7.52</v>
      </c>
      <c r="O1415" s="116">
        <v>7.42</v>
      </c>
      <c r="P1415" s="116">
        <v>7.46</v>
      </c>
      <c r="Q1415" s="116">
        <v>37.15</v>
      </c>
      <c r="R1415">
        <v>1486365</v>
      </c>
    </row>
    <row r="1416" spans="1:18" x14ac:dyDescent="0.25">
      <c r="A1416" s="170">
        <v>44090</v>
      </c>
      <c r="B1416" s="116">
        <v>7.49</v>
      </c>
      <c r="C1416" s="116">
        <v>7.43</v>
      </c>
      <c r="D1416" s="116">
        <v>7.42</v>
      </c>
      <c r="E1416" s="116">
        <v>7.49</v>
      </c>
      <c r="F1416" s="116">
        <v>37.15</v>
      </c>
      <c r="G1416">
        <v>97884</v>
      </c>
      <c r="H1416" s="116"/>
      <c r="I1416" s="116"/>
      <c r="L1416" s="170">
        <v>44090</v>
      </c>
      <c r="M1416" s="116">
        <v>7.43</v>
      </c>
      <c r="N1416" s="116">
        <v>7.48</v>
      </c>
      <c r="O1416" s="116">
        <v>7.42</v>
      </c>
      <c r="P1416" s="116">
        <v>7.44</v>
      </c>
      <c r="Q1416" s="116">
        <v>37.15</v>
      </c>
      <c r="R1416">
        <v>3097266</v>
      </c>
    </row>
    <row r="1417" spans="1:18" x14ac:dyDescent="0.25">
      <c r="A1417" s="170">
        <v>44091</v>
      </c>
      <c r="B1417" s="116">
        <v>7.57</v>
      </c>
      <c r="C1417" s="116">
        <v>7.4</v>
      </c>
      <c r="D1417" s="116">
        <v>7.37</v>
      </c>
      <c r="E1417" s="116">
        <v>7.57</v>
      </c>
      <c r="F1417" s="116">
        <v>37</v>
      </c>
      <c r="G1417">
        <v>148714</v>
      </c>
      <c r="H1417" s="116"/>
      <c r="I1417" s="116"/>
      <c r="L1417" s="170">
        <v>44091</v>
      </c>
      <c r="M1417" s="116">
        <v>7.4</v>
      </c>
      <c r="N1417" s="116">
        <v>7.46</v>
      </c>
      <c r="O1417" s="116">
        <v>7.37</v>
      </c>
      <c r="P1417" s="116">
        <v>7.42</v>
      </c>
      <c r="Q1417" s="116">
        <v>37</v>
      </c>
      <c r="R1417">
        <v>1987268</v>
      </c>
    </row>
    <row r="1418" spans="1:18" x14ac:dyDescent="0.25">
      <c r="A1418" s="170">
        <v>44092</v>
      </c>
      <c r="B1418" s="116">
        <v>7.54</v>
      </c>
      <c r="C1418" s="116">
        <v>7.48</v>
      </c>
      <c r="D1418" s="116">
        <v>7.41</v>
      </c>
      <c r="E1418" s="116">
        <v>7.43</v>
      </c>
      <c r="F1418" s="116">
        <v>37.4</v>
      </c>
      <c r="G1418">
        <v>84976</v>
      </c>
      <c r="H1418" s="116"/>
      <c r="I1418" s="116"/>
      <c r="L1418" s="170">
        <v>44092</v>
      </c>
      <c r="M1418" s="116">
        <v>7.48</v>
      </c>
      <c r="N1418" s="116">
        <v>7.55</v>
      </c>
      <c r="O1418" s="116">
        <v>7.4</v>
      </c>
      <c r="P1418" s="116">
        <v>7.4</v>
      </c>
      <c r="Q1418" s="116">
        <v>37.4</v>
      </c>
      <c r="R1418">
        <v>2654769</v>
      </c>
    </row>
    <row r="1419" spans="1:18" x14ac:dyDescent="0.25">
      <c r="A1419" s="170">
        <v>44095</v>
      </c>
      <c r="B1419" s="116">
        <v>7.56</v>
      </c>
      <c r="C1419" s="116">
        <v>7.39</v>
      </c>
      <c r="D1419" s="116">
        <v>7.36</v>
      </c>
      <c r="E1419" s="116">
        <v>7.56</v>
      </c>
      <c r="F1419" s="116">
        <v>36.950000000000003</v>
      </c>
      <c r="G1419">
        <v>320694</v>
      </c>
      <c r="H1419" s="116"/>
      <c r="I1419" s="116"/>
      <c r="L1419" s="170">
        <v>44095</v>
      </c>
      <c r="M1419" s="116">
        <v>7.4</v>
      </c>
      <c r="N1419" s="116">
        <v>7.56</v>
      </c>
      <c r="O1419" s="116">
        <v>7.36</v>
      </c>
      <c r="P1419" s="116">
        <v>7.49</v>
      </c>
      <c r="Q1419" s="116">
        <v>37</v>
      </c>
      <c r="R1419">
        <v>2322633</v>
      </c>
    </row>
    <row r="1420" spans="1:18" x14ac:dyDescent="0.25">
      <c r="A1420" s="170">
        <v>44096</v>
      </c>
      <c r="B1420" s="116">
        <v>7.43</v>
      </c>
      <c r="C1420" s="116">
        <v>7.34</v>
      </c>
      <c r="D1420" s="116">
        <v>7.22</v>
      </c>
      <c r="E1420" s="116">
        <v>7.31</v>
      </c>
      <c r="F1420" s="116">
        <v>36.700000000000003</v>
      </c>
      <c r="G1420">
        <v>216911</v>
      </c>
      <c r="H1420" s="116"/>
      <c r="I1420" s="116"/>
      <c r="L1420" s="170">
        <v>44096</v>
      </c>
      <c r="M1420" s="116">
        <v>7.34</v>
      </c>
      <c r="N1420" s="116">
        <v>7.42</v>
      </c>
      <c r="O1420" s="116">
        <v>7.21</v>
      </c>
      <c r="P1420" s="116">
        <v>7.39</v>
      </c>
      <c r="Q1420" s="116">
        <v>36.700000000000003</v>
      </c>
      <c r="R1420">
        <v>2487364</v>
      </c>
    </row>
    <row r="1421" spans="1:18" x14ac:dyDescent="0.25">
      <c r="A1421" s="170">
        <v>44097</v>
      </c>
      <c r="B1421" s="116">
        <v>7.47</v>
      </c>
      <c r="C1421" s="116">
        <v>7.33</v>
      </c>
      <c r="D1421" s="116">
        <v>7.27</v>
      </c>
      <c r="E1421" s="116">
        <v>7.32</v>
      </c>
      <c r="F1421" s="116">
        <v>36.65</v>
      </c>
      <c r="G1421">
        <v>352244</v>
      </c>
      <c r="H1421" s="116"/>
      <c r="I1421" s="116"/>
      <c r="L1421" s="170">
        <v>44097</v>
      </c>
      <c r="M1421" s="116">
        <v>7.33</v>
      </c>
      <c r="N1421" s="116">
        <v>7.48</v>
      </c>
      <c r="O1421" s="116">
        <v>7.27</v>
      </c>
      <c r="P1421" s="116">
        <v>7.33</v>
      </c>
      <c r="Q1421" s="116">
        <v>36.65</v>
      </c>
      <c r="R1421">
        <v>2560021</v>
      </c>
    </row>
    <row r="1422" spans="1:18" x14ac:dyDescent="0.25">
      <c r="A1422" s="170">
        <v>44098</v>
      </c>
      <c r="B1422" s="116">
        <v>7.33</v>
      </c>
      <c r="C1422" s="116">
        <v>7.26</v>
      </c>
      <c r="D1422" s="116">
        <v>7.2</v>
      </c>
      <c r="E1422" s="116">
        <v>7.22</v>
      </c>
      <c r="F1422" s="116">
        <v>36.299999999999997</v>
      </c>
      <c r="G1422">
        <v>240755</v>
      </c>
      <c r="H1422" s="116"/>
      <c r="I1422" s="116"/>
      <c r="L1422" s="170">
        <v>44098</v>
      </c>
      <c r="M1422" s="116">
        <v>7.26</v>
      </c>
      <c r="N1422" s="116">
        <v>7.33</v>
      </c>
      <c r="O1422" s="116">
        <v>7.23</v>
      </c>
      <c r="P1422" s="116">
        <v>7.28</v>
      </c>
      <c r="Q1422" s="116">
        <v>36.299999999999997</v>
      </c>
      <c r="R1422">
        <v>1781326</v>
      </c>
    </row>
    <row r="1423" spans="1:18" x14ac:dyDescent="0.25">
      <c r="A1423" s="170">
        <v>44099</v>
      </c>
      <c r="B1423" s="116">
        <v>7.36</v>
      </c>
      <c r="C1423" s="116">
        <v>7.31</v>
      </c>
      <c r="D1423" s="116">
        <v>7.23</v>
      </c>
      <c r="E1423" s="116">
        <v>7.23</v>
      </c>
      <c r="F1423" s="116">
        <v>36.549999999999997</v>
      </c>
      <c r="G1423">
        <v>124192</v>
      </c>
      <c r="H1423" s="116"/>
      <c r="I1423" s="116"/>
      <c r="L1423" s="170">
        <v>44099</v>
      </c>
      <c r="M1423" s="116">
        <v>7.32</v>
      </c>
      <c r="N1423" s="116">
        <v>7.38</v>
      </c>
      <c r="O1423" s="116">
        <v>7.26</v>
      </c>
      <c r="P1423" s="116">
        <v>7.29</v>
      </c>
      <c r="Q1423" s="116">
        <v>36.6</v>
      </c>
      <c r="R1423">
        <v>1395295</v>
      </c>
    </row>
    <row r="1424" spans="1:18" x14ac:dyDescent="0.25">
      <c r="A1424" s="170">
        <v>44102</v>
      </c>
      <c r="B1424" s="116">
        <v>7.57</v>
      </c>
      <c r="C1424" s="116">
        <v>7.43</v>
      </c>
      <c r="D1424" s="116">
        <v>7.35</v>
      </c>
      <c r="E1424" s="116">
        <v>7.57</v>
      </c>
      <c r="F1424" s="116">
        <v>37.15</v>
      </c>
      <c r="G1424">
        <v>82249</v>
      </c>
      <c r="H1424" s="116"/>
      <c r="I1424" s="116"/>
      <c r="L1424" s="170">
        <v>44102</v>
      </c>
      <c r="M1424" s="116">
        <v>7.43</v>
      </c>
      <c r="N1424" s="116">
        <v>7.46</v>
      </c>
      <c r="O1424" s="116">
        <v>7.33</v>
      </c>
      <c r="P1424" s="116">
        <v>7.38</v>
      </c>
      <c r="Q1424" s="116">
        <v>37.15</v>
      </c>
      <c r="R1424">
        <v>1296200</v>
      </c>
    </row>
    <row r="1425" spans="1:18" x14ac:dyDescent="0.25">
      <c r="A1425" s="170">
        <v>44103</v>
      </c>
      <c r="B1425" s="116">
        <v>7.55</v>
      </c>
      <c r="C1425" s="116">
        <v>7.45</v>
      </c>
      <c r="D1425" s="116">
        <v>7.42</v>
      </c>
      <c r="E1425" s="116">
        <v>7.55</v>
      </c>
      <c r="F1425" s="116">
        <v>37.25</v>
      </c>
      <c r="G1425">
        <v>61719</v>
      </c>
      <c r="H1425" s="116"/>
      <c r="I1425" s="116"/>
      <c r="L1425" s="170">
        <v>44103</v>
      </c>
      <c r="M1425" s="116">
        <v>7.45</v>
      </c>
      <c r="N1425" s="116">
        <v>7.51</v>
      </c>
      <c r="O1425" s="116">
        <v>7.42</v>
      </c>
      <c r="P1425" s="116">
        <v>7.46</v>
      </c>
      <c r="Q1425" s="116">
        <v>37.25</v>
      </c>
      <c r="R1425">
        <v>2207509</v>
      </c>
    </row>
    <row r="1426" spans="1:18" x14ac:dyDescent="0.25">
      <c r="A1426" s="170">
        <v>44104</v>
      </c>
      <c r="B1426" s="116">
        <v>7.54</v>
      </c>
      <c r="C1426" s="116">
        <v>7.37</v>
      </c>
      <c r="D1426" s="116">
        <v>7.35</v>
      </c>
      <c r="E1426" s="116">
        <v>7.54</v>
      </c>
      <c r="F1426" s="116">
        <v>36.85</v>
      </c>
      <c r="G1426">
        <v>77898</v>
      </c>
      <c r="H1426" s="116"/>
      <c r="I1426" s="116"/>
      <c r="L1426" s="170">
        <v>44104</v>
      </c>
      <c r="M1426" s="116">
        <v>7.38</v>
      </c>
      <c r="N1426" s="116">
        <v>7.46</v>
      </c>
      <c r="O1426" s="116">
        <v>7.36</v>
      </c>
      <c r="P1426" s="116">
        <v>7.45</v>
      </c>
      <c r="Q1426" s="116">
        <v>36.9</v>
      </c>
      <c r="R1426">
        <v>749487</v>
      </c>
    </row>
    <row r="1427" spans="1:18" x14ac:dyDescent="0.25">
      <c r="A1427" s="170">
        <v>44105</v>
      </c>
      <c r="B1427" s="116">
        <v>7.47</v>
      </c>
      <c r="C1427" s="116">
        <v>7.4</v>
      </c>
      <c r="D1427" s="116">
        <v>7.34</v>
      </c>
      <c r="E1427" s="116">
        <v>7.39</v>
      </c>
      <c r="F1427" s="116">
        <v>37</v>
      </c>
      <c r="G1427">
        <v>60311</v>
      </c>
      <c r="H1427" s="116"/>
      <c r="I1427" s="116"/>
      <c r="L1427" s="170">
        <v>44105</v>
      </c>
      <c r="M1427" s="116">
        <v>7.41</v>
      </c>
      <c r="N1427" s="116">
        <v>7.47</v>
      </c>
      <c r="O1427" s="116">
        <v>7.37</v>
      </c>
      <c r="P1427" s="116">
        <v>7.4</v>
      </c>
      <c r="Q1427" s="116">
        <v>37.049999999999997</v>
      </c>
      <c r="R1427">
        <v>733233</v>
      </c>
    </row>
    <row r="1428" spans="1:18" x14ac:dyDescent="0.25">
      <c r="A1428" s="170">
        <v>44109</v>
      </c>
      <c r="B1428" s="116">
        <v>7.48</v>
      </c>
      <c r="C1428" s="116">
        <v>7.38</v>
      </c>
      <c r="D1428" s="116">
        <v>7.36</v>
      </c>
      <c r="E1428" s="116">
        <v>7.48</v>
      </c>
      <c r="F1428" s="116">
        <v>36.9</v>
      </c>
      <c r="G1428">
        <v>63308</v>
      </c>
      <c r="H1428" s="116"/>
      <c r="I1428" s="116"/>
      <c r="L1428" s="170">
        <v>44109</v>
      </c>
      <c r="M1428" s="116">
        <v>7.38</v>
      </c>
      <c r="N1428" s="116">
        <v>7.46</v>
      </c>
      <c r="O1428" s="116">
        <v>7.37</v>
      </c>
      <c r="P1428" s="116">
        <v>7.42</v>
      </c>
      <c r="Q1428" s="116">
        <v>36.9</v>
      </c>
      <c r="R1428">
        <v>872143</v>
      </c>
    </row>
    <row r="1429" spans="1:18" x14ac:dyDescent="0.25">
      <c r="A1429" s="170">
        <v>44110</v>
      </c>
      <c r="B1429" s="116">
        <v>7.48</v>
      </c>
      <c r="C1429" s="116">
        <v>7.36</v>
      </c>
      <c r="D1429" s="116">
        <v>7.36</v>
      </c>
      <c r="E1429" s="116">
        <v>7.48</v>
      </c>
      <c r="F1429" s="116">
        <v>36.799999999999997</v>
      </c>
      <c r="G1429">
        <v>113984</v>
      </c>
      <c r="H1429" s="116"/>
      <c r="I1429" s="116"/>
      <c r="L1429" s="170">
        <v>44110</v>
      </c>
      <c r="M1429" s="116">
        <v>7.37</v>
      </c>
      <c r="N1429" s="116">
        <v>7.43</v>
      </c>
      <c r="O1429" s="116">
        <v>7.37</v>
      </c>
      <c r="P1429" s="116">
        <v>7.4</v>
      </c>
      <c r="Q1429" s="116">
        <v>36.85</v>
      </c>
      <c r="R1429">
        <v>518415</v>
      </c>
    </row>
    <row r="1430" spans="1:18" x14ac:dyDescent="0.25">
      <c r="A1430" s="170">
        <v>44111</v>
      </c>
      <c r="B1430" s="116">
        <v>7.46</v>
      </c>
      <c r="C1430" s="116">
        <v>7.3</v>
      </c>
      <c r="D1430" s="116">
        <v>7.28</v>
      </c>
      <c r="E1430" s="116">
        <v>7.36</v>
      </c>
      <c r="F1430" s="116">
        <v>36.5</v>
      </c>
      <c r="G1430">
        <v>78260</v>
      </c>
      <c r="H1430" s="116"/>
      <c r="I1430" s="116"/>
      <c r="L1430" s="170">
        <v>44111</v>
      </c>
      <c r="M1430" s="116">
        <v>7.3</v>
      </c>
      <c r="N1430" s="116">
        <v>7.46</v>
      </c>
      <c r="O1430" s="116">
        <v>7.28</v>
      </c>
      <c r="P1430" s="116">
        <v>7.37</v>
      </c>
      <c r="Q1430" s="116">
        <v>36.5</v>
      </c>
      <c r="R1430">
        <v>1076895</v>
      </c>
    </row>
    <row r="1431" spans="1:18" x14ac:dyDescent="0.25">
      <c r="A1431" s="170">
        <v>44112</v>
      </c>
      <c r="B1431" s="116">
        <v>7.35</v>
      </c>
      <c r="C1431" s="116">
        <v>7.26</v>
      </c>
      <c r="D1431" s="116">
        <v>7.2</v>
      </c>
      <c r="E1431" s="116">
        <v>7.2</v>
      </c>
      <c r="F1431" s="116">
        <v>36.299999999999997</v>
      </c>
      <c r="G1431">
        <v>111651</v>
      </c>
      <c r="H1431" s="116"/>
      <c r="I1431" s="116"/>
      <c r="L1431" s="170">
        <v>44112</v>
      </c>
      <c r="M1431" s="116">
        <v>7.26</v>
      </c>
      <c r="N1431" s="116">
        <v>7.36</v>
      </c>
      <c r="O1431" s="116">
        <v>7.25</v>
      </c>
      <c r="P1431" s="116">
        <v>7.27</v>
      </c>
      <c r="Q1431" s="116">
        <v>36.299999999999997</v>
      </c>
      <c r="R1431">
        <v>770454</v>
      </c>
    </row>
    <row r="1432" spans="1:18" x14ac:dyDescent="0.25">
      <c r="A1432" s="170">
        <v>44113</v>
      </c>
      <c r="B1432" s="116">
        <v>7.35</v>
      </c>
      <c r="C1432" s="116">
        <v>7.32</v>
      </c>
      <c r="D1432" s="116">
        <v>7.21</v>
      </c>
      <c r="E1432" s="116">
        <v>7.26</v>
      </c>
      <c r="F1432" s="116">
        <v>36.6</v>
      </c>
      <c r="G1432">
        <v>107841</v>
      </c>
      <c r="H1432" s="116"/>
      <c r="I1432" s="116"/>
      <c r="L1432" s="170">
        <v>44113</v>
      </c>
      <c r="M1432" s="116">
        <v>7.32</v>
      </c>
      <c r="N1432" s="116">
        <v>7.34</v>
      </c>
      <c r="O1432" s="116">
        <v>7.21</v>
      </c>
      <c r="P1432" s="116">
        <v>7.26</v>
      </c>
      <c r="Q1432" s="116">
        <v>36.6</v>
      </c>
      <c r="R1432">
        <v>703348</v>
      </c>
    </row>
    <row r="1433" spans="1:18" x14ac:dyDescent="0.25">
      <c r="A1433" s="170">
        <v>44116</v>
      </c>
      <c r="B1433" s="116">
        <v>7.38</v>
      </c>
      <c r="C1433" s="116">
        <v>7.24</v>
      </c>
      <c r="D1433" s="116">
        <v>7.21</v>
      </c>
      <c r="E1433" s="116">
        <v>7.25</v>
      </c>
      <c r="F1433" s="116">
        <v>36.200000000000003</v>
      </c>
      <c r="G1433">
        <v>143153</v>
      </c>
      <c r="H1433" s="116"/>
      <c r="I1433" s="116"/>
      <c r="L1433" s="170">
        <v>44116</v>
      </c>
      <c r="M1433" s="116">
        <v>7.24</v>
      </c>
      <c r="N1433" s="116">
        <v>7.38</v>
      </c>
      <c r="O1433" s="116">
        <v>7.21</v>
      </c>
      <c r="P1433" s="116">
        <v>7.22</v>
      </c>
      <c r="Q1433" s="116">
        <v>36.200000000000003</v>
      </c>
      <c r="R1433">
        <v>1823745</v>
      </c>
    </row>
    <row r="1434" spans="1:18" x14ac:dyDescent="0.25">
      <c r="A1434" s="170">
        <v>44117</v>
      </c>
      <c r="B1434" s="116">
        <v>7.28</v>
      </c>
      <c r="C1434" s="116">
        <v>7.25</v>
      </c>
      <c r="D1434" s="116">
        <v>7.21</v>
      </c>
      <c r="E1434" s="116">
        <v>7.24</v>
      </c>
      <c r="F1434" s="116">
        <v>36.25</v>
      </c>
      <c r="G1434">
        <v>137323</v>
      </c>
      <c r="H1434" s="116"/>
      <c r="I1434" s="116"/>
      <c r="L1434" s="170">
        <v>44117</v>
      </c>
      <c r="M1434" s="116">
        <v>7.24</v>
      </c>
      <c r="N1434" s="116">
        <v>7.28</v>
      </c>
      <c r="O1434" s="116">
        <v>7.21</v>
      </c>
      <c r="P1434" s="116">
        <v>7.21</v>
      </c>
      <c r="Q1434" s="116">
        <v>36.200000000000003</v>
      </c>
      <c r="R1434">
        <v>733045</v>
      </c>
    </row>
    <row r="1435" spans="1:18" x14ac:dyDescent="0.25">
      <c r="A1435" s="170">
        <v>44118</v>
      </c>
      <c r="B1435" s="116">
        <v>7.3</v>
      </c>
      <c r="C1435" s="116">
        <v>7.22</v>
      </c>
      <c r="D1435" s="116">
        <v>7.19</v>
      </c>
      <c r="E1435" s="116">
        <v>7.3</v>
      </c>
      <c r="F1435" s="116">
        <v>36.1</v>
      </c>
      <c r="G1435">
        <v>81681</v>
      </c>
      <c r="H1435" s="116"/>
      <c r="I1435" s="116"/>
      <c r="L1435" s="170">
        <v>44118</v>
      </c>
      <c r="M1435" s="116">
        <v>7.22</v>
      </c>
      <c r="N1435" s="116">
        <v>7.31</v>
      </c>
      <c r="O1435" s="116">
        <v>7.19</v>
      </c>
      <c r="P1435" s="116">
        <v>7.23</v>
      </c>
      <c r="Q1435" s="116">
        <v>36.1</v>
      </c>
      <c r="R1435">
        <v>1180665</v>
      </c>
    </row>
    <row r="1436" spans="1:18" x14ac:dyDescent="0.25">
      <c r="A1436" s="170">
        <v>44119</v>
      </c>
      <c r="B1436" s="116">
        <v>7.35</v>
      </c>
      <c r="C1436" s="116">
        <v>7.22</v>
      </c>
      <c r="D1436" s="116">
        <v>7.2</v>
      </c>
      <c r="E1436" s="116">
        <v>7.24</v>
      </c>
      <c r="F1436" s="116">
        <v>36.1</v>
      </c>
      <c r="G1436">
        <v>100445</v>
      </c>
      <c r="H1436" s="116"/>
      <c r="I1436" s="116"/>
      <c r="L1436" s="170">
        <v>44119</v>
      </c>
      <c r="M1436" s="116">
        <v>7.22</v>
      </c>
      <c r="N1436" s="116">
        <v>7.36</v>
      </c>
      <c r="O1436" s="116">
        <v>7.21</v>
      </c>
      <c r="P1436" s="116">
        <v>7.21</v>
      </c>
      <c r="Q1436" s="116">
        <v>36.1</v>
      </c>
      <c r="R1436">
        <v>1100235</v>
      </c>
    </row>
    <row r="1437" spans="1:18" x14ac:dyDescent="0.25">
      <c r="A1437" s="170">
        <v>44120</v>
      </c>
      <c r="B1437" s="116">
        <v>7.28</v>
      </c>
      <c r="C1437" s="116">
        <v>7.2</v>
      </c>
      <c r="D1437" s="116">
        <v>7.18</v>
      </c>
      <c r="E1437" s="116">
        <v>7.28</v>
      </c>
      <c r="F1437" s="116">
        <v>36</v>
      </c>
      <c r="G1437">
        <v>111110</v>
      </c>
      <c r="H1437" s="116"/>
      <c r="I1437" s="116"/>
      <c r="L1437" s="170">
        <v>44120</v>
      </c>
      <c r="M1437" s="116">
        <v>7.2</v>
      </c>
      <c r="N1437" s="116">
        <v>7.27</v>
      </c>
      <c r="O1437" s="116">
        <v>7.18</v>
      </c>
      <c r="P1437" s="116">
        <v>7.24</v>
      </c>
      <c r="Q1437" s="116">
        <v>36</v>
      </c>
      <c r="R1437">
        <v>440489</v>
      </c>
    </row>
    <row r="1438" spans="1:18" x14ac:dyDescent="0.25">
      <c r="A1438" s="170">
        <v>44123</v>
      </c>
      <c r="B1438" s="116">
        <v>7.26</v>
      </c>
      <c r="C1438" s="116">
        <v>7.13</v>
      </c>
      <c r="D1438" s="116">
        <v>7.08</v>
      </c>
      <c r="E1438" s="116">
        <v>7.18</v>
      </c>
      <c r="F1438" s="116">
        <v>35.65</v>
      </c>
      <c r="G1438">
        <v>101295</v>
      </c>
      <c r="H1438" s="116"/>
      <c r="I1438" s="116"/>
      <c r="L1438" s="170">
        <v>44123</v>
      </c>
      <c r="M1438" s="116">
        <v>7.13</v>
      </c>
      <c r="N1438" s="116">
        <v>7.27</v>
      </c>
      <c r="O1438" s="116">
        <v>7.06</v>
      </c>
      <c r="P1438" s="116">
        <v>7.22</v>
      </c>
      <c r="Q1438" s="116">
        <v>35.65</v>
      </c>
      <c r="R1438">
        <v>923880</v>
      </c>
    </row>
    <row r="1439" spans="1:18" x14ac:dyDescent="0.25">
      <c r="A1439" s="170">
        <v>44124</v>
      </c>
      <c r="B1439" s="116">
        <v>7.15</v>
      </c>
      <c r="C1439" s="116">
        <v>7.09</v>
      </c>
      <c r="D1439" s="116">
        <v>7.07</v>
      </c>
      <c r="E1439" s="116">
        <v>7.1</v>
      </c>
      <c r="F1439" s="116">
        <v>35.450000000000003</v>
      </c>
      <c r="G1439">
        <v>68365</v>
      </c>
      <c r="H1439" s="116"/>
      <c r="I1439" s="116"/>
      <c r="L1439" s="170">
        <v>44124</v>
      </c>
      <c r="M1439" s="116">
        <v>7.09</v>
      </c>
      <c r="N1439" s="116">
        <v>7.15</v>
      </c>
      <c r="O1439" s="116">
        <v>7.07</v>
      </c>
      <c r="P1439" s="116">
        <v>7.07</v>
      </c>
      <c r="Q1439" s="116">
        <v>35.450000000000003</v>
      </c>
      <c r="R1439">
        <v>937414</v>
      </c>
    </row>
    <row r="1440" spans="1:18" x14ac:dyDescent="0.25">
      <c r="A1440" s="170">
        <v>44125</v>
      </c>
      <c r="B1440" s="116">
        <v>7.14</v>
      </c>
      <c r="C1440" s="116">
        <v>7.03</v>
      </c>
      <c r="D1440" s="116">
        <v>6.97</v>
      </c>
      <c r="E1440" s="116">
        <v>7.09</v>
      </c>
      <c r="F1440" s="116">
        <v>35.15</v>
      </c>
      <c r="G1440">
        <v>149328</v>
      </c>
      <c r="H1440" s="116"/>
      <c r="I1440" s="116"/>
      <c r="L1440" s="170">
        <v>44125</v>
      </c>
      <c r="M1440" s="116">
        <v>7.02</v>
      </c>
      <c r="N1440" s="116">
        <v>7.14</v>
      </c>
      <c r="O1440" s="116">
        <v>6.97</v>
      </c>
      <c r="P1440" s="116">
        <v>7.1</v>
      </c>
      <c r="Q1440" s="116">
        <v>35.1</v>
      </c>
      <c r="R1440">
        <v>983052</v>
      </c>
    </row>
    <row r="1441" spans="1:18" x14ac:dyDescent="0.25">
      <c r="A1441" s="170">
        <v>44126</v>
      </c>
      <c r="B1441" s="116">
        <v>7.08</v>
      </c>
      <c r="C1441" s="116">
        <v>7</v>
      </c>
      <c r="D1441" s="116">
        <v>6.9</v>
      </c>
      <c r="E1441" s="116">
        <v>7.06</v>
      </c>
      <c r="F1441" s="116">
        <v>35</v>
      </c>
      <c r="G1441">
        <v>103290</v>
      </c>
      <c r="H1441" s="116"/>
      <c r="I1441" s="116"/>
      <c r="L1441" s="170">
        <v>44126</v>
      </c>
      <c r="M1441" s="116">
        <v>7</v>
      </c>
      <c r="N1441" s="116">
        <v>7.08</v>
      </c>
      <c r="O1441" s="116">
        <v>6.9</v>
      </c>
      <c r="P1441" s="116">
        <v>7.03</v>
      </c>
      <c r="Q1441" s="116">
        <v>35</v>
      </c>
      <c r="R1441">
        <v>1591810</v>
      </c>
    </row>
    <row r="1442" spans="1:18" x14ac:dyDescent="0.25">
      <c r="A1442" s="170">
        <v>44127</v>
      </c>
      <c r="B1442" s="116">
        <v>7.11</v>
      </c>
      <c r="C1442" s="116">
        <v>7.06</v>
      </c>
      <c r="D1442" s="116">
        <v>7.02</v>
      </c>
      <c r="E1442" s="116">
        <v>7.02</v>
      </c>
      <c r="F1442" s="116">
        <v>35.299999999999997</v>
      </c>
      <c r="G1442">
        <v>141761</v>
      </c>
      <c r="H1442" s="116"/>
      <c r="I1442" s="116"/>
      <c r="L1442" s="170">
        <v>44127</v>
      </c>
      <c r="M1442" s="116">
        <v>7.07</v>
      </c>
      <c r="N1442" s="116">
        <v>7.11</v>
      </c>
      <c r="O1442" s="116">
        <v>7.02</v>
      </c>
      <c r="P1442" s="116">
        <v>7.02</v>
      </c>
      <c r="Q1442" s="116">
        <v>35.35</v>
      </c>
      <c r="R1442">
        <v>830409</v>
      </c>
    </row>
    <row r="1443" spans="1:18" x14ac:dyDescent="0.25">
      <c r="A1443" s="170">
        <v>44130</v>
      </c>
      <c r="B1443" s="116">
        <v>7.14</v>
      </c>
      <c r="C1443" s="116">
        <v>7.03</v>
      </c>
      <c r="D1443" s="116">
        <v>7</v>
      </c>
      <c r="E1443" s="116">
        <v>7.12</v>
      </c>
      <c r="F1443" s="116">
        <v>35.15</v>
      </c>
      <c r="G1443">
        <v>55290</v>
      </c>
      <c r="H1443" s="116"/>
      <c r="I1443" s="116"/>
      <c r="L1443" s="170">
        <v>44130</v>
      </c>
      <c r="M1443" s="116">
        <v>7.03</v>
      </c>
      <c r="N1443" s="116">
        <v>7.14</v>
      </c>
      <c r="O1443" s="116">
        <v>6.98</v>
      </c>
      <c r="P1443" s="116">
        <v>7.07</v>
      </c>
      <c r="Q1443" s="116">
        <v>35.15</v>
      </c>
      <c r="R1443">
        <v>881106</v>
      </c>
    </row>
    <row r="1444" spans="1:18" x14ac:dyDescent="0.25">
      <c r="A1444" s="170">
        <v>44131</v>
      </c>
      <c r="B1444" s="116">
        <v>7.1</v>
      </c>
      <c r="C1444" s="116">
        <v>7.08</v>
      </c>
      <c r="D1444" s="116">
        <v>6.96</v>
      </c>
      <c r="E1444" s="116">
        <v>7.04</v>
      </c>
      <c r="F1444" s="116">
        <v>35.4</v>
      </c>
      <c r="G1444">
        <v>86911</v>
      </c>
      <c r="H1444" s="116"/>
      <c r="I1444" s="116"/>
      <c r="L1444" s="170">
        <v>44131</v>
      </c>
      <c r="M1444" s="116">
        <v>7.08</v>
      </c>
      <c r="N1444" s="116">
        <v>7.11</v>
      </c>
      <c r="O1444" s="116">
        <v>6.97</v>
      </c>
      <c r="P1444" s="116">
        <v>7.03</v>
      </c>
      <c r="Q1444" s="116">
        <v>35.4</v>
      </c>
      <c r="R1444">
        <v>1159020</v>
      </c>
    </row>
    <row r="1445" spans="1:18" x14ac:dyDescent="0.25">
      <c r="A1445" s="170">
        <v>44132</v>
      </c>
      <c r="B1445" s="116">
        <v>7.13</v>
      </c>
      <c r="C1445" s="116">
        <v>7.07</v>
      </c>
      <c r="D1445" s="116">
        <v>7.04</v>
      </c>
      <c r="E1445" s="116">
        <v>7.08</v>
      </c>
      <c r="F1445" s="116">
        <v>35.35</v>
      </c>
      <c r="G1445">
        <v>98675</v>
      </c>
      <c r="H1445" s="116"/>
      <c r="I1445" s="116"/>
      <c r="L1445" s="170">
        <v>44132</v>
      </c>
      <c r="M1445" s="116">
        <v>7.06</v>
      </c>
      <c r="N1445" s="116">
        <v>7.13</v>
      </c>
      <c r="O1445" s="116">
        <v>7.05</v>
      </c>
      <c r="P1445" s="116">
        <v>7.07</v>
      </c>
      <c r="Q1445" s="116">
        <v>35.299999999999997</v>
      </c>
      <c r="R1445">
        <v>801318</v>
      </c>
    </row>
    <row r="1446" spans="1:18" x14ac:dyDescent="0.25">
      <c r="A1446" s="170">
        <v>44133</v>
      </c>
      <c r="B1446" s="116">
        <v>7.18</v>
      </c>
      <c r="C1446" s="116">
        <v>7.13</v>
      </c>
      <c r="D1446" s="116">
        <v>7.06</v>
      </c>
      <c r="E1446" s="116">
        <v>7.06</v>
      </c>
      <c r="F1446" s="116">
        <v>35.65</v>
      </c>
      <c r="G1446">
        <v>107315</v>
      </c>
      <c r="H1446" s="116"/>
      <c r="I1446" s="116"/>
      <c r="L1446" s="170">
        <v>44133</v>
      </c>
      <c r="M1446" s="116">
        <v>7.13</v>
      </c>
      <c r="N1446" s="116">
        <v>7.18</v>
      </c>
      <c r="O1446" s="116">
        <v>7.07</v>
      </c>
      <c r="P1446" s="116">
        <v>7.07</v>
      </c>
      <c r="Q1446" s="116">
        <v>35.65</v>
      </c>
      <c r="R1446">
        <v>1247030</v>
      </c>
    </row>
    <row r="1447" spans="1:18" x14ac:dyDescent="0.25">
      <c r="A1447" s="170">
        <v>44134</v>
      </c>
      <c r="B1447" s="116">
        <v>7.21</v>
      </c>
      <c r="C1447" s="116">
        <v>7.14</v>
      </c>
      <c r="D1447" s="116">
        <v>7.13</v>
      </c>
      <c r="E1447" s="116">
        <v>7.17</v>
      </c>
      <c r="F1447" s="116">
        <v>35.700000000000003</v>
      </c>
      <c r="G1447">
        <v>155823</v>
      </c>
      <c r="H1447" s="116"/>
      <c r="I1447" s="116"/>
      <c r="L1447" s="170">
        <v>44134</v>
      </c>
      <c r="M1447" s="116">
        <v>7.15</v>
      </c>
      <c r="N1447" s="116">
        <v>7.22</v>
      </c>
      <c r="O1447" s="116">
        <v>7.12</v>
      </c>
      <c r="P1447" s="116">
        <v>7.13</v>
      </c>
      <c r="Q1447" s="116">
        <v>35.75</v>
      </c>
      <c r="R1447">
        <v>1320244</v>
      </c>
    </row>
    <row r="1448" spans="1:18" x14ac:dyDescent="0.25">
      <c r="A1448" s="170">
        <v>44137</v>
      </c>
      <c r="B1448" s="116">
        <v>7.3</v>
      </c>
      <c r="C1448" s="116">
        <v>7.19</v>
      </c>
      <c r="D1448" s="116">
        <v>7.17</v>
      </c>
      <c r="E1448" s="116">
        <v>7.2</v>
      </c>
      <c r="F1448" s="116">
        <v>35.950000000000003</v>
      </c>
      <c r="G1448">
        <v>121959</v>
      </c>
      <c r="H1448" s="116"/>
      <c r="I1448" s="116"/>
      <c r="L1448" s="170">
        <v>44137</v>
      </c>
      <c r="M1448" s="116">
        <v>7.19</v>
      </c>
      <c r="N1448" s="116">
        <v>7.3</v>
      </c>
      <c r="O1448" s="116">
        <v>7.17</v>
      </c>
      <c r="P1448" s="116">
        <v>7.2</v>
      </c>
      <c r="Q1448" s="116">
        <v>35.950000000000003</v>
      </c>
      <c r="R1448">
        <v>1588332</v>
      </c>
    </row>
    <row r="1449" spans="1:18" x14ac:dyDescent="0.25">
      <c r="A1449" s="170">
        <v>44138</v>
      </c>
      <c r="B1449" s="116">
        <v>7.37</v>
      </c>
      <c r="C1449" s="116">
        <v>7.21</v>
      </c>
      <c r="D1449" s="116">
        <v>7.18</v>
      </c>
      <c r="E1449" s="116">
        <v>7.18</v>
      </c>
      <c r="F1449" s="116">
        <v>36.049999999999997</v>
      </c>
      <c r="G1449">
        <v>219572</v>
      </c>
      <c r="H1449" s="116"/>
      <c r="I1449" s="116"/>
      <c r="L1449" s="170">
        <v>44138</v>
      </c>
      <c r="M1449" s="116">
        <v>7.21</v>
      </c>
      <c r="N1449" s="116">
        <v>7.37</v>
      </c>
      <c r="O1449" s="116">
        <v>7.12</v>
      </c>
      <c r="P1449" s="116">
        <v>7.12</v>
      </c>
      <c r="Q1449" s="116">
        <v>36.049999999999997</v>
      </c>
      <c r="R1449">
        <v>1449944</v>
      </c>
    </row>
    <row r="1450" spans="1:18" x14ac:dyDescent="0.25">
      <c r="A1450" s="170">
        <v>44139</v>
      </c>
      <c r="B1450" s="116">
        <v>7.32</v>
      </c>
      <c r="C1450" s="116">
        <v>7.22</v>
      </c>
      <c r="D1450" s="116">
        <v>7.19</v>
      </c>
      <c r="E1450" s="116">
        <v>7.31</v>
      </c>
      <c r="F1450" s="116">
        <v>36.1</v>
      </c>
      <c r="G1450">
        <v>222793</v>
      </c>
      <c r="H1450" s="116"/>
      <c r="I1450" s="116"/>
      <c r="L1450" s="170">
        <v>44139</v>
      </c>
      <c r="M1450" s="116">
        <v>7.23</v>
      </c>
      <c r="N1450" s="116">
        <v>7.32</v>
      </c>
      <c r="O1450" s="116">
        <v>7.18</v>
      </c>
      <c r="P1450" s="116">
        <v>7.27</v>
      </c>
      <c r="Q1450" s="116">
        <v>36.15</v>
      </c>
      <c r="R1450">
        <v>1225162</v>
      </c>
    </row>
    <row r="1451" spans="1:18" x14ac:dyDescent="0.25">
      <c r="A1451" s="170">
        <v>44140</v>
      </c>
      <c r="B1451" s="116">
        <v>7.35</v>
      </c>
      <c r="C1451" s="116">
        <v>7.28</v>
      </c>
      <c r="D1451" s="116">
        <v>7.23</v>
      </c>
      <c r="E1451" s="116">
        <v>7.31</v>
      </c>
      <c r="F1451" s="116">
        <v>36.4</v>
      </c>
      <c r="G1451">
        <v>142877</v>
      </c>
      <c r="H1451" s="116"/>
      <c r="I1451" s="116"/>
      <c r="L1451" s="170">
        <v>44140</v>
      </c>
      <c r="M1451" s="116">
        <v>7.28</v>
      </c>
      <c r="N1451" s="116">
        <v>7.36</v>
      </c>
      <c r="O1451" s="116">
        <v>7.24</v>
      </c>
      <c r="P1451" s="116">
        <v>7.36</v>
      </c>
      <c r="Q1451" s="116">
        <v>36.4</v>
      </c>
      <c r="R1451">
        <v>1795868</v>
      </c>
    </row>
    <row r="1452" spans="1:18" x14ac:dyDescent="0.25">
      <c r="A1452" s="170">
        <v>44141</v>
      </c>
      <c r="B1452" s="116">
        <v>7.98</v>
      </c>
      <c r="C1452" s="116">
        <v>7.54</v>
      </c>
      <c r="D1452" s="116">
        <v>7.5</v>
      </c>
      <c r="E1452" s="116">
        <v>7.7</v>
      </c>
      <c r="F1452" s="116">
        <v>37.700000000000003</v>
      </c>
      <c r="G1452">
        <v>1623150</v>
      </c>
      <c r="H1452" s="116"/>
      <c r="I1452" s="116"/>
      <c r="L1452" s="170">
        <v>44141</v>
      </c>
      <c r="M1452" s="116">
        <v>7.54</v>
      </c>
      <c r="N1452" s="116">
        <v>7.99</v>
      </c>
      <c r="O1452" s="116">
        <v>7.5</v>
      </c>
      <c r="P1452" s="116">
        <v>7.6</v>
      </c>
      <c r="Q1452" s="116">
        <v>37.700000000000003</v>
      </c>
      <c r="R1452">
        <v>22800047</v>
      </c>
    </row>
    <row r="1453" spans="1:18" x14ac:dyDescent="0.25">
      <c r="A1453" s="170">
        <v>44144</v>
      </c>
      <c r="B1453" s="116">
        <v>7.66</v>
      </c>
      <c r="C1453" s="116">
        <v>7.41</v>
      </c>
      <c r="D1453" s="116">
        <v>7.37</v>
      </c>
      <c r="E1453" s="116">
        <v>7.66</v>
      </c>
      <c r="F1453" s="116">
        <v>37.049999999999997</v>
      </c>
      <c r="G1453">
        <v>653238</v>
      </c>
      <c r="H1453" s="116"/>
      <c r="I1453" s="116"/>
      <c r="L1453" s="170">
        <v>44144</v>
      </c>
      <c r="M1453" s="116">
        <v>7.41</v>
      </c>
      <c r="N1453" s="116">
        <v>7.64</v>
      </c>
      <c r="O1453" s="116">
        <v>7.38</v>
      </c>
      <c r="P1453" s="116">
        <v>7.64</v>
      </c>
      <c r="Q1453" s="116">
        <v>37.049999999999997</v>
      </c>
      <c r="R1453">
        <v>3145308</v>
      </c>
    </row>
    <row r="1454" spans="1:18" x14ac:dyDescent="0.25">
      <c r="A1454" s="170">
        <v>44145</v>
      </c>
      <c r="B1454" s="116">
        <v>7.45</v>
      </c>
      <c r="C1454" s="116">
        <v>7.27</v>
      </c>
      <c r="D1454" s="116">
        <v>7.25</v>
      </c>
      <c r="E1454" s="116">
        <v>7.43</v>
      </c>
      <c r="F1454" s="116">
        <v>36.35</v>
      </c>
      <c r="G1454">
        <v>422032</v>
      </c>
      <c r="H1454" s="116"/>
      <c r="I1454" s="116"/>
      <c r="L1454" s="170">
        <v>44145</v>
      </c>
      <c r="M1454" s="116">
        <v>7.27</v>
      </c>
      <c r="N1454" s="116">
        <v>7.49</v>
      </c>
      <c r="O1454" s="116">
        <v>7.25</v>
      </c>
      <c r="P1454" s="116">
        <v>7.43</v>
      </c>
      <c r="Q1454" s="116">
        <v>36.35</v>
      </c>
      <c r="R1454">
        <v>2675677</v>
      </c>
    </row>
    <row r="1455" spans="1:18" x14ac:dyDescent="0.25">
      <c r="A1455" s="170">
        <v>44146</v>
      </c>
      <c r="B1455" s="116">
        <v>7.37</v>
      </c>
      <c r="C1455" s="116">
        <v>7.29</v>
      </c>
      <c r="D1455" s="116">
        <v>7.24</v>
      </c>
      <c r="E1455" s="116">
        <v>7.3</v>
      </c>
      <c r="F1455" s="116">
        <v>36.450000000000003</v>
      </c>
      <c r="G1455">
        <v>194576</v>
      </c>
      <c r="H1455" s="116"/>
      <c r="I1455" s="116"/>
      <c r="L1455" s="170">
        <v>44146</v>
      </c>
      <c r="M1455" s="116">
        <v>7.29</v>
      </c>
      <c r="N1455" s="116">
        <v>7.37</v>
      </c>
      <c r="O1455" s="116">
        <v>7.27</v>
      </c>
      <c r="P1455" s="116">
        <v>7.31</v>
      </c>
      <c r="Q1455" s="116">
        <v>36.450000000000003</v>
      </c>
      <c r="R1455">
        <v>1774356</v>
      </c>
    </row>
    <row r="1456" spans="1:18" x14ac:dyDescent="0.25">
      <c r="A1456" s="170">
        <v>44147</v>
      </c>
      <c r="B1456" s="116">
        <v>7.33</v>
      </c>
      <c r="C1456" s="116">
        <v>7.21</v>
      </c>
      <c r="D1456" s="116">
        <v>7.2</v>
      </c>
      <c r="E1456" s="116">
        <v>7.25</v>
      </c>
      <c r="F1456" s="116">
        <v>36.049999999999997</v>
      </c>
      <c r="G1456">
        <v>285690</v>
      </c>
      <c r="H1456" s="116"/>
      <c r="I1456" s="116"/>
      <c r="L1456" s="170">
        <v>44147</v>
      </c>
      <c r="M1456" s="116">
        <v>7.21</v>
      </c>
      <c r="N1456" s="116">
        <v>7.34</v>
      </c>
      <c r="O1456" s="116">
        <v>7.2</v>
      </c>
      <c r="P1456" s="116">
        <v>7.3</v>
      </c>
      <c r="Q1456" s="116">
        <v>36.049999999999997</v>
      </c>
      <c r="R1456">
        <v>2669097</v>
      </c>
    </row>
    <row r="1457" spans="1:18" x14ac:dyDescent="0.25">
      <c r="A1457" s="170">
        <v>44148</v>
      </c>
      <c r="B1457" s="116">
        <v>7.26</v>
      </c>
      <c r="C1457" s="116">
        <v>7.24</v>
      </c>
      <c r="D1457" s="116">
        <v>7.15</v>
      </c>
      <c r="E1457" s="116">
        <v>7.18</v>
      </c>
      <c r="F1457" s="116">
        <v>36.200000000000003</v>
      </c>
      <c r="G1457">
        <v>202548</v>
      </c>
      <c r="H1457" s="116"/>
      <c r="I1457" s="116"/>
      <c r="L1457" s="170">
        <v>44148</v>
      </c>
      <c r="M1457" s="116">
        <v>7.23</v>
      </c>
      <c r="N1457" s="116">
        <v>7.25</v>
      </c>
      <c r="O1457" s="116">
        <v>7.15</v>
      </c>
      <c r="P1457" s="116">
        <v>7.18</v>
      </c>
      <c r="Q1457" s="116">
        <v>36.15</v>
      </c>
      <c r="R1457">
        <v>1487194</v>
      </c>
    </row>
    <row r="1458" spans="1:18" x14ac:dyDescent="0.25">
      <c r="A1458" s="170">
        <v>44149</v>
      </c>
      <c r="B1458" s="116">
        <v>7.33</v>
      </c>
      <c r="C1458" s="116">
        <v>7.29</v>
      </c>
      <c r="D1458" s="116">
        <v>7.26</v>
      </c>
      <c r="E1458" s="116">
        <v>7.26</v>
      </c>
      <c r="F1458" s="116">
        <v>36.450000000000003</v>
      </c>
      <c r="G1458">
        <v>94935</v>
      </c>
      <c r="H1458" s="116"/>
      <c r="I1458" s="116"/>
      <c r="L1458" s="170">
        <v>44149</v>
      </c>
      <c r="M1458" s="116">
        <v>7.28</v>
      </c>
      <c r="N1458" s="116">
        <v>7.33</v>
      </c>
      <c r="O1458" s="116">
        <v>7.26</v>
      </c>
      <c r="P1458" s="116">
        <v>7.26</v>
      </c>
      <c r="Q1458" s="116">
        <v>36.4</v>
      </c>
      <c r="R1458">
        <v>536355</v>
      </c>
    </row>
    <row r="1459" spans="1:18" x14ac:dyDescent="0.25">
      <c r="A1459" s="170">
        <v>44152</v>
      </c>
      <c r="B1459" s="116">
        <v>7.55</v>
      </c>
      <c r="C1459" s="116">
        <v>7.5</v>
      </c>
      <c r="D1459" s="116">
        <v>7.28</v>
      </c>
      <c r="E1459" s="116">
        <v>7.31</v>
      </c>
      <c r="F1459" s="116">
        <v>37.5</v>
      </c>
      <c r="G1459">
        <v>1254683</v>
      </c>
      <c r="H1459" s="116"/>
      <c r="I1459" s="116"/>
      <c r="L1459" s="170">
        <v>44152</v>
      </c>
      <c r="M1459" s="116">
        <v>7.5</v>
      </c>
      <c r="N1459" s="116">
        <v>7.55</v>
      </c>
      <c r="O1459" s="116">
        <v>7.28</v>
      </c>
      <c r="P1459" s="116">
        <v>7.38</v>
      </c>
      <c r="Q1459" s="116">
        <v>37.5</v>
      </c>
      <c r="R1459">
        <v>11199945</v>
      </c>
    </row>
    <row r="1460" spans="1:18" x14ac:dyDescent="0.25">
      <c r="A1460" s="170">
        <v>44153</v>
      </c>
      <c r="B1460" s="116">
        <v>7.99</v>
      </c>
      <c r="C1460" s="116">
        <v>7.88</v>
      </c>
      <c r="D1460" s="116">
        <v>7.49</v>
      </c>
      <c r="E1460" s="116">
        <v>7.55</v>
      </c>
      <c r="F1460" s="116">
        <v>39.4</v>
      </c>
      <c r="G1460">
        <v>2177957</v>
      </c>
      <c r="H1460" s="116"/>
      <c r="I1460" s="116"/>
      <c r="L1460" s="170">
        <v>44153</v>
      </c>
      <c r="M1460" s="116">
        <v>7.88</v>
      </c>
      <c r="N1460" s="116">
        <v>7.99</v>
      </c>
      <c r="O1460" s="116">
        <v>7.5</v>
      </c>
      <c r="P1460" s="116">
        <v>7.53</v>
      </c>
      <c r="Q1460" s="116">
        <v>39.4</v>
      </c>
      <c r="R1460">
        <v>17709977</v>
      </c>
    </row>
    <row r="1461" spans="1:18" x14ac:dyDescent="0.25">
      <c r="A1461" s="170">
        <v>44154</v>
      </c>
      <c r="B1461" s="116">
        <v>8</v>
      </c>
      <c r="C1461" s="116">
        <v>7.67</v>
      </c>
      <c r="D1461" s="116">
        <v>7.62</v>
      </c>
      <c r="E1461" s="116">
        <v>7.89</v>
      </c>
      <c r="F1461" s="116">
        <v>38.35</v>
      </c>
      <c r="G1461">
        <v>1438215</v>
      </c>
      <c r="H1461" s="116"/>
      <c r="I1461" s="116"/>
      <c r="L1461" s="170">
        <v>44154</v>
      </c>
      <c r="M1461" s="116">
        <v>7.66</v>
      </c>
      <c r="N1461" s="116">
        <v>8</v>
      </c>
      <c r="O1461" s="116">
        <v>7.62</v>
      </c>
      <c r="P1461" s="116">
        <v>7.88</v>
      </c>
      <c r="Q1461" s="116">
        <v>38.299999999999997</v>
      </c>
      <c r="R1461">
        <v>10655687</v>
      </c>
    </row>
    <row r="1462" spans="1:18" x14ac:dyDescent="0.25">
      <c r="A1462" s="170">
        <v>44155</v>
      </c>
      <c r="B1462" s="116">
        <v>7.76</v>
      </c>
      <c r="C1462" s="116">
        <v>7.6</v>
      </c>
      <c r="D1462" s="116">
        <v>7.57</v>
      </c>
      <c r="E1462" s="116">
        <v>7.67</v>
      </c>
      <c r="F1462" s="116">
        <v>38</v>
      </c>
      <c r="G1462">
        <v>709565</v>
      </c>
      <c r="H1462" s="116"/>
      <c r="I1462" s="116"/>
      <c r="L1462" s="170">
        <v>44155</v>
      </c>
      <c r="M1462" s="116">
        <v>7.6</v>
      </c>
      <c r="N1462" s="116">
        <v>7.76</v>
      </c>
      <c r="O1462" s="116">
        <v>7.55</v>
      </c>
      <c r="P1462" s="116">
        <v>7.66</v>
      </c>
      <c r="Q1462" s="116">
        <v>38</v>
      </c>
      <c r="R1462">
        <v>3490724</v>
      </c>
    </row>
    <row r="1463" spans="1:18" x14ac:dyDescent="0.25">
      <c r="A1463" s="170">
        <v>44158</v>
      </c>
      <c r="B1463" s="116">
        <v>7.8</v>
      </c>
      <c r="C1463" s="116">
        <v>7.68</v>
      </c>
      <c r="D1463" s="116">
        <v>7.61</v>
      </c>
      <c r="E1463" s="116">
        <v>7.68</v>
      </c>
      <c r="F1463" s="116">
        <v>38.4</v>
      </c>
      <c r="G1463">
        <v>527118</v>
      </c>
      <c r="H1463" s="116"/>
      <c r="I1463" s="116"/>
      <c r="L1463" s="170">
        <v>44158</v>
      </c>
      <c r="M1463" s="116">
        <v>7.68</v>
      </c>
      <c r="N1463" s="116">
        <v>7.8</v>
      </c>
      <c r="O1463" s="116">
        <v>7.62</v>
      </c>
      <c r="P1463" s="116">
        <v>7.69</v>
      </c>
      <c r="Q1463" s="116">
        <v>38.4</v>
      </c>
      <c r="R1463">
        <v>3848826</v>
      </c>
    </row>
    <row r="1464" spans="1:18" x14ac:dyDescent="0.25">
      <c r="A1464" s="170">
        <v>44159</v>
      </c>
      <c r="B1464" s="116">
        <v>7.86</v>
      </c>
      <c r="C1464" s="116">
        <v>7.75</v>
      </c>
      <c r="D1464" s="116">
        <v>7.72</v>
      </c>
      <c r="E1464" s="116">
        <v>7.8</v>
      </c>
      <c r="F1464" s="116">
        <v>38.75</v>
      </c>
      <c r="G1464">
        <v>608673</v>
      </c>
      <c r="H1464" s="116"/>
      <c r="I1464" s="116"/>
      <c r="L1464" s="170">
        <v>44159</v>
      </c>
      <c r="M1464" s="116">
        <v>7.74</v>
      </c>
      <c r="N1464" s="116">
        <v>7.86</v>
      </c>
      <c r="O1464" s="116">
        <v>7.72</v>
      </c>
      <c r="P1464" s="116">
        <v>7.8</v>
      </c>
      <c r="Q1464" s="116">
        <v>38.700000000000003</v>
      </c>
      <c r="R1464">
        <v>5374263</v>
      </c>
    </row>
    <row r="1465" spans="1:18" x14ac:dyDescent="0.25">
      <c r="A1465" s="170">
        <v>44160</v>
      </c>
      <c r="B1465" s="116">
        <v>7.84</v>
      </c>
      <c r="C1465" s="116">
        <v>7.66</v>
      </c>
      <c r="D1465" s="116">
        <v>7</v>
      </c>
      <c r="E1465" s="116">
        <v>7</v>
      </c>
      <c r="F1465" s="116">
        <v>38.299999999999997</v>
      </c>
      <c r="G1465">
        <v>930748</v>
      </c>
      <c r="H1465" s="116"/>
      <c r="I1465" s="116"/>
      <c r="L1465" s="170">
        <v>44160</v>
      </c>
      <c r="M1465" s="116">
        <v>7.65</v>
      </c>
      <c r="N1465" s="116">
        <v>7.85</v>
      </c>
      <c r="O1465" s="116">
        <v>7.61</v>
      </c>
      <c r="P1465" s="116">
        <v>7.81</v>
      </c>
      <c r="Q1465" s="116">
        <v>38.25</v>
      </c>
      <c r="R1465">
        <v>5863289</v>
      </c>
    </row>
    <row r="1466" spans="1:18" x14ac:dyDescent="0.25">
      <c r="A1466" s="170">
        <v>44161</v>
      </c>
      <c r="B1466" s="116">
        <v>7.73</v>
      </c>
      <c r="C1466" s="116">
        <v>7.65</v>
      </c>
      <c r="D1466" s="116">
        <v>7.62</v>
      </c>
      <c r="E1466" s="116">
        <v>7.66</v>
      </c>
      <c r="F1466" s="116">
        <v>38.25</v>
      </c>
      <c r="G1466">
        <v>477957</v>
      </c>
      <c r="H1466" s="116"/>
      <c r="I1466" s="116"/>
      <c r="L1466" s="170">
        <v>44161</v>
      </c>
      <c r="M1466" s="116">
        <v>7.65</v>
      </c>
      <c r="N1466" s="116">
        <v>7.72</v>
      </c>
      <c r="O1466" s="116">
        <v>7.62</v>
      </c>
      <c r="P1466" s="116">
        <v>7.71</v>
      </c>
      <c r="Q1466" s="116">
        <v>38.25</v>
      </c>
      <c r="R1466">
        <v>2099846</v>
      </c>
    </row>
    <row r="1467" spans="1:18" x14ac:dyDescent="0.25">
      <c r="A1467" s="170">
        <v>44162</v>
      </c>
      <c r="B1467" s="116">
        <v>7.77</v>
      </c>
      <c r="C1467" s="116">
        <v>7.7</v>
      </c>
      <c r="D1467" s="116">
        <v>7.64</v>
      </c>
      <c r="E1467" s="116">
        <v>7.77</v>
      </c>
      <c r="F1467" s="116">
        <v>38.5</v>
      </c>
      <c r="G1467">
        <v>742331</v>
      </c>
      <c r="H1467" s="116"/>
      <c r="I1467" s="116"/>
      <c r="L1467" s="170">
        <v>44162</v>
      </c>
      <c r="M1467" s="116">
        <v>7.7</v>
      </c>
      <c r="N1467" s="116">
        <v>7.78</v>
      </c>
      <c r="O1467" s="116">
        <v>7.65</v>
      </c>
      <c r="P1467" s="116">
        <v>7.69</v>
      </c>
      <c r="Q1467" s="116">
        <v>38.5</v>
      </c>
      <c r="R1467">
        <v>5039982</v>
      </c>
    </row>
    <row r="1468" spans="1:18" x14ac:dyDescent="0.25">
      <c r="A1468" s="170">
        <v>44166</v>
      </c>
      <c r="B1468" s="116">
        <v>8.36</v>
      </c>
      <c r="C1468" s="116">
        <v>8.2200000000000006</v>
      </c>
      <c r="D1468" s="116">
        <v>7.72</v>
      </c>
      <c r="E1468" s="116">
        <v>7.72</v>
      </c>
      <c r="F1468" s="116">
        <v>41.1</v>
      </c>
      <c r="G1468">
        <v>3994379</v>
      </c>
      <c r="H1468" s="116"/>
      <c r="I1468" s="116"/>
      <c r="L1468" s="170">
        <v>44166</v>
      </c>
      <c r="M1468" s="116">
        <v>8.2100000000000009</v>
      </c>
      <c r="N1468" s="116">
        <v>8.36</v>
      </c>
      <c r="O1468" s="116">
        <v>7.73</v>
      </c>
      <c r="P1468" s="116">
        <v>7.75</v>
      </c>
      <c r="Q1468" s="116">
        <v>41.05</v>
      </c>
      <c r="R1468">
        <v>27763237</v>
      </c>
    </row>
    <row r="1469" spans="1:18" x14ac:dyDescent="0.25">
      <c r="A1469" s="170">
        <v>44167</v>
      </c>
      <c r="B1469" s="116">
        <v>9.14</v>
      </c>
      <c r="C1469" s="116">
        <v>9.0299999999999994</v>
      </c>
      <c r="D1469" s="116">
        <v>8.34</v>
      </c>
      <c r="E1469" s="116">
        <v>8.3800000000000008</v>
      </c>
      <c r="F1469" s="116">
        <v>45.15</v>
      </c>
      <c r="G1469">
        <v>4673423</v>
      </c>
      <c r="H1469" s="116"/>
      <c r="I1469" s="116"/>
      <c r="L1469" s="170">
        <v>44167</v>
      </c>
      <c r="M1469" s="116">
        <v>9.0299999999999994</v>
      </c>
      <c r="N1469" s="116">
        <v>9.14</v>
      </c>
      <c r="O1469" s="116">
        <v>8.32</v>
      </c>
      <c r="P1469" s="116">
        <v>8.3800000000000008</v>
      </c>
      <c r="Q1469" s="116">
        <v>45.15</v>
      </c>
      <c r="R1469">
        <v>38840737</v>
      </c>
    </row>
    <row r="1470" spans="1:18" x14ac:dyDescent="0.25">
      <c r="A1470" s="170">
        <v>44168</v>
      </c>
      <c r="B1470" s="116">
        <v>10.83</v>
      </c>
      <c r="C1470" s="116">
        <v>10.83</v>
      </c>
      <c r="D1470" s="116">
        <v>9.2200000000000006</v>
      </c>
      <c r="E1470" s="116">
        <v>9.2200000000000006</v>
      </c>
      <c r="F1470" s="116">
        <v>54.15</v>
      </c>
      <c r="G1470">
        <v>7398055</v>
      </c>
      <c r="H1470" s="116"/>
      <c r="I1470" s="116"/>
      <c r="L1470" s="170">
        <v>44168</v>
      </c>
      <c r="M1470" s="116">
        <v>10.83</v>
      </c>
      <c r="N1470" s="116">
        <v>10.83</v>
      </c>
      <c r="O1470" s="116">
        <v>9.1999999999999993</v>
      </c>
      <c r="P1470" s="116">
        <v>9.2799999999999994</v>
      </c>
      <c r="Q1470" s="116">
        <v>54.15</v>
      </c>
      <c r="R1470">
        <v>64633212</v>
      </c>
    </row>
    <row r="1471" spans="1:18" x14ac:dyDescent="0.25">
      <c r="A1471" s="170">
        <v>44169</v>
      </c>
      <c r="B1471" s="116">
        <v>12.8</v>
      </c>
      <c r="C1471" s="116">
        <v>11.92</v>
      </c>
      <c r="D1471" s="116">
        <v>11.24</v>
      </c>
      <c r="E1471" s="116">
        <v>11.6</v>
      </c>
      <c r="F1471" s="116">
        <v>59.6</v>
      </c>
      <c r="G1471">
        <v>12821069</v>
      </c>
      <c r="H1471" s="116"/>
      <c r="I1471" s="116"/>
      <c r="L1471" s="170">
        <v>44169</v>
      </c>
      <c r="M1471" s="116">
        <v>11.92</v>
      </c>
      <c r="N1471" s="116">
        <v>12.79</v>
      </c>
      <c r="O1471" s="116">
        <v>11.26</v>
      </c>
      <c r="P1471" s="116">
        <v>11.6</v>
      </c>
      <c r="Q1471" s="116">
        <v>59.6</v>
      </c>
      <c r="R1471">
        <v>131879335</v>
      </c>
    </row>
    <row r="1472" spans="1:18" x14ac:dyDescent="0.25">
      <c r="A1472" s="170">
        <v>44172</v>
      </c>
      <c r="B1472" s="116">
        <v>12.36</v>
      </c>
      <c r="C1472" s="116">
        <v>11.36</v>
      </c>
      <c r="D1472" s="116">
        <v>10.85</v>
      </c>
      <c r="E1472" s="116">
        <v>12.36</v>
      </c>
      <c r="F1472" s="116">
        <v>56.8</v>
      </c>
      <c r="G1472">
        <v>5156474</v>
      </c>
      <c r="H1472" s="116"/>
      <c r="I1472" s="116"/>
      <c r="L1472" s="170">
        <v>44172</v>
      </c>
      <c r="M1472" s="116">
        <v>11.36</v>
      </c>
      <c r="N1472" s="116">
        <v>12.3</v>
      </c>
      <c r="O1472" s="116">
        <v>10.85</v>
      </c>
      <c r="P1472" s="116">
        <v>12.1</v>
      </c>
      <c r="Q1472" s="116">
        <v>56.8</v>
      </c>
      <c r="R1472">
        <v>43452265</v>
      </c>
    </row>
    <row r="1473" spans="1:18" x14ac:dyDescent="0.25">
      <c r="A1473" s="170">
        <v>44173</v>
      </c>
      <c r="B1473" s="116">
        <v>11.57</v>
      </c>
      <c r="C1473" s="116">
        <v>10.49</v>
      </c>
      <c r="D1473" s="116">
        <v>10.41</v>
      </c>
      <c r="E1473" s="116">
        <v>11.37</v>
      </c>
      <c r="F1473" s="116">
        <v>52.45</v>
      </c>
      <c r="G1473">
        <v>2465394</v>
      </c>
      <c r="H1473" s="116"/>
      <c r="I1473" s="116"/>
      <c r="L1473" s="170">
        <v>44173</v>
      </c>
      <c r="M1473" s="116">
        <v>10.48</v>
      </c>
      <c r="N1473" s="116">
        <v>11.57</v>
      </c>
      <c r="O1473" s="116">
        <v>10.4</v>
      </c>
      <c r="P1473" s="116">
        <v>11.41</v>
      </c>
      <c r="Q1473" s="116">
        <v>52.4</v>
      </c>
      <c r="R1473">
        <v>33820042</v>
      </c>
    </row>
    <row r="1474" spans="1:18" x14ac:dyDescent="0.25">
      <c r="A1474" s="170">
        <v>44174</v>
      </c>
      <c r="B1474" s="116">
        <v>10.84</v>
      </c>
      <c r="C1474" s="116">
        <v>9.8699999999999992</v>
      </c>
      <c r="D1474" s="116">
        <v>9.73</v>
      </c>
      <c r="E1474" s="116">
        <v>10.69</v>
      </c>
      <c r="F1474" s="116">
        <v>49.35</v>
      </c>
      <c r="G1474">
        <v>5688880</v>
      </c>
      <c r="H1474" s="116"/>
      <c r="I1474" s="116"/>
      <c r="L1474" s="170">
        <v>44174</v>
      </c>
      <c r="M1474" s="116">
        <v>9.85</v>
      </c>
      <c r="N1474" s="116">
        <v>10.84</v>
      </c>
      <c r="O1474" s="116">
        <v>9.73</v>
      </c>
      <c r="P1474" s="116">
        <v>10.61</v>
      </c>
      <c r="Q1474" s="116">
        <v>49.25</v>
      </c>
      <c r="R1474">
        <v>47961895</v>
      </c>
    </row>
    <row r="1475" spans="1:18" x14ac:dyDescent="0.25">
      <c r="A1475" s="170">
        <v>44175</v>
      </c>
      <c r="B1475" s="116">
        <v>10.27</v>
      </c>
      <c r="C1475" s="116">
        <v>9.3699999999999992</v>
      </c>
      <c r="D1475" s="116">
        <v>9.1999999999999993</v>
      </c>
      <c r="E1475" s="116">
        <v>9.8000000000000007</v>
      </c>
      <c r="F1475" s="116">
        <v>46.85</v>
      </c>
      <c r="G1475">
        <v>4294778</v>
      </c>
      <c r="H1475" s="116"/>
      <c r="I1475" s="116"/>
      <c r="L1475" s="170">
        <v>44175</v>
      </c>
      <c r="M1475" s="116">
        <v>9.35</v>
      </c>
      <c r="N1475" s="116">
        <v>10.28</v>
      </c>
      <c r="O1475" s="116">
        <v>9.19</v>
      </c>
      <c r="P1475" s="116">
        <v>9.94</v>
      </c>
      <c r="Q1475" s="116">
        <v>46.75</v>
      </c>
      <c r="R1475">
        <v>38777345</v>
      </c>
    </row>
    <row r="1476" spans="1:18" x14ac:dyDescent="0.25">
      <c r="A1476" s="170">
        <v>44176</v>
      </c>
      <c r="B1476" s="116">
        <v>9.4700000000000006</v>
      </c>
      <c r="C1476" s="116">
        <v>8.91</v>
      </c>
      <c r="D1476" s="116">
        <v>8.91</v>
      </c>
      <c r="E1476" s="116">
        <v>9.3000000000000007</v>
      </c>
      <c r="F1476" s="116">
        <v>44.55</v>
      </c>
      <c r="G1476">
        <v>3569075</v>
      </c>
      <c r="H1476" s="116"/>
      <c r="I1476" s="116"/>
      <c r="L1476" s="170">
        <v>44176</v>
      </c>
      <c r="M1476" s="116">
        <v>8.89</v>
      </c>
      <c r="N1476" s="116">
        <v>9.4700000000000006</v>
      </c>
      <c r="O1476" s="116">
        <v>8.89</v>
      </c>
      <c r="P1476" s="116">
        <v>9.33</v>
      </c>
      <c r="Q1476" s="116">
        <v>44.45</v>
      </c>
      <c r="R1476">
        <v>28668119</v>
      </c>
    </row>
    <row r="1477" spans="1:18" x14ac:dyDescent="0.25">
      <c r="A1477" s="170">
        <v>44179</v>
      </c>
      <c r="B1477" s="116">
        <v>9.35</v>
      </c>
      <c r="C1477" s="116">
        <v>9.35</v>
      </c>
      <c r="D1477" s="116">
        <v>8.89</v>
      </c>
      <c r="E1477" s="116">
        <v>8.89</v>
      </c>
      <c r="F1477" s="116">
        <v>46.75</v>
      </c>
      <c r="G1477">
        <v>2800658</v>
      </c>
      <c r="H1477" s="116"/>
      <c r="I1477" s="116"/>
      <c r="L1477" s="170">
        <v>44179</v>
      </c>
      <c r="M1477" s="116">
        <v>9.33</v>
      </c>
      <c r="N1477" s="116">
        <v>9.33</v>
      </c>
      <c r="O1477" s="116">
        <v>8.9</v>
      </c>
      <c r="P1477" s="116">
        <v>8.99</v>
      </c>
      <c r="Q1477" s="116">
        <v>46.65</v>
      </c>
      <c r="R1477">
        <v>20526342</v>
      </c>
    </row>
    <row r="1478" spans="1:18" x14ac:dyDescent="0.25">
      <c r="A1478" s="170">
        <v>44180</v>
      </c>
      <c r="B1478" s="116">
        <v>9.81</v>
      </c>
      <c r="C1478" s="116">
        <v>9.61</v>
      </c>
      <c r="D1478" s="116">
        <v>9.4499999999999993</v>
      </c>
      <c r="E1478" s="116">
        <v>9.81</v>
      </c>
      <c r="F1478" s="116">
        <v>48.05</v>
      </c>
      <c r="G1478">
        <v>3788383</v>
      </c>
      <c r="H1478" s="116"/>
      <c r="I1478" s="116"/>
      <c r="L1478" s="170">
        <v>44180</v>
      </c>
      <c r="M1478" s="116">
        <v>9.61</v>
      </c>
      <c r="N1478" s="116">
        <v>9.7899999999999991</v>
      </c>
      <c r="O1478" s="116">
        <v>9.4600000000000009</v>
      </c>
      <c r="P1478" s="116">
        <v>9.7899999999999991</v>
      </c>
      <c r="Q1478" s="116">
        <v>48.05</v>
      </c>
      <c r="R1478">
        <v>35000800</v>
      </c>
    </row>
    <row r="1479" spans="1:18" x14ac:dyDescent="0.25">
      <c r="A1479" s="170">
        <v>44181</v>
      </c>
      <c r="B1479" s="116">
        <v>9.75</v>
      </c>
      <c r="C1479" s="116">
        <v>9.3800000000000008</v>
      </c>
      <c r="D1479" s="116">
        <v>9.14</v>
      </c>
      <c r="E1479" s="116">
        <v>9.68</v>
      </c>
      <c r="F1479" s="116">
        <v>46.9</v>
      </c>
      <c r="G1479">
        <v>2001734</v>
      </c>
      <c r="H1479" s="116"/>
      <c r="I1479" s="116"/>
      <c r="L1479" s="170">
        <v>44181</v>
      </c>
      <c r="M1479" s="116">
        <v>9.3800000000000008</v>
      </c>
      <c r="N1479" s="116">
        <v>9.74</v>
      </c>
      <c r="O1479" s="116">
        <v>9.1999999999999993</v>
      </c>
      <c r="P1479" s="116">
        <v>9.6999999999999993</v>
      </c>
      <c r="Q1479" s="116">
        <v>46.9</v>
      </c>
      <c r="R1479">
        <v>10394329</v>
      </c>
    </row>
    <row r="1480" spans="1:18" x14ac:dyDescent="0.25">
      <c r="A1480" s="170">
        <v>44182</v>
      </c>
      <c r="B1480" s="116">
        <v>9.5500000000000007</v>
      </c>
      <c r="C1480" s="116">
        <v>9.44</v>
      </c>
      <c r="D1480" s="116">
        <v>9.1999999999999993</v>
      </c>
      <c r="E1480" s="116">
        <v>9.1999999999999993</v>
      </c>
      <c r="F1480" s="116">
        <v>47.2</v>
      </c>
      <c r="G1480">
        <v>1234403</v>
      </c>
      <c r="H1480" s="116"/>
      <c r="I1480" s="116"/>
      <c r="L1480" s="170">
        <v>44182</v>
      </c>
      <c r="M1480" s="116">
        <v>9.44</v>
      </c>
      <c r="N1480" s="116">
        <v>9.56</v>
      </c>
      <c r="O1480" s="116">
        <v>9.24</v>
      </c>
      <c r="P1480" s="116">
        <v>9.31</v>
      </c>
      <c r="Q1480" s="116">
        <v>47.2</v>
      </c>
      <c r="R1480">
        <v>10991099</v>
      </c>
    </row>
    <row r="1481" spans="1:18" x14ac:dyDescent="0.25">
      <c r="A1481" s="170">
        <v>44183</v>
      </c>
      <c r="B1481" s="116">
        <v>9.52</v>
      </c>
      <c r="C1481" s="116">
        <v>9.4700000000000006</v>
      </c>
      <c r="D1481" s="116">
        <v>9.02</v>
      </c>
      <c r="E1481" s="116">
        <v>9.36</v>
      </c>
      <c r="F1481" s="116">
        <v>47.35</v>
      </c>
      <c r="G1481">
        <v>1258942</v>
      </c>
      <c r="H1481" s="116"/>
      <c r="I1481" s="116"/>
      <c r="L1481" s="170">
        <v>44183</v>
      </c>
      <c r="M1481" s="116">
        <v>9.4700000000000006</v>
      </c>
      <c r="N1481" s="116">
        <v>9.5500000000000007</v>
      </c>
      <c r="O1481" s="116">
        <v>9.01</v>
      </c>
      <c r="P1481" s="116">
        <v>9.4499999999999993</v>
      </c>
      <c r="Q1481" s="116">
        <v>47.35</v>
      </c>
      <c r="R1481">
        <v>8642882</v>
      </c>
    </row>
    <row r="1482" spans="1:18" x14ac:dyDescent="0.25">
      <c r="A1482" s="170">
        <v>44186</v>
      </c>
      <c r="B1482" s="116">
        <v>9.5</v>
      </c>
      <c r="C1482" s="116">
        <v>9</v>
      </c>
      <c r="D1482" s="116">
        <v>9</v>
      </c>
      <c r="E1482" s="116">
        <v>9.4700000000000006</v>
      </c>
      <c r="F1482" s="116">
        <v>45</v>
      </c>
      <c r="G1482">
        <v>1478405</v>
      </c>
      <c r="H1482" s="116"/>
      <c r="I1482" s="116"/>
      <c r="L1482" s="170">
        <v>44186</v>
      </c>
      <c r="M1482" s="116">
        <v>9</v>
      </c>
      <c r="N1482" s="116">
        <v>9.5</v>
      </c>
      <c r="O1482" s="116">
        <v>9</v>
      </c>
      <c r="P1482" s="116">
        <v>9.4700000000000006</v>
      </c>
      <c r="Q1482" s="116">
        <v>45</v>
      </c>
      <c r="R1482">
        <v>8292272</v>
      </c>
    </row>
    <row r="1483" spans="1:18" x14ac:dyDescent="0.25">
      <c r="A1483" s="170">
        <v>44187</v>
      </c>
      <c r="B1483" s="116">
        <v>9.09</v>
      </c>
      <c r="C1483" s="116">
        <v>8.98</v>
      </c>
      <c r="D1483" s="116">
        <v>8.5500000000000007</v>
      </c>
      <c r="E1483" s="116">
        <v>8.6</v>
      </c>
      <c r="F1483" s="116">
        <v>44.9</v>
      </c>
      <c r="G1483">
        <v>2094992</v>
      </c>
      <c r="H1483" s="116"/>
      <c r="I1483" s="116"/>
      <c r="L1483" s="170">
        <v>44187</v>
      </c>
      <c r="M1483" s="116">
        <v>8.9600000000000009</v>
      </c>
      <c r="N1483" s="116">
        <v>9.09</v>
      </c>
      <c r="O1483" s="116">
        <v>8.5500000000000007</v>
      </c>
      <c r="P1483" s="116">
        <v>8.6999999999999993</v>
      </c>
      <c r="Q1483" s="116">
        <v>44.8</v>
      </c>
      <c r="R1483">
        <v>14291418</v>
      </c>
    </row>
    <row r="1484" spans="1:18" x14ac:dyDescent="0.25">
      <c r="A1484" s="170">
        <v>44188</v>
      </c>
      <c r="B1484" s="116">
        <v>9.42</v>
      </c>
      <c r="C1484" s="116">
        <v>9.42</v>
      </c>
      <c r="D1484" s="116">
        <v>9.01</v>
      </c>
      <c r="E1484" s="116">
        <v>9.07</v>
      </c>
      <c r="F1484" s="116">
        <v>47.1</v>
      </c>
      <c r="G1484">
        <v>1756779</v>
      </c>
      <c r="H1484" s="116"/>
      <c r="I1484" s="116"/>
      <c r="L1484" s="170">
        <v>44188</v>
      </c>
      <c r="M1484" s="116">
        <v>9.4</v>
      </c>
      <c r="N1484" s="116">
        <v>9.4</v>
      </c>
      <c r="O1484" s="116">
        <v>9.0299999999999994</v>
      </c>
      <c r="P1484" s="116">
        <v>9.0299999999999994</v>
      </c>
      <c r="Q1484" s="116">
        <v>47</v>
      </c>
      <c r="R1484">
        <v>11381766</v>
      </c>
    </row>
    <row r="1485" spans="1:18" x14ac:dyDescent="0.25">
      <c r="A1485" s="170">
        <v>44189</v>
      </c>
      <c r="B1485" s="116">
        <v>9.73</v>
      </c>
      <c r="C1485" s="116">
        <v>9.56</v>
      </c>
      <c r="D1485" s="116">
        <v>9.44</v>
      </c>
      <c r="E1485" s="116">
        <v>9.52</v>
      </c>
      <c r="F1485" s="116">
        <v>47.8</v>
      </c>
      <c r="G1485">
        <v>1597085</v>
      </c>
      <c r="H1485" s="116"/>
      <c r="I1485" s="116"/>
      <c r="L1485" s="170">
        <v>44189</v>
      </c>
      <c r="M1485" s="116">
        <v>9.58</v>
      </c>
      <c r="N1485" s="116">
        <v>9.73</v>
      </c>
      <c r="O1485" s="116">
        <v>9.4600000000000009</v>
      </c>
      <c r="P1485" s="116">
        <v>9.52</v>
      </c>
      <c r="Q1485" s="116">
        <v>47.9</v>
      </c>
      <c r="R1485">
        <v>9978164</v>
      </c>
    </row>
    <row r="1486" spans="1:18" x14ac:dyDescent="0.25">
      <c r="A1486" s="170">
        <v>44193</v>
      </c>
      <c r="B1486" s="116">
        <v>10.029999999999999</v>
      </c>
      <c r="C1486" s="116">
        <v>10.029999999999999</v>
      </c>
      <c r="D1486" s="116">
        <v>9.57</v>
      </c>
      <c r="E1486" s="116">
        <v>9.68</v>
      </c>
      <c r="F1486" s="116">
        <v>50.15</v>
      </c>
      <c r="G1486">
        <v>1409967</v>
      </c>
      <c r="H1486" s="116"/>
      <c r="I1486" s="116"/>
      <c r="L1486" s="170">
        <v>44193</v>
      </c>
      <c r="M1486" s="116">
        <v>10.050000000000001</v>
      </c>
      <c r="N1486" s="116">
        <v>10.050000000000001</v>
      </c>
      <c r="O1486" s="116">
        <v>9.56</v>
      </c>
      <c r="P1486" s="116">
        <v>9.65</v>
      </c>
      <c r="Q1486" s="116">
        <v>50.25</v>
      </c>
      <c r="R1486">
        <v>15969591</v>
      </c>
    </row>
    <row r="1487" spans="1:18" x14ac:dyDescent="0.25">
      <c r="A1487" s="170">
        <v>44194</v>
      </c>
      <c r="B1487" s="116">
        <v>10.38</v>
      </c>
      <c r="C1487" s="116">
        <v>10.09</v>
      </c>
      <c r="D1487" s="116">
        <v>9.5299999999999994</v>
      </c>
      <c r="E1487" s="116">
        <v>10.16</v>
      </c>
      <c r="F1487" s="116">
        <v>50.45</v>
      </c>
      <c r="G1487">
        <v>3254079</v>
      </c>
      <c r="H1487" s="116"/>
      <c r="I1487" s="116"/>
      <c r="L1487" s="170">
        <v>44194</v>
      </c>
      <c r="M1487" s="116">
        <v>10.09</v>
      </c>
      <c r="N1487" s="116">
        <v>10.36</v>
      </c>
      <c r="O1487" s="116">
        <v>9.5500000000000007</v>
      </c>
      <c r="P1487" s="116">
        <v>10.17</v>
      </c>
      <c r="Q1487" s="116">
        <v>50.45</v>
      </c>
      <c r="R1487">
        <v>13785576</v>
      </c>
    </row>
    <row r="1488" spans="1:18" x14ac:dyDescent="0.25">
      <c r="A1488" s="170">
        <v>44195</v>
      </c>
      <c r="B1488" s="116">
        <v>10.210000000000001</v>
      </c>
      <c r="C1488" s="116">
        <v>10.01</v>
      </c>
      <c r="D1488" s="116">
        <v>9.85</v>
      </c>
      <c r="E1488" s="116">
        <v>10.16</v>
      </c>
      <c r="F1488" s="116">
        <v>50.05</v>
      </c>
      <c r="G1488">
        <v>1595281</v>
      </c>
      <c r="H1488" s="116"/>
      <c r="I1488" s="116"/>
      <c r="L1488" s="170">
        <v>44195</v>
      </c>
      <c r="M1488" s="116">
        <v>10.01</v>
      </c>
      <c r="N1488" s="116">
        <v>10.220000000000001</v>
      </c>
      <c r="O1488" s="116">
        <v>9.85</v>
      </c>
      <c r="P1488" s="116">
        <v>10.14</v>
      </c>
      <c r="Q1488" s="116">
        <v>50.05</v>
      </c>
      <c r="R1488">
        <v>6146258</v>
      </c>
    </row>
    <row r="1489" spans="1:18" x14ac:dyDescent="0.25">
      <c r="A1489" s="170">
        <v>44196</v>
      </c>
      <c r="B1489" s="116">
        <v>10.15</v>
      </c>
      <c r="C1489" s="116">
        <v>9.94</v>
      </c>
      <c r="D1489" s="116">
        <v>9.8000000000000007</v>
      </c>
      <c r="E1489" s="116">
        <v>10.14</v>
      </c>
      <c r="F1489" s="116">
        <v>49.7</v>
      </c>
      <c r="G1489">
        <v>1065301</v>
      </c>
      <c r="H1489" s="116"/>
      <c r="I1489" s="116"/>
      <c r="L1489" s="170">
        <v>44196</v>
      </c>
      <c r="M1489" s="116">
        <v>9.9600000000000009</v>
      </c>
      <c r="N1489" s="116">
        <v>10.15</v>
      </c>
      <c r="O1489" s="116">
        <v>9.9</v>
      </c>
      <c r="P1489" s="116">
        <v>10.1</v>
      </c>
      <c r="Q1489" s="116">
        <v>49.8</v>
      </c>
      <c r="R1489">
        <v>5143041</v>
      </c>
    </row>
    <row r="1490" spans="1:18" x14ac:dyDescent="0.25">
      <c r="A1490" s="170">
        <v>44197</v>
      </c>
      <c r="B1490" s="116">
        <v>10.1</v>
      </c>
      <c r="C1490" s="116">
        <v>10.029999999999999</v>
      </c>
      <c r="D1490" s="116">
        <v>9.9499999999999993</v>
      </c>
      <c r="E1490" s="116">
        <v>10.02</v>
      </c>
      <c r="F1490" s="116">
        <v>50.15</v>
      </c>
      <c r="G1490">
        <v>298657</v>
      </c>
      <c r="H1490" s="116"/>
      <c r="I1490" s="116"/>
      <c r="L1490" s="170">
        <v>44197</v>
      </c>
      <c r="M1490" s="116">
        <v>10.029999999999999</v>
      </c>
      <c r="N1490" s="116">
        <v>10.1</v>
      </c>
      <c r="O1490" s="116">
        <v>9.9600000000000009</v>
      </c>
      <c r="P1490" s="116">
        <v>9.9600000000000009</v>
      </c>
      <c r="Q1490" s="116">
        <v>50.15</v>
      </c>
      <c r="R1490">
        <v>4126797</v>
      </c>
    </row>
    <row r="1491" spans="1:18" x14ac:dyDescent="0.25">
      <c r="A1491" s="170">
        <v>44200</v>
      </c>
      <c r="B1491" s="116">
        <v>10.17</v>
      </c>
      <c r="C1491" s="116">
        <v>10.039999999999999</v>
      </c>
      <c r="D1491" s="116">
        <v>9.98</v>
      </c>
      <c r="E1491" s="116">
        <v>10.17</v>
      </c>
      <c r="F1491" s="116">
        <v>50.2</v>
      </c>
      <c r="G1491">
        <v>1168670</v>
      </c>
      <c r="H1491" s="116"/>
      <c r="I1491" s="116"/>
      <c r="L1491" s="170">
        <v>44200</v>
      </c>
      <c r="M1491" s="116">
        <v>10.039999999999999</v>
      </c>
      <c r="N1491" s="116">
        <v>10.18</v>
      </c>
      <c r="O1491" s="116">
        <v>9.98</v>
      </c>
      <c r="P1491" s="116">
        <v>10.14</v>
      </c>
      <c r="Q1491" s="116">
        <v>50.2</v>
      </c>
      <c r="R1491">
        <v>6557749</v>
      </c>
    </row>
    <row r="1492" spans="1:18" x14ac:dyDescent="0.25">
      <c r="A1492" s="170">
        <v>44201</v>
      </c>
      <c r="B1492" s="116">
        <v>10.06</v>
      </c>
      <c r="C1492" s="116">
        <v>9.9600000000000009</v>
      </c>
      <c r="D1492" s="116">
        <v>9.82</v>
      </c>
      <c r="E1492" s="116">
        <v>9.82</v>
      </c>
      <c r="F1492" s="116">
        <v>49.8</v>
      </c>
      <c r="G1492">
        <v>989589</v>
      </c>
      <c r="H1492" s="116"/>
      <c r="I1492" s="116"/>
      <c r="L1492" s="170">
        <v>44201</v>
      </c>
      <c r="M1492" s="116">
        <v>9.9600000000000009</v>
      </c>
      <c r="N1492" s="116">
        <v>10.050000000000001</v>
      </c>
      <c r="O1492" s="116">
        <v>9.8000000000000007</v>
      </c>
      <c r="P1492" s="116">
        <v>9.98</v>
      </c>
      <c r="Q1492" s="116">
        <v>49.8</v>
      </c>
      <c r="R1492">
        <v>5864260</v>
      </c>
    </row>
    <row r="1493" spans="1:18" x14ac:dyDescent="0.25">
      <c r="A1493" s="170">
        <v>44202</v>
      </c>
      <c r="B1493" s="116">
        <v>10.36</v>
      </c>
      <c r="C1493" s="116">
        <v>10.14</v>
      </c>
      <c r="D1493" s="116">
        <v>9.7899999999999991</v>
      </c>
      <c r="E1493" s="116">
        <v>10</v>
      </c>
      <c r="F1493" s="116">
        <v>50.7</v>
      </c>
      <c r="G1493">
        <v>75855390</v>
      </c>
      <c r="H1493" s="116"/>
      <c r="I1493" s="116"/>
      <c r="L1493" s="170">
        <v>44202</v>
      </c>
      <c r="M1493" s="116">
        <v>10.14</v>
      </c>
      <c r="N1493" s="116">
        <v>10.37</v>
      </c>
      <c r="O1493" s="116">
        <v>9.8000000000000007</v>
      </c>
      <c r="P1493" s="116">
        <v>10</v>
      </c>
      <c r="Q1493" s="116">
        <v>50.7</v>
      </c>
      <c r="R1493">
        <v>10891911</v>
      </c>
    </row>
    <row r="1494" spans="1:18" x14ac:dyDescent="0.25">
      <c r="A1494" s="170">
        <v>44203</v>
      </c>
      <c r="B1494" s="116">
        <v>10.35</v>
      </c>
      <c r="C1494" s="116">
        <v>10.210000000000001</v>
      </c>
      <c r="D1494" s="116">
        <v>10.14</v>
      </c>
      <c r="E1494" s="116">
        <v>10.24</v>
      </c>
      <c r="F1494" s="116">
        <v>51.05</v>
      </c>
      <c r="G1494">
        <v>1263640</v>
      </c>
      <c r="H1494" s="116"/>
      <c r="I1494" s="116"/>
      <c r="L1494" s="170">
        <v>44203</v>
      </c>
      <c r="M1494" s="116">
        <v>10.199999999999999</v>
      </c>
      <c r="N1494" s="116">
        <v>10.35</v>
      </c>
      <c r="O1494" s="116">
        <v>10.14</v>
      </c>
      <c r="P1494" s="116">
        <v>10.24</v>
      </c>
      <c r="Q1494" s="116">
        <v>51</v>
      </c>
      <c r="R1494">
        <v>7211639</v>
      </c>
    </row>
    <row r="1495" spans="1:18" x14ac:dyDescent="0.25">
      <c r="A1495" s="170">
        <v>44204</v>
      </c>
      <c r="B1495" s="116">
        <v>10.72</v>
      </c>
      <c r="C1495" s="116">
        <v>10.7</v>
      </c>
      <c r="D1495" s="116">
        <v>10.23</v>
      </c>
      <c r="E1495" s="116">
        <v>10.25</v>
      </c>
      <c r="F1495" s="116">
        <v>53.5</v>
      </c>
      <c r="G1495">
        <v>4857070</v>
      </c>
      <c r="H1495" s="116"/>
      <c r="I1495" s="116"/>
      <c r="L1495" s="170">
        <v>44204</v>
      </c>
      <c r="M1495" s="116">
        <v>10.69</v>
      </c>
      <c r="N1495" s="116">
        <v>10.71</v>
      </c>
      <c r="O1495" s="116">
        <v>10.24</v>
      </c>
      <c r="P1495" s="116">
        <v>10.3</v>
      </c>
      <c r="Q1495" s="116">
        <v>53.45</v>
      </c>
      <c r="R1495">
        <v>18350326</v>
      </c>
    </row>
    <row r="1496" spans="1:18" x14ac:dyDescent="0.25">
      <c r="A1496" s="170">
        <v>44207</v>
      </c>
      <c r="B1496" s="116">
        <v>11.23</v>
      </c>
      <c r="C1496" s="116">
        <v>11.23</v>
      </c>
      <c r="D1496" s="116">
        <v>10.71</v>
      </c>
      <c r="E1496" s="116">
        <v>10.81</v>
      </c>
      <c r="F1496" s="116">
        <v>56.15</v>
      </c>
      <c r="G1496">
        <v>3556402</v>
      </c>
      <c r="H1496" s="116"/>
      <c r="I1496" s="116"/>
      <c r="L1496" s="170">
        <v>44207</v>
      </c>
      <c r="M1496" s="116">
        <v>11.22</v>
      </c>
      <c r="N1496" s="116">
        <v>11.22</v>
      </c>
      <c r="O1496" s="116">
        <v>10.72</v>
      </c>
      <c r="P1496" s="116">
        <v>10.88</v>
      </c>
      <c r="Q1496" s="116">
        <v>56.1</v>
      </c>
      <c r="R1496">
        <v>16938082</v>
      </c>
    </row>
    <row r="1497" spans="1:18" x14ac:dyDescent="0.25">
      <c r="A1497" s="170">
        <v>44208</v>
      </c>
      <c r="B1497" s="116">
        <v>11.48</v>
      </c>
      <c r="C1497" s="116">
        <v>11.14</v>
      </c>
      <c r="D1497" s="116">
        <v>11</v>
      </c>
      <c r="E1497" s="116">
        <v>11.3</v>
      </c>
      <c r="F1497" s="116">
        <v>55.7</v>
      </c>
      <c r="G1497">
        <v>1999429</v>
      </c>
      <c r="H1497" s="116"/>
      <c r="I1497" s="116"/>
      <c r="L1497" s="170">
        <v>44208</v>
      </c>
      <c r="M1497" s="116">
        <v>11.14</v>
      </c>
      <c r="N1497" s="116">
        <v>11.48</v>
      </c>
      <c r="O1497" s="116">
        <v>11</v>
      </c>
      <c r="P1497" s="116">
        <v>11.35</v>
      </c>
      <c r="Q1497" s="116">
        <v>55.7</v>
      </c>
      <c r="R1497">
        <v>13272571</v>
      </c>
    </row>
    <row r="1498" spans="1:18" x14ac:dyDescent="0.25">
      <c r="A1498" s="170">
        <v>44209</v>
      </c>
      <c r="B1498" s="116">
        <v>11.33</v>
      </c>
      <c r="C1498" s="116">
        <v>10.72</v>
      </c>
      <c r="D1498" s="116">
        <v>10.59</v>
      </c>
      <c r="E1498" s="116">
        <v>11.28</v>
      </c>
      <c r="F1498" s="116">
        <v>53.6</v>
      </c>
      <c r="G1498">
        <v>1661465</v>
      </c>
      <c r="H1498" s="116"/>
      <c r="I1498" s="116"/>
      <c r="L1498" s="170">
        <v>44209</v>
      </c>
      <c r="M1498" s="116">
        <v>10.73</v>
      </c>
      <c r="N1498" s="116">
        <v>11.35</v>
      </c>
      <c r="O1498" s="116">
        <v>10.59</v>
      </c>
      <c r="P1498" s="116">
        <v>11.26</v>
      </c>
      <c r="Q1498" s="116">
        <v>53.65</v>
      </c>
      <c r="R1498">
        <v>9072086</v>
      </c>
    </row>
    <row r="1499" spans="1:18" x14ac:dyDescent="0.25">
      <c r="A1499" s="170">
        <v>44210</v>
      </c>
      <c r="B1499" s="116">
        <v>10.95</v>
      </c>
      <c r="C1499" s="116">
        <v>10.79</v>
      </c>
      <c r="D1499" s="116">
        <v>10.65</v>
      </c>
      <c r="E1499" s="116">
        <v>10.72</v>
      </c>
      <c r="F1499" s="116">
        <v>53.95</v>
      </c>
      <c r="G1499">
        <v>405252</v>
      </c>
      <c r="H1499" s="116"/>
      <c r="I1499" s="116"/>
      <c r="L1499" s="170">
        <v>44210</v>
      </c>
      <c r="M1499" s="116">
        <v>10.79</v>
      </c>
      <c r="N1499" s="116">
        <v>10.96</v>
      </c>
      <c r="O1499" s="116">
        <v>10.55</v>
      </c>
      <c r="P1499" s="116">
        <v>10.55</v>
      </c>
      <c r="Q1499" s="116">
        <v>53.95</v>
      </c>
      <c r="R1499">
        <v>4383524</v>
      </c>
    </row>
    <row r="1500" spans="1:18" x14ac:dyDescent="0.25">
      <c r="A1500" s="170">
        <v>44211</v>
      </c>
      <c r="B1500" s="116">
        <v>10.99</v>
      </c>
      <c r="C1500" s="116">
        <v>10.83</v>
      </c>
      <c r="D1500" s="116">
        <v>10.55</v>
      </c>
      <c r="E1500" s="116">
        <v>10.72</v>
      </c>
      <c r="F1500" s="116">
        <v>54.15</v>
      </c>
      <c r="G1500">
        <v>1033177</v>
      </c>
      <c r="H1500" s="116"/>
      <c r="I1500" s="116"/>
      <c r="L1500" s="170">
        <v>44211</v>
      </c>
      <c r="M1500" s="116">
        <v>10.82</v>
      </c>
      <c r="N1500" s="116">
        <v>10.99</v>
      </c>
      <c r="O1500" s="116">
        <v>10.55</v>
      </c>
      <c r="P1500" s="116">
        <v>10.82</v>
      </c>
      <c r="Q1500" s="116">
        <v>54.1</v>
      </c>
      <c r="R1500">
        <v>5449209</v>
      </c>
    </row>
    <row r="1501" spans="1:18" x14ac:dyDescent="0.25">
      <c r="A1501" s="170">
        <v>44214</v>
      </c>
      <c r="B1501" s="116">
        <v>10.97</v>
      </c>
      <c r="C1501" s="116">
        <v>10.7</v>
      </c>
      <c r="D1501" s="116">
        <v>10.55</v>
      </c>
      <c r="E1501" s="116">
        <v>10.8</v>
      </c>
      <c r="F1501" s="116">
        <v>53.5</v>
      </c>
      <c r="G1501">
        <v>1205592</v>
      </c>
      <c r="H1501" s="116"/>
      <c r="I1501" s="116"/>
      <c r="L1501" s="170">
        <v>44214</v>
      </c>
      <c r="M1501" s="116">
        <v>10.71</v>
      </c>
      <c r="N1501" s="116">
        <v>10.98</v>
      </c>
      <c r="O1501" s="116">
        <v>10.52</v>
      </c>
      <c r="P1501" s="116">
        <v>10.84</v>
      </c>
      <c r="Q1501" s="116">
        <v>53.55</v>
      </c>
      <c r="R1501">
        <v>6751449</v>
      </c>
    </row>
    <row r="1502" spans="1:18" x14ac:dyDescent="0.25">
      <c r="A1502" s="170">
        <v>44215</v>
      </c>
      <c r="B1502" s="116">
        <v>11.15</v>
      </c>
      <c r="C1502" s="116">
        <v>11.05</v>
      </c>
      <c r="D1502" s="116">
        <v>10.8</v>
      </c>
      <c r="E1502" s="116">
        <v>10.84</v>
      </c>
      <c r="F1502" s="116">
        <v>55.25</v>
      </c>
      <c r="G1502">
        <v>497900</v>
      </c>
      <c r="H1502" s="116"/>
      <c r="I1502" s="116"/>
      <c r="L1502" s="170">
        <v>44215</v>
      </c>
      <c r="M1502" s="116">
        <v>11.06</v>
      </c>
      <c r="N1502" s="116">
        <v>11.17</v>
      </c>
      <c r="O1502" s="116">
        <v>10.8</v>
      </c>
      <c r="P1502" s="116">
        <v>10.8</v>
      </c>
      <c r="Q1502" s="116">
        <v>55.3</v>
      </c>
      <c r="R1502">
        <v>7141815</v>
      </c>
    </row>
    <row r="1503" spans="1:18" x14ac:dyDescent="0.25">
      <c r="A1503" s="170">
        <v>44216</v>
      </c>
      <c r="B1503" s="116">
        <v>11.21</v>
      </c>
      <c r="C1503" s="116">
        <v>11.11</v>
      </c>
      <c r="D1503" s="116">
        <v>11.03</v>
      </c>
      <c r="E1503" s="116">
        <v>11.1</v>
      </c>
      <c r="F1503" s="116">
        <v>55.55</v>
      </c>
      <c r="G1503">
        <v>395433</v>
      </c>
      <c r="H1503" s="116"/>
      <c r="I1503" s="116"/>
      <c r="L1503" s="170">
        <v>44216</v>
      </c>
      <c r="M1503" s="116">
        <v>11.11</v>
      </c>
      <c r="N1503" s="116">
        <v>11.21</v>
      </c>
      <c r="O1503" s="116">
        <v>11.01</v>
      </c>
      <c r="P1503" s="116">
        <v>11.1</v>
      </c>
      <c r="Q1503" s="116">
        <v>55.55</v>
      </c>
      <c r="R1503">
        <v>4572267</v>
      </c>
    </row>
    <row r="1504" spans="1:18" x14ac:dyDescent="0.25">
      <c r="A1504" s="170">
        <v>44217</v>
      </c>
      <c r="B1504" s="116">
        <v>11.28</v>
      </c>
      <c r="C1504" s="116">
        <v>10.75</v>
      </c>
      <c r="D1504" s="116">
        <v>10.64</v>
      </c>
      <c r="E1504" s="116">
        <v>11.24</v>
      </c>
      <c r="F1504" s="116">
        <v>53.75</v>
      </c>
      <c r="G1504">
        <v>956104</v>
      </c>
      <c r="H1504" s="116"/>
      <c r="I1504" s="116"/>
      <c r="L1504" s="170">
        <v>44217</v>
      </c>
      <c r="M1504" s="116">
        <v>10.75</v>
      </c>
      <c r="N1504" s="116">
        <v>11.26</v>
      </c>
      <c r="O1504" s="116">
        <v>10.62</v>
      </c>
      <c r="P1504" s="116">
        <v>11.2</v>
      </c>
      <c r="Q1504" s="116">
        <v>53.75</v>
      </c>
      <c r="R1504">
        <v>5170279</v>
      </c>
    </row>
    <row r="1505" spans="1:18" x14ac:dyDescent="0.25">
      <c r="A1505" s="170">
        <v>44218</v>
      </c>
      <c r="B1505" s="116">
        <v>10.91</v>
      </c>
      <c r="C1505" s="116">
        <v>10.57</v>
      </c>
      <c r="D1505" s="116">
        <v>10.51</v>
      </c>
      <c r="E1505" s="116">
        <v>10.75</v>
      </c>
      <c r="F1505" s="116">
        <v>52.85</v>
      </c>
      <c r="G1505">
        <v>741355</v>
      </c>
      <c r="H1505" s="116"/>
      <c r="I1505" s="116"/>
      <c r="L1505" s="170">
        <v>44218</v>
      </c>
      <c r="M1505" s="116">
        <v>10.57</v>
      </c>
      <c r="N1505" s="116">
        <v>10.92</v>
      </c>
      <c r="O1505" s="116">
        <v>10.52</v>
      </c>
      <c r="P1505" s="116">
        <v>10.76</v>
      </c>
      <c r="Q1505" s="116">
        <v>52.85</v>
      </c>
      <c r="R1505">
        <v>4805723</v>
      </c>
    </row>
    <row r="1506" spans="1:18" x14ac:dyDescent="0.25">
      <c r="A1506" s="170">
        <v>44221</v>
      </c>
      <c r="B1506" s="116">
        <v>10.77</v>
      </c>
      <c r="C1506" s="116">
        <v>10.24</v>
      </c>
      <c r="D1506" s="116">
        <v>10.119999999999999</v>
      </c>
      <c r="E1506" s="116">
        <v>10.72</v>
      </c>
      <c r="F1506" s="116">
        <v>51.2</v>
      </c>
      <c r="G1506">
        <v>489825</v>
      </c>
      <c r="H1506" s="116"/>
      <c r="I1506" s="116"/>
      <c r="L1506" s="170">
        <v>44221</v>
      </c>
      <c r="M1506" s="116">
        <v>10.24</v>
      </c>
      <c r="N1506" s="116">
        <v>10.77</v>
      </c>
      <c r="O1506" s="116">
        <v>10.11</v>
      </c>
      <c r="P1506" s="116">
        <v>10.67</v>
      </c>
      <c r="Q1506" s="116">
        <v>51.2</v>
      </c>
      <c r="R1506">
        <v>3944411</v>
      </c>
    </row>
    <row r="1507" spans="1:18" x14ac:dyDescent="0.25">
      <c r="A1507" s="170">
        <v>44223</v>
      </c>
      <c r="B1507" s="116">
        <v>10.34</v>
      </c>
      <c r="C1507" s="116">
        <v>9.93</v>
      </c>
      <c r="D1507" s="116">
        <v>9.89</v>
      </c>
      <c r="E1507" s="116">
        <v>10.199999999999999</v>
      </c>
      <c r="F1507" s="116">
        <v>49.65</v>
      </c>
      <c r="G1507">
        <v>335027</v>
      </c>
      <c r="H1507" s="116"/>
      <c r="I1507" s="116"/>
      <c r="L1507" s="170">
        <v>44223</v>
      </c>
      <c r="M1507" s="116">
        <v>9.92</v>
      </c>
      <c r="N1507" s="116">
        <v>10.23</v>
      </c>
      <c r="O1507" s="116">
        <v>9.8800000000000008</v>
      </c>
      <c r="P1507" s="116">
        <v>10.19</v>
      </c>
      <c r="Q1507" s="116">
        <v>49.6</v>
      </c>
      <c r="R1507">
        <v>4252119</v>
      </c>
    </row>
    <row r="1508" spans="1:18" x14ac:dyDescent="0.25">
      <c r="A1508" s="170">
        <v>44224</v>
      </c>
      <c r="B1508" s="116">
        <v>9.98</v>
      </c>
      <c r="C1508" s="116">
        <v>9.81</v>
      </c>
      <c r="D1508" s="116">
        <v>9.68</v>
      </c>
      <c r="E1508" s="116">
        <v>9.74</v>
      </c>
      <c r="F1508" s="116">
        <v>49.05</v>
      </c>
      <c r="G1508">
        <v>473768</v>
      </c>
      <c r="H1508" s="116"/>
      <c r="I1508" s="116"/>
      <c r="L1508" s="170">
        <v>44224</v>
      </c>
      <c r="M1508" s="116">
        <v>9.8000000000000007</v>
      </c>
      <c r="N1508" s="116">
        <v>9.9700000000000006</v>
      </c>
      <c r="O1508" s="116">
        <v>9.6999999999999993</v>
      </c>
      <c r="P1508" s="116">
        <v>9.7799999999999994</v>
      </c>
      <c r="Q1508" s="116">
        <v>49</v>
      </c>
      <c r="R1508">
        <v>2826359</v>
      </c>
    </row>
    <row r="1509" spans="1:18" x14ac:dyDescent="0.25">
      <c r="A1509" s="170">
        <v>44225</v>
      </c>
      <c r="B1509" s="116">
        <v>10.3</v>
      </c>
      <c r="C1509" s="116">
        <v>10.26</v>
      </c>
      <c r="D1509" s="116">
        <v>9.9</v>
      </c>
      <c r="E1509" s="116">
        <v>9.9700000000000006</v>
      </c>
      <c r="F1509" s="116">
        <v>51.3</v>
      </c>
      <c r="G1509">
        <v>784364</v>
      </c>
      <c r="H1509" s="116"/>
      <c r="I1509" s="116"/>
      <c r="L1509" s="170">
        <v>44225</v>
      </c>
      <c r="M1509" s="116">
        <v>10.26</v>
      </c>
      <c r="N1509" s="116">
        <v>10.29</v>
      </c>
      <c r="O1509" s="116">
        <v>9.9</v>
      </c>
      <c r="P1509" s="116">
        <v>9.99</v>
      </c>
      <c r="Q1509" s="116">
        <v>51.3</v>
      </c>
      <c r="R1509">
        <v>5298883</v>
      </c>
    </row>
    <row r="1510" spans="1:18" x14ac:dyDescent="0.25">
      <c r="A1510" s="170">
        <v>44228</v>
      </c>
      <c r="B1510" s="116">
        <v>10.59</v>
      </c>
      <c r="C1510" s="116">
        <v>10.47</v>
      </c>
      <c r="D1510" s="116">
        <v>10.210000000000001</v>
      </c>
      <c r="E1510" s="116">
        <v>10.38</v>
      </c>
      <c r="F1510" s="116">
        <v>52.35</v>
      </c>
      <c r="G1510">
        <v>453235</v>
      </c>
      <c r="H1510" s="116"/>
      <c r="I1510" s="116"/>
      <c r="L1510" s="170">
        <v>44228</v>
      </c>
      <c r="M1510" s="116">
        <v>10.47</v>
      </c>
      <c r="N1510" s="116">
        <v>10.59</v>
      </c>
      <c r="O1510" s="116">
        <v>10.199999999999999</v>
      </c>
      <c r="P1510" s="116">
        <v>10.4</v>
      </c>
      <c r="Q1510" s="116">
        <v>52.35</v>
      </c>
      <c r="R1510">
        <v>5059097</v>
      </c>
    </row>
    <row r="1511" spans="1:18" x14ac:dyDescent="0.25">
      <c r="A1511" s="170">
        <v>44229</v>
      </c>
      <c r="B1511" s="116">
        <v>10.76</v>
      </c>
      <c r="C1511" s="116">
        <v>10.5</v>
      </c>
      <c r="D1511" s="116">
        <v>10.27</v>
      </c>
      <c r="E1511" s="116">
        <v>10.6</v>
      </c>
      <c r="F1511" s="116">
        <v>52.5</v>
      </c>
      <c r="G1511">
        <v>609844</v>
      </c>
      <c r="H1511" s="116"/>
      <c r="I1511" s="116"/>
      <c r="L1511" s="170">
        <v>44229</v>
      </c>
      <c r="M1511" s="116">
        <v>10.5</v>
      </c>
      <c r="N1511" s="116">
        <v>10.77</v>
      </c>
      <c r="O1511" s="116">
        <v>10.28</v>
      </c>
      <c r="P1511" s="116">
        <v>10.6</v>
      </c>
      <c r="Q1511" s="116">
        <v>52.5</v>
      </c>
      <c r="R1511">
        <v>4066305</v>
      </c>
    </row>
    <row r="1512" spans="1:18" x14ac:dyDescent="0.25">
      <c r="A1512" s="170">
        <v>44230</v>
      </c>
      <c r="B1512" s="116">
        <v>10.64</v>
      </c>
      <c r="C1512" s="116">
        <v>10.49</v>
      </c>
      <c r="D1512" s="116">
        <v>10.43</v>
      </c>
      <c r="E1512" s="116">
        <v>10.55</v>
      </c>
      <c r="F1512" s="116">
        <v>52.45</v>
      </c>
      <c r="G1512">
        <v>752064</v>
      </c>
      <c r="H1512" s="116"/>
      <c r="I1512" s="116"/>
      <c r="L1512" s="170">
        <v>44230</v>
      </c>
      <c r="M1512" s="116">
        <v>10.5</v>
      </c>
      <c r="N1512" s="116">
        <v>10.64</v>
      </c>
      <c r="O1512" s="116">
        <v>10.44</v>
      </c>
      <c r="P1512" s="116">
        <v>10.58</v>
      </c>
      <c r="Q1512" s="116">
        <v>52.5</v>
      </c>
      <c r="R1512">
        <v>3936262</v>
      </c>
    </row>
    <row r="1513" spans="1:18" x14ac:dyDescent="0.25">
      <c r="A1513" s="170">
        <v>44231</v>
      </c>
      <c r="B1513" s="116">
        <v>10.97</v>
      </c>
      <c r="C1513" s="116">
        <v>10.64</v>
      </c>
      <c r="D1513" s="116">
        <v>10.55</v>
      </c>
      <c r="E1513" s="116">
        <v>10.59</v>
      </c>
      <c r="F1513" s="116">
        <v>53.2</v>
      </c>
      <c r="G1513">
        <v>754429</v>
      </c>
      <c r="H1513" s="116"/>
      <c r="I1513" s="116"/>
      <c r="L1513" s="170">
        <v>44231</v>
      </c>
      <c r="M1513" s="116">
        <v>10.65</v>
      </c>
      <c r="N1513" s="116">
        <v>10.97</v>
      </c>
      <c r="O1513" s="116">
        <v>10.51</v>
      </c>
      <c r="P1513" s="116">
        <v>10.54</v>
      </c>
      <c r="Q1513" s="116">
        <v>53.25</v>
      </c>
      <c r="R1513">
        <v>9754786</v>
      </c>
    </row>
    <row r="1514" spans="1:18" x14ac:dyDescent="0.25">
      <c r="A1514" s="170">
        <v>44232</v>
      </c>
      <c r="B1514" s="116">
        <v>10.76</v>
      </c>
      <c r="C1514" s="116">
        <v>10.44</v>
      </c>
      <c r="D1514" s="116">
        <v>10.41</v>
      </c>
      <c r="E1514" s="116">
        <v>10.7</v>
      </c>
      <c r="F1514" s="116">
        <v>52.2</v>
      </c>
      <c r="G1514">
        <v>616155</v>
      </c>
      <c r="H1514" s="116"/>
      <c r="I1514" s="116"/>
      <c r="L1514" s="170">
        <v>44232</v>
      </c>
      <c r="M1514" s="116">
        <v>10.46</v>
      </c>
      <c r="N1514" s="116">
        <v>10.78</v>
      </c>
      <c r="O1514" s="116">
        <v>10.41</v>
      </c>
      <c r="P1514" s="116">
        <v>10.6</v>
      </c>
      <c r="Q1514" s="116">
        <v>52.3</v>
      </c>
      <c r="R1514">
        <v>5894618</v>
      </c>
    </row>
    <row r="1515" spans="1:18" x14ac:dyDescent="0.25">
      <c r="A1515" s="170">
        <v>44235</v>
      </c>
      <c r="B1515" s="116">
        <v>10.9</v>
      </c>
      <c r="C1515" s="116">
        <v>10.61</v>
      </c>
      <c r="D1515" s="116">
        <v>10.55</v>
      </c>
      <c r="E1515" s="116">
        <v>10.66</v>
      </c>
      <c r="F1515" s="116">
        <v>53.05</v>
      </c>
      <c r="G1515">
        <v>375304</v>
      </c>
      <c r="H1515" s="116"/>
      <c r="I1515" s="116"/>
      <c r="L1515" s="170">
        <v>44235</v>
      </c>
      <c r="M1515" s="116">
        <v>10.61</v>
      </c>
      <c r="N1515" s="116">
        <v>10.9</v>
      </c>
      <c r="O1515" s="116">
        <v>10.52</v>
      </c>
      <c r="P1515" s="116">
        <v>10.57</v>
      </c>
      <c r="Q1515" s="116">
        <v>53.05</v>
      </c>
      <c r="R1515">
        <v>4410119</v>
      </c>
    </row>
    <row r="1516" spans="1:18" x14ac:dyDescent="0.25">
      <c r="A1516" s="170">
        <v>44236</v>
      </c>
      <c r="B1516" s="116">
        <v>10.71</v>
      </c>
      <c r="C1516" s="116">
        <v>10.54</v>
      </c>
      <c r="D1516" s="116">
        <v>10.48</v>
      </c>
      <c r="E1516" s="116">
        <v>10.69</v>
      </c>
      <c r="F1516" s="116">
        <v>52.7</v>
      </c>
      <c r="G1516">
        <v>291634</v>
      </c>
      <c r="H1516" s="116"/>
      <c r="I1516" s="116"/>
      <c r="L1516" s="170">
        <v>44236</v>
      </c>
      <c r="M1516" s="116">
        <v>10.54</v>
      </c>
      <c r="N1516" s="116">
        <v>10.7</v>
      </c>
      <c r="O1516" s="116">
        <v>10.48</v>
      </c>
      <c r="P1516" s="116">
        <v>10.67</v>
      </c>
      <c r="Q1516" s="116">
        <v>52.7</v>
      </c>
      <c r="R1516">
        <v>3897198</v>
      </c>
    </row>
    <row r="1517" spans="1:18" x14ac:dyDescent="0.25">
      <c r="A1517" s="170">
        <v>44237</v>
      </c>
      <c r="B1517" s="116">
        <v>10.62</v>
      </c>
      <c r="C1517" s="116">
        <v>10.42</v>
      </c>
      <c r="D1517" s="116">
        <v>10.4</v>
      </c>
      <c r="E1517" s="116">
        <v>10.54</v>
      </c>
      <c r="F1517" s="116">
        <v>52.1</v>
      </c>
      <c r="G1517">
        <v>260356</v>
      </c>
      <c r="H1517" s="116"/>
      <c r="I1517" s="116"/>
      <c r="L1517" s="170">
        <v>44237</v>
      </c>
      <c r="M1517" s="116">
        <v>10.42</v>
      </c>
      <c r="N1517" s="116">
        <v>10.62</v>
      </c>
      <c r="O1517" s="116">
        <v>10.4</v>
      </c>
      <c r="P1517" s="116">
        <v>10.6</v>
      </c>
      <c r="Q1517" s="116">
        <v>52.1</v>
      </c>
      <c r="R1517">
        <v>4263047</v>
      </c>
    </row>
    <row r="1518" spans="1:18" x14ac:dyDescent="0.25">
      <c r="A1518" s="170">
        <v>44238</v>
      </c>
      <c r="B1518" s="116">
        <v>11.04</v>
      </c>
      <c r="C1518" s="116">
        <v>10.76</v>
      </c>
      <c r="D1518" s="116">
        <v>10.4</v>
      </c>
      <c r="E1518" s="116">
        <v>10.4</v>
      </c>
      <c r="F1518" s="116">
        <v>53.8</v>
      </c>
      <c r="G1518">
        <v>744990</v>
      </c>
      <c r="H1518" s="116"/>
      <c r="I1518" s="116"/>
      <c r="L1518" s="170">
        <v>44238</v>
      </c>
      <c r="M1518" s="116">
        <v>10.76</v>
      </c>
      <c r="N1518" s="116">
        <v>11.04</v>
      </c>
      <c r="O1518" s="116">
        <v>10.42</v>
      </c>
      <c r="P1518" s="116">
        <v>10.43</v>
      </c>
      <c r="Q1518" s="116">
        <v>53.8</v>
      </c>
      <c r="R1518">
        <v>9731753</v>
      </c>
    </row>
    <row r="1519" spans="1:18" x14ac:dyDescent="0.25">
      <c r="A1519" s="170">
        <v>44239</v>
      </c>
      <c r="B1519" s="116">
        <v>11.7</v>
      </c>
      <c r="C1519" s="116">
        <v>11.45</v>
      </c>
      <c r="D1519" s="116">
        <v>10.67</v>
      </c>
      <c r="E1519" s="116">
        <v>10.8</v>
      </c>
      <c r="F1519" s="116">
        <v>57.25</v>
      </c>
      <c r="G1519">
        <v>1974257</v>
      </c>
      <c r="H1519" s="116"/>
      <c r="I1519" s="116"/>
      <c r="L1519" s="170">
        <v>44239</v>
      </c>
      <c r="M1519" s="116">
        <v>11.45</v>
      </c>
      <c r="N1519" s="116">
        <v>11.7</v>
      </c>
      <c r="O1519" s="116">
        <v>10.66</v>
      </c>
      <c r="P1519" s="116">
        <v>10.8</v>
      </c>
      <c r="Q1519" s="116">
        <v>57.25</v>
      </c>
      <c r="R1519">
        <v>36327365</v>
      </c>
    </row>
    <row r="1520" spans="1:18" x14ac:dyDescent="0.25">
      <c r="A1520" s="170">
        <v>44242</v>
      </c>
      <c r="B1520" s="116">
        <v>11.83</v>
      </c>
      <c r="C1520" s="116">
        <v>11.38</v>
      </c>
      <c r="D1520" s="116">
        <v>11.23</v>
      </c>
      <c r="E1520" s="116">
        <v>11.51</v>
      </c>
      <c r="F1520" s="116">
        <v>56.9</v>
      </c>
      <c r="G1520">
        <v>1562269</v>
      </c>
      <c r="H1520" s="116"/>
      <c r="I1520" s="116"/>
      <c r="L1520" s="170">
        <v>44242</v>
      </c>
      <c r="M1520" s="116">
        <v>11.38</v>
      </c>
      <c r="N1520" s="116">
        <v>11.82</v>
      </c>
      <c r="O1520" s="116">
        <v>11.22</v>
      </c>
      <c r="P1520" s="116">
        <v>11.51</v>
      </c>
      <c r="Q1520" s="116">
        <v>56.9</v>
      </c>
      <c r="R1520">
        <v>27142746</v>
      </c>
    </row>
    <row r="1521" spans="1:18" x14ac:dyDescent="0.25">
      <c r="A1521" s="170">
        <v>44243</v>
      </c>
      <c r="B1521" s="116">
        <v>11.78</v>
      </c>
      <c r="C1521" s="116">
        <v>11.05</v>
      </c>
      <c r="D1521" s="116">
        <v>10.9</v>
      </c>
      <c r="E1521" s="116">
        <v>11.47</v>
      </c>
      <c r="F1521" s="116">
        <v>55.25</v>
      </c>
      <c r="G1521">
        <v>1409699</v>
      </c>
      <c r="H1521" s="116"/>
      <c r="I1521" s="116"/>
      <c r="L1521" s="170">
        <v>44243</v>
      </c>
      <c r="M1521" s="116">
        <v>11.04</v>
      </c>
      <c r="N1521" s="116">
        <v>11.78</v>
      </c>
      <c r="O1521" s="116">
        <v>10.89</v>
      </c>
      <c r="P1521" s="116">
        <v>11.43</v>
      </c>
      <c r="Q1521" s="116">
        <v>55.2</v>
      </c>
      <c r="R1521">
        <v>30672656</v>
      </c>
    </row>
    <row r="1522" spans="1:18" x14ac:dyDescent="0.25">
      <c r="A1522" s="170">
        <v>44244</v>
      </c>
      <c r="B1522" s="116">
        <v>11.09</v>
      </c>
      <c r="C1522" s="116">
        <v>10.86</v>
      </c>
      <c r="D1522" s="116">
        <v>10.55</v>
      </c>
      <c r="E1522" s="116">
        <v>11.08</v>
      </c>
      <c r="F1522" s="116">
        <v>54.3</v>
      </c>
      <c r="G1522">
        <v>1317982</v>
      </c>
      <c r="H1522" s="116"/>
      <c r="I1522" s="116"/>
      <c r="L1522" s="170">
        <v>44244</v>
      </c>
      <c r="M1522" s="116">
        <v>10.85</v>
      </c>
      <c r="N1522" s="116">
        <v>11.08</v>
      </c>
      <c r="O1522" s="116">
        <v>10.56</v>
      </c>
      <c r="P1522" s="116">
        <v>11.06</v>
      </c>
      <c r="Q1522" s="116">
        <v>54.25</v>
      </c>
      <c r="R1522">
        <v>13374028</v>
      </c>
    </row>
    <row r="1523" spans="1:18" x14ac:dyDescent="0.25">
      <c r="A1523" s="170">
        <v>44245</v>
      </c>
      <c r="B1523" s="116">
        <v>11.36</v>
      </c>
      <c r="C1523" s="116">
        <v>11.15</v>
      </c>
      <c r="D1523" s="116">
        <v>10.87</v>
      </c>
      <c r="E1523" s="116">
        <v>10.96</v>
      </c>
      <c r="F1523" s="116">
        <v>55.75</v>
      </c>
      <c r="G1523">
        <v>1564593</v>
      </c>
      <c r="H1523" s="116"/>
      <c r="I1523" s="116"/>
      <c r="L1523" s="170">
        <v>44245</v>
      </c>
      <c r="M1523" s="116">
        <v>11.14</v>
      </c>
      <c r="N1523" s="116">
        <v>11.36</v>
      </c>
      <c r="O1523" s="116">
        <v>10.87</v>
      </c>
      <c r="P1523" s="116">
        <v>10.87</v>
      </c>
      <c r="Q1523" s="116">
        <v>55.7</v>
      </c>
      <c r="R1523">
        <v>12151778</v>
      </c>
    </row>
    <row r="1524" spans="1:18" x14ac:dyDescent="0.25">
      <c r="A1524" s="170">
        <v>44246</v>
      </c>
      <c r="B1524" s="116">
        <v>11.7</v>
      </c>
      <c r="C1524" s="116">
        <v>11.16</v>
      </c>
      <c r="D1524" s="116">
        <v>10.88</v>
      </c>
      <c r="E1524" s="116">
        <v>11.2</v>
      </c>
      <c r="F1524" s="116">
        <v>55.8</v>
      </c>
      <c r="G1524">
        <v>2553376</v>
      </c>
      <c r="H1524" s="116"/>
      <c r="I1524" s="116"/>
      <c r="L1524" s="170">
        <v>44246</v>
      </c>
      <c r="M1524" s="116">
        <v>11.17</v>
      </c>
      <c r="N1524" s="116">
        <v>11.72</v>
      </c>
      <c r="O1524" s="116">
        <v>10.89</v>
      </c>
      <c r="P1524" s="116">
        <v>11.2</v>
      </c>
      <c r="Q1524" s="116">
        <v>55.85</v>
      </c>
      <c r="R1524">
        <v>18821118</v>
      </c>
    </row>
    <row r="1525" spans="1:18" x14ac:dyDescent="0.25">
      <c r="A1525" s="170">
        <v>44249</v>
      </c>
      <c r="B1525" s="116">
        <v>11.47</v>
      </c>
      <c r="C1525" s="116">
        <v>11.15</v>
      </c>
      <c r="D1525" s="116">
        <v>10.98</v>
      </c>
      <c r="E1525" s="116">
        <v>11.24</v>
      </c>
      <c r="F1525" s="116">
        <v>55.75</v>
      </c>
      <c r="G1525">
        <v>799233</v>
      </c>
      <c r="H1525" s="116"/>
      <c r="I1525" s="116"/>
      <c r="L1525" s="170">
        <v>44249</v>
      </c>
      <c r="M1525" s="116">
        <v>11.1</v>
      </c>
      <c r="N1525" s="116">
        <v>11.47</v>
      </c>
      <c r="O1525" s="116">
        <v>10.97</v>
      </c>
      <c r="P1525" s="116">
        <v>11.2</v>
      </c>
      <c r="Q1525" s="116">
        <v>55.5</v>
      </c>
      <c r="R1525">
        <v>8075120</v>
      </c>
    </row>
    <row r="1526" spans="1:18" x14ac:dyDescent="0.25">
      <c r="A1526" s="170">
        <v>44250</v>
      </c>
      <c r="B1526" s="116">
        <v>11.33</v>
      </c>
      <c r="C1526" s="116">
        <v>11.06</v>
      </c>
      <c r="D1526" s="116">
        <v>10.98</v>
      </c>
      <c r="E1526" s="116">
        <v>11.23</v>
      </c>
      <c r="F1526" s="116">
        <v>55.3</v>
      </c>
      <c r="G1526">
        <v>669975</v>
      </c>
      <c r="H1526" s="116"/>
      <c r="I1526" s="116"/>
      <c r="L1526" s="170">
        <v>44250</v>
      </c>
      <c r="M1526" s="116">
        <v>11.06</v>
      </c>
      <c r="N1526" s="116">
        <v>11.33</v>
      </c>
      <c r="O1526" s="116">
        <v>10.99</v>
      </c>
      <c r="P1526" s="116">
        <v>11.18</v>
      </c>
      <c r="Q1526" s="116">
        <v>55.3</v>
      </c>
      <c r="R1526">
        <v>5327401</v>
      </c>
    </row>
    <row r="1527" spans="1:18" x14ac:dyDescent="0.25">
      <c r="A1527" s="170">
        <v>44251</v>
      </c>
      <c r="B1527" s="116">
        <v>11.24</v>
      </c>
      <c r="C1527" s="116">
        <v>11.06</v>
      </c>
      <c r="D1527" s="116">
        <v>10.98</v>
      </c>
      <c r="E1527" s="116">
        <v>11.04</v>
      </c>
      <c r="F1527" s="116">
        <v>55.3</v>
      </c>
      <c r="G1527">
        <v>625058</v>
      </c>
      <c r="H1527" s="116"/>
      <c r="I1527" s="116"/>
      <c r="L1527" s="170">
        <v>44251</v>
      </c>
      <c r="M1527" s="116">
        <v>11.05</v>
      </c>
      <c r="N1527" s="116">
        <v>11.25</v>
      </c>
      <c r="O1527" s="116">
        <v>11.01</v>
      </c>
      <c r="P1527" s="116">
        <v>11.14</v>
      </c>
      <c r="Q1527" s="116">
        <v>55.25</v>
      </c>
      <c r="R1527">
        <v>2874207</v>
      </c>
    </row>
    <row r="1528" spans="1:18" x14ac:dyDescent="0.25">
      <c r="A1528" s="170">
        <v>44252</v>
      </c>
      <c r="B1528" s="116">
        <v>11.44</v>
      </c>
      <c r="C1528" s="116">
        <v>11.3</v>
      </c>
      <c r="D1528" s="116">
        <v>11.1</v>
      </c>
      <c r="E1528" s="116">
        <v>11.19</v>
      </c>
      <c r="F1528" s="116">
        <v>56.5</v>
      </c>
      <c r="G1528">
        <v>1222176</v>
      </c>
      <c r="H1528" s="116"/>
      <c r="I1528" s="116"/>
      <c r="L1528" s="170">
        <v>44252</v>
      </c>
      <c r="M1528" s="116">
        <v>11.3</v>
      </c>
      <c r="N1528" s="116">
        <v>11.45</v>
      </c>
      <c r="O1528" s="116">
        <v>11.1</v>
      </c>
      <c r="P1528" s="116">
        <v>11.16</v>
      </c>
      <c r="Q1528" s="116">
        <v>56.5</v>
      </c>
      <c r="R1528">
        <v>9600214</v>
      </c>
    </row>
    <row r="1529" spans="1:18" x14ac:dyDescent="0.25">
      <c r="A1529" s="170">
        <v>44253</v>
      </c>
      <c r="B1529" s="116">
        <v>11.24</v>
      </c>
      <c r="C1529" s="116">
        <v>11.05</v>
      </c>
      <c r="D1529" s="116">
        <v>11</v>
      </c>
      <c r="E1529" s="116">
        <v>11.2</v>
      </c>
      <c r="F1529" s="116">
        <v>55.25</v>
      </c>
      <c r="G1529">
        <v>427368</v>
      </c>
      <c r="H1529" s="116"/>
      <c r="I1529" s="116"/>
      <c r="L1529" s="170">
        <v>44253</v>
      </c>
      <c r="M1529" s="116">
        <v>11.04</v>
      </c>
      <c r="N1529" s="116">
        <v>11.25</v>
      </c>
      <c r="O1529" s="116">
        <v>11.01</v>
      </c>
      <c r="P1529" s="116">
        <v>11.18</v>
      </c>
      <c r="Q1529" s="116">
        <v>55.2</v>
      </c>
      <c r="R1529">
        <v>5637928</v>
      </c>
    </row>
    <row r="1530" spans="1:18" x14ac:dyDescent="0.25">
      <c r="A1530" s="170">
        <v>44256</v>
      </c>
      <c r="B1530" s="116">
        <v>11.3</v>
      </c>
      <c r="C1530" s="116">
        <v>11.14</v>
      </c>
      <c r="D1530" s="116">
        <v>11.09</v>
      </c>
      <c r="E1530" s="116">
        <v>11.2</v>
      </c>
      <c r="F1530" s="116">
        <v>55.7</v>
      </c>
      <c r="G1530">
        <v>733043</v>
      </c>
      <c r="H1530" s="116"/>
      <c r="I1530" s="116"/>
      <c r="L1530" s="170">
        <v>44256</v>
      </c>
      <c r="M1530" s="116">
        <v>11.15</v>
      </c>
      <c r="N1530" s="116">
        <v>11.3</v>
      </c>
      <c r="O1530" s="116">
        <v>11.08</v>
      </c>
      <c r="P1530" s="116">
        <v>11.17</v>
      </c>
      <c r="Q1530" s="116">
        <v>55.75</v>
      </c>
      <c r="R1530">
        <v>4632559</v>
      </c>
    </row>
    <row r="1531" spans="1:18" x14ac:dyDescent="0.25">
      <c r="A1531" s="170">
        <v>44257</v>
      </c>
      <c r="B1531" s="116">
        <v>12.25</v>
      </c>
      <c r="C1531" s="116">
        <v>12.25</v>
      </c>
      <c r="D1531" s="116">
        <v>11.21</v>
      </c>
      <c r="E1531" s="116">
        <v>11.22</v>
      </c>
      <c r="F1531" s="116">
        <v>61.25</v>
      </c>
      <c r="G1531">
        <v>2996648</v>
      </c>
      <c r="H1531" s="116"/>
      <c r="I1531" s="116"/>
      <c r="L1531" s="170">
        <v>44257</v>
      </c>
      <c r="M1531" s="116">
        <v>12.26</v>
      </c>
      <c r="N1531" s="116">
        <v>12.26</v>
      </c>
      <c r="O1531" s="116">
        <v>11.22</v>
      </c>
      <c r="P1531" s="116">
        <v>11.25</v>
      </c>
      <c r="Q1531" s="116">
        <v>61.3</v>
      </c>
      <c r="R1531">
        <v>33280011</v>
      </c>
    </row>
    <row r="1532" spans="1:18" x14ac:dyDescent="0.25">
      <c r="A1532" s="170">
        <v>44258</v>
      </c>
      <c r="B1532" s="116">
        <v>13.32</v>
      </c>
      <c r="C1532" s="116">
        <v>12.99</v>
      </c>
      <c r="D1532" s="116">
        <v>12.7</v>
      </c>
      <c r="E1532" s="116">
        <v>12.77</v>
      </c>
      <c r="F1532" s="116">
        <v>64.95</v>
      </c>
      <c r="G1532">
        <v>3123829</v>
      </c>
      <c r="H1532" s="116"/>
      <c r="I1532" s="116"/>
      <c r="L1532" s="170">
        <v>44258</v>
      </c>
      <c r="M1532" s="116">
        <v>12.98</v>
      </c>
      <c r="N1532" s="116">
        <v>13.33</v>
      </c>
      <c r="O1532" s="116">
        <v>12.65</v>
      </c>
      <c r="P1532" s="116">
        <v>12.8</v>
      </c>
      <c r="Q1532" s="116">
        <v>64.900000000000006</v>
      </c>
      <c r="R1532">
        <v>37166788</v>
      </c>
    </row>
    <row r="1533" spans="1:18" x14ac:dyDescent="0.25">
      <c r="A1533" s="170">
        <v>44259</v>
      </c>
      <c r="B1533" s="116">
        <v>14.28</v>
      </c>
      <c r="C1533" s="116">
        <v>14.28</v>
      </c>
      <c r="D1533" s="116">
        <v>12.48</v>
      </c>
      <c r="E1533" s="116">
        <v>12.97</v>
      </c>
      <c r="F1533" s="116">
        <v>71.400000000000006</v>
      </c>
      <c r="G1533">
        <v>4564089</v>
      </c>
      <c r="H1533" s="116"/>
      <c r="I1533" s="116"/>
      <c r="L1533" s="170">
        <v>44259</v>
      </c>
      <c r="M1533" s="116">
        <v>14.27</v>
      </c>
      <c r="N1533" s="116">
        <v>14.27</v>
      </c>
      <c r="O1533" s="116">
        <v>12.64</v>
      </c>
      <c r="P1533" s="116">
        <v>12.74</v>
      </c>
      <c r="Q1533" s="116">
        <v>71.349999999999994</v>
      </c>
      <c r="R1533">
        <v>29096275</v>
      </c>
    </row>
    <row r="1534" spans="1:18" x14ac:dyDescent="0.25">
      <c r="A1534" s="170">
        <v>44260</v>
      </c>
      <c r="B1534" s="116">
        <v>14.99</v>
      </c>
      <c r="C1534" s="116">
        <v>14.89</v>
      </c>
      <c r="D1534" s="116">
        <v>13.64</v>
      </c>
      <c r="E1534" s="116">
        <v>14.62</v>
      </c>
      <c r="F1534" s="116">
        <v>74.45</v>
      </c>
      <c r="G1534">
        <v>8566348</v>
      </c>
      <c r="H1534" s="116"/>
      <c r="I1534" s="116"/>
      <c r="L1534" s="170">
        <v>44260</v>
      </c>
      <c r="M1534" s="116">
        <v>14.87</v>
      </c>
      <c r="N1534" s="116">
        <v>14.98</v>
      </c>
      <c r="O1534" s="116">
        <v>13.65</v>
      </c>
      <c r="P1534" s="116">
        <v>14.6</v>
      </c>
      <c r="Q1534" s="116">
        <v>74.349999999999994</v>
      </c>
      <c r="R1534">
        <v>52415895</v>
      </c>
    </row>
    <row r="1535" spans="1:18" x14ac:dyDescent="0.25">
      <c r="A1535" s="170">
        <v>44263</v>
      </c>
      <c r="B1535" s="116">
        <v>15.63</v>
      </c>
      <c r="C1535" s="116">
        <v>15.63</v>
      </c>
      <c r="D1535" s="116">
        <v>15.2</v>
      </c>
      <c r="E1535" s="116">
        <v>15.29</v>
      </c>
      <c r="F1535" s="116">
        <v>78.150000000000006</v>
      </c>
      <c r="G1535">
        <v>1719803</v>
      </c>
      <c r="H1535" s="116"/>
      <c r="I1535" s="116"/>
      <c r="L1535" s="170">
        <v>44263</v>
      </c>
      <c r="M1535" s="116">
        <v>15.61</v>
      </c>
      <c r="N1535" s="116">
        <v>15.61</v>
      </c>
      <c r="O1535" s="116">
        <v>15.2</v>
      </c>
      <c r="P1535" s="116">
        <v>15.27</v>
      </c>
      <c r="Q1535" s="116">
        <v>78.05</v>
      </c>
      <c r="R1535">
        <v>8994128</v>
      </c>
    </row>
    <row r="1536" spans="1:18" x14ac:dyDescent="0.25">
      <c r="A1536" s="170">
        <v>44264</v>
      </c>
      <c r="B1536" s="116">
        <v>16.41</v>
      </c>
      <c r="C1536" s="116">
        <v>16.39</v>
      </c>
      <c r="D1536" s="116">
        <v>15.2</v>
      </c>
      <c r="E1536" s="116">
        <v>16.41</v>
      </c>
      <c r="F1536" s="116">
        <v>81.95</v>
      </c>
      <c r="G1536">
        <v>9043631</v>
      </c>
      <c r="H1536" s="116"/>
      <c r="I1536" s="116"/>
      <c r="L1536" s="170">
        <v>44264</v>
      </c>
      <c r="M1536" s="116">
        <v>16.37</v>
      </c>
      <c r="N1536" s="116">
        <v>16.39</v>
      </c>
      <c r="O1536" s="116">
        <v>15.22</v>
      </c>
      <c r="P1536" s="116">
        <v>16.36</v>
      </c>
      <c r="Q1536" s="116">
        <v>81.849999999999994</v>
      </c>
      <c r="R1536">
        <v>55769672</v>
      </c>
    </row>
    <row r="1537" spans="1:18" x14ac:dyDescent="0.25">
      <c r="A1537" s="170">
        <v>44265</v>
      </c>
      <c r="B1537" s="116">
        <v>16.86</v>
      </c>
      <c r="C1537" s="116">
        <v>15.58</v>
      </c>
      <c r="D1537" s="116">
        <v>15.58</v>
      </c>
      <c r="E1537" s="116">
        <v>16.8</v>
      </c>
      <c r="F1537" s="116">
        <v>77.900000000000006</v>
      </c>
      <c r="G1537">
        <v>4148715</v>
      </c>
      <c r="H1537" s="116"/>
      <c r="I1537" s="116"/>
      <c r="L1537" s="170">
        <v>44265</v>
      </c>
      <c r="M1537" s="116">
        <v>15.56</v>
      </c>
      <c r="N1537" s="116">
        <v>16.87</v>
      </c>
      <c r="O1537" s="116">
        <v>15.56</v>
      </c>
      <c r="P1537" s="116">
        <v>16.600000000000001</v>
      </c>
      <c r="Q1537" s="116">
        <v>77.8</v>
      </c>
      <c r="R1537">
        <v>32046833</v>
      </c>
    </row>
    <row r="1538" spans="1:18" x14ac:dyDescent="0.25">
      <c r="A1538" s="170">
        <v>44267</v>
      </c>
      <c r="B1538" s="116">
        <v>15.86</v>
      </c>
      <c r="C1538" s="116">
        <v>15.1</v>
      </c>
      <c r="D1538" s="116">
        <v>14.81</v>
      </c>
      <c r="E1538" s="116">
        <v>15</v>
      </c>
      <c r="F1538" s="116">
        <v>75.5</v>
      </c>
      <c r="G1538">
        <v>5526751</v>
      </c>
      <c r="H1538" s="116"/>
      <c r="I1538" s="116"/>
      <c r="L1538" s="170">
        <v>44267</v>
      </c>
      <c r="M1538" s="116">
        <v>15.11</v>
      </c>
      <c r="N1538" s="116">
        <v>15.86</v>
      </c>
      <c r="O1538" s="116">
        <v>14.79</v>
      </c>
      <c r="P1538" s="116">
        <v>15.1</v>
      </c>
      <c r="Q1538" s="116">
        <v>75.55</v>
      </c>
      <c r="R1538">
        <v>38391001</v>
      </c>
    </row>
    <row r="1539" spans="1:18" x14ac:dyDescent="0.25">
      <c r="A1539" s="170">
        <v>44270</v>
      </c>
      <c r="B1539" s="116">
        <v>15.85</v>
      </c>
      <c r="C1539" s="116">
        <v>15.85</v>
      </c>
      <c r="D1539" s="116">
        <v>14.82</v>
      </c>
      <c r="E1539" s="116">
        <v>15.52</v>
      </c>
      <c r="F1539" s="116">
        <v>79.25</v>
      </c>
      <c r="G1539">
        <v>2324099</v>
      </c>
      <c r="H1539" s="116"/>
      <c r="I1539" s="116"/>
      <c r="L1539" s="170">
        <v>44270</v>
      </c>
      <c r="M1539" s="116">
        <v>15.86</v>
      </c>
      <c r="N1539" s="116">
        <v>15.86</v>
      </c>
      <c r="O1539" s="116">
        <v>14.82</v>
      </c>
      <c r="P1539" s="116">
        <v>15.4</v>
      </c>
      <c r="Q1539" s="116">
        <v>79.3</v>
      </c>
      <c r="R1539">
        <v>24477736</v>
      </c>
    </row>
    <row r="1540" spans="1:18" x14ac:dyDescent="0.25">
      <c r="A1540" s="170">
        <v>44271</v>
      </c>
      <c r="B1540" s="116">
        <v>16.64</v>
      </c>
      <c r="C1540" s="116">
        <v>16.61</v>
      </c>
      <c r="D1540" s="116">
        <v>16</v>
      </c>
      <c r="E1540" s="116">
        <v>16.28</v>
      </c>
      <c r="F1540" s="116">
        <v>83.05</v>
      </c>
      <c r="G1540">
        <v>2756344</v>
      </c>
      <c r="H1540" s="116"/>
      <c r="I1540" s="116"/>
      <c r="L1540" s="170">
        <v>44271</v>
      </c>
      <c r="M1540" s="116">
        <v>16.62</v>
      </c>
      <c r="N1540" s="116">
        <v>16.649999999999999</v>
      </c>
      <c r="O1540" s="116">
        <v>16</v>
      </c>
      <c r="P1540" s="116">
        <v>16.3</v>
      </c>
      <c r="Q1540" s="116">
        <v>83.1</v>
      </c>
      <c r="R1540">
        <v>33636791</v>
      </c>
    </row>
    <row r="1541" spans="1:18" x14ac:dyDescent="0.25">
      <c r="A1541" s="170">
        <v>44272</v>
      </c>
      <c r="B1541" s="116">
        <v>17.440000000000001</v>
      </c>
      <c r="C1541" s="116">
        <v>17.43</v>
      </c>
      <c r="D1541" s="116">
        <v>16.8</v>
      </c>
      <c r="E1541" s="116">
        <v>17</v>
      </c>
      <c r="F1541" s="116">
        <v>87.15</v>
      </c>
      <c r="G1541">
        <v>4103404</v>
      </c>
      <c r="H1541" s="116"/>
      <c r="I1541" s="116"/>
      <c r="L1541" s="170">
        <v>44272</v>
      </c>
      <c r="M1541" s="116">
        <v>17.440000000000001</v>
      </c>
      <c r="N1541" s="116">
        <v>17.45</v>
      </c>
      <c r="O1541" s="116">
        <v>16.809999999999999</v>
      </c>
      <c r="P1541" s="116">
        <v>16.88</v>
      </c>
      <c r="Q1541" s="116">
        <v>87.2</v>
      </c>
      <c r="R1541">
        <v>39254374</v>
      </c>
    </row>
    <row r="1542" spans="1:18" x14ac:dyDescent="0.25">
      <c r="A1542" s="170">
        <v>44273</v>
      </c>
      <c r="B1542" s="116">
        <v>18.3</v>
      </c>
      <c r="C1542" s="116">
        <v>17.829999999999998</v>
      </c>
      <c r="D1542" s="116">
        <v>17.11</v>
      </c>
      <c r="E1542" s="116">
        <v>18</v>
      </c>
      <c r="F1542" s="116">
        <v>89.15</v>
      </c>
      <c r="G1542">
        <v>3861445</v>
      </c>
      <c r="H1542" s="116"/>
      <c r="I1542" s="116"/>
      <c r="L1542" s="170">
        <v>44273</v>
      </c>
      <c r="M1542" s="116">
        <v>17.850000000000001</v>
      </c>
      <c r="N1542" s="116">
        <v>18.28</v>
      </c>
      <c r="O1542" s="116">
        <v>17.100000000000001</v>
      </c>
      <c r="P1542" s="116">
        <v>18.07</v>
      </c>
      <c r="Q1542" s="116">
        <v>89.25</v>
      </c>
      <c r="R1542">
        <v>49924318</v>
      </c>
    </row>
    <row r="1543" spans="1:18" x14ac:dyDescent="0.25">
      <c r="A1543" s="170">
        <v>44274</v>
      </c>
      <c r="B1543" s="116">
        <v>18.61</v>
      </c>
      <c r="C1543" s="116">
        <v>18.45</v>
      </c>
      <c r="D1543" s="116">
        <v>16.940000000000001</v>
      </c>
      <c r="E1543" s="116">
        <v>17.63</v>
      </c>
      <c r="F1543" s="116">
        <v>92.25</v>
      </c>
      <c r="G1543">
        <v>3462410</v>
      </c>
      <c r="H1543" s="116"/>
      <c r="I1543" s="116"/>
      <c r="L1543" s="170">
        <v>44274</v>
      </c>
      <c r="M1543" s="116">
        <v>18.440000000000001</v>
      </c>
      <c r="N1543" s="116">
        <v>18.600000000000001</v>
      </c>
      <c r="O1543" s="116">
        <v>16.96</v>
      </c>
      <c r="P1543" s="116">
        <v>17.600000000000001</v>
      </c>
      <c r="Q1543" s="116">
        <v>92.2</v>
      </c>
      <c r="R1543">
        <v>40856831</v>
      </c>
    </row>
    <row r="1544" spans="1:18" x14ac:dyDescent="0.25">
      <c r="A1544" s="170">
        <v>44277</v>
      </c>
      <c r="B1544" s="116">
        <v>19.37</v>
      </c>
      <c r="C1544" s="116">
        <v>19.37</v>
      </c>
      <c r="D1544" s="116">
        <v>18.600000000000001</v>
      </c>
      <c r="E1544" s="116">
        <v>18.600000000000001</v>
      </c>
      <c r="F1544" s="116">
        <v>96.85</v>
      </c>
      <c r="G1544">
        <v>4614165</v>
      </c>
      <c r="H1544" s="116"/>
      <c r="I1544" s="116"/>
      <c r="L1544" s="170">
        <v>44277</v>
      </c>
      <c r="M1544" s="116">
        <v>19.36</v>
      </c>
      <c r="N1544" s="116">
        <v>19.36</v>
      </c>
      <c r="O1544" s="116">
        <v>18.7</v>
      </c>
      <c r="P1544" s="116">
        <v>18.7</v>
      </c>
      <c r="Q1544" s="116">
        <v>96.8</v>
      </c>
      <c r="R1544">
        <v>26846097</v>
      </c>
    </row>
    <row r="1545" spans="1:18" x14ac:dyDescent="0.25">
      <c r="A1545" s="170">
        <v>44278</v>
      </c>
      <c r="B1545" s="116">
        <v>20.329999999999998</v>
      </c>
      <c r="C1545" s="116">
        <v>20.329999999999998</v>
      </c>
      <c r="D1545" s="116">
        <v>20.02</v>
      </c>
      <c r="E1545" s="116">
        <v>20.329999999999998</v>
      </c>
      <c r="F1545" s="116">
        <v>101.65</v>
      </c>
      <c r="G1545">
        <v>2208253</v>
      </c>
      <c r="H1545" s="116"/>
      <c r="I1545" s="116"/>
      <c r="L1545" s="170">
        <v>44278</v>
      </c>
      <c r="M1545" s="116">
        <v>20.32</v>
      </c>
      <c r="N1545" s="116">
        <v>20.32</v>
      </c>
      <c r="O1545" s="116">
        <v>20</v>
      </c>
      <c r="P1545" s="116">
        <v>20.32</v>
      </c>
      <c r="Q1545" s="116">
        <v>101.6</v>
      </c>
      <c r="R1545">
        <v>10903571</v>
      </c>
    </row>
    <row r="1546" spans="1:18" x14ac:dyDescent="0.25">
      <c r="A1546" s="170">
        <v>44279</v>
      </c>
      <c r="B1546" s="116">
        <v>21.34</v>
      </c>
      <c r="C1546" s="116">
        <v>20.87</v>
      </c>
      <c r="D1546" s="116">
        <v>19.899999999999999</v>
      </c>
      <c r="E1546" s="116">
        <v>21.16</v>
      </c>
      <c r="F1546" s="116">
        <v>104.35</v>
      </c>
      <c r="G1546">
        <v>4353483</v>
      </c>
      <c r="H1546" s="116"/>
      <c r="I1546" s="116"/>
      <c r="L1546" s="170">
        <v>44279</v>
      </c>
      <c r="M1546" s="116">
        <v>20.87</v>
      </c>
      <c r="N1546" s="116">
        <v>21.33</v>
      </c>
      <c r="O1546" s="116">
        <v>19.91</v>
      </c>
      <c r="P1546" s="116">
        <v>21.18</v>
      </c>
      <c r="Q1546" s="116">
        <v>104.35</v>
      </c>
      <c r="R1546">
        <v>23899912</v>
      </c>
    </row>
    <row r="1547" spans="1:18" x14ac:dyDescent="0.25">
      <c r="A1547" s="170">
        <v>44280</v>
      </c>
      <c r="B1547" s="116">
        <v>21.8</v>
      </c>
      <c r="C1547" s="116">
        <v>19.829999999999998</v>
      </c>
      <c r="D1547" s="116">
        <v>19.829999999999998</v>
      </c>
      <c r="E1547" s="116">
        <v>21.11</v>
      </c>
      <c r="F1547" s="116">
        <v>99.15</v>
      </c>
      <c r="G1547">
        <v>3120714</v>
      </c>
      <c r="H1547" s="116"/>
      <c r="I1547" s="116"/>
      <c r="L1547" s="170">
        <v>44280</v>
      </c>
      <c r="M1547" s="116">
        <v>19.829999999999998</v>
      </c>
      <c r="N1547" s="116">
        <v>21.74</v>
      </c>
      <c r="O1547" s="116">
        <v>19.829999999999998</v>
      </c>
      <c r="P1547" s="116">
        <v>21.08</v>
      </c>
      <c r="Q1547" s="116">
        <v>99.15</v>
      </c>
      <c r="R1547">
        <v>48575495</v>
      </c>
    </row>
    <row r="1548" spans="1:18" x14ac:dyDescent="0.25">
      <c r="A1548" s="170">
        <v>44281</v>
      </c>
      <c r="B1548" s="116">
        <v>20.6</v>
      </c>
      <c r="C1548" s="116">
        <v>18.84</v>
      </c>
      <c r="D1548" s="116">
        <v>18.84</v>
      </c>
      <c r="E1548" s="116">
        <v>19.88</v>
      </c>
      <c r="F1548" s="116">
        <v>94.2</v>
      </c>
      <c r="G1548">
        <v>1685881</v>
      </c>
      <c r="H1548" s="116"/>
      <c r="I1548" s="116"/>
      <c r="L1548" s="170">
        <v>44281</v>
      </c>
      <c r="M1548" s="116">
        <v>18.84</v>
      </c>
      <c r="N1548" s="116">
        <v>20.6</v>
      </c>
      <c r="O1548" s="116">
        <v>18.84</v>
      </c>
      <c r="P1548" s="116">
        <v>19.84</v>
      </c>
      <c r="Q1548" s="116">
        <v>94.2</v>
      </c>
      <c r="R1548">
        <v>28056328</v>
      </c>
    </row>
    <row r="1549" spans="1:18" x14ac:dyDescent="0.25">
      <c r="A1549" s="170">
        <v>44285</v>
      </c>
      <c r="B1549" s="116">
        <v>19.2</v>
      </c>
      <c r="C1549" s="116">
        <v>17.899999999999999</v>
      </c>
      <c r="D1549" s="116">
        <v>17.899999999999999</v>
      </c>
      <c r="E1549" s="116">
        <v>19</v>
      </c>
      <c r="F1549" s="116">
        <v>89.5</v>
      </c>
      <c r="G1549">
        <v>1443103</v>
      </c>
      <c r="H1549" s="116"/>
      <c r="I1549" s="116"/>
      <c r="L1549" s="170">
        <v>44285</v>
      </c>
      <c r="M1549" s="116">
        <v>17.899999999999999</v>
      </c>
      <c r="N1549" s="116">
        <v>19.11</v>
      </c>
      <c r="O1549" s="116">
        <v>17.899999999999999</v>
      </c>
      <c r="P1549" s="116">
        <v>19</v>
      </c>
      <c r="Q1549" s="116">
        <v>89.5</v>
      </c>
      <c r="R1549">
        <v>22501268</v>
      </c>
    </row>
    <row r="1550" spans="1:18" x14ac:dyDescent="0.25">
      <c r="A1550" s="170">
        <v>44286</v>
      </c>
      <c r="B1550" s="116">
        <v>17.600000000000001</v>
      </c>
      <c r="C1550" s="116">
        <v>17.010000000000002</v>
      </c>
      <c r="D1550" s="116">
        <v>17.010000000000002</v>
      </c>
      <c r="E1550" s="116">
        <v>17.25</v>
      </c>
      <c r="F1550" s="116">
        <v>85.05</v>
      </c>
      <c r="G1550">
        <v>911103</v>
      </c>
      <c r="H1550" s="116"/>
      <c r="I1550" s="116"/>
      <c r="L1550" s="170">
        <v>44286</v>
      </c>
      <c r="M1550" s="116">
        <v>17.010000000000002</v>
      </c>
      <c r="N1550" s="116">
        <v>17.54</v>
      </c>
      <c r="O1550" s="116">
        <v>17.010000000000002</v>
      </c>
      <c r="P1550" s="116">
        <v>17.23</v>
      </c>
      <c r="Q1550" s="116">
        <v>85.05</v>
      </c>
      <c r="R1550">
        <v>15893871</v>
      </c>
    </row>
    <row r="1551" spans="1:18" x14ac:dyDescent="0.25">
      <c r="A1551" s="170">
        <v>44287</v>
      </c>
      <c r="B1551" s="116">
        <v>17.86</v>
      </c>
      <c r="C1551" s="116">
        <v>17.86</v>
      </c>
      <c r="D1551" s="116">
        <v>16.27</v>
      </c>
      <c r="E1551" s="116">
        <v>16.61</v>
      </c>
      <c r="F1551" s="116">
        <v>89.3</v>
      </c>
      <c r="G1551">
        <v>2444303</v>
      </c>
      <c r="H1551" s="116"/>
      <c r="I1551" s="116"/>
      <c r="L1551" s="170">
        <v>44287</v>
      </c>
      <c r="M1551" s="116">
        <v>17.86</v>
      </c>
      <c r="N1551" s="116">
        <v>17.86</v>
      </c>
      <c r="O1551" s="116">
        <v>16.27</v>
      </c>
      <c r="P1551" s="116">
        <v>16.64</v>
      </c>
      <c r="Q1551" s="116">
        <v>89.3</v>
      </c>
      <c r="R1551">
        <v>43478357</v>
      </c>
    </row>
    <row r="1552" spans="1:18" x14ac:dyDescent="0.25">
      <c r="A1552" s="170">
        <v>44291</v>
      </c>
      <c r="B1552" s="116">
        <v>18.75</v>
      </c>
      <c r="C1552" s="116">
        <v>18.75</v>
      </c>
      <c r="D1552" s="116">
        <v>17.86</v>
      </c>
      <c r="E1552" s="116">
        <v>18.46</v>
      </c>
      <c r="F1552" s="116">
        <v>93.75</v>
      </c>
      <c r="G1552">
        <v>1987020</v>
      </c>
      <c r="H1552" s="116"/>
      <c r="I1552" s="116"/>
      <c r="L1552" s="170">
        <v>44291</v>
      </c>
      <c r="M1552" s="116">
        <v>18.75</v>
      </c>
      <c r="N1552" s="116">
        <v>18.75</v>
      </c>
      <c r="O1552" s="116">
        <v>17.84</v>
      </c>
      <c r="P1552" s="116">
        <v>18.48</v>
      </c>
      <c r="Q1552" s="116">
        <v>93.75</v>
      </c>
      <c r="R1552">
        <v>26119543</v>
      </c>
    </row>
    <row r="1553" spans="1:18" x14ac:dyDescent="0.25">
      <c r="A1553" s="170">
        <v>44292</v>
      </c>
      <c r="B1553" s="116">
        <v>19.68</v>
      </c>
      <c r="C1553" s="116">
        <v>19.68</v>
      </c>
      <c r="D1553" s="116">
        <v>19.5</v>
      </c>
      <c r="E1553" s="116">
        <v>19.68</v>
      </c>
      <c r="F1553" s="116">
        <v>98.4</v>
      </c>
      <c r="G1553">
        <v>763063</v>
      </c>
      <c r="H1553" s="116"/>
      <c r="I1553" s="116"/>
      <c r="L1553" s="170">
        <v>44292</v>
      </c>
      <c r="M1553" s="116">
        <v>19.68</v>
      </c>
      <c r="N1553" s="116">
        <v>19.68</v>
      </c>
      <c r="O1553" s="116">
        <v>19.5</v>
      </c>
      <c r="P1553" s="116">
        <v>19.579999999999998</v>
      </c>
      <c r="Q1553" s="116">
        <v>98.4</v>
      </c>
      <c r="R1553">
        <v>3367192</v>
      </c>
    </row>
    <row r="1554" spans="1:18" x14ac:dyDescent="0.25">
      <c r="A1554" s="170">
        <v>44293</v>
      </c>
      <c r="B1554" s="116">
        <v>20.66</v>
      </c>
      <c r="C1554" s="116">
        <v>19.989999999999998</v>
      </c>
      <c r="D1554" s="116">
        <v>19.100000000000001</v>
      </c>
      <c r="E1554" s="116">
        <v>20.66</v>
      </c>
      <c r="F1554" s="116">
        <v>99.95</v>
      </c>
      <c r="G1554">
        <v>8672849</v>
      </c>
      <c r="H1554" s="116"/>
      <c r="I1554" s="116"/>
      <c r="L1554" s="170">
        <v>44293</v>
      </c>
      <c r="M1554" s="116">
        <v>19.989999999999998</v>
      </c>
      <c r="N1554" s="116">
        <v>20.66</v>
      </c>
      <c r="O1554" s="116">
        <v>19.100000000000001</v>
      </c>
      <c r="P1554" s="116">
        <v>20.66</v>
      </c>
      <c r="Q1554" s="116">
        <v>99.95</v>
      </c>
      <c r="R1554">
        <v>60992792</v>
      </c>
    </row>
    <row r="1555" spans="1:18" x14ac:dyDescent="0.25">
      <c r="A1555" s="170">
        <v>44294</v>
      </c>
      <c r="B1555" s="116">
        <v>20.39</v>
      </c>
      <c r="C1555" s="116">
        <v>19.48</v>
      </c>
      <c r="D1555" s="116">
        <v>19.399999999999999</v>
      </c>
      <c r="E1555" s="116">
        <v>20.11</v>
      </c>
      <c r="F1555" s="116">
        <v>97.4</v>
      </c>
      <c r="G1555">
        <v>3178505</v>
      </c>
      <c r="H1555" s="116"/>
      <c r="I1555" s="116"/>
      <c r="L1555" s="170">
        <v>44294</v>
      </c>
      <c r="M1555" s="116">
        <v>19.48</v>
      </c>
      <c r="N1555" s="116">
        <v>20.399999999999999</v>
      </c>
      <c r="O1555" s="116">
        <v>19.36</v>
      </c>
      <c r="P1555" s="116">
        <v>20.12</v>
      </c>
      <c r="Q1555" s="116">
        <v>97.4</v>
      </c>
      <c r="R1555">
        <v>19905893</v>
      </c>
    </row>
    <row r="1556" spans="1:18" x14ac:dyDescent="0.25">
      <c r="A1556" s="170">
        <v>44295</v>
      </c>
      <c r="B1556" s="116">
        <v>19.940000000000001</v>
      </c>
      <c r="C1556" s="116">
        <v>19.55</v>
      </c>
      <c r="D1556" s="116">
        <v>18.8</v>
      </c>
      <c r="E1556" s="116">
        <v>19.399999999999999</v>
      </c>
      <c r="F1556" s="116">
        <v>97.75</v>
      </c>
      <c r="G1556">
        <v>2592479</v>
      </c>
      <c r="H1556" s="116"/>
      <c r="I1556" s="116"/>
      <c r="L1556" s="170">
        <v>44295</v>
      </c>
      <c r="M1556" s="116">
        <v>19.53</v>
      </c>
      <c r="N1556" s="116">
        <v>19.96</v>
      </c>
      <c r="O1556" s="116">
        <v>18.920000000000002</v>
      </c>
      <c r="P1556" s="116">
        <v>19.48</v>
      </c>
      <c r="Q1556" s="116">
        <v>97.65</v>
      </c>
      <c r="R1556">
        <v>18604791</v>
      </c>
    </row>
    <row r="1557" spans="1:18" x14ac:dyDescent="0.25">
      <c r="A1557" s="170">
        <v>44298</v>
      </c>
      <c r="B1557" s="116">
        <v>18.86</v>
      </c>
      <c r="C1557" s="116">
        <v>18.579999999999998</v>
      </c>
      <c r="D1557" s="116">
        <v>18.579999999999998</v>
      </c>
      <c r="E1557" s="116">
        <v>18.600000000000001</v>
      </c>
      <c r="F1557" s="116">
        <v>92.9</v>
      </c>
      <c r="G1557">
        <v>2332217</v>
      </c>
      <c r="H1557" s="116"/>
      <c r="I1557" s="116"/>
      <c r="L1557" s="170">
        <v>44298</v>
      </c>
      <c r="M1557" s="116">
        <v>18.559999999999999</v>
      </c>
      <c r="N1557" s="116">
        <v>18.88</v>
      </c>
      <c r="O1557" s="116">
        <v>18.559999999999999</v>
      </c>
      <c r="P1557" s="116">
        <v>18.88</v>
      </c>
      <c r="Q1557" s="116">
        <v>92.8</v>
      </c>
      <c r="R1557">
        <v>15853703</v>
      </c>
    </row>
    <row r="1558" spans="1:18" x14ac:dyDescent="0.25">
      <c r="A1558" s="170">
        <v>44299</v>
      </c>
      <c r="B1558" s="116">
        <v>18.98</v>
      </c>
      <c r="C1558" s="116">
        <v>18.07</v>
      </c>
      <c r="D1558" s="116">
        <v>17.66</v>
      </c>
      <c r="E1558" s="116">
        <v>17.82</v>
      </c>
      <c r="F1558" s="116">
        <v>90.35</v>
      </c>
      <c r="G1558">
        <v>4065625</v>
      </c>
      <c r="H1558" s="116"/>
      <c r="I1558" s="116"/>
      <c r="L1558" s="170">
        <v>44299</v>
      </c>
      <c r="M1558" s="116">
        <v>18.12</v>
      </c>
      <c r="N1558" s="116">
        <v>19</v>
      </c>
      <c r="O1558" s="116">
        <v>17.66</v>
      </c>
      <c r="P1558" s="116">
        <v>17.91</v>
      </c>
      <c r="Q1558" s="116">
        <v>90.6</v>
      </c>
      <c r="R1558">
        <v>28128438</v>
      </c>
    </row>
    <row r="1559" spans="1:18" x14ac:dyDescent="0.25">
      <c r="A1559" s="170">
        <v>44301</v>
      </c>
      <c r="B1559" s="116">
        <v>18.47</v>
      </c>
      <c r="C1559" s="116">
        <v>18.14</v>
      </c>
      <c r="D1559" s="116">
        <v>17.649999999999999</v>
      </c>
      <c r="E1559" s="116">
        <v>17.649999999999999</v>
      </c>
      <c r="F1559" s="116">
        <v>90.7</v>
      </c>
      <c r="G1559">
        <v>1336434</v>
      </c>
      <c r="H1559" s="116"/>
      <c r="I1559" s="116"/>
      <c r="L1559" s="170">
        <v>44301</v>
      </c>
      <c r="M1559" s="116">
        <v>18.149999999999999</v>
      </c>
      <c r="N1559" s="116">
        <v>18.48</v>
      </c>
      <c r="O1559" s="116">
        <v>17.7</v>
      </c>
      <c r="P1559" s="116">
        <v>17.71</v>
      </c>
      <c r="Q1559" s="116">
        <v>90.75</v>
      </c>
      <c r="R1559">
        <v>21099016</v>
      </c>
    </row>
    <row r="1560" spans="1:18" x14ac:dyDescent="0.25">
      <c r="A1560" s="170">
        <v>44302</v>
      </c>
      <c r="B1560" s="116">
        <v>18.91</v>
      </c>
      <c r="C1560" s="116">
        <v>18.37</v>
      </c>
      <c r="D1560" s="116">
        <v>18.22</v>
      </c>
      <c r="E1560" s="116">
        <v>18.38</v>
      </c>
      <c r="F1560" s="116">
        <v>91.85</v>
      </c>
      <c r="G1560">
        <v>926892</v>
      </c>
      <c r="H1560" s="116"/>
      <c r="I1560" s="116"/>
      <c r="L1560" s="170">
        <v>44302</v>
      </c>
      <c r="M1560" s="116">
        <v>18.350000000000001</v>
      </c>
      <c r="N1560" s="116">
        <v>18.920000000000002</v>
      </c>
      <c r="O1560" s="116">
        <v>18.16</v>
      </c>
      <c r="P1560" s="116">
        <v>18.34</v>
      </c>
      <c r="Q1560" s="116">
        <v>91.75</v>
      </c>
      <c r="R1560">
        <v>16439433</v>
      </c>
    </row>
    <row r="1561" spans="1:18" x14ac:dyDescent="0.25">
      <c r="A1561" s="170">
        <v>44305</v>
      </c>
      <c r="B1561" s="116">
        <v>17.989999999999998</v>
      </c>
      <c r="C1561" s="116">
        <v>17.489999999999998</v>
      </c>
      <c r="D1561" s="116">
        <v>17.46</v>
      </c>
      <c r="E1561" s="116">
        <v>17.600000000000001</v>
      </c>
      <c r="F1561" s="116">
        <v>87.45</v>
      </c>
      <c r="G1561">
        <v>2307023</v>
      </c>
      <c r="H1561" s="116"/>
      <c r="I1561" s="116"/>
      <c r="L1561" s="170">
        <v>44305</v>
      </c>
      <c r="M1561" s="116">
        <v>17.489999999999998</v>
      </c>
      <c r="N1561" s="116">
        <v>17.989999999999998</v>
      </c>
      <c r="O1561" s="116">
        <v>17.440000000000001</v>
      </c>
      <c r="P1561" s="116">
        <v>17.600000000000001</v>
      </c>
      <c r="Q1561" s="116">
        <v>87.45</v>
      </c>
      <c r="R1561">
        <v>15381214</v>
      </c>
    </row>
    <row r="1562" spans="1:18" x14ac:dyDescent="0.25">
      <c r="A1562" s="170">
        <v>44306</v>
      </c>
      <c r="B1562" s="116">
        <v>18.14</v>
      </c>
      <c r="C1562" s="116">
        <v>17.41</v>
      </c>
      <c r="D1562" s="116">
        <v>17</v>
      </c>
      <c r="E1562" s="116">
        <v>17.940000000000001</v>
      </c>
      <c r="F1562" s="116">
        <v>87.05</v>
      </c>
      <c r="G1562">
        <v>1111424</v>
      </c>
      <c r="H1562" s="116"/>
      <c r="I1562" s="116"/>
      <c r="L1562" s="170">
        <v>44306</v>
      </c>
      <c r="M1562" s="116">
        <v>17.43</v>
      </c>
      <c r="N1562" s="116">
        <v>18.13</v>
      </c>
      <c r="O1562" s="116">
        <v>17</v>
      </c>
      <c r="P1562" s="116">
        <v>17.989999999999998</v>
      </c>
      <c r="Q1562" s="116">
        <v>87.15</v>
      </c>
      <c r="R1562">
        <v>11873826</v>
      </c>
    </row>
    <row r="1563" spans="1:18" x14ac:dyDescent="0.25">
      <c r="A1563" s="170">
        <v>44308</v>
      </c>
      <c r="B1563" s="116">
        <v>17.68</v>
      </c>
      <c r="C1563" s="116">
        <v>17.45</v>
      </c>
      <c r="D1563" s="116">
        <v>17.04</v>
      </c>
      <c r="E1563" s="116">
        <v>17.3</v>
      </c>
      <c r="F1563" s="116">
        <v>87.25</v>
      </c>
      <c r="G1563">
        <v>1071197</v>
      </c>
      <c r="H1563" s="116"/>
      <c r="I1563" s="116"/>
      <c r="L1563" s="170">
        <v>44308</v>
      </c>
      <c r="M1563" s="116">
        <v>17.440000000000001</v>
      </c>
      <c r="N1563" s="116">
        <v>17.66</v>
      </c>
      <c r="O1563" s="116">
        <v>17.04</v>
      </c>
      <c r="P1563" s="116">
        <v>17.22</v>
      </c>
      <c r="Q1563" s="116">
        <v>87.2</v>
      </c>
      <c r="R1563">
        <v>12818441</v>
      </c>
    </row>
    <row r="1564" spans="1:18" x14ac:dyDescent="0.25">
      <c r="A1564" s="170">
        <v>44309</v>
      </c>
      <c r="B1564" s="116">
        <v>18.13</v>
      </c>
      <c r="C1564" s="116">
        <v>17.559999999999999</v>
      </c>
      <c r="D1564" s="116">
        <v>17.239999999999998</v>
      </c>
      <c r="E1564" s="116">
        <v>17.239999999999998</v>
      </c>
      <c r="F1564" s="116">
        <v>87.8</v>
      </c>
      <c r="G1564">
        <v>1697899</v>
      </c>
      <c r="H1564" s="116"/>
      <c r="I1564" s="116"/>
      <c r="L1564" s="170">
        <v>44309</v>
      </c>
      <c r="M1564" s="116">
        <v>17.559999999999999</v>
      </c>
      <c r="N1564" s="116">
        <v>18.149999999999999</v>
      </c>
      <c r="O1564" s="116">
        <v>17.29</v>
      </c>
      <c r="P1564" s="116">
        <v>17.36</v>
      </c>
      <c r="Q1564" s="116">
        <v>87.8</v>
      </c>
      <c r="R1564">
        <v>11125028</v>
      </c>
    </row>
    <row r="1565" spans="1:18" x14ac:dyDescent="0.25">
      <c r="A1565" s="170">
        <v>44312</v>
      </c>
      <c r="B1565" s="116">
        <v>17.940000000000001</v>
      </c>
      <c r="C1565" s="116">
        <v>17.54</v>
      </c>
      <c r="D1565" s="116">
        <v>17.41</v>
      </c>
      <c r="E1565" s="116">
        <v>17.850000000000001</v>
      </c>
      <c r="F1565" s="116">
        <v>87.7</v>
      </c>
      <c r="G1565">
        <v>405913</v>
      </c>
      <c r="H1565" s="116"/>
      <c r="I1565" s="116"/>
      <c r="L1565" s="170">
        <v>44312</v>
      </c>
      <c r="M1565" s="116">
        <v>17.55</v>
      </c>
      <c r="N1565" s="116">
        <v>17.940000000000001</v>
      </c>
      <c r="O1565" s="116">
        <v>17.399999999999999</v>
      </c>
      <c r="P1565" s="116">
        <v>17.72</v>
      </c>
      <c r="Q1565" s="116">
        <v>87.75</v>
      </c>
      <c r="R1565">
        <v>7052722</v>
      </c>
    </row>
    <row r="1566" spans="1:18" x14ac:dyDescent="0.25">
      <c r="A1566" s="170">
        <v>44313</v>
      </c>
      <c r="B1566" s="116">
        <v>18.14</v>
      </c>
      <c r="C1566" s="116">
        <v>18.010000000000002</v>
      </c>
      <c r="D1566" s="116">
        <v>17.559999999999999</v>
      </c>
      <c r="E1566" s="116">
        <v>17.72</v>
      </c>
      <c r="F1566" s="116">
        <v>90.05</v>
      </c>
      <c r="G1566">
        <v>649030</v>
      </c>
      <c r="H1566" s="116"/>
      <c r="I1566" s="116"/>
      <c r="L1566" s="170">
        <v>44313</v>
      </c>
      <c r="M1566" s="116">
        <v>18</v>
      </c>
      <c r="N1566" s="116">
        <v>18.149999999999999</v>
      </c>
      <c r="O1566" s="116">
        <v>17.55</v>
      </c>
      <c r="P1566" s="116">
        <v>17.66</v>
      </c>
      <c r="Q1566" s="116">
        <v>90</v>
      </c>
      <c r="R1566">
        <v>8916372</v>
      </c>
    </row>
    <row r="1567" spans="1:18" x14ac:dyDescent="0.25">
      <c r="A1567" s="170">
        <v>44314</v>
      </c>
      <c r="B1567" s="116">
        <v>18.91</v>
      </c>
      <c r="C1567" s="116">
        <v>18.91</v>
      </c>
      <c r="D1567" s="116">
        <v>18.07</v>
      </c>
      <c r="E1567" s="116">
        <v>18.2</v>
      </c>
      <c r="F1567" s="116">
        <v>94.55</v>
      </c>
      <c r="G1567">
        <v>1972936</v>
      </c>
      <c r="H1567" s="116"/>
      <c r="I1567" s="116"/>
      <c r="L1567" s="170">
        <v>44314</v>
      </c>
      <c r="M1567" s="116">
        <v>18.899999999999999</v>
      </c>
      <c r="N1567" s="116">
        <v>18.899999999999999</v>
      </c>
      <c r="O1567" s="116">
        <v>18.059999999999999</v>
      </c>
      <c r="P1567" s="116">
        <v>18.239999999999998</v>
      </c>
      <c r="Q1567" s="116">
        <v>94.5</v>
      </c>
      <c r="R1567">
        <v>11998231</v>
      </c>
    </row>
    <row r="1568" spans="1:18" x14ac:dyDescent="0.25">
      <c r="A1568" s="170">
        <v>44315</v>
      </c>
      <c r="B1568" s="116">
        <v>19.850000000000001</v>
      </c>
      <c r="C1568" s="116">
        <v>19.39</v>
      </c>
      <c r="D1568" s="116">
        <v>19.149999999999999</v>
      </c>
      <c r="E1568" s="116">
        <v>19.46</v>
      </c>
      <c r="F1568" s="116">
        <v>96.95</v>
      </c>
      <c r="G1568">
        <v>8724922</v>
      </c>
      <c r="H1568" s="116"/>
      <c r="I1568" s="116"/>
      <c r="L1568" s="170">
        <v>44315</v>
      </c>
      <c r="M1568" s="116">
        <v>19.399999999999999</v>
      </c>
      <c r="N1568" s="116">
        <v>19.84</v>
      </c>
      <c r="O1568" s="116">
        <v>19.14</v>
      </c>
      <c r="P1568" s="116">
        <v>19.38</v>
      </c>
      <c r="Q1568" s="116">
        <v>97</v>
      </c>
      <c r="R1568">
        <v>41341948</v>
      </c>
    </row>
    <row r="1569" spans="1:18" x14ac:dyDescent="0.25">
      <c r="A1569" s="170">
        <v>44316</v>
      </c>
      <c r="B1569" s="116">
        <v>19.670000000000002</v>
      </c>
      <c r="C1569" s="116">
        <v>18.95</v>
      </c>
      <c r="D1569" s="116">
        <v>18.88</v>
      </c>
      <c r="E1569" s="116">
        <v>19.13</v>
      </c>
      <c r="F1569" s="116">
        <v>94.75</v>
      </c>
      <c r="G1569">
        <v>3866289</v>
      </c>
      <c r="H1569" s="116"/>
      <c r="I1569" s="116"/>
      <c r="L1569" s="170">
        <v>44316</v>
      </c>
      <c r="M1569" s="116">
        <v>18.95</v>
      </c>
      <c r="N1569" s="116">
        <v>19.66</v>
      </c>
      <c r="O1569" s="116">
        <v>18.89</v>
      </c>
      <c r="P1569" s="116">
        <v>19.02</v>
      </c>
      <c r="Q1569" s="116">
        <v>94.75</v>
      </c>
      <c r="R1569">
        <v>17345279</v>
      </c>
    </row>
    <row r="1570" spans="1:18" x14ac:dyDescent="0.25">
      <c r="A1570" s="170">
        <v>44319</v>
      </c>
      <c r="B1570" s="116">
        <v>19.53</v>
      </c>
      <c r="C1570" s="116">
        <v>19.11</v>
      </c>
      <c r="D1570" s="116">
        <v>18.440000000000001</v>
      </c>
      <c r="E1570" s="116">
        <v>18.96</v>
      </c>
      <c r="F1570" s="116">
        <v>95.55</v>
      </c>
      <c r="G1570">
        <v>1154448</v>
      </c>
      <c r="H1570" s="116"/>
      <c r="I1570" s="116"/>
      <c r="L1570" s="170">
        <v>44319</v>
      </c>
      <c r="M1570" s="116">
        <v>19.11</v>
      </c>
      <c r="N1570" s="116">
        <v>19.53</v>
      </c>
      <c r="O1570" s="116">
        <v>18.41</v>
      </c>
      <c r="P1570" s="116">
        <v>18.8</v>
      </c>
      <c r="Q1570" s="116">
        <v>95.55</v>
      </c>
      <c r="R1570">
        <v>13412752</v>
      </c>
    </row>
    <row r="1571" spans="1:18" x14ac:dyDescent="0.25">
      <c r="A1571" s="170">
        <v>44320</v>
      </c>
      <c r="B1571" s="116">
        <v>19.78</v>
      </c>
      <c r="C1571" s="116">
        <v>19.13</v>
      </c>
      <c r="D1571" s="116">
        <v>18.87</v>
      </c>
      <c r="E1571" s="116">
        <v>19.48</v>
      </c>
      <c r="F1571" s="116">
        <v>95.65</v>
      </c>
      <c r="G1571">
        <v>3795535</v>
      </c>
      <c r="H1571" s="116"/>
      <c r="I1571" s="116"/>
      <c r="L1571" s="170">
        <v>44320</v>
      </c>
      <c r="M1571" s="116">
        <v>19.14</v>
      </c>
      <c r="N1571" s="116">
        <v>19.8</v>
      </c>
      <c r="O1571" s="116">
        <v>18.87</v>
      </c>
      <c r="P1571" s="116">
        <v>19.34</v>
      </c>
      <c r="Q1571" s="116">
        <v>95.7</v>
      </c>
      <c r="R1571">
        <v>21392613</v>
      </c>
    </row>
    <row r="1572" spans="1:18" x14ac:dyDescent="0.25">
      <c r="A1572" s="170">
        <v>44321</v>
      </c>
      <c r="B1572" s="116">
        <v>19.75</v>
      </c>
      <c r="C1572" s="116">
        <v>19.399999999999999</v>
      </c>
      <c r="D1572" s="116">
        <v>19.22</v>
      </c>
      <c r="E1572" s="116">
        <v>19.25</v>
      </c>
      <c r="F1572" s="116">
        <v>97</v>
      </c>
      <c r="G1572">
        <v>3353668</v>
      </c>
      <c r="H1572" s="116"/>
      <c r="I1572" s="116"/>
      <c r="L1572" s="170">
        <v>44321</v>
      </c>
      <c r="M1572" s="116">
        <v>19.41</v>
      </c>
      <c r="N1572" s="116">
        <v>19.760000000000002</v>
      </c>
      <c r="O1572" s="116">
        <v>19.22</v>
      </c>
      <c r="P1572" s="116">
        <v>19.350000000000001</v>
      </c>
      <c r="Q1572" s="116">
        <v>97.05</v>
      </c>
      <c r="R1572">
        <v>19274515</v>
      </c>
    </row>
    <row r="1573" spans="1:18" x14ac:dyDescent="0.25">
      <c r="A1573" s="170">
        <v>44322</v>
      </c>
      <c r="B1573" s="116">
        <v>19.78</v>
      </c>
      <c r="C1573" s="116">
        <v>19.38</v>
      </c>
      <c r="D1573" s="116">
        <v>19.2</v>
      </c>
      <c r="E1573" s="116">
        <v>19.690000000000001</v>
      </c>
      <c r="F1573" s="116">
        <v>96.9</v>
      </c>
      <c r="G1573">
        <v>618395</v>
      </c>
      <c r="H1573" s="116"/>
      <c r="I1573" s="116"/>
      <c r="L1573" s="170">
        <v>44322</v>
      </c>
      <c r="M1573" s="116">
        <v>19.37</v>
      </c>
      <c r="N1573" s="116">
        <v>19.78</v>
      </c>
      <c r="O1573" s="116">
        <v>19.2</v>
      </c>
      <c r="P1573" s="116">
        <v>19.600000000000001</v>
      </c>
      <c r="Q1573" s="116">
        <v>96.85</v>
      </c>
      <c r="R1573">
        <v>8217422</v>
      </c>
    </row>
    <row r="1574" spans="1:18" x14ac:dyDescent="0.25">
      <c r="A1574" s="170">
        <v>44323</v>
      </c>
      <c r="B1574" s="116">
        <v>20</v>
      </c>
      <c r="C1574" s="116">
        <v>19.41</v>
      </c>
      <c r="D1574" s="116">
        <v>19.350000000000001</v>
      </c>
      <c r="E1574" s="116">
        <v>20</v>
      </c>
      <c r="F1574" s="116">
        <v>97.05</v>
      </c>
      <c r="G1574">
        <v>1700416</v>
      </c>
      <c r="H1574" s="116"/>
      <c r="I1574" s="116"/>
      <c r="L1574" s="170">
        <v>44323</v>
      </c>
      <c r="M1574" s="116">
        <v>19.41</v>
      </c>
      <c r="N1574" s="116">
        <v>20</v>
      </c>
      <c r="O1574" s="116">
        <v>19.34</v>
      </c>
      <c r="P1574" s="116">
        <v>19.8</v>
      </c>
      <c r="Q1574" s="116">
        <v>97.05</v>
      </c>
      <c r="R1574">
        <v>12929540</v>
      </c>
    </row>
    <row r="1575" spans="1:18" x14ac:dyDescent="0.25">
      <c r="A1575" s="170">
        <v>44326</v>
      </c>
      <c r="B1575" s="116">
        <v>19.96</v>
      </c>
      <c r="C1575" s="116">
        <v>19.71</v>
      </c>
      <c r="D1575" s="116">
        <v>19.399999999999999</v>
      </c>
      <c r="E1575" s="116">
        <v>19.45</v>
      </c>
      <c r="F1575" s="116">
        <v>98.55</v>
      </c>
      <c r="G1575">
        <v>3562072</v>
      </c>
      <c r="H1575" s="116"/>
      <c r="I1575" s="116"/>
      <c r="L1575" s="170">
        <v>44326</v>
      </c>
      <c r="M1575" s="116">
        <v>19.7</v>
      </c>
      <c r="N1575" s="116">
        <v>19.96</v>
      </c>
      <c r="O1575" s="116">
        <v>19.41</v>
      </c>
      <c r="P1575" s="116">
        <v>19.600000000000001</v>
      </c>
      <c r="Q1575" s="116">
        <v>98.5</v>
      </c>
      <c r="R1575">
        <v>13916610</v>
      </c>
    </row>
    <row r="1576" spans="1:18" x14ac:dyDescent="0.25">
      <c r="A1576" s="170">
        <v>44327</v>
      </c>
      <c r="B1576" s="116">
        <v>20.2</v>
      </c>
      <c r="C1576" s="116">
        <v>19.8</v>
      </c>
      <c r="D1576" s="116">
        <v>19.45</v>
      </c>
      <c r="E1576" s="116">
        <v>19.600000000000001</v>
      </c>
      <c r="F1576" s="116">
        <v>99</v>
      </c>
      <c r="G1576">
        <v>2545876</v>
      </c>
      <c r="H1576" s="116"/>
      <c r="I1576" s="116"/>
      <c r="L1576" s="170">
        <v>44327</v>
      </c>
      <c r="M1576" s="116">
        <v>19.8</v>
      </c>
      <c r="N1576" s="116">
        <v>20.2</v>
      </c>
      <c r="O1576" s="116">
        <v>19.47</v>
      </c>
      <c r="P1576" s="116">
        <v>19.59</v>
      </c>
      <c r="Q1576" s="116">
        <v>99</v>
      </c>
      <c r="R1576">
        <v>13877015</v>
      </c>
    </row>
    <row r="1577" spans="1:18" x14ac:dyDescent="0.25">
      <c r="A1577" s="170">
        <v>44328</v>
      </c>
      <c r="B1577" s="116">
        <v>20.14</v>
      </c>
      <c r="C1577" s="116">
        <v>19.489999999999998</v>
      </c>
      <c r="D1577" s="116">
        <v>19.41</v>
      </c>
      <c r="E1577" s="116">
        <v>19.899999999999999</v>
      </c>
      <c r="F1577" s="116">
        <v>97.45</v>
      </c>
      <c r="G1577">
        <v>1869622</v>
      </c>
      <c r="H1577" s="116"/>
      <c r="I1577" s="116"/>
      <c r="L1577" s="170">
        <v>44328</v>
      </c>
      <c r="M1577" s="116">
        <v>19.489999999999998</v>
      </c>
      <c r="N1577" s="116">
        <v>20.16</v>
      </c>
      <c r="O1577" s="116">
        <v>19.399999999999999</v>
      </c>
      <c r="P1577" s="116">
        <v>19.989999999999998</v>
      </c>
      <c r="Q1577" s="116">
        <v>97.45</v>
      </c>
      <c r="R1577">
        <v>9154563</v>
      </c>
    </row>
    <row r="1578" spans="1:18" x14ac:dyDescent="0.25">
      <c r="A1578" s="170">
        <v>44330</v>
      </c>
      <c r="B1578" s="116">
        <v>19.7</v>
      </c>
      <c r="C1578" s="116">
        <v>19.170000000000002</v>
      </c>
      <c r="D1578" s="116">
        <v>18.8</v>
      </c>
      <c r="E1578" s="116">
        <v>19.510000000000002</v>
      </c>
      <c r="F1578" s="116">
        <v>95.85</v>
      </c>
      <c r="G1578">
        <v>1495153</v>
      </c>
      <c r="H1578" s="116"/>
      <c r="I1578" s="116"/>
      <c r="L1578" s="170">
        <v>44330</v>
      </c>
      <c r="M1578" s="116">
        <v>19.16</v>
      </c>
      <c r="N1578" s="116">
        <v>19.68</v>
      </c>
      <c r="O1578" s="116">
        <v>18.8</v>
      </c>
      <c r="P1578" s="116">
        <v>19.68</v>
      </c>
      <c r="Q1578" s="116">
        <v>95.8</v>
      </c>
      <c r="R1578">
        <v>11732901</v>
      </c>
    </row>
    <row r="1579" spans="1:18" x14ac:dyDescent="0.25">
      <c r="A1579" s="170">
        <v>44333</v>
      </c>
      <c r="B1579" s="116">
        <v>19.670000000000002</v>
      </c>
      <c r="C1579" s="116">
        <v>19.399999999999999</v>
      </c>
      <c r="D1579" s="116">
        <v>19.239999999999998</v>
      </c>
      <c r="E1579" s="116">
        <v>19.37</v>
      </c>
      <c r="F1579" s="116">
        <v>97</v>
      </c>
      <c r="G1579">
        <v>2712963</v>
      </c>
      <c r="H1579" s="116"/>
      <c r="I1579" s="116"/>
      <c r="L1579" s="170">
        <v>44333</v>
      </c>
      <c r="M1579" s="116">
        <v>19.41</v>
      </c>
      <c r="N1579" s="116">
        <v>19.68</v>
      </c>
      <c r="O1579" s="116">
        <v>19.25</v>
      </c>
      <c r="P1579" s="116">
        <v>19.260000000000002</v>
      </c>
      <c r="Q1579" s="116">
        <v>97.05</v>
      </c>
      <c r="R1579">
        <v>7355491</v>
      </c>
    </row>
    <row r="1580" spans="1:18" x14ac:dyDescent="0.25">
      <c r="A1580" s="170">
        <v>44334</v>
      </c>
      <c r="B1580" s="116">
        <v>20.37</v>
      </c>
      <c r="C1580" s="116">
        <v>20.37</v>
      </c>
      <c r="D1580" s="116">
        <v>19.43</v>
      </c>
      <c r="E1580" s="116">
        <v>19.600000000000001</v>
      </c>
      <c r="F1580" s="116">
        <v>101.85</v>
      </c>
      <c r="G1580">
        <v>2995163</v>
      </c>
      <c r="H1580" s="116"/>
      <c r="I1580" s="116"/>
      <c r="L1580" s="170">
        <v>44334</v>
      </c>
      <c r="M1580" s="116">
        <v>20.38</v>
      </c>
      <c r="N1580" s="116">
        <v>20.38</v>
      </c>
      <c r="O1580" s="116">
        <v>19.420000000000002</v>
      </c>
      <c r="P1580" s="116">
        <v>19.579999999999998</v>
      </c>
      <c r="Q1580" s="116">
        <v>101.9</v>
      </c>
      <c r="R1580">
        <v>24442247</v>
      </c>
    </row>
    <row r="1581" spans="1:18" x14ac:dyDescent="0.25">
      <c r="A1581" s="170">
        <v>44335</v>
      </c>
      <c r="B1581" s="116">
        <v>21.38</v>
      </c>
      <c r="C1581" s="116">
        <v>20.49</v>
      </c>
      <c r="D1581" s="116">
        <v>20.27</v>
      </c>
      <c r="E1581" s="116">
        <v>20.69</v>
      </c>
      <c r="F1581" s="116">
        <v>102.45</v>
      </c>
      <c r="G1581">
        <v>3693407</v>
      </c>
      <c r="H1581" s="116"/>
      <c r="I1581" s="116"/>
      <c r="L1581" s="170">
        <v>44335</v>
      </c>
      <c r="M1581" s="116">
        <v>20.48</v>
      </c>
      <c r="N1581" s="116">
        <v>21.39</v>
      </c>
      <c r="O1581" s="116">
        <v>20.260000000000002</v>
      </c>
      <c r="P1581" s="116">
        <v>20.74</v>
      </c>
      <c r="Q1581" s="116">
        <v>102.4</v>
      </c>
      <c r="R1581">
        <v>39269687</v>
      </c>
    </row>
    <row r="1582" spans="1:18" x14ac:dyDescent="0.25">
      <c r="A1582" s="170">
        <v>44336</v>
      </c>
      <c r="B1582" s="116">
        <v>20.8</v>
      </c>
      <c r="C1582" s="116">
        <v>20.010000000000002</v>
      </c>
      <c r="D1582" s="116">
        <v>19.8</v>
      </c>
      <c r="E1582" s="116">
        <v>20.6</v>
      </c>
      <c r="F1582" s="116">
        <v>100.05</v>
      </c>
      <c r="G1582">
        <v>3547631</v>
      </c>
      <c r="H1582" s="116"/>
      <c r="I1582" s="116"/>
      <c r="L1582" s="170">
        <v>44336</v>
      </c>
      <c r="M1582" s="116">
        <v>20.02</v>
      </c>
      <c r="N1582" s="116">
        <v>20.79</v>
      </c>
      <c r="O1582" s="116">
        <v>19.79</v>
      </c>
      <c r="P1582" s="116">
        <v>20.6</v>
      </c>
      <c r="Q1582" s="116">
        <v>100.1</v>
      </c>
      <c r="R1582">
        <v>19130202</v>
      </c>
    </row>
    <row r="1583" spans="1:18" x14ac:dyDescent="0.25">
      <c r="A1583" s="170">
        <v>44337</v>
      </c>
      <c r="B1583" s="116">
        <v>20.56</v>
      </c>
      <c r="C1583" s="116">
        <v>20.23</v>
      </c>
      <c r="D1583" s="116">
        <v>20.010000000000002</v>
      </c>
      <c r="E1583" s="116">
        <v>20.38</v>
      </c>
      <c r="F1583" s="116">
        <v>101.15</v>
      </c>
      <c r="G1583">
        <v>640664</v>
      </c>
      <c r="H1583" s="116"/>
      <c r="I1583" s="116"/>
      <c r="L1583" s="170">
        <v>44337</v>
      </c>
      <c r="M1583" s="116">
        <v>20.22</v>
      </c>
      <c r="N1583" s="116">
        <v>20.55</v>
      </c>
      <c r="O1583" s="116">
        <v>20.100000000000001</v>
      </c>
      <c r="P1583" s="116">
        <v>20.2</v>
      </c>
      <c r="Q1583" s="116">
        <v>101.1</v>
      </c>
      <c r="R1583">
        <v>12929388</v>
      </c>
    </row>
    <row r="1584" spans="1:18" x14ac:dyDescent="0.25">
      <c r="A1584" s="170">
        <v>44340</v>
      </c>
      <c r="B1584" s="116">
        <v>20.6</v>
      </c>
      <c r="C1584" s="116">
        <v>20.21</v>
      </c>
      <c r="D1584" s="116">
        <v>20.2</v>
      </c>
      <c r="E1584" s="116">
        <v>20.39</v>
      </c>
      <c r="F1584" s="116">
        <v>101.05</v>
      </c>
      <c r="G1584">
        <v>2118398</v>
      </c>
      <c r="H1584" s="116"/>
      <c r="I1584" s="116"/>
      <c r="L1584" s="170">
        <v>44340</v>
      </c>
      <c r="M1584" s="116">
        <v>20.21</v>
      </c>
      <c r="N1584" s="116">
        <v>20.6</v>
      </c>
      <c r="O1584" s="116">
        <v>20.2</v>
      </c>
      <c r="P1584" s="116">
        <v>20.34</v>
      </c>
      <c r="Q1584" s="116">
        <v>101.05</v>
      </c>
      <c r="R1584">
        <v>9135891</v>
      </c>
    </row>
    <row r="1585" spans="1:18" x14ac:dyDescent="0.25">
      <c r="A1585" s="170">
        <v>44341</v>
      </c>
      <c r="B1585" s="116">
        <v>20.49</v>
      </c>
      <c r="C1585" s="116">
        <v>20.079999999999998</v>
      </c>
      <c r="D1585" s="116">
        <v>20</v>
      </c>
      <c r="E1585" s="116">
        <v>20.309999999999999</v>
      </c>
      <c r="F1585" s="116">
        <v>100.4</v>
      </c>
      <c r="G1585">
        <v>940132</v>
      </c>
      <c r="H1585" s="116"/>
      <c r="I1585" s="116"/>
      <c r="L1585" s="170">
        <v>44341</v>
      </c>
      <c r="M1585" s="116">
        <v>20.079999999999998</v>
      </c>
      <c r="N1585" s="116">
        <v>20.5</v>
      </c>
      <c r="O1585" s="116">
        <v>20</v>
      </c>
      <c r="P1585" s="116">
        <v>20.399999999999999</v>
      </c>
      <c r="Q1585" s="116">
        <v>100.4</v>
      </c>
      <c r="R1585">
        <v>8580609</v>
      </c>
    </row>
    <row r="1586" spans="1:18" x14ac:dyDescent="0.25">
      <c r="A1586" s="170">
        <v>44342</v>
      </c>
      <c r="B1586" s="116">
        <v>20.28</v>
      </c>
      <c r="C1586" s="116">
        <v>19.87</v>
      </c>
      <c r="D1586" s="116">
        <v>19.82</v>
      </c>
      <c r="E1586" s="116">
        <v>20.2</v>
      </c>
      <c r="F1586" s="116">
        <v>99.35</v>
      </c>
      <c r="G1586">
        <v>596047</v>
      </c>
      <c r="H1586" s="116"/>
      <c r="I1586" s="116"/>
      <c r="L1586" s="170">
        <v>44342</v>
      </c>
      <c r="M1586" s="116">
        <v>19.850000000000001</v>
      </c>
      <c r="N1586" s="116">
        <v>20.27</v>
      </c>
      <c r="O1586" s="116">
        <v>19.809999999999999</v>
      </c>
      <c r="P1586" s="116">
        <v>20.25</v>
      </c>
      <c r="Q1586" s="116">
        <v>99.25</v>
      </c>
      <c r="R1586">
        <v>6353977</v>
      </c>
    </row>
    <row r="1587" spans="1:18" x14ac:dyDescent="0.25">
      <c r="A1587" s="170">
        <v>44343</v>
      </c>
      <c r="B1587" s="116">
        <v>20.010000000000002</v>
      </c>
      <c r="C1587" s="116">
        <v>19.04</v>
      </c>
      <c r="D1587" s="116">
        <v>18.88</v>
      </c>
      <c r="E1587" s="116">
        <v>19.89</v>
      </c>
      <c r="F1587" s="116">
        <v>95.2</v>
      </c>
      <c r="G1587">
        <v>3610684</v>
      </c>
      <c r="H1587" s="116"/>
      <c r="I1587" s="116"/>
      <c r="L1587" s="170">
        <v>44343</v>
      </c>
      <c r="M1587" s="116">
        <v>19.03</v>
      </c>
      <c r="N1587" s="116">
        <v>20</v>
      </c>
      <c r="O1587" s="116">
        <v>18.86</v>
      </c>
      <c r="P1587" s="116">
        <v>20</v>
      </c>
      <c r="Q1587" s="116">
        <v>95.15</v>
      </c>
      <c r="R1587">
        <v>34549950</v>
      </c>
    </row>
    <row r="1588" spans="1:18" x14ac:dyDescent="0.25">
      <c r="A1588" s="170">
        <v>44344</v>
      </c>
      <c r="B1588" s="116">
        <v>19.399999999999999</v>
      </c>
      <c r="C1588" s="116">
        <v>18.39</v>
      </c>
      <c r="D1588" s="116">
        <v>18.16</v>
      </c>
      <c r="E1588" s="116">
        <v>19.2</v>
      </c>
      <c r="F1588" s="116">
        <v>91.95</v>
      </c>
      <c r="G1588">
        <v>3703257</v>
      </c>
      <c r="H1588" s="116"/>
      <c r="I1588" s="116"/>
      <c r="L1588" s="170">
        <v>44344</v>
      </c>
      <c r="M1588" s="116">
        <v>18.39</v>
      </c>
      <c r="N1588" s="116">
        <v>19.399999999999999</v>
      </c>
      <c r="O1588" s="116">
        <v>18.149999999999999</v>
      </c>
      <c r="P1588" s="116">
        <v>19.18</v>
      </c>
      <c r="Q1588" s="116">
        <v>91.95</v>
      </c>
      <c r="R1588">
        <v>26184911</v>
      </c>
    </row>
    <row r="1589" spans="1:18" x14ac:dyDescent="0.25">
      <c r="A1589" s="170">
        <v>44347</v>
      </c>
      <c r="B1589" s="116">
        <v>18.88</v>
      </c>
      <c r="C1589" s="116">
        <v>18.5</v>
      </c>
      <c r="D1589" s="116">
        <v>18.420000000000002</v>
      </c>
      <c r="E1589" s="116">
        <v>18.600000000000001</v>
      </c>
      <c r="F1589" s="116">
        <v>92.5</v>
      </c>
      <c r="G1589">
        <v>940959</v>
      </c>
      <c r="H1589" s="116"/>
      <c r="I1589" s="116"/>
      <c r="L1589" s="170">
        <v>44347</v>
      </c>
      <c r="M1589" s="116">
        <v>18.5</v>
      </c>
      <c r="N1589" s="116">
        <v>18.850000000000001</v>
      </c>
      <c r="O1589" s="116">
        <v>18.45</v>
      </c>
      <c r="P1589" s="116">
        <v>18.53</v>
      </c>
      <c r="Q1589" s="116">
        <v>92.5</v>
      </c>
      <c r="R1589">
        <v>9824879</v>
      </c>
    </row>
    <row r="1590" spans="1:18" x14ac:dyDescent="0.25">
      <c r="A1590" s="170">
        <v>44348</v>
      </c>
      <c r="B1590" s="116">
        <v>19.420000000000002</v>
      </c>
      <c r="C1590" s="116">
        <v>19.079999999999998</v>
      </c>
      <c r="D1590" s="116">
        <v>18.38</v>
      </c>
      <c r="E1590" s="116">
        <v>18.86</v>
      </c>
      <c r="F1590" s="116">
        <v>95.4</v>
      </c>
      <c r="G1590">
        <v>2536872</v>
      </c>
      <c r="H1590" s="116"/>
      <c r="I1590" s="116"/>
      <c r="L1590" s="170">
        <v>44348</v>
      </c>
      <c r="M1590" s="116">
        <v>19.07</v>
      </c>
      <c r="N1590" s="116">
        <v>19.420000000000002</v>
      </c>
      <c r="O1590" s="116">
        <v>18.36</v>
      </c>
      <c r="P1590" s="116">
        <v>18.8</v>
      </c>
      <c r="Q1590" s="116">
        <v>95.35</v>
      </c>
      <c r="R1590">
        <v>31744300</v>
      </c>
    </row>
    <row r="1591" spans="1:18" x14ac:dyDescent="0.25">
      <c r="A1591" s="170">
        <v>44349</v>
      </c>
      <c r="B1591" s="116">
        <v>19.88</v>
      </c>
      <c r="C1591" s="116">
        <v>19.29</v>
      </c>
      <c r="D1591" s="116">
        <v>19.09</v>
      </c>
      <c r="E1591" s="116">
        <v>19.14</v>
      </c>
      <c r="F1591" s="116">
        <v>96.45</v>
      </c>
      <c r="G1591">
        <v>4631326</v>
      </c>
      <c r="H1591" s="116"/>
      <c r="I1591" s="116"/>
      <c r="L1591" s="170">
        <v>44349</v>
      </c>
      <c r="M1591" s="116">
        <v>19.28</v>
      </c>
      <c r="N1591" s="116">
        <v>19.88</v>
      </c>
      <c r="O1591" s="116">
        <v>19.100000000000001</v>
      </c>
      <c r="P1591" s="116">
        <v>19.190000000000001</v>
      </c>
      <c r="Q1591" s="116">
        <v>96.4</v>
      </c>
      <c r="R1591">
        <v>30757739</v>
      </c>
    </row>
    <row r="1592" spans="1:18" x14ac:dyDescent="0.25">
      <c r="A1592" s="170">
        <v>44350</v>
      </c>
      <c r="B1592" s="116">
        <v>20.25</v>
      </c>
      <c r="C1592" s="116">
        <v>20.16</v>
      </c>
      <c r="D1592" s="116">
        <v>19.399999999999999</v>
      </c>
      <c r="E1592" s="116">
        <v>19.489999999999998</v>
      </c>
      <c r="F1592" s="116">
        <v>100.8</v>
      </c>
      <c r="G1592">
        <v>7854264</v>
      </c>
      <c r="H1592" s="116"/>
      <c r="I1592" s="116"/>
      <c r="L1592" s="170">
        <v>44350</v>
      </c>
      <c r="M1592" s="116">
        <v>20.149999999999999</v>
      </c>
      <c r="N1592" s="116">
        <v>20.239999999999998</v>
      </c>
      <c r="O1592" s="116">
        <v>19.399999999999999</v>
      </c>
      <c r="P1592" s="116">
        <v>19.5</v>
      </c>
      <c r="Q1592" s="116">
        <v>100.75</v>
      </c>
      <c r="R1592">
        <v>50469406</v>
      </c>
    </row>
    <row r="1593" spans="1:18" x14ac:dyDescent="0.25">
      <c r="A1593" s="170">
        <v>44351</v>
      </c>
      <c r="B1593" s="116">
        <v>21.16</v>
      </c>
      <c r="C1593" s="116">
        <v>21.16</v>
      </c>
      <c r="D1593" s="116">
        <v>19.86</v>
      </c>
      <c r="E1593" s="116">
        <v>20.2</v>
      </c>
      <c r="F1593" s="116">
        <v>105.8</v>
      </c>
      <c r="G1593">
        <v>8746193</v>
      </c>
      <c r="H1593" s="116"/>
      <c r="I1593" s="116"/>
      <c r="L1593" s="170">
        <v>44351</v>
      </c>
      <c r="M1593" s="116">
        <v>21.15</v>
      </c>
      <c r="N1593" s="116">
        <v>21.15</v>
      </c>
      <c r="O1593" s="116">
        <v>19.87</v>
      </c>
      <c r="P1593" s="116">
        <v>20.28</v>
      </c>
      <c r="Q1593" s="116">
        <v>105.75</v>
      </c>
      <c r="R1593">
        <v>56499148</v>
      </c>
    </row>
    <row r="1594" spans="1:18" x14ac:dyDescent="0.25">
      <c r="A1594" s="170">
        <v>44354</v>
      </c>
      <c r="B1594" s="116">
        <v>25.39</v>
      </c>
      <c r="C1594" s="116">
        <v>25.39</v>
      </c>
      <c r="D1594" s="116">
        <v>22.3</v>
      </c>
      <c r="E1594" s="116">
        <v>22.4</v>
      </c>
      <c r="F1594" s="116">
        <v>126.95</v>
      </c>
      <c r="G1594">
        <v>12294636</v>
      </c>
      <c r="H1594" s="116"/>
      <c r="I1594" s="116"/>
      <c r="L1594" s="170">
        <v>44354</v>
      </c>
      <c r="M1594" s="116">
        <v>25.38</v>
      </c>
      <c r="N1594" s="116">
        <v>25.38</v>
      </c>
      <c r="O1594" s="116">
        <v>22.25</v>
      </c>
      <c r="P1594" s="116">
        <v>22.51</v>
      </c>
      <c r="Q1594" s="116">
        <v>126.9</v>
      </c>
      <c r="R1594">
        <v>115150200</v>
      </c>
    </row>
    <row r="1595" spans="1:18" x14ac:dyDescent="0.25">
      <c r="A1595" s="170">
        <v>44355</v>
      </c>
      <c r="B1595" s="116">
        <v>30.46</v>
      </c>
      <c r="C1595" s="116">
        <v>30.38</v>
      </c>
      <c r="D1595" s="116">
        <v>26.35</v>
      </c>
      <c r="E1595" s="116">
        <v>26.8</v>
      </c>
      <c r="F1595" s="116">
        <v>151.9</v>
      </c>
      <c r="G1595">
        <v>22667088</v>
      </c>
      <c r="H1595" s="116"/>
      <c r="I1595" s="116"/>
      <c r="L1595" s="170">
        <v>44355</v>
      </c>
      <c r="M1595" s="116">
        <v>30.35</v>
      </c>
      <c r="N1595" s="116">
        <v>30.45</v>
      </c>
      <c r="O1595" s="116">
        <v>26.32</v>
      </c>
      <c r="P1595" s="116">
        <v>26.8</v>
      </c>
      <c r="Q1595" s="116">
        <v>151.75</v>
      </c>
      <c r="R1595">
        <v>221394940</v>
      </c>
    </row>
    <row r="1596" spans="1:18" x14ac:dyDescent="0.25">
      <c r="A1596" s="170">
        <v>44356</v>
      </c>
      <c r="B1596" s="116">
        <v>33.409999999999997</v>
      </c>
      <c r="C1596" s="116">
        <v>30.47</v>
      </c>
      <c r="D1596" s="116">
        <v>27.64</v>
      </c>
      <c r="E1596" s="116">
        <v>31.28</v>
      </c>
      <c r="F1596" s="116">
        <v>152.35</v>
      </c>
      <c r="G1596">
        <v>29848097</v>
      </c>
      <c r="H1596" s="116"/>
      <c r="I1596" s="116"/>
      <c r="L1596" s="170">
        <v>44356</v>
      </c>
      <c r="M1596" s="116">
        <v>30.47</v>
      </c>
      <c r="N1596" s="116">
        <v>33.380000000000003</v>
      </c>
      <c r="O1596" s="116">
        <v>27.7</v>
      </c>
      <c r="P1596" s="116">
        <v>31.2</v>
      </c>
      <c r="Q1596" s="116">
        <v>152.35</v>
      </c>
      <c r="R1596">
        <v>192437396</v>
      </c>
    </row>
    <row r="1597" spans="1:18" x14ac:dyDescent="0.25">
      <c r="A1597" s="170">
        <v>44357</v>
      </c>
      <c r="B1597" s="116">
        <v>32.799999999999997</v>
      </c>
      <c r="C1597" s="116">
        <v>31.16</v>
      </c>
      <c r="D1597" s="116">
        <v>30.6</v>
      </c>
      <c r="E1597" s="116">
        <v>31.51</v>
      </c>
      <c r="F1597" s="116">
        <v>155.80000000000001</v>
      </c>
      <c r="G1597">
        <v>7894022</v>
      </c>
      <c r="H1597" s="116"/>
      <c r="I1597" s="116"/>
      <c r="L1597" s="170">
        <v>44357</v>
      </c>
      <c r="M1597" s="116">
        <v>30.82</v>
      </c>
      <c r="N1597" s="116">
        <v>32.799999999999997</v>
      </c>
      <c r="O1597" s="116">
        <v>30.6</v>
      </c>
      <c r="P1597" s="116">
        <v>31.47</v>
      </c>
      <c r="Q1597" s="116">
        <v>154.1</v>
      </c>
      <c r="R1597">
        <v>57693663</v>
      </c>
    </row>
    <row r="1598" spans="1:18" x14ac:dyDescent="0.25">
      <c r="A1598" s="170">
        <v>44358</v>
      </c>
      <c r="B1598" s="116">
        <v>31.89</v>
      </c>
      <c r="C1598" s="116">
        <v>29.66</v>
      </c>
      <c r="D1598" s="116">
        <v>29.4</v>
      </c>
      <c r="E1598" s="116">
        <v>31.79</v>
      </c>
      <c r="F1598" s="116">
        <v>148.30000000000001</v>
      </c>
      <c r="G1598">
        <v>5448322</v>
      </c>
      <c r="H1598" s="116"/>
      <c r="I1598" s="116"/>
      <c r="L1598" s="170">
        <v>44358</v>
      </c>
      <c r="M1598" s="116">
        <v>29.66</v>
      </c>
      <c r="N1598" s="116">
        <v>31.9</v>
      </c>
      <c r="O1598" s="116">
        <v>29.4</v>
      </c>
      <c r="P1598" s="116">
        <v>31.8</v>
      </c>
      <c r="Q1598" s="116">
        <v>148.30000000000001</v>
      </c>
      <c r="R1598">
        <v>34259683</v>
      </c>
    </row>
    <row r="1599" spans="1:18" x14ac:dyDescent="0.25">
      <c r="A1599" s="170">
        <v>44361</v>
      </c>
      <c r="B1599" s="116">
        <v>28.18</v>
      </c>
      <c r="C1599" s="116">
        <v>28.18</v>
      </c>
      <c r="D1599" s="116">
        <v>28.18</v>
      </c>
      <c r="E1599" s="116">
        <v>28.18</v>
      </c>
      <c r="F1599" s="116">
        <v>140.9</v>
      </c>
      <c r="G1599">
        <v>857113</v>
      </c>
      <c r="H1599" s="116"/>
      <c r="I1599" s="116"/>
      <c r="L1599" s="170">
        <v>44361</v>
      </c>
      <c r="M1599" s="116">
        <v>28.18</v>
      </c>
      <c r="N1599" s="116">
        <v>28.18</v>
      </c>
      <c r="O1599" s="116">
        <v>28.18</v>
      </c>
      <c r="P1599" s="116">
        <v>28.18</v>
      </c>
      <c r="Q1599" s="116">
        <v>140.9</v>
      </c>
      <c r="R1599">
        <v>2129919</v>
      </c>
    </row>
    <row r="1600" spans="1:18" x14ac:dyDescent="0.25">
      <c r="A1600" s="170">
        <v>44362</v>
      </c>
      <c r="B1600" s="116">
        <v>27.5</v>
      </c>
      <c r="C1600" s="116">
        <v>26.78</v>
      </c>
      <c r="D1600" s="116">
        <v>26.78</v>
      </c>
      <c r="E1600" s="116">
        <v>26.78</v>
      </c>
      <c r="F1600" s="116">
        <v>133.9</v>
      </c>
      <c r="G1600">
        <v>1762128</v>
      </c>
      <c r="H1600" s="116"/>
      <c r="I1600" s="116"/>
      <c r="L1600" s="170">
        <v>44362</v>
      </c>
      <c r="M1600" s="116">
        <v>26.78</v>
      </c>
      <c r="N1600" s="116">
        <v>27.6</v>
      </c>
      <c r="O1600" s="116">
        <v>26.78</v>
      </c>
      <c r="P1600" s="116">
        <v>26.78</v>
      </c>
      <c r="Q1600" s="116">
        <v>133.9</v>
      </c>
      <c r="R1600">
        <v>5925109</v>
      </c>
    </row>
    <row r="1601" spans="1:18" x14ac:dyDescent="0.25">
      <c r="A1601" s="170">
        <v>44363</v>
      </c>
      <c r="B1601" s="116">
        <v>25.45</v>
      </c>
      <c r="C1601" s="116">
        <v>25.45</v>
      </c>
      <c r="D1601" s="116">
        <v>25.45</v>
      </c>
      <c r="E1601" s="116">
        <v>25.45</v>
      </c>
      <c r="F1601" s="116">
        <v>127.25</v>
      </c>
      <c r="G1601">
        <v>277659</v>
      </c>
      <c r="H1601" s="116"/>
      <c r="I1601" s="116"/>
      <c r="L1601" s="170">
        <v>44363</v>
      </c>
      <c r="M1601" s="116">
        <v>25.45</v>
      </c>
      <c r="N1601" s="116">
        <v>25.45</v>
      </c>
      <c r="O1601" s="116">
        <v>25.45</v>
      </c>
      <c r="P1601" s="116">
        <v>25.45</v>
      </c>
      <c r="Q1601" s="116">
        <v>127.25</v>
      </c>
      <c r="R1601">
        <v>803896</v>
      </c>
    </row>
    <row r="1602" spans="1:18" x14ac:dyDescent="0.25">
      <c r="A1602" s="170">
        <v>44364</v>
      </c>
      <c r="B1602" s="116">
        <v>24.18</v>
      </c>
      <c r="C1602" s="116">
        <v>24.18</v>
      </c>
      <c r="D1602" s="116">
        <v>24.18</v>
      </c>
      <c r="E1602" s="116">
        <v>24.18</v>
      </c>
      <c r="F1602" s="116">
        <v>120.9</v>
      </c>
      <c r="G1602">
        <v>213842</v>
      </c>
      <c r="H1602" s="116"/>
      <c r="I1602" s="116"/>
      <c r="L1602" s="170">
        <v>44364</v>
      </c>
      <c r="M1602" s="116">
        <v>24.18</v>
      </c>
      <c r="N1602" s="116">
        <v>24.18</v>
      </c>
      <c r="O1602" s="116">
        <v>24.18</v>
      </c>
      <c r="P1602" s="116">
        <v>24.18</v>
      </c>
      <c r="Q1602" s="116">
        <v>120.9</v>
      </c>
      <c r="R1602">
        <v>619476</v>
      </c>
    </row>
    <row r="1603" spans="1:18" x14ac:dyDescent="0.25">
      <c r="A1603" s="170">
        <v>44365</v>
      </c>
      <c r="B1603" s="116">
        <v>22.98</v>
      </c>
      <c r="C1603" s="116">
        <v>22.98</v>
      </c>
      <c r="D1603" s="116">
        <v>22.98</v>
      </c>
      <c r="E1603" s="116">
        <v>22.98</v>
      </c>
      <c r="F1603" s="116">
        <v>114.9</v>
      </c>
      <c r="G1603">
        <v>361485</v>
      </c>
      <c r="H1603" s="116"/>
      <c r="I1603" s="116"/>
      <c r="L1603" s="170">
        <v>44365</v>
      </c>
      <c r="M1603" s="116">
        <v>22.98</v>
      </c>
      <c r="N1603" s="116">
        <v>22.98</v>
      </c>
      <c r="O1603" s="116">
        <v>22.98</v>
      </c>
      <c r="P1603" s="116">
        <v>22.98</v>
      </c>
      <c r="Q1603" s="116">
        <v>114.9</v>
      </c>
      <c r="R1603">
        <v>1711957</v>
      </c>
    </row>
    <row r="1604" spans="1:18" x14ac:dyDescent="0.25">
      <c r="A1604" s="170">
        <v>44368</v>
      </c>
      <c r="B1604" s="116">
        <v>24.12</v>
      </c>
      <c r="C1604" s="116">
        <v>24.12</v>
      </c>
      <c r="D1604" s="116">
        <v>21.84</v>
      </c>
      <c r="E1604" s="116">
        <v>21.84</v>
      </c>
      <c r="F1604" s="116">
        <v>120.6</v>
      </c>
      <c r="G1604">
        <v>3927668</v>
      </c>
      <c r="H1604" s="116"/>
      <c r="I1604" s="116"/>
      <c r="L1604" s="170">
        <v>44368</v>
      </c>
      <c r="M1604" s="116">
        <v>24.12</v>
      </c>
      <c r="N1604" s="116">
        <v>24.12</v>
      </c>
      <c r="O1604" s="116">
        <v>21.84</v>
      </c>
      <c r="P1604" s="116">
        <v>21.84</v>
      </c>
      <c r="Q1604" s="116">
        <v>120.6</v>
      </c>
      <c r="R1604">
        <v>12143239</v>
      </c>
    </row>
    <row r="1605" spans="1:18" x14ac:dyDescent="0.25">
      <c r="A1605" s="170">
        <v>44369</v>
      </c>
      <c r="B1605" s="116">
        <v>25.32</v>
      </c>
      <c r="C1605" s="116">
        <v>25.32</v>
      </c>
      <c r="D1605" s="116">
        <v>24.98</v>
      </c>
      <c r="E1605" s="116">
        <v>25.14</v>
      </c>
      <c r="F1605" s="116">
        <v>126.6</v>
      </c>
      <c r="G1605">
        <v>944907</v>
      </c>
      <c r="H1605" s="116"/>
      <c r="I1605" s="116"/>
      <c r="L1605" s="170">
        <v>44369</v>
      </c>
      <c r="M1605" s="116">
        <v>25.32</v>
      </c>
      <c r="N1605" s="116">
        <v>25.32</v>
      </c>
      <c r="O1605" s="116">
        <v>24.8</v>
      </c>
      <c r="P1605" s="116">
        <v>25.15</v>
      </c>
      <c r="Q1605" s="116">
        <v>126.6</v>
      </c>
      <c r="R1605">
        <v>4083674</v>
      </c>
    </row>
    <row r="1606" spans="1:18" x14ac:dyDescent="0.25">
      <c r="A1606" s="170">
        <v>44370</v>
      </c>
      <c r="B1606" s="116">
        <v>26.58</v>
      </c>
      <c r="C1606" s="116">
        <v>25.36</v>
      </c>
      <c r="D1606" s="116">
        <v>24.06</v>
      </c>
      <c r="E1606" s="116">
        <v>26.4</v>
      </c>
      <c r="F1606" s="116">
        <v>126.8</v>
      </c>
      <c r="G1606">
        <v>2308925</v>
      </c>
      <c r="H1606" s="116"/>
      <c r="I1606" s="116"/>
      <c r="L1606" s="170">
        <v>44370</v>
      </c>
      <c r="M1606" s="116">
        <v>25.19</v>
      </c>
      <c r="N1606" s="116">
        <v>26.58</v>
      </c>
      <c r="O1606" s="116">
        <v>24.06</v>
      </c>
      <c r="P1606" s="116">
        <v>26.58</v>
      </c>
      <c r="Q1606" s="116">
        <v>125.95</v>
      </c>
      <c r="R1606">
        <v>15105797</v>
      </c>
    </row>
    <row r="1607" spans="1:18" x14ac:dyDescent="0.25">
      <c r="A1607" s="170">
        <v>44371</v>
      </c>
      <c r="B1607" s="116">
        <v>25.39</v>
      </c>
      <c r="C1607" s="116">
        <v>24.1</v>
      </c>
      <c r="D1607" s="116">
        <v>24.1</v>
      </c>
      <c r="E1607" s="116">
        <v>25.38</v>
      </c>
      <c r="F1607" s="116">
        <v>120.5</v>
      </c>
      <c r="G1607">
        <v>1255873</v>
      </c>
      <c r="H1607" s="116"/>
      <c r="I1607" s="116"/>
      <c r="L1607" s="170">
        <v>44371</v>
      </c>
      <c r="M1607" s="116">
        <v>23.94</v>
      </c>
      <c r="N1607" s="116">
        <v>25.2</v>
      </c>
      <c r="O1607" s="116">
        <v>23.94</v>
      </c>
      <c r="P1607" s="116">
        <v>25.19</v>
      </c>
      <c r="Q1607" s="116">
        <v>119.7</v>
      </c>
      <c r="R1607">
        <v>6320082</v>
      </c>
    </row>
    <row r="1608" spans="1:18" x14ac:dyDescent="0.25">
      <c r="A1608" s="170">
        <v>44372</v>
      </c>
      <c r="B1608" s="116">
        <v>24.2</v>
      </c>
      <c r="C1608" s="116">
        <v>23.36</v>
      </c>
      <c r="D1608" s="116">
        <v>22.9</v>
      </c>
      <c r="E1608" s="116">
        <v>22.9</v>
      </c>
      <c r="F1608" s="116">
        <v>116.8</v>
      </c>
      <c r="G1608">
        <v>1325552</v>
      </c>
      <c r="H1608" s="116"/>
      <c r="I1608" s="116"/>
      <c r="L1608" s="170">
        <v>44372</v>
      </c>
      <c r="M1608" s="116">
        <v>23.35</v>
      </c>
      <c r="N1608" s="116">
        <v>24.28</v>
      </c>
      <c r="O1608" s="116">
        <v>22.8</v>
      </c>
      <c r="P1608" s="116">
        <v>23.01</v>
      </c>
      <c r="Q1608" s="116">
        <v>116.75</v>
      </c>
      <c r="R1608">
        <v>4588667</v>
      </c>
    </row>
    <row r="1609" spans="1:18" x14ac:dyDescent="0.25">
      <c r="A1609" s="170">
        <v>44375</v>
      </c>
      <c r="B1609" s="116">
        <v>24.2</v>
      </c>
      <c r="C1609" s="116">
        <v>23.63</v>
      </c>
      <c r="D1609" s="116">
        <v>22.2</v>
      </c>
      <c r="E1609" s="116">
        <v>22.8</v>
      </c>
      <c r="F1609" s="116">
        <v>118.15</v>
      </c>
      <c r="G1609">
        <v>1586338</v>
      </c>
      <c r="H1609" s="116"/>
      <c r="I1609" s="116"/>
      <c r="L1609" s="170">
        <v>44375</v>
      </c>
      <c r="M1609" s="116">
        <v>23.64</v>
      </c>
      <c r="N1609" s="116">
        <v>24.2</v>
      </c>
      <c r="O1609" s="116">
        <v>22.24</v>
      </c>
      <c r="P1609" s="116">
        <v>22.7</v>
      </c>
      <c r="Q1609" s="116">
        <v>118.2</v>
      </c>
      <c r="R1609">
        <v>5385825</v>
      </c>
    </row>
    <row r="1610" spans="1:18" x14ac:dyDescent="0.25">
      <c r="A1610" s="170">
        <v>44376</v>
      </c>
      <c r="B1610" s="116">
        <v>24.2</v>
      </c>
      <c r="C1610" s="116">
        <v>23.32</v>
      </c>
      <c r="D1610" s="116">
        <v>23.2</v>
      </c>
      <c r="E1610" s="116">
        <v>24.2</v>
      </c>
      <c r="F1610" s="116">
        <v>116.6</v>
      </c>
      <c r="G1610">
        <v>356626</v>
      </c>
      <c r="H1610" s="116"/>
      <c r="I1610" s="116"/>
      <c r="L1610" s="170">
        <v>44376</v>
      </c>
      <c r="M1610" s="116">
        <v>23.26</v>
      </c>
      <c r="N1610" s="116">
        <v>23.96</v>
      </c>
      <c r="O1610" s="116">
        <v>23.2</v>
      </c>
      <c r="P1610" s="116">
        <v>23.88</v>
      </c>
      <c r="Q1610" s="116">
        <v>116.3</v>
      </c>
      <c r="R1610">
        <v>2687722</v>
      </c>
    </row>
    <row r="1611" spans="1:18" x14ac:dyDescent="0.25">
      <c r="A1611" s="170">
        <v>44377</v>
      </c>
      <c r="B1611" s="116">
        <v>23.4</v>
      </c>
      <c r="C1611" s="116">
        <v>22.68</v>
      </c>
      <c r="D1611" s="116">
        <v>22.22</v>
      </c>
      <c r="E1611" s="116">
        <v>23</v>
      </c>
      <c r="F1611" s="116">
        <v>113.4</v>
      </c>
      <c r="G1611">
        <v>1043035</v>
      </c>
      <c r="H1611" s="116"/>
      <c r="I1611" s="116"/>
      <c r="L1611" s="170">
        <v>44377</v>
      </c>
      <c r="M1611" s="116">
        <v>22.69</v>
      </c>
      <c r="N1611" s="116">
        <v>23.58</v>
      </c>
      <c r="O1611" s="116">
        <v>22.5</v>
      </c>
      <c r="P1611" s="116">
        <v>23.3</v>
      </c>
      <c r="Q1611" s="116">
        <v>113.45</v>
      </c>
      <c r="R1611">
        <v>3724046</v>
      </c>
    </row>
    <row r="1612" spans="1:18" x14ac:dyDescent="0.25">
      <c r="A1612" s="170">
        <v>44378</v>
      </c>
      <c r="B1612" s="116">
        <v>22.9</v>
      </c>
      <c r="C1612" s="116">
        <v>21.56</v>
      </c>
      <c r="D1612" s="116">
        <v>21.55</v>
      </c>
      <c r="E1612" s="116">
        <v>22.89</v>
      </c>
      <c r="F1612" s="116">
        <v>107.8</v>
      </c>
      <c r="G1612">
        <v>921622</v>
      </c>
      <c r="H1612" s="116"/>
      <c r="I1612" s="116"/>
      <c r="L1612" s="170">
        <v>44378</v>
      </c>
      <c r="M1612" s="116">
        <v>21.56</v>
      </c>
      <c r="N1612" s="116">
        <v>23</v>
      </c>
      <c r="O1612" s="116">
        <v>21.56</v>
      </c>
      <c r="P1612" s="116">
        <v>22.69</v>
      </c>
      <c r="Q1612" s="116">
        <v>107.8</v>
      </c>
      <c r="R1612">
        <v>6780446</v>
      </c>
    </row>
    <row r="1613" spans="1:18" x14ac:dyDescent="0.25">
      <c r="A1613" s="170">
        <v>44379</v>
      </c>
      <c r="B1613" s="116">
        <v>22.4</v>
      </c>
      <c r="C1613" s="116">
        <v>21.9</v>
      </c>
      <c r="D1613" s="116">
        <v>20.49</v>
      </c>
      <c r="E1613" s="116">
        <v>20.49</v>
      </c>
      <c r="F1613" s="116">
        <v>109.5</v>
      </c>
      <c r="G1613">
        <v>2096728</v>
      </c>
      <c r="H1613" s="116"/>
      <c r="I1613" s="116"/>
      <c r="L1613" s="170">
        <v>44379</v>
      </c>
      <c r="M1613" s="116">
        <v>21.88</v>
      </c>
      <c r="N1613" s="116">
        <v>22.39</v>
      </c>
      <c r="O1613" s="116">
        <v>20.49</v>
      </c>
      <c r="P1613" s="116">
        <v>20.49</v>
      </c>
      <c r="Q1613" s="116">
        <v>109.4</v>
      </c>
      <c r="R1613">
        <v>6817595</v>
      </c>
    </row>
    <row r="1614" spans="1:18" x14ac:dyDescent="0.25">
      <c r="A1614" s="170">
        <v>44382</v>
      </c>
      <c r="B1614" s="116">
        <v>22.38</v>
      </c>
      <c r="C1614" s="116">
        <v>21.31</v>
      </c>
      <c r="D1614" s="116">
        <v>21.02</v>
      </c>
      <c r="E1614" s="116">
        <v>22.1</v>
      </c>
      <c r="F1614" s="116">
        <v>106.55</v>
      </c>
      <c r="G1614">
        <v>1140555</v>
      </c>
      <c r="H1614" s="116"/>
      <c r="I1614" s="116"/>
      <c r="L1614" s="170">
        <v>44382</v>
      </c>
      <c r="M1614" s="116">
        <v>21.36</v>
      </c>
      <c r="N1614" s="116">
        <v>22.28</v>
      </c>
      <c r="O1614" s="116">
        <v>21</v>
      </c>
      <c r="P1614" s="116">
        <v>22</v>
      </c>
      <c r="Q1614" s="116">
        <v>106.8</v>
      </c>
      <c r="R1614">
        <v>4543973</v>
      </c>
    </row>
    <row r="1615" spans="1:18" x14ac:dyDescent="0.25">
      <c r="A1615" s="170">
        <v>44383</v>
      </c>
      <c r="B1615" s="116">
        <v>22.37</v>
      </c>
      <c r="C1615" s="116">
        <v>22.37</v>
      </c>
      <c r="D1615" s="116">
        <v>20.51</v>
      </c>
      <c r="E1615" s="116">
        <v>20.51</v>
      </c>
      <c r="F1615" s="116">
        <v>111.85</v>
      </c>
      <c r="G1615">
        <v>690027</v>
      </c>
      <c r="H1615" s="116"/>
      <c r="I1615" s="116"/>
      <c r="L1615" s="170">
        <v>44383</v>
      </c>
      <c r="M1615" s="116">
        <v>22.38</v>
      </c>
      <c r="N1615" s="116">
        <v>22.42</v>
      </c>
      <c r="O1615" s="116">
        <v>20.64</v>
      </c>
      <c r="P1615" s="116">
        <v>21.1</v>
      </c>
      <c r="Q1615" s="116">
        <v>111.9</v>
      </c>
      <c r="R1615">
        <v>6847388</v>
      </c>
    </row>
    <row r="1616" spans="1:18" x14ac:dyDescent="0.25">
      <c r="A1616" s="170">
        <v>44384</v>
      </c>
      <c r="B1616" s="116">
        <v>22.8</v>
      </c>
      <c r="C1616" s="116">
        <v>21.94</v>
      </c>
      <c r="D1616" s="116">
        <v>21.5</v>
      </c>
      <c r="E1616" s="116">
        <v>22.1</v>
      </c>
      <c r="F1616" s="116">
        <v>109.7</v>
      </c>
      <c r="G1616">
        <v>389056</v>
      </c>
      <c r="H1616" s="116"/>
      <c r="I1616" s="116"/>
      <c r="L1616" s="170">
        <v>44384</v>
      </c>
      <c r="M1616" s="116">
        <v>21.96</v>
      </c>
      <c r="N1616" s="116">
        <v>22.18</v>
      </c>
      <c r="O1616" s="116">
        <v>21.4</v>
      </c>
      <c r="P1616" s="116">
        <v>22.13</v>
      </c>
      <c r="Q1616" s="116">
        <v>109.8</v>
      </c>
      <c r="R1616">
        <v>3037009</v>
      </c>
    </row>
    <row r="1617" spans="1:18" x14ac:dyDescent="0.25">
      <c r="A1617" s="170">
        <v>44385</v>
      </c>
      <c r="B1617" s="116">
        <v>22.35</v>
      </c>
      <c r="C1617" s="116">
        <v>21.61</v>
      </c>
      <c r="D1617" s="116">
        <v>21.2</v>
      </c>
      <c r="E1617" s="116">
        <v>22</v>
      </c>
      <c r="F1617" s="116">
        <v>108.05</v>
      </c>
      <c r="G1617">
        <v>327863</v>
      </c>
      <c r="H1617" s="116"/>
      <c r="I1617" s="116"/>
      <c r="L1617" s="170">
        <v>44385</v>
      </c>
      <c r="M1617" s="116">
        <v>21.75</v>
      </c>
      <c r="N1617" s="116">
        <v>22.12</v>
      </c>
      <c r="O1617" s="116">
        <v>21.42</v>
      </c>
      <c r="P1617" s="116">
        <v>21.96</v>
      </c>
      <c r="Q1617" s="116">
        <v>108.75</v>
      </c>
      <c r="R1617">
        <v>2375171</v>
      </c>
    </row>
    <row r="1618" spans="1:18" x14ac:dyDescent="0.25">
      <c r="A1618" s="170">
        <v>44386</v>
      </c>
      <c r="B1618" s="116">
        <v>22.2</v>
      </c>
      <c r="C1618" s="116">
        <v>21.9</v>
      </c>
      <c r="D1618" s="116">
        <v>21.4</v>
      </c>
      <c r="E1618" s="116">
        <v>21.8</v>
      </c>
      <c r="F1618" s="116">
        <v>109.5</v>
      </c>
      <c r="G1618">
        <v>289152</v>
      </c>
      <c r="H1618" s="116"/>
      <c r="I1618" s="116"/>
      <c r="L1618" s="170">
        <v>44386</v>
      </c>
      <c r="M1618" s="116">
        <v>21.91</v>
      </c>
      <c r="N1618" s="116">
        <v>22.19</v>
      </c>
      <c r="O1618" s="116">
        <v>21.4</v>
      </c>
      <c r="P1618" s="116">
        <v>21.77</v>
      </c>
      <c r="Q1618" s="116">
        <v>109.55</v>
      </c>
      <c r="R1618">
        <v>2249268</v>
      </c>
    </row>
    <row r="1619" spans="1:18" x14ac:dyDescent="0.25">
      <c r="A1619" s="170">
        <v>44389</v>
      </c>
      <c r="B1619" s="116">
        <v>22.39</v>
      </c>
      <c r="C1619" s="116">
        <v>21.65</v>
      </c>
      <c r="D1619" s="116">
        <v>21.4</v>
      </c>
      <c r="E1619" s="116">
        <v>22.39</v>
      </c>
      <c r="F1619" s="116">
        <v>108.25</v>
      </c>
      <c r="G1619">
        <v>281182</v>
      </c>
      <c r="H1619" s="116"/>
      <c r="I1619" s="116"/>
      <c r="L1619" s="170">
        <v>44389</v>
      </c>
      <c r="M1619" s="116">
        <v>21.64</v>
      </c>
      <c r="N1619" s="116">
        <v>22.19</v>
      </c>
      <c r="O1619" s="116">
        <v>21.6</v>
      </c>
      <c r="P1619" s="116">
        <v>22.13</v>
      </c>
      <c r="Q1619" s="116">
        <v>108.2</v>
      </c>
      <c r="R1619">
        <v>1987553</v>
      </c>
    </row>
    <row r="1620" spans="1:18" x14ac:dyDescent="0.25">
      <c r="A1620" s="170">
        <v>44390</v>
      </c>
      <c r="B1620" s="116">
        <v>22</v>
      </c>
      <c r="C1620" s="116">
        <v>21.31</v>
      </c>
      <c r="D1620" s="116">
        <v>21.2</v>
      </c>
      <c r="E1620" s="116">
        <v>21.8</v>
      </c>
      <c r="F1620" s="116">
        <v>106.55</v>
      </c>
      <c r="G1620">
        <v>566650</v>
      </c>
      <c r="H1620" s="116"/>
      <c r="I1620" s="116"/>
      <c r="L1620" s="170">
        <v>44390</v>
      </c>
      <c r="M1620" s="116">
        <v>21.35</v>
      </c>
      <c r="N1620" s="116">
        <v>21.96</v>
      </c>
      <c r="O1620" s="116">
        <v>21.21</v>
      </c>
      <c r="P1620" s="116">
        <v>21.8</v>
      </c>
      <c r="Q1620" s="116">
        <v>106.75</v>
      </c>
      <c r="R1620">
        <v>2049450</v>
      </c>
    </row>
    <row r="1621" spans="1:18" x14ac:dyDescent="0.25">
      <c r="A1621" s="170">
        <v>44391</v>
      </c>
      <c r="B1621" s="116">
        <v>21.77</v>
      </c>
      <c r="C1621" s="116">
        <v>21.09</v>
      </c>
      <c r="D1621" s="116">
        <v>21</v>
      </c>
      <c r="E1621" s="116">
        <v>21.3</v>
      </c>
      <c r="F1621" s="116">
        <v>105.45</v>
      </c>
      <c r="G1621">
        <v>329761</v>
      </c>
      <c r="H1621" s="116"/>
      <c r="I1621" s="116"/>
      <c r="L1621" s="170">
        <v>44391</v>
      </c>
      <c r="M1621" s="116">
        <v>21.01</v>
      </c>
      <c r="N1621" s="116">
        <v>21.7</v>
      </c>
      <c r="O1621" s="116">
        <v>20.96</v>
      </c>
      <c r="P1621" s="116">
        <v>21.56</v>
      </c>
      <c r="Q1621" s="116">
        <v>105.05</v>
      </c>
      <c r="R1621">
        <v>2239191</v>
      </c>
    </row>
    <row r="1622" spans="1:18" x14ac:dyDescent="0.25">
      <c r="A1622" s="170">
        <v>44392</v>
      </c>
      <c r="B1622" s="116">
        <v>21.2</v>
      </c>
      <c r="C1622" s="116">
        <v>20.78</v>
      </c>
      <c r="D1622" s="116">
        <v>20.6</v>
      </c>
      <c r="E1622" s="116">
        <v>21.09</v>
      </c>
      <c r="F1622" s="116">
        <v>103.9</v>
      </c>
      <c r="G1622">
        <v>732713</v>
      </c>
      <c r="H1622" s="116"/>
      <c r="I1622" s="116"/>
      <c r="L1622" s="170">
        <v>44392</v>
      </c>
      <c r="M1622" s="116">
        <v>20.82</v>
      </c>
      <c r="N1622" s="116">
        <v>21.2</v>
      </c>
      <c r="O1622" s="116">
        <v>20.65</v>
      </c>
      <c r="P1622" s="116">
        <v>21.01</v>
      </c>
      <c r="Q1622" s="116">
        <v>104.1</v>
      </c>
      <c r="R1622">
        <v>2351596</v>
      </c>
    </row>
    <row r="1623" spans="1:18" x14ac:dyDescent="0.25">
      <c r="A1623" s="170">
        <v>44393</v>
      </c>
      <c r="B1623" s="116">
        <v>21.7</v>
      </c>
      <c r="C1623" s="116">
        <v>21.05</v>
      </c>
      <c r="D1623" s="116">
        <v>20.399999999999999</v>
      </c>
      <c r="E1623" s="116">
        <v>21.2</v>
      </c>
      <c r="F1623" s="116">
        <v>105.25</v>
      </c>
      <c r="G1623">
        <v>463413</v>
      </c>
      <c r="H1623" s="116"/>
      <c r="I1623" s="116"/>
      <c r="L1623" s="170">
        <v>44393</v>
      </c>
      <c r="M1623" s="116">
        <v>21.13</v>
      </c>
      <c r="N1623" s="116">
        <v>21.58</v>
      </c>
      <c r="O1623" s="116">
        <v>20.399999999999999</v>
      </c>
      <c r="P1623" s="116">
        <v>20.82</v>
      </c>
      <c r="Q1623" s="116">
        <v>105.65</v>
      </c>
      <c r="R1623">
        <v>3420046</v>
      </c>
    </row>
    <row r="1624" spans="1:18" x14ac:dyDescent="0.25">
      <c r="A1624" s="170">
        <v>44396</v>
      </c>
      <c r="B1624" s="116">
        <v>21.56</v>
      </c>
      <c r="C1624" s="116">
        <v>20.46</v>
      </c>
      <c r="D1624" s="116">
        <v>20.23</v>
      </c>
      <c r="E1624" s="116">
        <v>21.2</v>
      </c>
      <c r="F1624" s="116">
        <v>102.3</v>
      </c>
      <c r="G1624">
        <v>584422</v>
      </c>
      <c r="H1624" s="116"/>
      <c r="I1624" s="116"/>
      <c r="L1624" s="170">
        <v>44396</v>
      </c>
      <c r="M1624" s="116">
        <v>20.43</v>
      </c>
      <c r="N1624" s="116">
        <v>21.55</v>
      </c>
      <c r="O1624" s="116">
        <v>20.09</v>
      </c>
      <c r="P1624" s="116">
        <v>21.13</v>
      </c>
      <c r="Q1624" s="116">
        <v>102.15</v>
      </c>
      <c r="R1624">
        <v>5073034</v>
      </c>
    </row>
    <row r="1625" spans="1:18" x14ac:dyDescent="0.25">
      <c r="A1625" s="170">
        <v>44397</v>
      </c>
      <c r="B1625" s="116">
        <v>19.8</v>
      </c>
      <c r="C1625" s="116">
        <v>19.440000000000001</v>
      </c>
      <c r="D1625" s="116">
        <v>19.440000000000001</v>
      </c>
      <c r="E1625" s="116">
        <v>19.440000000000001</v>
      </c>
      <c r="F1625" s="116">
        <v>97.2</v>
      </c>
      <c r="G1625">
        <v>1049622</v>
      </c>
      <c r="H1625" s="116"/>
      <c r="I1625" s="116"/>
      <c r="L1625" s="170">
        <v>44397</v>
      </c>
      <c r="M1625" s="116">
        <v>19.41</v>
      </c>
      <c r="N1625" s="116">
        <v>19.760000000000002</v>
      </c>
      <c r="O1625" s="116">
        <v>19.41</v>
      </c>
      <c r="P1625" s="116">
        <v>19.41</v>
      </c>
      <c r="Q1625" s="116">
        <v>97.05</v>
      </c>
      <c r="R1625">
        <v>4880468</v>
      </c>
    </row>
    <row r="1626" spans="1:18" x14ac:dyDescent="0.25">
      <c r="A1626" s="170">
        <v>44399</v>
      </c>
      <c r="B1626" s="116">
        <v>20.41</v>
      </c>
      <c r="C1626" s="116">
        <v>20.39</v>
      </c>
      <c r="D1626" s="116">
        <v>18.47</v>
      </c>
      <c r="E1626" s="116">
        <v>18.47</v>
      </c>
      <c r="F1626" s="116">
        <v>101.95</v>
      </c>
      <c r="G1626">
        <v>1875072</v>
      </c>
      <c r="H1626" s="116"/>
      <c r="I1626" s="116"/>
      <c r="L1626" s="170">
        <v>44399</v>
      </c>
      <c r="M1626" s="116">
        <v>20.36</v>
      </c>
      <c r="N1626" s="116">
        <v>20.38</v>
      </c>
      <c r="O1626" s="116">
        <v>18.440000000000001</v>
      </c>
      <c r="P1626" s="116">
        <v>18.440000000000001</v>
      </c>
      <c r="Q1626" s="116">
        <v>101.8</v>
      </c>
      <c r="R1626">
        <v>6077944</v>
      </c>
    </row>
    <row r="1627" spans="1:18" x14ac:dyDescent="0.25">
      <c r="A1627" s="170">
        <v>44400</v>
      </c>
      <c r="B1627" s="116">
        <v>20.9</v>
      </c>
      <c r="C1627" s="116">
        <v>20.100000000000001</v>
      </c>
      <c r="D1627" s="116">
        <v>19.440000000000001</v>
      </c>
      <c r="E1627" s="116">
        <v>20.399999999999999</v>
      </c>
      <c r="F1627" s="116">
        <v>100.5</v>
      </c>
      <c r="G1627">
        <v>957167</v>
      </c>
      <c r="H1627" s="116"/>
      <c r="I1627" s="116"/>
      <c r="L1627" s="170">
        <v>44400</v>
      </c>
      <c r="M1627" s="116">
        <v>20.09</v>
      </c>
      <c r="N1627" s="116">
        <v>20.92</v>
      </c>
      <c r="O1627" s="116">
        <v>19.440000000000001</v>
      </c>
      <c r="P1627" s="116">
        <v>20.29</v>
      </c>
      <c r="Q1627" s="116">
        <v>100.45</v>
      </c>
      <c r="R1627">
        <v>3575596</v>
      </c>
    </row>
    <row r="1628" spans="1:18" x14ac:dyDescent="0.25">
      <c r="A1628" s="170">
        <v>44403</v>
      </c>
      <c r="B1628" s="116">
        <v>20</v>
      </c>
      <c r="C1628" s="116">
        <v>19.559999999999999</v>
      </c>
      <c r="D1628" s="116">
        <v>19.420000000000002</v>
      </c>
      <c r="E1628" s="116">
        <v>20</v>
      </c>
      <c r="F1628" s="116">
        <v>97.8</v>
      </c>
      <c r="G1628">
        <v>515924</v>
      </c>
      <c r="H1628" s="116"/>
      <c r="I1628" s="116"/>
      <c r="L1628" s="170">
        <v>44403</v>
      </c>
      <c r="M1628" s="116">
        <v>19.59</v>
      </c>
      <c r="N1628" s="116">
        <v>20.100000000000001</v>
      </c>
      <c r="O1628" s="116">
        <v>19.510000000000002</v>
      </c>
      <c r="P1628" s="116">
        <v>20.09</v>
      </c>
      <c r="Q1628" s="116">
        <v>97.95</v>
      </c>
      <c r="R1628">
        <v>1603624</v>
      </c>
    </row>
    <row r="1629" spans="1:18" x14ac:dyDescent="0.25">
      <c r="A1629" s="170">
        <v>44404</v>
      </c>
      <c r="B1629" s="116">
        <v>19.600000000000001</v>
      </c>
      <c r="C1629" s="116">
        <v>18.989999999999998</v>
      </c>
      <c r="D1629" s="116">
        <v>18.8</v>
      </c>
      <c r="E1629" s="116">
        <v>19.559999999999999</v>
      </c>
      <c r="F1629" s="116">
        <v>94.95</v>
      </c>
      <c r="G1629">
        <v>319960</v>
      </c>
      <c r="H1629" s="116"/>
      <c r="I1629" s="116"/>
      <c r="L1629" s="170">
        <v>44404</v>
      </c>
      <c r="M1629" s="116">
        <v>18.95</v>
      </c>
      <c r="N1629" s="116">
        <v>19.53</v>
      </c>
      <c r="O1629" s="116">
        <v>18.809999999999999</v>
      </c>
      <c r="P1629" s="116">
        <v>19.399999999999999</v>
      </c>
      <c r="Q1629" s="116">
        <v>94.75</v>
      </c>
      <c r="R1629">
        <v>2641412</v>
      </c>
    </row>
    <row r="1630" spans="1:18" x14ac:dyDescent="0.25">
      <c r="A1630" s="170">
        <v>44405</v>
      </c>
      <c r="B1630" s="116">
        <v>19.600000000000001</v>
      </c>
      <c r="C1630" s="116">
        <v>19.39</v>
      </c>
      <c r="D1630" s="116">
        <v>18.399999999999999</v>
      </c>
      <c r="E1630" s="116">
        <v>18.8</v>
      </c>
      <c r="F1630" s="116">
        <v>96.95</v>
      </c>
      <c r="G1630">
        <v>756294</v>
      </c>
      <c r="H1630" s="116"/>
      <c r="I1630" s="116"/>
      <c r="L1630" s="170">
        <v>44405</v>
      </c>
      <c r="M1630" s="116">
        <v>19.41</v>
      </c>
      <c r="N1630" s="116">
        <v>19.78</v>
      </c>
      <c r="O1630" s="116">
        <v>18.3</v>
      </c>
      <c r="P1630" s="116">
        <v>18.95</v>
      </c>
      <c r="Q1630" s="116">
        <v>97.05</v>
      </c>
      <c r="R1630">
        <v>2816313</v>
      </c>
    </row>
    <row r="1631" spans="1:18" x14ac:dyDescent="0.25">
      <c r="A1631" s="170">
        <v>44406</v>
      </c>
      <c r="B1631" s="116">
        <v>19.899999999999999</v>
      </c>
      <c r="C1631" s="116">
        <v>19.149999999999999</v>
      </c>
      <c r="D1631" s="116">
        <v>19.100000000000001</v>
      </c>
      <c r="E1631" s="116">
        <v>19.79</v>
      </c>
      <c r="F1631" s="116">
        <v>95.75</v>
      </c>
      <c r="G1631">
        <v>170634</v>
      </c>
      <c r="H1631" s="116"/>
      <c r="I1631" s="116"/>
      <c r="L1631" s="170">
        <v>44406</v>
      </c>
      <c r="M1631" s="116">
        <v>19.079999999999998</v>
      </c>
      <c r="N1631" s="116">
        <v>19.7</v>
      </c>
      <c r="O1631" s="116">
        <v>19.010000000000002</v>
      </c>
      <c r="P1631" s="116">
        <v>19.690000000000001</v>
      </c>
      <c r="Q1631" s="116">
        <v>95.4</v>
      </c>
      <c r="R1631">
        <v>1394213</v>
      </c>
    </row>
    <row r="1632" spans="1:18" x14ac:dyDescent="0.25">
      <c r="A1632" s="170">
        <v>44407</v>
      </c>
      <c r="B1632" s="116">
        <v>19.399999999999999</v>
      </c>
      <c r="C1632" s="116">
        <v>19.149999999999999</v>
      </c>
      <c r="D1632" s="116">
        <v>18.809999999999999</v>
      </c>
      <c r="E1632" s="116">
        <v>19.149999999999999</v>
      </c>
      <c r="F1632" s="116">
        <v>95.75</v>
      </c>
      <c r="G1632">
        <v>355128</v>
      </c>
      <c r="H1632" s="116"/>
      <c r="I1632" s="116"/>
      <c r="L1632" s="170">
        <v>44407</v>
      </c>
      <c r="M1632" s="116">
        <v>19.170000000000002</v>
      </c>
      <c r="N1632" s="116">
        <v>19.399999999999999</v>
      </c>
      <c r="O1632" s="116">
        <v>18.8</v>
      </c>
      <c r="P1632" s="116">
        <v>19.04</v>
      </c>
      <c r="Q1632" s="116">
        <v>95.85</v>
      </c>
      <c r="R1632">
        <v>1305492</v>
      </c>
    </row>
    <row r="1633" spans="1:18" x14ac:dyDescent="0.25">
      <c r="A1633" s="170">
        <v>44410</v>
      </c>
      <c r="B1633" s="116">
        <v>19.600000000000001</v>
      </c>
      <c r="C1633" s="116">
        <v>18.57</v>
      </c>
      <c r="D1633" s="116">
        <v>18.47</v>
      </c>
      <c r="E1633" s="116">
        <v>19.399999999999999</v>
      </c>
      <c r="F1633" s="116">
        <v>92.85</v>
      </c>
      <c r="G1633">
        <v>786784</v>
      </c>
      <c r="H1633" s="116"/>
      <c r="I1633" s="116"/>
      <c r="L1633" s="170">
        <v>44410</v>
      </c>
      <c r="M1633" s="116">
        <v>18.57</v>
      </c>
      <c r="N1633" s="116">
        <v>19.57</v>
      </c>
      <c r="O1633" s="116">
        <v>18.38</v>
      </c>
      <c r="P1633" s="116">
        <v>19.3</v>
      </c>
      <c r="Q1633" s="116">
        <v>92.85</v>
      </c>
      <c r="R1633">
        <v>6512680</v>
      </c>
    </row>
    <row r="1634" spans="1:18" x14ac:dyDescent="0.25">
      <c r="A1634" s="170">
        <v>44411</v>
      </c>
      <c r="B1634" s="116">
        <v>19.3</v>
      </c>
      <c r="C1634" s="116">
        <v>18.399999999999999</v>
      </c>
      <c r="D1634" s="116">
        <v>18.38</v>
      </c>
      <c r="E1634" s="116">
        <v>18.8</v>
      </c>
      <c r="F1634" s="116">
        <v>92</v>
      </c>
      <c r="G1634">
        <v>603114</v>
      </c>
      <c r="H1634" s="116"/>
      <c r="I1634" s="116"/>
      <c r="L1634" s="170">
        <v>44411</v>
      </c>
      <c r="M1634" s="116">
        <v>18.37</v>
      </c>
      <c r="N1634" s="116">
        <v>19.260000000000002</v>
      </c>
      <c r="O1634" s="116">
        <v>18.260000000000002</v>
      </c>
      <c r="P1634" s="116">
        <v>18.899999999999999</v>
      </c>
      <c r="Q1634" s="116">
        <v>91.85</v>
      </c>
      <c r="R1634">
        <v>6522676</v>
      </c>
    </row>
    <row r="1635" spans="1:18" x14ac:dyDescent="0.25">
      <c r="A1635" s="170">
        <v>44412</v>
      </c>
      <c r="B1635" s="116">
        <v>18.8</v>
      </c>
      <c r="C1635" s="116">
        <v>18.02</v>
      </c>
      <c r="D1635" s="116">
        <v>17.8</v>
      </c>
      <c r="E1635" s="116">
        <v>18.600000000000001</v>
      </c>
      <c r="F1635" s="116">
        <v>90.1</v>
      </c>
      <c r="G1635">
        <v>926995</v>
      </c>
      <c r="H1635" s="116"/>
      <c r="I1635" s="116"/>
      <c r="L1635" s="170">
        <v>44412</v>
      </c>
      <c r="M1635" s="116">
        <v>18.05</v>
      </c>
      <c r="N1635" s="116">
        <v>18.8</v>
      </c>
      <c r="O1635" s="116">
        <v>18</v>
      </c>
      <c r="P1635" s="116">
        <v>18.72</v>
      </c>
      <c r="Q1635" s="116">
        <v>90.25</v>
      </c>
      <c r="R1635">
        <v>5287541</v>
      </c>
    </row>
    <row r="1636" spans="1:18" x14ac:dyDescent="0.25">
      <c r="A1636" s="170">
        <v>44413</v>
      </c>
      <c r="B1636" s="116">
        <v>18.46</v>
      </c>
      <c r="C1636" s="116">
        <v>17.75</v>
      </c>
      <c r="D1636" s="116">
        <v>17.420000000000002</v>
      </c>
      <c r="E1636" s="116">
        <v>18.399999999999999</v>
      </c>
      <c r="F1636" s="116">
        <v>88.75</v>
      </c>
      <c r="G1636">
        <v>381335</v>
      </c>
      <c r="H1636" s="116"/>
      <c r="I1636" s="116"/>
      <c r="L1636" s="170">
        <v>44413</v>
      </c>
      <c r="M1636" s="116">
        <v>17.63</v>
      </c>
      <c r="N1636" s="116">
        <v>18.59</v>
      </c>
      <c r="O1636" s="116">
        <v>17.399999999999999</v>
      </c>
      <c r="P1636" s="116">
        <v>18.399999999999999</v>
      </c>
      <c r="Q1636" s="116">
        <v>88.15</v>
      </c>
      <c r="R1636">
        <v>4137929</v>
      </c>
    </row>
    <row r="1637" spans="1:18" x14ac:dyDescent="0.25">
      <c r="A1637" s="170">
        <v>44414</v>
      </c>
      <c r="B1637" s="116">
        <v>18.63</v>
      </c>
      <c r="C1637" s="116">
        <v>18.63</v>
      </c>
      <c r="D1637" s="116">
        <v>17.8</v>
      </c>
      <c r="E1637" s="116">
        <v>17.91</v>
      </c>
      <c r="F1637" s="116">
        <v>93.15</v>
      </c>
      <c r="G1637">
        <v>1589010</v>
      </c>
      <c r="H1637" s="116"/>
      <c r="I1637" s="116"/>
      <c r="L1637" s="170">
        <v>44414</v>
      </c>
      <c r="M1637" s="116">
        <v>18.510000000000002</v>
      </c>
      <c r="N1637" s="116">
        <v>18.510000000000002</v>
      </c>
      <c r="O1637" s="116">
        <v>17.82</v>
      </c>
      <c r="P1637" s="116">
        <v>18.440000000000001</v>
      </c>
      <c r="Q1637" s="116">
        <v>92.55</v>
      </c>
      <c r="R1637">
        <v>4321632</v>
      </c>
    </row>
    <row r="1638" spans="1:18" x14ac:dyDescent="0.25">
      <c r="A1638" s="170">
        <v>44417</v>
      </c>
      <c r="B1638" s="116">
        <v>19.079999999999998</v>
      </c>
      <c r="C1638" s="116">
        <v>18</v>
      </c>
      <c r="D1638" s="116">
        <v>17.7</v>
      </c>
      <c r="E1638" s="116">
        <v>19.079999999999998</v>
      </c>
      <c r="F1638" s="116">
        <v>90</v>
      </c>
      <c r="G1638">
        <v>1052793</v>
      </c>
      <c r="H1638" s="116"/>
      <c r="I1638" s="116"/>
      <c r="L1638" s="170">
        <v>44417</v>
      </c>
      <c r="M1638" s="116">
        <v>18.07</v>
      </c>
      <c r="N1638" s="116">
        <v>19.100000000000001</v>
      </c>
      <c r="O1638" s="116">
        <v>17.91</v>
      </c>
      <c r="P1638" s="116">
        <v>18.940000000000001</v>
      </c>
      <c r="Q1638" s="116">
        <v>90.35</v>
      </c>
      <c r="R1638">
        <v>3385305</v>
      </c>
    </row>
    <row r="1639" spans="1:18" x14ac:dyDescent="0.25">
      <c r="A1639" s="170">
        <v>44418</v>
      </c>
      <c r="B1639" s="116">
        <v>18.3</v>
      </c>
      <c r="C1639" s="116">
        <v>17.190000000000001</v>
      </c>
      <c r="D1639" s="116">
        <v>17.100000000000001</v>
      </c>
      <c r="E1639" s="116">
        <v>18.2</v>
      </c>
      <c r="F1639" s="116">
        <v>85.95</v>
      </c>
      <c r="G1639">
        <v>490480</v>
      </c>
      <c r="H1639" s="116"/>
      <c r="I1639" s="116"/>
      <c r="L1639" s="170">
        <v>44418</v>
      </c>
      <c r="M1639" s="116">
        <v>17.170000000000002</v>
      </c>
      <c r="N1639" s="116">
        <v>18.27</v>
      </c>
      <c r="O1639" s="116">
        <v>17.170000000000002</v>
      </c>
      <c r="P1639" s="116">
        <v>18.2</v>
      </c>
      <c r="Q1639" s="116">
        <v>85.85</v>
      </c>
      <c r="R1639">
        <v>3720177</v>
      </c>
    </row>
    <row r="1640" spans="1:18" x14ac:dyDescent="0.25">
      <c r="A1640" s="170">
        <v>44419</v>
      </c>
      <c r="B1640" s="116">
        <v>17</v>
      </c>
      <c r="C1640" s="116">
        <v>16.68</v>
      </c>
      <c r="D1640" s="116">
        <v>16.34</v>
      </c>
      <c r="E1640" s="116">
        <v>16.399999999999999</v>
      </c>
      <c r="F1640" s="116">
        <v>83.4</v>
      </c>
      <c r="G1640">
        <v>1239296</v>
      </c>
      <c r="H1640" s="116"/>
      <c r="I1640" s="116"/>
      <c r="L1640" s="170">
        <v>44419</v>
      </c>
      <c r="M1640" s="116">
        <v>16.68</v>
      </c>
      <c r="N1640" s="116">
        <v>17</v>
      </c>
      <c r="O1640" s="116">
        <v>16.32</v>
      </c>
      <c r="P1640" s="116">
        <v>16.36</v>
      </c>
      <c r="Q1640" s="116">
        <v>83.4</v>
      </c>
      <c r="R1640">
        <v>5352153</v>
      </c>
    </row>
    <row r="1641" spans="1:18" x14ac:dyDescent="0.25">
      <c r="A1641" s="170">
        <v>44420</v>
      </c>
      <c r="B1641" s="116">
        <v>17.29</v>
      </c>
      <c r="C1641" s="116">
        <v>17.010000000000002</v>
      </c>
      <c r="D1641" s="116">
        <v>16.2</v>
      </c>
      <c r="E1641" s="116">
        <v>16.2</v>
      </c>
      <c r="F1641" s="116">
        <v>85.05</v>
      </c>
      <c r="G1641">
        <v>674920</v>
      </c>
      <c r="H1641" s="116"/>
      <c r="I1641" s="116"/>
      <c r="L1641" s="170">
        <v>44420</v>
      </c>
      <c r="M1641" s="116">
        <v>17</v>
      </c>
      <c r="N1641" s="116">
        <v>17.36</v>
      </c>
      <c r="O1641" s="116">
        <v>16.22</v>
      </c>
      <c r="P1641" s="116">
        <v>16.38</v>
      </c>
      <c r="Q1641" s="116">
        <v>85</v>
      </c>
      <c r="R1641">
        <v>3362033</v>
      </c>
    </row>
    <row r="1642" spans="1:18" x14ac:dyDescent="0.25">
      <c r="A1642" s="170">
        <v>44421</v>
      </c>
      <c r="B1642" s="116">
        <v>17.39</v>
      </c>
      <c r="C1642" s="116">
        <v>17.02</v>
      </c>
      <c r="D1642" s="116">
        <v>16.940000000000001</v>
      </c>
      <c r="E1642" s="116">
        <v>17.39</v>
      </c>
      <c r="F1642" s="116">
        <v>85.1</v>
      </c>
      <c r="G1642">
        <v>376289</v>
      </c>
      <c r="H1642" s="116"/>
      <c r="I1642" s="116"/>
      <c r="L1642" s="170">
        <v>44421</v>
      </c>
      <c r="M1642" s="116">
        <v>16.989999999999998</v>
      </c>
      <c r="N1642" s="116">
        <v>17.32</v>
      </c>
      <c r="O1642" s="116">
        <v>16.920000000000002</v>
      </c>
      <c r="P1642" s="116">
        <v>17.29</v>
      </c>
      <c r="Q1642" s="116">
        <v>84.95</v>
      </c>
      <c r="R1642">
        <v>1778246</v>
      </c>
    </row>
    <row r="1643" spans="1:18" x14ac:dyDescent="0.25">
      <c r="A1643" s="170">
        <v>44424</v>
      </c>
      <c r="B1643" s="116">
        <v>17</v>
      </c>
      <c r="C1643" s="116">
        <v>16.63</v>
      </c>
      <c r="D1643" s="116">
        <v>16.399999999999999</v>
      </c>
      <c r="E1643" s="116">
        <v>16.71</v>
      </c>
      <c r="F1643" s="116">
        <v>83.15</v>
      </c>
      <c r="G1643">
        <v>565895</v>
      </c>
      <c r="H1643" s="116"/>
      <c r="I1643" s="116"/>
      <c r="L1643" s="170">
        <v>44424</v>
      </c>
      <c r="M1643" s="116">
        <v>16.61</v>
      </c>
      <c r="N1643" s="116">
        <v>16.989999999999998</v>
      </c>
      <c r="O1643" s="116">
        <v>16.440000000000001</v>
      </c>
      <c r="P1643" s="116">
        <v>16.98</v>
      </c>
      <c r="Q1643" s="116">
        <v>83.05</v>
      </c>
      <c r="R1643">
        <v>1696098</v>
      </c>
    </row>
    <row r="1644" spans="1:18" x14ac:dyDescent="0.25">
      <c r="A1644" s="170">
        <v>44425</v>
      </c>
      <c r="B1644" s="116">
        <v>16.8</v>
      </c>
      <c r="C1644" s="116">
        <v>15.97</v>
      </c>
      <c r="D1644" s="116">
        <v>15.8</v>
      </c>
      <c r="E1644" s="116">
        <v>16.420000000000002</v>
      </c>
      <c r="F1644" s="116">
        <v>79.849999999999994</v>
      </c>
      <c r="G1644">
        <v>915456</v>
      </c>
      <c r="H1644" s="116"/>
      <c r="I1644" s="116"/>
      <c r="L1644" s="170">
        <v>44425</v>
      </c>
      <c r="M1644" s="116">
        <v>15.99</v>
      </c>
      <c r="N1644" s="116">
        <v>16.66</v>
      </c>
      <c r="O1644" s="116">
        <v>15.79</v>
      </c>
      <c r="P1644" s="116">
        <v>16.600000000000001</v>
      </c>
      <c r="Q1644" s="116">
        <v>79.95</v>
      </c>
      <c r="R1644">
        <v>4691295</v>
      </c>
    </row>
    <row r="1645" spans="1:18" x14ac:dyDescent="0.25">
      <c r="A1645" s="170">
        <v>44426</v>
      </c>
      <c r="B1645" s="116">
        <v>16.100000000000001</v>
      </c>
      <c r="C1645" s="116">
        <v>15.49</v>
      </c>
      <c r="D1645" s="116">
        <v>15.23</v>
      </c>
      <c r="E1645" s="116">
        <v>16</v>
      </c>
      <c r="F1645" s="116">
        <v>77.45</v>
      </c>
      <c r="G1645">
        <v>456195</v>
      </c>
      <c r="H1645" s="116"/>
      <c r="I1645" s="116"/>
      <c r="L1645" s="170">
        <v>44426</v>
      </c>
      <c r="M1645" s="116">
        <v>15.46</v>
      </c>
      <c r="N1645" s="116">
        <v>16</v>
      </c>
      <c r="O1645" s="116">
        <v>15.3</v>
      </c>
      <c r="P1645" s="116">
        <v>15.99</v>
      </c>
      <c r="Q1645" s="116">
        <v>77.3</v>
      </c>
      <c r="R1645">
        <v>5336843</v>
      </c>
    </row>
    <row r="1646" spans="1:18" x14ac:dyDescent="0.25">
      <c r="A1646" s="170">
        <v>44428</v>
      </c>
      <c r="B1646" s="116">
        <v>16</v>
      </c>
      <c r="C1646" s="116">
        <v>15.49</v>
      </c>
      <c r="D1646" s="116">
        <v>14.78</v>
      </c>
      <c r="E1646" s="116">
        <v>15.14</v>
      </c>
      <c r="F1646" s="116">
        <v>77.45</v>
      </c>
      <c r="G1646">
        <v>1012859</v>
      </c>
      <c r="H1646" s="116"/>
      <c r="I1646" s="116"/>
      <c r="L1646" s="170">
        <v>44428</v>
      </c>
      <c r="M1646" s="116">
        <v>15.49</v>
      </c>
      <c r="N1646" s="116">
        <v>15.94</v>
      </c>
      <c r="O1646" s="116">
        <v>14.83</v>
      </c>
      <c r="P1646" s="116">
        <v>15.05</v>
      </c>
      <c r="Q1646" s="116">
        <v>77.45</v>
      </c>
      <c r="R1646">
        <v>3749024</v>
      </c>
    </row>
    <row r="1647" spans="1:18" x14ac:dyDescent="0.25">
      <c r="A1647" s="170">
        <v>44431</v>
      </c>
      <c r="B1647" s="116">
        <v>15.9</v>
      </c>
      <c r="C1647" s="116">
        <v>14.72</v>
      </c>
      <c r="D1647" s="116">
        <v>14.72</v>
      </c>
      <c r="E1647" s="116">
        <v>15.61</v>
      </c>
      <c r="F1647" s="116">
        <v>73.599999999999994</v>
      </c>
      <c r="G1647">
        <v>856005</v>
      </c>
      <c r="H1647" s="116"/>
      <c r="I1647" s="116"/>
      <c r="L1647" s="170">
        <v>44431</v>
      </c>
      <c r="M1647" s="116">
        <v>14.72</v>
      </c>
      <c r="N1647" s="116">
        <v>15.6</v>
      </c>
      <c r="O1647" s="116">
        <v>14.72</v>
      </c>
      <c r="P1647" s="116">
        <v>15.49</v>
      </c>
      <c r="Q1647" s="116">
        <v>73.599999999999994</v>
      </c>
      <c r="R1647">
        <v>3332697</v>
      </c>
    </row>
    <row r="1648" spans="1:18" x14ac:dyDescent="0.25">
      <c r="A1648" s="170">
        <v>44432</v>
      </c>
      <c r="B1648" s="116">
        <v>15.45</v>
      </c>
      <c r="C1648" s="116">
        <v>15.45</v>
      </c>
      <c r="D1648" s="116">
        <v>13.99</v>
      </c>
      <c r="E1648" s="116">
        <v>14.22</v>
      </c>
      <c r="F1648" s="116">
        <v>77.25</v>
      </c>
      <c r="G1648">
        <v>1029660</v>
      </c>
      <c r="H1648" s="116"/>
      <c r="I1648" s="116"/>
      <c r="L1648" s="170">
        <v>44432</v>
      </c>
      <c r="M1648" s="116">
        <v>15.45</v>
      </c>
      <c r="N1648" s="116">
        <v>15.45</v>
      </c>
      <c r="O1648" s="116">
        <v>14.07</v>
      </c>
      <c r="P1648" s="116">
        <v>14.4</v>
      </c>
      <c r="Q1648" s="116">
        <v>77.25</v>
      </c>
      <c r="R1648">
        <v>3646028</v>
      </c>
    </row>
    <row r="1649" spans="1:18" x14ac:dyDescent="0.25">
      <c r="A1649" s="170">
        <v>44433</v>
      </c>
      <c r="B1649" s="116">
        <v>16.22</v>
      </c>
      <c r="C1649" s="116">
        <v>16.22</v>
      </c>
      <c r="D1649" s="116">
        <v>16.149999999999999</v>
      </c>
      <c r="E1649" s="116">
        <v>16.22</v>
      </c>
      <c r="F1649" s="116">
        <v>81.099999999999994</v>
      </c>
      <c r="G1649">
        <v>385214</v>
      </c>
      <c r="H1649" s="116"/>
      <c r="I1649" s="116"/>
      <c r="L1649" s="170">
        <v>44433</v>
      </c>
      <c r="M1649" s="116">
        <v>16.22</v>
      </c>
      <c r="N1649" s="116">
        <v>16.22</v>
      </c>
      <c r="O1649" s="116">
        <v>15.8</v>
      </c>
      <c r="P1649" s="116">
        <v>16.22</v>
      </c>
      <c r="Q1649" s="116">
        <v>81.099999999999994</v>
      </c>
      <c r="R1649">
        <v>1798861</v>
      </c>
    </row>
    <row r="1650" spans="1:18" x14ac:dyDescent="0.25">
      <c r="A1650" s="170">
        <v>44434</v>
      </c>
      <c r="B1650" s="116">
        <v>17.03</v>
      </c>
      <c r="C1650" s="116">
        <v>17.03</v>
      </c>
      <c r="D1650" s="116">
        <v>17.03</v>
      </c>
      <c r="E1650" s="116">
        <v>17.03</v>
      </c>
      <c r="F1650" s="116">
        <v>85.15</v>
      </c>
      <c r="G1650">
        <v>241839</v>
      </c>
      <c r="H1650" s="116"/>
      <c r="I1650" s="116"/>
      <c r="L1650" s="170">
        <v>44434</v>
      </c>
      <c r="M1650" s="116">
        <v>17.03</v>
      </c>
      <c r="N1650" s="116">
        <v>17.03</v>
      </c>
      <c r="O1650" s="116">
        <v>17.03</v>
      </c>
      <c r="P1650" s="116">
        <v>17.03</v>
      </c>
      <c r="Q1650" s="116">
        <v>85.15</v>
      </c>
      <c r="R1650">
        <v>817482</v>
      </c>
    </row>
    <row r="1651" spans="1:18" x14ac:dyDescent="0.25">
      <c r="A1651" s="170">
        <v>44435</v>
      </c>
      <c r="B1651" s="116">
        <v>17.88</v>
      </c>
      <c r="C1651" s="116">
        <v>17.88</v>
      </c>
      <c r="D1651" s="116">
        <v>16.82</v>
      </c>
      <c r="E1651" s="116">
        <v>17.88</v>
      </c>
      <c r="F1651" s="116">
        <v>89.4</v>
      </c>
      <c r="G1651">
        <v>2546634</v>
      </c>
      <c r="H1651" s="116"/>
      <c r="I1651" s="116"/>
      <c r="L1651" s="170">
        <v>44435</v>
      </c>
      <c r="M1651" s="116">
        <v>17.88</v>
      </c>
      <c r="N1651" s="116">
        <v>17.88</v>
      </c>
      <c r="O1651" s="116">
        <v>17.03</v>
      </c>
      <c r="P1651" s="116">
        <v>17.88</v>
      </c>
      <c r="Q1651" s="116">
        <v>89.4</v>
      </c>
      <c r="R1651">
        <v>8789561</v>
      </c>
    </row>
    <row r="1652" spans="1:18" x14ac:dyDescent="0.25">
      <c r="A1652" s="170">
        <v>44438</v>
      </c>
      <c r="B1652" s="116">
        <v>18.77</v>
      </c>
      <c r="C1652" s="116">
        <v>18.77</v>
      </c>
      <c r="D1652" s="116">
        <v>17.8</v>
      </c>
      <c r="E1652" s="116">
        <v>18.48</v>
      </c>
      <c r="F1652" s="116">
        <v>93.85</v>
      </c>
      <c r="G1652">
        <v>1290695</v>
      </c>
      <c r="H1652" s="116"/>
      <c r="I1652" s="116"/>
      <c r="L1652" s="170">
        <v>44438</v>
      </c>
      <c r="M1652" s="116">
        <v>18.77</v>
      </c>
      <c r="N1652" s="116">
        <v>18.77</v>
      </c>
      <c r="O1652" s="116">
        <v>18</v>
      </c>
      <c r="P1652" s="116">
        <v>18.260000000000002</v>
      </c>
      <c r="Q1652" s="116">
        <v>93.85</v>
      </c>
      <c r="R1652">
        <v>5143549</v>
      </c>
    </row>
    <row r="1653" spans="1:18" x14ac:dyDescent="0.25">
      <c r="A1653" s="170">
        <v>44439</v>
      </c>
      <c r="B1653" s="116">
        <v>19.7</v>
      </c>
      <c r="C1653" s="116">
        <v>19.7</v>
      </c>
      <c r="D1653" s="116">
        <v>19.149999999999999</v>
      </c>
      <c r="E1653" s="116">
        <v>19.68</v>
      </c>
      <c r="F1653" s="116">
        <v>98.5</v>
      </c>
      <c r="G1653">
        <v>1611749</v>
      </c>
      <c r="H1653" s="116"/>
      <c r="I1653" s="116"/>
      <c r="L1653" s="170">
        <v>44439</v>
      </c>
      <c r="M1653" s="116">
        <v>19.7</v>
      </c>
      <c r="N1653" s="116">
        <v>19.7</v>
      </c>
      <c r="O1653" s="116">
        <v>19.2</v>
      </c>
      <c r="P1653" s="116">
        <v>19.600000000000001</v>
      </c>
      <c r="Q1653" s="116">
        <v>98.5</v>
      </c>
      <c r="R1653">
        <v>8076627</v>
      </c>
    </row>
    <row r="1654" spans="1:18" x14ac:dyDescent="0.25">
      <c r="A1654" s="170">
        <v>44440</v>
      </c>
      <c r="B1654" s="116">
        <v>20.68</v>
      </c>
      <c r="C1654" s="116">
        <v>20.68</v>
      </c>
      <c r="D1654" s="116">
        <v>20.100000000000001</v>
      </c>
      <c r="E1654" s="116">
        <v>20.399999999999999</v>
      </c>
      <c r="F1654" s="116">
        <v>103.4</v>
      </c>
      <c r="G1654">
        <v>921700</v>
      </c>
      <c r="H1654" s="116"/>
      <c r="I1654" s="116"/>
      <c r="L1654" s="170">
        <v>44440</v>
      </c>
      <c r="M1654" s="116">
        <v>20.68</v>
      </c>
      <c r="N1654" s="116">
        <v>20.68</v>
      </c>
      <c r="O1654" s="116">
        <v>20.21</v>
      </c>
      <c r="P1654" s="116">
        <v>20.399999999999999</v>
      </c>
      <c r="Q1654" s="116">
        <v>103.4</v>
      </c>
      <c r="R1654">
        <v>3851699</v>
      </c>
    </row>
    <row r="1655" spans="1:18" x14ac:dyDescent="0.25">
      <c r="A1655" s="170">
        <v>44441</v>
      </c>
      <c r="B1655" s="116">
        <v>21.71</v>
      </c>
      <c r="C1655" s="116">
        <v>21.71</v>
      </c>
      <c r="D1655" s="116">
        <v>21.41</v>
      </c>
      <c r="E1655" s="116">
        <v>21.71</v>
      </c>
      <c r="F1655" s="116">
        <v>108.55</v>
      </c>
      <c r="G1655">
        <v>1019385</v>
      </c>
      <c r="H1655" s="116"/>
      <c r="I1655" s="116"/>
      <c r="L1655" s="170">
        <v>44441</v>
      </c>
      <c r="M1655" s="116">
        <v>21.71</v>
      </c>
      <c r="N1655" s="116">
        <v>21.71</v>
      </c>
      <c r="O1655" s="116">
        <v>21.3</v>
      </c>
      <c r="P1655" s="116">
        <v>21.71</v>
      </c>
      <c r="Q1655" s="116">
        <v>108.55</v>
      </c>
      <c r="R1655">
        <v>6101614</v>
      </c>
    </row>
    <row r="1656" spans="1:18" x14ac:dyDescent="0.25">
      <c r="A1656" s="170">
        <v>44442</v>
      </c>
      <c r="B1656" s="116">
        <v>22.7</v>
      </c>
      <c r="C1656" s="116">
        <v>20.63</v>
      </c>
      <c r="D1656" s="116">
        <v>20.63</v>
      </c>
      <c r="E1656" s="116">
        <v>22.68</v>
      </c>
      <c r="F1656" s="116">
        <v>103.15</v>
      </c>
      <c r="G1656">
        <v>3126487</v>
      </c>
      <c r="H1656" s="116"/>
      <c r="I1656" s="116"/>
      <c r="L1656" s="170">
        <v>44442</v>
      </c>
      <c r="M1656" s="116">
        <v>20.63</v>
      </c>
      <c r="N1656" s="116">
        <v>22.65</v>
      </c>
      <c r="O1656" s="116">
        <v>20.63</v>
      </c>
      <c r="P1656" s="116">
        <v>22.65</v>
      </c>
      <c r="Q1656" s="116">
        <v>103.15</v>
      </c>
      <c r="R1656">
        <v>11600826</v>
      </c>
    </row>
    <row r="1657" spans="1:18" x14ac:dyDescent="0.25">
      <c r="A1657" s="170">
        <v>44445</v>
      </c>
      <c r="B1657" s="116">
        <v>20.399999999999999</v>
      </c>
      <c r="C1657" s="116">
        <v>19.600000000000001</v>
      </c>
      <c r="D1657" s="116">
        <v>19.600000000000001</v>
      </c>
      <c r="E1657" s="116">
        <v>19.600000000000001</v>
      </c>
      <c r="F1657" s="116">
        <v>98</v>
      </c>
      <c r="G1657">
        <v>1190343</v>
      </c>
      <c r="H1657" s="116"/>
      <c r="I1657" s="116"/>
      <c r="L1657" s="170">
        <v>44445</v>
      </c>
      <c r="M1657" s="116">
        <v>19.600000000000001</v>
      </c>
      <c r="N1657" s="116">
        <v>20.43</v>
      </c>
      <c r="O1657" s="116">
        <v>19.600000000000001</v>
      </c>
      <c r="P1657" s="116">
        <v>19.600000000000001</v>
      </c>
      <c r="Q1657" s="116">
        <v>98</v>
      </c>
      <c r="R1657">
        <v>4785158</v>
      </c>
    </row>
    <row r="1658" spans="1:18" x14ac:dyDescent="0.25">
      <c r="A1658" s="170">
        <v>44446</v>
      </c>
      <c r="B1658" s="116">
        <v>19.2</v>
      </c>
      <c r="C1658" s="116">
        <v>18.62</v>
      </c>
      <c r="D1658" s="116">
        <v>18.62</v>
      </c>
      <c r="E1658" s="116">
        <v>18.93</v>
      </c>
      <c r="F1658" s="116">
        <v>93.1</v>
      </c>
      <c r="G1658">
        <v>638173</v>
      </c>
      <c r="H1658" s="116"/>
      <c r="I1658" s="116"/>
      <c r="L1658" s="170">
        <v>44446</v>
      </c>
      <c r="M1658" s="116">
        <v>18.62</v>
      </c>
      <c r="N1658" s="116">
        <v>19.2</v>
      </c>
      <c r="O1658" s="116">
        <v>18.62</v>
      </c>
      <c r="P1658" s="116">
        <v>19.059999999999999</v>
      </c>
      <c r="Q1658" s="116">
        <v>93.1</v>
      </c>
      <c r="R1658">
        <v>2760591</v>
      </c>
    </row>
    <row r="1659" spans="1:18" x14ac:dyDescent="0.25">
      <c r="A1659" s="170">
        <v>44447</v>
      </c>
      <c r="B1659" s="116">
        <v>19.55</v>
      </c>
      <c r="C1659" s="116">
        <v>19.55</v>
      </c>
      <c r="D1659" s="116">
        <v>17.71</v>
      </c>
      <c r="E1659" s="116">
        <v>17.920000000000002</v>
      </c>
      <c r="F1659" s="116">
        <v>97.75</v>
      </c>
      <c r="G1659">
        <v>803666</v>
      </c>
      <c r="H1659" s="116"/>
      <c r="I1659" s="116"/>
      <c r="L1659" s="170">
        <v>44447</v>
      </c>
      <c r="M1659" s="116">
        <v>19.55</v>
      </c>
      <c r="N1659" s="116">
        <v>19.55</v>
      </c>
      <c r="O1659" s="116">
        <v>17.84</v>
      </c>
      <c r="P1659" s="116">
        <v>18</v>
      </c>
      <c r="Q1659" s="116">
        <v>97.75</v>
      </c>
      <c r="R1659">
        <v>3440441</v>
      </c>
    </row>
    <row r="1660" spans="1:18" x14ac:dyDescent="0.25">
      <c r="A1660" s="170">
        <v>44448</v>
      </c>
      <c r="B1660" s="116">
        <v>20.52</v>
      </c>
      <c r="C1660" s="116">
        <v>20.49</v>
      </c>
      <c r="D1660" s="116">
        <v>19.010000000000002</v>
      </c>
      <c r="E1660" s="116">
        <v>19.98</v>
      </c>
      <c r="F1660" s="116">
        <v>102.45</v>
      </c>
      <c r="G1660">
        <v>1679273</v>
      </c>
      <c r="H1660" s="116"/>
      <c r="I1660" s="116"/>
      <c r="L1660" s="170">
        <v>44448</v>
      </c>
      <c r="M1660" s="116">
        <v>20.51</v>
      </c>
      <c r="N1660" s="116">
        <v>20.52</v>
      </c>
      <c r="O1660" s="116">
        <v>19.11</v>
      </c>
      <c r="P1660" s="116">
        <v>20</v>
      </c>
      <c r="Q1660" s="116">
        <v>102.55</v>
      </c>
      <c r="R1660">
        <v>6156828</v>
      </c>
    </row>
    <row r="1661" spans="1:18" x14ac:dyDescent="0.25">
      <c r="A1661" s="170">
        <v>44452</v>
      </c>
      <c r="B1661" s="116">
        <v>20.399999999999999</v>
      </c>
      <c r="C1661" s="116">
        <v>20.13</v>
      </c>
      <c r="D1661" s="116">
        <v>19.600000000000001</v>
      </c>
      <c r="E1661" s="116">
        <v>20.2</v>
      </c>
      <c r="F1661" s="116">
        <v>100.65</v>
      </c>
      <c r="G1661">
        <v>453950</v>
      </c>
      <c r="H1661" s="116"/>
      <c r="I1661" s="116"/>
      <c r="L1661" s="170">
        <v>44452</v>
      </c>
      <c r="M1661" s="116">
        <v>20.11</v>
      </c>
      <c r="N1661" s="116">
        <v>20.38</v>
      </c>
      <c r="O1661" s="116">
        <v>19.66</v>
      </c>
      <c r="P1661" s="116">
        <v>20</v>
      </c>
      <c r="Q1661" s="116">
        <v>100.55</v>
      </c>
      <c r="R1661">
        <v>3776218</v>
      </c>
    </row>
    <row r="1662" spans="1:18" x14ac:dyDescent="0.25">
      <c r="A1662" s="170">
        <v>44453</v>
      </c>
      <c r="B1662" s="116">
        <v>20.39</v>
      </c>
      <c r="C1662" s="116">
        <v>19.82</v>
      </c>
      <c r="D1662" s="116">
        <v>19.600000000000001</v>
      </c>
      <c r="E1662" s="116">
        <v>19.940000000000001</v>
      </c>
      <c r="F1662" s="116">
        <v>99.1</v>
      </c>
      <c r="G1662">
        <v>651705</v>
      </c>
      <c r="H1662" s="116"/>
      <c r="I1662" s="116"/>
      <c r="L1662" s="170">
        <v>44453</v>
      </c>
      <c r="M1662" s="116">
        <v>19.84</v>
      </c>
      <c r="N1662" s="116">
        <v>20.399999999999999</v>
      </c>
      <c r="O1662" s="116">
        <v>19.57</v>
      </c>
      <c r="P1662" s="116">
        <v>19.8</v>
      </c>
      <c r="Q1662" s="116">
        <v>99.2</v>
      </c>
      <c r="R1662">
        <v>2729725</v>
      </c>
    </row>
    <row r="1663" spans="1:18" x14ac:dyDescent="0.25">
      <c r="A1663" s="170">
        <v>44454</v>
      </c>
      <c r="B1663" s="116">
        <v>20.39</v>
      </c>
      <c r="C1663" s="116">
        <v>19.920000000000002</v>
      </c>
      <c r="D1663" s="116">
        <v>19.64</v>
      </c>
      <c r="E1663" s="116">
        <v>19.850000000000001</v>
      </c>
      <c r="F1663" s="116">
        <v>99.6</v>
      </c>
      <c r="G1663">
        <v>338385</v>
      </c>
      <c r="H1663" s="116"/>
      <c r="I1663" s="116"/>
      <c r="L1663" s="170">
        <v>44454</v>
      </c>
      <c r="M1663" s="116">
        <v>19.899999999999999</v>
      </c>
      <c r="N1663" s="116">
        <v>20.3</v>
      </c>
      <c r="O1663" s="116">
        <v>19.600000000000001</v>
      </c>
      <c r="P1663" s="116">
        <v>19.98</v>
      </c>
      <c r="Q1663" s="116">
        <v>99.5</v>
      </c>
      <c r="R1663">
        <v>3005710</v>
      </c>
    </row>
    <row r="1664" spans="1:18" x14ac:dyDescent="0.25">
      <c r="A1664" s="170">
        <v>44455</v>
      </c>
      <c r="B1664" s="116">
        <v>20</v>
      </c>
      <c r="C1664" s="116">
        <v>19.75</v>
      </c>
      <c r="D1664" s="116">
        <v>19.600000000000001</v>
      </c>
      <c r="E1664" s="116">
        <v>19.920000000000002</v>
      </c>
      <c r="F1664" s="116">
        <v>98.75</v>
      </c>
      <c r="G1664">
        <v>611606</v>
      </c>
      <c r="H1664" s="116"/>
      <c r="I1664" s="116"/>
      <c r="L1664" s="170">
        <v>44455</v>
      </c>
      <c r="M1664" s="116">
        <v>19.71</v>
      </c>
      <c r="N1664" s="116">
        <v>20.079999999999998</v>
      </c>
      <c r="O1664" s="116">
        <v>19.64</v>
      </c>
      <c r="P1664" s="116">
        <v>20.07</v>
      </c>
      <c r="Q1664" s="116">
        <v>98.55</v>
      </c>
      <c r="R1664">
        <v>1989457</v>
      </c>
    </row>
    <row r="1665" spans="1:18" x14ac:dyDescent="0.25">
      <c r="A1665" s="170">
        <v>44456</v>
      </c>
      <c r="B1665" s="116">
        <v>20.18</v>
      </c>
      <c r="C1665" s="116">
        <v>19.97</v>
      </c>
      <c r="D1665" s="116">
        <v>19.2</v>
      </c>
      <c r="E1665" s="116">
        <v>19.899999999999999</v>
      </c>
      <c r="F1665" s="116">
        <v>99.85</v>
      </c>
      <c r="G1665">
        <v>1037576</v>
      </c>
      <c r="H1665" s="116"/>
      <c r="I1665" s="116"/>
      <c r="L1665" s="170">
        <v>44456</v>
      </c>
      <c r="M1665" s="116">
        <v>20.09</v>
      </c>
      <c r="N1665" s="116">
        <v>20.2</v>
      </c>
      <c r="O1665" s="116">
        <v>19.149999999999999</v>
      </c>
      <c r="P1665" s="116">
        <v>19.88</v>
      </c>
      <c r="Q1665" s="116">
        <v>100.45</v>
      </c>
      <c r="R1665">
        <v>4712250</v>
      </c>
    </row>
    <row r="1666" spans="1:18" x14ac:dyDescent="0.25">
      <c r="A1666" s="170">
        <v>44459</v>
      </c>
      <c r="B1666" s="116">
        <v>19.7</v>
      </c>
      <c r="C1666" s="116">
        <v>19.010000000000002</v>
      </c>
      <c r="D1666" s="116">
        <v>18.98</v>
      </c>
      <c r="E1666" s="116">
        <v>19.2</v>
      </c>
      <c r="F1666" s="116">
        <v>95.05</v>
      </c>
      <c r="G1666">
        <v>773435</v>
      </c>
      <c r="H1666" s="116"/>
      <c r="I1666" s="116"/>
      <c r="L1666" s="170">
        <v>44459</v>
      </c>
      <c r="M1666" s="116">
        <v>19.09</v>
      </c>
      <c r="N1666" s="116">
        <v>19.71</v>
      </c>
      <c r="O1666" s="116">
        <v>19.09</v>
      </c>
      <c r="P1666" s="116">
        <v>19.21</v>
      </c>
      <c r="Q1666" s="116">
        <v>95.45</v>
      </c>
      <c r="R1666">
        <v>5452646</v>
      </c>
    </row>
    <row r="1667" spans="1:18" x14ac:dyDescent="0.25">
      <c r="A1667" s="170">
        <v>44460</v>
      </c>
      <c r="B1667" s="116">
        <v>19.28</v>
      </c>
      <c r="C1667" s="116">
        <v>18.899999999999999</v>
      </c>
      <c r="D1667" s="116">
        <v>18.22</v>
      </c>
      <c r="E1667" s="116">
        <v>19.010000000000002</v>
      </c>
      <c r="F1667" s="116">
        <v>94.5</v>
      </c>
      <c r="G1667">
        <v>409589</v>
      </c>
      <c r="H1667" s="116"/>
      <c r="I1667" s="116"/>
      <c r="L1667" s="170">
        <v>44460</v>
      </c>
      <c r="M1667" s="116">
        <v>18.91</v>
      </c>
      <c r="N1667" s="116">
        <v>19.28</v>
      </c>
      <c r="O1667" s="116">
        <v>18.21</v>
      </c>
      <c r="P1667" s="116">
        <v>18.72</v>
      </c>
      <c r="Q1667" s="116">
        <v>94.55</v>
      </c>
      <c r="R1667">
        <v>3703371</v>
      </c>
    </row>
    <row r="1668" spans="1:18" x14ac:dyDescent="0.25">
      <c r="A1668" s="170">
        <v>44461</v>
      </c>
      <c r="B1668" s="116">
        <v>19.57</v>
      </c>
      <c r="C1668" s="116">
        <v>19.170000000000002</v>
      </c>
      <c r="D1668" s="116">
        <v>18.850000000000001</v>
      </c>
      <c r="E1668" s="116">
        <v>18.850000000000001</v>
      </c>
      <c r="F1668" s="116">
        <v>95.85</v>
      </c>
      <c r="G1668">
        <v>321643</v>
      </c>
      <c r="H1668" s="116"/>
      <c r="I1668" s="116"/>
      <c r="L1668" s="170">
        <v>44461</v>
      </c>
      <c r="M1668" s="116">
        <v>19.18</v>
      </c>
      <c r="N1668" s="116">
        <v>19.5</v>
      </c>
      <c r="O1668" s="116">
        <v>18.97</v>
      </c>
      <c r="P1668" s="116">
        <v>19</v>
      </c>
      <c r="Q1668" s="116">
        <v>95.9</v>
      </c>
      <c r="R1668">
        <v>2908802</v>
      </c>
    </row>
    <row r="1669" spans="1:18" x14ac:dyDescent="0.25">
      <c r="A1669" s="170">
        <v>44462</v>
      </c>
      <c r="B1669" s="116">
        <v>19.760000000000002</v>
      </c>
      <c r="C1669" s="116">
        <v>19.41</v>
      </c>
      <c r="D1669" s="116">
        <v>19.18</v>
      </c>
      <c r="E1669" s="116">
        <v>19.38</v>
      </c>
      <c r="F1669" s="116">
        <v>97.05</v>
      </c>
      <c r="G1669">
        <v>422659</v>
      </c>
      <c r="H1669" s="116"/>
      <c r="I1669" s="116"/>
      <c r="L1669" s="170">
        <v>44462</v>
      </c>
      <c r="M1669" s="116">
        <v>19.41</v>
      </c>
      <c r="N1669" s="116">
        <v>19.75</v>
      </c>
      <c r="O1669" s="116">
        <v>19.14</v>
      </c>
      <c r="P1669" s="116">
        <v>19.38</v>
      </c>
      <c r="Q1669" s="116">
        <v>97.05</v>
      </c>
      <c r="R1669">
        <v>4723835</v>
      </c>
    </row>
    <row r="1670" spans="1:18" x14ac:dyDescent="0.25">
      <c r="A1670" s="170">
        <v>44463</v>
      </c>
      <c r="B1670" s="116">
        <v>19.75</v>
      </c>
      <c r="C1670" s="116">
        <v>19.170000000000002</v>
      </c>
      <c r="D1670" s="116">
        <v>19.100000000000001</v>
      </c>
      <c r="E1670" s="116">
        <v>19.59</v>
      </c>
      <c r="F1670" s="116">
        <v>95.85</v>
      </c>
      <c r="G1670">
        <v>606530</v>
      </c>
      <c r="H1670" s="116"/>
      <c r="I1670" s="116"/>
      <c r="L1670" s="170">
        <v>44463</v>
      </c>
      <c r="M1670" s="116">
        <v>19.170000000000002</v>
      </c>
      <c r="N1670" s="116">
        <v>19.68</v>
      </c>
      <c r="O1670" s="116">
        <v>19.100000000000001</v>
      </c>
      <c r="P1670" s="116">
        <v>19.600000000000001</v>
      </c>
      <c r="Q1670" s="116">
        <v>95.85</v>
      </c>
      <c r="R1670">
        <v>3425363</v>
      </c>
    </row>
    <row r="1671" spans="1:18" x14ac:dyDescent="0.25">
      <c r="A1671" s="170">
        <v>44466</v>
      </c>
      <c r="B1671" s="116">
        <v>19.670000000000002</v>
      </c>
      <c r="C1671" s="116">
        <v>19.39</v>
      </c>
      <c r="D1671" s="116">
        <v>19</v>
      </c>
      <c r="E1671" s="116">
        <v>19.3</v>
      </c>
      <c r="F1671" s="116">
        <v>96.95</v>
      </c>
      <c r="G1671">
        <v>969417</v>
      </c>
      <c r="H1671" s="116"/>
      <c r="I1671" s="116"/>
      <c r="L1671" s="170">
        <v>44466</v>
      </c>
      <c r="M1671" s="116">
        <v>19.399999999999999</v>
      </c>
      <c r="N1671" s="116">
        <v>19.7</v>
      </c>
      <c r="O1671" s="116">
        <v>19</v>
      </c>
      <c r="P1671" s="116">
        <v>19.2</v>
      </c>
      <c r="Q1671" s="116">
        <v>97</v>
      </c>
      <c r="R1671">
        <v>4218958</v>
      </c>
    </row>
    <row r="1672" spans="1:18" x14ac:dyDescent="0.25">
      <c r="A1672" s="170">
        <v>44467</v>
      </c>
      <c r="B1672" s="116">
        <v>19.559999999999999</v>
      </c>
      <c r="C1672" s="116">
        <v>19.190000000000001</v>
      </c>
      <c r="D1672" s="116">
        <v>19.04</v>
      </c>
      <c r="E1672" s="116">
        <v>19.53</v>
      </c>
      <c r="F1672" s="116">
        <v>95.95</v>
      </c>
      <c r="G1672">
        <v>291471</v>
      </c>
      <c r="H1672" s="116"/>
      <c r="I1672" s="116"/>
      <c r="L1672" s="170">
        <v>44467</v>
      </c>
      <c r="M1672" s="116">
        <v>19.2</v>
      </c>
      <c r="N1672" s="116">
        <v>19.55</v>
      </c>
      <c r="O1672" s="116">
        <v>19.03</v>
      </c>
      <c r="P1672" s="116">
        <v>19.489999999999998</v>
      </c>
      <c r="Q1672" s="116">
        <v>96</v>
      </c>
      <c r="R1672">
        <v>3445198</v>
      </c>
    </row>
    <row r="1673" spans="1:18" x14ac:dyDescent="0.25">
      <c r="A1673" s="170">
        <v>44468</v>
      </c>
      <c r="B1673" s="116">
        <v>20.14</v>
      </c>
      <c r="C1673" s="116">
        <v>19.670000000000002</v>
      </c>
      <c r="D1673" s="116">
        <v>18.899999999999999</v>
      </c>
      <c r="E1673" s="116">
        <v>19.05</v>
      </c>
      <c r="F1673" s="116">
        <v>98.35</v>
      </c>
      <c r="G1673">
        <v>1295153</v>
      </c>
      <c r="H1673" s="116"/>
      <c r="I1673" s="116"/>
      <c r="L1673" s="170">
        <v>44468</v>
      </c>
      <c r="M1673" s="116">
        <v>19.66</v>
      </c>
      <c r="N1673" s="116">
        <v>20.16</v>
      </c>
      <c r="O1673" s="116">
        <v>18.88</v>
      </c>
      <c r="P1673" s="116">
        <v>19.14</v>
      </c>
      <c r="Q1673" s="116">
        <v>98.3</v>
      </c>
      <c r="R1673">
        <v>12121578</v>
      </c>
    </row>
    <row r="1674" spans="1:18" x14ac:dyDescent="0.25">
      <c r="A1674" s="170">
        <v>44469</v>
      </c>
      <c r="B1674" s="116">
        <v>19.87</v>
      </c>
      <c r="C1674" s="116">
        <v>19.43</v>
      </c>
      <c r="D1674" s="116">
        <v>19.36</v>
      </c>
      <c r="E1674" s="116">
        <v>19.8</v>
      </c>
      <c r="F1674" s="116">
        <v>97.15</v>
      </c>
      <c r="G1674">
        <v>720110</v>
      </c>
      <c r="H1674" s="116"/>
      <c r="I1674" s="116"/>
      <c r="L1674" s="170">
        <v>44469</v>
      </c>
      <c r="M1674" s="116">
        <v>19.420000000000002</v>
      </c>
      <c r="N1674" s="116">
        <v>19.88</v>
      </c>
      <c r="O1674" s="116">
        <v>19.38</v>
      </c>
      <c r="P1674" s="116">
        <v>19.850000000000001</v>
      </c>
      <c r="Q1674" s="116">
        <v>97.1</v>
      </c>
      <c r="R1674">
        <v>5402480</v>
      </c>
    </row>
    <row r="1675" spans="1:18" x14ac:dyDescent="0.25">
      <c r="A1675" s="170">
        <v>44470</v>
      </c>
      <c r="B1675" s="116">
        <v>19.78</v>
      </c>
      <c r="C1675" s="116">
        <v>19.39</v>
      </c>
      <c r="D1675" s="116">
        <v>19.13</v>
      </c>
      <c r="E1675" s="116">
        <v>19.36</v>
      </c>
      <c r="F1675" s="116">
        <v>96.95</v>
      </c>
      <c r="G1675">
        <v>723246</v>
      </c>
      <c r="H1675" s="116"/>
      <c r="I1675" s="116"/>
      <c r="L1675" s="170">
        <v>44470</v>
      </c>
      <c r="M1675" s="116">
        <v>19.39</v>
      </c>
      <c r="N1675" s="116">
        <v>19.8</v>
      </c>
      <c r="O1675" s="116">
        <v>19</v>
      </c>
      <c r="P1675" s="116">
        <v>19.2</v>
      </c>
      <c r="Q1675" s="116">
        <v>96.95</v>
      </c>
      <c r="R1675">
        <v>3799113</v>
      </c>
    </row>
    <row r="1676" spans="1:18" x14ac:dyDescent="0.25">
      <c r="A1676" s="170">
        <v>44473</v>
      </c>
      <c r="B1676" s="116">
        <v>20.350000000000001</v>
      </c>
      <c r="C1676" s="116">
        <v>20.350000000000001</v>
      </c>
      <c r="D1676" s="116">
        <v>19.5</v>
      </c>
      <c r="E1676" s="116">
        <v>19.64</v>
      </c>
      <c r="F1676" s="116">
        <v>101.75</v>
      </c>
      <c r="G1676">
        <v>2015174</v>
      </c>
      <c r="H1676" s="116"/>
      <c r="I1676" s="116"/>
      <c r="L1676" s="170">
        <v>44473</v>
      </c>
      <c r="M1676" s="116">
        <v>20.350000000000001</v>
      </c>
      <c r="N1676" s="116">
        <v>20.350000000000001</v>
      </c>
      <c r="O1676" s="116">
        <v>19.5</v>
      </c>
      <c r="P1676" s="116">
        <v>19.57</v>
      </c>
      <c r="Q1676" s="116">
        <v>101.75</v>
      </c>
      <c r="R1676">
        <v>16213791</v>
      </c>
    </row>
    <row r="1677" spans="1:18" x14ac:dyDescent="0.25">
      <c r="A1677" s="170">
        <v>44474</v>
      </c>
      <c r="B1677" s="116">
        <v>21.36</v>
      </c>
      <c r="C1677" s="116">
        <v>21.32</v>
      </c>
      <c r="D1677" s="116">
        <v>20.350000000000001</v>
      </c>
      <c r="E1677" s="116">
        <v>20.6</v>
      </c>
      <c r="F1677" s="116">
        <v>106.6</v>
      </c>
      <c r="G1677">
        <v>3651748</v>
      </c>
      <c r="H1677" s="116"/>
      <c r="I1677" s="116"/>
      <c r="L1677" s="170">
        <v>44474</v>
      </c>
      <c r="M1677" s="116">
        <v>21.3</v>
      </c>
      <c r="N1677" s="116">
        <v>21.36</v>
      </c>
      <c r="O1677" s="116">
        <v>20.350000000000001</v>
      </c>
      <c r="P1677" s="116">
        <v>20.56</v>
      </c>
      <c r="Q1677" s="116">
        <v>106.5</v>
      </c>
      <c r="R1677">
        <v>18388056</v>
      </c>
    </row>
    <row r="1678" spans="1:18" x14ac:dyDescent="0.25">
      <c r="A1678" s="170">
        <v>44475</v>
      </c>
      <c r="B1678" s="116">
        <v>21.8</v>
      </c>
      <c r="C1678" s="116">
        <v>20.309999999999999</v>
      </c>
      <c r="D1678" s="116">
        <v>20.260000000000002</v>
      </c>
      <c r="E1678" s="116">
        <v>21.36</v>
      </c>
      <c r="F1678" s="116">
        <v>101.55</v>
      </c>
      <c r="G1678">
        <v>2438696</v>
      </c>
      <c r="H1678" s="116"/>
      <c r="I1678" s="116"/>
      <c r="L1678" s="170">
        <v>44475</v>
      </c>
      <c r="M1678" s="116">
        <v>20.309999999999999</v>
      </c>
      <c r="N1678" s="116">
        <v>21.78</v>
      </c>
      <c r="O1678" s="116">
        <v>20.239999999999998</v>
      </c>
      <c r="P1678" s="116">
        <v>21.46</v>
      </c>
      <c r="Q1678" s="116">
        <v>101.55</v>
      </c>
      <c r="R1678">
        <v>12067633</v>
      </c>
    </row>
    <row r="1679" spans="1:18" x14ac:dyDescent="0.25">
      <c r="A1679" s="170">
        <v>44476</v>
      </c>
      <c r="B1679" s="116">
        <v>20.95</v>
      </c>
      <c r="C1679" s="116">
        <v>20.39</v>
      </c>
      <c r="D1679" s="116">
        <v>20.309999999999999</v>
      </c>
      <c r="E1679" s="116">
        <v>20.57</v>
      </c>
      <c r="F1679" s="116">
        <v>101.95</v>
      </c>
      <c r="G1679">
        <v>1117443</v>
      </c>
      <c r="H1679" s="116"/>
      <c r="I1679" s="116"/>
      <c r="L1679" s="170">
        <v>44476</v>
      </c>
      <c r="M1679" s="116">
        <v>20.39</v>
      </c>
      <c r="N1679" s="116">
        <v>20.96</v>
      </c>
      <c r="O1679" s="116">
        <v>20.309999999999999</v>
      </c>
      <c r="P1679" s="116">
        <v>20.46</v>
      </c>
      <c r="Q1679" s="116">
        <v>101.95</v>
      </c>
      <c r="R1679">
        <v>5122515</v>
      </c>
    </row>
    <row r="1680" spans="1:18" x14ac:dyDescent="0.25">
      <c r="A1680" s="170">
        <v>44477</v>
      </c>
      <c r="B1680" s="116">
        <v>20.7</v>
      </c>
      <c r="C1680" s="116">
        <v>20.329999999999998</v>
      </c>
      <c r="D1680" s="116">
        <v>20.2</v>
      </c>
      <c r="E1680" s="116">
        <v>20.56</v>
      </c>
      <c r="F1680" s="116">
        <v>101.65</v>
      </c>
      <c r="G1680">
        <v>963688</v>
      </c>
      <c r="H1680" s="116"/>
      <c r="I1680" s="116"/>
      <c r="L1680" s="170">
        <v>44477</v>
      </c>
      <c r="M1680" s="116">
        <v>20.32</v>
      </c>
      <c r="N1680" s="116">
        <v>20.69</v>
      </c>
      <c r="O1680" s="116">
        <v>20.2</v>
      </c>
      <c r="P1680" s="116">
        <v>20.58</v>
      </c>
      <c r="Q1680" s="116">
        <v>101.6</v>
      </c>
      <c r="R1680">
        <v>4269144</v>
      </c>
    </row>
    <row r="1681" spans="1:18" x14ac:dyDescent="0.25">
      <c r="A1681" s="170">
        <v>44480</v>
      </c>
      <c r="B1681" s="116">
        <v>20.9</v>
      </c>
      <c r="C1681" s="116">
        <v>20.37</v>
      </c>
      <c r="D1681" s="116">
        <v>20.22</v>
      </c>
      <c r="E1681" s="116">
        <v>20.399999999999999</v>
      </c>
      <c r="F1681" s="116">
        <v>101.85</v>
      </c>
      <c r="G1681">
        <v>1494092</v>
      </c>
      <c r="H1681" s="116"/>
      <c r="I1681" s="116"/>
      <c r="L1681" s="170">
        <v>44480</v>
      </c>
      <c r="M1681" s="116">
        <v>20.37</v>
      </c>
      <c r="N1681" s="116">
        <v>20.95</v>
      </c>
      <c r="O1681" s="116">
        <v>20.2</v>
      </c>
      <c r="P1681" s="116">
        <v>20.6</v>
      </c>
      <c r="Q1681" s="116">
        <v>101.85</v>
      </c>
      <c r="R1681">
        <v>6211799</v>
      </c>
    </row>
    <row r="1682" spans="1:18" x14ac:dyDescent="0.25">
      <c r="A1682" s="170">
        <v>44481</v>
      </c>
      <c r="B1682" s="116">
        <v>20.7</v>
      </c>
      <c r="C1682" s="116">
        <v>20.34</v>
      </c>
      <c r="D1682" s="116">
        <v>20.25</v>
      </c>
      <c r="E1682" s="116">
        <v>20.58</v>
      </c>
      <c r="F1682" s="116">
        <v>101.7</v>
      </c>
      <c r="G1682">
        <v>367086</v>
      </c>
      <c r="H1682" s="116"/>
      <c r="I1682" s="116"/>
      <c r="L1682" s="170">
        <v>44481</v>
      </c>
      <c r="M1682" s="116">
        <v>20.329999999999998</v>
      </c>
      <c r="N1682" s="116">
        <v>20.68</v>
      </c>
      <c r="O1682" s="116">
        <v>20.239999999999998</v>
      </c>
      <c r="P1682" s="116">
        <v>20.58</v>
      </c>
      <c r="Q1682" s="116">
        <v>101.65</v>
      </c>
      <c r="R1682">
        <v>4336792</v>
      </c>
    </row>
    <row r="1683" spans="1:18" x14ac:dyDescent="0.25">
      <c r="A1683" s="170">
        <v>44482</v>
      </c>
      <c r="B1683" s="116">
        <v>21.35</v>
      </c>
      <c r="C1683" s="116">
        <v>21.35</v>
      </c>
      <c r="D1683" s="116">
        <v>20.36</v>
      </c>
      <c r="E1683" s="116">
        <v>20.399999999999999</v>
      </c>
      <c r="F1683" s="116">
        <v>106.75</v>
      </c>
      <c r="G1683">
        <v>2778304</v>
      </c>
      <c r="H1683" s="116"/>
      <c r="I1683" s="116"/>
      <c r="L1683" s="170">
        <v>44482</v>
      </c>
      <c r="M1683" s="116">
        <v>21.34</v>
      </c>
      <c r="N1683" s="116">
        <v>21.34</v>
      </c>
      <c r="O1683" s="116">
        <v>20.36</v>
      </c>
      <c r="P1683" s="116">
        <v>20.48</v>
      </c>
      <c r="Q1683" s="116">
        <v>106.7</v>
      </c>
      <c r="R1683">
        <v>10940656</v>
      </c>
    </row>
    <row r="1684" spans="1:18" x14ac:dyDescent="0.25">
      <c r="A1684" s="170">
        <v>44483</v>
      </c>
      <c r="B1684" s="116">
        <v>22.41</v>
      </c>
      <c r="C1684" s="116">
        <v>22.41</v>
      </c>
      <c r="D1684" s="116">
        <v>21.51</v>
      </c>
      <c r="E1684" s="116">
        <v>21.72</v>
      </c>
      <c r="F1684" s="116">
        <v>112.05</v>
      </c>
      <c r="G1684">
        <v>2839240</v>
      </c>
      <c r="H1684" s="116"/>
      <c r="I1684" s="116"/>
      <c r="L1684" s="170">
        <v>44483</v>
      </c>
      <c r="M1684" s="116">
        <v>22.4</v>
      </c>
      <c r="N1684" s="116">
        <v>22.4</v>
      </c>
      <c r="O1684" s="116">
        <v>21.5</v>
      </c>
      <c r="P1684" s="116">
        <v>21.69</v>
      </c>
      <c r="Q1684" s="116">
        <v>112</v>
      </c>
      <c r="R1684">
        <v>11126786</v>
      </c>
    </row>
    <row r="1685" spans="1:18" x14ac:dyDescent="0.25">
      <c r="A1685" s="170">
        <v>44487</v>
      </c>
      <c r="B1685" s="116">
        <v>24.65</v>
      </c>
      <c r="C1685" s="116">
        <v>24.65</v>
      </c>
      <c r="D1685" s="116">
        <v>22.87</v>
      </c>
      <c r="E1685" s="116">
        <v>23.78</v>
      </c>
      <c r="F1685" s="116">
        <v>123.25</v>
      </c>
      <c r="G1685">
        <v>1782261</v>
      </c>
      <c r="H1685" s="116"/>
      <c r="I1685" s="116"/>
      <c r="L1685" s="170">
        <v>44487</v>
      </c>
      <c r="M1685" s="116">
        <v>24.64</v>
      </c>
      <c r="N1685" s="116">
        <v>24.64</v>
      </c>
      <c r="O1685" s="116">
        <v>23.43</v>
      </c>
      <c r="P1685" s="116">
        <v>23.69</v>
      </c>
      <c r="Q1685" s="116">
        <v>123.2</v>
      </c>
      <c r="R1685">
        <v>7932757</v>
      </c>
    </row>
    <row r="1686" spans="1:18" x14ac:dyDescent="0.25">
      <c r="A1686" s="170">
        <v>44488</v>
      </c>
      <c r="B1686" s="116">
        <v>27.11</v>
      </c>
      <c r="C1686" s="116">
        <v>24.96</v>
      </c>
      <c r="D1686" s="116">
        <v>23.03</v>
      </c>
      <c r="E1686" s="116">
        <v>26.7</v>
      </c>
      <c r="F1686" s="116">
        <v>124.8</v>
      </c>
      <c r="G1686">
        <v>16811754</v>
      </c>
      <c r="H1686" s="116"/>
      <c r="I1686" s="116"/>
      <c r="L1686" s="170">
        <v>44488</v>
      </c>
      <c r="M1686" s="116">
        <v>24.97</v>
      </c>
      <c r="N1686" s="116">
        <v>27.1</v>
      </c>
      <c r="O1686" s="116">
        <v>23.02</v>
      </c>
      <c r="P1686" s="116">
        <v>26.69</v>
      </c>
      <c r="Q1686" s="116">
        <v>124.85</v>
      </c>
      <c r="R1686">
        <v>71805365</v>
      </c>
    </row>
    <row r="1687" spans="1:18" x14ac:dyDescent="0.25">
      <c r="A1687" s="170">
        <v>44489</v>
      </c>
      <c r="B1687" s="116">
        <v>25.56</v>
      </c>
      <c r="C1687" s="116">
        <v>24.18</v>
      </c>
      <c r="D1687" s="116">
        <v>23.02</v>
      </c>
      <c r="E1687" s="116">
        <v>24.89</v>
      </c>
      <c r="F1687" s="116">
        <v>120.9</v>
      </c>
      <c r="G1687">
        <v>1860391</v>
      </c>
      <c r="H1687" s="116"/>
      <c r="I1687" s="116"/>
      <c r="L1687" s="170">
        <v>44489</v>
      </c>
      <c r="M1687" s="116">
        <v>24.18</v>
      </c>
      <c r="N1687" s="116">
        <v>25.6</v>
      </c>
      <c r="O1687" s="116">
        <v>23</v>
      </c>
      <c r="P1687" s="116">
        <v>24.44</v>
      </c>
      <c r="Q1687" s="116">
        <v>120.9</v>
      </c>
      <c r="R1687">
        <v>20580766</v>
      </c>
    </row>
    <row r="1688" spans="1:18" x14ac:dyDescent="0.25">
      <c r="A1688" s="170">
        <v>44490</v>
      </c>
      <c r="B1688" s="116">
        <v>25.38</v>
      </c>
      <c r="C1688" s="116">
        <v>24.66</v>
      </c>
      <c r="D1688" s="116">
        <v>24.04</v>
      </c>
      <c r="E1688" s="116">
        <v>24.78</v>
      </c>
      <c r="F1688" s="116">
        <v>123.3</v>
      </c>
      <c r="G1688">
        <v>913252</v>
      </c>
      <c r="H1688" s="116"/>
      <c r="I1688" s="116"/>
      <c r="L1688" s="170">
        <v>44490</v>
      </c>
      <c r="M1688" s="116">
        <v>24.64</v>
      </c>
      <c r="N1688" s="116">
        <v>25.3</v>
      </c>
      <c r="O1688" s="116">
        <v>24</v>
      </c>
      <c r="P1688" s="116">
        <v>24.59</v>
      </c>
      <c r="Q1688" s="116">
        <v>123.2</v>
      </c>
      <c r="R1688">
        <v>10458639</v>
      </c>
    </row>
    <row r="1689" spans="1:18" x14ac:dyDescent="0.25">
      <c r="A1689" s="170">
        <v>44491</v>
      </c>
      <c r="B1689" s="116">
        <v>24.6</v>
      </c>
      <c r="C1689" s="116">
        <v>23.43</v>
      </c>
      <c r="D1689" s="116">
        <v>23.43</v>
      </c>
      <c r="E1689" s="116">
        <v>24.18</v>
      </c>
      <c r="F1689" s="116">
        <v>117.15</v>
      </c>
      <c r="G1689">
        <v>1040785</v>
      </c>
      <c r="H1689" s="116"/>
      <c r="I1689" s="116"/>
      <c r="L1689" s="170">
        <v>44491</v>
      </c>
      <c r="M1689" s="116">
        <v>23.41</v>
      </c>
      <c r="N1689" s="116">
        <v>24.6</v>
      </c>
      <c r="O1689" s="116">
        <v>23.41</v>
      </c>
      <c r="P1689" s="116">
        <v>24</v>
      </c>
      <c r="Q1689" s="116">
        <v>117.05</v>
      </c>
      <c r="R1689">
        <v>3651239</v>
      </c>
    </row>
    <row r="1690" spans="1:18" x14ac:dyDescent="0.25">
      <c r="A1690" s="170">
        <v>44494</v>
      </c>
      <c r="B1690" s="116">
        <v>23.2</v>
      </c>
      <c r="C1690" s="116">
        <v>22.26</v>
      </c>
      <c r="D1690" s="116">
        <v>22.26</v>
      </c>
      <c r="E1690" s="116">
        <v>22.8</v>
      </c>
      <c r="F1690" s="116">
        <v>111.3</v>
      </c>
      <c r="G1690">
        <v>342629</v>
      </c>
      <c r="H1690" s="116"/>
      <c r="I1690" s="116"/>
      <c r="L1690" s="170">
        <v>44494</v>
      </c>
      <c r="M1690" s="116">
        <v>22.24</v>
      </c>
      <c r="N1690" s="116">
        <v>22.75</v>
      </c>
      <c r="O1690" s="116">
        <v>22.24</v>
      </c>
      <c r="P1690" s="116">
        <v>22.75</v>
      </c>
      <c r="Q1690" s="116">
        <v>111.2</v>
      </c>
      <c r="R1690">
        <v>1191842</v>
      </c>
    </row>
    <row r="1691" spans="1:18" x14ac:dyDescent="0.25">
      <c r="A1691" s="170">
        <v>44495</v>
      </c>
      <c r="B1691" s="116">
        <v>23.37</v>
      </c>
      <c r="C1691" s="116">
        <v>22.44</v>
      </c>
      <c r="D1691" s="116">
        <v>21.15</v>
      </c>
      <c r="E1691" s="116">
        <v>21.36</v>
      </c>
      <c r="F1691" s="116">
        <v>112.2</v>
      </c>
      <c r="G1691">
        <v>1320900</v>
      </c>
      <c r="H1691" s="116"/>
      <c r="I1691" s="116"/>
      <c r="L1691" s="170">
        <v>44495</v>
      </c>
      <c r="M1691" s="116">
        <v>22.44</v>
      </c>
      <c r="N1691" s="116">
        <v>23.28</v>
      </c>
      <c r="O1691" s="116">
        <v>21.13</v>
      </c>
      <c r="P1691" s="116">
        <v>21.5</v>
      </c>
      <c r="Q1691" s="116">
        <v>112.2</v>
      </c>
      <c r="R1691">
        <v>4052277</v>
      </c>
    </row>
    <row r="1692" spans="1:18" x14ac:dyDescent="0.25">
      <c r="A1692" s="170">
        <v>44496</v>
      </c>
      <c r="B1692" s="116">
        <v>22.88</v>
      </c>
      <c r="C1692" s="116">
        <v>21.73</v>
      </c>
      <c r="D1692" s="116">
        <v>21.6</v>
      </c>
      <c r="E1692" s="116">
        <v>22.4</v>
      </c>
      <c r="F1692" s="116">
        <v>108.65</v>
      </c>
      <c r="G1692">
        <v>354957</v>
      </c>
      <c r="H1692" s="116"/>
      <c r="I1692" s="116"/>
      <c r="L1692" s="170">
        <v>44496</v>
      </c>
      <c r="M1692" s="116">
        <v>21.75</v>
      </c>
      <c r="N1692" s="116">
        <v>22.77</v>
      </c>
      <c r="O1692" s="116">
        <v>21.54</v>
      </c>
      <c r="P1692" s="116">
        <v>22.4</v>
      </c>
      <c r="Q1692" s="116">
        <v>108.75</v>
      </c>
      <c r="R1692">
        <v>2487138</v>
      </c>
    </row>
    <row r="1693" spans="1:18" x14ac:dyDescent="0.25">
      <c r="A1693" s="170">
        <v>44497</v>
      </c>
      <c r="B1693" s="116">
        <v>22.1</v>
      </c>
      <c r="C1693" s="116">
        <v>20.71</v>
      </c>
      <c r="D1693" s="116">
        <v>20.65</v>
      </c>
      <c r="E1693" s="116">
        <v>21.8</v>
      </c>
      <c r="F1693" s="116">
        <v>103.55</v>
      </c>
      <c r="G1693">
        <v>542709</v>
      </c>
      <c r="H1693" s="116"/>
      <c r="I1693" s="116"/>
      <c r="L1693" s="170">
        <v>44497</v>
      </c>
      <c r="M1693" s="116">
        <v>20.69</v>
      </c>
      <c r="N1693" s="116">
        <v>21.99</v>
      </c>
      <c r="O1693" s="116">
        <v>20.67</v>
      </c>
      <c r="P1693" s="116">
        <v>21.8</v>
      </c>
      <c r="Q1693" s="116">
        <v>103.45</v>
      </c>
      <c r="R1693">
        <v>5060983</v>
      </c>
    </row>
    <row r="1694" spans="1:18" x14ac:dyDescent="0.25">
      <c r="A1694" s="170">
        <v>44498</v>
      </c>
      <c r="B1694" s="116">
        <v>21.6</v>
      </c>
      <c r="C1694" s="116">
        <v>20.079999999999998</v>
      </c>
      <c r="D1694" s="116">
        <v>19.7</v>
      </c>
      <c r="E1694" s="116">
        <v>20.71</v>
      </c>
      <c r="F1694" s="116">
        <v>100.4</v>
      </c>
      <c r="G1694">
        <v>1101431</v>
      </c>
      <c r="H1694" s="116"/>
      <c r="I1694" s="116"/>
      <c r="L1694" s="170">
        <v>44498</v>
      </c>
      <c r="M1694" s="116">
        <v>20.100000000000001</v>
      </c>
      <c r="N1694" s="116">
        <v>21.36</v>
      </c>
      <c r="O1694" s="116">
        <v>19.8</v>
      </c>
      <c r="P1694" s="116">
        <v>20.69</v>
      </c>
      <c r="Q1694" s="116">
        <v>100.5</v>
      </c>
      <c r="R1694">
        <v>3679241</v>
      </c>
    </row>
    <row r="1695" spans="1:18" x14ac:dyDescent="0.25">
      <c r="A1695" s="170">
        <v>44501</v>
      </c>
      <c r="B1695" s="116">
        <v>20.94</v>
      </c>
      <c r="C1695" s="116">
        <v>20.61</v>
      </c>
      <c r="D1695" s="116">
        <v>19.63</v>
      </c>
      <c r="E1695" s="116">
        <v>19.8</v>
      </c>
      <c r="F1695" s="116">
        <v>103.05</v>
      </c>
      <c r="G1695">
        <v>808424</v>
      </c>
      <c r="H1695" s="116"/>
      <c r="I1695" s="116"/>
      <c r="L1695" s="170">
        <v>44501</v>
      </c>
      <c r="M1695" s="116">
        <v>20.57</v>
      </c>
      <c r="N1695" s="116">
        <v>20.88</v>
      </c>
      <c r="O1695" s="116">
        <v>19.600000000000001</v>
      </c>
      <c r="P1695" s="116">
        <v>19.63</v>
      </c>
      <c r="Q1695" s="116">
        <v>102.85</v>
      </c>
      <c r="R1695">
        <v>4693977</v>
      </c>
    </row>
    <row r="1696" spans="1:18" x14ac:dyDescent="0.25">
      <c r="A1696" s="170">
        <v>44502</v>
      </c>
      <c r="B1696" s="116">
        <v>21.04</v>
      </c>
      <c r="C1696" s="116">
        <v>20.81</v>
      </c>
      <c r="D1696" s="116">
        <v>20.43</v>
      </c>
      <c r="E1696" s="116">
        <v>20.98</v>
      </c>
      <c r="F1696" s="116">
        <v>104.05</v>
      </c>
      <c r="G1696">
        <v>831242</v>
      </c>
      <c r="H1696" s="116"/>
      <c r="I1696" s="116"/>
      <c r="L1696" s="170">
        <v>44502</v>
      </c>
      <c r="M1696" s="116">
        <v>20.82</v>
      </c>
      <c r="N1696" s="116">
        <v>21.04</v>
      </c>
      <c r="O1696" s="116">
        <v>20.420000000000002</v>
      </c>
      <c r="P1696" s="116">
        <v>20.94</v>
      </c>
      <c r="Q1696" s="116">
        <v>104.1</v>
      </c>
      <c r="R1696">
        <v>3240056</v>
      </c>
    </row>
    <row r="1697" spans="1:18" x14ac:dyDescent="0.25">
      <c r="A1697" s="170">
        <v>44503</v>
      </c>
      <c r="B1697" s="116">
        <v>21</v>
      </c>
      <c r="C1697" s="116">
        <v>20.65</v>
      </c>
      <c r="D1697" s="116">
        <v>20.25</v>
      </c>
      <c r="E1697" s="116">
        <v>21</v>
      </c>
      <c r="F1697" s="116">
        <v>103.25</v>
      </c>
      <c r="G1697">
        <v>417931</v>
      </c>
      <c r="H1697" s="116"/>
      <c r="I1697" s="116"/>
      <c r="L1697" s="170">
        <v>44503</v>
      </c>
      <c r="M1697" s="116">
        <v>20.65</v>
      </c>
      <c r="N1697" s="116">
        <v>20.98</v>
      </c>
      <c r="O1697" s="116">
        <v>20.260000000000002</v>
      </c>
      <c r="P1697" s="116">
        <v>20.98</v>
      </c>
      <c r="Q1697" s="116">
        <v>103.25</v>
      </c>
      <c r="R1697">
        <v>2976676</v>
      </c>
    </row>
    <row r="1698" spans="1:18" x14ac:dyDescent="0.25">
      <c r="A1698" s="170">
        <v>44504</v>
      </c>
      <c r="B1698" s="116">
        <v>21.3</v>
      </c>
      <c r="C1698" s="116">
        <v>21.07</v>
      </c>
      <c r="D1698" s="116">
        <v>20.71</v>
      </c>
      <c r="E1698" s="116">
        <v>21.09</v>
      </c>
      <c r="F1698" s="116">
        <v>105.35</v>
      </c>
      <c r="G1698">
        <v>389220</v>
      </c>
      <c r="H1698" s="116"/>
      <c r="I1698" s="116"/>
      <c r="L1698" s="170">
        <v>44504</v>
      </c>
      <c r="M1698" s="116">
        <v>21.08</v>
      </c>
      <c r="N1698" s="116">
        <v>21.3</v>
      </c>
      <c r="O1698" s="116">
        <v>20.95</v>
      </c>
      <c r="P1698" s="116">
        <v>21.04</v>
      </c>
      <c r="Q1698" s="116">
        <v>105.4</v>
      </c>
      <c r="R1698">
        <v>1680073</v>
      </c>
    </row>
    <row r="1699" spans="1:18" x14ac:dyDescent="0.25">
      <c r="A1699" s="170">
        <v>44508</v>
      </c>
      <c r="B1699" s="116">
        <v>21.57</v>
      </c>
      <c r="C1699" s="116">
        <v>20.92</v>
      </c>
      <c r="D1699" s="116">
        <v>20.6</v>
      </c>
      <c r="E1699" s="116">
        <v>21.48</v>
      </c>
      <c r="F1699" s="116">
        <v>104.6</v>
      </c>
      <c r="G1699">
        <v>397917</v>
      </c>
      <c r="H1699" s="116"/>
      <c r="I1699" s="116"/>
      <c r="L1699" s="170">
        <v>44508</v>
      </c>
      <c r="M1699" s="116">
        <v>20.9</v>
      </c>
      <c r="N1699" s="116">
        <v>21.24</v>
      </c>
      <c r="O1699" s="116">
        <v>20.6</v>
      </c>
      <c r="P1699" s="116">
        <v>21.24</v>
      </c>
      <c r="Q1699" s="116">
        <v>104.5</v>
      </c>
      <c r="R1699">
        <v>3433737</v>
      </c>
    </row>
    <row r="1700" spans="1:18" x14ac:dyDescent="0.25">
      <c r="A1700" s="170">
        <v>44509</v>
      </c>
      <c r="B1700" s="116">
        <v>21.96</v>
      </c>
      <c r="C1700" s="116">
        <v>21.96</v>
      </c>
      <c r="D1700" s="116">
        <v>20.8</v>
      </c>
      <c r="E1700" s="116">
        <v>20.8</v>
      </c>
      <c r="F1700" s="116">
        <v>109.8</v>
      </c>
      <c r="G1700">
        <v>3465038</v>
      </c>
      <c r="H1700" s="116"/>
      <c r="I1700" s="116"/>
      <c r="L1700" s="170">
        <v>44509</v>
      </c>
      <c r="M1700" s="116">
        <v>21.94</v>
      </c>
      <c r="N1700" s="116">
        <v>21.94</v>
      </c>
      <c r="O1700" s="116">
        <v>20.83</v>
      </c>
      <c r="P1700" s="116">
        <v>20.88</v>
      </c>
      <c r="Q1700" s="116">
        <v>109.7</v>
      </c>
      <c r="R1700">
        <v>8696567</v>
      </c>
    </row>
    <row r="1701" spans="1:18" x14ac:dyDescent="0.25">
      <c r="A1701" s="170">
        <v>44510</v>
      </c>
      <c r="B1701" s="116">
        <v>22.74</v>
      </c>
      <c r="C1701" s="116">
        <v>22.03</v>
      </c>
      <c r="D1701" s="116">
        <v>21.82</v>
      </c>
      <c r="E1701" s="116">
        <v>22.4</v>
      </c>
      <c r="F1701" s="116">
        <v>110.15</v>
      </c>
      <c r="G1701">
        <v>1638216</v>
      </c>
      <c r="H1701" s="116"/>
      <c r="I1701" s="116"/>
      <c r="L1701" s="170">
        <v>44510</v>
      </c>
      <c r="M1701" s="116">
        <v>22.03</v>
      </c>
      <c r="N1701" s="116">
        <v>22.74</v>
      </c>
      <c r="O1701" s="116">
        <v>21.81</v>
      </c>
      <c r="P1701" s="116">
        <v>22.2</v>
      </c>
      <c r="Q1701" s="116">
        <v>110.15</v>
      </c>
      <c r="R1701">
        <v>7831137</v>
      </c>
    </row>
    <row r="1702" spans="1:18" x14ac:dyDescent="0.25">
      <c r="A1702" s="170">
        <v>44511</v>
      </c>
      <c r="B1702" s="116">
        <v>22.32</v>
      </c>
      <c r="C1702" s="116">
        <v>21.59</v>
      </c>
      <c r="D1702" s="116">
        <v>21.49</v>
      </c>
      <c r="E1702" s="116">
        <v>22.03</v>
      </c>
      <c r="F1702" s="116">
        <v>107.95</v>
      </c>
      <c r="G1702">
        <v>802363</v>
      </c>
      <c r="H1702" s="116"/>
      <c r="I1702" s="116"/>
      <c r="L1702" s="170">
        <v>44511</v>
      </c>
      <c r="M1702" s="116">
        <v>21.62</v>
      </c>
      <c r="N1702" s="116">
        <v>22.32</v>
      </c>
      <c r="O1702" s="116">
        <v>21.47</v>
      </c>
      <c r="P1702" s="116">
        <v>22.16</v>
      </c>
      <c r="Q1702" s="116">
        <v>108.1</v>
      </c>
      <c r="R1702">
        <v>3830677</v>
      </c>
    </row>
    <row r="1703" spans="1:18" x14ac:dyDescent="0.25">
      <c r="A1703" s="170">
        <v>44512</v>
      </c>
      <c r="B1703" s="116">
        <v>22.12</v>
      </c>
      <c r="C1703" s="116">
        <v>21.7</v>
      </c>
      <c r="D1703" s="116">
        <v>21.46</v>
      </c>
      <c r="E1703" s="116">
        <v>21.93</v>
      </c>
      <c r="F1703" s="116">
        <v>108.5</v>
      </c>
      <c r="G1703">
        <v>652628</v>
      </c>
      <c r="H1703" s="116"/>
      <c r="I1703" s="116"/>
      <c r="L1703" s="170">
        <v>44512</v>
      </c>
      <c r="M1703" s="116">
        <v>21.69</v>
      </c>
      <c r="N1703" s="116">
        <v>22.14</v>
      </c>
      <c r="O1703" s="116">
        <v>21.4</v>
      </c>
      <c r="P1703" s="116">
        <v>21.84</v>
      </c>
      <c r="Q1703" s="116">
        <v>108.45</v>
      </c>
      <c r="R1703">
        <v>5006556</v>
      </c>
    </row>
    <row r="1704" spans="1:18" x14ac:dyDescent="0.25">
      <c r="A1704" s="170">
        <v>44515</v>
      </c>
      <c r="B1704" s="116">
        <v>22.14</v>
      </c>
      <c r="C1704" s="116">
        <v>21.43</v>
      </c>
      <c r="D1704" s="116">
        <v>20.95</v>
      </c>
      <c r="E1704" s="116">
        <v>22.14</v>
      </c>
      <c r="F1704" s="116">
        <v>107.15</v>
      </c>
      <c r="G1704">
        <v>795810</v>
      </c>
      <c r="H1704" s="116"/>
      <c r="I1704" s="116"/>
      <c r="L1704" s="170">
        <v>44515</v>
      </c>
      <c r="M1704" s="116">
        <v>21.43</v>
      </c>
      <c r="N1704" s="116">
        <v>22.05</v>
      </c>
      <c r="O1704" s="116">
        <v>20.95</v>
      </c>
      <c r="P1704" s="116">
        <v>22.05</v>
      </c>
      <c r="Q1704" s="116">
        <v>107.15</v>
      </c>
      <c r="R1704">
        <v>3084563</v>
      </c>
    </row>
    <row r="1705" spans="1:18" x14ac:dyDescent="0.25">
      <c r="A1705" s="170">
        <v>44516</v>
      </c>
      <c r="B1705" s="116">
        <v>21.93</v>
      </c>
      <c r="C1705" s="116">
        <v>21.35</v>
      </c>
      <c r="D1705" s="116">
        <v>21.3</v>
      </c>
      <c r="E1705" s="116">
        <v>21.56</v>
      </c>
      <c r="F1705" s="116">
        <v>106.75</v>
      </c>
      <c r="G1705">
        <v>711647</v>
      </c>
      <c r="H1705" s="116"/>
      <c r="I1705" s="116"/>
      <c r="L1705" s="170">
        <v>44516</v>
      </c>
      <c r="M1705" s="116">
        <v>21.35</v>
      </c>
      <c r="N1705" s="116">
        <v>21.96</v>
      </c>
      <c r="O1705" s="116">
        <v>21.25</v>
      </c>
      <c r="P1705" s="116">
        <v>21.52</v>
      </c>
      <c r="Q1705" s="116">
        <v>106.75</v>
      </c>
      <c r="R1705">
        <v>2919587</v>
      </c>
    </row>
    <row r="1706" spans="1:18" x14ac:dyDescent="0.25">
      <c r="A1706" s="170">
        <v>44517</v>
      </c>
      <c r="B1706" s="116">
        <v>21.55</v>
      </c>
      <c r="C1706" s="116">
        <v>20.85</v>
      </c>
      <c r="D1706" s="116">
        <v>20.8</v>
      </c>
      <c r="E1706" s="116">
        <v>21.33</v>
      </c>
      <c r="F1706" s="116">
        <v>104.25</v>
      </c>
      <c r="G1706">
        <v>838121</v>
      </c>
      <c r="H1706" s="116"/>
      <c r="I1706" s="116"/>
      <c r="L1706" s="170">
        <v>44517</v>
      </c>
      <c r="M1706" s="116">
        <v>20.86</v>
      </c>
      <c r="N1706" s="116">
        <v>21.54</v>
      </c>
      <c r="O1706" s="116">
        <v>20.8</v>
      </c>
      <c r="P1706" s="116">
        <v>21.3</v>
      </c>
      <c r="Q1706" s="116">
        <v>104.3</v>
      </c>
      <c r="R1706">
        <v>4122988</v>
      </c>
    </row>
    <row r="1707" spans="1:18" x14ac:dyDescent="0.25">
      <c r="A1707" s="170">
        <v>44518</v>
      </c>
      <c r="B1707" s="116">
        <v>21.14</v>
      </c>
      <c r="C1707" s="116">
        <v>20.59</v>
      </c>
      <c r="D1707" s="116">
        <v>20.29</v>
      </c>
      <c r="E1707" s="116">
        <v>21</v>
      </c>
      <c r="F1707" s="116">
        <v>102.95</v>
      </c>
      <c r="G1707">
        <v>441624</v>
      </c>
      <c r="H1707" s="116"/>
      <c r="I1707" s="116"/>
      <c r="L1707" s="170">
        <v>44518</v>
      </c>
      <c r="M1707" s="116">
        <v>20.58</v>
      </c>
      <c r="N1707" s="116">
        <v>21.16</v>
      </c>
      <c r="O1707" s="116">
        <v>20.28</v>
      </c>
      <c r="P1707" s="116">
        <v>21</v>
      </c>
      <c r="Q1707" s="116">
        <v>102.9</v>
      </c>
      <c r="R1707">
        <v>3970297</v>
      </c>
    </row>
    <row r="1708" spans="1:18" x14ac:dyDescent="0.25">
      <c r="A1708" s="170">
        <v>44522</v>
      </c>
      <c r="B1708" s="116">
        <v>20.66</v>
      </c>
      <c r="C1708" s="116">
        <v>20.18</v>
      </c>
      <c r="D1708" s="116">
        <v>19.760000000000002</v>
      </c>
      <c r="E1708" s="116">
        <v>20.59</v>
      </c>
      <c r="F1708" s="116">
        <v>100.9</v>
      </c>
      <c r="G1708">
        <v>1114257</v>
      </c>
      <c r="H1708" s="116"/>
      <c r="I1708" s="116"/>
      <c r="L1708" s="170">
        <v>44522</v>
      </c>
      <c r="M1708" s="116">
        <v>20.190000000000001</v>
      </c>
      <c r="N1708" s="116">
        <v>20.65</v>
      </c>
      <c r="O1708" s="116">
        <v>19.760000000000002</v>
      </c>
      <c r="P1708" s="116">
        <v>20.58</v>
      </c>
      <c r="Q1708" s="116">
        <v>100.95</v>
      </c>
      <c r="R1708">
        <v>3723327</v>
      </c>
    </row>
    <row r="1709" spans="1:18" x14ac:dyDescent="0.25">
      <c r="A1709" s="170">
        <v>44523</v>
      </c>
      <c r="B1709" s="116">
        <v>21.18</v>
      </c>
      <c r="C1709" s="116">
        <v>21.18</v>
      </c>
      <c r="D1709" s="116">
        <v>19.739999999999998</v>
      </c>
      <c r="E1709" s="116">
        <v>20.18</v>
      </c>
      <c r="F1709" s="116">
        <v>105.9</v>
      </c>
      <c r="G1709">
        <v>493284</v>
      </c>
      <c r="H1709" s="116"/>
      <c r="I1709" s="116"/>
      <c r="L1709" s="170">
        <v>44523</v>
      </c>
      <c r="M1709" s="116">
        <v>21.19</v>
      </c>
      <c r="N1709" s="116">
        <v>21.19</v>
      </c>
      <c r="O1709" s="116">
        <v>19.73</v>
      </c>
      <c r="P1709" s="116">
        <v>20.12</v>
      </c>
      <c r="Q1709" s="116">
        <v>105.95</v>
      </c>
      <c r="R1709">
        <v>3987471</v>
      </c>
    </row>
    <row r="1710" spans="1:18" x14ac:dyDescent="0.25">
      <c r="A1710" s="170">
        <v>44524</v>
      </c>
      <c r="B1710" s="116">
        <v>21.95</v>
      </c>
      <c r="C1710" s="116">
        <v>21.19</v>
      </c>
      <c r="D1710" s="116">
        <v>21.11</v>
      </c>
      <c r="E1710" s="116">
        <v>21.37</v>
      </c>
      <c r="F1710" s="116">
        <v>105.95</v>
      </c>
      <c r="G1710">
        <v>699090</v>
      </c>
      <c r="H1710" s="116"/>
      <c r="I1710" s="116"/>
      <c r="L1710" s="170">
        <v>44524</v>
      </c>
      <c r="M1710" s="116">
        <v>21.18</v>
      </c>
      <c r="N1710" s="116">
        <v>21.94</v>
      </c>
      <c r="O1710" s="116">
        <v>21.08</v>
      </c>
      <c r="P1710" s="116">
        <v>21.4</v>
      </c>
      <c r="Q1710" s="116">
        <v>105.9</v>
      </c>
      <c r="R1710">
        <v>6009879</v>
      </c>
    </row>
    <row r="1711" spans="1:18" x14ac:dyDescent="0.25">
      <c r="A1711" s="170">
        <v>44525</v>
      </c>
      <c r="B1711" s="116">
        <v>21.4</v>
      </c>
      <c r="C1711" s="116">
        <v>21.01</v>
      </c>
      <c r="D1711" s="116">
        <v>20.72</v>
      </c>
      <c r="E1711" s="116">
        <v>21.37</v>
      </c>
      <c r="F1711" s="116">
        <v>105.05</v>
      </c>
      <c r="G1711">
        <v>798161</v>
      </c>
      <c r="H1711" s="116"/>
      <c r="I1711" s="116"/>
      <c r="L1711" s="170">
        <v>44525</v>
      </c>
      <c r="M1711" s="116">
        <v>21.01</v>
      </c>
      <c r="N1711" s="116">
        <v>21.4</v>
      </c>
      <c r="O1711" s="116">
        <v>20.72</v>
      </c>
      <c r="P1711" s="116">
        <v>21.29</v>
      </c>
      <c r="Q1711" s="116">
        <v>105.05</v>
      </c>
      <c r="R1711">
        <v>3974953</v>
      </c>
    </row>
    <row r="1712" spans="1:18" x14ac:dyDescent="0.25">
      <c r="A1712" s="170">
        <v>44526</v>
      </c>
      <c r="B1712" s="116">
        <v>20.87</v>
      </c>
      <c r="C1712" s="116">
        <v>20.27</v>
      </c>
      <c r="D1712" s="116">
        <v>20.2</v>
      </c>
      <c r="E1712" s="116">
        <v>20.66</v>
      </c>
      <c r="F1712" s="116">
        <v>101.35</v>
      </c>
      <c r="G1712">
        <v>1093913</v>
      </c>
      <c r="H1712" s="116"/>
      <c r="I1712" s="116"/>
      <c r="L1712" s="170">
        <v>44526</v>
      </c>
      <c r="M1712" s="116">
        <v>20.25</v>
      </c>
      <c r="N1712" s="116">
        <v>20.86</v>
      </c>
      <c r="O1712" s="116">
        <v>20.2</v>
      </c>
      <c r="P1712" s="116">
        <v>20.81</v>
      </c>
      <c r="Q1712" s="116">
        <v>101.25</v>
      </c>
      <c r="R1712">
        <v>4336484</v>
      </c>
    </row>
    <row r="1713" spans="1:18" x14ac:dyDescent="0.25">
      <c r="A1713" s="170">
        <v>44529</v>
      </c>
      <c r="B1713" s="116">
        <v>20.14</v>
      </c>
      <c r="C1713" s="116">
        <v>19.68</v>
      </c>
      <c r="D1713" s="116">
        <v>18.72</v>
      </c>
      <c r="E1713" s="116">
        <v>19.600000000000001</v>
      </c>
      <c r="F1713" s="116">
        <v>98.4</v>
      </c>
      <c r="G1713">
        <v>1547825</v>
      </c>
      <c r="H1713" s="116"/>
      <c r="I1713" s="116"/>
      <c r="L1713" s="170">
        <v>44529</v>
      </c>
      <c r="M1713" s="116">
        <v>19.68</v>
      </c>
      <c r="N1713" s="116">
        <v>20.2</v>
      </c>
      <c r="O1713" s="116">
        <v>18.72</v>
      </c>
      <c r="P1713" s="116">
        <v>20</v>
      </c>
      <c r="Q1713" s="116">
        <v>98.4</v>
      </c>
      <c r="R1713">
        <v>4625241</v>
      </c>
    </row>
    <row r="1714" spans="1:18" x14ac:dyDescent="0.25">
      <c r="A1714" s="170">
        <v>44530</v>
      </c>
      <c r="B1714" s="116">
        <v>20.6</v>
      </c>
      <c r="C1714" s="116">
        <v>19.87</v>
      </c>
      <c r="D1714" s="116">
        <v>19.8</v>
      </c>
      <c r="E1714" s="116">
        <v>19.940000000000001</v>
      </c>
      <c r="F1714" s="116">
        <v>99.35</v>
      </c>
      <c r="G1714">
        <v>805881</v>
      </c>
      <c r="H1714" s="116"/>
      <c r="I1714" s="116"/>
      <c r="L1714" s="170">
        <v>44530</v>
      </c>
      <c r="M1714" s="116">
        <v>19.87</v>
      </c>
      <c r="N1714" s="116">
        <v>20.64</v>
      </c>
      <c r="O1714" s="116">
        <v>19.8</v>
      </c>
      <c r="P1714" s="116">
        <v>20.100000000000001</v>
      </c>
      <c r="Q1714" s="116">
        <v>99.35</v>
      </c>
      <c r="R1714">
        <v>3469788</v>
      </c>
    </row>
    <row r="1715" spans="1:18" x14ac:dyDescent="0.25">
      <c r="A1715" s="170">
        <v>44531</v>
      </c>
      <c r="B1715" s="116">
        <v>20.58</v>
      </c>
      <c r="C1715" s="116">
        <v>20.239999999999998</v>
      </c>
      <c r="D1715" s="116">
        <v>19.940000000000001</v>
      </c>
      <c r="E1715" s="116">
        <v>20.22</v>
      </c>
      <c r="F1715" s="116">
        <v>101.2</v>
      </c>
      <c r="G1715">
        <v>558781</v>
      </c>
      <c r="H1715" s="116"/>
      <c r="I1715" s="116"/>
      <c r="L1715" s="170">
        <v>44531</v>
      </c>
      <c r="M1715" s="116">
        <v>20.25</v>
      </c>
      <c r="N1715" s="116">
        <v>20.399999999999999</v>
      </c>
      <c r="O1715" s="116">
        <v>19.940000000000001</v>
      </c>
      <c r="P1715" s="116">
        <v>20.399999999999999</v>
      </c>
      <c r="Q1715" s="116">
        <v>101.25</v>
      </c>
      <c r="R1715">
        <v>2428583</v>
      </c>
    </row>
    <row r="1716" spans="1:18" x14ac:dyDescent="0.25">
      <c r="A1716" s="170">
        <v>44532</v>
      </c>
      <c r="B1716" s="116">
        <v>20.399999999999999</v>
      </c>
      <c r="C1716" s="116">
        <v>20.34</v>
      </c>
      <c r="D1716" s="116">
        <v>20.09</v>
      </c>
      <c r="E1716" s="116">
        <v>20.239999999999998</v>
      </c>
      <c r="F1716" s="116">
        <v>101.7</v>
      </c>
      <c r="G1716">
        <v>287623</v>
      </c>
      <c r="H1716" s="116"/>
      <c r="I1716" s="116"/>
      <c r="L1716" s="170">
        <v>44532</v>
      </c>
      <c r="M1716" s="116">
        <v>20.350000000000001</v>
      </c>
      <c r="N1716" s="116">
        <v>20.399999999999999</v>
      </c>
      <c r="O1716" s="116">
        <v>20.079999999999998</v>
      </c>
      <c r="P1716" s="116">
        <v>20.16</v>
      </c>
      <c r="Q1716" s="116">
        <v>101.75</v>
      </c>
      <c r="R1716">
        <v>2745370</v>
      </c>
    </row>
    <row r="1717" spans="1:18" x14ac:dyDescent="0.25">
      <c r="A1717" s="170">
        <v>44533</v>
      </c>
      <c r="B1717" s="116">
        <v>20.53</v>
      </c>
      <c r="C1717" s="116">
        <v>20.16</v>
      </c>
      <c r="D1717" s="116">
        <v>20.100000000000001</v>
      </c>
      <c r="E1717" s="116">
        <v>20.46</v>
      </c>
      <c r="F1717" s="116">
        <v>100.8</v>
      </c>
      <c r="G1717">
        <v>298811</v>
      </c>
      <c r="H1717" s="116"/>
      <c r="I1717" s="116"/>
      <c r="L1717" s="170">
        <v>44533</v>
      </c>
      <c r="M1717" s="116">
        <v>20.16</v>
      </c>
      <c r="N1717" s="116">
        <v>20.52</v>
      </c>
      <c r="O1717" s="116">
        <v>20.100000000000001</v>
      </c>
      <c r="P1717" s="116">
        <v>20.38</v>
      </c>
      <c r="Q1717" s="116">
        <v>100.8</v>
      </c>
      <c r="R1717">
        <v>2919273</v>
      </c>
    </row>
    <row r="1718" spans="1:18" x14ac:dyDescent="0.25">
      <c r="A1718" s="170">
        <v>44536</v>
      </c>
      <c r="B1718" s="116">
        <v>20.2</v>
      </c>
      <c r="C1718" s="116">
        <v>19.89</v>
      </c>
      <c r="D1718" s="116">
        <v>19.809999999999999</v>
      </c>
      <c r="E1718" s="116">
        <v>20.07</v>
      </c>
      <c r="F1718" s="116">
        <v>99.45</v>
      </c>
      <c r="G1718">
        <v>649080</v>
      </c>
      <c r="H1718" s="116"/>
      <c r="I1718" s="116"/>
      <c r="L1718" s="170">
        <v>44536</v>
      </c>
      <c r="M1718" s="116">
        <v>19.899999999999999</v>
      </c>
      <c r="N1718" s="116">
        <v>20.2</v>
      </c>
      <c r="O1718" s="116">
        <v>19.8</v>
      </c>
      <c r="P1718" s="116">
        <v>20.16</v>
      </c>
      <c r="Q1718" s="116">
        <v>99.5</v>
      </c>
      <c r="R1718">
        <v>2366475</v>
      </c>
    </row>
    <row r="1719" spans="1:18" x14ac:dyDescent="0.25">
      <c r="A1719" s="170">
        <v>44537</v>
      </c>
      <c r="B1719" s="116">
        <v>20.190000000000001</v>
      </c>
      <c r="C1719" s="116">
        <v>20.059999999999999</v>
      </c>
      <c r="D1719" s="116">
        <v>19.82</v>
      </c>
      <c r="E1719" s="116">
        <v>20</v>
      </c>
      <c r="F1719" s="116">
        <v>100.3</v>
      </c>
      <c r="G1719">
        <v>253405</v>
      </c>
      <c r="H1719" s="116"/>
      <c r="I1719" s="116"/>
      <c r="L1719" s="170">
        <v>44537</v>
      </c>
      <c r="M1719" s="116">
        <v>20.07</v>
      </c>
      <c r="N1719" s="116">
        <v>20.190000000000001</v>
      </c>
      <c r="O1719" s="116">
        <v>19.8</v>
      </c>
      <c r="P1719" s="116">
        <v>20.12</v>
      </c>
      <c r="Q1719" s="116">
        <v>100.35</v>
      </c>
      <c r="R1719">
        <v>2690187</v>
      </c>
    </row>
    <row r="1720" spans="1:18" x14ac:dyDescent="0.25">
      <c r="A1720" s="170">
        <v>44538</v>
      </c>
      <c r="B1720" s="116">
        <v>21.46</v>
      </c>
      <c r="C1720" s="116">
        <v>20.79</v>
      </c>
      <c r="D1720" s="116">
        <v>20.2</v>
      </c>
      <c r="E1720" s="116">
        <v>20.2</v>
      </c>
      <c r="F1720" s="116">
        <v>103.95</v>
      </c>
      <c r="G1720">
        <v>868913</v>
      </c>
      <c r="H1720" s="116"/>
      <c r="I1720" s="116"/>
      <c r="L1720" s="170">
        <v>44538</v>
      </c>
      <c r="M1720" s="116">
        <v>20.79</v>
      </c>
      <c r="N1720" s="116">
        <v>21.5</v>
      </c>
      <c r="O1720" s="116">
        <v>20.2</v>
      </c>
      <c r="P1720" s="116">
        <v>20.2</v>
      </c>
      <c r="Q1720" s="116">
        <v>103.95</v>
      </c>
      <c r="R1720">
        <v>7100221</v>
      </c>
    </row>
    <row r="1721" spans="1:18" x14ac:dyDescent="0.25">
      <c r="A1721" s="170">
        <v>44539</v>
      </c>
      <c r="B1721" s="116">
        <v>21.09</v>
      </c>
      <c r="C1721" s="116">
        <v>20.73</v>
      </c>
      <c r="D1721" s="116">
        <v>20.53</v>
      </c>
      <c r="E1721" s="116">
        <v>21.09</v>
      </c>
      <c r="F1721" s="116">
        <v>103.65</v>
      </c>
      <c r="G1721">
        <v>787159</v>
      </c>
      <c r="H1721" s="116"/>
      <c r="I1721" s="116"/>
      <c r="L1721" s="170">
        <v>44539</v>
      </c>
      <c r="M1721" s="116">
        <v>20.71</v>
      </c>
      <c r="N1721" s="116">
        <v>21.07</v>
      </c>
      <c r="O1721" s="116">
        <v>20.54</v>
      </c>
      <c r="P1721" s="116">
        <v>21.07</v>
      </c>
      <c r="Q1721" s="116">
        <v>103.55</v>
      </c>
      <c r="R1721">
        <v>3013021</v>
      </c>
    </row>
    <row r="1722" spans="1:18" x14ac:dyDescent="0.25">
      <c r="A1722" s="170">
        <v>44540</v>
      </c>
      <c r="B1722" s="116">
        <v>21.27</v>
      </c>
      <c r="C1722" s="116">
        <v>20.82</v>
      </c>
      <c r="D1722" s="116">
        <v>20.71</v>
      </c>
      <c r="E1722" s="116">
        <v>20.8</v>
      </c>
      <c r="F1722" s="116">
        <v>104.1</v>
      </c>
      <c r="G1722">
        <v>1001890</v>
      </c>
      <c r="H1722" s="116"/>
      <c r="I1722" s="116"/>
      <c r="L1722" s="170">
        <v>44540</v>
      </c>
      <c r="M1722" s="116">
        <v>20.81</v>
      </c>
      <c r="N1722" s="116">
        <v>21.29</v>
      </c>
      <c r="O1722" s="116">
        <v>20.7</v>
      </c>
      <c r="P1722" s="116">
        <v>20.76</v>
      </c>
      <c r="Q1722" s="116">
        <v>104.05</v>
      </c>
      <c r="R1722">
        <v>4922750</v>
      </c>
    </row>
    <row r="1723" spans="1:18" x14ac:dyDescent="0.25">
      <c r="A1723" s="170">
        <v>44543</v>
      </c>
      <c r="B1723" s="116">
        <v>21.42</v>
      </c>
      <c r="C1723" s="116">
        <v>20.76</v>
      </c>
      <c r="D1723" s="116">
        <v>20.7</v>
      </c>
      <c r="E1723" s="116">
        <v>21.14</v>
      </c>
      <c r="F1723" s="116">
        <v>103.8</v>
      </c>
      <c r="G1723">
        <v>1126999</v>
      </c>
      <c r="H1723" s="116"/>
      <c r="I1723" s="116"/>
      <c r="L1723" s="170">
        <v>44543</v>
      </c>
      <c r="M1723" s="116">
        <v>20.75</v>
      </c>
      <c r="N1723" s="116">
        <v>21.48</v>
      </c>
      <c r="O1723" s="116">
        <v>20.7</v>
      </c>
      <c r="P1723" s="116">
        <v>21.12</v>
      </c>
      <c r="Q1723" s="116">
        <v>103.75</v>
      </c>
      <c r="R1723">
        <v>4673258</v>
      </c>
    </row>
    <row r="1724" spans="1:18" x14ac:dyDescent="0.25">
      <c r="A1724" s="170">
        <v>44544</v>
      </c>
      <c r="B1724" s="116">
        <v>20.97</v>
      </c>
      <c r="C1724" s="116">
        <v>20.67</v>
      </c>
      <c r="D1724" s="116">
        <v>20.5</v>
      </c>
      <c r="E1724" s="116">
        <v>20.71</v>
      </c>
      <c r="F1724" s="116">
        <v>103.35</v>
      </c>
      <c r="G1724">
        <v>646518</v>
      </c>
      <c r="H1724" s="116"/>
      <c r="I1724" s="116"/>
      <c r="L1724" s="170">
        <v>44544</v>
      </c>
      <c r="M1724" s="116">
        <v>20.67</v>
      </c>
      <c r="N1724" s="116">
        <v>20.97</v>
      </c>
      <c r="O1724" s="116">
        <v>20.5</v>
      </c>
      <c r="P1724" s="116">
        <v>20.68</v>
      </c>
      <c r="Q1724" s="116">
        <v>103.35</v>
      </c>
      <c r="R1724">
        <v>2603876</v>
      </c>
    </row>
    <row r="1725" spans="1:18" x14ac:dyDescent="0.25">
      <c r="A1725" s="170">
        <v>44545</v>
      </c>
      <c r="B1725" s="116">
        <v>20.9</v>
      </c>
      <c r="C1725" s="116">
        <v>20.45</v>
      </c>
      <c r="D1725" s="116">
        <v>20.32</v>
      </c>
      <c r="E1725" s="116">
        <v>20.87</v>
      </c>
      <c r="F1725" s="116">
        <v>102.25</v>
      </c>
      <c r="G1725">
        <v>621093</v>
      </c>
      <c r="H1725" s="116"/>
      <c r="I1725" s="116"/>
      <c r="L1725" s="170">
        <v>44545</v>
      </c>
      <c r="M1725" s="116">
        <v>20.440000000000001</v>
      </c>
      <c r="N1725" s="116">
        <v>20.94</v>
      </c>
      <c r="O1725" s="116">
        <v>20.309999999999999</v>
      </c>
      <c r="P1725" s="116">
        <v>20.7</v>
      </c>
      <c r="Q1725" s="116">
        <v>102.2</v>
      </c>
      <c r="R1725">
        <v>2600789</v>
      </c>
    </row>
    <row r="1726" spans="1:18" x14ac:dyDescent="0.25">
      <c r="A1726" s="170">
        <v>44546</v>
      </c>
      <c r="B1726" s="116">
        <v>20.78</v>
      </c>
      <c r="C1726" s="116">
        <v>20.260000000000002</v>
      </c>
      <c r="D1726" s="116">
        <v>20.149999999999999</v>
      </c>
      <c r="E1726" s="116">
        <v>20.78</v>
      </c>
      <c r="F1726" s="116">
        <v>101.3</v>
      </c>
      <c r="G1726">
        <v>672191</v>
      </c>
      <c r="H1726" s="116"/>
      <c r="I1726" s="116"/>
      <c r="L1726" s="170">
        <v>44546</v>
      </c>
      <c r="M1726" s="116">
        <v>20.260000000000002</v>
      </c>
      <c r="N1726" s="116">
        <v>20.79</v>
      </c>
      <c r="O1726" s="116">
        <v>20.16</v>
      </c>
      <c r="P1726" s="116">
        <v>20.74</v>
      </c>
      <c r="Q1726" s="116">
        <v>101.3</v>
      </c>
      <c r="R1726">
        <v>2336205</v>
      </c>
    </row>
    <row r="1727" spans="1:18" x14ac:dyDescent="0.25">
      <c r="A1727" s="170">
        <v>44547</v>
      </c>
      <c r="B1727" s="116">
        <v>20.260000000000002</v>
      </c>
      <c r="C1727" s="116">
        <v>20.02</v>
      </c>
      <c r="D1727" s="116">
        <v>19.8</v>
      </c>
      <c r="E1727" s="116">
        <v>20.260000000000002</v>
      </c>
      <c r="F1727" s="116">
        <v>100.1</v>
      </c>
      <c r="G1727">
        <v>821940</v>
      </c>
      <c r="H1727" s="116"/>
      <c r="I1727" s="116"/>
      <c r="L1727" s="170">
        <v>44547</v>
      </c>
      <c r="M1727" s="116">
        <v>20.02</v>
      </c>
      <c r="N1727" s="116">
        <v>20.260000000000002</v>
      </c>
      <c r="O1727" s="116">
        <v>19.8</v>
      </c>
      <c r="P1727" s="116">
        <v>20.2</v>
      </c>
      <c r="Q1727" s="116">
        <v>100.1</v>
      </c>
      <c r="R1727">
        <v>3357266</v>
      </c>
    </row>
    <row r="1728" spans="1:18" x14ac:dyDescent="0.25">
      <c r="A1728" s="170">
        <v>44550</v>
      </c>
      <c r="B1728" s="116">
        <v>19.77</v>
      </c>
      <c r="C1728" s="116">
        <v>19.420000000000002</v>
      </c>
      <c r="D1728" s="116">
        <v>19.07</v>
      </c>
      <c r="E1728" s="116">
        <v>19.53</v>
      </c>
      <c r="F1728" s="116">
        <v>97.1</v>
      </c>
      <c r="G1728">
        <v>1224128</v>
      </c>
      <c r="H1728" s="116"/>
      <c r="I1728" s="116"/>
      <c r="L1728" s="170">
        <v>44550</v>
      </c>
      <c r="M1728" s="116">
        <v>19.420000000000002</v>
      </c>
      <c r="N1728" s="116">
        <v>19.760000000000002</v>
      </c>
      <c r="O1728" s="116">
        <v>19.02</v>
      </c>
      <c r="P1728" s="116">
        <v>19.760000000000002</v>
      </c>
      <c r="Q1728" s="116">
        <v>97.1</v>
      </c>
      <c r="R1728">
        <v>4106643</v>
      </c>
    </row>
    <row r="1729" spans="1:18" x14ac:dyDescent="0.25">
      <c r="A1729" s="170">
        <v>44551</v>
      </c>
      <c r="B1729" s="116">
        <v>19.989999999999998</v>
      </c>
      <c r="C1729" s="116">
        <v>19.760000000000002</v>
      </c>
      <c r="D1729" s="116">
        <v>19.420000000000002</v>
      </c>
      <c r="E1729" s="116">
        <v>19.420000000000002</v>
      </c>
      <c r="F1729" s="116">
        <v>98.8</v>
      </c>
      <c r="G1729">
        <v>639857</v>
      </c>
      <c r="H1729" s="116"/>
      <c r="I1729" s="116"/>
      <c r="L1729" s="170">
        <v>44551</v>
      </c>
      <c r="M1729" s="116">
        <v>19.77</v>
      </c>
      <c r="N1729" s="116">
        <v>19.98</v>
      </c>
      <c r="O1729" s="116">
        <v>19.43</v>
      </c>
      <c r="P1729" s="116">
        <v>19.43</v>
      </c>
      <c r="Q1729" s="116">
        <v>98.85</v>
      </c>
      <c r="R1729">
        <v>2857892</v>
      </c>
    </row>
    <row r="1730" spans="1:18" x14ac:dyDescent="0.25">
      <c r="A1730" s="170">
        <v>44552</v>
      </c>
      <c r="B1730" s="116">
        <v>20.18</v>
      </c>
      <c r="C1730" s="116">
        <v>19.920000000000002</v>
      </c>
      <c r="D1730" s="116">
        <v>19.809999999999999</v>
      </c>
      <c r="E1730" s="116">
        <v>20</v>
      </c>
      <c r="F1730" s="116">
        <v>99.6</v>
      </c>
      <c r="G1730">
        <v>301333</v>
      </c>
      <c r="H1730" s="116"/>
      <c r="I1730" s="116"/>
      <c r="L1730" s="170">
        <v>44552</v>
      </c>
      <c r="M1730" s="116">
        <v>19.93</v>
      </c>
      <c r="N1730" s="116">
        <v>20.190000000000001</v>
      </c>
      <c r="O1730" s="116">
        <v>19.8</v>
      </c>
      <c r="P1730" s="116">
        <v>19.98</v>
      </c>
      <c r="Q1730" s="116">
        <v>99.65</v>
      </c>
      <c r="R1730">
        <v>2158306</v>
      </c>
    </row>
    <row r="1731" spans="1:18" x14ac:dyDescent="0.25">
      <c r="A1731" s="170">
        <v>44553</v>
      </c>
      <c r="B1731" s="116">
        <v>20.170000000000002</v>
      </c>
      <c r="C1731" s="116">
        <v>19.84</v>
      </c>
      <c r="D1731" s="116">
        <v>19.8</v>
      </c>
      <c r="E1731" s="116">
        <v>20.170000000000002</v>
      </c>
      <c r="F1731" s="116">
        <v>99.2</v>
      </c>
      <c r="G1731">
        <v>277368</v>
      </c>
      <c r="H1731" s="116"/>
      <c r="I1731" s="116"/>
      <c r="L1731" s="170">
        <v>44553</v>
      </c>
      <c r="M1731" s="116">
        <v>19.86</v>
      </c>
      <c r="N1731" s="116">
        <v>20.190000000000001</v>
      </c>
      <c r="O1731" s="116">
        <v>19.82</v>
      </c>
      <c r="P1731" s="116">
        <v>20.09</v>
      </c>
      <c r="Q1731" s="116">
        <v>99.3</v>
      </c>
      <c r="R1731">
        <v>2235524</v>
      </c>
    </row>
    <row r="1732" spans="1:18" x14ac:dyDescent="0.25">
      <c r="A1732" s="170">
        <v>44554</v>
      </c>
      <c r="B1732" s="116">
        <v>20</v>
      </c>
      <c r="C1732" s="116">
        <v>19.73</v>
      </c>
      <c r="D1732" s="116">
        <v>19.62</v>
      </c>
      <c r="E1732" s="116">
        <v>20</v>
      </c>
      <c r="F1732" s="116">
        <v>98.65</v>
      </c>
      <c r="G1732">
        <v>263472</v>
      </c>
      <c r="H1732" s="116"/>
      <c r="I1732" s="116"/>
      <c r="L1732" s="170">
        <v>44554</v>
      </c>
      <c r="M1732" s="116">
        <v>19.73</v>
      </c>
      <c r="N1732" s="116">
        <v>19.989999999999998</v>
      </c>
      <c r="O1732" s="116">
        <v>19.62</v>
      </c>
      <c r="P1732" s="116">
        <v>19.989999999999998</v>
      </c>
      <c r="Q1732" s="116">
        <v>98.65</v>
      </c>
      <c r="R1732">
        <v>2572160</v>
      </c>
    </row>
    <row r="1733" spans="1:18" x14ac:dyDescent="0.25">
      <c r="A1733" s="170">
        <v>44557</v>
      </c>
      <c r="B1733" s="116">
        <v>20.100000000000001</v>
      </c>
      <c r="C1733" s="116">
        <v>19.88</v>
      </c>
      <c r="D1733" s="116">
        <v>19.46</v>
      </c>
      <c r="E1733" s="116">
        <v>19.73</v>
      </c>
      <c r="F1733" s="116">
        <v>99.4</v>
      </c>
      <c r="G1733">
        <v>914993</v>
      </c>
      <c r="H1733" s="116"/>
      <c r="I1733" s="116"/>
      <c r="L1733" s="170">
        <v>44557</v>
      </c>
      <c r="M1733" s="116">
        <v>19.89</v>
      </c>
      <c r="N1733" s="116">
        <v>20.14</v>
      </c>
      <c r="O1733" s="116">
        <v>19.46</v>
      </c>
      <c r="P1733" s="116">
        <v>19.760000000000002</v>
      </c>
      <c r="Q1733" s="116">
        <v>99.45</v>
      </c>
      <c r="R1733">
        <v>4643998</v>
      </c>
    </row>
    <row r="1734" spans="1:18" x14ac:dyDescent="0.25">
      <c r="A1734" s="170">
        <v>44558</v>
      </c>
      <c r="B1734" s="116">
        <v>20.8</v>
      </c>
      <c r="C1734" s="116">
        <v>20.2</v>
      </c>
      <c r="D1734" s="116">
        <v>19.86</v>
      </c>
      <c r="E1734" s="116">
        <v>20.14</v>
      </c>
      <c r="F1734" s="116">
        <v>101</v>
      </c>
      <c r="G1734">
        <v>834334</v>
      </c>
      <c r="H1734" s="116"/>
      <c r="I1734" s="116"/>
      <c r="L1734" s="170">
        <v>44558</v>
      </c>
      <c r="M1734" s="116">
        <v>20.2</v>
      </c>
      <c r="N1734" s="116">
        <v>20.8</v>
      </c>
      <c r="O1734" s="116">
        <v>19.84</v>
      </c>
      <c r="P1734" s="116">
        <v>20.059999999999999</v>
      </c>
      <c r="Q1734" s="116">
        <v>101</v>
      </c>
      <c r="R1734">
        <v>7055795</v>
      </c>
    </row>
    <row r="1735" spans="1:18" x14ac:dyDescent="0.25">
      <c r="A1735" s="170">
        <v>44559</v>
      </c>
      <c r="B1735" s="116">
        <v>20.47</v>
      </c>
      <c r="C1735" s="116">
        <v>19.97</v>
      </c>
      <c r="D1735" s="116">
        <v>19.920000000000002</v>
      </c>
      <c r="E1735" s="116">
        <v>20.260000000000002</v>
      </c>
      <c r="F1735" s="116">
        <v>99.85</v>
      </c>
      <c r="G1735">
        <v>869958</v>
      </c>
      <c r="H1735" s="116"/>
      <c r="I1735" s="116"/>
      <c r="L1735" s="170">
        <v>44559</v>
      </c>
      <c r="M1735" s="116">
        <v>19.97</v>
      </c>
      <c r="N1735" s="116">
        <v>20.48</v>
      </c>
      <c r="O1735" s="116">
        <v>19.940000000000001</v>
      </c>
      <c r="P1735" s="116">
        <v>20.239999999999998</v>
      </c>
      <c r="Q1735" s="116">
        <v>99.85</v>
      </c>
      <c r="R1735">
        <v>3075259</v>
      </c>
    </row>
    <row r="1736" spans="1:18" x14ac:dyDescent="0.25">
      <c r="A1736" s="170">
        <v>44560</v>
      </c>
      <c r="B1736" s="116">
        <v>20.09</v>
      </c>
      <c r="C1736" s="116">
        <v>19.88</v>
      </c>
      <c r="D1736" s="116">
        <v>19.809999999999999</v>
      </c>
      <c r="E1736" s="116">
        <v>20.09</v>
      </c>
      <c r="F1736" s="116">
        <v>99.4</v>
      </c>
      <c r="G1736">
        <v>471478</v>
      </c>
      <c r="H1736" s="116"/>
      <c r="I1736" s="116"/>
      <c r="L1736" s="170">
        <v>44560</v>
      </c>
      <c r="M1736" s="116">
        <v>19.89</v>
      </c>
      <c r="N1736" s="116">
        <v>20.079999999999998</v>
      </c>
      <c r="O1736" s="116">
        <v>19.82</v>
      </c>
      <c r="P1736" s="116">
        <v>20</v>
      </c>
      <c r="Q1736" s="116">
        <v>99.45</v>
      </c>
      <c r="R1736">
        <v>2092134</v>
      </c>
    </row>
    <row r="1737" spans="1:18" x14ac:dyDescent="0.25">
      <c r="A1737" s="170">
        <v>44561</v>
      </c>
      <c r="B1737" s="116">
        <v>20.28</v>
      </c>
      <c r="C1737" s="116">
        <v>19.95</v>
      </c>
      <c r="D1737" s="116">
        <v>19.89</v>
      </c>
      <c r="E1737" s="116">
        <v>20.14</v>
      </c>
      <c r="F1737" s="116">
        <v>99.75</v>
      </c>
      <c r="G1737">
        <v>413083</v>
      </c>
      <c r="H1737" s="116"/>
      <c r="I1737" s="116"/>
      <c r="L1737" s="170">
        <v>44561</v>
      </c>
      <c r="M1737" s="116">
        <v>19.940000000000001</v>
      </c>
      <c r="N1737" s="116">
        <v>20.3</v>
      </c>
      <c r="O1737" s="116">
        <v>19.899999999999999</v>
      </c>
      <c r="P1737" s="116">
        <v>19.98</v>
      </c>
      <c r="Q1737" s="116">
        <v>99.7</v>
      </c>
      <c r="R1737">
        <v>3351858</v>
      </c>
    </row>
    <row r="1738" spans="1:18" x14ac:dyDescent="0.25">
      <c r="A1738" s="170">
        <v>44564</v>
      </c>
      <c r="B1738" s="116">
        <v>20.76</v>
      </c>
      <c r="C1738" s="116">
        <v>20.260000000000002</v>
      </c>
      <c r="D1738" s="116">
        <v>20</v>
      </c>
      <c r="E1738" s="116">
        <v>20.010000000000002</v>
      </c>
      <c r="F1738" s="116">
        <v>101.3</v>
      </c>
      <c r="G1738">
        <v>1587385</v>
      </c>
      <c r="H1738" s="116"/>
      <c r="I1738" s="116"/>
      <c r="L1738" s="170">
        <v>44564</v>
      </c>
      <c r="M1738" s="116">
        <v>20.260000000000002</v>
      </c>
      <c r="N1738" s="116">
        <v>20.78</v>
      </c>
      <c r="O1738" s="116">
        <v>20.02</v>
      </c>
      <c r="P1738" s="116">
        <v>20.03</v>
      </c>
      <c r="Q1738" s="116">
        <v>101.3</v>
      </c>
      <c r="R1738">
        <v>7352927</v>
      </c>
    </row>
    <row r="1739" spans="1:18" x14ac:dyDescent="0.25">
      <c r="A1739" s="170">
        <v>44565</v>
      </c>
      <c r="B1739" s="116">
        <v>20.7</v>
      </c>
      <c r="C1739" s="116">
        <v>20.11</v>
      </c>
      <c r="D1739" s="116">
        <v>20.02</v>
      </c>
      <c r="E1739" s="116">
        <v>20.32</v>
      </c>
      <c r="F1739" s="116">
        <v>100.55</v>
      </c>
      <c r="G1739">
        <v>836032</v>
      </c>
      <c r="H1739" s="116"/>
      <c r="I1739" s="116"/>
      <c r="L1739" s="170">
        <v>44565</v>
      </c>
      <c r="M1739" s="116">
        <v>20.11</v>
      </c>
      <c r="N1739" s="116">
        <v>20.71</v>
      </c>
      <c r="O1739" s="116">
        <v>20.02</v>
      </c>
      <c r="P1739" s="116">
        <v>20.5</v>
      </c>
      <c r="Q1739" s="116">
        <v>100.55</v>
      </c>
      <c r="R1739">
        <v>5914012</v>
      </c>
    </row>
    <row r="1740" spans="1:18" x14ac:dyDescent="0.25">
      <c r="A1740" s="170">
        <v>44566</v>
      </c>
      <c r="B1740" s="116">
        <v>20.3</v>
      </c>
      <c r="C1740" s="116">
        <v>19.98</v>
      </c>
      <c r="D1740" s="116">
        <v>19.920000000000002</v>
      </c>
      <c r="E1740" s="116">
        <v>20.28</v>
      </c>
      <c r="F1740" s="116">
        <v>99.9</v>
      </c>
      <c r="G1740">
        <v>814103</v>
      </c>
      <c r="H1740" s="116"/>
      <c r="I1740" s="116"/>
      <c r="L1740" s="170">
        <v>44566</v>
      </c>
      <c r="M1740" s="116">
        <v>19.97</v>
      </c>
      <c r="N1740" s="116">
        <v>20.32</v>
      </c>
      <c r="O1740" s="116">
        <v>19.920000000000002</v>
      </c>
      <c r="P1740" s="116">
        <v>20.13</v>
      </c>
      <c r="Q1740" s="116">
        <v>99.85</v>
      </c>
      <c r="R1740">
        <v>4250315</v>
      </c>
    </row>
    <row r="1741" spans="1:18" x14ac:dyDescent="0.25">
      <c r="A1741" s="170">
        <v>44567</v>
      </c>
      <c r="B1741" s="116">
        <v>20.07</v>
      </c>
      <c r="C1741" s="116">
        <v>19.97</v>
      </c>
      <c r="D1741" s="116">
        <v>19.72</v>
      </c>
      <c r="E1741" s="116">
        <v>19.899999999999999</v>
      </c>
      <c r="F1741" s="116">
        <v>99.85</v>
      </c>
      <c r="G1741">
        <v>983140</v>
      </c>
      <c r="H1741" s="116"/>
      <c r="I1741" s="116"/>
      <c r="L1741" s="170">
        <v>44567</v>
      </c>
      <c r="M1741" s="116">
        <v>19.97</v>
      </c>
      <c r="N1741" s="116">
        <v>20.079999999999998</v>
      </c>
      <c r="O1741" s="116">
        <v>19.73</v>
      </c>
      <c r="P1741" s="116">
        <v>19.899999999999999</v>
      </c>
      <c r="Q1741" s="116">
        <v>99.85</v>
      </c>
      <c r="R1741">
        <v>4373449</v>
      </c>
    </row>
    <row r="1742" spans="1:18" x14ac:dyDescent="0.25">
      <c r="A1742" s="170">
        <v>44568</v>
      </c>
      <c r="B1742" s="116">
        <v>20.45</v>
      </c>
      <c r="C1742" s="116">
        <v>20.04</v>
      </c>
      <c r="D1742" s="116">
        <v>19.899999999999999</v>
      </c>
      <c r="E1742" s="116">
        <v>20.2</v>
      </c>
      <c r="F1742" s="116">
        <v>100.2</v>
      </c>
      <c r="G1742">
        <v>1112736</v>
      </c>
      <c r="H1742" s="116"/>
      <c r="I1742" s="116"/>
      <c r="L1742" s="170">
        <v>44568</v>
      </c>
      <c r="M1742" s="116">
        <v>20.04</v>
      </c>
      <c r="N1742" s="116">
        <v>20.49</v>
      </c>
      <c r="O1742" s="116">
        <v>19.899999999999999</v>
      </c>
      <c r="P1742" s="116">
        <v>20.28</v>
      </c>
      <c r="Q1742" s="116">
        <v>100.2</v>
      </c>
      <c r="R1742">
        <v>4759250</v>
      </c>
    </row>
    <row r="1743" spans="1:18" x14ac:dyDescent="0.25">
      <c r="A1743" s="170">
        <v>44571</v>
      </c>
      <c r="B1743" s="116">
        <v>22.04</v>
      </c>
      <c r="C1743" s="116">
        <v>21.77</v>
      </c>
      <c r="D1743" s="116">
        <v>19.75</v>
      </c>
      <c r="E1743" s="116">
        <v>20.05</v>
      </c>
      <c r="F1743" s="116">
        <v>108.85</v>
      </c>
      <c r="G1743">
        <v>8791838</v>
      </c>
      <c r="H1743" s="116"/>
      <c r="I1743" s="116"/>
      <c r="L1743" s="170">
        <v>44571</v>
      </c>
      <c r="M1743" s="116">
        <v>21.74</v>
      </c>
      <c r="N1743" s="116">
        <v>22.04</v>
      </c>
      <c r="O1743" s="116">
        <v>19.850000000000001</v>
      </c>
      <c r="P1743" s="116">
        <v>20.2</v>
      </c>
      <c r="Q1743" s="116">
        <v>108.7</v>
      </c>
      <c r="R1743">
        <v>37472714</v>
      </c>
    </row>
    <row r="1744" spans="1:18" x14ac:dyDescent="0.25">
      <c r="A1744" s="170">
        <v>44572</v>
      </c>
      <c r="B1744" s="116">
        <v>22.28</v>
      </c>
      <c r="C1744" s="116">
        <v>21.63</v>
      </c>
      <c r="D1744" s="116">
        <v>20</v>
      </c>
      <c r="E1744" s="116">
        <v>21.78</v>
      </c>
      <c r="F1744" s="116">
        <v>108.15</v>
      </c>
      <c r="G1744">
        <v>4236414</v>
      </c>
      <c r="H1744" s="116"/>
      <c r="I1744" s="116"/>
      <c r="L1744" s="170">
        <v>44572</v>
      </c>
      <c r="M1744" s="116">
        <v>21.71</v>
      </c>
      <c r="N1744" s="116">
        <v>22.3</v>
      </c>
      <c r="O1744" s="116">
        <v>21.08</v>
      </c>
      <c r="P1744" s="116">
        <v>21.8</v>
      </c>
      <c r="Q1744" s="116">
        <v>108.55</v>
      </c>
      <c r="R1744">
        <v>21242976</v>
      </c>
    </row>
    <row r="1745" spans="1:18" x14ac:dyDescent="0.25">
      <c r="A1745" s="170">
        <v>44573</v>
      </c>
      <c r="B1745" s="116">
        <v>23.79</v>
      </c>
      <c r="C1745" s="116">
        <v>23.79</v>
      </c>
      <c r="D1745" s="116">
        <v>22.24</v>
      </c>
      <c r="E1745" s="116">
        <v>22.24</v>
      </c>
      <c r="F1745" s="116">
        <v>118.95</v>
      </c>
      <c r="G1745">
        <v>3414717</v>
      </c>
      <c r="H1745" s="116"/>
      <c r="I1745" s="116"/>
      <c r="L1745" s="170">
        <v>44573</v>
      </c>
      <c r="M1745" s="116">
        <v>23.88</v>
      </c>
      <c r="N1745" s="116">
        <v>23.88</v>
      </c>
      <c r="O1745" s="116">
        <v>22.27</v>
      </c>
      <c r="P1745" s="116">
        <v>22.27</v>
      </c>
      <c r="Q1745" s="116">
        <v>119.4</v>
      </c>
      <c r="R1745">
        <v>39885648</v>
      </c>
    </row>
    <row r="1746" spans="1:18" x14ac:dyDescent="0.25">
      <c r="A1746" s="170">
        <v>44574</v>
      </c>
      <c r="B1746" s="116">
        <v>24.91</v>
      </c>
      <c r="C1746" s="116">
        <v>23.39</v>
      </c>
      <c r="D1746" s="116">
        <v>23.01</v>
      </c>
      <c r="E1746" s="116">
        <v>24.58</v>
      </c>
      <c r="F1746" s="116">
        <v>116.95</v>
      </c>
      <c r="G1746">
        <v>3636590</v>
      </c>
      <c r="H1746" s="116"/>
      <c r="I1746" s="116"/>
      <c r="L1746" s="170">
        <v>44574</v>
      </c>
      <c r="M1746" s="116">
        <v>23.29</v>
      </c>
      <c r="N1746" s="116">
        <v>24.88</v>
      </c>
      <c r="O1746" s="116">
        <v>23</v>
      </c>
      <c r="P1746" s="116">
        <v>24.54</v>
      </c>
      <c r="Q1746" s="116">
        <v>116.45</v>
      </c>
      <c r="R1746">
        <v>32879276</v>
      </c>
    </row>
    <row r="1747" spans="1:18" x14ac:dyDescent="0.25">
      <c r="A1747" s="170">
        <v>44575</v>
      </c>
      <c r="B1747" s="116">
        <v>23.92</v>
      </c>
      <c r="C1747" s="116">
        <v>23.4</v>
      </c>
      <c r="D1747" s="116">
        <v>22.98</v>
      </c>
      <c r="E1747" s="116">
        <v>23.1</v>
      </c>
      <c r="F1747" s="116">
        <v>117</v>
      </c>
      <c r="G1747">
        <v>2556399</v>
      </c>
      <c r="H1747" s="116"/>
      <c r="I1747" s="116"/>
      <c r="L1747" s="170">
        <v>44575</v>
      </c>
      <c r="M1747" s="116">
        <v>23.43</v>
      </c>
      <c r="N1747" s="116">
        <v>23.94</v>
      </c>
      <c r="O1747" s="116">
        <v>23</v>
      </c>
      <c r="P1747" s="116">
        <v>23.2</v>
      </c>
      <c r="Q1747" s="116">
        <v>117.15</v>
      </c>
      <c r="R1747">
        <v>15228552</v>
      </c>
    </row>
    <row r="1748" spans="1:18" x14ac:dyDescent="0.25">
      <c r="A1748" s="170">
        <v>44578</v>
      </c>
      <c r="B1748" s="116">
        <v>24.2</v>
      </c>
      <c r="C1748" s="116">
        <v>23.22</v>
      </c>
      <c r="D1748" s="116">
        <v>22.96</v>
      </c>
      <c r="E1748" s="116">
        <v>23.78</v>
      </c>
      <c r="F1748" s="116">
        <v>116.1</v>
      </c>
      <c r="G1748">
        <v>1565044</v>
      </c>
      <c r="H1748" s="116"/>
      <c r="I1748" s="116"/>
      <c r="L1748" s="170">
        <v>44578</v>
      </c>
      <c r="M1748" s="116">
        <v>23.21</v>
      </c>
      <c r="N1748" s="116">
        <v>24.2</v>
      </c>
      <c r="O1748" s="116">
        <v>23</v>
      </c>
      <c r="P1748" s="116">
        <v>23.6</v>
      </c>
      <c r="Q1748" s="116">
        <v>116.05</v>
      </c>
      <c r="R1748">
        <v>11036495</v>
      </c>
    </row>
    <row r="1749" spans="1:18" x14ac:dyDescent="0.25">
      <c r="A1749" s="170">
        <v>44579</v>
      </c>
      <c r="B1749" s="116">
        <v>23.58</v>
      </c>
      <c r="C1749" s="116">
        <v>21.96</v>
      </c>
      <c r="D1749" s="116">
        <v>21.8</v>
      </c>
      <c r="E1749" s="116">
        <v>23.22</v>
      </c>
      <c r="F1749" s="116">
        <v>109.8</v>
      </c>
      <c r="G1749">
        <v>2732568</v>
      </c>
      <c r="H1749" s="116"/>
      <c r="I1749" s="116"/>
      <c r="L1749" s="170">
        <v>44579</v>
      </c>
      <c r="M1749" s="116">
        <v>21.95</v>
      </c>
      <c r="N1749" s="116">
        <v>23.55</v>
      </c>
      <c r="O1749" s="116">
        <v>21.8</v>
      </c>
      <c r="P1749" s="116">
        <v>23.38</v>
      </c>
      <c r="Q1749" s="116">
        <v>109.75</v>
      </c>
      <c r="R1749">
        <v>12785308</v>
      </c>
    </row>
    <row r="1750" spans="1:18" x14ac:dyDescent="0.25">
      <c r="A1750" s="170">
        <v>44580</v>
      </c>
      <c r="B1750" s="116">
        <v>23.04</v>
      </c>
      <c r="C1750" s="116">
        <v>22.77</v>
      </c>
      <c r="D1750" s="116">
        <v>21.6</v>
      </c>
      <c r="E1750" s="116">
        <v>22.05</v>
      </c>
      <c r="F1750" s="116">
        <v>113.85</v>
      </c>
      <c r="G1750">
        <v>2754212</v>
      </c>
      <c r="H1750" s="116"/>
      <c r="I1750" s="116"/>
      <c r="L1750" s="170">
        <v>44580</v>
      </c>
      <c r="M1750" s="116">
        <v>22.78</v>
      </c>
      <c r="N1750" s="116">
        <v>23.05</v>
      </c>
      <c r="O1750" s="116">
        <v>21.6</v>
      </c>
      <c r="P1750" s="116">
        <v>22.14</v>
      </c>
      <c r="Q1750" s="116">
        <v>113.9</v>
      </c>
      <c r="R1750">
        <v>13729230</v>
      </c>
    </row>
    <row r="1751" spans="1:18" x14ac:dyDescent="0.25">
      <c r="A1751" s="170">
        <v>44581</v>
      </c>
      <c r="B1751" s="116">
        <v>23.2</v>
      </c>
      <c r="C1751" s="116">
        <v>22.75</v>
      </c>
      <c r="D1751" s="116">
        <v>22.53</v>
      </c>
      <c r="E1751" s="116">
        <v>22.99</v>
      </c>
      <c r="F1751" s="116">
        <v>113.75</v>
      </c>
      <c r="G1751">
        <v>1296251</v>
      </c>
      <c r="H1751" s="116"/>
      <c r="I1751" s="116"/>
      <c r="L1751" s="170">
        <v>44581</v>
      </c>
      <c r="M1751" s="116">
        <v>22.75</v>
      </c>
      <c r="N1751" s="116">
        <v>23.2</v>
      </c>
      <c r="O1751" s="116">
        <v>22.53</v>
      </c>
      <c r="P1751" s="116">
        <v>22.9</v>
      </c>
      <c r="Q1751" s="116">
        <v>113.75</v>
      </c>
      <c r="R1751">
        <v>10573412</v>
      </c>
    </row>
    <row r="1752" spans="1:18" x14ac:dyDescent="0.25">
      <c r="A1752" s="170">
        <v>44582</v>
      </c>
      <c r="B1752" s="116">
        <v>22.81</v>
      </c>
      <c r="C1752" s="116">
        <v>22</v>
      </c>
      <c r="D1752" s="116">
        <v>21.74</v>
      </c>
      <c r="E1752" s="116">
        <v>22.66</v>
      </c>
      <c r="F1752" s="116">
        <v>110</v>
      </c>
      <c r="G1752">
        <v>1520284</v>
      </c>
      <c r="H1752" s="116"/>
      <c r="I1752" s="116"/>
      <c r="L1752" s="170">
        <v>44582</v>
      </c>
      <c r="M1752" s="116">
        <v>21.99</v>
      </c>
      <c r="N1752" s="116">
        <v>22.81</v>
      </c>
      <c r="O1752" s="116">
        <v>21.73</v>
      </c>
      <c r="P1752" s="116">
        <v>22.48</v>
      </c>
      <c r="Q1752" s="116">
        <v>109.95</v>
      </c>
      <c r="R1752">
        <v>7538938</v>
      </c>
    </row>
    <row r="1753" spans="1:18" x14ac:dyDescent="0.25">
      <c r="A1753" s="170">
        <v>44585</v>
      </c>
      <c r="B1753" s="116">
        <v>22</v>
      </c>
      <c r="C1753" s="116">
        <v>20.57</v>
      </c>
      <c r="D1753" s="116">
        <v>20.41</v>
      </c>
      <c r="E1753" s="116">
        <v>21.94</v>
      </c>
      <c r="F1753" s="116">
        <v>102.85</v>
      </c>
      <c r="G1753">
        <v>2184264</v>
      </c>
      <c r="H1753" s="116"/>
      <c r="I1753" s="116"/>
      <c r="L1753" s="170">
        <v>44585</v>
      </c>
      <c r="M1753" s="116">
        <v>20.56</v>
      </c>
      <c r="N1753" s="116">
        <v>22</v>
      </c>
      <c r="O1753" s="116">
        <v>20.399999999999999</v>
      </c>
      <c r="P1753" s="116">
        <v>22</v>
      </c>
      <c r="Q1753" s="116">
        <v>102.8</v>
      </c>
      <c r="R1753">
        <v>9542881</v>
      </c>
    </row>
    <row r="1754" spans="1:18" x14ac:dyDescent="0.25">
      <c r="A1754" s="170">
        <v>44586</v>
      </c>
      <c r="B1754" s="116">
        <v>21.74</v>
      </c>
      <c r="C1754" s="116">
        <v>21.41</v>
      </c>
      <c r="D1754" s="116">
        <v>19.600000000000001</v>
      </c>
      <c r="E1754" s="116">
        <v>20.57</v>
      </c>
      <c r="F1754" s="116">
        <v>107.05</v>
      </c>
      <c r="G1754">
        <v>2455381</v>
      </c>
      <c r="H1754" s="116"/>
      <c r="I1754" s="116"/>
      <c r="L1754" s="170">
        <v>44586</v>
      </c>
      <c r="M1754" s="116">
        <v>21.43</v>
      </c>
      <c r="N1754" s="116">
        <v>21.75</v>
      </c>
      <c r="O1754" s="116">
        <v>19.600000000000001</v>
      </c>
      <c r="P1754" s="116">
        <v>20.440000000000001</v>
      </c>
      <c r="Q1754" s="116">
        <v>107.15</v>
      </c>
      <c r="R1754">
        <v>9094276</v>
      </c>
    </row>
    <row r="1755" spans="1:18" x14ac:dyDescent="0.25">
      <c r="A1755" s="170">
        <v>44588</v>
      </c>
      <c r="B1755" s="116">
        <v>21.38</v>
      </c>
      <c r="C1755" s="116">
        <v>21.14</v>
      </c>
      <c r="D1755" s="116">
        <v>20.57</v>
      </c>
      <c r="E1755" s="116">
        <v>20.83</v>
      </c>
      <c r="F1755" s="116">
        <v>105.7</v>
      </c>
      <c r="G1755">
        <v>779141</v>
      </c>
      <c r="H1755" s="116"/>
      <c r="I1755" s="116"/>
      <c r="L1755" s="170">
        <v>44588</v>
      </c>
      <c r="M1755" s="116">
        <v>21.13</v>
      </c>
      <c r="N1755" s="116">
        <v>21.39</v>
      </c>
      <c r="O1755" s="116">
        <v>20.56</v>
      </c>
      <c r="P1755" s="116">
        <v>20.6</v>
      </c>
      <c r="Q1755" s="116">
        <v>105.65</v>
      </c>
      <c r="R1755">
        <v>5889375</v>
      </c>
    </row>
    <row r="1756" spans="1:18" x14ac:dyDescent="0.25">
      <c r="A1756" s="170">
        <v>44589</v>
      </c>
      <c r="B1756" s="116">
        <v>21.85</v>
      </c>
      <c r="C1756" s="116">
        <v>21.18</v>
      </c>
      <c r="D1756" s="116">
        <v>21</v>
      </c>
      <c r="E1756" s="116">
        <v>21.56</v>
      </c>
      <c r="F1756" s="116">
        <v>105.9</v>
      </c>
      <c r="G1756">
        <v>1038674</v>
      </c>
      <c r="H1756" s="116"/>
      <c r="I1756" s="116"/>
      <c r="L1756" s="170">
        <v>44589</v>
      </c>
      <c r="M1756" s="116">
        <v>21.15</v>
      </c>
      <c r="N1756" s="116">
        <v>21.86</v>
      </c>
      <c r="O1756" s="116">
        <v>21</v>
      </c>
      <c r="P1756" s="116">
        <v>21.34</v>
      </c>
      <c r="Q1756" s="116">
        <v>105.75</v>
      </c>
      <c r="R1756">
        <v>5158004</v>
      </c>
    </row>
    <row r="1757" spans="1:18" x14ac:dyDescent="0.25">
      <c r="A1757" s="170">
        <v>44592</v>
      </c>
      <c r="B1757" s="116">
        <v>21.68</v>
      </c>
      <c r="C1757" s="116">
        <v>21.25</v>
      </c>
      <c r="D1757" s="116">
        <v>21.14</v>
      </c>
      <c r="E1757" s="116">
        <v>21.25</v>
      </c>
      <c r="F1757" s="116">
        <v>106.25</v>
      </c>
      <c r="G1757">
        <v>831661</v>
      </c>
      <c r="H1757" s="116"/>
      <c r="I1757" s="116"/>
      <c r="L1757" s="170">
        <v>44592</v>
      </c>
      <c r="M1757" s="116">
        <v>21.25</v>
      </c>
      <c r="N1757" s="116">
        <v>21.66</v>
      </c>
      <c r="O1757" s="116">
        <v>21.13</v>
      </c>
      <c r="P1757" s="116">
        <v>21.39</v>
      </c>
      <c r="Q1757" s="116">
        <v>106.25</v>
      </c>
      <c r="R1757">
        <v>4010368</v>
      </c>
    </row>
    <row r="1758" spans="1:18" x14ac:dyDescent="0.25">
      <c r="A1758" s="170">
        <v>44593</v>
      </c>
      <c r="B1758" s="116">
        <v>22.1</v>
      </c>
      <c r="C1758" s="116">
        <v>21.6</v>
      </c>
      <c r="D1758" s="116">
        <v>21.2</v>
      </c>
      <c r="E1758" s="116">
        <v>21.6</v>
      </c>
      <c r="F1758" s="116">
        <v>108</v>
      </c>
      <c r="G1758">
        <v>1546504</v>
      </c>
      <c r="H1758" s="116"/>
      <c r="I1758" s="116"/>
      <c r="L1758" s="170">
        <v>44593</v>
      </c>
      <c r="M1758" s="116">
        <v>21.6</v>
      </c>
      <c r="N1758" s="116">
        <v>22.11</v>
      </c>
      <c r="O1758" s="116">
        <v>21.2</v>
      </c>
      <c r="P1758" s="116">
        <v>21.59</v>
      </c>
      <c r="Q1758" s="116">
        <v>108</v>
      </c>
      <c r="R1758">
        <v>9155535</v>
      </c>
    </row>
    <row r="1759" spans="1:18" x14ac:dyDescent="0.25">
      <c r="A1759" s="170">
        <v>44594</v>
      </c>
      <c r="B1759" s="116">
        <v>21.94</v>
      </c>
      <c r="C1759" s="116">
        <v>21.67</v>
      </c>
      <c r="D1759" s="116">
        <v>21.56</v>
      </c>
      <c r="E1759" s="116">
        <v>21.9</v>
      </c>
      <c r="F1759" s="116">
        <v>108.35</v>
      </c>
      <c r="G1759">
        <v>420309</v>
      </c>
      <c r="H1759" s="116"/>
      <c r="I1759" s="116"/>
      <c r="L1759" s="170">
        <v>44594</v>
      </c>
      <c r="M1759" s="116">
        <v>21.67</v>
      </c>
      <c r="N1759" s="116">
        <v>21.96</v>
      </c>
      <c r="O1759" s="116">
        <v>21.55</v>
      </c>
      <c r="P1759" s="116">
        <v>21.8</v>
      </c>
      <c r="Q1759" s="116">
        <v>108.35</v>
      </c>
      <c r="R1759">
        <v>3804770</v>
      </c>
    </row>
    <row r="1760" spans="1:18" x14ac:dyDescent="0.25">
      <c r="A1760" s="170">
        <v>44595</v>
      </c>
      <c r="B1760" s="116">
        <v>21.89</v>
      </c>
      <c r="C1760" s="116">
        <v>21.5</v>
      </c>
      <c r="D1760" s="116">
        <v>21.4</v>
      </c>
      <c r="E1760" s="116">
        <v>21.89</v>
      </c>
      <c r="F1760" s="116">
        <v>107.5</v>
      </c>
      <c r="G1760">
        <v>668110</v>
      </c>
      <c r="H1760" s="116"/>
      <c r="I1760" s="116"/>
      <c r="L1760" s="170">
        <v>44595</v>
      </c>
      <c r="M1760" s="116">
        <v>21.52</v>
      </c>
      <c r="N1760" s="116">
        <v>21.82</v>
      </c>
      <c r="O1760" s="116">
        <v>21.4</v>
      </c>
      <c r="P1760" s="116">
        <v>21.72</v>
      </c>
      <c r="Q1760" s="116">
        <v>107.6</v>
      </c>
      <c r="R1760">
        <v>3127342</v>
      </c>
    </row>
    <row r="1761" spans="1:18" x14ac:dyDescent="0.25">
      <c r="A1761" s="170">
        <v>44596</v>
      </c>
      <c r="B1761" s="116">
        <v>22.48</v>
      </c>
      <c r="C1761" s="116">
        <v>21.71</v>
      </c>
      <c r="D1761" s="116">
        <v>21.48</v>
      </c>
      <c r="E1761" s="116">
        <v>21.8</v>
      </c>
      <c r="F1761" s="116">
        <v>108.55</v>
      </c>
      <c r="G1761">
        <v>876043</v>
      </c>
      <c r="H1761" s="116"/>
      <c r="I1761" s="116"/>
      <c r="L1761" s="170">
        <v>44596</v>
      </c>
      <c r="M1761" s="116">
        <v>21.71</v>
      </c>
      <c r="N1761" s="116">
        <v>22.48</v>
      </c>
      <c r="O1761" s="116">
        <v>21.5</v>
      </c>
      <c r="P1761" s="116">
        <v>21.74</v>
      </c>
      <c r="Q1761" s="116">
        <v>108.55</v>
      </c>
      <c r="R1761">
        <v>9181079</v>
      </c>
    </row>
    <row r="1762" spans="1:18" x14ac:dyDescent="0.25">
      <c r="A1762" s="170">
        <v>44599</v>
      </c>
      <c r="B1762" s="116">
        <v>23</v>
      </c>
      <c r="C1762" s="116">
        <v>22.34</v>
      </c>
      <c r="D1762" s="116">
        <v>21.87</v>
      </c>
      <c r="E1762" s="116">
        <v>22.03</v>
      </c>
      <c r="F1762" s="116">
        <v>111.7</v>
      </c>
      <c r="G1762">
        <v>2969164</v>
      </c>
      <c r="H1762" s="116"/>
      <c r="I1762" s="116"/>
      <c r="L1762" s="170">
        <v>44599</v>
      </c>
      <c r="M1762" s="116">
        <v>22.34</v>
      </c>
      <c r="N1762" s="116">
        <v>23</v>
      </c>
      <c r="O1762" s="116">
        <v>21.87</v>
      </c>
      <c r="P1762" s="116">
        <v>21.98</v>
      </c>
      <c r="Q1762" s="116">
        <v>111.7</v>
      </c>
      <c r="R1762">
        <v>18041803</v>
      </c>
    </row>
    <row r="1763" spans="1:18" x14ac:dyDescent="0.25">
      <c r="A1763" s="170">
        <v>44600</v>
      </c>
      <c r="B1763" s="116">
        <v>22.73</v>
      </c>
      <c r="C1763" s="116">
        <v>21.61</v>
      </c>
      <c r="D1763" s="116">
        <v>21.34</v>
      </c>
      <c r="E1763" s="116">
        <v>22.41</v>
      </c>
      <c r="F1763" s="116">
        <v>108.05</v>
      </c>
      <c r="G1763">
        <v>1923366</v>
      </c>
      <c r="H1763" s="116"/>
      <c r="I1763" s="116"/>
      <c r="L1763" s="170">
        <v>44600</v>
      </c>
      <c r="M1763" s="116">
        <v>21.63</v>
      </c>
      <c r="N1763" s="116">
        <v>22.73</v>
      </c>
      <c r="O1763" s="116">
        <v>21.36</v>
      </c>
      <c r="P1763" s="116">
        <v>22.54</v>
      </c>
      <c r="Q1763" s="116">
        <v>108.15</v>
      </c>
      <c r="R1763">
        <v>10657420</v>
      </c>
    </row>
    <row r="1764" spans="1:18" x14ac:dyDescent="0.25">
      <c r="A1764" s="170">
        <v>44601</v>
      </c>
      <c r="B1764" s="116">
        <v>22</v>
      </c>
      <c r="C1764" s="116">
        <v>21.51</v>
      </c>
      <c r="D1764" s="116">
        <v>21.32</v>
      </c>
      <c r="E1764" s="116">
        <v>22</v>
      </c>
      <c r="F1764" s="116">
        <v>107.55</v>
      </c>
      <c r="G1764">
        <v>997277</v>
      </c>
      <c r="H1764" s="116"/>
      <c r="I1764" s="116"/>
      <c r="L1764" s="170">
        <v>44601</v>
      </c>
      <c r="M1764" s="116">
        <v>21.52</v>
      </c>
      <c r="N1764" s="116">
        <v>21.97</v>
      </c>
      <c r="O1764" s="116">
        <v>21.3</v>
      </c>
      <c r="P1764" s="116">
        <v>21.84</v>
      </c>
      <c r="Q1764" s="116">
        <v>107.6</v>
      </c>
      <c r="R1764">
        <v>7927714</v>
      </c>
    </row>
    <row r="1765" spans="1:18" x14ac:dyDescent="0.25">
      <c r="A1765" s="170">
        <v>44602</v>
      </c>
      <c r="B1765" s="116">
        <v>25.81</v>
      </c>
      <c r="C1765" s="116">
        <v>24.56</v>
      </c>
      <c r="D1765" s="116">
        <v>21.22</v>
      </c>
      <c r="E1765" s="116">
        <v>21.54</v>
      </c>
      <c r="F1765" s="116">
        <v>122.8</v>
      </c>
      <c r="G1765">
        <v>9932372</v>
      </c>
      <c r="H1765" s="116"/>
      <c r="I1765" s="116"/>
      <c r="L1765" s="170">
        <v>44602</v>
      </c>
      <c r="M1765" s="116">
        <v>24.55</v>
      </c>
      <c r="N1765" s="116">
        <v>25.82</v>
      </c>
      <c r="O1765" s="116">
        <v>21.22</v>
      </c>
      <c r="P1765" s="116">
        <v>21.63</v>
      </c>
      <c r="Q1765" s="116">
        <v>122.75</v>
      </c>
      <c r="R1765">
        <v>118621529</v>
      </c>
    </row>
    <row r="1766" spans="1:18" x14ac:dyDescent="0.25">
      <c r="A1766" s="170">
        <v>44603</v>
      </c>
      <c r="B1766" s="116">
        <v>26.35</v>
      </c>
      <c r="C1766" s="116">
        <v>24.96</v>
      </c>
      <c r="D1766" s="116">
        <v>23.98</v>
      </c>
      <c r="E1766" s="116">
        <v>24.4</v>
      </c>
      <c r="F1766" s="116">
        <v>124.8</v>
      </c>
      <c r="G1766">
        <v>13909374</v>
      </c>
      <c r="H1766" s="116"/>
      <c r="I1766" s="116"/>
      <c r="L1766" s="170">
        <v>44603</v>
      </c>
      <c r="M1766" s="116">
        <v>25</v>
      </c>
      <c r="N1766" s="116">
        <v>26.36</v>
      </c>
      <c r="O1766" s="116">
        <v>24.02</v>
      </c>
      <c r="P1766" s="116">
        <v>24.54</v>
      </c>
      <c r="Q1766" s="116">
        <v>125</v>
      </c>
      <c r="R1766">
        <v>107886260</v>
      </c>
    </row>
    <row r="1767" spans="1:18" x14ac:dyDescent="0.25">
      <c r="A1767" s="170">
        <v>44606</v>
      </c>
      <c r="B1767" s="116">
        <v>24.89</v>
      </c>
      <c r="C1767" s="116">
        <v>22.7</v>
      </c>
      <c r="D1767" s="116">
        <v>22.22</v>
      </c>
      <c r="E1767" s="116">
        <v>24.3</v>
      </c>
      <c r="F1767" s="116">
        <v>113.5</v>
      </c>
      <c r="G1767">
        <v>5005519</v>
      </c>
      <c r="H1767" s="116"/>
      <c r="I1767" s="116"/>
      <c r="L1767" s="170">
        <v>44606</v>
      </c>
      <c r="M1767" s="116">
        <v>22.67</v>
      </c>
      <c r="N1767" s="116">
        <v>24.9</v>
      </c>
      <c r="O1767" s="116">
        <v>22.2</v>
      </c>
      <c r="P1767" s="116">
        <v>24.4</v>
      </c>
      <c r="Q1767" s="116">
        <v>113.35</v>
      </c>
      <c r="R1767">
        <v>55057371</v>
      </c>
    </row>
    <row r="1768" spans="1:18" x14ac:dyDescent="0.25">
      <c r="A1768" s="170">
        <v>44607</v>
      </c>
      <c r="B1768" s="116">
        <v>23.97</v>
      </c>
      <c r="C1768" s="116">
        <v>23.58</v>
      </c>
      <c r="D1768" s="116">
        <v>22.45</v>
      </c>
      <c r="E1768" s="116">
        <v>23.02</v>
      </c>
      <c r="F1768" s="116">
        <v>117.9</v>
      </c>
      <c r="G1768">
        <v>7141432</v>
      </c>
      <c r="H1768" s="116"/>
      <c r="I1768" s="116"/>
      <c r="L1768" s="170">
        <v>44607</v>
      </c>
      <c r="M1768" s="116">
        <v>23.59</v>
      </c>
      <c r="N1768" s="116">
        <v>23.96</v>
      </c>
      <c r="O1768" s="116">
        <v>22.46</v>
      </c>
      <c r="P1768" s="116">
        <v>23.08</v>
      </c>
      <c r="Q1768" s="116">
        <v>117.95</v>
      </c>
      <c r="R1768">
        <v>49640106</v>
      </c>
    </row>
    <row r="1769" spans="1:18" x14ac:dyDescent="0.25">
      <c r="A1769" s="170">
        <v>44608</v>
      </c>
      <c r="B1769" s="116">
        <v>27.14</v>
      </c>
      <c r="C1769" s="116">
        <v>25.36</v>
      </c>
      <c r="D1769" s="116">
        <v>23.92</v>
      </c>
      <c r="E1769" s="116">
        <v>24.01</v>
      </c>
      <c r="F1769" s="116">
        <v>126.8</v>
      </c>
      <c r="G1769">
        <v>10638111</v>
      </c>
      <c r="H1769" s="116"/>
      <c r="I1769" s="116"/>
      <c r="L1769" s="170">
        <v>44608</v>
      </c>
      <c r="M1769" s="116">
        <v>25.35</v>
      </c>
      <c r="N1769" s="116">
        <v>27.1</v>
      </c>
      <c r="O1769" s="116">
        <v>23.92</v>
      </c>
      <c r="P1769" s="116">
        <v>24.04</v>
      </c>
      <c r="Q1769" s="116">
        <v>126.75</v>
      </c>
      <c r="R1769">
        <v>137678036</v>
      </c>
    </row>
    <row r="1770" spans="1:18" x14ac:dyDescent="0.25">
      <c r="A1770" s="170">
        <v>44609</v>
      </c>
      <c r="B1770" s="116">
        <v>27.51</v>
      </c>
      <c r="C1770" s="116">
        <v>26.37</v>
      </c>
      <c r="D1770" s="116">
        <v>25.75</v>
      </c>
      <c r="E1770" s="116">
        <v>25.83</v>
      </c>
      <c r="F1770" s="116">
        <v>131.85</v>
      </c>
      <c r="G1770">
        <v>14374068</v>
      </c>
      <c r="H1770" s="116"/>
      <c r="I1770" s="116"/>
      <c r="L1770" s="170">
        <v>44609</v>
      </c>
      <c r="M1770" s="116">
        <v>26.4</v>
      </c>
      <c r="N1770" s="116">
        <v>27.54</v>
      </c>
      <c r="O1770" s="116">
        <v>25.75</v>
      </c>
      <c r="P1770" s="116">
        <v>25.89</v>
      </c>
      <c r="Q1770" s="116">
        <v>132</v>
      </c>
      <c r="R1770">
        <v>124908183</v>
      </c>
    </row>
    <row r="1771" spans="1:18" x14ac:dyDescent="0.25">
      <c r="A1771" s="170">
        <v>44610</v>
      </c>
      <c r="B1771" s="116">
        <v>27.3</v>
      </c>
      <c r="C1771" s="116">
        <v>26.08</v>
      </c>
      <c r="D1771" s="116">
        <v>22.23</v>
      </c>
      <c r="E1771" s="116">
        <v>26.48</v>
      </c>
      <c r="F1771" s="116">
        <v>130.4</v>
      </c>
      <c r="G1771">
        <v>7262328</v>
      </c>
      <c r="H1771" s="116"/>
      <c r="I1771" s="116"/>
      <c r="L1771" s="170">
        <v>44610</v>
      </c>
      <c r="M1771" s="116">
        <v>26.32</v>
      </c>
      <c r="N1771" s="116">
        <v>27.3</v>
      </c>
      <c r="O1771" s="116">
        <v>26.02</v>
      </c>
      <c r="P1771" s="116">
        <v>26.4</v>
      </c>
      <c r="Q1771" s="116">
        <v>131.6</v>
      </c>
      <c r="R1771">
        <v>84048571</v>
      </c>
    </row>
    <row r="1772" spans="1:18" x14ac:dyDescent="0.25">
      <c r="A1772" s="170">
        <v>44613</v>
      </c>
      <c r="B1772" s="116">
        <v>26.94</v>
      </c>
      <c r="C1772" s="116">
        <v>24</v>
      </c>
      <c r="D1772" s="116">
        <v>23.48</v>
      </c>
      <c r="E1772" s="116">
        <v>26.4</v>
      </c>
      <c r="F1772" s="116">
        <v>120</v>
      </c>
      <c r="G1772">
        <v>6777539</v>
      </c>
      <c r="H1772" s="116"/>
      <c r="I1772" s="116"/>
      <c r="L1772" s="170">
        <v>44613</v>
      </c>
      <c r="M1772" s="116">
        <v>24.03</v>
      </c>
      <c r="N1772" s="116">
        <v>26.93</v>
      </c>
      <c r="O1772" s="116">
        <v>23.57</v>
      </c>
      <c r="P1772" s="116">
        <v>26.4</v>
      </c>
      <c r="Q1772" s="116">
        <v>120.15</v>
      </c>
      <c r="R1772">
        <v>77582256</v>
      </c>
    </row>
    <row r="1773" spans="1:18" x14ac:dyDescent="0.25">
      <c r="A1773" s="170">
        <v>44614</v>
      </c>
      <c r="B1773" s="116">
        <v>24.85</v>
      </c>
      <c r="C1773" s="116">
        <v>24.09</v>
      </c>
      <c r="D1773" s="116">
        <v>22.24</v>
      </c>
      <c r="E1773" s="116">
        <v>22.81</v>
      </c>
      <c r="F1773" s="116">
        <v>120.45</v>
      </c>
      <c r="G1773">
        <v>5690854</v>
      </c>
      <c r="H1773" s="116"/>
      <c r="I1773" s="116"/>
      <c r="L1773" s="170">
        <v>44614</v>
      </c>
      <c r="M1773" s="116">
        <v>24.11</v>
      </c>
      <c r="N1773" s="116">
        <v>24.88</v>
      </c>
      <c r="O1773" s="116">
        <v>22.21</v>
      </c>
      <c r="P1773" s="116">
        <v>22.73</v>
      </c>
      <c r="Q1773" s="116">
        <v>120.55</v>
      </c>
      <c r="R1773">
        <v>70848294</v>
      </c>
    </row>
    <row r="1774" spans="1:18" x14ac:dyDescent="0.25">
      <c r="A1774" s="170">
        <v>44615</v>
      </c>
      <c r="B1774" s="116">
        <v>25.88</v>
      </c>
      <c r="C1774" s="116">
        <v>25.12</v>
      </c>
      <c r="D1774" s="116">
        <v>24.83</v>
      </c>
      <c r="E1774" s="116">
        <v>25</v>
      </c>
      <c r="F1774" s="116">
        <v>125.6</v>
      </c>
      <c r="G1774">
        <v>5132249</v>
      </c>
      <c r="H1774" s="116"/>
      <c r="I1774" s="116"/>
      <c r="L1774" s="170">
        <v>44615</v>
      </c>
      <c r="M1774" s="116">
        <v>25.11</v>
      </c>
      <c r="N1774" s="116">
        <v>25.89</v>
      </c>
      <c r="O1774" s="116">
        <v>24.83</v>
      </c>
      <c r="P1774" s="116">
        <v>25.18</v>
      </c>
      <c r="Q1774" s="116">
        <v>125.55</v>
      </c>
      <c r="R1774">
        <v>65007796</v>
      </c>
    </row>
    <row r="1775" spans="1:18" x14ac:dyDescent="0.25">
      <c r="A1775" s="170">
        <v>44616</v>
      </c>
      <c r="B1775" s="116">
        <v>24.1</v>
      </c>
      <c r="C1775" s="116">
        <v>22.21</v>
      </c>
      <c r="D1775" s="116">
        <v>21.75</v>
      </c>
      <c r="E1775" s="116">
        <v>22.18</v>
      </c>
      <c r="F1775" s="116">
        <v>111.05</v>
      </c>
      <c r="G1775">
        <v>9314489</v>
      </c>
      <c r="H1775" s="116"/>
      <c r="I1775" s="116"/>
      <c r="L1775" s="170">
        <v>44616</v>
      </c>
      <c r="M1775" s="116">
        <v>22.23</v>
      </c>
      <c r="N1775" s="116">
        <v>24.08</v>
      </c>
      <c r="O1775" s="116">
        <v>21.74</v>
      </c>
      <c r="P1775" s="116">
        <v>22.51</v>
      </c>
      <c r="Q1775" s="116">
        <v>111.15</v>
      </c>
      <c r="R1775">
        <v>76143909</v>
      </c>
    </row>
    <row r="1776" spans="1:18" x14ac:dyDescent="0.25">
      <c r="A1776" s="170">
        <v>44617</v>
      </c>
      <c r="B1776" s="116">
        <v>25.56</v>
      </c>
      <c r="C1776" s="116">
        <v>24.77</v>
      </c>
      <c r="D1776" s="116">
        <v>23.46</v>
      </c>
      <c r="E1776" s="116">
        <v>23.9</v>
      </c>
      <c r="F1776" s="116">
        <v>123.85</v>
      </c>
      <c r="G1776">
        <v>7967955</v>
      </c>
      <c r="H1776" s="116"/>
      <c r="I1776" s="116"/>
      <c r="L1776" s="170">
        <v>44617</v>
      </c>
      <c r="M1776" s="116">
        <v>24.81</v>
      </c>
      <c r="N1776" s="116">
        <v>25.56</v>
      </c>
      <c r="O1776" s="116">
        <v>23.45</v>
      </c>
      <c r="P1776" s="116">
        <v>24</v>
      </c>
      <c r="Q1776" s="116">
        <v>124.05</v>
      </c>
      <c r="R1776">
        <v>109027166</v>
      </c>
    </row>
    <row r="1777" spans="1:18" x14ac:dyDescent="0.25">
      <c r="A1777" s="170">
        <v>44620</v>
      </c>
      <c r="B1777" s="116">
        <v>25.34</v>
      </c>
      <c r="C1777" s="116">
        <v>24.74</v>
      </c>
      <c r="D1777" s="116">
        <v>23.84</v>
      </c>
      <c r="E1777" s="116">
        <v>24.7</v>
      </c>
      <c r="F1777" s="116">
        <v>123.7</v>
      </c>
      <c r="G1777">
        <v>4704249</v>
      </c>
      <c r="H1777" s="116"/>
      <c r="I1777" s="116"/>
      <c r="L1777" s="170">
        <v>44620</v>
      </c>
      <c r="M1777" s="116">
        <v>24.75</v>
      </c>
      <c r="N1777" s="116">
        <v>25.35</v>
      </c>
      <c r="O1777" s="116">
        <v>23.81</v>
      </c>
      <c r="P1777" s="116">
        <v>24.4</v>
      </c>
      <c r="Q1777" s="116">
        <v>123.75</v>
      </c>
      <c r="R1777">
        <v>63056418</v>
      </c>
    </row>
    <row r="1778" spans="1:18" x14ac:dyDescent="0.25">
      <c r="A1778" s="170">
        <v>44622</v>
      </c>
      <c r="B1778" s="116">
        <v>25.08</v>
      </c>
      <c r="C1778" s="116">
        <v>24.63</v>
      </c>
      <c r="D1778" s="116">
        <v>24.29</v>
      </c>
      <c r="E1778" s="116">
        <v>24.72</v>
      </c>
      <c r="F1778" s="116">
        <v>123.15</v>
      </c>
      <c r="G1778">
        <v>3334191</v>
      </c>
      <c r="H1778" s="116"/>
      <c r="I1778" s="116"/>
      <c r="L1778" s="170">
        <v>44622</v>
      </c>
      <c r="M1778" s="116">
        <v>24.62</v>
      </c>
      <c r="N1778" s="116">
        <v>25.09</v>
      </c>
      <c r="O1778" s="116">
        <v>24.31</v>
      </c>
      <c r="P1778" s="116">
        <v>24.67</v>
      </c>
      <c r="Q1778" s="116">
        <v>123.1</v>
      </c>
      <c r="R1778">
        <v>37990829</v>
      </c>
    </row>
    <row r="1779" spans="1:18" x14ac:dyDescent="0.25">
      <c r="A1779" s="170">
        <v>44623</v>
      </c>
      <c r="B1779" s="116">
        <v>25.5</v>
      </c>
      <c r="C1779" s="116">
        <v>24.52</v>
      </c>
      <c r="D1779" s="116">
        <v>24.19</v>
      </c>
      <c r="E1779" s="116">
        <v>25.15</v>
      </c>
      <c r="F1779" s="116">
        <v>122.6</v>
      </c>
      <c r="G1779">
        <v>4045047</v>
      </c>
      <c r="H1779" s="116"/>
      <c r="I1779" s="116"/>
      <c r="L1779" s="170">
        <v>44623</v>
      </c>
      <c r="M1779" s="116">
        <v>24.54</v>
      </c>
      <c r="N1779" s="116">
        <v>25.45</v>
      </c>
      <c r="O1779" s="116">
        <v>24.36</v>
      </c>
      <c r="P1779" s="116">
        <v>25.05</v>
      </c>
      <c r="Q1779" s="116">
        <v>122.7</v>
      </c>
      <c r="R1779">
        <v>29879343</v>
      </c>
    </row>
    <row r="1780" spans="1:18" x14ac:dyDescent="0.25">
      <c r="A1780" s="170">
        <v>44624</v>
      </c>
      <c r="B1780" s="116">
        <v>24.52</v>
      </c>
      <c r="C1780" s="116">
        <v>24.2</v>
      </c>
      <c r="D1780" s="116">
        <v>23.44</v>
      </c>
      <c r="E1780" s="116">
        <v>24.48</v>
      </c>
      <c r="F1780" s="116">
        <v>121</v>
      </c>
      <c r="G1780">
        <v>4009572</v>
      </c>
      <c r="H1780" s="116"/>
      <c r="I1780" s="116"/>
      <c r="L1780" s="170">
        <v>44624</v>
      </c>
      <c r="M1780" s="116">
        <v>23.95</v>
      </c>
      <c r="N1780" s="116">
        <v>24.53</v>
      </c>
      <c r="O1780" s="116">
        <v>23.44</v>
      </c>
      <c r="P1780" s="116">
        <v>24.4</v>
      </c>
      <c r="Q1780" s="116">
        <v>119.75</v>
      </c>
      <c r="R1780">
        <v>37730845</v>
      </c>
    </row>
    <row r="1781" spans="1:18" x14ac:dyDescent="0.25">
      <c r="A1781" s="170">
        <v>44627</v>
      </c>
      <c r="B1781" s="116">
        <v>23.64</v>
      </c>
      <c r="C1781" s="116">
        <v>23.28</v>
      </c>
      <c r="D1781" s="116">
        <v>23.1</v>
      </c>
      <c r="E1781" s="116">
        <v>23.25</v>
      </c>
      <c r="F1781" s="116">
        <v>116.4</v>
      </c>
      <c r="G1781">
        <v>3838565</v>
      </c>
      <c r="H1781" s="116"/>
      <c r="I1781" s="116"/>
      <c r="L1781" s="170">
        <v>44627</v>
      </c>
      <c r="M1781" s="116">
        <v>23.29</v>
      </c>
      <c r="N1781" s="116">
        <v>23.69</v>
      </c>
      <c r="O1781" s="116">
        <v>23.07</v>
      </c>
      <c r="P1781" s="116">
        <v>23.2</v>
      </c>
      <c r="Q1781" s="116">
        <v>116.45</v>
      </c>
      <c r="R1781">
        <v>22319366</v>
      </c>
    </row>
    <row r="1782" spans="1:18" x14ac:dyDescent="0.25">
      <c r="A1782" s="170">
        <v>44628</v>
      </c>
      <c r="B1782" s="116">
        <v>24.3</v>
      </c>
      <c r="C1782" s="116">
        <v>23.74</v>
      </c>
      <c r="D1782" s="116">
        <v>23.46</v>
      </c>
      <c r="E1782" s="116">
        <v>23.78</v>
      </c>
      <c r="F1782" s="116">
        <v>118.7</v>
      </c>
      <c r="G1782">
        <v>2385639</v>
      </c>
      <c r="H1782" s="116"/>
      <c r="I1782" s="116"/>
      <c r="L1782" s="170">
        <v>44628</v>
      </c>
      <c r="M1782" s="116">
        <v>23.74</v>
      </c>
      <c r="N1782" s="116">
        <v>24.29</v>
      </c>
      <c r="O1782" s="116">
        <v>23.47</v>
      </c>
      <c r="P1782" s="116">
        <v>23.68</v>
      </c>
      <c r="Q1782" s="116">
        <v>118.7</v>
      </c>
      <c r="R1782">
        <v>27745685</v>
      </c>
    </row>
    <row r="1783" spans="1:18" x14ac:dyDescent="0.25">
      <c r="A1783" s="170">
        <v>44629</v>
      </c>
      <c r="B1783" s="116">
        <v>24.46</v>
      </c>
      <c r="C1783" s="116">
        <v>24.25</v>
      </c>
      <c r="D1783" s="116">
        <v>23.94</v>
      </c>
      <c r="E1783" s="116">
        <v>24.34</v>
      </c>
      <c r="F1783" s="116">
        <v>121.25</v>
      </c>
      <c r="G1783">
        <v>2450685</v>
      </c>
      <c r="H1783" s="116"/>
      <c r="I1783" s="116"/>
      <c r="L1783" s="170">
        <v>44629</v>
      </c>
      <c r="M1783" s="116">
        <v>24.26</v>
      </c>
      <c r="N1783" s="116">
        <v>24.54</v>
      </c>
      <c r="O1783" s="116">
        <v>23.92</v>
      </c>
      <c r="P1783" s="116">
        <v>24.26</v>
      </c>
      <c r="Q1783" s="116">
        <v>121.3</v>
      </c>
      <c r="R1783">
        <v>21234389</v>
      </c>
    </row>
    <row r="1784" spans="1:18" x14ac:dyDescent="0.25">
      <c r="A1784" s="170">
        <v>44630</v>
      </c>
      <c r="B1784" s="116">
        <v>25.17</v>
      </c>
      <c r="C1784" s="116">
        <v>24.5</v>
      </c>
      <c r="D1784" s="116">
        <v>24.3</v>
      </c>
      <c r="E1784" s="116">
        <v>25.04</v>
      </c>
      <c r="F1784" s="116">
        <v>122.5</v>
      </c>
      <c r="G1784">
        <v>1883915</v>
      </c>
      <c r="H1784" s="116"/>
      <c r="I1784" s="116"/>
      <c r="L1784" s="170">
        <v>44630</v>
      </c>
      <c r="M1784" s="116">
        <v>24.5</v>
      </c>
      <c r="N1784" s="116">
        <v>25.14</v>
      </c>
      <c r="O1784" s="116">
        <v>24.27</v>
      </c>
      <c r="P1784" s="116">
        <v>25</v>
      </c>
      <c r="Q1784" s="116">
        <v>122.5</v>
      </c>
      <c r="R1784">
        <v>20823339</v>
      </c>
    </row>
    <row r="1785" spans="1:18" x14ac:dyDescent="0.25">
      <c r="A1785" s="170">
        <v>44631</v>
      </c>
      <c r="B1785" s="116">
        <v>24.7</v>
      </c>
      <c r="C1785" s="116">
        <v>24.36</v>
      </c>
      <c r="D1785" s="116">
        <v>24.2</v>
      </c>
      <c r="E1785" s="116">
        <v>24.48</v>
      </c>
      <c r="F1785" s="116">
        <v>121.8</v>
      </c>
      <c r="G1785">
        <v>1874620</v>
      </c>
      <c r="H1785" s="116"/>
      <c r="I1785" s="116"/>
      <c r="L1785" s="170">
        <v>44631</v>
      </c>
      <c r="M1785" s="116">
        <v>24.36</v>
      </c>
      <c r="N1785" s="116">
        <v>24.7</v>
      </c>
      <c r="O1785" s="116">
        <v>24.22</v>
      </c>
      <c r="P1785" s="116">
        <v>24.4</v>
      </c>
      <c r="Q1785" s="116">
        <v>121.8</v>
      </c>
      <c r="R1785">
        <v>14362421</v>
      </c>
    </row>
    <row r="1786" spans="1:18" x14ac:dyDescent="0.25">
      <c r="A1786" s="170">
        <v>44634</v>
      </c>
      <c r="B1786" s="116">
        <v>24.61</v>
      </c>
      <c r="C1786" s="116">
        <v>24.44</v>
      </c>
      <c r="D1786" s="116">
        <v>24.06</v>
      </c>
      <c r="E1786" s="116">
        <v>24.49</v>
      </c>
      <c r="F1786" s="116">
        <v>122.2</v>
      </c>
      <c r="G1786">
        <v>2018172</v>
      </c>
      <c r="H1786" s="116"/>
      <c r="I1786" s="116"/>
      <c r="L1786" s="170">
        <v>44634</v>
      </c>
      <c r="M1786" s="116">
        <v>24.43</v>
      </c>
      <c r="N1786" s="116">
        <v>24.62</v>
      </c>
      <c r="O1786" s="116">
        <v>24.1</v>
      </c>
      <c r="P1786" s="116">
        <v>24.51</v>
      </c>
      <c r="Q1786" s="116">
        <v>122.15</v>
      </c>
      <c r="R1786">
        <v>14143340</v>
      </c>
    </row>
    <row r="1787" spans="1:18" x14ac:dyDescent="0.25">
      <c r="A1787" s="170">
        <v>44635</v>
      </c>
      <c r="B1787" s="116">
        <v>25.42</v>
      </c>
      <c r="C1787" s="116">
        <v>24.45</v>
      </c>
      <c r="D1787" s="116">
        <v>24.27</v>
      </c>
      <c r="E1787" s="116">
        <v>24.51</v>
      </c>
      <c r="F1787" s="116">
        <v>122.25</v>
      </c>
      <c r="G1787">
        <v>4081265</v>
      </c>
      <c r="H1787" s="116"/>
      <c r="I1787" s="116"/>
      <c r="L1787" s="170">
        <v>44635</v>
      </c>
      <c r="M1787" s="116">
        <v>24.46</v>
      </c>
      <c r="N1787" s="116">
        <v>25.44</v>
      </c>
      <c r="O1787" s="116">
        <v>24.3</v>
      </c>
      <c r="P1787" s="116">
        <v>24.58</v>
      </c>
      <c r="Q1787" s="116">
        <v>122.3</v>
      </c>
      <c r="R1787">
        <v>27067023</v>
      </c>
    </row>
    <row r="1788" spans="1:18" x14ac:dyDescent="0.25">
      <c r="A1788" s="170">
        <v>44636</v>
      </c>
      <c r="B1788" s="116">
        <v>24.98</v>
      </c>
      <c r="C1788" s="116">
        <v>24.57</v>
      </c>
      <c r="D1788" s="116">
        <v>24.47</v>
      </c>
      <c r="E1788" s="116">
        <v>24.88</v>
      </c>
      <c r="F1788" s="116">
        <v>122.85</v>
      </c>
      <c r="G1788">
        <v>1144002</v>
      </c>
      <c r="H1788" s="116"/>
      <c r="I1788" s="116"/>
      <c r="L1788" s="170">
        <v>44636</v>
      </c>
      <c r="M1788" s="116">
        <v>24.58</v>
      </c>
      <c r="N1788" s="116">
        <v>25</v>
      </c>
      <c r="O1788" s="116">
        <v>24.46</v>
      </c>
      <c r="P1788" s="116">
        <v>24.86</v>
      </c>
      <c r="Q1788" s="116">
        <v>122.9</v>
      </c>
      <c r="R1788">
        <v>10882357</v>
      </c>
    </row>
    <row r="1789" spans="1:18" x14ac:dyDescent="0.25">
      <c r="A1789" s="170">
        <v>44637</v>
      </c>
      <c r="B1789" s="116">
        <v>25.53</v>
      </c>
      <c r="C1789" s="116">
        <v>25.02</v>
      </c>
      <c r="D1789" s="116">
        <v>24.75</v>
      </c>
      <c r="E1789" s="116">
        <v>25.01</v>
      </c>
      <c r="F1789" s="116">
        <v>125.1</v>
      </c>
      <c r="G1789">
        <v>2003604</v>
      </c>
      <c r="H1789" s="116"/>
      <c r="I1789" s="116"/>
      <c r="L1789" s="170">
        <v>44637</v>
      </c>
      <c r="M1789" s="116">
        <v>25.02</v>
      </c>
      <c r="N1789" s="116">
        <v>25.53</v>
      </c>
      <c r="O1789" s="116">
        <v>24.74</v>
      </c>
      <c r="P1789" s="116">
        <v>25.06</v>
      </c>
      <c r="Q1789" s="116">
        <v>125.1</v>
      </c>
      <c r="R1789">
        <v>28165037</v>
      </c>
    </row>
    <row r="1790" spans="1:18" x14ac:dyDescent="0.25">
      <c r="A1790" s="170">
        <v>44641</v>
      </c>
      <c r="B1790" s="116">
        <v>25.37</v>
      </c>
      <c r="C1790" s="116">
        <v>24.89</v>
      </c>
      <c r="D1790" s="116">
        <v>24.8</v>
      </c>
      <c r="E1790" s="116">
        <v>25.14</v>
      </c>
      <c r="F1790" s="116">
        <v>124.45</v>
      </c>
      <c r="G1790">
        <v>1920643</v>
      </c>
      <c r="H1790" s="116"/>
      <c r="I1790" s="116"/>
      <c r="L1790" s="170">
        <v>44641</v>
      </c>
      <c r="M1790" s="116">
        <v>24.91</v>
      </c>
      <c r="N1790" s="116">
        <v>25.38</v>
      </c>
      <c r="O1790" s="116">
        <v>24.82</v>
      </c>
      <c r="P1790" s="116">
        <v>25.17</v>
      </c>
      <c r="Q1790" s="116">
        <v>124.55</v>
      </c>
      <c r="R1790">
        <v>14158100</v>
      </c>
    </row>
    <row r="1791" spans="1:18" x14ac:dyDescent="0.25">
      <c r="A1791" s="170">
        <v>44642</v>
      </c>
      <c r="B1791" s="116">
        <v>24.95</v>
      </c>
      <c r="C1791" s="116">
        <v>24.75</v>
      </c>
      <c r="D1791" s="116">
        <v>24.46</v>
      </c>
      <c r="E1791" s="116">
        <v>24.89</v>
      </c>
      <c r="F1791" s="116">
        <v>123.75</v>
      </c>
      <c r="G1791">
        <v>1185478</v>
      </c>
      <c r="H1791" s="116"/>
      <c r="I1791" s="116"/>
      <c r="L1791" s="170">
        <v>44642</v>
      </c>
      <c r="M1791" s="116">
        <v>24.75</v>
      </c>
      <c r="N1791" s="116">
        <v>24.95</v>
      </c>
      <c r="O1791" s="116">
        <v>24.46</v>
      </c>
      <c r="P1791" s="116">
        <v>24.9</v>
      </c>
      <c r="Q1791" s="116">
        <v>123.75</v>
      </c>
      <c r="R1791">
        <v>11802958</v>
      </c>
    </row>
    <row r="1792" spans="1:18" x14ac:dyDescent="0.25">
      <c r="A1792" s="170">
        <v>44643</v>
      </c>
      <c r="B1792" s="116">
        <v>26.87</v>
      </c>
      <c r="C1792" s="116">
        <v>26.03</v>
      </c>
      <c r="D1792" s="116">
        <v>24.83</v>
      </c>
      <c r="E1792" s="116">
        <v>24.97</v>
      </c>
      <c r="F1792" s="116">
        <v>130.15</v>
      </c>
      <c r="G1792">
        <v>8115752</v>
      </c>
      <c r="H1792" s="116"/>
      <c r="I1792" s="116"/>
      <c r="L1792" s="170">
        <v>44643</v>
      </c>
      <c r="M1792" s="116">
        <v>26.04</v>
      </c>
      <c r="N1792" s="116">
        <v>26.88</v>
      </c>
      <c r="O1792" s="116">
        <v>24.85</v>
      </c>
      <c r="P1792" s="116">
        <v>24.94</v>
      </c>
      <c r="Q1792" s="116">
        <v>130.19999999999999</v>
      </c>
      <c r="R1792">
        <v>66120008</v>
      </c>
    </row>
    <row r="1793" spans="1:18" x14ac:dyDescent="0.25">
      <c r="A1793" s="170">
        <v>44644</v>
      </c>
      <c r="B1793" s="116">
        <v>26.99</v>
      </c>
      <c r="C1793" s="116">
        <v>26.43</v>
      </c>
      <c r="D1793" s="116">
        <v>26.03</v>
      </c>
      <c r="E1793" s="116">
        <v>26.16</v>
      </c>
      <c r="F1793" s="116">
        <v>132.15</v>
      </c>
      <c r="G1793">
        <v>2012206</v>
      </c>
      <c r="H1793" s="116"/>
      <c r="I1793" s="116"/>
      <c r="L1793" s="170">
        <v>44644</v>
      </c>
      <c r="M1793" s="116">
        <v>26.43</v>
      </c>
      <c r="N1793" s="116">
        <v>26.97</v>
      </c>
      <c r="O1793" s="116">
        <v>26.04</v>
      </c>
      <c r="P1793" s="116">
        <v>26.14</v>
      </c>
      <c r="Q1793" s="116">
        <v>132.15</v>
      </c>
      <c r="R1793">
        <v>25846110</v>
      </c>
    </row>
    <row r="1794" spans="1:18" x14ac:dyDescent="0.25">
      <c r="A1794" s="170">
        <v>44645</v>
      </c>
      <c r="B1794" s="116">
        <v>29</v>
      </c>
      <c r="C1794" s="116">
        <v>28.65</v>
      </c>
      <c r="D1794" s="116">
        <v>24.4</v>
      </c>
      <c r="E1794" s="116">
        <v>26.76</v>
      </c>
      <c r="F1794" s="116">
        <v>143.25</v>
      </c>
      <c r="G1794">
        <v>11314423</v>
      </c>
      <c r="H1794" s="116"/>
      <c r="I1794" s="116"/>
      <c r="L1794" s="170">
        <v>44645</v>
      </c>
      <c r="M1794" s="116">
        <v>28.64</v>
      </c>
      <c r="N1794" s="116">
        <v>28.98</v>
      </c>
      <c r="O1794" s="116">
        <v>26.52</v>
      </c>
      <c r="P1794" s="116">
        <v>26.69</v>
      </c>
      <c r="Q1794" s="116">
        <v>143.19999999999999</v>
      </c>
      <c r="R1794">
        <v>102500073</v>
      </c>
    </row>
    <row r="1795" spans="1:18" x14ac:dyDescent="0.25">
      <c r="A1795" s="170">
        <v>44648</v>
      </c>
      <c r="B1795" s="116">
        <v>30.65</v>
      </c>
      <c r="C1795" s="116">
        <v>30.43</v>
      </c>
      <c r="D1795" s="116">
        <v>28.8</v>
      </c>
      <c r="E1795" s="116">
        <v>29.22</v>
      </c>
      <c r="F1795" s="116">
        <v>152.15</v>
      </c>
      <c r="G1795">
        <v>9283144</v>
      </c>
      <c r="H1795" s="116"/>
      <c r="I1795" s="116"/>
      <c r="L1795" s="170">
        <v>44648</v>
      </c>
      <c r="M1795" s="116">
        <v>30.45</v>
      </c>
      <c r="N1795" s="116">
        <v>30.65</v>
      </c>
      <c r="O1795" s="116">
        <v>29.01</v>
      </c>
      <c r="P1795" s="116">
        <v>29.2</v>
      </c>
      <c r="Q1795" s="116">
        <v>152.25</v>
      </c>
      <c r="R1795">
        <v>90954944</v>
      </c>
    </row>
    <row r="1796" spans="1:18" x14ac:dyDescent="0.25">
      <c r="A1796" s="170">
        <v>44649</v>
      </c>
      <c r="B1796" s="116">
        <v>36.28</v>
      </c>
      <c r="C1796" s="116">
        <v>34.71</v>
      </c>
      <c r="D1796" s="116">
        <v>30.85</v>
      </c>
      <c r="E1796" s="116">
        <v>31.19</v>
      </c>
      <c r="F1796" s="116">
        <v>173.55</v>
      </c>
      <c r="G1796">
        <v>16086907</v>
      </c>
      <c r="H1796" s="116"/>
      <c r="I1796" s="116"/>
      <c r="L1796" s="170">
        <v>44649</v>
      </c>
      <c r="M1796" s="116">
        <v>34.71</v>
      </c>
      <c r="N1796" s="116">
        <v>36.28</v>
      </c>
      <c r="O1796" s="116">
        <v>30.8</v>
      </c>
      <c r="P1796" s="116">
        <v>30.93</v>
      </c>
      <c r="Q1796" s="116">
        <v>173.55</v>
      </c>
      <c r="R1796">
        <v>242199873</v>
      </c>
    </row>
    <row r="1797" spans="1:18" x14ac:dyDescent="0.25">
      <c r="A1797" s="170">
        <v>44650</v>
      </c>
      <c r="B1797" s="116">
        <v>35.799999999999997</v>
      </c>
      <c r="C1797" s="116">
        <v>34.25</v>
      </c>
      <c r="D1797" s="116">
        <v>32.799999999999997</v>
      </c>
      <c r="E1797" s="116">
        <v>35.46</v>
      </c>
      <c r="F1797" s="116">
        <v>171.25</v>
      </c>
      <c r="G1797">
        <v>15423435</v>
      </c>
      <c r="H1797" s="116"/>
      <c r="I1797" s="116"/>
      <c r="L1797" s="170">
        <v>44650</v>
      </c>
      <c r="M1797" s="116">
        <v>34.299999999999997</v>
      </c>
      <c r="N1797" s="116">
        <v>35.78</v>
      </c>
      <c r="O1797" s="116">
        <v>32.799999999999997</v>
      </c>
      <c r="P1797" s="116">
        <v>35.4</v>
      </c>
      <c r="Q1797" s="116">
        <v>171.5</v>
      </c>
      <c r="R1797">
        <v>132769353</v>
      </c>
    </row>
    <row r="1798" spans="1:18" x14ac:dyDescent="0.25">
      <c r="A1798" s="170">
        <v>44651</v>
      </c>
      <c r="B1798" s="116">
        <v>37.520000000000003</v>
      </c>
      <c r="C1798" s="116">
        <v>37.01</v>
      </c>
      <c r="D1798" s="116">
        <v>33.47</v>
      </c>
      <c r="E1798" s="116">
        <v>34</v>
      </c>
      <c r="F1798" s="116">
        <v>185.05</v>
      </c>
      <c r="G1798">
        <v>9497883</v>
      </c>
      <c r="H1798" s="116"/>
      <c r="I1798" s="116"/>
      <c r="L1798" s="170">
        <v>44651</v>
      </c>
      <c r="M1798" s="116">
        <v>37.020000000000003</v>
      </c>
      <c r="N1798" s="116">
        <v>37.5</v>
      </c>
      <c r="O1798" s="116">
        <v>33.44</v>
      </c>
      <c r="P1798" s="116">
        <v>33.979999999999997</v>
      </c>
      <c r="Q1798" s="116">
        <v>185.1</v>
      </c>
      <c r="R1798">
        <v>138311563</v>
      </c>
    </row>
    <row r="1799" spans="1:18" x14ac:dyDescent="0.25">
      <c r="A1799" s="170">
        <v>44652</v>
      </c>
      <c r="B1799" s="116">
        <v>40.71</v>
      </c>
      <c r="C1799" s="116">
        <v>40.68</v>
      </c>
      <c r="D1799" s="116">
        <v>37.520000000000003</v>
      </c>
      <c r="E1799" s="116">
        <v>37.6</v>
      </c>
      <c r="F1799" s="116">
        <v>203.4</v>
      </c>
      <c r="G1799">
        <v>9982974</v>
      </c>
      <c r="H1799" s="116"/>
      <c r="I1799" s="116"/>
      <c r="L1799" s="170">
        <v>44652</v>
      </c>
      <c r="M1799" s="116">
        <v>40.69</v>
      </c>
      <c r="N1799" s="116">
        <v>40.72</v>
      </c>
      <c r="O1799" s="116">
        <v>37.54</v>
      </c>
      <c r="P1799" s="116">
        <v>37.54</v>
      </c>
      <c r="Q1799" s="116">
        <v>203.45</v>
      </c>
      <c r="R1799">
        <v>142017760</v>
      </c>
    </row>
    <row r="1800" spans="1:18" x14ac:dyDescent="0.25">
      <c r="A1800" s="170">
        <v>44655</v>
      </c>
      <c r="B1800" s="116">
        <v>44.16</v>
      </c>
      <c r="C1800" s="116">
        <v>42.35</v>
      </c>
      <c r="D1800" s="116">
        <v>39.880000000000003</v>
      </c>
      <c r="E1800" s="116">
        <v>41.5</v>
      </c>
      <c r="F1800" s="116">
        <v>211.75</v>
      </c>
      <c r="G1800">
        <v>14595156</v>
      </c>
      <c r="H1800" s="116"/>
      <c r="I1800" s="116"/>
      <c r="L1800" s="170">
        <v>44655</v>
      </c>
      <c r="M1800" s="116">
        <v>42.39</v>
      </c>
      <c r="N1800" s="116">
        <v>44.16</v>
      </c>
      <c r="O1800" s="116">
        <v>39.869999999999997</v>
      </c>
      <c r="P1800" s="116">
        <v>41.4</v>
      </c>
      <c r="Q1800" s="116">
        <v>211.95</v>
      </c>
      <c r="R1800">
        <v>168426403</v>
      </c>
    </row>
    <row r="1801" spans="1:18" x14ac:dyDescent="0.25">
      <c r="A1801" s="170">
        <v>44656</v>
      </c>
      <c r="B1801" s="116">
        <v>46.58</v>
      </c>
      <c r="C1801" s="116">
        <v>46.58</v>
      </c>
      <c r="D1801" s="116">
        <v>42.35</v>
      </c>
      <c r="E1801" s="116">
        <v>42.99</v>
      </c>
      <c r="F1801" s="116">
        <v>232.9</v>
      </c>
      <c r="G1801">
        <v>7304856</v>
      </c>
      <c r="H1801" s="116"/>
      <c r="I1801" s="116"/>
      <c r="L1801" s="170">
        <v>44656</v>
      </c>
      <c r="M1801" s="116">
        <v>46.62</v>
      </c>
      <c r="N1801" s="116">
        <v>46.62</v>
      </c>
      <c r="O1801" s="116">
        <v>42.36</v>
      </c>
      <c r="P1801" s="116">
        <v>43</v>
      </c>
      <c r="Q1801" s="116">
        <v>233.1</v>
      </c>
      <c r="R1801">
        <v>96357690</v>
      </c>
    </row>
    <row r="1802" spans="1:18" x14ac:dyDescent="0.25">
      <c r="A1802" s="170">
        <v>44657</v>
      </c>
      <c r="B1802" s="116">
        <v>48.9</v>
      </c>
      <c r="C1802" s="116">
        <v>48.9</v>
      </c>
      <c r="D1802" s="116">
        <v>46.94</v>
      </c>
      <c r="E1802" s="116">
        <v>47.45</v>
      </c>
      <c r="F1802" s="116">
        <v>244.5</v>
      </c>
      <c r="G1802">
        <v>4622002</v>
      </c>
      <c r="H1802" s="116"/>
      <c r="I1802" s="116"/>
      <c r="L1802" s="170">
        <v>44657</v>
      </c>
      <c r="M1802" s="116">
        <v>48.95</v>
      </c>
      <c r="N1802" s="116">
        <v>48.95</v>
      </c>
      <c r="O1802" s="116">
        <v>46.8</v>
      </c>
      <c r="P1802" s="116">
        <v>47.5</v>
      </c>
      <c r="Q1802" s="116">
        <v>244.75</v>
      </c>
      <c r="R1802">
        <v>54655056</v>
      </c>
    </row>
    <row r="1803" spans="1:18" x14ac:dyDescent="0.25">
      <c r="A1803" s="170">
        <v>44658</v>
      </c>
      <c r="B1803" s="116">
        <v>51.34</v>
      </c>
      <c r="C1803" s="116">
        <v>46.46</v>
      </c>
      <c r="D1803" s="116">
        <v>46.46</v>
      </c>
      <c r="E1803" s="116">
        <v>51.34</v>
      </c>
      <c r="F1803" s="116">
        <v>232.3</v>
      </c>
      <c r="G1803">
        <v>3765791</v>
      </c>
      <c r="H1803" s="116"/>
      <c r="I1803" s="116"/>
      <c r="L1803" s="170">
        <v>44658</v>
      </c>
      <c r="M1803" s="116">
        <v>46.51</v>
      </c>
      <c r="N1803" s="116">
        <v>51.39</v>
      </c>
      <c r="O1803" s="116">
        <v>46.51</v>
      </c>
      <c r="P1803" s="116">
        <v>51.39</v>
      </c>
      <c r="Q1803" s="116">
        <v>232.55</v>
      </c>
      <c r="R1803">
        <v>29413380</v>
      </c>
    </row>
    <row r="1804" spans="1:18" x14ac:dyDescent="0.25">
      <c r="A1804" s="170">
        <v>44659</v>
      </c>
      <c r="B1804" s="116">
        <v>44.14</v>
      </c>
      <c r="C1804" s="116">
        <v>44.14</v>
      </c>
      <c r="D1804" s="116">
        <v>44.14</v>
      </c>
      <c r="E1804" s="116">
        <v>44.14</v>
      </c>
      <c r="F1804" s="116">
        <v>220.7</v>
      </c>
      <c r="G1804">
        <v>562059</v>
      </c>
      <c r="H1804" s="116"/>
      <c r="I1804" s="116"/>
      <c r="L1804" s="170">
        <v>44659</v>
      </c>
      <c r="M1804" s="116">
        <v>44.19</v>
      </c>
      <c r="N1804" s="116">
        <v>44.19</v>
      </c>
      <c r="O1804" s="116">
        <v>44.19</v>
      </c>
      <c r="P1804" s="116">
        <v>44.19</v>
      </c>
      <c r="Q1804" s="116">
        <v>220.95</v>
      </c>
      <c r="R1804">
        <v>2736278</v>
      </c>
    </row>
    <row r="1805" spans="1:18" x14ac:dyDescent="0.25">
      <c r="A1805" s="170">
        <v>44662</v>
      </c>
      <c r="B1805" s="116">
        <v>46.34</v>
      </c>
      <c r="C1805" s="116">
        <v>46.25</v>
      </c>
      <c r="D1805" s="116">
        <v>43.26</v>
      </c>
      <c r="E1805" s="116">
        <v>43.26</v>
      </c>
      <c r="F1805" s="116">
        <v>231.25</v>
      </c>
      <c r="G1805">
        <v>5276514</v>
      </c>
      <c r="H1805" s="116"/>
      <c r="I1805" s="116"/>
      <c r="L1805" s="170">
        <v>44662</v>
      </c>
      <c r="M1805" s="116">
        <v>46.32</v>
      </c>
      <c r="N1805" s="116">
        <v>46.39</v>
      </c>
      <c r="O1805" s="116">
        <v>43.22</v>
      </c>
      <c r="P1805" s="116">
        <v>43.79</v>
      </c>
      <c r="Q1805" s="116">
        <v>231.6</v>
      </c>
      <c r="R1805">
        <v>61868038</v>
      </c>
    </row>
    <row r="1806" spans="1:18" x14ac:dyDescent="0.25">
      <c r="A1806" s="170">
        <v>44663</v>
      </c>
      <c r="B1806" s="116">
        <v>48</v>
      </c>
      <c r="C1806" s="116">
        <v>46.11</v>
      </c>
      <c r="D1806" s="116">
        <v>44.99</v>
      </c>
      <c r="E1806" s="116">
        <v>46.88</v>
      </c>
      <c r="F1806" s="116">
        <v>230.55</v>
      </c>
      <c r="G1806">
        <v>3725205</v>
      </c>
      <c r="H1806" s="116"/>
      <c r="I1806" s="116"/>
      <c r="L1806" s="170">
        <v>44663</v>
      </c>
      <c r="M1806" s="116">
        <v>46.16</v>
      </c>
      <c r="N1806" s="116">
        <v>47.98</v>
      </c>
      <c r="O1806" s="116">
        <v>44.93</v>
      </c>
      <c r="P1806" s="116">
        <v>46.8</v>
      </c>
      <c r="Q1806" s="116">
        <v>230.8</v>
      </c>
      <c r="R1806">
        <v>42554718</v>
      </c>
    </row>
    <row r="1807" spans="1:18" x14ac:dyDescent="0.25">
      <c r="A1807" s="170">
        <v>44664</v>
      </c>
      <c r="B1807" s="116">
        <v>47.25</v>
      </c>
      <c r="C1807" s="116">
        <v>44.63</v>
      </c>
      <c r="D1807" s="116">
        <v>43.83</v>
      </c>
      <c r="E1807" s="116">
        <v>46.19</v>
      </c>
      <c r="F1807" s="116">
        <v>223.15</v>
      </c>
      <c r="G1807">
        <v>2345440</v>
      </c>
      <c r="H1807" s="116"/>
      <c r="I1807" s="116"/>
      <c r="L1807" s="170">
        <v>44664</v>
      </c>
      <c r="M1807" s="116">
        <v>44.65</v>
      </c>
      <c r="N1807" s="116">
        <v>47.25</v>
      </c>
      <c r="O1807" s="116">
        <v>43.86</v>
      </c>
      <c r="P1807" s="116">
        <v>46.48</v>
      </c>
      <c r="Q1807" s="116">
        <v>223.25</v>
      </c>
      <c r="R1807">
        <v>27425466</v>
      </c>
    </row>
    <row r="1808" spans="1:18" x14ac:dyDescent="0.25">
      <c r="A1808" s="170">
        <v>44669</v>
      </c>
      <c r="B1808" s="116">
        <v>46.86</v>
      </c>
      <c r="C1808" s="116">
        <v>46.86</v>
      </c>
      <c r="D1808" s="116">
        <v>42.81</v>
      </c>
      <c r="E1808" s="116">
        <v>44.34</v>
      </c>
      <c r="F1808" s="116">
        <v>234.3</v>
      </c>
      <c r="G1808">
        <v>2385163</v>
      </c>
      <c r="H1808" s="116"/>
      <c r="I1808" s="116"/>
      <c r="L1808" s="170">
        <v>44669</v>
      </c>
      <c r="M1808" s="116">
        <v>46.88</v>
      </c>
      <c r="N1808" s="116">
        <v>46.88</v>
      </c>
      <c r="O1808" s="116">
        <v>42.8</v>
      </c>
      <c r="P1808" s="116">
        <v>44.2</v>
      </c>
      <c r="Q1808" s="116">
        <v>234.4</v>
      </c>
      <c r="R1808">
        <v>30703759</v>
      </c>
    </row>
    <row r="1809" spans="1:18" x14ac:dyDescent="0.25">
      <c r="A1809" s="170">
        <v>44670</v>
      </c>
      <c r="B1809" s="116">
        <v>49.2</v>
      </c>
      <c r="C1809" s="116">
        <v>46.49</v>
      </c>
      <c r="D1809" s="116">
        <v>45.01</v>
      </c>
      <c r="E1809" s="116">
        <v>48</v>
      </c>
      <c r="F1809" s="116">
        <v>232.45</v>
      </c>
      <c r="G1809">
        <v>3158662</v>
      </c>
      <c r="H1809" s="116"/>
      <c r="I1809" s="116"/>
      <c r="L1809" s="170">
        <v>44670</v>
      </c>
      <c r="M1809" s="116">
        <v>46.49</v>
      </c>
      <c r="N1809" s="116">
        <v>49.22</v>
      </c>
      <c r="O1809" s="116">
        <v>45.01</v>
      </c>
      <c r="P1809" s="116">
        <v>48</v>
      </c>
      <c r="Q1809" s="116">
        <v>232.45</v>
      </c>
      <c r="R1809">
        <v>43663282</v>
      </c>
    </row>
    <row r="1810" spans="1:18" x14ac:dyDescent="0.25">
      <c r="A1810" s="170">
        <v>44671</v>
      </c>
      <c r="B1810" s="116">
        <v>48.7</v>
      </c>
      <c r="C1810" s="116">
        <v>47.03</v>
      </c>
      <c r="D1810" s="116">
        <v>46.41</v>
      </c>
      <c r="E1810" s="116">
        <v>47.66</v>
      </c>
      <c r="F1810" s="116">
        <v>235.15</v>
      </c>
      <c r="G1810">
        <v>2260880</v>
      </c>
      <c r="H1810" s="116"/>
      <c r="I1810" s="116"/>
      <c r="L1810" s="170">
        <v>44671</v>
      </c>
      <c r="M1810" s="116">
        <v>47.01</v>
      </c>
      <c r="N1810" s="116">
        <v>48.7</v>
      </c>
      <c r="O1810" s="116">
        <v>46.4</v>
      </c>
      <c r="P1810" s="116">
        <v>47.79</v>
      </c>
      <c r="Q1810" s="116">
        <v>235.05</v>
      </c>
      <c r="R1810">
        <v>26049922</v>
      </c>
    </row>
    <row r="1811" spans="1:18" x14ac:dyDescent="0.25">
      <c r="A1811" s="170">
        <v>44672</v>
      </c>
      <c r="B1811" s="116">
        <v>49.38</v>
      </c>
      <c r="C1811" s="116">
        <v>49.38</v>
      </c>
      <c r="D1811" s="116">
        <v>47.61</v>
      </c>
      <c r="E1811" s="116">
        <v>47.74</v>
      </c>
      <c r="F1811" s="116">
        <v>246.9</v>
      </c>
      <c r="G1811">
        <v>5561066</v>
      </c>
      <c r="H1811" s="116"/>
      <c r="I1811" s="116"/>
      <c r="L1811" s="170">
        <v>44672</v>
      </c>
      <c r="M1811" s="116">
        <v>49.36</v>
      </c>
      <c r="N1811" s="116">
        <v>49.36</v>
      </c>
      <c r="O1811" s="116">
        <v>47.64</v>
      </c>
      <c r="P1811" s="116">
        <v>47.86</v>
      </c>
      <c r="Q1811" s="116">
        <v>246.8</v>
      </c>
      <c r="R1811">
        <v>30361095</v>
      </c>
    </row>
    <row r="1812" spans="1:18" x14ac:dyDescent="0.25">
      <c r="A1812" s="170">
        <v>44673</v>
      </c>
      <c r="B1812" s="116">
        <v>51.84</v>
      </c>
      <c r="C1812" s="116">
        <v>51.84</v>
      </c>
      <c r="D1812" s="116">
        <v>49.62</v>
      </c>
      <c r="E1812" s="116">
        <v>50</v>
      </c>
      <c r="F1812" s="116">
        <v>259.2</v>
      </c>
      <c r="G1812">
        <v>6192100</v>
      </c>
      <c r="H1812" s="116"/>
      <c r="I1812" s="116"/>
      <c r="L1812" s="170">
        <v>44673</v>
      </c>
      <c r="M1812" s="116">
        <v>51.82</v>
      </c>
      <c r="N1812" s="116">
        <v>51.82</v>
      </c>
      <c r="O1812" s="116">
        <v>49.74</v>
      </c>
      <c r="P1812" s="116">
        <v>49.96</v>
      </c>
      <c r="Q1812" s="116">
        <v>259.10000000000002</v>
      </c>
      <c r="R1812">
        <v>34601657</v>
      </c>
    </row>
    <row r="1813" spans="1:18" x14ac:dyDescent="0.25">
      <c r="A1813" s="170">
        <v>44676</v>
      </c>
      <c r="B1813" s="116">
        <v>54.43</v>
      </c>
      <c r="C1813" s="116">
        <v>54.43</v>
      </c>
      <c r="D1813" s="116">
        <v>52.52</v>
      </c>
      <c r="E1813" s="116">
        <v>52.82</v>
      </c>
      <c r="F1813" s="116">
        <v>272.14999999999998</v>
      </c>
      <c r="G1813">
        <v>5411632</v>
      </c>
      <c r="H1813" s="116"/>
      <c r="I1813" s="116"/>
      <c r="L1813" s="170">
        <v>44676</v>
      </c>
      <c r="M1813" s="116">
        <v>54.41</v>
      </c>
      <c r="N1813" s="116">
        <v>54.41</v>
      </c>
      <c r="O1813" s="116">
        <v>52.42</v>
      </c>
      <c r="P1813" s="116">
        <v>52.68</v>
      </c>
      <c r="Q1813" s="116">
        <v>272.05</v>
      </c>
      <c r="R1813">
        <v>25909476</v>
      </c>
    </row>
    <row r="1814" spans="1:18" x14ac:dyDescent="0.25">
      <c r="A1814" s="170">
        <v>44677</v>
      </c>
      <c r="B1814" s="116">
        <v>57.15</v>
      </c>
      <c r="C1814" s="116">
        <v>57.15</v>
      </c>
      <c r="D1814" s="116">
        <v>56.45</v>
      </c>
      <c r="E1814" s="116">
        <v>56.8</v>
      </c>
      <c r="F1814" s="116">
        <v>285.75</v>
      </c>
      <c r="G1814">
        <v>1892989</v>
      </c>
      <c r="H1814" s="116"/>
      <c r="I1814" s="116"/>
      <c r="L1814" s="170">
        <v>44677</v>
      </c>
      <c r="M1814" s="116">
        <v>57.13</v>
      </c>
      <c r="N1814" s="116">
        <v>57.13</v>
      </c>
      <c r="O1814" s="116">
        <v>56.6</v>
      </c>
      <c r="P1814" s="116">
        <v>57.12</v>
      </c>
      <c r="Q1814" s="116">
        <v>285.64999999999998</v>
      </c>
      <c r="R1814">
        <v>5864099</v>
      </c>
    </row>
    <row r="1815" spans="1:18" x14ac:dyDescent="0.25">
      <c r="A1815" s="170">
        <v>44678</v>
      </c>
      <c r="B1815" s="116">
        <v>60</v>
      </c>
      <c r="C1815" s="116">
        <v>59.96</v>
      </c>
      <c r="D1815" s="116">
        <v>54.65</v>
      </c>
      <c r="E1815" s="116">
        <v>59.4</v>
      </c>
      <c r="F1815" s="116">
        <v>299.8</v>
      </c>
      <c r="G1815">
        <v>9295594</v>
      </c>
      <c r="H1815" s="116"/>
      <c r="I1815" s="116"/>
      <c r="L1815" s="170">
        <v>44678</v>
      </c>
      <c r="M1815" s="116">
        <v>59.84</v>
      </c>
      <c r="N1815" s="116">
        <v>59.98</v>
      </c>
      <c r="O1815" s="116">
        <v>55.33</v>
      </c>
      <c r="P1815" s="116">
        <v>59.6</v>
      </c>
      <c r="Q1815" s="116">
        <v>299.2</v>
      </c>
      <c r="R1815">
        <v>44895283</v>
      </c>
    </row>
    <row r="1816" spans="1:18" x14ac:dyDescent="0.25">
      <c r="A1816" s="170">
        <v>44679</v>
      </c>
      <c r="B1816" s="116">
        <v>62.46</v>
      </c>
      <c r="C1816" s="116">
        <v>56.97</v>
      </c>
      <c r="D1816" s="116">
        <v>56.97</v>
      </c>
      <c r="E1816" s="116">
        <v>61.52</v>
      </c>
      <c r="F1816" s="116">
        <v>284.85000000000002</v>
      </c>
      <c r="G1816">
        <v>7804067</v>
      </c>
      <c r="H1816" s="116"/>
      <c r="I1816" s="116"/>
      <c r="L1816" s="170">
        <v>44679</v>
      </c>
      <c r="M1816" s="116">
        <v>56.85</v>
      </c>
      <c r="N1816" s="116">
        <v>62.4</v>
      </c>
      <c r="O1816" s="116">
        <v>56.85</v>
      </c>
      <c r="P1816" s="116">
        <v>61.04</v>
      </c>
      <c r="Q1816" s="116">
        <v>284.25</v>
      </c>
      <c r="R1816">
        <v>48465993</v>
      </c>
    </row>
    <row r="1817" spans="1:18" x14ac:dyDescent="0.25">
      <c r="A1817" s="170">
        <v>44680</v>
      </c>
      <c r="B1817" s="116">
        <v>59.2</v>
      </c>
      <c r="C1817" s="116">
        <v>56.06</v>
      </c>
      <c r="D1817" s="116">
        <v>54.13</v>
      </c>
      <c r="E1817" s="116">
        <v>55.5</v>
      </c>
      <c r="F1817" s="116">
        <v>280.3</v>
      </c>
      <c r="G1817">
        <v>6654735</v>
      </c>
      <c r="H1817" s="116"/>
      <c r="I1817" s="116"/>
      <c r="L1817" s="170">
        <v>44680</v>
      </c>
      <c r="M1817" s="116">
        <v>56.07</v>
      </c>
      <c r="N1817" s="116">
        <v>59.2</v>
      </c>
      <c r="O1817" s="116">
        <v>54.01</v>
      </c>
      <c r="P1817" s="116">
        <v>55.6</v>
      </c>
      <c r="Q1817" s="116">
        <v>280.35000000000002</v>
      </c>
      <c r="R1817">
        <v>45385821</v>
      </c>
    </row>
    <row r="1818" spans="1:18" x14ac:dyDescent="0.25">
      <c r="A1818" s="170">
        <v>44683</v>
      </c>
      <c r="B1818" s="116">
        <v>57.79</v>
      </c>
      <c r="C1818" s="116">
        <v>56.04</v>
      </c>
      <c r="D1818" s="116">
        <v>54.03</v>
      </c>
      <c r="E1818" s="116">
        <v>55.82</v>
      </c>
      <c r="F1818" s="116">
        <v>280.2</v>
      </c>
      <c r="G1818">
        <v>1407402</v>
      </c>
      <c r="H1818" s="116"/>
      <c r="I1818" s="116"/>
      <c r="L1818" s="170">
        <v>44683</v>
      </c>
      <c r="M1818" s="116">
        <v>56.07</v>
      </c>
      <c r="N1818" s="116">
        <v>57.77</v>
      </c>
      <c r="O1818" s="116">
        <v>54.6</v>
      </c>
      <c r="P1818" s="116">
        <v>56</v>
      </c>
      <c r="Q1818" s="116">
        <v>280.35000000000002</v>
      </c>
      <c r="R1818">
        <v>17953004</v>
      </c>
    </row>
    <row r="1819" spans="1:18" x14ac:dyDescent="0.25">
      <c r="A1819" s="170">
        <v>44685</v>
      </c>
      <c r="B1819" s="116">
        <v>57.88</v>
      </c>
      <c r="C1819" s="116">
        <v>53.24</v>
      </c>
      <c r="D1819" s="116">
        <v>53.24</v>
      </c>
      <c r="E1819" s="116">
        <v>57.42</v>
      </c>
      <c r="F1819" s="116">
        <v>266.2</v>
      </c>
      <c r="G1819">
        <v>3104714</v>
      </c>
      <c r="H1819" s="116"/>
      <c r="I1819" s="116"/>
      <c r="L1819" s="170">
        <v>44685</v>
      </c>
      <c r="M1819" s="116">
        <v>53.27</v>
      </c>
      <c r="N1819" s="116">
        <v>57.8</v>
      </c>
      <c r="O1819" s="116">
        <v>53.27</v>
      </c>
      <c r="P1819" s="116">
        <v>57.6</v>
      </c>
      <c r="Q1819" s="116">
        <v>266.35000000000002</v>
      </c>
      <c r="R1819">
        <v>17652624</v>
      </c>
    </row>
    <row r="1820" spans="1:18" x14ac:dyDescent="0.25">
      <c r="A1820" s="170">
        <v>44686</v>
      </c>
      <c r="B1820" s="116">
        <v>55.9</v>
      </c>
      <c r="C1820" s="116">
        <v>55.58</v>
      </c>
      <c r="D1820" s="116">
        <v>50.58</v>
      </c>
      <c r="E1820" s="116">
        <v>53</v>
      </c>
      <c r="F1820" s="116">
        <v>277.89999999999998</v>
      </c>
      <c r="G1820">
        <v>3192507</v>
      </c>
      <c r="H1820" s="116"/>
      <c r="I1820" s="116"/>
      <c r="L1820" s="170">
        <v>44686</v>
      </c>
      <c r="M1820" s="116">
        <v>55.63</v>
      </c>
      <c r="N1820" s="116">
        <v>55.93</v>
      </c>
      <c r="O1820" s="116">
        <v>50.61</v>
      </c>
      <c r="P1820" s="116">
        <v>52</v>
      </c>
      <c r="Q1820" s="116">
        <v>278.14999999999998</v>
      </c>
      <c r="R1820">
        <v>39813793</v>
      </c>
    </row>
    <row r="1821" spans="1:18" x14ac:dyDescent="0.25">
      <c r="A1821" s="170">
        <v>44687</v>
      </c>
      <c r="B1821" s="116">
        <v>58.35</v>
      </c>
      <c r="C1821" s="116">
        <v>58.35</v>
      </c>
      <c r="D1821" s="116">
        <v>54.25</v>
      </c>
      <c r="E1821" s="116">
        <v>56.8</v>
      </c>
      <c r="F1821" s="116">
        <v>291.75</v>
      </c>
      <c r="G1821">
        <v>3372497</v>
      </c>
      <c r="H1821" s="116"/>
      <c r="I1821" s="116"/>
      <c r="L1821" s="170">
        <v>44687</v>
      </c>
      <c r="M1821" s="116">
        <v>58.41</v>
      </c>
      <c r="N1821" s="116">
        <v>58.41</v>
      </c>
      <c r="O1821" s="116">
        <v>54.3</v>
      </c>
      <c r="P1821" s="116">
        <v>56.79</v>
      </c>
      <c r="Q1821" s="116">
        <v>292.05</v>
      </c>
      <c r="R1821">
        <v>45678881</v>
      </c>
    </row>
    <row r="1822" spans="1:18" x14ac:dyDescent="0.25">
      <c r="A1822" s="170">
        <v>44690</v>
      </c>
      <c r="B1822" s="116">
        <v>59.6</v>
      </c>
      <c r="C1822" s="116">
        <v>56.33</v>
      </c>
      <c r="D1822" s="116">
        <v>55.44</v>
      </c>
      <c r="E1822" s="116">
        <v>59.4</v>
      </c>
      <c r="F1822" s="116">
        <v>281.64999999999998</v>
      </c>
      <c r="G1822">
        <v>3233078</v>
      </c>
      <c r="H1822" s="116"/>
      <c r="I1822" s="116"/>
      <c r="L1822" s="170">
        <v>44690</v>
      </c>
      <c r="M1822" s="116">
        <v>56.32</v>
      </c>
      <c r="N1822" s="116">
        <v>59.6</v>
      </c>
      <c r="O1822" s="116">
        <v>55.49</v>
      </c>
      <c r="P1822" s="116">
        <v>59.13</v>
      </c>
      <c r="Q1822" s="116">
        <v>281.60000000000002</v>
      </c>
      <c r="R1822">
        <v>40481648</v>
      </c>
    </row>
    <row r="1823" spans="1:18" x14ac:dyDescent="0.25">
      <c r="A1823" s="170">
        <v>44691</v>
      </c>
      <c r="B1823" s="116">
        <v>56.33</v>
      </c>
      <c r="C1823" s="116">
        <v>53.52</v>
      </c>
      <c r="D1823" s="116">
        <v>53.52</v>
      </c>
      <c r="E1823" s="116">
        <v>54.4</v>
      </c>
      <c r="F1823" s="116">
        <v>267.60000000000002</v>
      </c>
      <c r="G1823">
        <v>1909848</v>
      </c>
      <c r="H1823" s="116"/>
      <c r="I1823" s="116"/>
      <c r="L1823" s="170">
        <v>44691</v>
      </c>
      <c r="M1823" s="116">
        <v>53.51</v>
      </c>
      <c r="N1823" s="116">
        <v>56.32</v>
      </c>
      <c r="O1823" s="116">
        <v>53.51</v>
      </c>
      <c r="P1823" s="116">
        <v>54.49</v>
      </c>
      <c r="Q1823" s="116">
        <v>267.55</v>
      </c>
      <c r="R1823">
        <v>13908532</v>
      </c>
    </row>
    <row r="1824" spans="1:18" x14ac:dyDescent="0.25">
      <c r="A1824" s="170">
        <v>44692</v>
      </c>
      <c r="B1824" s="116">
        <v>55.54</v>
      </c>
      <c r="C1824" s="116">
        <v>51.06</v>
      </c>
      <c r="D1824" s="116">
        <v>50.85</v>
      </c>
      <c r="E1824" s="116">
        <v>51.65</v>
      </c>
      <c r="F1824" s="116">
        <v>255.3</v>
      </c>
      <c r="G1824">
        <v>4103500</v>
      </c>
      <c r="H1824" s="116"/>
      <c r="I1824" s="116"/>
      <c r="L1824" s="170">
        <v>44692</v>
      </c>
      <c r="M1824" s="116">
        <v>51.06</v>
      </c>
      <c r="N1824" s="116">
        <v>55.6</v>
      </c>
      <c r="O1824" s="116">
        <v>50.84</v>
      </c>
      <c r="P1824" s="116">
        <v>51.46</v>
      </c>
      <c r="Q1824" s="116">
        <v>255.3</v>
      </c>
      <c r="R1824">
        <v>34477812</v>
      </c>
    </row>
    <row r="1825" spans="1:18" x14ac:dyDescent="0.25">
      <c r="A1825" s="170">
        <v>44693</v>
      </c>
      <c r="B1825" s="116">
        <v>50.89</v>
      </c>
      <c r="C1825" s="116">
        <v>48.51</v>
      </c>
      <c r="D1825" s="116">
        <v>48.51</v>
      </c>
      <c r="E1825" s="116">
        <v>49.7</v>
      </c>
      <c r="F1825" s="116">
        <v>242.55</v>
      </c>
      <c r="G1825">
        <v>1950046</v>
      </c>
      <c r="H1825" s="116"/>
      <c r="I1825" s="116"/>
      <c r="L1825" s="170">
        <v>44693</v>
      </c>
      <c r="M1825" s="116">
        <v>48.51</v>
      </c>
      <c r="N1825" s="116">
        <v>50.92</v>
      </c>
      <c r="O1825" s="116">
        <v>48.51</v>
      </c>
      <c r="P1825" s="116">
        <v>50</v>
      </c>
      <c r="Q1825" s="116">
        <v>242.55</v>
      </c>
      <c r="R1825">
        <v>11068771</v>
      </c>
    </row>
    <row r="1826" spans="1:18" x14ac:dyDescent="0.25">
      <c r="A1826" s="170">
        <v>44694</v>
      </c>
      <c r="B1826" s="116">
        <v>50.93</v>
      </c>
      <c r="C1826" s="116">
        <v>50.93</v>
      </c>
      <c r="D1826" s="116">
        <v>48.41</v>
      </c>
      <c r="E1826" s="116">
        <v>48.41</v>
      </c>
      <c r="F1826" s="116">
        <v>254.65</v>
      </c>
      <c r="G1826">
        <v>1104768</v>
      </c>
      <c r="H1826" s="116"/>
      <c r="I1826" s="116"/>
      <c r="L1826" s="170">
        <v>44694</v>
      </c>
      <c r="M1826" s="116">
        <v>50.93</v>
      </c>
      <c r="N1826" s="116">
        <v>50.93</v>
      </c>
      <c r="O1826" s="116">
        <v>49.12</v>
      </c>
      <c r="P1826" s="116">
        <v>50</v>
      </c>
      <c r="Q1826" s="116">
        <v>254.65</v>
      </c>
      <c r="R1826">
        <v>7976144</v>
      </c>
    </row>
    <row r="1827" spans="1:18" x14ac:dyDescent="0.25">
      <c r="A1827" s="170">
        <v>44697</v>
      </c>
      <c r="B1827" s="116">
        <v>53.47</v>
      </c>
      <c r="C1827" s="116">
        <v>53.47</v>
      </c>
      <c r="D1827" s="116">
        <v>53.47</v>
      </c>
      <c r="E1827" s="116">
        <v>53.47</v>
      </c>
      <c r="F1827" s="116">
        <v>267.35000000000002</v>
      </c>
      <c r="G1827">
        <v>728917</v>
      </c>
      <c r="H1827" s="116"/>
      <c r="I1827" s="116"/>
      <c r="L1827" s="170">
        <v>44697</v>
      </c>
      <c r="M1827" s="116">
        <v>53.47</v>
      </c>
      <c r="N1827" s="116">
        <v>53.47</v>
      </c>
      <c r="O1827" s="116">
        <v>53.47</v>
      </c>
      <c r="P1827" s="116">
        <v>53.47</v>
      </c>
      <c r="Q1827" s="116">
        <v>267.35000000000002</v>
      </c>
      <c r="R1827">
        <v>3138052</v>
      </c>
    </row>
    <row r="1828" spans="1:18" x14ac:dyDescent="0.25">
      <c r="A1828" s="170">
        <v>44698</v>
      </c>
      <c r="B1828" s="116">
        <v>56.14</v>
      </c>
      <c r="C1828" s="116">
        <v>56.14</v>
      </c>
      <c r="D1828" s="116">
        <v>56.14</v>
      </c>
      <c r="E1828" s="116">
        <v>56.14</v>
      </c>
      <c r="F1828" s="116">
        <v>280.7</v>
      </c>
      <c r="G1828">
        <v>316803</v>
      </c>
      <c r="H1828" s="116"/>
      <c r="I1828" s="116"/>
      <c r="L1828" s="170">
        <v>44698</v>
      </c>
      <c r="M1828" s="116">
        <v>56.14</v>
      </c>
      <c r="N1828" s="116">
        <v>56.14</v>
      </c>
      <c r="O1828" s="116">
        <v>56.14</v>
      </c>
      <c r="P1828" s="116">
        <v>56.14</v>
      </c>
      <c r="Q1828" s="116">
        <v>280.7</v>
      </c>
      <c r="R1828">
        <v>1419672</v>
      </c>
    </row>
    <row r="1829" spans="1:18" x14ac:dyDescent="0.25">
      <c r="A1829" s="170">
        <v>44699</v>
      </c>
      <c r="B1829" s="116">
        <v>58.94</v>
      </c>
      <c r="C1829" s="116">
        <v>58.94</v>
      </c>
      <c r="D1829" s="116">
        <v>56.71</v>
      </c>
      <c r="E1829" s="116">
        <v>58.94</v>
      </c>
      <c r="F1829" s="116">
        <v>294.7</v>
      </c>
      <c r="G1829">
        <v>4959070</v>
      </c>
      <c r="H1829" s="116"/>
      <c r="I1829" s="116"/>
      <c r="L1829" s="170">
        <v>44699</v>
      </c>
      <c r="M1829" s="116">
        <v>58.94</v>
      </c>
      <c r="N1829" s="116">
        <v>58.94</v>
      </c>
      <c r="O1829" s="116">
        <v>56.72</v>
      </c>
      <c r="P1829" s="116">
        <v>58.94</v>
      </c>
      <c r="Q1829" s="116">
        <v>294.7</v>
      </c>
      <c r="R1829">
        <v>36111034</v>
      </c>
    </row>
    <row r="1830" spans="1:18" x14ac:dyDescent="0.25">
      <c r="A1830" s="170">
        <v>44700</v>
      </c>
      <c r="B1830" s="116">
        <v>60.79</v>
      </c>
      <c r="C1830" s="116">
        <v>59.42</v>
      </c>
      <c r="D1830" s="116">
        <v>56.8</v>
      </c>
      <c r="E1830" s="116">
        <v>56.8</v>
      </c>
      <c r="F1830" s="116">
        <v>297.10000000000002</v>
      </c>
      <c r="G1830">
        <v>3831091</v>
      </c>
      <c r="H1830" s="116"/>
      <c r="I1830" s="116"/>
      <c r="L1830" s="170">
        <v>44700</v>
      </c>
      <c r="M1830" s="116">
        <v>59.48</v>
      </c>
      <c r="N1830" s="116">
        <v>60.79</v>
      </c>
      <c r="O1830" s="116">
        <v>56.93</v>
      </c>
      <c r="P1830" s="116">
        <v>57.39</v>
      </c>
      <c r="Q1830" s="116">
        <v>297.39999999999998</v>
      </c>
      <c r="R1830">
        <v>31377678</v>
      </c>
    </row>
    <row r="1831" spans="1:18" x14ac:dyDescent="0.25">
      <c r="A1831" s="170">
        <v>44701</v>
      </c>
      <c r="B1831" s="116">
        <v>62.39</v>
      </c>
      <c r="C1831" s="116">
        <v>62.39</v>
      </c>
      <c r="D1831" s="116">
        <v>61.03</v>
      </c>
      <c r="E1831" s="116">
        <v>61.46</v>
      </c>
      <c r="F1831" s="116">
        <v>311.95</v>
      </c>
      <c r="G1831">
        <v>1793245</v>
      </c>
      <c r="H1831" s="116"/>
      <c r="I1831" s="116"/>
      <c r="L1831" s="170">
        <v>44701</v>
      </c>
      <c r="M1831" s="116">
        <v>62.45</v>
      </c>
      <c r="N1831" s="116">
        <v>62.45</v>
      </c>
      <c r="O1831" s="116">
        <v>61.02</v>
      </c>
      <c r="P1831" s="116">
        <v>61.4</v>
      </c>
      <c r="Q1831" s="116">
        <v>312.25</v>
      </c>
      <c r="R1831">
        <v>22456814</v>
      </c>
    </row>
    <row r="1832" spans="1:18" x14ac:dyDescent="0.25">
      <c r="A1832" s="170">
        <v>44704</v>
      </c>
      <c r="B1832" s="116">
        <v>65.5</v>
      </c>
      <c r="C1832" s="116">
        <v>65.5</v>
      </c>
      <c r="D1832" s="116">
        <v>63.7</v>
      </c>
      <c r="E1832" s="116">
        <v>64.2</v>
      </c>
      <c r="F1832" s="116">
        <v>327.5</v>
      </c>
      <c r="G1832">
        <v>882797</v>
      </c>
      <c r="H1832" s="116"/>
      <c r="I1832" s="116"/>
      <c r="L1832" s="170">
        <v>44704</v>
      </c>
      <c r="M1832" s="116">
        <v>65.569999999999993</v>
      </c>
      <c r="N1832" s="116">
        <v>65.569999999999993</v>
      </c>
      <c r="O1832" s="116">
        <v>63.67</v>
      </c>
      <c r="P1832" s="116">
        <v>64.33</v>
      </c>
      <c r="Q1832" s="116">
        <v>327.85</v>
      </c>
      <c r="R1832">
        <v>12991259</v>
      </c>
    </row>
    <row r="1833" spans="1:18" x14ac:dyDescent="0.25">
      <c r="A1833" s="170">
        <v>44705</v>
      </c>
      <c r="B1833" s="116">
        <v>68.760000000000005</v>
      </c>
      <c r="C1833" s="116">
        <v>62.23</v>
      </c>
      <c r="D1833" s="116">
        <v>62.23</v>
      </c>
      <c r="E1833" s="116">
        <v>68.680000000000007</v>
      </c>
      <c r="F1833" s="116">
        <v>311.14999999999998</v>
      </c>
      <c r="G1833">
        <v>3347353</v>
      </c>
      <c r="H1833" s="116"/>
      <c r="I1833" s="116"/>
      <c r="L1833" s="170">
        <v>44705</v>
      </c>
      <c r="M1833" s="116">
        <v>62.3</v>
      </c>
      <c r="N1833" s="116">
        <v>68.78</v>
      </c>
      <c r="O1833" s="116">
        <v>62.3</v>
      </c>
      <c r="P1833" s="116">
        <v>68.19</v>
      </c>
      <c r="Q1833" s="116">
        <v>311.5</v>
      </c>
      <c r="R1833">
        <v>39427567</v>
      </c>
    </row>
    <row r="1834" spans="1:18" x14ac:dyDescent="0.25">
      <c r="A1834" s="170">
        <v>44706</v>
      </c>
      <c r="B1834" s="116">
        <v>63.78</v>
      </c>
      <c r="C1834" s="116">
        <v>59.86</v>
      </c>
      <c r="D1834" s="116">
        <v>59.2</v>
      </c>
      <c r="E1834" s="116">
        <v>61.8</v>
      </c>
      <c r="F1834" s="116">
        <v>299.3</v>
      </c>
      <c r="G1834">
        <v>2019256</v>
      </c>
      <c r="H1834" s="116"/>
      <c r="I1834" s="116"/>
      <c r="L1834" s="170">
        <v>44706</v>
      </c>
      <c r="M1834" s="116">
        <v>59.87</v>
      </c>
      <c r="N1834" s="116">
        <v>63.76</v>
      </c>
      <c r="O1834" s="116">
        <v>59.19</v>
      </c>
      <c r="P1834" s="116">
        <v>61.82</v>
      </c>
      <c r="Q1834" s="116">
        <v>299.35000000000002</v>
      </c>
      <c r="R1834">
        <v>31601250</v>
      </c>
    </row>
    <row r="1835" spans="1:18" x14ac:dyDescent="0.25">
      <c r="A1835" s="170">
        <v>44707</v>
      </c>
      <c r="B1835" s="116">
        <v>62.85</v>
      </c>
      <c r="C1835" s="116">
        <v>62.85</v>
      </c>
      <c r="D1835" s="116">
        <v>57.22</v>
      </c>
      <c r="E1835" s="116">
        <v>61.96</v>
      </c>
      <c r="F1835" s="116">
        <v>314.25</v>
      </c>
      <c r="G1835">
        <v>1791520</v>
      </c>
      <c r="H1835" s="116"/>
      <c r="I1835" s="116"/>
      <c r="L1835" s="170">
        <v>44707</v>
      </c>
      <c r="M1835" s="116">
        <v>62.86</v>
      </c>
      <c r="N1835" s="116">
        <v>62.86</v>
      </c>
      <c r="O1835" s="116">
        <v>57.22</v>
      </c>
      <c r="P1835" s="116">
        <v>61.78</v>
      </c>
      <c r="Q1835" s="116">
        <v>314.3</v>
      </c>
      <c r="R1835">
        <v>30333101</v>
      </c>
    </row>
    <row r="1836" spans="1:18" x14ac:dyDescent="0.25">
      <c r="A1836" s="170">
        <v>44708</v>
      </c>
      <c r="B1836" s="116">
        <v>65.989999999999995</v>
      </c>
      <c r="C1836" s="116">
        <v>65.67</v>
      </c>
      <c r="D1836" s="116">
        <v>63</v>
      </c>
      <c r="E1836" s="116">
        <v>65.42</v>
      </c>
      <c r="F1836" s="116">
        <v>328.35</v>
      </c>
      <c r="G1836">
        <v>1539148</v>
      </c>
      <c r="H1836" s="116"/>
      <c r="I1836" s="116"/>
      <c r="L1836" s="170">
        <v>44708</v>
      </c>
      <c r="M1836" s="116">
        <v>65.62</v>
      </c>
      <c r="N1836" s="116">
        <v>66</v>
      </c>
      <c r="O1836" s="116">
        <v>63</v>
      </c>
      <c r="P1836" s="116">
        <v>65.06</v>
      </c>
      <c r="Q1836" s="116">
        <v>328.1</v>
      </c>
      <c r="R1836">
        <v>25197002</v>
      </c>
    </row>
    <row r="1837" spans="1:18" x14ac:dyDescent="0.25">
      <c r="A1837" s="170">
        <v>44711</v>
      </c>
      <c r="B1837" s="116">
        <v>68.95</v>
      </c>
      <c r="C1837" s="116">
        <v>68.150000000000006</v>
      </c>
      <c r="D1837" s="116">
        <v>65.17</v>
      </c>
      <c r="E1837" s="116">
        <v>67.2</v>
      </c>
      <c r="F1837" s="116">
        <v>340.75</v>
      </c>
      <c r="G1837">
        <v>4594717</v>
      </c>
      <c r="H1837" s="116"/>
      <c r="I1837" s="116"/>
      <c r="L1837" s="170">
        <v>44711</v>
      </c>
      <c r="M1837" s="116">
        <v>68.05</v>
      </c>
      <c r="N1837" s="116">
        <v>68.900000000000006</v>
      </c>
      <c r="O1837" s="116">
        <v>65.2</v>
      </c>
      <c r="P1837" s="116">
        <v>67.739999999999995</v>
      </c>
      <c r="Q1837" s="116">
        <v>340.25</v>
      </c>
      <c r="R1837">
        <v>39394054</v>
      </c>
    </row>
    <row r="1838" spans="1:18" x14ac:dyDescent="0.25">
      <c r="A1838" s="170">
        <v>44712</v>
      </c>
      <c r="B1838" s="116">
        <v>64.75</v>
      </c>
      <c r="C1838" s="116">
        <v>64.75</v>
      </c>
      <c r="D1838" s="116">
        <v>64.75</v>
      </c>
      <c r="E1838" s="116">
        <v>64.75</v>
      </c>
      <c r="F1838" s="116">
        <v>323.75</v>
      </c>
      <c r="G1838">
        <v>371145</v>
      </c>
      <c r="H1838" s="116"/>
      <c r="I1838" s="116"/>
      <c r="L1838" s="170">
        <v>44712</v>
      </c>
      <c r="M1838" s="116">
        <v>64.650000000000006</v>
      </c>
      <c r="N1838" s="116">
        <v>64.650000000000006</v>
      </c>
      <c r="O1838" s="116">
        <v>64.650000000000006</v>
      </c>
      <c r="P1838" s="116">
        <v>64.650000000000006</v>
      </c>
      <c r="Q1838" s="116">
        <v>323.25</v>
      </c>
      <c r="R1838">
        <v>64390369</v>
      </c>
    </row>
    <row r="1839" spans="1:18" x14ac:dyDescent="0.25">
      <c r="A1839" s="170">
        <v>44713</v>
      </c>
      <c r="B1839" s="116">
        <v>63.28</v>
      </c>
      <c r="C1839" s="116">
        <v>61.52</v>
      </c>
      <c r="D1839" s="116">
        <v>61.52</v>
      </c>
      <c r="E1839" s="116">
        <v>62.12</v>
      </c>
      <c r="F1839" s="116">
        <v>307.60000000000002</v>
      </c>
      <c r="G1839">
        <v>987439</v>
      </c>
      <c r="H1839" s="116"/>
      <c r="I1839" s="116"/>
      <c r="L1839" s="170">
        <v>44713</v>
      </c>
      <c r="M1839" s="116">
        <v>61.42</v>
      </c>
      <c r="N1839" s="116">
        <v>63.34</v>
      </c>
      <c r="O1839" s="116">
        <v>61.42</v>
      </c>
      <c r="P1839" s="116">
        <v>62.1</v>
      </c>
      <c r="Q1839" s="116">
        <v>307.10000000000002</v>
      </c>
      <c r="R1839">
        <v>12531939</v>
      </c>
    </row>
    <row r="1840" spans="1:18" x14ac:dyDescent="0.25">
      <c r="A1840" s="170">
        <v>44714</v>
      </c>
      <c r="B1840" s="116">
        <v>62.63</v>
      </c>
      <c r="C1840" s="116">
        <v>59.08</v>
      </c>
      <c r="D1840" s="116">
        <v>58.45</v>
      </c>
      <c r="E1840" s="116">
        <v>58.45</v>
      </c>
      <c r="F1840" s="116">
        <v>295.39999999999998</v>
      </c>
      <c r="G1840">
        <v>5176784</v>
      </c>
      <c r="H1840" s="116"/>
      <c r="I1840" s="116"/>
      <c r="L1840" s="170">
        <v>44714</v>
      </c>
      <c r="M1840" s="116">
        <v>59.07</v>
      </c>
      <c r="N1840" s="116">
        <v>62.6</v>
      </c>
      <c r="O1840" s="116">
        <v>58.35</v>
      </c>
      <c r="P1840" s="116">
        <v>58.35</v>
      </c>
      <c r="Q1840" s="116">
        <v>295.35000000000002</v>
      </c>
      <c r="R1840">
        <v>53627093</v>
      </c>
    </row>
    <row r="1841" spans="1:18" x14ac:dyDescent="0.25">
      <c r="A1841" s="170">
        <v>44715</v>
      </c>
      <c r="B1841" s="116">
        <v>60.6</v>
      </c>
      <c r="C1841" s="116">
        <v>56.85</v>
      </c>
      <c r="D1841" s="116">
        <v>56.4</v>
      </c>
      <c r="E1841" s="116">
        <v>60</v>
      </c>
      <c r="F1841" s="116">
        <v>284.25</v>
      </c>
      <c r="G1841">
        <v>2464656</v>
      </c>
      <c r="H1841" s="116"/>
      <c r="I1841" s="116"/>
      <c r="L1841" s="170">
        <v>44715</v>
      </c>
      <c r="M1841" s="116">
        <v>56.82</v>
      </c>
      <c r="N1841" s="116">
        <v>60.56</v>
      </c>
      <c r="O1841" s="116">
        <v>56.4</v>
      </c>
      <c r="P1841" s="116">
        <v>60.2</v>
      </c>
      <c r="Q1841" s="116">
        <v>284.10000000000002</v>
      </c>
      <c r="R1841">
        <v>20811415</v>
      </c>
    </row>
    <row r="1842" spans="1:18" x14ac:dyDescent="0.25">
      <c r="A1842" s="170">
        <v>44718</v>
      </c>
      <c r="B1842" s="116">
        <v>59.69</v>
      </c>
      <c r="C1842" s="116">
        <v>59.69</v>
      </c>
      <c r="D1842" s="116">
        <v>55.38</v>
      </c>
      <c r="E1842" s="116">
        <v>56.85</v>
      </c>
      <c r="F1842" s="116">
        <v>298.45</v>
      </c>
      <c r="G1842">
        <v>2151807</v>
      </c>
      <c r="H1842" s="116"/>
      <c r="I1842" s="116"/>
      <c r="L1842" s="170">
        <v>44718</v>
      </c>
      <c r="M1842" s="116">
        <v>59.66</v>
      </c>
      <c r="N1842" s="116">
        <v>59.66</v>
      </c>
      <c r="O1842" s="116">
        <v>55.42</v>
      </c>
      <c r="P1842" s="116">
        <v>57</v>
      </c>
      <c r="Q1842" s="116">
        <v>298.3</v>
      </c>
      <c r="R1842">
        <v>12813174</v>
      </c>
    </row>
    <row r="1843" spans="1:18" x14ac:dyDescent="0.25">
      <c r="A1843" s="170">
        <v>44719</v>
      </c>
      <c r="B1843" s="116">
        <v>60.64</v>
      </c>
      <c r="C1843" s="116">
        <v>58.24</v>
      </c>
      <c r="D1843" s="116">
        <v>57.63</v>
      </c>
      <c r="E1843" s="116">
        <v>59.59</v>
      </c>
      <c r="F1843" s="116">
        <v>291.2</v>
      </c>
      <c r="G1843">
        <v>1670425</v>
      </c>
      <c r="H1843" s="116"/>
      <c r="I1843" s="116"/>
      <c r="L1843" s="170">
        <v>44719</v>
      </c>
      <c r="M1843" s="116">
        <v>58.28</v>
      </c>
      <c r="N1843" s="116">
        <v>60.56</v>
      </c>
      <c r="O1843" s="116">
        <v>57.68</v>
      </c>
      <c r="P1843" s="116">
        <v>59.99</v>
      </c>
      <c r="Q1843" s="116">
        <v>291.39999999999998</v>
      </c>
      <c r="R1843">
        <v>15824786</v>
      </c>
    </row>
    <row r="1844" spans="1:18" x14ac:dyDescent="0.25">
      <c r="A1844" s="170">
        <v>44720</v>
      </c>
      <c r="B1844" s="116">
        <v>59.36</v>
      </c>
      <c r="C1844" s="116">
        <v>56.9</v>
      </c>
      <c r="D1844" s="116">
        <v>56.44</v>
      </c>
      <c r="E1844" s="116">
        <v>59.13</v>
      </c>
      <c r="F1844" s="116">
        <v>284.5</v>
      </c>
      <c r="G1844">
        <v>663882</v>
      </c>
      <c r="H1844" s="116"/>
      <c r="I1844" s="116"/>
      <c r="L1844" s="170">
        <v>44720</v>
      </c>
      <c r="M1844" s="116">
        <v>56.9</v>
      </c>
      <c r="N1844" s="116">
        <v>59.36</v>
      </c>
      <c r="O1844" s="116">
        <v>56.44</v>
      </c>
      <c r="P1844" s="116">
        <v>59.11</v>
      </c>
      <c r="Q1844" s="116">
        <v>284.5</v>
      </c>
      <c r="R1844">
        <v>9228822</v>
      </c>
    </row>
    <row r="1845" spans="1:18" x14ac:dyDescent="0.25">
      <c r="A1845" s="170">
        <v>44721</v>
      </c>
      <c r="B1845" s="116">
        <v>58.12</v>
      </c>
      <c r="C1845" s="116">
        <v>57.6</v>
      </c>
      <c r="D1845" s="116">
        <v>55.4</v>
      </c>
      <c r="E1845" s="116">
        <v>56.46</v>
      </c>
      <c r="F1845" s="116">
        <v>288</v>
      </c>
      <c r="G1845">
        <v>1220138</v>
      </c>
      <c r="H1845" s="116"/>
      <c r="I1845" s="116"/>
      <c r="L1845" s="170">
        <v>44721</v>
      </c>
      <c r="M1845" s="116">
        <v>57.55</v>
      </c>
      <c r="N1845" s="116">
        <v>58.1</v>
      </c>
      <c r="O1845" s="116">
        <v>55.42</v>
      </c>
      <c r="P1845" s="116">
        <v>56.89</v>
      </c>
      <c r="Q1845" s="116">
        <v>287.75</v>
      </c>
      <c r="R1845">
        <v>9514178</v>
      </c>
    </row>
    <row r="1846" spans="1:18" x14ac:dyDescent="0.25">
      <c r="A1846" s="170">
        <v>44722</v>
      </c>
      <c r="B1846" s="116">
        <v>57.04</v>
      </c>
      <c r="C1846" s="116">
        <v>56</v>
      </c>
      <c r="D1846" s="116">
        <v>55.8</v>
      </c>
      <c r="E1846" s="116">
        <v>56.59</v>
      </c>
      <c r="F1846" s="116">
        <v>280</v>
      </c>
      <c r="G1846">
        <v>908623</v>
      </c>
      <c r="H1846" s="116"/>
      <c r="I1846" s="116"/>
      <c r="L1846" s="170">
        <v>44722</v>
      </c>
      <c r="M1846" s="116">
        <v>56.02</v>
      </c>
      <c r="N1846" s="116">
        <v>57.07</v>
      </c>
      <c r="O1846" s="116">
        <v>55.8</v>
      </c>
      <c r="P1846" s="116">
        <v>56.56</v>
      </c>
      <c r="Q1846" s="116">
        <v>280.10000000000002</v>
      </c>
      <c r="R1846">
        <v>7245446</v>
      </c>
    </row>
    <row r="1847" spans="1:18" x14ac:dyDescent="0.25">
      <c r="A1847" s="170">
        <v>44725</v>
      </c>
      <c r="B1847" s="116">
        <v>55.1</v>
      </c>
      <c r="C1847" s="116">
        <v>53.22</v>
      </c>
      <c r="D1847" s="116">
        <v>53.2</v>
      </c>
      <c r="E1847" s="116">
        <v>53.76</v>
      </c>
      <c r="F1847" s="116">
        <v>266.10000000000002</v>
      </c>
      <c r="G1847">
        <v>867814</v>
      </c>
      <c r="H1847" s="116"/>
      <c r="I1847" s="116"/>
      <c r="L1847" s="170">
        <v>44725</v>
      </c>
      <c r="M1847" s="116">
        <v>53.24</v>
      </c>
      <c r="N1847" s="116">
        <v>55.1</v>
      </c>
      <c r="O1847" s="116">
        <v>53.22</v>
      </c>
      <c r="P1847" s="116">
        <v>53.9</v>
      </c>
      <c r="Q1847" s="116">
        <v>266.2</v>
      </c>
      <c r="R1847">
        <v>11186749</v>
      </c>
    </row>
    <row r="1848" spans="1:18" x14ac:dyDescent="0.25">
      <c r="A1848" s="170">
        <v>44726</v>
      </c>
      <c r="B1848" s="116">
        <v>55.88</v>
      </c>
      <c r="C1848" s="116">
        <v>53.36</v>
      </c>
      <c r="D1848" s="116">
        <v>52.3</v>
      </c>
      <c r="E1848" s="116">
        <v>52.3</v>
      </c>
      <c r="F1848" s="116">
        <v>266.8</v>
      </c>
      <c r="G1848">
        <v>1067007</v>
      </c>
      <c r="H1848" s="116"/>
      <c r="I1848" s="116"/>
      <c r="L1848" s="170">
        <v>44726</v>
      </c>
      <c r="M1848" s="116">
        <v>53.33</v>
      </c>
      <c r="N1848" s="116">
        <v>55.9</v>
      </c>
      <c r="O1848" s="116">
        <v>52.32</v>
      </c>
      <c r="P1848" s="116">
        <v>52.32</v>
      </c>
      <c r="Q1848" s="116">
        <v>266.64999999999998</v>
      </c>
      <c r="R1848">
        <v>16393298</v>
      </c>
    </row>
    <row r="1849" spans="1:18" x14ac:dyDescent="0.25">
      <c r="A1849" s="170">
        <v>44727</v>
      </c>
      <c r="B1849" s="116">
        <v>55.1</v>
      </c>
      <c r="C1849" s="116">
        <v>54.39</v>
      </c>
      <c r="D1849" s="116">
        <v>54.01</v>
      </c>
      <c r="E1849" s="116">
        <v>54.4</v>
      </c>
      <c r="F1849" s="116">
        <v>271.95</v>
      </c>
      <c r="G1849">
        <v>907553</v>
      </c>
      <c r="H1849" s="116"/>
      <c r="I1849" s="116"/>
      <c r="L1849" s="170">
        <v>44727</v>
      </c>
      <c r="M1849" s="116">
        <v>54.41</v>
      </c>
      <c r="N1849" s="116">
        <v>55.14</v>
      </c>
      <c r="O1849" s="116">
        <v>54</v>
      </c>
      <c r="P1849" s="116">
        <v>54</v>
      </c>
      <c r="Q1849" s="116">
        <v>272.05</v>
      </c>
      <c r="R1849">
        <v>7446565</v>
      </c>
    </row>
    <row r="1850" spans="1:18" x14ac:dyDescent="0.25">
      <c r="A1850" s="170">
        <v>44728</v>
      </c>
      <c r="B1850" s="116">
        <v>56.48</v>
      </c>
      <c r="C1850" s="116">
        <v>51.85</v>
      </c>
      <c r="D1850" s="116">
        <v>51.69</v>
      </c>
      <c r="E1850" s="116">
        <v>55.78</v>
      </c>
      <c r="F1850" s="116">
        <v>259.25</v>
      </c>
      <c r="G1850">
        <v>871840</v>
      </c>
      <c r="H1850" s="116"/>
      <c r="I1850" s="116"/>
      <c r="L1850" s="170">
        <v>44728</v>
      </c>
      <c r="M1850" s="116">
        <v>51.86</v>
      </c>
      <c r="N1850" s="116">
        <v>56.51</v>
      </c>
      <c r="O1850" s="116">
        <v>51.69</v>
      </c>
      <c r="P1850" s="116">
        <v>56</v>
      </c>
      <c r="Q1850" s="116">
        <v>259.3</v>
      </c>
      <c r="R1850">
        <v>11754891</v>
      </c>
    </row>
    <row r="1851" spans="1:18" x14ac:dyDescent="0.25">
      <c r="A1851" s="170">
        <v>44729</v>
      </c>
      <c r="B1851" s="116">
        <v>53.6</v>
      </c>
      <c r="C1851" s="116">
        <v>52.36</v>
      </c>
      <c r="D1851" s="116">
        <v>49.9</v>
      </c>
      <c r="E1851" s="116">
        <v>51.56</v>
      </c>
      <c r="F1851" s="116">
        <v>261.8</v>
      </c>
      <c r="G1851">
        <v>1012996</v>
      </c>
      <c r="H1851" s="116"/>
      <c r="I1851" s="116"/>
      <c r="L1851" s="170">
        <v>44729</v>
      </c>
      <c r="M1851" s="116">
        <v>52.26</v>
      </c>
      <c r="N1851" s="116">
        <v>53.56</v>
      </c>
      <c r="O1851" s="116">
        <v>49.87</v>
      </c>
      <c r="P1851" s="116">
        <v>51.7</v>
      </c>
      <c r="Q1851" s="116">
        <v>261.3</v>
      </c>
      <c r="R1851">
        <v>16205333</v>
      </c>
    </row>
    <row r="1852" spans="1:18" x14ac:dyDescent="0.25">
      <c r="A1852" s="170">
        <v>44732</v>
      </c>
      <c r="B1852" s="116">
        <v>53.41</v>
      </c>
      <c r="C1852" s="116">
        <v>49.75</v>
      </c>
      <c r="D1852" s="116">
        <v>49.75</v>
      </c>
      <c r="E1852" s="116">
        <v>53.06</v>
      </c>
      <c r="F1852" s="116">
        <v>248.75</v>
      </c>
      <c r="G1852">
        <v>1052080</v>
      </c>
      <c r="H1852" s="116"/>
      <c r="I1852" s="116"/>
      <c r="L1852" s="170">
        <v>44732</v>
      </c>
      <c r="M1852" s="116">
        <v>49.65</v>
      </c>
      <c r="N1852" s="116">
        <v>53.36</v>
      </c>
      <c r="O1852" s="116">
        <v>49.65</v>
      </c>
      <c r="P1852" s="116">
        <v>53.07</v>
      </c>
      <c r="Q1852" s="116">
        <v>248.25</v>
      </c>
      <c r="R1852">
        <v>7398184</v>
      </c>
    </row>
    <row r="1853" spans="1:18" x14ac:dyDescent="0.25">
      <c r="A1853" s="170">
        <v>44733</v>
      </c>
      <c r="B1853" s="116">
        <v>51.73</v>
      </c>
      <c r="C1853" s="116">
        <v>50.8</v>
      </c>
      <c r="D1853" s="116">
        <v>47.65</v>
      </c>
      <c r="E1853" s="116">
        <v>49.61</v>
      </c>
      <c r="F1853" s="116">
        <v>254</v>
      </c>
      <c r="G1853">
        <v>2250784</v>
      </c>
      <c r="H1853" s="116"/>
      <c r="I1853" s="116"/>
      <c r="L1853" s="170">
        <v>44733</v>
      </c>
      <c r="M1853" s="116">
        <v>50.81</v>
      </c>
      <c r="N1853" s="116">
        <v>51.73</v>
      </c>
      <c r="O1853" s="116">
        <v>47.66</v>
      </c>
      <c r="P1853" s="116">
        <v>49.67</v>
      </c>
      <c r="Q1853" s="116">
        <v>254.05</v>
      </c>
      <c r="R1853">
        <v>17701689</v>
      </c>
    </row>
    <row r="1854" spans="1:18" x14ac:dyDescent="0.25">
      <c r="A1854" s="170">
        <v>44734</v>
      </c>
      <c r="B1854" s="116">
        <v>50.58</v>
      </c>
      <c r="C1854" s="116">
        <v>49.48</v>
      </c>
      <c r="D1854" s="116">
        <v>49.1</v>
      </c>
      <c r="E1854" s="116">
        <v>50.58</v>
      </c>
      <c r="F1854" s="116">
        <v>247.4</v>
      </c>
      <c r="G1854">
        <v>542477</v>
      </c>
      <c r="H1854" s="116"/>
      <c r="I1854" s="116"/>
      <c r="L1854" s="170">
        <v>44734</v>
      </c>
      <c r="M1854" s="116">
        <v>49.46</v>
      </c>
      <c r="N1854" s="116">
        <v>50.6</v>
      </c>
      <c r="O1854" s="116">
        <v>49.02</v>
      </c>
      <c r="P1854" s="116">
        <v>50.38</v>
      </c>
      <c r="Q1854" s="116">
        <v>247.3</v>
      </c>
      <c r="R1854">
        <v>7198933</v>
      </c>
    </row>
    <row r="1855" spans="1:18" x14ac:dyDescent="0.25">
      <c r="A1855" s="170">
        <v>44735</v>
      </c>
      <c r="B1855" s="116">
        <v>51.68</v>
      </c>
      <c r="C1855" s="116">
        <v>50.5</v>
      </c>
      <c r="D1855" s="116">
        <v>49.48</v>
      </c>
      <c r="E1855" s="116">
        <v>49.8</v>
      </c>
      <c r="F1855" s="116">
        <v>252.5</v>
      </c>
      <c r="G1855">
        <v>1094219</v>
      </c>
      <c r="H1855" s="116"/>
      <c r="I1855" s="116"/>
      <c r="L1855" s="170">
        <v>44735</v>
      </c>
      <c r="M1855" s="116">
        <v>50.52</v>
      </c>
      <c r="N1855" s="116">
        <v>51.74</v>
      </c>
      <c r="O1855" s="116">
        <v>49.5</v>
      </c>
      <c r="P1855" s="116">
        <v>49.81</v>
      </c>
      <c r="Q1855" s="116">
        <v>252.6</v>
      </c>
      <c r="R1855">
        <v>8083950</v>
      </c>
    </row>
    <row r="1856" spans="1:18" x14ac:dyDescent="0.25">
      <c r="A1856" s="170">
        <v>44736</v>
      </c>
      <c r="B1856" s="116">
        <v>53.02</v>
      </c>
      <c r="C1856" s="116">
        <v>52.93</v>
      </c>
      <c r="D1856" s="116">
        <v>51.18</v>
      </c>
      <c r="E1856" s="116">
        <v>51.34</v>
      </c>
      <c r="F1856" s="116">
        <v>264.64999999999998</v>
      </c>
      <c r="G1856">
        <v>686504</v>
      </c>
      <c r="H1856" s="116"/>
      <c r="I1856" s="116"/>
      <c r="L1856" s="170">
        <v>44736</v>
      </c>
      <c r="M1856" s="116">
        <v>52.89</v>
      </c>
      <c r="N1856" s="116">
        <v>53.04</v>
      </c>
      <c r="O1856" s="116">
        <v>51.2</v>
      </c>
      <c r="P1856" s="116">
        <v>51.2</v>
      </c>
      <c r="Q1856" s="116">
        <v>264.45</v>
      </c>
      <c r="R1856">
        <v>9307365</v>
      </c>
    </row>
    <row r="1857" spans="1:18" x14ac:dyDescent="0.25">
      <c r="A1857" s="170">
        <v>44739</v>
      </c>
      <c r="B1857" s="116">
        <v>55.57</v>
      </c>
      <c r="C1857" s="116">
        <v>54.54</v>
      </c>
      <c r="D1857" s="116">
        <v>53.65</v>
      </c>
      <c r="E1857" s="116">
        <v>54.13</v>
      </c>
      <c r="F1857" s="116">
        <v>272.7</v>
      </c>
      <c r="G1857">
        <v>1370638</v>
      </c>
      <c r="H1857" s="116"/>
      <c r="I1857" s="116"/>
      <c r="L1857" s="170">
        <v>44739</v>
      </c>
      <c r="M1857" s="116">
        <v>54.58</v>
      </c>
      <c r="N1857" s="116">
        <v>55.53</v>
      </c>
      <c r="O1857" s="116">
        <v>53.64</v>
      </c>
      <c r="P1857" s="116">
        <v>54.19</v>
      </c>
      <c r="Q1857" s="116">
        <v>272.89999999999998</v>
      </c>
      <c r="R1857">
        <v>12506733</v>
      </c>
    </row>
    <row r="1858" spans="1:18" x14ac:dyDescent="0.25">
      <c r="A1858" s="170">
        <v>44740</v>
      </c>
      <c r="B1858" s="116">
        <v>54.97</v>
      </c>
      <c r="C1858" s="116">
        <v>54.01</v>
      </c>
      <c r="D1858" s="116">
        <v>53.61</v>
      </c>
      <c r="E1858" s="116">
        <v>54</v>
      </c>
      <c r="F1858" s="116">
        <v>270.05</v>
      </c>
      <c r="G1858">
        <v>414230</v>
      </c>
      <c r="H1858" s="116"/>
      <c r="I1858" s="116"/>
      <c r="L1858" s="170">
        <v>44740</v>
      </c>
      <c r="M1858" s="116">
        <v>54.05</v>
      </c>
      <c r="N1858" s="116">
        <v>54.96</v>
      </c>
      <c r="O1858" s="116">
        <v>53.55</v>
      </c>
      <c r="P1858" s="116">
        <v>54.01</v>
      </c>
      <c r="Q1858" s="116">
        <v>270.25</v>
      </c>
      <c r="R1858">
        <v>7019512</v>
      </c>
    </row>
    <row r="1859" spans="1:18" x14ac:dyDescent="0.25">
      <c r="A1859" s="170">
        <v>44741</v>
      </c>
      <c r="B1859" s="116">
        <v>54.89</v>
      </c>
      <c r="C1859" s="116">
        <v>53.99</v>
      </c>
      <c r="D1859" s="116">
        <v>53.5</v>
      </c>
      <c r="E1859" s="116">
        <v>53.5</v>
      </c>
      <c r="F1859" s="116">
        <v>269.95</v>
      </c>
      <c r="G1859">
        <v>268498</v>
      </c>
      <c r="H1859" s="116"/>
      <c r="I1859" s="116"/>
      <c r="L1859" s="170">
        <v>44741</v>
      </c>
      <c r="M1859" s="116">
        <v>54.01</v>
      </c>
      <c r="N1859" s="116">
        <v>54.88</v>
      </c>
      <c r="O1859" s="116">
        <v>53.45</v>
      </c>
      <c r="P1859" s="116">
        <v>53.59</v>
      </c>
      <c r="Q1859" s="116">
        <v>270.05</v>
      </c>
      <c r="R1859">
        <v>5972377</v>
      </c>
    </row>
    <row r="1860" spans="1:18" x14ac:dyDescent="0.25">
      <c r="A1860" s="170">
        <v>44742</v>
      </c>
      <c r="B1860" s="116">
        <v>55.2</v>
      </c>
      <c r="C1860" s="116">
        <v>52.51</v>
      </c>
      <c r="D1860" s="116">
        <v>52.2</v>
      </c>
      <c r="E1860" s="116">
        <v>54.54</v>
      </c>
      <c r="F1860" s="116">
        <v>262.55</v>
      </c>
      <c r="G1860">
        <v>383415</v>
      </c>
      <c r="H1860" s="116"/>
      <c r="I1860" s="116"/>
      <c r="L1860" s="170">
        <v>44742</v>
      </c>
      <c r="M1860" s="116">
        <v>52.57</v>
      </c>
      <c r="N1860" s="116">
        <v>55.13</v>
      </c>
      <c r="O1860" s="116">
        <v>52.22</v>
      </c>
      <c r="P1860" s="116">
        <v>54.4</v>
      </c>
      <c r="Q1860" s="116">
        <v>262.85000000000002</v>
      </c>
      <c r="R1860">
        <v>5613740</v>
      </c>
    </row>
    <row r="1861" spans="1:18" x14ac:dyDescent="0.25">
      <c r="A1861" s="170">
        <v>44743</v>
      </c>
      <c r="B1861" s="116">
        <v>52.99</v>
      </c>
      <c r="C1861" s="116">
        <v>52.68</v>
      </c>
      <c r="D1861" s="116">
        <v>51.04</v>
      </c>
      <c r="E1861" s="116">
        <v>52.8</v>
      </c>
      <c r="F1861" s="116">
        <v>263.39999999999998</v>
      </c>
      <c r="G1861">
        <v>390847</v>
      </c>
      <c r="H1861" s="116"/>
      <c r="I1861" s="116"/>
      <c r="L1861" s="170">
        <v>44743</v>
      </c>
      <c r="M1861" s="116">
        <v>52.65</v>
      </c>
      <c r="N1861" s="116">
        <v>52.98</v>
      </c>
      <c r="O1861" s="116">
        <v>51.02</v>
      </c>
      <c r="P1861" s="116">
        <v>52.57</v>
      </c>
      <c r="Q1861" s="116">
        <v>263.25</v>
      </c>
      <c r="R1861">
        <v>4812767</v>
      </c>
    </row>
    <row r="1862" spans="1:18" x14ac:dyDescent="0.25">
      <c r="A1862" s="170">
        <v>44746</v>
      </c>
      <c r="B1862" s="116">
        <v>53.3</v>
      </c>
      <c r="C1862" s="116">
        <v>52.38</v>
      </c>
      <c r="D1862" s="116">
        <v>52.02</v>
      </c>
      <c r="E1862" s="116">
        <v>52.68</v>
      </c>
      <c r="F1862" s="116">
        <v>261.89999999999998</v>
      </c>
      <c r="G1862">
        <v>490058</v>
      </c>
      <c r="H1862" s="116"/>
      <c r="I1862" s="116"/>
      <c r="L1862" s="170">
        <v>44746</v>
      </c>
      <c r="M1862" s="116">
        <v>52.34</v>
      </c>
      <c r="N1862" s="116">
        <v>53.3</v>
      </c>
      <c r="O1862" s="116">
        <v>52.2</v>
      </c>
      <c r="P1862" s="116">
        <v>52.78</v>
      </c>
      <c r="Q1862" s="116">
        <v>261.7</v>
      </c>
      <c r="R1862">
        <v>3109382</v>
      </c>
    </row>
    <row r="1863" spans="1:18" x14ac:dyDescent="0.25">
      <c r="A1863" s="170">
        <v>44747</v>
      </c>
      <c r="B1863" s="116">
        <v>53.9</v>
      </c>
      <c r="C1863" s="116">
        <v>52.53</v>
      </c>
      <c r="D1863" s="116">
        <v>52.37</v>
      </c>
      <c r="E1863" s="116">
        <v>52.53</v>
      </c>
      <c r="F1863" s="116">
        <v>262.64999999999998</v>
      </c>
      <c r="G1863">
        <v>514992</v>
      </c>
      <c r="H1863" s="116"/>
      <c r="I1863" s="116"/>
      <c r="L1863" s="170">
        <v>44747</v>
      </c>
      <c r="M1863" s="116">
        <v>52.55</v>
      </c>
      <c r="N1863" s="116">
        <v>53.88</v>
      </c>
      <c r="O1863" s="116">
        <v>52.4</v>
      </c>
      <c r="P1863" s="116">
        <v>52.68</v>
      </c>
      <c r="Q1863" s="116">
        <v>262.75</v>
      </c>
      <c r="R1863">
        <v>3432267</v>
      </c>
    </row>
    <row r="1864" spans="1:18" x14ac:dyDescent="0.25">
      <c r="A1864" s="170">
        <v>44748</v>
      </c>
      <c r="B1864" s="116">
        <v>53.34</v>
      </c>
      <c r="C1864" s="116">
        <v>52.52</v>
      </c>
      <c r="D1864" s="116">
        <v>52</v>
      </c>
      <c r="E1864" s="116">
        <v>53.34</v>
      </c>
      <c r="F1864" s="116">
        <v>262.60000000000002</v>
      </c>
      <c r="G1864">
        <v>201702</v>
      </c>
      <c r="H1864" s="116"/>
      <c r="I1864" s="116"/>
      <c r="L1864" s="170">
        <v>44748</v>
      </c>
      <c r="M1864" s="116">
        <v>52.54</v>
      </c>
      <c r="N1864" s="116">
        <v>53.11</v>
      </c>
      <c r="O1864" s="116">
        <v>52</v>
      </c>
      <c r="P1864" s="116">
        <v>52.82</v>
      </c>
      <c r="Q1864" s="116">
        <v>262.7</v>
      </c>
      <c r="R1864">
        <v>3036307</v>
      </c>
    </row>
    <row r="1865" spans="1:18" x14ac:dyDescent="0.25">
      <c r="A1865" s="170">
        <v>44749</v>
      </c>
      <c r="B1865" s="116">
        <v>55.14</v>
      </c>
      <c r="C1865" s="116">
        <v>55.11</v>
      </c>
      <c r="D1865" s="116">
        <v>52.8</v>
      </c>
      <c r="E1865" s="116">
        <v>52.8</v>
      </c>
      <c r="F1865" s="116">
        <v>275.55</v>
      </c>
      <c r="G1865">
        <v>846496</v>
      </c>
      <c r="H1865" s="116"/>
      <c r="I1865" s="116"/>
      <c r="L1865" s="170">
        <v>44749</v>
      </c>
      <c r="M1865" s="116">
        <v>55.12</v>
      </c>
      <c r="N1865" s="116">
        <v>55.16</v>
      </c>
      <c r="O1865" s="116">
        <v>53.01</v>
      </c>
      <c r="P1865" s="116">
        <v>53.1</v>
      </c>
      <c r="Q1865" s="116">
        <v>275.60000000000002</v>
      </c>
      <c r="R1865">
        <v>11528099</v>
      </c>
    </row>
    <row r="1866" spans="1:18" x14ac:dyDescent="0.25">
      <c r="A1866" s="170">
        <v>44750</v>
      </c>
      <c r="B1866" s="116">
        <v>55.73</v>
      </c>
      <c r="C1866" s="116">
        <v>54.28</v>
      </c>
      <c r="D1866" s="116">
        <v>53.8</v>
      </c>
      <c r="E1866" s="116">
        <v>55</v>
      </c>
      <c r="F1866" s="116">
        <v>271.39999999999998</v>
      </c>
      <c r="G1866">
        <v>517753</v>
      </c>
      <c r="H1866" s="116"/>
      <c r="I1866" s="116"/>
      <c r="L1866" s="170">
        <v>44750</v>
      </c>
      <c r="M1866" s="116">
        <v>54.31</v>
      </c>
      <c r="N1866" s="116">
        <v>55.72</v>
      </c>
      <c r="O1866" s="116">
        <v>53.8</v>
      </c>
      <c r="P1866" s="116">
        <v>55.58</v>
      </c>
      <c r="Q1866" s="116">
        <v>271.55</v>
      </c>
      <c r="R1866">
        <v>7078212</v>
      </c>
    </row>
    <row r="1867" spans="1:18" x14ac:dyDescent="0.25">
      <c r="A1867" s="170">
        <v>44753</v>
      </c>
      <c r="B1867" s="116">
        <v>56.99</v>
      </c>
      <c r="C1867" s="116">
        <v>56.99</v>
      </c>
      <c r="D1867" s="116">
        <v>53.96</v>
      </c>
      <c r="E1867" s="116">
        <v>53.96</v>
      </c>
      <c r="F1867" s="116">
        <v>284.95</v>
      </c>
      <c r="G1867">
        <v>1308931</v>
      </c>
      <c r="H1867" s="116"/>
      <c r="I1867" s="116"/>
      <c r="L1867" s="170">
        <v>44753</v>
      </c>
      <c r="M1867" s="116">
        <v>57.02</v>
      </c>
      <c r="N1867" s="116">
        <v>57.02</v>
      </c>
      <c r="O1867" s="116">
        <v>53.85</v>
      </c>
      <c r="P1867" s="116">
        <v>54</v>
      </c>
      <c r="Q1867" s="116">
        <v>285.10000000000002</v>
      </c>
      <c r="R1867">
        <v>14086766</v>
      </c>
    </row>
    <row r="1868" spans="1:18" x14ac:dyDescent="0.25">
      <c r="A1868" s="170">
        <v>44754</v>
      </c>
      <c r="B1868" s="116">
        <v>59.83</v>
      </c>
      <c r="C1868" s="116">
        <v>58.59</v>
      </c>
      <c r="D1868" s="116">
        <v>57.23</v>
      </c>
      <c r="E1868" s="116">
        <v>57.23</v>
      </c>
      <c r="F1868" s="116">
        <v>292.95</v>
      </c>
      <c r="G1868">
        <v>2038047</v>
      </c>
      <c r="H1868" s="116"/>
      <c r="I1868" s="116"/>
      <c r="L1868" s="170">
        <v>44754</v>
      </c>
      <c r="M1868" s="116">
        <v>58.55</v>
      </c>
      <c r="N1868" s="116">
        <v>59.87</v>
      </c>
      <c r="O1868" s="116">
        <v>57.21</v>
      </c>
      <c r="P1868" s="116">
        <v>57.36</v>
      </c>
      <c r="Q1868" s="116">
        <v>292.75</v>
      </c>
      <c r="R1868">
        <v>22402570</v>
      </c>
    </row>
    <row r="1869" spans="1:18" x14ac:dyDescent="0.25">
      <c r="A1869" s="170">
        <v>44755</v>
      </c>
      <c r="B1869" s="116">
        <v>59.96</v>
      </c>
      <c r="C1869" s="116">
        <v>57.32</v>
      </c>
      <c r="D1869" s="116">
        <v>57</v>
      </c>
      <c r="E1869" s="116">
        <v>59.54</v>
      </c>
      <c r="F1869" s="116">
        <v>286.60000000000002</v>
      </c>
      <c r="G1869">
        <v>1146102</v>
      </c>
      <c r="H1869" s="116"/>
      <c r="I1869" s="116"/>
      <c r="L1869" s="170">
        <v>44755</v>
      </c>
      <c r="M1869" s="116">
        <v>57.33</v>
      </c>
      <c r="N1869" s="116">
        <v>59.92</v>
      </c>
      <c r="O1869" s="116">
        <v>57</v>
      </c>
      <c r="P1869" s="116">
        <v>59.68</v>
      </c>
      <c r="Q1869" s="116">
        <v>286.64999999999998</v>
      </c>
      <c r="R1869">
        <v>8566423</v>
      </c>
    </row>
    <row r="1870" spans="1:18" x14ac:dyDescent="0.25">
      <c r="A1870" s="170">
        <v>44756</v>
      </c>
      <c r="B1870" s="116">
        <v>57.97</v>
      </c>
      <c r="C1870" s="116">
        <v>56.76</v>
      </c>
      <c r="D1870" s="116">
        <v>55.4</v>
      </c>
      <c r="E1870" s="116">
        <v>57.85</v>
      </c>
      <c r="F1870" s="116">
        <v>283.8</v>
      </c>
      <c r="G1870">
        <v>452052</v>
      </c>
      <c r="H1870" s="116"/>
      <c r="I1870" s="116"/>
      <c r="L1870" s="170">
        <v>44756</v>
      </c>
      <c r="M1870" s="116">
        <v>56.74</v>
      </c>
      <c r="N1870" s="116">
        <v>57.96</v>
      </c>
      <c r="O1870" s="116">
        <v>55.4</v>
      </c>
      <c r="P1870" s="116">
        <v>57.6</v>
      </c>
      <c r="Q1870" s="116">
        <v>283.7</v>
      </c>
      <c r="R1870">
        <v>6997656</v>
      </c>
    </row>
    <row r="1871" spans="1:18" x14ac:dyDescent="0.25">
      <c r="A1871" s="170">
        <v>44757</v>
      </c>
      <c r="B1871" s="116">
        <v>57.59</v>
      </c>
      <c r="C1871" s="116">
        <v>57.31</v>
      </c>
      <c r="D1871" s="116">
        <v>56.62</v>
      </c>
      <c r="E1871" s="116">
        <v>57.2</v>
      </c>
      <c r="F1871" s="116">
        <v>286.55</v>
      </c>
      <c r="G1871">
        <v>531448</v>
      </c>
      <c r="H1871" s="116"/>
      <c r="I1871" s="116"/>
      <c r="L1871" s="170">
        <v>44757</v>
      </c>
      <c r="M1871" s="116">
        <v>57.35</v>
      </c>
      <c r="N1871" s="116">
        <v>57.59</v>
      </c>
      <c r="O1871" s="116">
        <v>56.65</v>
      </c>
      <c r="P1871" s="116">
        <v>57.2</v>
      </c>
      <c r="Q1871" s="116">
        <v>286.75</v>
      </c>
      <c r="R1871">
        <v>4462588</v>
      </c>
    </row>
    <row r="1872" spans="1:18" x14ac:dyDescent="0.25">
      <c r="A1872" s="170">
        <v>44760</v>
      </c>
      <c r="B1872" s="116">
        <v>58.92</v>
      </c>
      <c r="C1872" s="116">
        <v>57.94</v>
      </c>
      <c r="D1872" s="116">
        <v>57.38</v>
      </c>
      <c r="E1872" s="116">
        <v>57.62</v>
      </c>
      <c r="F1872" s="116">
        <v>289.7</v>
      </c>
      <c r="G1872">
        <v>1292409</v>
      </c>
      <c r="H1872" s="116"/>
      <c r="I1872" s="116"/>
      <c r="L1872" s="170">
        <v>44760</v>
      </c>
      <c r="M1872" s="116">
        <v>57.97</v>
      </c>
      <c r="N1872" s="116">
        <v>58.89</v>
      </c>
      <c r="O1872" s="116">
        <v>57.36</v>
      </c>
      <c r="P1872" s="116">
        <v>57.88</v>
      </c>
      <c r="Q1872" s="116">
        <v>289.85000000000002</v>
      </c>
      <c r="R1872">
        <v>5250758</v>
      </c>
    </row>
    <row r="1873" spans="1:18" x14ac:dyDescent="0.25">
      <c r="A1873" s="170">
        <v>44761</v>
      </c>
      <c r="B1873" s="116">
        <v>58.96</v>
      </c>
      <c r="C1873" s="116">
        <v>58.68</v>
      </c>
      <c r="D1873" s="116">
        <v>57.04</v>
      </c>
      <c r="E1873" s="116">
        <v>57.58</v>
      </c>
      <c r="F1873" s="116">
        <v>293.39999999999998</v>
      </c>
      <c r="G1873">
        <v>382679</v>
      </c>
      <c r="H1873" s="116"/>
      <c r="I1873" s="116"/>
      <c r="L1873" s="170">
        <v>44761</v>
      </c>
      <c r="M1873" s="116">
        <v>58.67</v>
      </c>
      <c r="N1873" s="116">
        <v>58.97</v>
      </c>
      <c r="O1873" s="116">
        <v>57.05</v>
      </c>
      <c r="P1873" s="116">
        <v>57.39</v>
      </c>
      <c r="Q1873" s="116">
        <v>293.35000000000002</v>
      </c>
      <c r="R1873">
        <v>6702529</v>
      </c>
    </row>
    <row r="1874" spans="1:18" x14ac:dyDescent="0.25">
      <c r="A1874" s="170">
        <v>44762</v>
      </c>
      <c r="B1874" s="116">
        <v>59.38</v>
      </c>
      <c r="C1874" s="116">
        <v>57.94</v>
      </c>
      <c r="D1874" s="116">
        <v>57.73</v>
      </c>
      <c r="E1874" s="116">
        <v>59.12</v>
      </c>
      <c r="F1874" s="116">
        <v>289.7</v>
      </c>
      <c r="G1874">
        <v>639182</v>
      </c>
      <c r="H1874" s="116"/>
      <c r="I1874" s="116"/>
      <c r="L1874" s="170">
        <v>44762</v>
      </c>
      <c r="M1874" s="116">
        <v>57.98</v>
      </c>
      <c r="N1874" s="116">
        <v>59.36</v>
      </c>
      <c r="O1874" s="116">
        <v>57.71</v>
      </c>
      <c r="P1874" s="116">
        <v>59.2</v>
      </c>
      <c r="Q1874" s="116">
        <v>289.89999999999998</v>
      </c>
      <c r="R1874">
        <v>4084090</v>
      </c>
    </row>
    <row r="1875" spans="1:18" x14ac:dyDescent="0.25">
      <c r="A1875" s="170">
        <v>44763</v>
      </c>
      <c r="B1875" s="116">
        <v>59</v>
      </c>
      <c r="C1875" s="116">
        <v>58.77</v>
      </c>
      <c r="D1875" s="116">
        <v>57.73</v>
      </c>
      <c r="E1875" s="116">
        <v>58.38</v>
      </c>
      <c r="F1875" s="116">
        <v>293.85000000000002</v>
      </c>
      <c r="G1875">
        <v>278440</v>
      </c>
      <c r="H1875" s="116"/>
      <c r="I1875" s="116"/>
      <c r="L1875" s="170">
        <v>44763</v>
      </c>
      <c r="M1875" s="116">
        <v>58.8</v>
      </c>
      <c r="N1875" s="116">
        <v>59</v>
      </c>
      <c r="O1875" s="116">
        <v>57.69</v>
      </c>
      <c r="P1875" s="116">
        <v>58.19</v>
      </c>
      <c r="Q1875" s="116">
        <v>294</v>
      </c>
      <c r="R1875">
        <v>5262525</v>
      </c>
    </row>
    <row r="1876" spans="1:18" x14ac:dyDescent="0.25">
      <c r="A1876" s="170">
        <v>44764</v>
      </c>
      <c r="B1876" s="116">
        <v>59.4</v>
      </c>
      <c r="C1876" s="116">
        <v>58.24</v>
      </c>
      <c r="D1876" s="116">
        <v>58.06</v>
      </c>
      <c r="E1876" s="116">
        <v>59</v>
      </c>
      <c r="F1876" s="116">
        <v>291.2</v>
      </c>
      <c r="G1876">
        <v>258106</v>
      </c>
      <c r="H1876" s="116"/>
      <c r="I1876" s="116"/>
      <c r="L1876" s="170">
        <v>44764</v>
      </c>
      <c r="M1876" s="116">
        <v>58.26</v>
      </c>
      <c r="N1876" s="116">
        <v>59.4</v>
      </c>
      <c r="O1876" s="116">
        <v>58.12</v>
      </c>
      <c r="P1876" s="116">
        <v>58.99</v>
      </c>
      <c r="Q1876" s="116">
        <v>291.3</v>
      </c>
      <c r="R1876">
        <v>3405202</v>
      </c>
    </row>
    <row r="1877" spans="1:18" x14ac:dyDescent="0.25">
      <c r="A1877" s="170">
        <v>44767</v>
      </c>
      <c r="B1877" s="116">
        <v>59.05</v>
      </c>
      <c r="C1877" s="116">
        <v>58.34</v>
      </c>
      <c r="D1877" s="116">
        <v>57.83</v>
      </c>
      <c r="E1877" s="116">
        <v>58.2</v>
      </c>
      <c r="F1877" s="116">
        <v>291.7</v>
      </c>
      <c r="G1877">
        <v>246178</v>
      </c>
      <c r="H1877" s="116"/>
      <c r="I1877" s="116"/>
      <c r="L1877" s="170">
        <v>44767</v>
      </c>
      <c r="M1877" s="116">
        <v>58.34</v>
      </c>
      <c r="N1877" s="116">
        <v>59.05</v>
      </c>
      <c r="O1877" s="116">
        <v>57.82</v>
      </c>
      <c r="P1877" s="116">
        <v>58.26</v>
      </c>
      <c r="Q1877" s="116">
        <v>291.7</v>
      </c>
      <c r="R1877">
        <v>4619772</v>
      </c>
    </row>
    <row r="1878" spans="1:18" x14ac:dyDescent="0.25">
      <c r="A1878" s="170">
        <v>44768</v>
      </c>
      <c r="B1878" s="116">
        <v>60.6</v>
      </c>
      <c r="C1878" s="116">
        <v>59.55</v>
      </c>
      <c r="D1878" s="116">
        <v>57.98</v>
      </c>
      <c r="E1878" s="116">
        <v>58.34</v>
      </c>
      <c r="F1878" s="116">
        <v>297.75</v>
      </c>
      <c r="G1878">
        <v>1906115</v>
      </c>
      <c r="H1878" s="116"/>
      <c r="I1878" s="116"/>
      <c r="L1878" s="170">
        <v>44768</v>
      </c>
      <c r="M1878" s="116">
        <v>59.54</v>
      </c>
      <c r="N1878" s="116">
        <v>60.68</v>
      </c>
      <c r="O1878" s="116">
        <v>58.03</v>
      </c>
      <c r="P1878" s="116">
        <v>58.37</v>
      </c>
      <c r="Q1878" s="116">
        <v>297.7</v>
      </c>
      <c r="R1878">
        <v>13020068</v>
      </c>
    </row>
    <row r="1879" spans="1:18" x14ac:dyDescent="0.25">
      <c r="A1879" s="170">
        <v>44769</v>
      </c>
      <c r="B1879" s="116">
        <v>62.52</v>
      </c>
      <c r="C1879" s="116">
        <v>62.5</v>
      </c>
      <c r="D1879" s="116">
        <v>59.62</v>
      </c>
      <c r="E1879" s="116">
        <v>59.72</v>
      </c>
      <c r="F1879" s="116">
        <v>312.5</v>
      </c>
      <c r="G1879">
        <v>1915934</v>
      </c>
      <c r="H1879" s="116"/>
      <c r="I1879" s="116"/>
      <c r="L1879" s="170">
        <v>44769</v>
      </c>
      <c r="M1879" s="116">
        <v>62.49</v>
      </c>
      <c r="N1879" s="116">
        <v>62.51</v>
      </c>
      <c r="O1879" s="116">
        <v>59.63</v>
      </c>
      <c r="P1879" s="116">
        <v>59.8</v>
      </c>
      <c r="Q1879" s="116">
        <v>312.45</v>
      </c>
      <c r="R1879">
        <v>11443716</v>
      </c>
    </row>
    <row r="1880" spans="1:18" x14ac:dyDescent="0.25">
      <c r="A1880" s="170">
        <v>44770</v>
      </c>
      <c r="B1880" s="116">
        <v>65.400000000000006</v>
      </c>
      <c r="C1880" s="116">
        <v>64.37</v>
      </c>
      <c r="D1880" s="116">
        <v>62.6</v>
      </c>
      <c r="E1880" s="116">
        <v>64.14</v>
      </c>
      <c r="F1880" s="116">
        <v>321.85000000000002</v>
      </c>
      <c r="G1880">
        <v>2210336</v>
      </c>
      <c r="H1880" s="116"/>
      <c r="I1880" s="116"/>
      <c r="L1880" s="170">
        <v>44770</v>
      </c>
      <c r="M1880" s="116">
        <v>64.39</v>
      </c>
      <c r="N1880" s="116">
        <v>65.38</v>
      </c>
      <c r="O1880" s="116">
        <v>62.6</v>
      </c>
      <c r="P1880" s="116">
        <v>64.2</v>
      </c>
      <c r="Q1880" s="116">
        <v>321.95</v>
      </c>
      <c r="R1880">
        <v>17123340</v>
      </c>
    </row>
    <row r="1881" spans="1:18" x14ac:dyDescent="0.25">
      <c r="A1881" s="170">
        <v>44771</v>
      </c>
      <c r="B1881" s="116">
        <v>65.14</v>
      </c>
      <c r="C1881" s="116">
        <v>62.77</v>
      </c>
      <c r="D1881" s="116">
        <v>61.5</v>
      </c>
      <c r="E1881" s="116">
        <v>64.540000000000006</v>
      </c>
      <c r="F1881" s="116">
        <v>313.85000000000002</v>
      </c>
      <c r="G1881">
        <v>839025</v>
      </c>
      <c r="H1881" s="116"/>
      <c r="I1881" s="116"/>
      <c r="L1881" s="170">
        <v>44771</v>
      </c>
      <c r="M1881" s="116">
        <v>62.79</v>
      </c>
      <c r="N1881" s="116">
        <v>65.12</v>
      </c>
      <c r="O1881" s="116">
        <v>61.46</v>
      </c>
      <c r="P1881" s="116">
        <v>64.650000000000006</v>
      </c>
      <c r="Q1881" s="116">
        <v>313.95</v>
      </c>
      <c r="R1881">
        <v>11997017</v>
      </c>
    </row>
    <row r="1882" spans="1:18" x14ac:dyDescent="0.25">
      <c r="A1882" s="170">
        <v>44774</v>
      </c>
      <c r="B1882" s="116">
        <v>65.09</v>
      </c>
      <c r="C1882" s="116">
        <v>64.349999999999994</v>
      </c>
      <c r="D1882" s="116">
        <v>61.13</v>
      </c>
      <c r="E1882" s="116">
        <v>62.81</v>
      </c>
      <c r="F1882" s="116">
        <v>321.75</v>
      </c>
      <c r="G1882">
        <v>1918522</v>
      </c>
      <c r="H1882" s="116"/>
      <c r="I1882" s="116"/>
      <c r="L1882" s="170">
        <v>44774</v>
      </c>
      <c r="M1882" s="116">
        <v>64.37</v>
      </c>
      <c r="N1882" s="116">
        <v>65</v>
      </c>
      <c r="O1882" s="116">
        <v>61.11</v>
      </c>
      <c r="P1882" s="116">
        <v>62.93</v>
      </c>
      <c r="Q1882" s="116">
        <v>321.85000000000002</v>
      </c>
      <c r="R1882">
        <v>14035834</v>
      </c>
    </row>
    <row r="1883" spans="1:18" x14ac:dyDescent="0.25">
      <c r="A1883" s="170">
        <v>44775</v>
      </c>
      <c r="B1883" s="116">
        <v>66.459999999999994</v>
      </c>
      <c r="C1883" s="116">
        <v>65.73</v>
      </c>
      <c r="D1883" s="116">
        <v>63.77</v>
      </c>
      <c r="E1883" s="116">
        <v>64.28</v>
      </c>
      <c r="F1883" s="116">
        <v>328.65</v>
      </c>
      <c r="G1883">
        <v>873012</v>
      </c>
      <c r="H1883" s="116"/>
      <c r="I1883" s="116"/>
      <c r="L1883" s="170">
        <v>44775</v>
      </c>
      <c r="M1883" s="116">
        <v>65.709999999999994</v>
      </c>
      <c r="N1883" s="116">
        <v>66.5</v>
      </c>
      <c r="O1883" s="116">
        <v>63.82</v>
      </c>
      <c r="P1883" s="116">
        <v>64.2</v>
      </c>
      <c r="Q1883" s="116">
        <v>328.55</v>
      </c>
      <c r="R1883">
        <v>12027692</v>
      </c>
    </row>
    <row r="1884" spans="1:18" x14ac:dyDescent="0.25">
      <c r="A1884" s="170">
        <v>44776</v>
      </c>
      <c r="B1884" s="116">
        <v>69.010000000000005</v>
      </c>
      <c r="C1884" s="116">
        <v>68.2</v>
      </c>
      <c r="D1884" s="116">
        <v>64.180000000000007</v>
      </c>
      <c r="E1884" s="116">
        <v>65.7</v>
      </c>
      <c r="F1884" s="116">
        <v>341</v>
      </c>
      <c r="G1884">
        <v>3469968</v>
      </c>
      <c r="H1884" s="116"/>
      <c r="I1884" s="116"/>
      <c r="L1884" s="170">
        <v>44776</v>
      </c>
      <c r="M1884" s="116">
        <v>67.92</v>
      </c>
      <c r="N1884" s="116">
        <v>68.989999999999995</v>
      </c>
      <c r="O1884" s="116">
        <v>64.260000000000005</v>
      </c>
      <c r="P1884" s="116">
        <v>65.98</v>
      </c>
      <c r="Q1884" s="116">
        <v>339.6</v>
      </c>
      <c r="R1884">
        <v>22014140</v>
      </c>
    </row>
    <row r="1885" spans="1:18" x14ac:dyDescent="0.25">
      <c r="A1885" s="170">
        <v>44777</v>
      </c>
      <c r="B1885" s="116">
        <v>70.8</v>
      </c>
      <c r="C1885" s="116">
        <v>69.42</v>
      </c>
      <c r="D1885" s="116">
        <v>67.12</v>
      </c>
      <c r="E1885" s="116">
        <v>68.959999999999994</v>
      </c>
      <c r="F1885" s="116">
        <v>347.1</v>
      </c>
      <c r="G1885">
        <v>3108692</v>
      </c>
      <c r="H1885" s="116"/>
      <c r="I1885" s="116"/>
      <c r="L1885" s="170">
        <v>44777</v>
      </c>
      <c r="M1885" s="116">
        <v>69.45</v>
      </c>
      <c r="N1885" s="116">
        <v>70.8</v>
      </c>
      <c r="O1885" s="116">
        <v>67.2</v>
      </c>
      <c r="P1885" s="116">
        <v>68.989999999999995</v>
      </c>
      <c r="Q1885" s="116">
        <v>347.25</v>
      </c>
      <c r="R1885">
        <v>24080322</v>
      </c>
    </row>
    <row r="1886" spans="1:18" x14ac:dyDescent="0.25">
      <c r="A1886" s="170">
        <v>44778</v>
      </c>
      <c r="B1886" s="116">
        <v>69.239999999999995</v>
      </c>
      <c r="C1886" s="116">
        <v>66.349999999999994</v>
      </c>
      <c r="D1886" s="116">
        <v>65.95</v>
      </c>
      <c r="E1886" s="116">
        <v>69.16</v>
      </c>
      <c r="F1886" s="116">
        <v>331.75</v>
      </c>
      <c r="G1886">
        <v>805287</v>
      </c>
      <c r="H1886" s="116"/>
      <c r="I1886" s="116"/>
      <c r="L1886" s="170">
        <v>44778</v>
      </c>
      <c r="M1886" s="116">
        <v>66.41</v>
      </c>
      <c r="N1886" s="116">
        <v>69.28</v>
      </c>
      <c r="O1886" s="116">
        <v>65.98</v>
      </c>
      <c r="P1886" s="116">
        <v>69.14</v>
      </c>
      <c r="Q1886" s="116">
        <v>332.05</v>
      </c>
      <c r="R1886">
        <v>11631810</v>
      </c>
    </row>
    <row r="1887" spans="1:18" x14ac:dyDescent="0.25">
      <c r="A1887" s="170">
        <v>44781</v>
      </c>
      <c r="B1887" s="116">
        <v>66.849999999999994</v>
      </c>
      <c r="C1887" s="116">
        <v>65.72</v>
      </c>
      <c r="D1887" s="116">
        <v>64.44</v>
      </c>
      <c r="E1887" s="116">
        <v>66.2</v>
      </c>
      <c r="F1887" s="116">
        <v>328.6</v>
      </c>
      <c r="G1887">
        <v>858134</v>
      </c>
      <c r="H1887" s="116"/>
      <c r="I1887" s="116"/>
      <c r="L1887" s="170">
        <v>44781</v>
      </c>
      <c r="M1887" s="116">
        <v>65.72</v>
      </c>
      <c r="N1887" s="116">
        <v>66.930000000000007</v>
      </c>
      <c r="O1887" s="116">
        <v>64.41</v>
      </c>
      <c r="P1887" s="116">
        <v>65.680000000000007</v>
      </c>
      <c r="Q1887" s="116">
        <v>328.6</v>
      </c>
      <c r="R1887">
        <v>9539478</v>
      </c>
    </row>
    <row r="1888" spans="1:18" x14ac:dyDescent="0.25">
      <c r="A1888" s="170">
        <v>44783</v>
      </c>
      <c r="B1888" s="116">
        <v>68.37</v>
      </c>
      <c r="C1888" s="116">
        <v>67.95</v>
      </c>
      <c r="D1888" s="116">
        <v>65.72</v>
      </c>
      <c r="E1888" s="116">
        <v>65.72</v>
      </c>
      <c r="F1888" s="116">
        <v>339.75</v>
      </c>
      <c r="G1888">
        <v>727122</v>
      </c>
      <c r="H1888" s="116"/>
      <c r="I1888" s="116"/>
      <c r="L1888" s="170">
        <v>44783</v>
      </c>
      <c r="M1888" s="116">
        <v>67.95</v>
      </c>
      <c r="N1888" s="116">
        <v>68.38</v>
      </c>
      <c r="O1888" s="116">
        <v>65.819999999999993</v>
      </c>
      <c r="P1888" s="116">
        <v>66.14</v>
      </c>
      <c r="Q1888" s="116">
        <v>339.75</v>
      </c>
      <c r="R1888">
        <v>11762358</v>
      </c>
    </row>
    <row r="1889" spans="1:18" x14ac:dyDescent="0.25">
      <c r="A1889" s="170">
        <v>44784</v>
      </c>
      <c r="B1889" s="116">
        <v>69.78</v>
      </c>
      <c r="C1889" s="116">
        <v>68.430000000000007</v>
      </c>
      <c r="D1889" s="116">
        <v>68.2</v>
      </c>
      <c r="E1889" s="116">
        <v>68.400000000000006</v>
      </c>
      <c r="F1889" s="116">
        <v>342.15</v>
      </c>
      <c r="G1889">
        <v>1146005</v>
      </c>
      <c r="H1889" s="116"/>
      <c r="I1889" s="116"/>
      <c r="L1889" s="170">
        <v>44784</v>
      </c>
      <c r="M1889" s="116">
        <v>68.48</v>
      </c>
      <c r="N1889" s="116">
        <v>69.78</v>
      </c>
      <c r="O1889" s="116">
        <v>68.23</v>
      </c>
      <c r="P1889" s="116">
        <v>68.56</v>
      </c>
      <c r="Q1889" s="116">
        <v>342.4</v>
      </c>
      <c r="R1889">
        <v>8225491</v>
      </c>
    </row>
    <row r="1890" spans="1:18" x14ac:dyDescent="0.25">
      <c r="A1890" s="170">
        <v>44785</v>
      </c>
      <c r="B1890" s="116">
        <v>69.760000000000005</v>
      </c>
      <c r="C1890" s="116">
        <v>69.02</v>
      </c>
      <c r="D1890" s="116">
        <v>68.53</v>
      </c>
      <c r="E1890" s="116">
        <v>68.849999999999994</v>
      </c>
      <c r="F1890" s="116">
        <v>345.1</v>
      </c>
      <c r="G1890">
        <v>395168</v>
      </c>
      <c r="H1890" s="116"/>
      <c r="I1890" s="116"/>
      <c r="L1890" s="170">
        <v>44785</v>
      </c>
      <c r="M1890" s="116">
        <v>69.03</v>
      </c>
      <c r="N1890" s="116">
        <v>69.77</v>
      </c>
      <c r="O1890" s="116">
        <v>68.5</v>
      </c>
      <c r="P1890" s="116">
        <v>68.599999999999994</v>
      </c>
      <c r="Q1890" s="116">
        <v>345.15</v>
      </c>
      <c r="R1890">
        <v>6973783</v>
      </c>
    </row>
    <row r="1891" spans="1:18" x14ac:dyDescent="0.25">
      <c r="A1891" s="170">
        <v>44789</v>
      </c>
      <c r="B1891" s="116">
        <v>72.47</v>
      </c>
      <c r="C1891" s="116">
        <v>72.459999999999994</v>
      </c>
      <c r="D1891" s="116">
        <v>69.75</v>
      </c>
      <c r="E1891" s="116">
        <v>69.75</v>
      </c>
      <c r="F1891" s="116">
        <v>362.3</v>
      </c>
      <c r="G1891">
        <v>1865212</v>
      </c>
      <c r="H1891" s="116"/>
      <c r="I1891" s="116"/>
      <c r="L1891" s="170">
        <v>44789</v>
      </c>
      <c r="M1891" s="116">
        <v>72.47</v>
      </c>
      <c r="N1891" s="116">
        <v>72.48</v>
      </c>
      <c r="O1891" s="116">
        <v>69.8</v>
      </c>
      <c r="P1891" s="116">
        <v>69.8</v>
      </c>
      <c r="Q1891" s="116">
        <v>362.35</v>
      </c>
      <c r="R1891">
        <v>22780049</v>
      </c>
    </row>
    <row r="1892" spans="1:18" x14ac:dyDescent="0.25">
      <c r="A1892" s="170">
        <v>44790</v>
      </c>
      <c r="B1892" s="116">
        <v>76.08</v>
      </c>
      <c r="C1892" s="116">
        <v>76.08</v>
      </c>
      <c r="D1892" s="116">
        <v>73.290000000000006</v>
      </c>
      <c r="E1892" s="116">
        <v>73.400000000000006</v>
      </c>
      <c r="F1892" s="116">
        <v>380.4</v>
      </c>
      <c r="G1892">
        <v>1943243</v>
      </c>
      <c r="H1892" s="116"/>
      <c r="I1892" s="116"/>
      <c r="L1892" s="170">
        <v>44790</v>
      </c>
      <c r="M1892" s="116">
        <v>76.09</v>
      </c>
      <c r="N1892" s="116">
        <v>76.09</v>
      </c>
      <c r="O1892" s="116">
        <v>73.25</v>
      </c>
      <c r="P1892" s="116">
        <v>73.400000000000006</v>
      </c>
      <c r="Q1892" s="116">
        <v>380.45</v>
      </c>
      <c r="R1892">
        <v>20461889</v>
      </c>
    </row>
    <row r="1893" spans="1:18" x14ac:dyDescent="0.25">
      <c r="A1893" s="170">
        <v>44791</v>
      </c>
      <c r="B1893" s="116">
        <v>79.88</v>
      </c>
      <c r="C1893" s="116">
        <v>79.88</v>
      </c>
      <c r="D1893" s="116">
        <v>77.58</v>
      </c>
      <c r="E1893" s="116">
        <v>78</v>
      </c>
      <c r="F1893" s="116">
        <v>399.4</v>
      </c>
      <c r="G1893">
        <v>2020640</v>
      </c>
      <c r="H1893" s="116"/>
      <c r="I1893" s="116"/>
      <c r="L1893" s="170">
        <v>44791</v>
      </c>
      <c r="M1893" s="116">
        <v>79.89</v>
      </c>
      <c r="N1893" s="116">
        <v>79.89</v>
      </c>
      <c r="O1893" s="116">
        <v>77.709999999999994</v>
      </c>
      <c r="P1893" s="116">
        <v>77.900000000000006</v>
      </c>
      <c r="Q1893" s="116">
        <v>399.45</v>
      </c>
      <c r="R1893">
        <v>25713957</v>
      </c>
    </row>
    <row r="1894" spans="1:18" x14ac:dyDescent="0.25">
      <c r="A1894" s="170">
        <v>44792</v>
      </c>
      <c r="B1894" s="116">
        <v>83.8</v>
      </c>
      <c r="C1894" s="116">
        <v>82.44</v>
      </c>
      <c r="D1894" s="116">
        <v>78.260000000000005</v>
      </c>
      <c r="E1894" s="116">
        <v>81.540000000000006</v>
      </c>
      <c r="F1894" s="116">
        <v>412.2</v>
      </c>
      <c r="G1894">
        <v>2261756</v>
      </c>
      <c r="H1894" s="116"/>
      <c r="I1894" s="116"/>
      <c r="L1894" s="170">
        <v>44792</v>
      </c>
      <c r="M1894" s="116">
        <v>82.39</v>
      </c>
      <c r="N1894" s="116">
        <v>83.77</v>
      </c>
      <c r="O1894" s="116">
        <v>78.23</v>
      </c>
      <c r="P1894" s="116">
        <v>81.540000000000006</v>
      </c>
      <c r="Q1894" s="116">
        <v>411.95</v>
      </c>
      <c r="R1894">
        <v>34688719</v>
      </c>
    </row>
    <row r="1895" spans="1:18" x14ac:dyDescent="0.25">
      <c r="A1895" s="170">
        <v>44795</v>
      </c>
      <c r="B1895" s="116">
        <v>86.56</v>
      </c>
      <c r="C1895" s="116">
        <v>86.56</v>
      </c>
      <c r="D1895" s="116">
        <v>83.8</v>
      </c>
      <c r="E1895" s="116">
        <v>84.04</v>
      </c>
      <c r="F1895" s="116">
        <v>432.8</v>
      </c>
      <c r="G1895">
        <v>5059319</v>
      </c>
      <c r="H1895" s="116"/>
      <c r="I1895" s="116"/>
      <c r="L1895" s="170">
        <v>44795</v>
      </c>
      <c r="M1895" s="116">
        <v>86.5</v>
      </c>
      <c r="N1895" s="116">
        <v>86.5</v>
      </c>
      <c r="O1895" s="116">
        <v>83.88</v>
      </c>
      <c r="P1895" s="116">
        <v>84.03</v>
      </c>
      <c r="Q1895" s="116">
        <v>432.5</v>
      </c>
      <c r="R1895">
        <v>24596270</v>
      </c>
    </row>
    <row r="1896" spans="1:18" x14ac:dyDescent="0.25">
      <c r="A1896" s="170">
        <v>44796</v>
      </c>
      <c r="B1896" s="116">
        <v>84.99</v>
      </c>
      <c r="C1896" s="116">
        <v>82.24</v>
      </c>
      <c r="D1896" s="116">
        <v>82.24</v>
      </c>
      <c r="E1896" s="116">
        <v>83.95</v>
      </c>
      <c r="F1896" s="116">
        <v>411.2</v>
      </c>
      <c r="G1896">
        <v>1894095</v>
      </c>
      <c r="H1896" s="116"/>
      <c r="I1896" s="116"/>
      <c r="L1896" s="170">
        <v>44796</v>
      </c>
      <c r="M1896" s="116">
        <v>82.18</v>
      </c>
      <c r="N1896" s="116">
        <v>84.98</v>
      </c>
      <c r="O1896" s="116">
        <v>82.18</v>
      </c>
      <c r="P1896" s="116">
        <v>84.2</v>
      </c>
      <c r="Q1896" s="116">
        <v>410.9</v>
      </c>
      <c r="R1896">
        <v>13387626</v>
      </c>
    </row>
    <row r="1897" spans="1:18" x14ac:dyDescent="0.25">
      <c r="A1897" s="170">
        <v>44797</v>
      </c>
      <c r="B1897" s="116">
        <v>78.13</v>
      </c>
      <c r="C1897" s="116">
        <v>78.13</v>
      </c>
      <c r="D1897" s="116">
        <v>78.13</v>
      </c>
      <c r="E1897" s="116">
        <v>78.13</v>
      </c>
      <c r="F1897" s="116">
        <v>390.65</v>
      </c>
      <c r="G1897">
        <v>186439</v>
      </c>
      <c r="H1897" s="116"/>
      <c r="I1897" s="116"/>
      <c r="L1897" s="170">
        <v>44797</v>
      </c>
      <c r="M1897" s="116">
        <v>78.08</v>
      </c>
      <c r="N1897" s="116">
        <v>78.08</v>
      </c>
      <c r="O1897" s="116">
        <v>78.08</v>
      </c>
      <c r="P1897" s="116">
        <v>78.08</v>
      </c>
      <c r="Q1897" s="116">
        <v>390.4</v>
      </c>
      <c r="R1897">
        <v>2043074</v>
      </c>
    </row>
    <row r="1898" spans="1:18" x14ac:dyDescent="0.25">
      <c r="A1898" s="170">
        <v>44798</v>
      </c>
      <c r="B1898" s="116">
        <v>81.8</v>
      </c>
      <c r="C1898" s="116">
        <v>78.41</v>
      </c>
      <c r="D1898" s="116">
        <v>74.23</v>
      </c>
      <c r="E1898" s="116">
        <v>74.23</v>
      </c>
      <c r="F1898" s="116">
        <v>392.05</v>
      </c>
      <c r="G1898">
        <v>1997110</v>
      </c>
      <c r="H1898" s="116"/>
      <c r="I1898" s="116"/>
      <c r="L1898" s="170">
        <v>44798</v>
      </c>
      <c r="M1898" s="116">
        <v>78.7</v>
      </c>
      <c r="N1898" s="116">
        <v>81.8</v>
      </c>
      <c r="O1898" s="116">
        <v>74.180000000000007</v>
      </c>
      <c r="P1898" s="116">
        <v>74.180000000000007</v>
      </c>
      <c r="Q1898" s="116">
        <v>393.5</v>
      </c>
      <c r="R1898">
        <v>7028189</v>
      </c>
    </row>
    <row r="1899" spans="1:18" x14ac:dyDescent="0.25">
      <c r="A1899" s="170">
        <v>44799</v>
      </c>
      <c r="B1899" s="116">
        <v>78.599999999999994</v>
      </c>
      <c r="C1899" s="116">
        <v>74.81</v>
      </c>
      <c r="D1899" s="116">
        <v>74.489999999999995</v>
      </c>
      <c r="E1899" s="116">
        <v>78.010000000000005</v>
      </c>
      <c r="F1899" s="116">
        <v>374.05</v>
      </c>
      <c r="G1899">
        <v>1025478</v>
      </c>
      <c r="H1899" s="116"/>
      <c r="I1899" s="116"/>
      <c r="L1899" s="170">
        <v>44799</v>
      </c>
      <c r="M1899" s="116">
        <v>75.099999999999994</v>
      </c>
      <c r="N1899" s="116">
        <v>78.7</v>
      </c>
      <c r="O1899" s="116">
        <v>74.77</v>
      </c>
      <c r="P1899" s="116">
        <v>78.7</v>
      </c>
      <c r="Q1899" s="116">
        <v>375.5</v>
      </c>
      <c r="R1899">
        <v>7038810</v>
      </c>
    </row>
    <row r="1900" spans="1:18" x14ac:dyDescent="0.25">
      <c r="A1900" s="170">
        <v>44802</v>
      </c>
      <c r="B1900" s="116">
        <v>78.55</v>
      </c>
      <c r="C1900" s="116">
        <v>78.55</v>
      </c>
      <c r="D1900" s="116">
        <v>71.099999999999994</v>
      </c>
      <c r="E1900" s="116">
        <v>71.400000000000006</v>
      </c>
      <c r="F1900" s="116">
        <v>392.75</v>
      </c>
      <c r="G1900">
        <v>548528</v>
      </c>
      <c r="H1900" s="116"/>
      <c r="I1900" s="116"/>
      <c r="L1900" s="170">
        <v>44802</v>
      </c>
      <c r="M1900" s="116">
        <v>78.849999999999994</v>
      </c>
      <c r="N1900" s="116">
        <v>78.849999999999994</v>
      </c>
      <c r="O1900" s="116">
        <v>71.349999999999994</v>
      </c>
      <c r="P1900" s="116">
        <v>72.010000000000005</v>
      </c>
      <c r="Q1900" s="116">
        <v>394.25</v>
      </c>
      <c r="R1900">
        <v>6146175</v>
      </c>
    </row>
    <row r="1901" spans="1:18" x14ac:dyDescent="0.25">
      <c r="A1901" s="170">
        <v>44803</v>
      </c>
      <c r="B1901" s="116">
        <v>82.47</v>
      </c>
      <c r="C1901" s="116">
        <v>82.47</v>
      </c>
      <c r="D1901" s="116">
        <v>79</v>
      </c>
      <c r="E1901" s="116">
        <v>79.599999999999994</v>
      </c>
      <c r="F1901" s="116">
        <v>412.35</v>
      </c>
      <c r="G1901">
        <v>517524</v>
      </c>
      <c r="H1901" s="116"/>
      <c r="I1901" s="116"/>
      <c r="L1901" s="170">
        <v>44803</v>
      </c>
      <c r="M1901" s="116">
        <v>82.79</v>
      </c>
      <c r="N1901" s="116">
        <v>82.79</v>
      </c>
      <c r="O1901" s="116">
        <v>79.09</v>
      </c>
      <c r="P1901" s="116">
        <v>80</v>
      </c>
      <c r="Q1901" s="116">
        <v>413.95</v>
      </c>
      <c r="R1901">
        <v>6755214</v>
      </c>
    </row>
    <row r="1902" spans="1:18" x14ac:dyDescent="0.25">
      <c r="A1902" s="170">
        <v>44805</v>
      </c>
      <c r="B1902" s="116">
        <v>84</v>
      </c>
      <c r="C1902" s="116">
        <v>81.760000000000005</v>
      </c>
      <c r="D1902" s="116">
        <v>80</v>
      </c>
      <c r="E1902" s="116">
        <v>83.2</v>
      </c>
      <c r="F1902" s="116">
        <v>408.8</v>
      </c>
      <c r="G1902">
        <v>506801</v>
      </c>
      <c r="H1902" s="116"/>
      <c r="I1902" s="116"/>
      <c r="L1902" s="170">
        <v>44805</v>
      </c>
      <c r="M1902" s="116">
        <v>81.7</v>
      </c>
      <c r="N1902" s="116">
        <v>83.77</v>
      </c>
      <c r="O1902" s="116">
        <v>80.010000000000005</v>
      </c>
      <c r="P1902" s="116">
        <v>83.4</v>
      </c>
      <c r="Q1902" s="116">
        <v>408.5</v>
      </c>
      <c r="R1902">
        <v>5302707</v>
      </c>
    </row>
    <row r="1903" spans="1:18" x14ac:dyDescent="0.25">
      <c r="A1903" s="170">
        <v>44806</v>
      </c>
      <c r="B1903" s="116">
        <v>83</v>
      </c>
      <c r="C1903" s="116">
        <v>80.19</v>
      </c>
      <c r="D1903" s="116">
        <v>79.95</v>
      </c>
      <c r="E1903" s="116">
        <v>81.87</v>
      </c>
      <c r="F1903" s="116">
        <v>400.95</v>
      </c>
      <c r="G1903">
        <v>692557</v>
      </c>
      <c r="H1903" s="116"/>
      <c r="I1903" s="116"/>
      <c r="L1903" s="170">
        <v>44806</v>
      </c>
      <c r="M1903" s="116">
        <v>80.25</v>
      </c>
      <c r="N1903" s="116">
        <v>83</v>
      </c>
      <c r="O1903" s="116">
        <v>80</v>
      </c>
      <c r="P1903" s="116">
        <v>82.67</v>
      </c>
      <c r="Q1903" s="116">
        <v>401.25</v>
      </c>
      <c r="R1903">
        <v>2852897</v>
      </c>
    </row>
    <row r="1904" spans="1:18" x14ac:dyDescent="0.25">
      <c r="A1904" s="170">
        <v>44809</v>
      </c>
      <c r="B1904" s="116">
        <v>81.599999999999994</v>
      </c>
      <c r="C1904" s="116">
        <v>78.06</v>
      </c>
      <c r="D1904" s="116">
        <v>77.2</v>
      </c>
      <c r="E1904" s="116">
        <v>80</v>
      </c>
      <c r="F1904" s="116">
        <v>390.3</v>
      </c>
      <c r="G1904">
        <v>437039</v>
      </c>
      <c r="H1904" s="116"/>
      <c r="I1904" s="116"/>
      <c r="L1904" s="170">
        <v>44809</v>
      </c>
      <c r="M1904" s="116">
        <v>77.97</v>
      </c>
      <c r="N1904" s="116">
        <v>81.400000000000006</v>
      </c>
      <c r="O1904" s="116">
        <v>77.11</v>
      </c>
      <c r="P1904" s="116">
        <v>80.73</v>
      </c>
      <c r="Q1904" s="116">
        <v>389.85</v>
      </c>
      <c r="R1904">
        <v>3344426</v>
      </c>
    </row>
    <row r="1905" spans="1:18" x14ac:dyDescent="0.25">
      <c r="A1905" s="170">
        <v>44810</v>
      </c>
      <c r="B1905" s="116">
        <v>81.96</v>
      </c>
      <c r="C1905" s="116">
        <v>81.62</v>
      </c>
      <c r="D1905" s="116">
        <v>77.400000000000006</v>
      </c>
      <c r="E1905" s="116">
        <v>77.81</v>
      </c>
      <c r="F1905" s="116">
        <v>408.1</v>
      </c>
      <c r="G1905">
        <v>991237</v>
      </c>
      <c r="H1905" s="116"/>
      <c r="I1905" s="116"/>
      <c r="L1905" s="170">
        <v>44810</v>
      </c>
      <c r="M1905" s="116">
        <v>81.55</v>
      </c>
      <c r="N1905" s="116">
        <v>81.86</v>
      </c>
      <c r="O1905" s="116">
        <v>77.2</v>
      </c>
      <c r="P1905" s="116">
        <v>78.400000000000006</v>
      </c>
      <c r="Q1905" s="116">
        <v>407.75</v>
      </c>
      <c r="R1905">
        <v>3907288</v>
      </c>
    </row>
    <row r="1906" spans="1:18" x14ac:dyDescent="0.25">
      <c r="A1906" s="170">
        <v>44811</v>
      </c>
      <c r="B1906" s="116">
        <v>83</v>
      </c>
      <c r="C1906" s="116">
        <v>81.209999999999994</v>
      </c>
      <c r="D1906" s="116">
        <v>80</v>
      </c>
      <c r="E1906" s="116">
        <v>81.28</v>
      </c>
      <c r="F1906" s="116">
        <v>406.05</v>
      </c>
      <c r="G1906">
        <v>567694</v>
      </c>
      <c r="H1906" s="116"/>
      <c r="I1906" s="116"/>
      <c r="L1906" s="170">
        <v>44811</v>
      </c>
      <c r="M1906" s="116">
        <v>81.260000000000005</v>
      </c>
      <c r="N1906" s="116">
        <v>83.15</v>
      </c>
      <c r="O1906" s="116">
        <v>80.25</v>
      </c>
      <c r="P1906" s="116">
        <v>80.94</v>
      </c>
      <c r="Q1906" s="116">
        <v>406.3</v>
      </c>
      <c r="R1906">
        <v>2901689</v>
      </c>
    </row>
    <row r="1907" spans="1:18" x14ac:dyDescent="0.25">
      <c r="A1907" s="170">
        <v>44812</v>
      </c>
      <c r="B1907" s="116">
        <v>82.6</v>
      </c>
      <c r="C1907" s="116">
        <v>80.31</v>
      </c>
      <c r="D1907" s="116">
        <v>79.239999999999995</v>
      </c>
      <c r="E1907" s="116">
        <v>81.599999999999994</v>
      </c>
      <c r="F1907" s="116">
        <v>401.55</v>
      </c>
      <c r="G1907">
        <v>227128</v>
      </c>
      <c r="H1907" s="116"/>
      <c r="I1907" s="116"/>
      <c r="L1907" s="170">
        <v>44812</v>
      </c>
      <c r="M1907" s="116">
        <v>80.38</v>
      </c>
      <c r="N1907" s="116">
        <v>82.7</v>
      </c>
      <c r="O1907" s="116">
        <v>79.8</v>
      </c>
      <c r="P1907" s="116">
        <v>82.6</v>
      </c>
      <c r="Q1907" s="116">
        <v>401.9</v>
      </c>
      <c r="R1907">
        <v>2271073</v>
      </c>
    </row>
    <row r="1908" spans="1:18" x14ac:dyDescent="0.25">
      <c r="A1908" s="170">
        <v>44813</v>
      </c>
      <c r="B1908" s="116">
        <v>81.150000000000006</v>
      </c>
      <c r="C1908" s="116">
        <v>79.44</v>
      </c>
      <c r="D1908" s="116">
        <v>79</v>
      </c>
      <c r="E1908" s="116">
        <v>80.62</v>
      </c>
      <c r="F1908" s="116">
        <v>397.2</v>
      </c>
      <c r="G1908">
        <v>247194</v>
      </c>
      <c r="H1908" s="116"/>
      <c r="I1908" s="116"/>
      <c r="L1908" s="170">
        <v>44813</v>
      </c>
      <c r="M1908" s="116">
        <v>79.400000000000006</v>
      </c>
      <c r="N1908" s="116">
        <v>81.37</v>
      </c>
      <c r="O1908" s="116">
        <v>79</v>
      </c>
      <c r="P1908" s="116">
        <v>81.150000000000006</v>
      </c>
      <c r="Q1908" s="116">
        <v>397</v>
      </c>
      <c r="R1908">
        <v>2420630</v>
      </c>
    </row>
    <row r="1909" spans="1:18" x14ac:dyDescent="0.25">
      <c r="A1909" s="170">
        <v>44816</v>
      </c>
      <c r="B1909" s="116">
        <v>80.7</v>
      </c>
      <c r="C1909" s="116">
        <v>79.540000000000006</v>
      </c>
      <c r="D1909" s="116">
        <v>78.41</v>
      </c>
      <c r="E1909" s="116">
        <v>79.95</v>
      </c>
      <c r="F1909" s="116">
        <v>397.7</v>
      </c>
      <c r="G1909">
        <v>507164</v>
      </c>
      <c r="H1909" s="116"/>
      <c r="I1909" s="116"/>
      <c r="L1909" s="170">
        <v>44816</v>
      </c>
      <c r="M1909" s="116">
        <v>79.52</v>
      </c>
      <c r="N1909" s="116">
        <v>80.58</v>
      </c>
      <c r="O1909" s="116">
        <v>79.099999999999994</v>
      </c>
      <c r="P1909" s="116">
        <v>80.400000000000006</v>
      </c>
      <c r="Q1909" s="116">
        <v>397.6</v>
      </c>
      <c r="R1909">
        <v>2022749</v>
      </c>
    </row>
    <row r="1910" spans="1:18" x14ac:dyDescent="0.25">
      <c r="A1910" s="170">
        <v>44817</v>
      </c>
      <c r="B1910" s="116">
        <v>80.38</v>
      </c>
      <c r="C1910" s="116">
        <v>78.7</v>
      </c>
      <c r="D1910" s="116">
        <v>78.41</v>
      </c>
      <c r="E1910" s="116">
        <v>79.63</v>
      </c>
      <c r="F1910" s="116">
        <v>393.5</v>
      </c>
      <c r="G1910">
        <v>388901</v>
      </c>
      <c r="H1910" s="116"/>
      <c r="I1910" s="116"/>
      <c r="L1910" s="170">
        <v>44817</v>
      </c>
      <c r="M1910" s="116">
        <v>78.72</v>
      </c>
      <c r="N1910" s="116">
        <v>80.099999999999994</v>
      </c>
      <c r="O1910" s="116">
        <v>78.5</v>
      </c>
      <c r="P1910" s="116">
        <v>80.099999999999994</v>
      </c>
      <c r="Q1910" s="116">
        <v>393.6</v>
      </c>
      <c r="R1910">
        <v>2257842</v>
      </c>
    </row>
    <row r="1911" spans="1:18" x14ac:dyDescent="0.25">
      <c r="A1911" s="170">
        <v>44818</v>
      </c>
      <c r="B1911" s="116">
        <v>79.959999999999994</v>
      </c>
      <c r="C1911" s="116">
        <v>77.02</v>
      </c>
      <c r="D1911" s="116">
        <v>76.48</v>
      </c>
      <c r="E1911" s="116">
        <v>77.400000000000006</v>
      </c>
      <c r="F1911" s="116">
        <v>385.1</v>
      </c>
      <c r="G1911">
        <v>373680</v>
      </c>
      <c r="H1911" s="116"/>
      <c r="I1911" s="116"/>
      <c r="L1911" s="170">
        <v>44818</v>
      </c>
      <c r="M1911" s="116">
        <v>76.91</v>
      </c>
      <c r="N1911" s="116">
        <v>79.400000000000006</v>
      </c>
      <c r="O1911" s="116">
        <v>76.66</v>
      </c>
      <c r="P1911" s="116">
        <v>77.150000000000006</v>
      </c>
      <c r="Q1911" s="116">
        <v>384.55</v>
      </c>
      <c r="R1911">
        <v>3469526</v>
      </c>
    </row>
    <row r="1912" spans="1:18" x14ac:dyDescent="0.25">
      <c r="A1912" s="170">
        <v>44819</v>
      </c>
      <c r="B1912" s="116">
        <v>79.98</v>
      </c>
      <c r="C1912" s="116">
        <v>79.680000000000007</v>
      </c>
      <c r="D1912" s="116">
        <v>76.5</v>
      </c>
      <c r="E1912" s="116">
        <v>77.2</v>
      </c>
      <c r="F1912" s="116">
        <v>398.4</v>
      </c>
      <c r="G1912">
        <v>532595</v>
      </c>
      <c r="H1912" s="116"/>
      <c r="I1912" s="116"/>
      <c r="L1912" s="170">
        <v>44819</v>
      </c>
      <c r="M1912" s="116">
        <v>79.84</v>
      </c>
      <c r="N1912" s="116">
        <v>79.989999999999995</v>
      </c>
      <c r="O1912" s="116">
        <v>76.599999999999994</v>
      </c>
      <c r="P1912" s="116">
        <v>77.900000000000006</v>
      </c>
      <c r="Q1912" s="116">
        <v>399.2</v>
      </c>
      <c r="R1912">
        <v>2988397</v>
      </c>
    </row>
    <row r="1913" spans="1:18" x14ac:dyDescent="0.25">
      <c r="A1913" s="170">
        <v>44820</v>
      </c>
      <c r="B1913" s="116">
        <v>79.56</v>
      </c>
      <c r="C1913" s="116">
        <v>77.56</v>
      </c>
      <c r="D1913" s="116">
        <v>76.599999999999994</v>
      </c>
      <c r="E1913" s="116">
        <v>79.400000000000006</v>
      </c>
      <c r="F1913" s="116">
        <v>387.8</v>
      </c>
      <c r="G1913">
        <v>227631</v>
      </c>
      <c r="H1913" s="116"/>
      <c r="I1913" s="116"/>
      <c r="L1913" s="170">
        <v>44820</v>
      </c>
      <c r="M1913" s="116">
        <v>77.55</v>
      </c>
      <c r="N1913" s="116">
        <v>79.98</v>
      </c>
      <c r="O1913" s="116">
        <v>76.599999999999994</v>
      </c>
      <c r="P1913" s="116">
        <v>79.8</v>
      </c>
      <c r="Q1913" s="116">
        <v>387.75</v>
      </c>
      <c r="R1913">
        <v>2709516</v>
      </c>
    </row>
    <row r="1914" spans="1:18" x14ac:dyDescent="0.25">
      <c r="A1914" s="170">
        <v>44823</v>
      </c>
      <c r="B1914" s="116">
        <v>79</v>
      </c>
      <c r="C1914" s="116">
        <v>77.95</v>
      </c>
      <c r="D1914" s="116">
        <v>76.31</v>
      </c>
      <c r="E1914" s="116">
        <v>77.52</v>
      </c>
      <c r="F1914" s="116">
        <v>389.75</v>
      </c>
      <c r="G1914">
        <v>1611804</v>
      </c>
      <c r="H1914" s="116"/>
      <c r="I1914" s="116"/>
      <c r="L1914" s="170">
        <v>44823</v>
      </c>
      <c r="M1914" s="116">
        <v>78.37</v>
      </c>
      <c r="N1914" s="116">
        <v>78.95</v>
      </c>
      <c r="O1914" s="116">
        <v>76.8</v>
      </c>
      <c r="P1914" s="116">
        <v>78</v>
      </c>
      <c r="Q1914" s="116">
        <v>391.85</v>
      </c>
      <c r="R1914">
        <v>2823886</v>
      </c>
    </row>
    <row r="1915" spans="1:18" x14ac:dyDescent="0.25">
      <c r="A1915" s="170">
        <v>44824</v>
      </c>
      <c r="B1915" s="116">
        <v>81.8</v>
      </c>
      <c r="C1915" s="116">
        <v>79.599999999999994</v>
      </c>
      <c r="D1915" s="116">
        <v>77.44</v>
      </c>
      <c r="E1915" s="116">
        <v>78</v>
      </c>
      <c r="F1915" s="116">
        <v>398</v>
      </c>
      <c r="G1915">
        <v>429228</v>
      </c>
      <c r="H1915" s="116"/>
      <c r="I1915" s="116"/>
      <c r="L1915" s="170">
        <v>44824</v>
      </c>
      <c r="M1915" s="116">
        <v>79.650000000000006</v>
      </c>
      <c r="N1915" s="116">
        <v>81.83</v>
      </c>
      <c r="O1915" s="116">
        <v>77.650000000000006</v>
      </c>
      <c r="P1915" s="116">
        <v>78.599999999999994</v>
      </c>
      <c r="Q1915" s="116">
        <v>398.25</v>
      </c>
      <c r="R1915">
        <v>3996416</v>
      </c>
    </row>
    <row r="1916" spans="1:18" x14ac:dyDescent="0.25">
      <c r="A1916" s="170">
        <v>44825</v>
      </c>
      <c r="B1916" s="116">
        <v>81.400000000000006</v>
      </c>
      <c r="C1916" s="116">
        <v>78.099999999999994</v>
      </c>
      <c r="D1916" s="116">
        <v>76.75</v>
      </c>
      <c r="E1916" s="116">
        <v>79.27</v>
      </c>
      <c r="F1916" s="116">
        <v>390.5</v>
      </c>
      <c r="G1916">
        <v>318266</v>
      </c>
      <c r="H1916" s="116"/>
      <c r="I1916" s="116"/>
      <c r="L1916" s="170">
        <v>44825</v>
      </c>
      <c r="M1916" s="116">
        <v>78.099999999999994</v>
      </c>
      <c r="N1916" s="116">
        <v>81</v>
      </c>
      <c r="O1916" s="116">
        <v>76.8</v>
      </c>
      <c r="P1916" s="116">
        <v>79.78</v>
      </c>
      <c r="Q1916" s="116">
        <v>390.5</v>
      </c>
      <c r="R1916">
        <v>3388489</v>
      </c>
    </row>
    <row r="1917" spans="1:18" x14ac:dyDescent="0.25">
      <c r="A1917" s="170">
        <v>44826</v>
      </c>
      <c r="B1917" s="116">
        <v>79.98</v>
      </c>
      <c r="C1917" s="116">
        <v>79.11</v>
      </c>
      <c r="D1917" s="116">
        <v>76.599999999999994</v>
      </c>
      <c r="E1917" s="116">
        <v>77.2</v>
      </c>
      <c r="F1917" s="116">
        <v>395.55</v>
      </c>
      <c r="G1917">
        <v>344260</v>
      </c>
      <c r="H1917" s="116"/>
      <c r="I1917" s="116"/>
      <c r="L1917" s="170">
        <v>44826</v>
      </c>
      <c r="M1917" s="116">
        <v>79.25</v>
      </c>
      <c r="N1917" s="116">
        <v>80</v>
      </c>
      <c r="O1917" s="116">
        <v>76.680000000000007</v>
      </c>
      <c r="P1917" s="116">
        <v>77.599999999999994</v>
      </c>
      <c r="Q1917" s="116">
        <v>396.25</v>
      </c>
      <c r="R1917">
        <v>1971580</v>
      </c>
    </row>
    <row r="1918" spans="1:18" x14ac:dyDescent="0.25">
      <c r="A1918" s="170">
        <v>44827</v>
      </c>
      <c r="B1918" s="116">
        <v>79</v>
      </c>
      <c r="C1918" s="116">
        <v>77.16</v>
      </c>
      <c r="D1918" s="116">
        <v>76.599999999999994</v>
      </c>
      <c r="E1918" s="116">
        <v>78.010000000000005</v>
      </c>
      <c r="F1918" s="116">
        <v>385.8</v>
      </c>
      <c r="G1918">
        <v>242007</v>
      </c>
      <c r="H1918" s="116"/>
      <c r="I1918" s="116"/>
      <c r="L1918" s="170">
        <v>44827</v>
      </c>
      <c r="M1918" s="116">
        <v>77.12</v>
      </c>
      <c r="N1918" s="116">
        <v>79.400000000000006</v>
      </c>
      <c r="O1918" s="116">
        <v>76.77</v>
      </c>
      <c r="P1918" s="116">
        <v>79.25</v>
      </c>
      <c r="Q1918" s="116">
        <v>385.6</v>
      </c>
      <c r="R1918">
        <v>2420004</v>
      </c>
    </row>
    <row r="1919" spans="1:18" x14ac:dyDescent="0.25">
      <c r="A1919" s="170">
        <v>44830</v>
      </c>
      <c r="B1919" s="116">
        <v>76</v>
      </c>
      <c r="C1919" s="116">
        <v>73.34</v>
      </c>
      <c r="D1919" s="116">
        <v>73.31</v>
      </c>
      <c r="E1919" s="116">
        <v>75.61</v>
      </c>
      <c r="F1919" s="116">
        <v>366.7</v>
      </c>
      <c r="G1919">
        <v>707168</v>
      </c>
      <c r="H1919" s="116"/>
      <c r="I1919" s="116"/>
      <c r="L1919" s="170">
        <v>44830</v>
      </c>
      <c r="M1919" s="116">
        <v>73.3</v>
      </c>
      <c r="N1919" s="116">
        <v>76</v>
      </c>
      <c r="O1919" s="116">
        <v>73.27</v>
      </c>
      <c r="P1919" s="116">
        <v>76</v>
      </c>
      <c r="Q1919" s="116">
        <v>366.5</v>
      </c>
      <c r="R1919">
        <v>2988611</v>
      </c>
    </row>
    <row r="1920" spans="1:18" x14ac:dyDescent="0.25">
      <c r="A1920" s="170">
        <v>44831</v>
      </c>
      <c r="B1920" s="116">
        <v>76.400000000000006</v>
      </c>
      <c r="C1920" s="116">
        <v>74.37</v>
      </c>
      <c r="D1920" s="116">
        <v>72.25</v>
      </c>
      <c r="E1920" s="116">
        <v>72.25</v>
      </c>
      <c r="F1920" s="116">
        <v>371.85</v>
      </c>
      <c r="G1920">
        <v>395883</v>
      </c>
      <c r="H1920" s="116"/>
      <c r="I1920" s="116"/>
      <c r="L1920" s="170">
        <v>44831</v>
      </c>
      <c r="M1920" s="116">
        <v>74.510000000000005</v>
      </c>
      <c r="N1920" s="116">
        <v>76.599999999999994</v>
      </c>
      <c r="O1920" s="116">
        <v>72.400000000000006</v>
      </c>
      <c r="P1920" s="116">
        <v>72.790000000000006</v>
      </c>
      <c r="Q1920" s="116">
        <v>372.55</v>
      </c>
      <c r="R1920">
        <v>2339421</v>
      </c>
    </row>
    <row r="1921" spans="1:18" x14ac:dyDescent="0.25">
      <c r="A1921" s="170">
        <v>44832</v>
      </c>
      <c r="B1921" s="116">
        <v>76.38</v>
      </c>
      <c r="C1921" s="116">
        <v>73.540000000000006</v>
      </c>
      <c r="D1921" s="116">
        <v>73.010000000000005</v>
      </c>
      <c r="E1921" s="116">
        <v>73.569999999999993</v>
      </c>
      <c r="F1921" s="116">
        <v>367.7</v>
      </c>
      <c r="G1921">
        <v>139141</v>
      </c>
      <c r="H1921" s="116"/>
      <c r="I1921" s="116"/>
      <c r="L1921" s="170">
        <v>44832</v>
      </c>
      <c r="M1921" s="116">
        <v>73.55</v>
      </c>
      <c r="N1921" s="116">
        <v>76.41</v>
      </c>
      <c r="O1921" s="116">
        <v>73.2</v>
      </c>
      <c r="P1921" s="116">
        <v>74</v>
      </c>
      <c r="Q1921" s="116">
        <v>367.75</v>
      </c>
      <c r="R1921">
        <v>1676824</v>
      </c>
    </row>
    <row r="1922" spans="1:18" x14ac:dyDescent="0.25">
      <c r="A1922" s="170">
        <v>44833</v>
      </c>
      <c r="B1922" s="116">
        <v>76</v>
      </c>
      <c r="C1922" s="116">
        <v>73.75</v>
      </c>
      <c r="D1922" s="116">
        <v>73.41</v>
      </c>
      <c r="E1922" s="116">
        <v>74.430000000000007</v>
      </c>
      <c r="F1922" s="116">
        <v>368.75</v>
      </c>
      <c r="G1922">
        <v>125457</v>
      </c>
      <c r="H1922" s="116"/>
      <c r="I1922" s="116"/>
      <c r="L1922" s="170">
        <v>44833</v>
      </c>
      <c r="M1922" s="116">
        <v>73.89</v>
      </c>
      <c r="N1922" s="116">
        <v>75.98</v>
      </c>
      <c r="O1922" s="116">
        <v>73.5</v>
      </c>
      <c r="P1922" s="116">
        <v>74.94</v>
      </c>
      <c r="Q1922" s="116">
        <v>369.45</v>
      </c>
      <c r="R1922">
        <v>1385006</v>
      </c>
    </row>
    <row r="1923" spans="1:18" x14ac:dyDescent="0.25">
      <c r="A1923" s="170">
        <v>44834</v>
      </c>
      <c r="B1923" s="116">
        <v>75.400000000000006</v>
      </c>
      <c r="C1923" s="116">
        <v>74.760000000000005</v>
      </c>
      <c r="D1923" s="116">
        <v>73</v>
      </c>
      <c r="E1923" s="116">
        <v>73</v>
      </c>
      <c r="F1923" s="116">
        <v>373.8</v>
      </c>
      <c r="G1923">
        <v>127768</v>
      </c>
      <c r="H1923" s="116"/>
      <c r="I1923" s="116"/>
      <c r="L1923" s="170">
        <v>44834</v>
      </c>
      <c r="M1923" s="116">
        <v>74.7</v>
      </c>
      <c r="N1923" s="116">
        <v>75.2</v>
      </c>
      <c r="O1923" s="116">
        <v>73.2</v>
      </c>
      <c r="P1923" s="116">
        <v>73.2</v>
      </c>
      <c r="Q1923" s="116">
        <v>373.5</v>
      </c>
      <c r="R1923">
        <v>1690723</v>
      </c>
    </row>
    <row r="1924" spans="1:18" x14ac:dyDescent="0.25">
      <c r="A1924" s="170">
        <v>44837</v>
      </c>
      <c r="B1924" s="116">
        <v>75</v>
      </c>
      <c r="C1924" s="116">
        <v>71.03</v>
      </c>
      <c r="D1924" s="116">
        <v>71.03</v>
      </c>
      <c r="E1924" s="116">
        <v>74.11</v>
      </c>
      <c r="F1924" s="116">
        <v>355.15</v>
      </c>
      <c r="G1924">
        <v>371726</v>
      </c>
      <c r="H1924" s="116"/>
      <c r="I1924" s="116"/>
      <c r="L1924" s="170">
        <v>44837</v>
      </c>
      <c r="M1924" s="116">
        <v>70.97</v>
      </c>
      <c r="N1924" s="116">
        <v>75.14</v>
      </c>
      <c r="O1924" s="116">
        <v>70.97</v>
      </c>
      <c r="P1924" s="116">
        <v>75</v>
      </c>
      <c r="Q1924" s="116">
        <v>354.85</v>
      </c>
      <c r="R1924">
        <v>1931959</v>
      </c>
    </row>
    <row r="1925" spans="1:18" x14ac:dyDescent="0.25">
      <c r="A1925" s="170">
        <v>44838</v>
      </c>
      <c r="B1925" s="116">
        <v>73.8</v>
      </c>
      <c r="C1925" s="116">
        <v>70.540000000000006</v>
      </c>
      <c r="D1925" s="116">
        <v>67.510000000000005</v>
      </c>
      <c r="E1925" s="116">
        <v>71.88</v>
      </c>
      <c r="F1925" s="116">
        <v>352.7</v>
      </c>
      <c r="G1925">
        <v>331884</v>
      </c>
      <c r="H1925" s="116"/>
      <c r="I1925" s="116"/>
      <c r="L1925" s="170">
        <v>44838</v>
      </c>
      <c r="M1925" s="116">
        <v>70.5</v>
      </c>
      <c r="N1925" s="116">
        <v>73.599999999999994</v>
      </c>
      <c r="O1925" s="116">
        <v>67.430000000000007</v>
      </c>
      <c r="P1925" s="116">
        <v>72</v>
      </c>
      <c r="Q1925" s="116">
        <v>352.5</v>
      </c>
      <c r="R1925">
        <v>2779946</v>
      </c>
    </row>
    <row r="1926" spans="1:18" x14ac:dyDescent="0.25">
      <c r="A1926" s="170">
        <v>44840</v>
      </c>
      <c r="B1926" s="116">
        <v>74.06</v>
      </c>
      <c r="C1926" s="116">
        <v>74.06</v>
      </c>
      <c r="D1926" s="116">
        <v>70.599999999999994</v>
      </c>
      <c r="E1926" s="116">
        <v>70.599999999999994</v>
      </c>
      <c r="F1926" s="116">
        <v>370.3</v>
      </c>
      <c r="G1926">
        <v>279262</v>
      </c>
      <c r="H1926" s="116"/>
      <c r="I1926" s="116"/>
      <c r="L1926" s="170">
        <v>44840</v>
      </c>
      <c r="M1926" s="116">
        <v>74.02</v>
      </c>
      <c r="N1926" s="116">
        <v>74.02</v>
      </c>
      <c r="O1926" s="116">
        <v>70.709999999999994</v>
      </c>
      <c r="P1926" s="116">
        <v>70.95</v>
      </c>
      <c r="Q1926" s="116">
        <v>370.1</v>
      </c>
      <c r="R1926">
        <v>1994184</v>
      </c>
    </row>
    <row r="1927" spans="1:18" x14ac:dyDescent="0.25">
      <c r="A1927" s="170">
        <v>44841</v>
      </c>
      <c r="B1927" s="116">
        <v>76.59</v>
      </c>
      <c r="C1927" s="116">
        <v>74.430000000000007</v>
      </c>
      <c r="D1927" s="116">
        <v>73.05</v>
      </c>
      <c r="E1927" s="116">
        <v>74.84</v>
      </c>
      <c r="F1927" s="116">
        <v>372.15</v>
      </c>
      <c r="G1927">
        <v>287140</v>
      </c>
      <c r="H1927" s="116"/>
      <c r="I1927" s="116"/>
      <c r="L1927" s="170">
        <v>44841</v>
      </c>
      <c r="M1927" s="116">
        <v>74.569999999999993</v>
      </c>
      <c r="N1927" s="116">
        <v>75.56</v>
      </c>
      <c r="O1927" s="116">
        <v>73.06</v>
      </c>
      <c r="P1927" s="116">
        <v>74.98</v>
      </c>
      <c r="Q1927" s="116">
        <v>372.85</v>
      </c>
      <c r="R1927">
        <v>1879863</v>
      </c>
    </row>
    <row r="1928" spans="1:18" x14ac:dyDescent="0.25">
      <c r="A1928" s="170">
        <v>44844</v>
      </c>
      <c r="B1928" s="116">
        <v>74</v>
      </c>
      <c r="C1928" s="116">
        <v>73.180000000000007</v>
      </c>
      <c r="D1928" s="116">
        <v>72.23</v>
      </c>
      <c r="E1928" s="116">
        <v>72.599999999999994</v>
      </c>
      <c r="F1928" s="116">
        <v>365.9</v>
      </c>
      <c r="G1928">
        <v>120457</v>
      </c>
      <c r="H1928" s="116"/>
      <c r="I1928" s="116"/>
      <c r="L1928" s="170">
        <v>44844</v>
      </c>
      <c r="M1928" s="116">
        <v>73.069999999999993</v>
      </c>
      <c r="N1928" s="116">
        <v>74.08</v>
      </c>
      <c r="O1928" s="116">
        <v>72.319999999999993</v>
      </c>
      <c r="P1928" s="116">
        <v>73.2</v>
      </c>
      <c r="Q1928" s="116">
        <v>365.35</v>
      </c>
      <c r="R1928">
        <v>1240213</v>
      </c>
    </row>
    <row r="1929" spans="1:18" x14ac:dyDescent="0.25">
      <c r="A1929" s="170">
        <v>44845</v>
      </c>
      <c r="B1929" s="116">
        <v>73.88</v>
      </c>
      <c r="C1929" s="116">
        <v>71.23</v>
      </c>
      <c r="D1929" s="116">
        <v>70.8</v>
      </c>
      <c r="E1929" s="116">
        <v>73.34</v>
      </c>
      <c r="F1929" s="116">
        <v>356.15</v>
      </c>
      <c r="G1929">
        <v>1150200</v>
      </c>
      <c r="H1929" s="116"/>
      <c r="I1929" s="116"/>
      <c r="L1929" s="170">
        <v>44845</v>
      </c>
      <c r="M1929" s="116">
        <v>71.37</v>
      </c>
      <c r="N1929" s="116">
        <v>73.989999999999995</v>
      </c>
      <c r="O1929" s="116">
        <v>70.900000000000006</v>
      </c>
      <c r="P1929" s="116">
        <v>73.989999999999995</v>
      </c>
      <c r="Q1929" s="116">
        <v>356.85</v>
      </c>
      <c r="R1929">
        <v>1291290</v>
      </c>
    </row>
    <row r="1930" spans="1:18" x14ac:dyDescent="0.25">
      <c r="A1930" s="170">
        <v>44846</v>
      </c>
      <c r="B1930" s="116">
        <v>72.540000000000006</v>
      </c>
      <c r="C1930" s="116">
        <v>71.31</v>
      </c>
      <c r="D1930" s="116">
        <v>68</v>
      </c>
      <c r="E1930" s="116">
        <v>70.599999999999994</v>
      </c>
      <c r="F1930" s="116">
        <v>356.55</v>
      </c>
      <c r="G1930">
        <v>173870</v>
      </c>
      <c r="H1930" s="116"/>
      <c r="I1930" s="116"/>
      <c r="L1930" s="170">
        <v>44846</v>
      </c>
      <c r="M1930" s="116">
        <v>71.36</v>
      </c>
      <c r="N1930" s="116">
        <v>72</v>
      </c>
      <c r="O1930" s="116">
        <v>68</v>
      </c>
      <c r="P1930" s="116">
        <v>71.37</v>
      </c>
      <c r="Q1930" s="116">
        <v>356.8</v>
      </c>
      <c r="R1930">
        <v>1955604</v>
      </c>
    </row>
    <row r="1931" spans="1:18" x14ac:dyDescent="0.25">
      <c r="A1931" s="170">
        <v>44847</v>
      </c>
      <c r="B1931" s="116">
        <v>71.36</v>
      </c>
      <c r="C1931" s="116">
        <v>69.489999999999995</v>
      </c>
      <c r="D1931" s="116">
        <v>68.2</v>
      </c>
      <c r="E1931" s="116">
        <v>71.12</v>
      </c>
      <c r="F1931" s="116">
        <v>347.45</v>
      </c>
      <c r="G1931">
        <v>121726</v>
      </c>
      <c r="H1931" s="116"/>
      <c r="I1931" s="116"/>
      <c r="L1931" s="170">
        <v>44847</v>
      </c>
      <c r="M1931" s="116">
        <v>69.37</v>
      </c>
      <c r="N1931" s="116">
        <v>71.39</v>
      </c>
      <c r="O1931" s="116">
        <v>68.34</v>
      </c>
      <c r="P1931" s="116">
        <v>71.39</v>
      </c>
      <c r="Q1931" s="116">
        <v>346.85</v>
      </c>
      <c r="R1931">
        <v>1634737</v>
      </c>
    </row>
    <row r="1932" spans="1:18" x14ac:dyDescent="0.25">
      <c r="A1932" s="170">
        <v>44848</v>
      </c>
      <c r="B1932" s="116">
        <v>71.86</v>
      </c>
      <c r="C1932" s="116">
        <v>66.42</v>
      </c>
      <c r="D1932" s="116">
        <v>66.02</v>
      </c>
      <c r="E1932" s="116">
        <v>70.45</v>
      </c>
      <c r="F1932" s="116">
        <v>332.1</v>
      </c>
      <c r="G1932">
        <v>445224</v>
      </c>
      <c r="H1932" s="116"/>
      <c r="I1932" s="116"/>
      <c r="L1932" s="170">
        <v>44848</v>
      </c>
      <c r="M1932" s="116">
        <v>66.25</v>
      </c>
      <c r="N1932" s="116">
        <v>71.77</v>
      </c>
      <c r="O1932" s="116">
        <v>65.91</v>
      </c>
      <c r="P1932" s="116">
        <v>71</v>
      </c>
      <c r="Q1932" s="116">
        <v>331.25</v>
      </c>
      <c r="R1932">
        <v>2538711</v>
      </c>
    </row>
    <row r="1933" spans="1:18" x14ac:dyDescent="0.25">
      <c r="A1933" s="170">
        <v>44851</v>
      </c>
      <c r="B1933" s="116">
        <v>68.400000000000006</v>
      </c>
      <c r="C1933" s="116">
        <v>67.91</v>
      </c>
      <c r="D1933" s="116">
        <v>63.21</v>
      </c>
      <c r="E1933" s="116">
        <v>65.67</v>
      </c>
      <c r="F1933" s="116">
        <v>339.55</v>
      </c>
      <c r="G1933">
        <v>1478142</v>
      </c>
      <c r="H1933" s="116"/>
      <c r="I1933" s="116"/>
      <c r="L1933" s="170">
        <v>44851</v>
      </c>
      <c r="M1933" s="116">
        <v>68.13</v>
      </c>
      <c r="N1933" s="116">
        <v>68.44</v>
      </c>
      <c r="O1933" s="116">
        <v>63.05</v>
      </c>
      <c r="P1933" s="116">
        <v>66</v>
      </c>
      <c r="Q1933" s="116">
        <v>340.65</v>
      </c>
      <c r="R1933">
        <v>2701207</v>
      </c>
    </row>
    <row r="1934" spans="1:18" x14ac:dyDescent="0.25">
      <c r="A1934" s="170">
        <v>44852</v>
      </c>
      <c r="B1934" s="116">
        <v>69.8</v>
      </c>
      <c r="C1934" s="116">
        <v>69.19</v>
      </c>
      <c r="D1934" s="116">
        <v>67.91</v>
      </c>
      <c r="E1934" s="116">
        <v>67.91</v>
      </c>
      <c r="F1934" s="116">
        <v>345.95</v>
      </c>
      <c r="G1934">
        <v>109642</v>
      </c>
      <c r="H1934" s="116"/>
      <c r="I1934" s="116"/>
      <c r="L1934" s="170">
        <v>44852</v>
      </c>
      <c r="M1934" s="116">
        <v>69.12</v>
      </c>
      <c r="N1934" s="116">
        <v>69.81</v>
      </c>
      <c r="O1934" s="116">
        <v>67.86</v>
      </c>
      <c r="P1934" s="116">
        <v>68.2</v>
      </c>
      <c r="Q1934" s="116">
        <v>345.6</v>
      </c>
      <c r="R1934">
        <v>1546923</v>
      </c>
    </row>
    <row r="1935" spans="1:18" x14ac:dyDescent="0.25">
      <c r="A1935" s="170">
        <v>44853</v>
      </c>
      <c r="B1935" s="116">
        <v>70</v>
      </c>
      <c r="C1935" s="116">
        <v>66.8</v>
      </c>
      <c r="D1935" s="116">
        <v>66.400000000000006</v>
      </c>
      <c r="E1935" s="116">
        <v>68.27</v>
      </c>
      <c r="F1935" s="116">
        <v>334</v>
      </c>
      <c r="G1935">
        <v>234892</v>
      </c>
      <c r="H1935" s="116"/>
      <c r="I1935" s="116"/>
      <c r="L1935" s="170">
        <v>44853</v>
      </c>
      <c r="M1935" s="116">
        <v>66.72</v>
      </c>
      <c r="N1935" s="116">
        <v>69.59</v>
      </c>
      <c r="O1935" s="116">
        <v>66.06</v>
      </c>
      <c r="P1935" s="116">
        <v>69.12</v>
      </c>
      <c r="Q1935" s="116">
        <v>333.6</v>
      </c>
      <c r="R1935">
        <v>1655056</v>
      </c>
    </row>
    <row r="1936" spans="1:18" x14ac:dyDescent="0.25">
      <c r="A1936" s="170">
        <v>44854</v>
      </c>
      <c r="B1936" s="116">
        <v>68</v>
      </c>
      <c r="C1936" s="116">
        <v>67.67</v>
      </c>
      <c r="D1936" s="116">
        <v>65.400000000000006</v>
      </c>
      <c r="E1936" s="116">
        <v>65.400000000000006</v>
      </c>
      <c r="F1936" s="116">
        <v>338.35</v>
      </c>
      <c r="G1936">
        <v>229741</v>
      </c>
      <c r="H1936" s="116"/>
      <c r="I1936" s="116"/>
      <c r="L1936" s="170">
        <v>44854</v>
      </c>
      <c r="M1936" s="116">
        <v>67.69</v>
      </c>
      <c r="N1936" s="116">
        <v>68</v>
      </c>
      <c r="O1936" s="116">
        <v>65.599999999999994</v>
      </c>
      <c r="P1936" s="116">
        <v>66.2</v>
      </c>
      <c r="Q1936" s="116">
        <v>338.45</v>
      </c>
      <c r="R1936">
        <v>1259259</v>
      </c>
    </row>
    <row r="1937" spans="1:18" x14ac:dyDescent="0.25">
      <c r="A1937" s="170">
        <v>44855</v>
      </c>
      <c r="B1937" s="116">
        <v>68.88</v>
      </c>
      <c r="C1937" s="116">
        <v>66.53</v>
      </c>
      <c r="D1937" s="116">
        <v>66.180000000000007</v>
      </c>
      <c r="E1937" s="116">
        <v>67.8</v>
      </c>
      <c r="F1937" s="116">
        <v>332.65</v>
      </c>
      <c r="G1937">
        <v>89693</v>
      </c>
      <c r="H1937" s="116"/>
      <c r="I1937" s="116"/>
      <c r="L1937" s="170">
        <v>44855</v>
      </c>
      <c r="M1937" s="116">
        <v>66.44</v>
      </c>
      <c r="N1937" s="116">
        <v>68.400000000000006</v>
      </c>
      <c r="O1937" s="116">
        <v>66</v>
      </c>
      <c r="P1937" s="116">
        <v>68.400000000000006</v>
      </c>
      <c r="Q1937" s="116">
        <v>332.2</v>
      </c>
      <c r="R1937">
        <v>1352136</v>
      </c>
    </row>
    <row r="1938" spans="1:18" x14ac:dyDescent="0.25">
      <c r="A1938" s="170">
        <v>44858</v>
      </c>
      <c r="B1938" s="116">
        <v>68</v>
      </c>
      <c r="C1938" s="116">
        <v>67.180000000000007</v>
      </c>
      <c r="D1938" s="116">
        <v>67</v>
      </c>
      <c r="E1938" s="116">
        <v>67.05</v>
      </c>
      <c r="F1938" s="116">
        <v>335.9</v>
      </c>
      <c r="G1938">
        <v>110232</v>
      </c>
      <c r="H1938" s="116"/>
      <c r="I1938" s="116"/>
      <c r="L1938" s="170">
        <v>44858</v>
      </c>
      <c r="M1938" s="116">
        <v>67.11</v>
      </c>
      <c r="N1938" s="116">
        <v>68.400000000000006</v>
      </c>
      <c r="O1938" s="116">
        <v>66.599999999999994</v>
      </c>
      <c r="P1938" s="116">
        <v>67.400000000000006</v>
      </c>
      <c r="Q1938" s="116">
        <v>335.55</v>
      </c>
      <c r="R1938">
        <v>402414</v>
      </c>
    </row>
    <row r="1939" spans="1:18" x14ac:dyDescent="0.25">
      <c r="A1939" s="170">
        <v>44859</v>
      </c>
      <c r="B1939" s="116">
        <v>67.7</v>
      </c>
      <c r="C1939" s="116">
        <v>66.510000000000005</v>
      </c>
      <c r="D1939" s="116">
        <v>66.010000000000005</v>
      </c>
      <c r="E1939" s="116">
        <v>66.23</v>
      </c>
      <c r="F1939" s="116">
        <v>332.55</v>
      </c>
      <c r="G1939">
        <v>742370</v>
      </c>
      <c r="H1939" s="116"/>
      <c r="I1939" s="116"/>
      <c r="L1939" s="170">
        <v>44859</v>
      </c>
      <c r="M1939" s="116">
        <v>66.47</v>
      </c>
      <c r="N1939" s="116">
        <v>67.73</v>
      </c>
      <c r="O1939" s="116">
        <v>66</v>
      </c>
      <c r="P1939" s="116">
        <v>67.2</v>
      </c>
      <c r="Q1939" s="116">
        <v>332.35</v>
      </c>
      <c r="R1939">
        <v>974407</v>
      </c>
    </row>
    <row r="1940" spans="1:18" x14ac:dyDescent="0.25">
      <c r="A1940" s="170">
        <v>44861</v>
      </c>
      <c r="B1940" s="116">
        <v>67.72</v>
      </c>
      <c r="C1940" s="116">
        <v>67.459999999999994</v>
      </c>
      <c r="D1940" s="116">
        <v>66.400000000000006</v>
      </c>
      <c r="E1940" s="116">
        <v>66.47</v>
      </c>
      <c r="F1940" s="116">
        <v>337.3</v>
      </c>
      <c r="G1940">
        <v>220309</v>
      </c>
      <c r="H1940" s="116"/>
      <c r="I1940" s="116"/>
      <c r="L1940" s="170">
        <v>44861</v>
      </c>
      <c r="M1940" s="116">
        <v>67.48</v>
      </c>
      <c r="N1940" s="116">
        <v>67.900000000000006</v>
      </c>
      <c r="O1940" s="116">
        <v>66.36</v>
      </c>
      <c r="P1940" s="116">
        <v>66.989999999999995</v>
      </c>
      <c r="Q1940" s="116">
        <v>337.4</v>
      </c>
      <c r="R1940">
        <v>1134682</v>
      </c>
    </row>
    <row r="1941" spans="1:18" x14ac:dyDescent="0.25">
      <c r="A1941" s="170">
        <v>44862</v>
      </c>
      <c r="B1941" s="116">
        <v>68</v>
      </c>
      <c r="C1941" s="116">
        <v>66.63</v>
      </c>
      <c r="D1941" s="116">
        <v>66.400000000000006</v>
      </c>
      <c r="E1941" s="116">
        <v>66.63</v>
      </c>
      <c r="F1941" s="116">
        <v>333.15</v>
      </c>
      <c r="G1941">
        <v>63334</v>
      </c>
      <c r="H1941" s="116"/>
      <c r="I1941" s="116"/>
      <c r="L1941" s="170">
        <v>44862</v>
      </c>
      <c r="M1941" s="116">
        <v>66.66</v>
      </c>
      <c r="N1941" s="116">
        <v>67.989999999999995</v>
      </c>
      <c r="O1941" s="116">
        <v>66.400000000000006</v>
      </c>
      <c r="P1941" s="116">
        <v>67.67</v>
      </c>
      <c r="Q1941" s="116">
        <v>333.3</v>
      </c>
      <c r="R1941">
        <v>774103</v>
      </c>
    </row>
    <row r="1942" spans="1:18" x14ac:dyDescent="0.25">
      <c r="A1942" s="170">
        <v>44865</v>
      </c>
      <c r="B1942" s="116">
        <v>67.66</v>
      </c>
      <c r="C1942" s="116">
        <v>66.92</v>
      </c>
      <c r="D1942" s="116">
        <v>66</v>
      </c>
      <c r="E1942" s="116">
        <v>66.02</v>
      </c>
      <c r="F1942" s="116">
        <v>334.6</v>
      </c>
      <c r="G1942">
        <v>106685</v>
      </c>
      <c r="H1942" s="116"/>
      <c r="I1942" s="116"/>
      <c r="L1942" s="170">
        <v>44865</v>
      </c>
      <c r="M1942" s="116">
        <v>66.98</v>
      </c>
      <c r="N1942" s="116">
        <v>67.459999999999994</v>
      </c>
      <c r="O1942" s="116">
        <v>66.02</v>
      </c>
      <c r="P1942" s="116">
        <v>66.88</v>
      </c>
      <c r="Q1942" s="116">
        <v>334.9</v>
      </c>
      <c r="R1942">
        <v>1406093</v>
      </c>
    </row>
    <row r="1943" spans="1:18" x14ac:dyDescent="0.25">
      <c r="A1943" s="170">
        <v>44866</v>
      </c>
      <c r="B1943" s="116">
        <v>70.260000000000005</v>
      </c>
      <c r="C1943" s="116">
        <v>69.72</v>
      </c>
      <c r="D1943" s="116">
        <v>66.2</v>
      </c>
      <c r="E1943" s="116">
        <v>66.25</v>
      </c>
      <c r="F1943" s="116">
        <v>348.6</v>
      </c>
      <c r="G1943">
        <v>185435</v>
      </c>
      <c r="H1943" s="116"/>
      <c r="I1943" s="116"/>
      <c r="L1943" s="170">
        <v>44866</v>
      </c>
      <c r="M1943" s="116">
        <v>69.78</v>
      </c>
      <c r="N1943" s="116">
        <v>70.319999999999993</v>
      </c>
      <c r="O1943" s="116">
        <v>66.09</v>
      </c>
      <c r="P1943" s="116">
        <v>67.42</v>
      </c>
      <c r="Q1943" s="116">
        <v>348.9</v>
      </c>
      <c r="R1943">
        <v>2371160</v>
      </c>
    </row>
    <row r="1944" spans="1:18" x14ac:dyDescent="0.25">
      <c r="A1944" s="170">
        <v>44867</v>
      </c>
      <c r="B1944" s="116">
        <v>70.400000000000006</v>
      </c>
      <c r="C1944" s="116">
        <v>68.72</v>
      </c>
      <c r="D1944" s="116">
        <v>67.56</v>
      </c>
      <c r="E1944" s="116">
        <v>69.599999999999994</v>
      </c>
      <c r="F1944" s="116">
        <v>343.6</v>
      </c>
      <c r="G1944">
        <v>143505</v>
      </c>
      <c r="H1944" s="116"/>
      <c r="I1944" s="116"/>
      <c r="L1944" s="170">
        <v>44867</v>
      </c>
      <c r="M1944" s="116">
        <v>68.63</v>
      </c>
      <c r="N1944" s="116">
        <v>70.760000000000005</v>
      </c>
      <c r="O1944" s="116">
        <v>67.52</v>
      </c>
      <c r="P1944" s="116">
        <v>70</v>
      </c>
      <c r="Q1944" s="116">
        <v>343.15</v>
      </c>
      <c r="R1944">
        <v>1677538</v>
      </c>
    </row>
    <row r="1945" spans="1:18" x14ac:dyDescent="0.25">
      <c r="A1945" s="170">
        <v>44868</v>
      </c>
      <c r="B1945" s="116">
        <v>68.760000000000005</v>
      </c>
      <c r="C1945" s="116">
        <v>67.37</v>
      </c>
      <c r="D1945" s="116">
        <v>67.2</v>
      </c>
      <c r="E1945" s="116">
        <v>67.599999999999994</v>
      </c>
      <c r="F1945" s="116">
        <v>336.85</v>
      </c>
      <c r="G1945">
        <v>1268146</v>
      </c>
      <c r="H1945" s="116"/>
      <c r="I1945" s="116"/>
      <c r="L1945" s="170">
        <v>44868</v>
      </c>
      <c r="M1945" s="116">
        <v>67.349999999999994</v>
      </c>
      <c r="N1945" s="116">
        <v>68.680000000000007</v>
      </c>
      <c r="O1945" s="116">
        <v>67.209999999999994</v>
      </c>
      <c r="P1945" s="116">
        <v>68.2</v>
      </c>
      <c r="Q1945" s="116">
        <v>336.75</v>
      </c>
      <c r="R1945">
        <v>1135056</v>
      </c>
    </row>
    <row r="1946" spans="1:18" x14ac:dyDescent="0.25">
      <c r="A1946" s="170">
        <v>44869</v>
      </c>
      <c r="B1946" s="116">
        <v>69.8</v>
      </c>
      <c r="C1946" s="116">
        <v>69.13</v>
      </c>
      <c r="D1946" s="116">
        <v>66.209999999999994</v>
      </c>
      <c r="E1946" s="116">
        <v>66.7</v>
      </c>
      <c r="F1946" s="116">
        <v>345.65</v>
      </c>
      <c r="G1946">
        <v>317336</v>
      </c>
      <c r="H1946" s="116"/>
      <c r="I1946" s="116"/>
      <c r="L1946" s="170">
        <v>44869</v>
      </c>
      <c r="M1946" s="116">
        <v>69.37</v>
      </c>
      <c r="N1946" s="116">
        <v>70</v>
      </c>
      <c r="O1946" s="116">
        <v>66.55</v>
      </c>
      <c r="P1946" s="116">
        <v>67.599999999999994</v>
      </c>
      <c r="Q1946" s="116">
        <v>346.85</v>
      </c>
      <c r="R1946">
        <v>1800682</v>
      </c>
    </row>
    <row r="1947" spans="1:18" x14ac:dyDescent="0.25">
      <c r="A1947" s="170">
        <v>44872</v>
      </c>
      <c r="B1947" s="116">
        <v>70.400000000000006</v>
      </c>
      <c r="C1947" s="116">
        <v>69.64</v>
      </c>
      <c r="D1947" s="116">
        <v>68.599999999999994</v>
      </c>
      <c r="E1947" s="116">
        <v>68.67</v>
      </c>
      <c r="F1947" s="116">
        <v>348.2</v>
      </c>
      <c r="G1947">
        <v>139318</v>
      </c>
      <c r="H1947" s="116"/>
      <c r="I1947" s="116"/>
      <c r="L1947" s="170">
        <v>44872</v>
      </c>
      <c r="M1947" s="116">
        <v>69.72</v>
      </c>
      <c r="N1947" s="116">
        <v>70</v>
      </c>
      <c r="O1947" s="116">
        <v>68.55</v>
      </c>
      <c r="P1947" s="116">
        <v>69.599999999999994</v>
      </c>
      <c r="Q1947" s="116">
        <v>348.6</v>
      </c>
      <c r="R1947">
        <v>1380946</v>
      </c>
    </row>
    <row r="1948" spans="1:18" x14ac:dyDescent="0.25">
      <c r="A1948" s="170">
        <v>44874</v>
      </c>
      <c r="B1948" s="116">
        <v>73.12</v>
      </c>
      <c r="C1948" s="116">
        <v>73.040000000000006</v>
      </c>
      <c r="D1948" s="116">
        <v>68.77</v>
      </c>
      <c r="E1948" s="116">
        <v>68.77</v>
      </c>
      <c r="F1948" s="116">
        <v>365.2</v>
      </c>
      <c r="G1948">
        <v>301416</v>
      </c>
      <c r="H1948" s="116"/>
      <c r="I1948" s="116"/>
      <c r="L1948" s="170">
        <v>44874</v>
      </c>
      <c r="M1948" s="116">
        <v>73.16</v>
      </c>
      <c r="N1948" s="116">
        <v>73.2</v>
      </c>
      <c r="O1948" s="116">
        <v>69</v>
      </c>
      <c r="P1948" s="116">
        <v>69.72</v>
      </c>
      <c r="Q1948" s="116">
        <v>365.8</v>
      </c>
      <c r="R1948">
        <v>3891628</v>
      </c>
    </row>
    <row r="1949" spans="1:18" x14ac:dyDescent="0.25">
      <c r="A1949" s="170">
        <v>44875</v>
      </c>
      <c r="B1949" s="116">
        <v>75</v>
      </c>
      <c r="C1949" s="116">
        <v>74.05</v>
      </c>
      <c r="D1949" s="116">
        <v>70.22</v>
      </c>
      <c r="E1949" s="116">
        <v>72.2</v>
      </c>
      <c r="F1949" s="116">
        <v>370.25</v>
      </c>
      <c r="G1949">
        <v>259925</v>
      </c>
      <c r="H1949" s="116"/>
      <c r="I1949" s="116"/>
      <c r="L1949" s="170">
        <v>44875</v>
      </c>
      <c r="M1949" s="116">
        <v>74.28</v>
      </c>
      <c r="N1949" s="116">
        <v>75.400000000000006</v>
      </c>
      <c r="O1949" s="116">
        <v>71.599999999999994</v>
      </c>
      <c r="P1949" s="116">
        <v>73.16</v>
      </c>
      <c r="Q1949" s="116">
        <v>371.4</v>
      </c>
      <c r="R1949">
        <v>2938662</v>
      </c>
    </row>
    <row r="1950" spans="1:18" x14ac:dyDescent="0.25">
      <c r="A1950" s="170">
        <v>44876</v>
      </c>
      <c r="B1950" s="116">
        <v>75.599999999999994</v>
      </c>
      <c r="C1950" s="116">
        <v>72.02</v>
      </c>
      <c r="D1950" s="116">
        <v>70.63</v>
      </c>
      <c r="E1950" s="116">
        <v>75.010000000000005</v>
      </c>
      <c r="F1950" s="116">
        <v>360.1</v>
      </c>
      <c r="G1950">
        <v>288085</v>
      </c>
      <c r="H1950" s="116"/>
      <c r="I1950" s="116"/>
      <c r="L1950" s="170">
        <v>44876</v>
      </c>
      <c r="M1950" s="116">
        <v>72.040000000000006</v>
      </c>
      <c r="N1950" s="116">
        <v>75.599999999999994</v>
      </c>
      <c r="O1950" s="116">
        <v>70.599999999999994</v>
      </c>
      <c r="P1950" s="116">
        <v>75.2</v>
      </c>
      <c r="Q1950" s="116">
        <v>360.2</v>
      </c>
      <c r="R1950">
        <v>3406069</v>
      </c>
    </row>
    <row r="1951" spans="1:18" x14ac:dyDescent="0.25">
      <c r="A1951" s="170">
        <v>44879</v>
      </c>
      <c r="B1951" s="116">
        <v>73</v>
      </c>
      <c r="C1951" s="116">
        <v>71.86</v>
      </c>
      <c r="D1951" s="116">
        <v>68.42</v>
      </c>
      <c r="E1951" s="116">
        <v>69.819999999999993</v>
      </c>
      <c r="F1951" s="116">
        <v>359.3</v>
      </c>
      <c r="G1951">
        <v>1476937</v>
      </c>
      <c r="H1951" s="116"/>
      <c r="I1951" s="116"/>
      <c r="L1951" s="170">
        <v>44879</v>
      </c>
      <c r="M1951" s="116">
        <v>71.959999999999994</v>
      </c>
      <c r="N1951" s="116">
        <v>73.010000000000005</v>
      </c>
      <c r="O1951" s="116">
        <v>68.44</v>
      </c>
      <c r="P1951" s="116">
        <v>69.63</v>
      </c>
      <c r="Q1951" s="116">
        <v>359.8</v>
      </c>
      <c r="R1951">
        <v>3238002</v>
      </c>
    </row>
    <row r="1952" spans="1:18" x14ac:dyDescent="0.25">
      <c r="A1952" s="170">
        <v>44880</v>
      </c>
      <c r="B1952" s="116">
        <v>71.73</v>
      </c>
      <c r="C1952" s="116">
        <v>71.290000000000006</v>
      </c>
      <c r="D1952" s="116">
        <v>70.319999999999993</v>
      </c>
      <c r="E1952" s="116">
        <v>71.06</v>
      </c>
      <c r="F1952" s="116">
        <v>356.45</v>
      </c>
      <c r="G1952">
        <v>161774</v>
      </c>
      <c r="H1952" s="116"/>
      <c r="I1952" s="116"/>
      <c r="L1952" s="170">
        <v>44880</v>
      </c>
      <c r="M1952" s="116">
        <v>71.41</v>
      </c>
      <c r="N1952" s="116">
        <v>71.7</v>
      </c>
      <c r="O1952" s="116">
        <v>70.599999999999994</v>
      </c>
      <c r="P1952" s="116">
        <v>71.180000000000007</v>
      </c>
      <c r="Q1952" s="116">
        <v>357.05</v>
      </c>
      <c r="R1952">
        <v>1265382</v>
      </c>
    </row>
    <row r="1953" spans="1:18" x14ac:dyDescent="0.25">
      <c r="A1953" s="170">
        <v>44881</v>
      </c>
      <c r="B1953" s="116">
        <v>71.790000000000006</v>
      </c>
      <c r="C1953" s="116">
        <v>69</v>
      </c>
      <c r="D1953" s="116">
        <v>68.099999999999994</v>
      </c>
      <c r="E1953" s="116">
        <v>70.5</v>
      </c>
      <c r="F1953" s="116">
        <v>345</v>
      </c>
      <c r="G1953">
        <v>145060</v>
      </c>
      <c r="H1953" s="116"/>
      <c r="I1953" s="116"/>
      <c r="L1953" s="170">
        <v>44881</v>
      </c>
      <c r="M1953" s="116">
        <v>69.03</v>
      </c>
      <c r="N1953" s="116">
        <v>71.37</v>
      </c>
      <c r="O1953" s="116">
        <v>68.48</v>
      </c>
      <c r="P1953" s="116">
        <v>71.3</v>
      </c>
      <c r="Q1953" s="116">
        <v>345.15</v>
      </c>
      <c r="R1953">
        <v>1790067</v>
      </c>
    </row>
    <row r="1954" spans="1:18" x14ac:dyDescent="0.25">
      <c r="A1954" s="170">
        <v>44882</v>
      </c>
      <c r="B1954" s="116">
        <v>68.97</v>
      </c>
      <c r="C1954" s="116">
        <v>67.400000000000006</v>
      </c>
      <c r="D1954" s="116">
        <v>67</v>
      </c>
      <c r="E1954" s="116">
        <v>67.66</v>
      </c>
      <c r="F1954" s="116">
        <v>337</v>
      </c>
      <c r="G1954">
        <v>140880</v>
      </c>
      <c r="H1954" s="116"/>
      <c r="I1954" s="116"/>
      <c r="L1954" s="170">
        <v>44882</v>
      </c>
      <c r="M1954" s="116">
        <v>67.2</v>
      </c>
      <c r="N1954" s="116">
        <v>68.790000000000006</v>
      </c>
      <c r="O1954" s="116">
        <v>66.900000000000006</v>
      </c>
      <c r="P1954" s="116">
        <v>68.599999999999994</v>
      </c>
      <c r="Q1954" s="116">
        <v>336</v>
      </c>
      <c r="R1954">
        <v>1678802</v>
      </c>
    </row>
    <row r="1955" spans="1:18" x14ac:dyDescent="0.25">
      <c r="A1955" s="170">
        <v>44883</v>
      </c>
      <c r="B1955" s="116">
        <v>69</v>
      </c>
      <c r="C1955" s="116">
        <v>67.3</v>
      </c>
      <c r="D1955" s="116">
        <v>65.05</v>
      </c>
      <c r="E1955" s="116">
        <v>67.05</v>
      </c>
      <c r="F1955" s="116">
        <v>336.5</v>
      </c>
      <c r="G1955">
        <v>263892</v>
      </c>
      <c r="H1955" s="116"/>
      <c r="I1955" s="116"/>
      <c r="L1955" s="170">
        <v>44883</v>
      </c>
      <c r="M1955" s="116">
        <v>67.3</v>
      </c>
      <c r="N1955" s="116">
        <v>69.959999999999994</v>
      </c>
      <c r="O1955" s="116">
        <v>65.8</v>
      </c>
      <c r="P1955" s="116">
        <v>67.989999999999995</v>
      </c>
      <c r="Q1955" s="116">
        <v>336.5</v>
      </c>
      <c r="R1955">
        <v>1345504</v>
      </c>
    </row>
    <row r="1956" spans="1:18" x14ac:dyDescent="0.25">
      <c r="A1956" s="170">
        <v>44886</v>
      </c>
      <c r="B1956" s="116">
        <v>67.3</v>
      </c>
      <c r="C1956" s="116">
        <v>66.260000000000005</v>
      </c>
      <c r="D1956" s="116">
        <v>64.430000000000007</v>
      </c>
      <c r="E1956" s="116">
        <v>66.55</v>
      </c>
      <c r="F1956" s="116">
        <v>331.3</v>
      </c>
      <c r="G1956">
        <v>203734</v>
      </c>
      <c r="H1956" s="116"/>
      <c r="I1956" s="116"/>
      <c r="L1956" s="170">
        <v>44886</v>
      </c>
      <c r="M1956" s="116">
        <v>66.239999999999995</v>
      </c>
      <c r="N1956" s="116">
        <v>67.599999999999994</v>
      </c>
      <c r="O1956" s="116">
        <v>66</v>
      </c>
      <c r="P1956" s="116">
        <v>67.599999999999994</v>
      </c>
      <c r="Q1956" s="116">
        <v>331.2</v>
      </c>
      <c r="R1956">
        <v>854114</v>
      </c>
    </row>
    <row r="1957" spans="1:18" x14ac:dyDescent="0.25">
      <c r="A1957" s="170">
        <v>44887</v>
      </c>
      <c r="B1957" s="116">
        <v>66.959999999999994</v>
      </c>
      <c r="C1957" s="116">
        <v>65.69</v>
      </c>
      <c r="D1957" s="116">
        <v>65</v>
      </c>
      <c r="E1957" s="116">
        <v>65.900000000000006</v>
      </c>
      <c r="F1957" s="116">
        <v>328.45</v>
      </c>
      <c r="G1957">
        <v>191092</v>
      </c>
      <c r="H1957" s="116"/>
      <c r="I1957" s="116"/>
      <c r="L1957" s="170">
        <v>44887</v>
      </c>
      <c r="M1957" s="116">
        <v>65.7</v>
      </c>
      <c r="N1957" s="116">
        <v>67</v>
      </c>
      <c r="O1957" s="116">
        <v>65</v>
      </c>
      <c r="P1957" s="116">
        <v>66.400000000000006</v>
      </c>
      <c r="Q1957" s="116">
        <v>328.5</v>
      </c>
      <c r="R1957">
        <v>1318384</v>
      </c>
    </row>
    <row r="1958" spans="1:18" x14ac:dyDescent="0.25">
      <c r="A1958" s="170">
        <v>44888</v>
      </c>
      <c r="B1958" s="116">
        <v>66.56</v>
      </c>
      <c r="C1958" s="116">
        <v>65.2</v>
      </c>
      <c r="D1958" s="116">
        <v>64.400000000000006</v>
      </c>
      <c r="E1958" s="116">
        <v>65.02</v>
      </c>
      <c r="F1958" s="116">
        <v>326</v>
      </c>
      <c r="G1958">
        <v>109011</v>
      </c>
      <c r="H1958" s="116"/>
      <c r="I1958" s="116"/>
      <c r="L1958" s="170">
        <v>44888</v>
      </c>
      <c r="M1958" s="116">
        <v>65.19</v>
      </c>
      <c r="N1958" s="116">
        <v>66.39</v>
      </c>
      <c r="O1958" s="116">
        <v>64.599999999999994</v>
      </c>
      <c r="P1958" s="116">
        <v>65.8</v>
      </c>
      <c r="Q1958" s="116">
        <v>325.95</v>
      </c>
      <c r="R1958">
        <v>1106098</v>
      </c>
    </row>
    <row r="1959" spans="1:18" x14ac:dyDescent="0.25">
      <c r="A1959" s="170">
        <v>44889</v>
      </c>
      <c r="B1959" s="116">
        <v>65.92</v>
      </c>
      <c r="C1959" s="116">
        <v>65</v>
      </c>
      <c r="D1959" s="116">
        <v>64.599999999999994</v>
      </c>
      <c r="E1959" s="116">
        <v>65.25</v>
      </c>
      <c r="F1959" s="116">
        <v>325</v>
      </c>
      <c r="G1959">
        <v>184700</v>
      </c>
      <c r="H1959" s="116"/>
      <c r="I1959" s="116"/>
      <c r="L1959" s="170">
        <v>44889</v>
      </c>
      <c r="M1959" s="116">
        <v>64.989999999999995</v>
      </c>
      <c r="N1959" s="116">
        <v>65.98</v>
      </c>
      <c r="O1959" s="116">
        <v>64.599999999999994</v>
      </c>
      <c r="P1959" s="116">
        <v>65.59</v>
      </c>
      <c r="Q1959" s="116">
        <v>324.95</v>
      </c>
      <c r="R1959">
        <v>896931</v>
      </c>
    </row>
    <row r="1960" spans="1:18" x14ac:dyDescent="0.25">
      <c r="A1960" s="170">
        <v>44890</v>
      </c>
      <c r="B1960" s="116">
        <v>65.45</v>
      </c>
      <c r="C1960" s="116">
        <v>64.69</v>
      </c>
      <c r="D1960" s="116">
        <v>63.81</v>
      </c>
      <c r="E1960" s="116">
        <v>65</v>
      </c>
      <c r="F1960" s="116">
        <v>323.45</v>
      </c>
      <c r="G1960">
        <v>235272</v>
      </c>
      <c r="H1960" s="116"/>
      <c r="I1960" s="116"/>
      <c r="L1960" s="170">
        <v>44890</v>
      </c>
      <c r="M1960" s="116">
        <v>64.790000000000006</v>
      </c>
      <c r="N1960" s="116">
        <v>65.400000000000006</v>
      </c>
      <c r="O1960" s="116">
        <v>63.7</v>
      </c>
      <c r="P1960" s="116">
        <v>65.2</v>
      </c>
      <c r="Q1960" s="116">
        <v>323.95</v>
      </c>
      <c r="R1960">
        <v>1084355</v>
      </c>
    </row>
    <row r="1961" spans="1:18" x14ac:dyDescent="0.25">
      <c r="A1961" s="170">
        <v>44893</v>
      </c>
      <c r="B1961" s="116">
        <v>67.61</v>
      </c>
      <c r="C1961" s="116">
        <v>65.63</v>
      </c>
      <c r="D1961" s="116">
        <v>65.09</v>
      </c>
      <c r="E1961" s="116">
        <v>65.09</v>
      </c>
      <c r="F1961" s="116">
        <v>328.15</v>
      </c>
      <c r="G1961">
        <v>255085</v>
      </c>
      <c r="H1961" s="116"/>
      <c r="I1961" s="116"/>
      <c r="L1961" s="170">
        <v>44893</v>
      </c>
      <c r="M1961" s="116">
        <v>65.650000000000006</v>
      </c>
      <c r="N1961" s="116">
        <v>67.400000000000006</v>
      </c>
      <c r="O1961" s="116">
        <v>65.38</v>
      </c>
      <c r="P1961" s="116">
        <v>65.42</v>
      </c>
      <c r="Q1961" s="116">
        <v>328.25</v>
      </c>
      <c r="R1961">
        <v>2544419</v>
      </c>
    </row>
    <row r="1962" spans="1:18" x14ac:dyDescent="0.25">
      <c r="A1962" s="170">
        <v>44894</v>
      </c>
      <c r="B1962" s="116">
        <v>66.599999999999994</v>
      </c>
      <c r="C1962" s="116">
        <v>64.95</v>
      </c>
      <c r="D1962" s="116">
        <v>64.8</v>
      </c>
      <c r="E1962" s="116">
        <v>65.72</v>
      </c>
      <c r="F1962" s="116">
        <v>324.75</v>
      </c>
      <c r="G1962">
        <v>186798</v>
      </c>
      <c r="H1962" s="116"/>
      <c r="I1962" s="116"/>
      <c r="L1962" s="170">
        <v>44894</v>
      </c>
      <c r="M1962" s="116">
        <v>64.94</v>
      </c>
      <c r="N1962" s="116">
        <v>66.58</v>
      </c>
      <c r="O1962" s="116">
        <v>64.7</v>
      </c>
      <c r="P1962" s="116">
        <v>66</v>
      </c>
      <c r="Q1962" s="116">
        <v>324.7</v>
      </c>
      <c r="R1962">
        <v>1783244</v>
      </c>
    </row>
    <row r="1963" spans="1:18" x14ac:dyDescent="0.25">
      <c r="A1963" s="170">
        <v>44895</v>
      </c>
      <c r="B1963" s="116">
        <v>67.2</v>
      </c>
      <c r="C1963" s="116">
        <v>66.38</v>
      </c>
      <c r="D1963" s="116">
        <v>64.41</v>
      </c>
      <c r="E1963" s="116">
        <v>64.95</v>
      </c>
      <c r="F1963" s="116">
        <v>331.9</v>
      </c>
      <c r="G1963">
        <v>513517</v>
      </c>
      <c r="H1963" s="116"/>
      <c r="I1963" s="116"/>
      <c r="L1963" s="170">
        <v>44895</v>
      </c>
      <c r="M1963" s="116">
        <v>66.55</v>
      </c>
      <c r="N1963" s="116">
        <v>67.180000000000007</v>
      </c>
      <c r="O1963" s="116">
        <v>64.5</v>
      </c>
      <c r="P1963" s="116">
        <v>65</v>
      </c>
      <c r="Q1963" s="116">
        <v>332.75</v>
      </c>
      <c r="R1963">
        <v>3528568</v>
      </c>
    </row>
    <row r="1964" spans="1:18" x14ac:dyDescent="0.25">
      <c r="A1964" s="170">
        <v>44896</v>
      </c>
      <c r="B1964" s="116">
        <v>68</v>
      </c>
      <c r="C1964" s="116">
        <v>66.06</v>
      </c>
      <c r="D1964" s="116">
        <v>65.739999999999995</v>
      </c>
      <c r="E1964" s="116">
        <v>67.41</v>
      </c>
      <c r="F1964" s="116">
        <v>330.3</v>
      </c>
      <c r="G1964">
        <v>299216</v>
      </c>
      <c r="H1964" s="116"/>
      <c r="I1964" s="116"/>
      <c r="L1964" s="170">
        <v>44896</v>
      </c>
      <c r="M1964" s="116">
        <v>66.08</v>
      </c>
      <c r="N1964" s="116">
        <v>67.98</v>
      </c>
      <c r="O1964" s="116">
        <v>65.7</v>
      </c>
      <c r="P1964" s="116">
        <v>67.3</v>
      </c>
      <c r="Q1964" s="116">
        <v>330.4</v>
      </c>
      <c r="R1964">
        <v>3402035</v>
      </c>
    </row>
    <row r="1965" spans="1:18" x14ac:dyDescent="0.25">
      <c r="A1965" s="170">
        <v>44897</v>
      </c>
      <c r="B1965" s="116">
        <v>65.98</v>
      </c>
      <c r="C1965" s="116">
        <v>65.069999999999993</v>
      </c>
      <c r="D1965" s="116">
        <v>64.819999999999993</v>
      </c>
      <c r="E1965" s="116">
        <v>65.709999999999994</v>
      </c>
      <c r="F1965" s="116">
        <v>325.35000000000002</v>
      </c>
      <c r="G1965">
        <v>276584</v>
      </c>
      <c r="H1965" s="116"/>
      <c r="I1965" s="116"/>
      <c r="L1965" s="170">
        <v>44897</v>
      </c>
      <c r="M1965" s="116">
        <v>65.06</v>
      </c>
      <c r="N1965" s="116">
        <v>66.069999999999993</v>
      </c>
      <c r="O1965" s="116">
        <v>64.8</v>
      </c>
      <c r="P1965" s="116">
        <v>65.8</v>
      </c>
      <c r="Q1965" s="116">
        <v>325.3</v>
      </c>
      <c r="R1965">
        <v>2332809</v>
      </c>
    </row>
    <row r="1966" spans="1:18" x14ac:dyDescent="0.25">
      <c r="A1966" s="170">
        <v>44900</v>
      </c>
      <c r="B1966" s="116">
        <v>65.400000000000006</v>
      </c>
      <c r="C1966" s="116">
        <v>64.599999999999994</v>
      </c>
      <c r="D1966" s="116">
        <v>64.41</v>
      </c>
      <c r="E1966" s="116">
        <v>64.84</v>
      </c>
      <c r="F1966" s="116">
        <v>323</v>
      </c>
      <c r="G1966">
        <v>368696</v>
      </c>
      <c r="H1966" s="116"/>
      <c r="I1966" s="116"/>
      <c r="L1966" s="170">
        <v>44900</v>
      </c>
      <c r="M1966" s="116">
        <v>64.61</v>
      </c>
      <c r="N1966" s="116">
        <v>65.39</v>
      </c>
      <c r="O1966" s="116">
        <v>64.41</v>
      </c>
      <c r="P1966" s="116">
        <v>65.39</v>
      </c>
      <c r="Q1966" s="116">
        <v>323.05</v>
      </c>
      <c r="R1966">
        <v>1801476</v>
      </c>
    </row>
    <row r="1967" spans="1:18" x14ac:dyDescent="0.25">
      <c r="A1967" s="170">
        <v>44901</v>
      </c>
      <c r="B1967" s="116">
        <v>66.400000000000006</v>
      </c>
      <c r="C1967" s="116">
        <v>65.06</v>
      </c>
      <c r="D1967" s="116">
        <v>64.069999999999993</v>
      </c>
      <c r="E1967" s="116">
        <v>64.069999999999993</v>
      </c>
      <c r="F1967" s="116">
        <v>325.3</v>
      </c>
      <c r="G1967">
        <v>240211</v>
      </c>
      <c r="H1967" s="116"/>
      <c r="I1967" s="116"/>
      <c r="L1967" s="170">
        <v>44901</v>
      </c>
      <c r="M1967" s="116">
        <v>64.959999999999994</v>
      </c>
      <c r="N1967" s="116">
        <v>66.34</v>
      </c>
      <c r="O1967" s="116">
        <v>64.38</v>
      </c>
      <c r="P1967" s="116">
        <v>64.59</v>
      </c>
      <c r="Q1967" s="116">
        <v>324.8</v>
      </c>
      <c r="R1967">
        <v>2679257</v>
      </c>
    </row>
    <row r="1968" spans="1:18" x14ac:dyDescent="0.25">
      <c r="A1968" s="170">
        <v>44902</v>
      </c>
      <c r="B1968" s="116">
        <v>65.61</v>
      </c>
      <c r="C1968" s="116">
        <v>64.87</v>
      </c>
      <c r="D1968" s="116">
        <v>64.64</v>
      </c>
      <c r="E1968" s="116">
        <v>65.05</v>
      </c>
      <c r="F1968" s="116">
        <v>324.35000000000002</v>
      </c>
      <c r="G1968">
        <v>267531</v>
      </c>
      <c r="H1968" s="116"/>
      <c r="I1968" s="116"/>
      <c r="L1968" s="170">
        <v>44902</v>
      </c>
      <c r="M1968" s="116">
        <v>64.89</v>
      </c>
      <c r="N1968" s="116">
        <v>65.680000000000007</v>
      </c>
      <c r="O1968" s="116">
        <v>64.650000000000006</v>
      </c>
      <c r="P1968" s="116">
        <v>65.180000000000007</v>
      </c>
      <c r="Q1968" s="116">
        <v>324.45</v>
      </c>
      <c r="R1968">
        <v>1430486</v>
      </c>
    </row>
    <row r="1969" spans="1:18" x14ac:dyDescent="0.25">
      <c r="A1969" s="170">
        <v>44903</v>
      </c>
      <c r="B1969" s="116">
        <v>65.83</v>
      </c>
      <c r="C1969" s="116">
        <v>64.680000000000007</v>
      </c>
      <c r="D1969" s="116">
        <v>64.599999999999994</v>
      </c>
      <c r="E1969" s="116">
        <v>65.010000000000005</v>
      </c>
      <c r="F1969" s="116">
        <v>323.39999999999998</v>
      </c>
      <c r="G1969">
        <v>129096</v>
      </c>
      <c r="H1969" s="116"/>
      <c r="I1969" s="116"/>
      <c r="L1969" s="170">
        <v>44903</v>
      </c>
      <c r="M1969" s="116">
        <v>64.75</v>
      </c>
      <c r="N1969" s="116">
        <v>65.8</v>
      </c>
      <c r="O1969" s="116">
        <v>64.61</v>
      </c>
      <c r="P1969" s="116">
        <v>65.22</v>
      </c>
      <c r="Q1969" s="116">
        <v>323.75</v>
      </c>
      <c r="R1969">
        <v>1553350</v>
      </c>
    </row>
    <row r="1970" spans="1:18" x14ac:dyDescent="0.25">
      <c r="A1970" s="170">
        <v>44904</v>
      </c>
      <c r="B1970" s="116">
        <v>65.2</v>
      </c>
      <c r="C1970" s="116">
        <v>63.2</v>
      </c>
      <c r="D1970" s="116">
        <v>62.09</v>
      </c>
      <c r="E1970" s="116">
        <v>64.599999999999994</v>
      </c>
      <c r="F1970" s="116">
        <v>316</v>
      </c>
      <c r="G1970">
        <v>266744</v>
      </c>
      <c r="H1970" s="116"/>
      <c r="I1970" s="116"/>
      <c r="L1970" s="170">
        <v>44904</v>
      </c>
      <c r="M1970" s="116">
        <v>63.21</v>
      </c>
      <c r="N1970" s="116">
        <v>65.19</v>
      </c>
      <c r="O1970" s="116">
        <v>62.2</v>
      </c>
      <c r="P1970" s="116">
        <v>65.08</v>
      </c>
      <c r="Q1970" s="116">
        <v>316.05</v>
      </c>
      <c r="R1970">
        <v>2958588</v>
      </c>
    </row>
    <row r="1971" spans="1:18" x14ac:dyDescent="0.25">
      <c r="A1971" s="170">
        <v>44907</v>
      </c>
      <c r="B1971" s="116">
        <v>63.48</v>
      </c>
      <c r="C1971" s="116">
        <v>62.06</v>
      </c>
      <c r="D1971" s="116">
        <v>61.49</v>
      </c>
      <c r="E1971" s="116">
        <v>62.71</v>
      </c>
      <c r="F1971" s="116">
        <v>310.3</v>
      </c>
      <c r="G1971">
        <v>239389</v>
      </c>
      <c r="H1971" s="116"/>
      <c r="I1971" s="116"/>
      <c r="L1971" s="170">
        <v>44907</v>
      </c>
      <c r="M1971" s="116">
        <v>62.04</v>
      </c>
      <c r="N1971" s="116">
        <v>63.4</v>
      </c>
      <c r="O1971" s="116">
        <v>61.41</v>
      </c>
      <c r="P1971" s="116">
        <v>63</v>
      </c>
      <c r="Q1971" s="116">
        <v>310.2</v>
      </c>
      <c r="R1971">
        <v>2657723</v>
      </c>
    </row>
    <row r="1972" spans="1:18" x14ac:dyDescent="0.25">
      <c r="A1972" s="170">
        <v>44908</v>
      </c>
      <c r="B1972" s="116">
        <v>65.16</v>
      </c>
      <c r="C1972" s="116">
        <v>64.7</v>
      </c>
      <c r="D1972" s="116">
        <v>62</v>
      </c>
      <c r="E1972" s="116">
        <v>62</v>
      </c>
      <c r="F1972" s="116">
        <v>323.5</v>
      </c>
      <c r="G1972">
        <v>1072067</v>
      </c>
      <c r="H1972" s="116"/>
      <c r="I1972" s="116"/>
      <c r="L1972" s="170">
        <v>44908</v>
      </c>
      <c r="M1972" s="116">
        <v>64.599999999999994</v>
      </c>
      <c r="N1972" s="116">
        <v>65.14</v>
      </c>
      <c r="O1972" s="116">
        <v>62.1</v>
      </c>
      <c r="P1972" s="116">
        <v>62.1</v>
      </c>
      <c r="Q1972" s="116">
        <v>323</v>
      </c>
      <c r="R1972">
        <v>6144873</v>
      </c>
    </row>
    <row r="1973" spans="1:18" x14ac:dyDescent="0.25">
      <c r="A1973" s="170">
        <v>44909</v>
      </c>
      <c r="B1973" s="116">
        <v>65.36</v>
      </c>
      <c r="C1973" s="116">
        <v>63.88</v>
      </c>
      <c r="D1973" s="116">
        <v>63.49</v>
      </c>
      <c r="E1973" s="116">
        <v>64.599999999999994</v>
      </c>
      <c r="F1973" s="116">
        <v>319.39999999999998</v>
      </c>
      <c r="G1973">
        <v>578120</v>
      </c>
      <c r="H1973" s="116"/>
      <c r="I1973" s="116"/>
      <c r="L1973" s="170">
        <v>44909</v>
      </c>
      <c r="M1973" s="116">
        <v>63.87</v>
      </c>
      <c r="N1973" s="116">
        <v>65.38</v>
      </c>
      <c r="O1973" s="116">
        <v>63.47</v>
      </c>
      <c r="P1973" s="116">
        <v>64.56</v>
      </c>
      <c r="Q1973" s="116">
        <v>319.35000000000002</v>
      </c>
      <c r="R1973">
        <v>3340492</v>
      </c>
    </row>
    <row r="1974" spans="1:18" x14ac:dyDescent="0.25">
      <c r="A1974" s="170">
        <v>44910</v>
      </c>
      <c r="B1974" s="116">
        <v>64.510000000000005</v>
      </c>
      <c r="C1974" s="116">
        <v>63.09</v>
      </c>
      <c r="D1974" s="116">
        <v>62.89</v>
      </c>
      <c r="E1974" s="116">
        <v>64</v>
      </c>
      <c r="F1974" s="116">
        <v>315.45</v>
      </c>
      <c r="G1974">
        <v>453503</v>
      </c>
      <c r="H1974" s="116"/>
      <c r="I1974" s="116"/>
      <c r="L1974" s="170">
        <v>44910</v>
      </c>
      <c r="M1974" s="116">
        <v>63.09</v>
      </c>
      <c r="N1974" s="116">
        <v>64.510000000000005</v>
      </c>
      <c r="O1974" s="116">
        <v>62.9</v>
      </c>
      <c r="P1974" s="116">
        <v>64.13</v>
      </c>
      <c r="Q1974" s="116">
        <v>315.45</v>
      </c>
      <c r="R1974">
        <v>1720989</v>
      </c>
    </row>
    <row r="1975" spans="1:18" x14ac:dyDescent="0.25">
      <c r="A1975" s="170">
        <v>44911</v>
      </c>
      <c r="B1975" s="116">
        <v>63.5</v>
      </c>
      <c r="C1975" s="116">
        <v>61.65</v>
      </c>
      <c r="D1975" s="116">
        <v>61.22</v>
      </c>
      <c r="E1975" s="116">
        <v>62.79</v>
      </c>
      <c r="F1975" s="116">
        <v>308.25</v>
      </c>
      <c r="G1975">
        <v>560295</v>
      </c>
      <c r="H1975" s="116"/>
      <c r="I1975" s="116"/>
      <c r="L1975" s="170">
        <v>44911</v>
      </c>
      <c r="M1975" s="116">
        <v>61.58</v>
      </c>
      <c r="N1975" s="116">
        <v>63.54</v>
      </c>
      <c r="O1975" s="116">
        <v>61.2</v>
      </c>
      <c r="P1975" s="116">
        <v>63</v>
      </c>
      <c r="Q1975" s="116">
        <v>307.89999999999998</v>
      </c>
      <c r="R1975">
        <v>4178496</v>
      </c>
    </row>
    <row r="1976" spans="1:18" x14ac:dyDescent="0.25">
      <c r="A1976" s="170">
        <v>44914</v>
      </c>
      <c r="B1976" s="116">
        <v>62</v>
      </c>
      <c r="C1976" s="116">
        <v>61.15</v>
      </c>
      <c r="D1976" s="116">
        <v>60.13</v>
      </c>
      <c r="E1976" s="116">
        <v>61.65</v>
      </c>
      <c r="F1976" s="116">
        <v>305.75</v>
      </c>
      <c r="G1976">
        <v>564690</v>
      </c>
      <c r="H1976" s="116"/>
      <c r="I1976" s="116"/>
      <c r="L1976" s="170">
        <v>44914</v>
      </c>
      <c r="M1976" s="116">
        <v>61.16</v>
      </c>
      <c r="N1976" s="116">
        <v>61.98</v>
      </c>
      <c r="O1976" s="116">
        <v>60.2</v>
      </c>
      <c r="P1976" s="116">
        <v>61.8</v>
      </c>
      <c r="Q1976" s="116">
        <v>305.8</v>
      </c>
      <c r="R1976">
        <v>3057699</v>
      </c>
    </row>
    <row r="1977" spans="1:18" x14ac:dyDescent="0.25">
      <c r="A1977" s="170">
        <v>44915</v>
      </c>
      <c r="B1977" s="116">
        <v>61.79</v>
      </c>
      <c r="C1977" s="116">
        <v>61.16</v>
      </c>
      <c r="D1977" s="116">
        <v>60.22</v>
      </c>
      <c r="E1977" s="116">
        <v>61.52</v>
      </c>
      <c r="F1977" s="116">
        <v>305.8</v>
      </c>
      <c r="G1977">
        <v>183117</v>
      </c>
      <c r="H1977" s="116"/>
      <c r="I1977" s="116"/>
      <c r="L1977" s="170">
        <v>44915</v>
      </c>
      <c r="M1977" s="116">
        <v>61.15</v>
      </c>
      <c r="N1977" s="116">
        <v>61.79</v>
      </c>
      <c r="O1977" s="116">
        <v>60.24</v>
      </c>
      <c r="P1977" s="116">
        <v>61.2</v>
      </c>
      <c r="Q1977" s="116">
        <v>305.75</v>
      </c>
      <c r="R1977">
        <v>2087377</v>
      </c>
    </row>
    <row r="1978" spans="1:18" x14ac:dyDescent="0.25">
      <c r="A1978" s="170">
        <v>44916</v>
      </c>
      <c r="B1978" s="116">
        <v>61.8</v>
      </c>
      <c r="C1978" s="116">
        <v>58.11</v>
      </c>
      <c r="D1978" s="116">
        <v>58.11</v>
      </c>
      <c r="E1978" s="116">
        <v>61.21</v>
      </c>
      <c r="F1978" s="116">
        <v>290.55</v>
      </c>
      <c r="G1978">
        <v>772091</v>
      </c>
      <c r="H1978" s="116"/>
      <c r="I1978" s="116"/>
      <c r="L1978" s="170">
        <v>44916</v>
      </c>
      <c r="M1978" s="116">
        <v>58.1</v>
      </c>
      <c r="N1978" s="116">
        <v>61.78</v>
      </c>
      <c r="O1978" s="116">
        <v>58.1</v>
      </c>
      <c r="P1978" s="116">
        <v>61.6</v>
      </c>
      <c r="Q1978" s="116">
        <v>290.5</v>
      </c>
      <c r="R1978">
        <v>4144435</v>
      </c>
    </row>
    <row r="1979" spans="1:18" x14ac:dyDescent="0.25">
      <c r="A1979" s="170">
        <v>44917</v>
      </c>
      <c r="B1979" s="116">
        <v>58.09</v>
      </c>
      <c r="C1979" s="116">
        <v>55.21</v>
      </c>
      <c r="D1979" s="116">
        <v>55.21</v>
      </c>
      <c r="E1979" s="116">
        <v>58</v>
      </c>
      <c r="F1979" s="116">
        <v>276.05</v>
      </c>
      <c r="G1979">
        <v>1151468</v>
      </c>
      <c r="H1979" s="116"/>
      <c r="I1979" s="116"/>
      <c r="L1979" s="170">
        <v>44917</v>
      </c>
      <c r="M1979" s="116">
        <v>55.2</v>
      </c>
      <c r="N1979" s="116">
        <v>58.1</v>
      </c>
      <c r="O1979" s="116">
        <v>55.2</v>
      </c>
      <c r="P1979" s="116">
        <v>58</v>
      </c>
      <c r="Q1979" s="116">
        <v>276</v>
      </c>
      <c r="R1979">
        <v>5151717</v>
      </c>
    </row>
    <row r="1980" spans="1:18" x14ac:dyDescent="0.25">
      <c r="A1980" s="170">
        <v>44918</v>
      </c>
      <c r="B1980" s="116">
        <v>53.51</v>
      </c>
      <c r="C1980" s="116">
        <v>52.45</v>
      </c>
      <c r="D1980" s="116">
        <v>52.45</v>
      </c>
      <c r="E1980" s="116">
        <v>53.1</v>
      </c>
      <c r="F1980" s="116">
        <v>262.25</v>
      </c>
      <c r="G1980">
        <v>879472</v>
      </c>
      <c r="H1980" s="116"/>
      <c r="I1980" s="116"/>
      <c r="L1980" s="170">
        <v>44918</v>
      </c>
      <c r="M1980" s="116">
        <v>52.44</v>
      </c>
      <c r="N1980" s="116">
        <v>53.54</v>
      </c>
      <c r="O1980" s="116">
        <v>52.44</v>
      </c>
      <c r="P1980" s="116">
        <v>53.43</v>
      </c>
      <c r="Q1980" s="116">
        <v>262.2</v>
      </c>
      <c r="R1980">
        <v>3250142</v>
      </c>
    </row>
    <row r="1981" spans="1:18" x14ac:dyDescent="0.25">
      <c r="A1981" s="170">
        <v>44921</v>
      </c>
      <c r="B1981" s="116">
        <v>55.07</v>
      </c>
      <c r="C1981" s="116">
        <v>55.07</v>
      </c>
      <c r="D1981" s="116">
        <v>49.83</v>
      </c>
      <c r="E1981" s="116">
        <v>49.83</v>
      </c>
      <c r="F1981" s="116">
        <v>275.35000000000002</v>
      </c>
      <c r="G1981">
        <v>618337</v>
      </c>
      <c r="H1981" s="116"/>
      <c r="I1981" s="116"/>
      <c r="L1981" s="170">
        <v>44921</v>
      </c>
      <c r="M1981" s="116">
        <v>55.06</v>
      </c>
      <c r="N1981" s="116">
        <v>55.06</v>
      </c>
      <c r="O1981" s="116">
        <v>49.82</v>
      </c>
      <c r="P1981" s="116">
        <v>49.82</v>
      </c>
      <c r="Q1981" s="116">
        <v>275.3</v>
      </c>
      <c r="R1981">
        <v>2619914</v>
      </c>
    </row>
    <row r="1982" spans="1:18" x14ac:dyDescent="0.25">
      <c r="A1982" s="170">
        <v>44922</v>
      </c>
      <c r="B1982" s="116">
        <v>57.82</v>
      </c>
      <c r="C1982" s="116">
        <v>57.82</v>
      </c>
      <c r="D1982" s="116">
        <v>54.4</v>
      </c>
      <c r="E1982" s="116">
        <v>55</v>
      </c>
      <c r="F1982" s="116">
        <v>289.10000000000002</v>
      </c>
      <c r="G1982">
        <v>615838</v>
      </c>
      <c r="H1982" s="116"/>
      <c r="I1982" s="116"/>
      <c r="L1982" s="170">
        <v>44922</v>
      </c>
      <c r="M1982" s="116">
        <v>57.81</v>
      </c>
      <c r="N1982" s="116">
        <v>57.81</v>
      </c>
      <c r="O1982" s="116">
        <v>54.22</v>
      </c>
      <c r="P1982" s="116">
        <v>54.9</v>
      </c>
      <c r="Q1982" s="116">
        <v>289.05</v>
      </c>
      <c r="R1982">
        <v>2420865</v>
      </c>
    </row>
    <row r="1983" spans="1:18" x14ac:dyDescent="0.25">
      <c r="A1983" s="170">
        <v>44923</v>
      </c>
      <c r="B1983" s="116">
        <v>60.71</v>
      </c>
      <c r="C1983" s="116">
        <v>60.71</v>
      </c>
      <c r="D1983" s="116">
        <v>58.2</v>
      </c>
      <c r="E1983" s="116">
        <v>58.4</v>
      </c>
      <c r="F1983" s="116">
        <v>303.55</v>
      </c>
      <c r="G1983">
        <v>444699</v>
      </c>
      <c r="H1983" s="116"/>
      <c r="I1983" s="116"/>
      <c r="L1983" s="170">
        <v>44923</v>
      </c>
      <c r="M1983" s="116">
        <v>60.7</v>
      </c>
      <c r="N1983" s="116">
        <v>60.7</v>
      </c>
      <c r="O1983" s="116">
        <v>57.92</v>
      </c>
      <c r="P1983" s="116">
        <v>58.55</v>
      </c>
      <c r="Q1983" s="116">
        <v>303.5</v>
      </c>
      <c r="R1983">
        <v>1806215</v>
      </c>
    </row>
    <row r="1984" spans="1:18" x14ac:dyDescent="0.25">
      <c r="A1984" s="170">
        <v>44924</v>
      </c>
      <c r="B1984" s="116">
        <v>62</v>
      </c>
      <c r="C1984" s="116">
        <v>60.89</v>
      </c>
      <c r="D1984" s="116">
        <v>58</v>
      </c>
      <c r="E1984" s="116">
        <v>61</v>
      </c>
      <c r="F1984" s="116">
        <v>304.45</v>
      </c>
      <c r="G1984">
        <v>499669</v>
      </c>
      <c r="H1984" s="116"/>
      <c r="I1984" s="116"/>
      <c r="L1984" s="170">
        <v>44924</v>
      </c>
      <c r="M1984" s="116">
        <v>60.9</v>
      </c>
      <c r="N1984" s="116">
        <v>61.68</v>
      </c>
      <c r="O1984" s="116">
        <v>58.26</v>
      </c>
      <c r="P1984" s="116">
        <v>61</v>
      </c>
      <c r="Q1984" s="116">
        <v>304.5</v>
      </c>
      <c r="R1984">
        <v>2360636</v>
      </c>
    </row>
    <row r="1985" spans="1:18" x14ac:dyDescent="0.25">
      <c r="A1985" s="170">
        <v>44925</v>
      </c>
      <c r="B1985" s="116">
        <v>61.6</v>
      </c>
      <c r="C1985" s="116">
        <v>59.88</v>
      </c>
      <c r="D1985" s="116">
        <v>59.6</v>
      </c>
      <c r="E1985" s="116">
        <v>60.94</v>
      </c>
      <c r="F1985" s="116">
        <v>299.39999999999998</v>
      </c>
      <c r="G1985">
        <v>181763</v>
      </c>
      <c r="H1985" s="116"/>
      <c r="I1985" s="116"/>
      <c r="L1985" s="170">
        <v>44925</v>
      </c>
      <c r="M1985" s="116">
        <v>59.91</v>
      </c>
      <c r="N1985" s="116">
        <v>61.6</v>
      </c>
      <c r="O1985" s="116">
        <v>59.6</v>
      </c>
      <c r="P1985" s="116">
        <v>61.18</v>
      </c>
      <c r="Q1985" s="116">
        <v>299.55</v>
      </c>
      <c r="R1985">
        <v>1391817</v>
      </c>
    </row>
    <row r="1986" spans="1:18" x14ac:dyDescent="0.25">
      <c r="A1986" s="170">
        <v>44928</v>
      </c>
      <c r="B1986" s="116">
        <v>60.98</v>
      </c>
      <c r="C1986" s="116">
        <v>59.63</v>
      </c>
      <c r="D1986" s="116">
        <v>58.82</v>
      </c>
      <c r="E1986" s="116">
        <v>60.12</v>
      </c>
      <c r="F1986" s="116">
        <v>298.14999999999998</v>
      </c>
      <c r="G1986">
        <v>301169</v>
      </c>
      <c r="H1986" s="116"/>
      <c r="I1986" s="116"/>
      <c r="L1986" s="170">
        <v>44928</v>
      </c>
      <c r="M1986" s="116">
        <v>59.63</v>
      </c>
      <c r="N1986" s="116">
        <v>60.98</v>
      </c>
      <c r="O1986" s="116">
        <v>58.66</v>
      </c>
      <c r="P1986" s="116">
        <v>60.6</v>
      </c>
      <c r="Q1986" s="116">
        <v>298.14999999999998</v>
      </c>
      <c r="R1986">
        <v>1737675</v>
      </c>
    </row>
    <row r="1987" spans="1:18" x14ac:dyDescent="0.25">
      <c r="A1987" s="170">
        <v>44929</v>
      </c>
      <c r="B1987" s="116">
        <v>60.2</v>
      </c>
      <c r="C1987" s="116">
        <v>58.96</v>
      </c>
      <c r="D1987" s="116">
        <v>58.44</v>
      </c>
      <c r="E1987" s="116">
        <v>59.64</v>
      </c>
      <c r="F1987" s="116">
        <v>294.8</v>
      </c>
      <c r="G1987">
        <v>199168</v>
      </c>
      <c r="H1987" s="116"/>
      <c r="I1987" s="116"/>
      <c r="L1987" s="170">
        <v>44929</v>
      </c>
      <c r="M1987" s="116">
        <v>58.95</v>
      </c>
      <c r="N1987" s="116">
        <v>60.2</v>
      </c>
      <c r="O1987" s="116">
        <v>58.7</v>
      </c>
      <c r="P1987" s="116">
        <v>59.63</v>
      </c>
      <c r="Q1987" s="116">
        <v>294.75</v>
      </c>
      <c r="R1987">
        <v>1411312</v>
      </c>
    </row>
    <row r="1988" spans="1:18" x14ac:dyDescent="0.25">
      <c r="A1988" s="170">
        <v>44930</v>
      </c>
      <c r="B1988" s="116">
        <v>59.21</v>
      </c>
      <c r="C1988" s="116">
        <v>57.37</v>
      </c>
      <c r="D1988" s="116">
        <v>57</v>
      </c>
      <c r="E1988" s="116">
        <v>59</v>
      </c>
      <c r="F1988" s="116">
        <v>286.85000000000002</v>
      </c>
      <c r="G1988">
        <v>488159</v>
      </c>
      <c r="H1988" s="116"/>
      <c r="I1988" s="116"/>
      <c r="L1988" s="170">
        <v>44930</v>
      </c>
      <c r="M1988" s="116">
        <v>57.32</v>
      </c>
      <c r="N1988" s="116">
        <v>59.2</v>
      </c>
      <c r="O1988" s="116">
        <v>56.91</v>
      </c>
      <c r="P1988" s="116">
        <v>58.95</v>
      </c>
      <c r="Q1988" s="116">
        <v>286.60000000000002</v>
      </c>
      <c r="R1988">
        <v>1643562</v>
      </c>
    </row>
    <row r="1989" spans="1:18" x14ac:dyDescent="0.25">
      <c r="A1989" s="170">
        <v>44931</v>
      </c>
      <c r="B1989" s="116">
        <v>58.61</v>
      </c>
      <c r="C1989" s="116">
        <v>57.76</v>
      </c>
      <c r="D1989" s="116">
        <v>55.41</v>
      </c>
      <c r="E1989" s="116">
        <v>57.38</v>
      </c>
      <c r="F1989" s="116">
        <v>288.8</v>
      </c>
      <c r="G1989">
        <v>426749</v>
      </c>
      <c r="H1989" s="116"/>
      <c r="I1989" s="116"/>
      <c r="L1989" s="170">
        <v>44931</v>
      </c>
      <c r="M1989" s="116">
        <v>57.75</v>
      </c>
      <c r="N1989" s="116">
        <v>58.64</v>
      </c>
      <c r="O1989" s="116">
        <v>55.4</v>
      </c>
      <c r="P1989" s="116">
        <v>57.59</v>
      </c>
      <c r="Q1989" s="116">
        <v>288.75</v>
      </c>
      <c r="R1989">
        <v>1868579</v>
      </c>
    </row>
    <row r="1990" spans="1:18" x14ac:dyDescent="0.25">
      <c r="A1990" s="170">
        <v>44932</v>
      </c>
      <c r="B1990" s="116">
        <v>58.2</v>
      </c>
      <c r="C1990" s="116">
        <v>56.68</v>
      </c>
      <c r="D1990" s="116">
        <v>56.3</v>
      </c>
      <c r="E1990" s="116">
        <v>57.83</v>
      </c>
      <c r="F1990" s="116">
        <v>283.39999999999998</v>
      </c>
      <c r="G1990">
        <v>376271</v>
      </c>
      <c r="H1990" s="116"/>
      <c r="I1990" s="116"/>
      <c r="L1990" s="170">
        <v>44932</v>
      </c>
      <c r="M1990" s="116">
        <v>56.68</v>
      </c>
      <c r="N1990" s="116">
        <v>58.2</v>
      </c>
      <c r="O1990" s="116">
        <v>56.22</v>
      </c>
      <c r="P1990" s="116">
        <v>58.14</v>
      </c>
      <c r="Q1990" s="116">
        <v>283.39999999999998</v>
      </c>
      <c r="R1990">
        <v>2199728</v>
      </c>
    </row>
    <row r="1991" spans="1:18" x14ac:dyDescent="0.25">
      <c r="A1991" s="170">
        <v>44935</v>
      </c>
      <c r="B1991" s="116">
        <v>58.82</v>
      </c>
      <c r="C1991" s="116">
        <v>57.52</v>
      </c>
      <c r="D1991" s="116">
        <v>57.03</v>
      </c>
      <c r="E1991" s="116">
        <v>57.2</v>
      </c>
      <c r="F1991" s="116">
        <v>287.60000000000002</v>
      </c>
      <c r="G1991">
        <v>357449</v>
      </c>
      <c r="H1991" s="116"/>
      <c r="I1991" s="116"/>
      <c r="L1991" s="170">
        <v>44935</v>
      </c>
      <c r="M1991" s="116">
        <v>57.54</v>
      </c>
      <c r="N1991" s="116">
        <v>58.8</v>
      </c>
      <c r="O1991" s="116">
        <v>57.04</v>
      </c>
      <c r="P1991" s="116">
        <v>57.39</v>
      </c>
      <c r="Q1991" s="116">
        <v>287.7</v>
      </c>
      <c r="R1991">
        <v>1770223</v>
      </c>
    </row>
    <row r="1992" spans="1:18" x14ac:dyDescent="0.25">
      <c r="A1992" s="170">
        <v>44936</v>
      </c>
      <c r="B1992" s="116">
        <v>57.51</v>
      </c>
      <c r="C1992" s="116">
        <v>55.88</v>
      </c>
      <c r="D1992" s="116">
        <v>54.98</v>
      </c>
      <c r="E1992" s="116">
        <v>57.3</v>
      </c>
      <c r="F1992" s="116">
        <v>279.39999999999998</v>
      </c>
      <c r="G1992">
        <v>299632</v>
      </c>
      <c r="H1992" s="116"/>
      <c r="I1992" s="116"/>
      <c r="L1992" s="170">
        <v>44936</v>
      </c>
      <c r="M1992" s="116">
        <v>55.84</v>
      </c>
      <c r="N1992" s="116">
        <v>57.59</v>
      </c>
      <c r="O1992" s="116">
        <v>54.93</v>
      </c>
      <c r="P1992" s="116">
        <v>57.59</v>
      </c>
      <c r="Q1992" s="116">
        <v>279.2</v>
      </c>
      <c r="R1992">
        <v>2577634</v>
      </c>
    </row>
    <row r="1993" spans="1:18" x14ac:dyDescent="0.25">
      <c r="A1993" s="170">
        <v>44937</v>
      </c>
      <c r="B1993" s="116">
        <v>56.73</v>
      </c>
      <c r="C1993" s="116">
        <v>55.26</v>
      </c>
      <c r="D1993" s="116">
        <v>54.41</v>
      </c>
      <c r="E1993" s="116">
        <v>56.4</v>
      </c>
      <c r="F1993" s="116">
        <v>276.3</v>
      </c>
      <c r="G1993">
        <v>372508</v>
      </c>
      <c r="H1993" s="116"/>
      <c r="I1993" s="116"/>
      <c r="L1993" s="170">
        <v>44937</v>
      </c>
      <c r="M1993" s="116">
        <v>55.24</v>
      </c>
      <c r="N1993" s="116">
        <v>56.68</v>
      </c>
      <c r="O1993" s="116">
        <v>54.91</v>
      </c>
      <c r="P1993" s="116">
        <v>56.36</v>
      </c>
      <c r="Q1993" s="116">
        <v>276.2</v>
      </c>
      <c r="R1993">
        <v>1976038</v>
      </c>
    </row>
    <row r="1994" spans="1:18" x14ac:dyDescent="0.25">
      <c r="A1994" s="170">
        <v>44938</v>
      </c>
      <c r="B1994" s="116">
        <v>56.15</v>
      </c>
      <c r="C1994" s="116">
        <v>54.71</v>
      </c>
      <c r="D1994" s="116">
        <v>54.03</v>
      </c>
      <c r="E1994" s="116">
        <v>55.28</v>
      </c>
      <c r="F1994" s="116">
        <v>273.55</v>
      </c>
      <c r="G1994">
        <v>421163</v>
      </c>
      <c r="H1994" s="116"/>
      <c r="I1994" s="116"/>
      <c r="L1994" s="170">
        <v>44938</v>
      </c>
      <c r="M1994" s="116">
        <v>54.73</v>
      </c>
      <c r="N1994" s="116">
        <v>56.14</v>
      </c>
      <c r="O1994" s="116">
        <v>54.01</v>
      </c>
      <c r="P1994" s="116">
        <v>55.53</v>
      </c>
      <c r="Q1994" s="116">
        <v>273.64999999999998</v>
      </c>
      <c r="R1994">
        <v>2016739</v>
      </c>
    </row>
    <row r="1995" spans="1:18" x14ac:dyDescent="0.25">
      <c r="A1995" s="170">
        <v>44939</v>
      </c>
      <c r="B1995" s="116">
        <v>56</v>
      </c>
      <c r="C1995" s="116">
        <v>55.74</v>
      </c>
      <c r="D1995" s="116">
        <v>54.45</v>
      </c>
      <c r="E1995" s="116">
        <v>54.75</v>
      </c>
      <c r="F1995" s="116">
        <v>278.7</v>
      </c>
      <c r="G1995">
        <v>206984</v>
      </c>
      <c r="H1995" s="116"/>
      <c r="I1995" s="116"/>
      <c r="L1995" s="170">
        <v>44939</v>
      </c>
      <c r="M1995" s="116">
        <v>55.74</v>
      </c>
      <c r="N1995" s="116">
        <v>56</v>
      </c>
      <c r="O1995" s="116">
        <v>54.4</v>
      </c>
      <c r="P1995" s="116">
        <v>54.98</v>
      </c>
      <c r="Q1995" s="116">
        <v>278.7</v>
      </c>
      <c r="R1995">
        <v>1512469</v>
      </c>
    </row>
    <row r="1996" spans="1:18" x14ac:dyDescent="0.25">
      <c r="A1996" s="170">
        <v>44942</v>
      </c>
      <c r="B1996" s="116">
        <v>56.59</v>
      </c>
      <c r="C1996" s="116">
        <v>54.64</v>
      </c>
      <c r="D1996" s="116">
        <v>54.28</v>
      </c>
      <c r="E1996" s="116">
        <v>56.59</v>
      </c>
      <c r="F1996" s="116">
        <v>273.2</v>
      </c>
      <c r="G1996">
        <v>367484</v>
      </c>
      <c r="H1996" s="116"/>
      <c r="I1996" s="116"/>
      <c r="L1996" s="170">
        <v>44942</v>
      </c>
      <c r="M1996" s="116">
        <v>54.59</v>
      </c>
      <c r="N1996" s="116">
        <v>56.44</v>
      </c>
      <c r="O1996" s="116">
        <v>54.3</v>
      </c>
      <c r="P1996" s="116">
        <v>56.2</v>
      </c>
      <c r="Q1996" s="116">
        <v>272.95</v>
      </c>
      <c r="R1996">
        <v>1956213</v>
      </c>
    </row>
    <row r="1997" spans="1:18" x14ac:dyDescent="0.25">
      <c r="A1997" s="170">
        <v>44943</v>
      </c>
      <c r="B1997" s="116">
        <v>56.6</v>
      </c>
      <c r="C1997" s="116">
        <v>56.36</v>
      </c>
      <c r="D1997" s="116">
        <v>54.35</v>
      </c>
      <c r="E1997" s="116">
        <v>54.96</v>
      </c>
      <c r="F1997" s="116">
        <v>281.8</v>
      </c>
      <c r="G1997">
        <v>437898</v>
      </c>
      <c r="H1997" s="116"/>
      <c r="I1997" s="116"/>
      <c r="L1997" s="170">
        <v>44943</v>
      </c>
      <c r="M1997" s="116">
        <v>56.39</v>
      </c>
      <c r="N1997" s="116">
        <v>56.65</v>
      </c>
      <c r="O1997" s="116">
        <v>54.35</v>
      </c>
      <c r="P1997" s="116">
        <v>54.69</v>
      </c>
      <c r="Q1997" s="116">
        <v>281.95</v>
      </c>
      <c r="R1997">
        <v>2342614</v>
      </c>
    </row>
    <row r="1998" spans="1:18" x14ac:dyDescent="0.25">
      <c r="A1998" s="170">
        <v>44944</v>
      </c>
      <c r="B1998" s="116">
        <v>56.52</v>
      </c>
      <c r="C1998" s="116">
        <v>55.74</v>
      </c>
      <c r="D1998" s="116">
        <v>55.4</v>
      </c>
      <c r="E1998" s="116">
        <v>56.34</v>
      </c>
      <c r="F1998" s="116">
        <v>278.7</v>
      </c>
      <c r="G1998">
        <v>111424</v>
      </c>
      <c r="H1998" s="116"/>
      <c r="I1998" s="116"/>
      <c r="L1998" s="170">
        <v>44944</v>
      </c>
      <c r="M1998" s="116">
        <v>55.74</v>
      </c>
      <c r="N1998" s="116">
        <v>56.6</v>
      </c>
      <c r="O1998" s="116">
        <v>55.4</v>
      </c>
      <c r="P1998" s="116">
        <v>56.5</v>
      </c>
      <c r="Q1998" s="116">
        <v>278.7</v>
      </c>
      <c r="R1998">
        <v>1202697</v>
      </c>
    </row>
    <row r="1999" spans="1:18" x14ac:dyDescent="0.25">
      <c r="A1999" s="170">
        <v>44945</v>
      </c>
      <c r="B1999" s="116">
        <v>56</v>
      </c>
      <c r="C1999" s="116">
        <v>55.58</v>
      </c>
      <c r="D1999" s="116">
        <v>54.65</v>
      </c>
      <c r="E1999" s="116">
        <v>55.22</v>
      </c>
      <c r="F1999" s="116">
        <v>277.89999999999998</v>
      </c>
      <c r="G1999">
        <v>292220</v>
      </c>
      <c r="H1999" s="116"/>
      <c r="I1999" s="116"/>
      <c r="L1999" s="170">
        <v>44945</v>
      </c>
      <c r="M1999" s="116">
        <v>55.51</v>
      </c>
      <c r="N1999" s="116">
        <v>56.09</v>
      </c>
      <c r="O1999" s="116">
        <v>54.64</v>
      </c>
      <c r="P1999" s="116">
        <v>55.3</v>
      </c>
      <c r="Q1999" s="116">
        <v>277.55</v>
      </c>
      <c r="R1999">
        <v>1376944</v>
      </c>
    </row>
    <row r="2000" spans="1:18" x14ac:dyDescent="0.25">
      <c r="A2000" s="170">
        <v>44946</v>
      </c>
      <c r="B2000" s="116">
        <v>55.49</v>
      </c>
      <c r="C2000" s="116">
        <v>55</v>
      </c>
      <c r="D2000" s="116">
        <v>54.7</v>
      </c>
      <c r="E2000" s="116">
        <v>55.4</v>
      </c>
      <c r="F2000" s="116">
        <v>275</v>
      </c>
      <c r="G2000">
        <v>214814</v>
      </c>
      <c r="H2000" s="116"/>
      <c r="I2000" s="116"/>
      <c r="L2000" s="170">
        <v>44946</v>
      </c>
      <c r="M2000" s="116">
        <v>55.01</v>
      </c>
      <c r="N2000" s="116">
        <v>55.4</v>
      </c>
      <c r="O2000" s="116">
        <v>54.68</v>
      </c>
      <c r="P2000" s="116">
        <v>55.37</v>
      </c>
      <c r="Q2000" s="116">
        <v>275.05</v>
      </c>
      <c r="R2000">
        <v>1047243</v>
      </c>
    </row>
    <row r="2001" spans="1:18" x14ac:dyDescent="0.25">
      <c r="A2001" s="170">
        <v>44949</v>
      </c>
      <c r="B2001" s="116">
        <v>55.38</v>
      </c>
      <c r="C2001" s="116">
        <v>54.65</v>
      </c>
      <c r="D2001" s="116">
        <v>54.36</v>
      </c>
      <c r="E2001" s="116">
        <v>55.06</v>
      </c>
      <c r="F2001" s="116">
        <v>273.25</v>
      </c>
      <c r="G2001">
        <v>101441</v>
      </c>
      <c r="H2001" s="116"/>
      <c r="I2001" s="116"/>
      <c r="L2001" s="170">
        <v>44949</v>
      </c>
      <c r="M2001" s="116">
        <v>54.64</v>
      </c>
      <c r="N2001" s="116">
        <v>55.34</v>
      </c>
      <c r="O2001" s="116">
        <v>54.23</v>
      </c>
      <c r="P2001" s="116">
        <v>55.09</v>
      </c>
      <c r="Q2001" s="116">
        <v>273.2</v>
      </c>
      <c r="R2001">
        <v>1204085</v>
      </c>
    </row>
    <row r="2002" spans="1:18" x14ac:dyDescent="0.25">
      <c r="A2002" s="170">
        <v>44950</v>
      </c>
      <c r="B2002" s="116">
        <v>55.82</v>
      </c>
      <c r="C2002" s="116">
        <v>54.96</v>
      </c>
      <c r="D2002" s="116">
        <v>54.46</v>
      </c>
      <c r="E2002" s="116">
        <v>54.61</v>
      </c>
      <c r="F2002" s="116">
        <v>274.8</v>
      </c>
      <c r="G2002">
        <v>305552</v>
      </c>
      <c r="H2002" s="116"/>
      <c r="I2002" s="116"/>
      <c r="L2002" s="170">
        <v>44950</v>
      </c>
      <c r="M2002" s="116">
        <v>54.93</v>
      </c>
      <c r="N2002" s="116">
        <v>55.86</v>
      </c>
      <c r="O2002" s="116">
        <v>54.46</v>
      </c>
      <c r="P2002" s="116">
        <v>54.94</v>
      </c>
      <c r="Q2002" s="116">
        <v>274.64999999999998</v>
      </c>
      <c r="R2002">
        <v>1465473</v>
      </c>
    </row>
    <row r="2003" spans="1:18" x14ac:dyDescent="0.25">
      <c r="A2003" s="170">
        <v>44951</v>
      </c>
      <c r="B2003" s="116">
        <v>54.61</v>
      </c>
      <c r="C2003" s="116">
        <v>52.22</v>
      </c>
      <c r="D2003" s="116">
        <v>52.22</v>
      </c>
      <c r="E2003" s="116">
        <v>54.5</v>
      </c>
      <c r="F2003" s="116">
        <v>261.10000000000002</v>
      </c>
      <c r="G2003">
        <v>763428</v>
      </c>
      <c r="H2003" s="116"/>
      <c r="I2003" s="116"/>
      <c r="L2003" s="170">
        <v>44951</v>
      </c>
      <c r="M2003" s="116">
        <v>52.2</v>
      </c>
      <c r="N2003" s="116">
        <v>54.6</v>
      </c>
      <c r="O2003" s="116">
        <v>52.19</v>
      </c>
      <c r="P2003" s="116">
        <v>54.6</v>
      </c>
      <c r="Q2003" s="116">
        <v>261</v>
      </c>
      <c r="R2003">
        <v>3626722</v>
      </c>
    </row>
    <row r="2004" spans="1:18" x14ac:dyDescent="0.25">
      <c r="A2004" s="170">
        <v>44953</v>
      </c>
      <c r="B2004" s="116">
        <v>50.09</v>
      </c>
      <c r="C2004" s="116">
        <v>49.61</v>
      </c>
      <c r="D2004" s="116">
        <v>49.61</v>
      </c>
      <c r="E2004" s="116">
        <v>49.76</v>
      </c>
      <c r="F2004" s="116">
        <v>248.05</v>
      </c>
      <c r="G2004">
        <v>673860</v>
      </c>
      <c r="H2004" s="116"/>
      <c r="I2004" s="116"/>
      <c r="L2004" s="170">
        <v>44953</v>
      </c>
      <c r="M2004" s="116">
        <v>49.59</v>
      </c>
      <c r="N2004" s="116">
        <v>50.01</v>
      </c>
      <c r="O2004" s="116">
        <v>49.59</v>
      </c>
      <c r="P2004" s="116">
        <v>50</v>
      </c>
      <c r="Q2004" s="116">
        <v>247.95</v>
      </c>
      <c r="R2004">
        <v>2322603</v>
      </c>
    </row>
    <row r="2005" spans="1:18" x14ac:dyDescent="0.25">
      <c r="A2005" s="170">
        <v>44956</v>
      </c>
      <c r="B2005" s="116">
        <v>47.13</v>
      </c>
      <c r="C2005" s="116">
        <v>47.13</v>
      </c>
      <c r="D2005" s="116">
        <v>47.13</v>
      </c>
      <c r="E2005" s="116">
        <v>47.13</v>
      </c>
      <c r="F2005" s="116">
        <v>235.65</v>
      </c>
      <c r="G2005">
        <v>527922</v>
      </c>
      <c r="H2005" s="116"/>
      <c r="I2005" s="116"/>
      <c r="L2005" s="170">
        <v>44956</v>
      </c>
      <c r="M2005" s="116">
        <v>47.11</v>
      </c>
      <c r="N2005" s="116">
        <v>47.11</v>
      </c>
      <c r="O2005" s="116">
        <v>47.11</v>
      </c>
      <c r="P2005" s="116">
        <v>47.11</v>
      </c>
      <c r="Q2005" s="116">
        <v>235.55</v>
      </c>
      <c r="R2005">
        <v>1475925</v>
      </c>
    </row>
    <row r="2006" spans="1:18" x14ac:dyDescent="0.25">
      <c r="A2006" s="170">
        <v>44957</v>
      </c>
      <c r="B2006" s="116">
        <v>44.78</v>
      </c>
      <c r="C2006" s="116">
        <v>44.78</v>
      </c>
      <c r="D2006" s="116">
        <v>44.78</v>
      </c>
      <c r="E2006" s="116">
        <v>44.78</v>
      </c>
      <c r="F2006" s="116">
        <v>223.9</v>
      </c>
      <c r="G2006">
        <v>261319</v>
      </c>
      <c r="H2006" s="116"/>
      <c r="I2006" s="116"/>
      <c r="L2006" s="170">
        <v>44957</v>
      </c>
      <c r="M2006" s="116">
        <v>44.76</v>
      </c>
      <c r="N2006" s="116">
        <v>44.76</v>
      </c>
      <c r="O2006" s="116">
        <v>44.76</v>
      </c>
      <c r="P2006" s="116">
        <v>44.76</v>
      </c>
      <c r="Q2006" s="116">
        <v>223.8</v>
      </c>
      <c r="R2006">
        <v>1489382</v>
      </c>
    </row>
    <row r="2007" spans="1:18" x14ac:dyDescent="0.25">
      <c r="A2007" s="170">
        <v>44958</v>
      </c>
      <c r="B2007" s="116">
        <v>44.6</v>
      </c>
      <c r="C2007" s="116">
        <v>42.55</v>
      </c>
      <c r="D2007" s="116">
        <v>42.55</v>
      </c>
      <c r="E2007" s="116">
        <v>43.23</v>
      </c>
      <c r="F2007" s="116">
        <v>212.75</v>
      </c>
      <c r="G2007">
        <v>1686100</v>
      </c>
      <c r="H2007" s="116"/>
      <c r="I2007" s="116"/>
      <c r="L2007" s="170">
        <v>44958</v>
      </c>
      <c r="M2007" s="116">
        <v>42.53</v>
      </c>
      <c r="N2007" s="116">
        <v>44.6</v>
      </c>
      <c r="O2007" s="116">
        <v>42.53</v>
      </c>
      <c r="P2007" s="116">
        <v>43.8</v>
      </c>
      <c r="Q2007" s="116">
        <v>212.65</v>
      </c>
      <c r="R2007">
        <v>14476793</v>
      </c>
    </row>
    <row r="2008" spans="1:18" x14ac:dyDescent="0.25">
      <c r="A2008" s="170">
        <v>44959</v>
      </c>
      <c r="B2008" s="116">
        <v>40.43</v>
      </c>
      <c r="C2008" s="116">
        <v>40.43</v>
      </c>
      <c r="D2008" s="116">
        <v>40.43</v>
      </c>
      <c r="E2008" s="116">
        <v>40.43</v>
      </c>
      <c r="F2008" s="116">
        <v>202.15</v>
      </c>
      <c r="G2008">
        <v>110268</v>
      </c>
      <c r="H2008" s="116"/>
      <c r="I2008" s="116"/>
      <c r="L2008" s="170">
        <v>44959</v>
      </c>
      <c r="M2008" s="116">
        <v>40.409999999999997</v>
      </c>
      <c r="N2008" s="116">
        <v>40.409999999999997</v>
      </c>
      <c r="O2008" s="116">
        <v>40.409999999999997</v>
      </c>
      <c r="P2008" s="116">
        <v>40.409999999999997</v>
      </c>
      <c r="Q2008" s="116">
        <v>202.05</v>
      </c>
      <c r="R2008">
        <v>768655</v>
      </c>
    </row>
    <row r="2009" spans="1:18" x14ac:dyDescent="0.25">
      <c r="A2009" s="170">
        <v>44960</v>
      </c>
      <c r="B2009" s="116">
        <v>38.409999999999997</v>
      </c>
      <c r="C2009" s="116">
        <v>38.409999999999997</v>
      </c>
      <c r="D2009" s="116">
        <v>38.409999999999997</v>
      </c>
      <c r="E2009" s="116">
        <v>38.409999999999997</v>
      </c>
      <c r="F2009" s="116">
        <v>192.05</v>
      </c>
      <c r="G2009">
        <v>162654</v>
      </c>
      <c r="H2009" s="116"/>
      <c r="I2009" s="116"/>
      <c r="L2009" s="170">
        <v>44960</v>
      </c>
      <c r="M2009" s="116">
        <v>38.39</v>
      </c>
      <c r="N2009" s="116">
        <v>38.39</v>
      </c>
      <c r="O2009" s="116">
        <v>38.39</v>
      </c>
      <c r="P2009" s="116">
        <v>38.39</v>
      </c>
      <c r="Q2009" s="116">
        <v>191.95</v>
      </c>
      <c r="R2009">
        <v>990679</v>
      </c>
    </row>
    <row r="2010" spans="1:18" x14ac:dyDescent="0.25">
      <c r="A2010" s="170">
        <v>44963</v>
      </c>
      <c r="B2010" s="116">
        <v>36.49</v>
      </c>
      <c r="C2010" s="116">
        <v>36.49</v>
      </c>
      <c r="D2010" s="116">
        <v>36.49</v>
      </c>
      <c r="E2010" s="116">
        <v>36.49</v>
      </c>
      <c r="F2010" s="116">
        <v>182.45</v>
      </c>
      <c r="G2010">
        <v>193534</v>
      </c>
      <c r="H2010" s="116"/>
      <c r="I2010" s="116"/>
      <c r="L2010" s="170">
        <v>44963</v>
      </c>
      <c r="M2010" s="116">
        <v>36.47</v>
      </c>
      <c r="N2010" s="116">
        <v>36.47</v>
      </c>
      <c r="O2010" s="116">
        <v>36.47</v>
      </c>
      <c r="P2010" s="116">
        <v>36.47</v>
      </c>
      <c r="Q2010" s="116">
        <v>182.35</v>
      </c>
      <c r="R2010">
        <v>993619</v>
      </c>
    </row>
    <row r="2011" spans="1:18" x14ac:dyDescent="0.25">
      <c r="A2011" s="170">
        <v>44964</v>
      </c>
      <c r="B2011" s="116">
        <v>37.200000000000003</v>
      </c>
      <c r="C2011" s="116">
        <v>34.67</v>
      </c>
      <c r="D2011" s="116">
        <v>34.67</v>
      </c>
      <c r="E2011" s="116">
        <v>34.67</v>
      </c>
      <c r="F2011" s="116">
        <v>173.35</v>
      </c>
      <c r="G2011">
        <v>13770323</v>
      </c>
      <c r="H2011" s="116"/>
      <c r="I2011" s="116"/>
      <c r="L2011" s="170">
        <v>44964</v>
      </c>
      <c r="M2011" s="116">
        <v>34.65</v>
      </c>
      <c r="N2011" s="116">
        <v>37.200000000000003</v>
      </c>
      <c r="O2011" s="116">
        <v>34.65</v>
      </c>
      <c r="P2011" s="116">
        <v>34.65</v>
      </c>
      <c r="Q2011" s="116">
        <v>173.25</v>
      </c>
      <c r="R2011">
        <v>122308732</v>
      </c>
    </row>
    <row r="2012" spans="1:18" x14ac:dyDescent="0.25">
      <c r="A2012" s="170">
        <v>44965</v>
      </c>
      <c r="B2012" s="116">
        <v>36.4</v>
      </c>
      <c r="C2012" s="116">
        <v>36.4</v>
      </c>
      <c r="D2012" s="116">
        <v>34.17</v>
      </c>
      <c r="E2012" s="116">
        <v>34.549999999999997</v>
      </c>
      <c r="F2012" s="116">
        <v>182</v>
      </c>
      <c r="G2012">
        <v>4893914</v>
      </c>
      <c r="H2012" s="116"/>
      <c r="I2012" s="116"/>
      <c r="L2012" s="170">
        <v>44965</v>
      </c>
      <c r="M2012" s="116">
        <v>36.380000000000003</v>
      </c>
      <c r="N2012" s="116">
        <v>36.380000000000003</v>
      </c>
      <c r="O2012" s="116">
        <v>34.200000000000003</v>
      </c>
      <c r="P2012" s="116">
        <v>34.65</v>
      </c>
      <c r="Q2012" s="116">
        <v>181.9</v>
      </c>
      <c r="R2012">
        <v>27906893</v>
      </c>
    </row>
    <row r="2013" spans="1:18" x14ac:dyDescent="0.25">
      <c r="A2013" s="170">
        <v>44966</v>
      </c>
      <c r="B2013" s="116">
        <v>34.58</v>
      </c>
      <c r="C2013" s="116">
        <v>34.58</v>
      </c>
      <c r="D2013" s="116">
        <v>34.58</v>
      </c>
      <c r="E2013" s="116">
        <v>34.58</v>
      </c>
      <c r="F2013" s="116">
        <v>172.9</v>
      </c>
      <c r="G2013">
        <v>836952</v>
      </c>
      <c r="H2013" s="116"/>
      <c r="I2013" s="116"/>
      <c r="L2013" s="170">
        <v>44966</v>
      </c>
      <c r="M2013" s="116">
        <v>34.56</v>
      </c>
      <c r="N2013" s="116">
        <v>34.56</v>
      </c>
      <c r="O2013" s="116">
        <v>34.56</v>
      </c>
      <c r="P2013" s="116">
        <v>34.56</v>
      </c>
      <c r="Q2013" s="116">
        <v>172.8</v>
      </c>
      <c r="R2013">
        <v>4471756</v>
      </c>
    </row>
    <row r="2014" spans="1:18" x14ac:dyDescent="0.25">
      <c r="A2014" s="170">
        <v>44967</v>
      </c>
      <c r="B2014" s="116">
        <v>32.86</v>
      </c>
      <c r="C2014" s="116">
        <v>32.86</v>
      </c>
      <c r="D2014" s="116">
        <v>32.86</v>
      </c>
      <c r="E2014" s="116">
        <v>32.86</v>
      </c>
      <c r="F2014" s="116">
        <v>164.3</v>
      </c>
      <c r="G2014">
        <v>317687</v>
      </c>
      <c r="H2014" s="116"/>
      <c r="I2014" s="116"/>
      <c r="L2014" s="170">
        <v>44967</v>
      </c>
      <c r="M2014" s="116">
        <v>32.840000000000003</v>
      </c>
      <c r="N2014" s="116">
        <v>32.840000000000003</v>
      </c>
      <c r="O2014" s="116">
        <v>32.840000000000003</v>
      </c>
      <c r="P2014" s="116">
        <v>32.840000000000003</v>
      </c>
      <c r="Q2014" s="116">
        <v>164.2</v>
      </c>
      <c r="R2014">
        <v>2082042</v>
      </c>
    </row>
    <row r="2015" spans="1:18" x14ac:dyDescent="0.25">
      <c r="A2015" s="170">
        <v>44970</v>
      </c>
      <c r="B2015" s="116">
        <v>32.15</v>
      </c>
      <c r="C2015" s="116">
        <v>31.22</v>
      </c>
      <c r="D2015" s="116">
        <v>31.22</v>
      </c>
      <c r="E2015" s="116">
        <v>31.22</v>
      </c>
      <c r="F2015" s="116">
        <v>156.1</v>
      </c>
      <c r="G2015">
        <v>1004313</v>
      </c>
      <c r="H2015" s="116"/>
      <c r="I2015" s="116"/>
      <c r="L2015" s="170">
        <v>44970</v>
      </c>
      <c r="M2015" s="116">
        <v>31.2</v>
      </c>
      <c r="N2015" s="116">
        <v>32.6</v>
      </c>
      <c r="O2015" s="116">
        <v>31.2</v>
      </c>
      <c r="P2015" s="116">
        <v>31.2</v>
      </c>
      <c r="Q2015" s="116">
        <v>156</v>
      </c>
      <c r="R2015">
        <v>5574579</v>
      </c>
    </row>
    <row r="2016" spans="1:18" x14ac:dyDescent="0.25">
      <c r="A2016" s="170">
        <v>44971</v>
      </c>
      <c r="B2016" s="116">
        <v>29.66</v>
      </c>
      <c r="C2016" s="116">
        <v>29.66</v>
      </c>
      <c r="D2016" s="116">
        <v>29.66</v>
      </c>
      <c r="E2016" s="116">
        <v>29.66</v>
      </c>
      <c r="F2016" s="116">
        <v>148.30000000000001</v>
      </c>
      <c r="G2016">
        <v>207621</v>
      </c>
      <c r="H2016" s="116"/>
      <c r="I2016" s="116"/>
      <c r="L2016" s="170">
        <v>44971</v>
      </c>
      <c r="M2016" s="116">
        <v>29.64</v>
      </c>
      <c r="N2016" s="116">
        <v>29.64</v>
      </c>
      <c r="O2016" s="116">
        <v>29.64</v>
      </c>
      <c r="P2016" s="116">
        <v>29.64</v>
      </c>
      <c r="Q2016" s="116">
        <v>148.19999999999999</v>
      </c>
      <c r="R2016">
        <v>940729</v>
      </c>
    </row>
    <row r="2017" spans="1:18" x14ac:dyDescent="0.25">
      <c r="A2017" s="170">
        <v>44972</v>
      </c>
      <c r="B2017" s="116">
        <v>28.18</v>
      </c>
      <c r="C2017" s="116">
        <v>28.18</v>
      </c>
      <c r="D2017" s="116">
        <v>28.18</v>
      </c>
      <c r="E2017" s="116">
        <v>28.18</v>
      </c>
      <c r="F2017" s="116">
        <v>140.9</v>
      </c>
      <c r="G2017">
        <v>291274</v>
      </c>
      <c r="H2017" s="116"/>
      <c r="I2017" s="116"/>
      <c r="L2017" s="170">
        <v>44972</v>
      </c>
      <c r="M2017" s="116">
        <v>28.16</v>
      </c>
      <c r="N2017" s="116">
        <v>28.16</v>
      </c>
      <c r="O2017" s="116">
        <v>28.16</v>
      </c>
      <c r="P2017" s="116">
        <v>28.16</v>
      </c>
      <c r="Q2017" s="116">
        <v>140.80000000000001</v>
      </c>
      <c r="R2017">
        <v>1576621</v>
      </c>
    </row>
    <row r="2018" spans="1:18" x14ac:dyDescent="0.25">
      <c r="A2018" s="170">
        <v>44973</v>
      </c>
      <c r="B2018" s="116">
        <v>29.58</v>
      </c>
      <c r="C2018" s="116">
        <v>29.58</v>
      </c>
      <c r="D2018" s="116">
        <v>28.2</v>
      </c>
      <c r="E2018" s="116">
        <v>28.2</v>
      </c>
      <c r="F2018" s="116">
        <v>147.9</v>
      </c>
      <c r="G2018">
        <v>4164614</v>
      </c>
      <c r="H2018" s="116"/>
      <c r="I2018" s="116"/>
      <c r="L2018" s="170">
        <v>44973</v>
      </c>
      <c r="M2018" s="116">
        <v>29.56</v>
      </c>
      <c r="N2018" s="116">
        <v>29.56</v>
      </c>
      <c r="O2018" s="116">
        <v>28.4</v>
      </c>
      <c r="P2018" s="116">
        <v>28.4</v>
      </c>
      <c r="Q2018" s="116">
        <v>147.80000000000001</v>
      </c>
      <c r="R2018">
        <v>20084998</v>
      </c>
    </row>
    <row r="2019" spans="1:18" x14ac:dyDescent="0.25">
      <c r="A2019" s="170">
        <v>44974</v>
      </c>
      <c r="B2019" s="116">
        <v>31.05</v>
      </c>
      <c r="C2019" s="116">
        <v>31.05</v>
      </c>
      <c r="D2019" s="116">
        <v>30.24</v>
      </c>
      <c r="E2019" s="116">
        <v>30.24</v>
      </c>
      <c r="F2019" s="116">
        <v>155.25</v>
      </c>
      <c r="G2019">
        <v>628469</v>
      </c>
      <c r="H2019" s="116"/>
      <c r="I2019" s="116"/>
      <c r="L2019" s="170">
        <v>44974</v>
      </c>
      <c r="M2019" s="116">
        <v>31.03</v>
      </c>
      <c r="N2019" s="116">
        <v>31.03</v>
      </c>
      <c r="O2019" s="116">
        <v>30.41</v>
      </c>
      <c r="P2019" s="116">
        <v>30.49</v>
      </c>
      <c r="Q2019" s="116">
        <v>155.15</v>
      </c>
      <c r="R2019">
        <v>3197811</v>
      </c>
    </row>
    <row r="2020" spans="1:18" x14ac:dyDescent="0.25">
      <c r="A2020" s="170">
        <v>44977</v>
      </c>
      <c r="B2020" s="116">
        <v>32.6</v>
      </c>
      <c r="C2020" s="116">
        <v>32.6</v>
      </c>
      <c r="D2020" s="116">
        <v>30.2</v>
      </c>
      <c r="E2020" s="116">
        <v>31.8</v>
      </c>
      <c r="F2020" s="116">
        <v>163</v>
      </c>
      <c r="G2020">
        <v>6682097</v>
      </c>
      <c r="H2020" s="116"/>
      <c r="I2020" s="116"/>
      <c r="L2020" s="170">
        <v>44977</v>
      </c>
      <c r="M2020" s="116">
        <v>32.58</v>
      </c>
      <c r="N2020" s="116">
        <v>32.58</v>
      </c>
      <c r="O2020" s="116">
        <v>30.16</v>
      </c>
      <c r="P2020" s="116">
        <v>31.65</v>
      </c>
      <c r="Q2020" s="116">
        <v>162.9</v>
      </c>
      <c r="R2020">
        <v>29505822</v>
      </c>
    </row>
    <row r="2021" spans="1:18" x14ac:dyDescent="0.25">
      <c r="A2021" s="170">
        <v>44978</v>
      </c>
      <c r="B2021" s="116">
        <v>34.229999999999997</v>
      </c>
      <c r="C2021" s="116">
        <v>34.229999999999997</v>
      </c>
      <c r="D2021" s="116">
        <v>33.26</v>
      </c>
      <c r="E2021" s="116">
        <v>33.5</v>
      </c>
      <c r="F2021" s="116">
        <v>171.15</v>
      </c>
      <c r="G2021">
        <v>1321006</v>
      </c>
      <c r="H2021" s="116"/>
      <c r="I2021" s="116"/>
      <c r="L2021" s="170">
        <v>44978</v>
      </c>
      <c r="M2021" s="116">
        <v>34.200000000000003</v>
      </c>
      <c r="N2021" s="116">
        <v>34.200000000000003</v>
      </c>
      <c r="O2021" s="116">
        <v>33.24</v>
      </c>
      <c r="P2021" s="116">
        <v>33.380000000000003</v>
      </c>
      <c r="Q2021" s="116">
        <v>171</v>
      </c>
      <c r="R2021">
        <v>6646310</v>
      </c>
    </row>
    <row r="2022" spans="1:18" x14ac:dyDescent="0.25">
      <c r="A2022" s="170">
        <v>44979</v>
      </c>
      <c r="B2022" s="116">
        <v>35.799999999999997</v>
      </c>
      <c r="C2022" s="116">
        <v>32.520000000000003</v>
      </c>
      <c r="D2022" s="116">
        <v>32.520000000000003</v>
      </c>
      <c r="E2022" s="116">
        <v>35.590000000000003</v>
      </c>
      <c r="F2022" s="116">
        <v>162.6</v>
      </c>
      <c r="G2022">
        <v>4209275</v>
      </c>
      <c r="H2022" s="116"/>
      <c r="I2022" s="116"/>
      <c r="L2022" s="170">
        <v>44979</v>
      </c>
      <c r="M2022" s="116">
        <v>32.49</v>
      </c>
      <c r="N2022" s="116">
        <v>35.78</v>
      </c>
      <c r="O2022" s="116">
        <v>32.49</v>
      </c>
      <c r="P2022" s="116">
        <v>35.4</v>
      </c>
      <c r="Q2022" s="116">
        <v>162.44999999999999</v>
      </c>
      <c r="R2022">
        <v>25913753</v>
      </c>
    </row>
    <row r="2023" spans="1:18" x14ac:dyDescent="0.25">
      <c r="A2023" s="170">
        <v>44980</v>
      </c>
      <c r="B2023" s="116">
        <v>31.75</v>
      </c>
      <c r="C2023" s="116">
        <v>30.9</v>
      </c>
      <c r="D2023" s="116">
        <v>30.9</v>
      </c>
      <c r="E2023" s="116">
        <v>31.2</v>
      </c>
      <c r="F2023" s="116">
        <v>154.5</v>
      </c>
      <c r="G2023">
        <v>3387193</v>
      </c>
      <c r="H2023" s="116"/>
      <c r="I2023" s="116"/>
      <c r="L2023" s="170">
        <v>44980</v>
      </c>
      <c r="M2023" s="116">
        <v>30.87</v>
      </c>
      <c r="N2023" s="116">
        <v>31.73</v>
      </c>
      <c r="O2023" s="116">
        <v>30.87</v>
      </c>
      <c r="P2023" s="116">
        <v>31.21</v>
      </c>
      <c r="Q2023" s="116">
        <v>154.35</v>
      </c>
      <c r="R2023">
        <v>22738196</v>
      </c>
    </row>
    <row r="2024" spans="1:18" x14ac:dyDescent="0.25">
      <c r="A2024" s="170">
        <v>44981</v>
      </c>
      <c r="B2024" s="116">
        <v>31.35</v>
      </c>
      <c r="C2024" s="116">
        <v>29.36</v>
      </c>
      <c r="D2024" s="116">
        <v>29.36</v>
      </c>
      <c r="E2024" s="116">
        <v>30.05</v>
      </c>
      <c r="F2024" s="116">
        <v>146.80000000000001</v>
      </c>
      <c r="G2024">
        <v>2267666</v>
      </c>
      <c r="H2024" s="116"/>
      <c r="I2024" s="116"/>
      <c r="L2024" s="170">
        <v>44981</v>
      </c>
      <c r="M2024" s="116">
        <v>29.33</v>
      </c>
      <c r="N2024" s="116">
        <v>31.34</v>
      </c>
      <c r="O2024" s="116">
        <v>29.33</v>
      </c>
      <c r="P2024" s="116">
        <v>30.02</v>
      </c>
      <c r="Q2024" s="116">
        <v>146.65</v>
      </c>
      <c r="R2024">
        <v>12016838</v>
      </c>
    </row>
    <row r="2025" spans="1:18" x14ac:dyDescent="0.25">
      <c r="A2025" s="170">
        <v>44984</v>
      </c>
      <c r="B2025" s="116">
        <v>29.09</v>
      </c>
      <c r="C2025" s="116">
        <v>27.9</v>
      </c>
      <c r="D2025" s="116">
        <v>27.9</v>
      </c>
      <c r="E2025" s="116">
        <v>28.5</v>
      </c>
      <c r="F2025" s="116">
        <v>139.5</v>
      </c>
      <c r="G2025">
        <v>1589510</v>
      </c>
      <c r="H2025" s="116"/>
      <c r="I2025" s="116"/>
      <c r="L2025" s="170">
        <v>44984</v>
      </c>
      <c r="M2025" s="116">
        <v>27.87</v>
      </c>
      <c r="N2025" s="116">
        <v>29.12</v>
      </c>
      <c r="O2025" s="116">
        <v>27.87</v>
      </c>
      <c r="P2025" s="116">
        <v>28.41</v>
      </c>
      <c r="Q2025" s="116">
        <v>139.35</v>
      </c>
      <c r="R2025">
        <v>9057254</v>
      </c>
    </row>
    <row r="2026" spans="1:18" x14ac:dyDescent="0.25">
      <c r="A2026" s="170">
        <v>44985</v>
      </c>
      <c r="B2026" s="116">
        <v>29.29</v>
      </c>
      <c r="C2026" s="116">
        <v>29.29</v>
      </c>
      <c r="D2026" s="116">
        <v>26.51</v>
      </c>
      <c r="E2026" s="116">
        <v>27.52</v>
      </c>
      <c r="F2026" s="116">
        <v>146.44999999999999</v>
      </c>
      <c r="G2026">
        <v>5195326</v>
      </c>
      <c r="H2026" s="116"/>
      <c r="I2026" s="116"/>
      <c r="L2026" s="170">
        <v>44985</v>
      </c>
      <c r="M2026" s="116">
        <v>29.26</v>
      </c>
      <c r="N2026" s="116">
        <v>29.26</v>
      </c>
      <c r="O2026" s="116">
        <v>26.48</v>
      </c>
      <c r="P2026" s="116">
        <v>27.02</v>
      </c>
      <c r="Q2026" s="116">
        <v>146.30000000000001</v>
      </c>
      <c r="R2026">
        <v>27171503</v>
      </c>
    </row>
    <row r="2027" spans="1:18" x14ac:dyDescent="0.25">
      <c r="A2027" s="170">
        <v>44986</v>
      </c>
      <c r="B2027" s="116">
        <v>30.75</v>
      </c>
      <c r="C2027" s="116">
        <v>30.75</v>
      </c>
      <c r="D2027" s="116">
        <v>30.5</v>
      </c>
      <c r="E2027" s="116">
        <v>30.75</v>
      </c>
      <c r="F2027" s="116">
        <v>153.75</v>
      </c>
      <c r="G2027">
        <v>501366</v>
      </c>
      <c r="H2027" s="116"/>
      <c r="I2027" s="116"/>
      <c r="L2027" s="170">
        <v>44986</v>
      </c>
      <c r="M2027" s="116">
        <v>30.72</v>
      </c>
      <c r="N2027" s="116">
        <v>30.72</v>
      </c>
      <c r="O2027" s="116">
        <v>30.43</v>
      </c>
      <c r="P2027" s="116">
        <v>30.6</v>
      </c>
      <c r="Q2027" s="116">
        <v>153.6</v>
      </c>
      <c r="R2027">
        <v>1372548</v>
      </c>
    </row>
    <row r="2028" spans="1:18" x14ac:dyDescent="0.25">
      <c r="A2028" s="170">
        <v>44987</v>
      </c>
      <c r="B2028" s="116">
        <v>32.28</v>
      </c>
      <c r="C2028" s="116">
        <v>32.28</v>
      </c>
      <c r="D2028" s="116">
        <v>32.28</v>
      </c>
      <c r="E2028" s="116">
        <v>32.28</v>
      </c>
      <c r="F2028" s="116">
        <v>161.4</v>
      </c>
      <c r="G2028">
        <v>552234</v>
      </c>
      <c r="H2028" s="116"/>
      <c r="I2028" s="116"/>
      <c r="L2028" s="170">
        <v>44987</v>
      </c>
      <c r="M2028" s="116">
        <v>32.25</v>
      </c>
      <c r="N2028" s="116">
        <v>32.25</v>
      </c>
      <c r="O2028" s="116">
        <v>32.25</v>
      </c>
      <c r="P2028" s="116">
        <v>32.25</v>
      </c>
      <c r="Q2028" s="116">
        <v>161.25</v>
      </c>
      <c r="R2028">
        <v>1030431</v>
      </c>
    </row>
    <row r="2029" spans="1:18" x14ac:dyDescent="0.25">
      <c r="A2029" s="170">
        <v>44988</v>
      </c>
      <c r="B2029" s="116">
        <v>33.89</v>
      </c>
      <c r="C2029" s="116">
        <v>33.89</v>
      </c>
      <c r="D2029" s="116">
        <v>33.89</v>
      </c>
      <c r="E2029" s="116">
        <v>33.89</v>
      </c>
      <c r="F2029" s="116">
        <v>169.45</v>
      </c>
      <c r="G2029">
        <v>301874</v>
      </c>
      <c r="H2029" s="116"/>
      <c r="I2029" s="116"/>
      <c r="L2029" s="170">
        <v>44988</v>
      </c>
      <c r="M2029" s="116">
        <v>33.86</v>
      </c>
      <c r="N2029" s="116">
        <v>33.86</v>
      </c>
      <c r="O2029" s="116">
        <v>33.86</v>
      </c>
      <c r="P2029" s="116">
        <v>33.86</v>
      </c>
      <c r="Q2029" s="116">
        <v>169.3</v>
      </c>
      <c r="R2029">
        <v>648028</v>
      </c>
    </row>
    <row r="2030" spans="1:18" x14ac:dyDescent="0.25">
      <c r="A2030" s="170">
        <v>44991</v>
      </c>
      <c r="B2030" s="116">
        <v>35.58</v>
      </c>
      <c r="C2030" s="116">
        <v>35.58</v>
      </c>
      <c r="D2030" s="116">
        <v>35.58</v>
      </c>
      <c r="E2030" s="116">
        <v>35.58</v>
      </c>
      <c r="F2030" s="116">
        <v>177.9</v>
      </c>
      <c r="G2030">
        <v>1080014</v>
      </c>
      <c r="H2030" s="116"/>
      <c r="I2030" s="116"/>
      <c r="L2030" s="170">
        <v>44991</v>
      </c>
      <c r="M2030" s="116">
        <v>35.549999999999997</v>
      </c>
      <c r="N2030" s="116">
        <v>35.549999999999997</v>
      </c>
      <c r="O2030" s="116">
        <v>35.549999999999997</v>
      </c>
      <c r="P2030" s="116">
        <v>35.549999999999997</v>
      </c>
      <c r="Q2030" s="116">
        <v>177.75</v>
      </c>
      <c r="R2030">
        <v>2877047</v>
      </c>
    </row>
    <row r="2031" spans="1:18" x14ac:dyDescent="0.25">
      <c r="A2031" s="170">
        <v>44993</v>
      </c>
      <c r="B2031" s="116">
        <v>37.35</v>
      </c>
      <c r="C2031" s="116">
        <v>37.35</v>
      </c>
      <c r="D2031" s="116">
        <v>35.049999999999997</v>
      </c>
      <c r="E2031" s="116">
        <v>37.19</v>
      </c>
      <c r="F2031" s="116">
        <v>186.75</v>
      </c>
      <c r="G2031">
        <v>3542913</v>
      </c>
      <c r="H2031" s="116"/>
      <c r="I2031" s="116"/>
      <c r="L2031" s="170">
        <v>44993</v>
      </c>
      <c r="M2031" s="116">
        <v>37.32</v>
      </c>
      <c r="N2031" s="116">
        <v>37.32</v>
      </c>
      <c r="O2031" s="116">
        <v>35.020000000000003</v>
      </c>
      <c r="P2031" s="116">
        <v>36.619999999999997</v>
      </c>
      <c r="Q2031" s="116">
        <v>186.6</v>
      </c>
      <c r="R2031">
        <v>19786702</v>
      </c>
    </row>
    <row r="2032" spans="1:18" x14ac:dyDescent="0.25">
      <c r="A2032" s="170">
        <v>44994</v>
      </c>
      <c r="B2032" s="116">
        <v>39.21</v>
      </c>
      <c r="C2032" s="116">
        <v>39.21</v>
      </c>
      <c r="D2032" s="116">
        <v>37.630000000000003</v>
      </c>
      <c r="E2032" s="116">
        <v>39.21</v>
      </c>
      <c r="F2032" s="116">
        <v>196.05</v>
      </c>
      <c r="G2032">
        <v>8826359</v>
      </c>
      <c r="H2032" s="116"/>
      <c r="I2032" s="116"/>
      <c r="L2032" s="170">
        <v>44994</v>
      </c>
      <c r="M2032" s="116">
        <v>39.18</v>
      </c>
      <c r="N2032" s="116">
        <v>39.18</v>
      </c>
      <c r="O2032" s="116">
        <v>37.630000000000003</v>
      </c>
      <c r="P2032" s="116">
        <v>39.18</v>
      </c>
      <c r="Q2032" s="116">
        <v>195.9</v>
      </c>
      <c r="R2032">
        <v>43138384</v>
      </c>
    </row>
    <row r="2033" spans="1:18" x14ac:dyDescent="0.25">
      <c r="A2033" s="170">
        <v>44995</v>
      </c>
      <c r="B2033" s="116">
        <v>41.17</v>
      </c>
      <c r="C2033" s="116">
        <v>41.05</v>
      </c>
      <c r="D2033" s="116">
        <v>37.450000000000003</v>
      </c>
      <c r="E2033" s="116">
        <v>38.799999999999997</v>
      </c>
      <c r="F2033" s="116">
        <v>205.25</v>
      </c>
      <c r="G2033">
        <v>5679914</v>
      </c>
      <c r="H2033" s="116"/>
      <c r="I2033" s="116"/>
      <c r="L2033" s="170">
        <v>44995</v>
      </c>
      <c r="M2033" s="116">
        <v>40.98</v>
      </c>
      <c r="N2033" s="116">
        <v>41.13</v>
      </c>
      <c r="O2033" s="116">
        <v>37.450000000000003</v>
      </c>
      <c r="P2033" s="116">
        <v>38.6</v>
      </c>
      <c r="Q2033" s="116">
        <v>204.9</v>
      </c>
      <c r="R2033">
        <v>34315072</v>
      </c>
    </row>
    <row r="2034" spans="1:18" x14ac:dyDescent="0.25">
      <c r="A2034" s="170">
        <v>44998</v>
      </c>
      <c r="B2034" s="116">
        <v>43.1</v>
      </c>
      <c r="C2034" s="116">
        <v>43.1</v>
      </c>
      <c r="D2034" s="116">
        <v>42.18</v>
      </c>
      <c r="E2034" s="116">
        <v>42.95</v>
      </c>
      <c r="F2034" s="116">
        <v>215.5</v>
      </c>
      <c r="G2034">
        <v>6507718</v>
      </c>
      <c r="H2034" s="116"/>
      <c r="I2034" s="116"/>
      <c r="L2034" s="170">
        <v>44998</v>
      </c>
      <c r="M2034" s="116">
        <v>43.02</v>
      </c>
      <c r="N2034" s="116">
        <v>43.02</v>
      </c>
      <c r="O2034" s="116">
        <v>42.21</v>
      </c>
      <c r="P2034" s="116">
        <v>42.34</v>
      </c>
      <c r="Q2034" s="116">
        <v>215.1</v>
      </c>
      <c r="R2034">
        <v>22286761</v>
      </c>
    </row>
    <row r="2035" spans="1:18" x14ac:dyDescent="0.25">
      <c r="A2035" s="170">
        <v>44999</v>
      </c>
      <c r="B2035" s="116">
        <v>43.6</v>
      </c>
      <c r="C2035" s="116">
        <v>40.950000000000003</v>
      </c>
      <c r="D2035" s="116">
        <v>40.950000000000003</v>
      </c>
      <c r="E2035" s="116">
        <v>43.43</v>
      </c>
      <c r="F2035" s="116">
        <v>204.75</v>
      </c>
      <c r="G2035">
        <v>2358918</v>
      </c>
      <c r="H2035" s="116"/>
      <c r="I2035" s="116"/>
      <c r="L2035" s="170">
        <v>44999</v>
      </c>
      <c r="M2035" s="116">
        <v>40.869999999999997</v>
      </c>
      <c r="N2035" s="116">
        <v>43.47</v>
      </c>
      <c r="O2035" s="116">
        <v>40.869999999999997</v>
      </c>
      <c r="P2035" s="116">
        <v>43.47</v>
      </c>
      <c r="Q2035" s="116">
        <v>204.35</v>
      </c>
      <c r="R2035">
        <v>14455921</v>
      </c>
    </row>
    <row r="2036" spans="1:18" x14ac:dyDescent="0.25">
      <c r="A2036" s="170">
        <v>45000</v>
      </c>
      <c r="B2036" s="116">
        <v>42.99</v>
      </c>
      <c r="C2036" s="116">
        <v>40.43</v>
      </c>
      <c r="D2036" s="116">
        <v>38.909999999999997</v>
      </c>
      <c r="E2036" s="116">
        <v>38.909999999999997</v>
      </c>
      <c r="F2036" s="116">
        <v>202.15</v>
      </c>
      <c r="G2036">
        <v>7421938</v>
      </c>
      <c r="H2036" s="116"/>
      <c r="I2036" s="116"/>
      <c r="L2036" s="170">
        <v>45000</v>
      </c>
      <c r="M2036" s="116">
        <v>40.36</v>
      </c>
      <c r="N2036" s="116">
        <v>42.91</v>
      </c>
      <c r="O2036" s="116">
        <v>38.83</v>
      </c>
      <c r="P2036" s="116">
        <v>38.83</v>
      </c>
      <c r="Q2036" s="116">
        <v>201.8</v>
      </c>
      <c r="R2036">
        <v>45364592</v>
      </c>
    </row>
    <row r="2037" spans="1:18" x14ac:dyDescent="0.25">
      <c r="A2037" s="170">
        <v>45001</v>
      </c>
      <c r="B2037" s="116">
        <v>41.18</v>
      </c>
      <c r="C2037" s="116">
        <v>39.75</v>
      </c>
      <c r="D2037" s="116">
        <v>38.909999999999997</v>
      </c>
      <c r="E2037" s="116">
        <v>40.200000000000003</v>
      </c>
      <c r="F2037" s="116">
        <v>198.75</v>
      </c>
      <c r="G2037">
        <v>2640194</v>
      </c>
      <c r="H2037" s="116"/>
      <c r="I2037" s="116"/>
      <c r="L2037" s="170">
        <v>45001</v>
      </c>
      <c r="M2037" s="116">
        <v>39.74</v>
      </c>
      <c r="N2037" s="116">
        <v>41.19</v>
      </c>
      <c r="O2037" s="116">
        <v>39.04</v>
      </c>
      <c r="P2037" s="116">
        <v>40.1</v>
      </c>
      <c r="Q2037" s="116">
        <v>198.7</v>
      </c>
      <c r="R2037">
        <v>17003632</v>
      </c>
    </row>
    <row r="2038" spans="1:18" x14ac:dyDescent="0.25">
      <c r="A2038" s="170">
        <v>45002</v>
      </c>
      <c r="B2038" s="116">
        <v>41</v>
      </c>
      <c r="C2038" s="116">
        <v>39.99</v>
      </c>
      <c r="D2038" s="116">
        <v>39.659999999999997</v>
      </c>
      <c r="E2038" s="116">
        <v>40.700000000000003</v>
      </c>
      <c r="F2038" s="116">
        <v>199.95</v>
      </c>
      <c r="G2038">
        <v>2013589</v>
      </c>
      <c r="H2038" s="116"/>
      <c r="I2038" s="116"/>
      <c r="L2038" s="170">
        <v>45002</v>
      </c>
      <c r="M2038" s="116">
        <v>39.99</v>
      </c>
      <c r="N2038" s="116">
        <v>41.06</v>
      </c>
      <c r="O2038" s="116">
        <v>39.65</v>
      </c>
      <c r="P2038" s="116">
        <v>40.770000000000003</v>
      </c>
      <c r="Q2038" s="116">
        <v>199.95</v>
      </c>
      <c r="R2038">
        <v>11391354</v>
      </c>
    </row>
    <row r="2039" spans="1:18" x14ac:dyDescent="0.25">
      <c r="A2039" s="170">
        <v>45005</v>
      </c>
      <c r="B2039" s="116">
        <v>39.340000000000003</v>
      </c>
      <c r="C2039" s="116">
        <v>38.06</v>
      </c>
      <c r="D2039" s="116">
        <v>38</v>
      </c>
      <c r="E2039" s="116">
        <v>38.799999999999997</v>
      </c>
      <c r="F2039" s="116">
        <v>190.3</v>
      </c>
      <c r="G2039">
        <v>2070948</v>
      </c>
      <c r="H2039" s="116"/>
      <c r="I2039" s="116"/>
      <c r="L2039" s="170">
        <v>45005</v>
      </c>
      <c r="M2039" s="116">
        <v>38.04</v>
      </c>
      <c r="N2039" s="116">
        <v>39.36</v>
      </c>
      <c r="O2039" s="116">
        <v>37.99</v>
      </c>
      <c r="P2039" s="116">
        <v>38.6</v>
      </c>
      <c r="Q2039" s="116">
        <v>190.2</v>
      </c>
      <c r="R2039">
        <v>12119227</v>
      </c>
    </row>
    <row r="2040" spans="1:18" x14ac:dyDescent="0.25">
      <c r="A2040" s="170">
        <v>45006</v>
      </c>
      <c r="B2040" s="116">
        <v>39.96</v>
      </c>
      <c r="C2040" s="116">
        <v>39.96</v>
      </c>
      <c r="D2040" s="116">
        <v>37.299999999999997</v>
      </c>
      <c r="E2040" s="116">
        <v>38.44</v>
      </c>
      <c r="F2040" s="116">
        <v>199.8</v>
      </c>
      <c r="G2040">
        <v>2270145</v>
      </c>
      <c r="H2040" s="116"/>
      <c r="I2040" s="116"/>
      <c r="L2040" s="170">
        <v>45006</v>
      </c>
      <c r="M2040" s="116">
        <v>39.94</v>
      </c>
      <c r="N2040" s="116">
        <v>39.94</v>
      </c>
      <c r="O2040" s="116">
        <v>37.31</v>
      </c>
      <c r="P2040" s="116">
        <v>38.380000000000003</v>
      </c>
      <c r="Q2040" s="116">
        <v>199.7</v>
      </c>
      <c r="R2040">
        <v>12141316</v>
      </c>
    </row>
    <row r="2041" spans="1:18" x14ac:dyDescent="0.25">
      <c r="A2041" s="170">
        <v>45007</v>
      </c>
      <c r="B2041" s="116">
        <v>41.54</v>
      </c>
      <c r="C2041" s="116">
        <v>40.770000000000003</v>
      </c>
      <c r="D2041" s="116">
        <v>40.020000000000003</v>
      </c>
      <c r="E2041" s="116">
        <v>40.4</v>
      </c>
      <c r="F2041" s="116">
        <v>203.85</v>
      </c>
      <c r="G2041">
        <v>2001367</v>
      </c>
      <c r="H2041" s="116"/>
      <c r="I2041" s="116"/>
      <c r="L2041" s="170">
        <v>45007</v>
      </c>
      <c r="M2041" s="116">
        <v>40.81</v>
      </c>
      <c r="N2041" s="116">
        <v>41.54</v>
      </c>
      <c r="O2041" s="116">
        <v>40.229999999999997</v>
      </c>
      <c r="P2041" s="116">
        <v>40.630000000000003</v>
      </c>
      <c r="Q2041" s="116">
        <v>204.05</v>
      </c>
      <c r="R2041">
        <v>10063003</v>
      </c>
    </row>
    <row r="2042" spans="1:18" x14ac:dyDescent="0.25">
      <c r="A2042" s="170">
        <v>45008</v>
      </c>
      <c r="B2042" s="116">
        <v>42.3</v>
      </c>
      <c r="C2042" s="116">
        <v>40.24</v>
      </c>
      <c r="D2042" s="116">
        <v>40.04</v>
      </c>
      <c r="E2042" s="116">
        <v>40.4</v>
      </c>
      <c r="F2042" s="116">
        <v>201.2</v>
      </c>
      <c r="G2042">
        <v>1146989</v>
      </c>
      <c r="H2042" s="116"/>
      <c r="I2042" s="116"/>
      <c r="L2042" s="170">
        <v>45008</v>
      </c>
      <c r="M2042" s="116">
        <v>40.28</v>
      </c>
      <c r="N2042" s="116">
        <v>42.28</v>
      </c>
      <c r="O2042" s="116">
        <v>40.06</v>
      </c>
      <c r="P2042" s="116">
        <v>40.340000000000003</v>
      </c>
      <c r="Q2042" s="116">
        <v>201.4</v>
      </c>
      <c r="R2042">
        <v>14688196</v>
      </c>
    </row>
    <row r="2043" spans="1:18" x14ac:dyDescent="0.25">
      <c r="A2043" s="170">
        <v>45009</v>
      </c>
      <c r="B2043" s="116">
        <v>40.770000000000003</v>
      </c>
      <c r="C2043" s="116">
        <v>38.520000000000003</v>
      </c>
      <c r="D2043" s="116">
        <v>38.43</v>
      </c>
      <c r="E2043" s="116">
        <v>40.26</v>
      </c>
      <c r="F2043" s="116">
        <v>192.6</v>
      </c>
      <c r="G2043">
        <v>1091108</v>
      </c>
      <c r="H2043" s="116"/>
      <c r="I2043" s="116"/>
      <c r="L2043" s="170">
        <v>45009</v>
      </c>
      <c r="M2043" s="116">
        <v>38.520000000000003</v>
      </c>
      <c r="N2043" s="116">
        <v>40.799999999999997</v>
      </c>
      <c r="O2043" s="116">
        <v>38.43</v>
      </c>
      <c r="P2043" s="116">
        <v>40.51</v>
      </c>
      <c r="Q2043" s="116">
        <v>192.6</v>
      </c>
      <c r="R2043">
        <v>13774170</v>
      </c>
    </row>
    <row r="2044" spans="1:18" x14ac:dyDescent="0.25">
      <c r="A2044" s="170">
        <v>45012</v>
      </c>
      <c r="B2044" s="116">
        <v>39.1</v>
      </c>
      <c r="C2044" s="116">
        <v>36.6</v>
      </c>
      <c r="D2044" s="116">
        <v>36.6</v>
      </c>
      <c r="E2044" s="116">
        <v>39</v>
      </c>
      <c r="F2044" s="116">
        <v>183</v>
      </c>
      <c r="G2044">
        <v>1621429</v>
      </c>
      <c r="H2044" s="116"/>
      <c r="I2044" s="116"/>
      <c r="L2044" s="170">
        <v>45012</v>
      </c>
      <c r="M2044" s="116">
        <v>36.6</v>
      </c>
      <c r="N2044" s="116">
        <v>39.119999999999997</v>
      </c>
      <c r="O2044" s="116">
        <v>36.6</v>
      </c>
      <c r="P2044" s="116">
        <v>39.119999999999997</v>
      </c>
      <c r="Q2044" s="116">
        <v>183</v>
      </c>
      <c r="R2044">
        <v>8057710</v>
      </c>
    </row>
    <row r="2045" spans="1:18" x14ac:dyDescent="0.25">
      <c r="A2045" s="170">
        <v>45013</v>
      </c>
      <c r="B2045" s="116">
        <v>36.56</v>
      </c>
      <c r="C2045" s="116">
        <v>34.770000000000003</v>
      </c>
      <c r="D2045" s="116">
        <v>34.770000000000003</v>
      </c>
      <c r="E2045" s="116">
        <v>35.96</v>
      </c>
      <c r="F2045" s="116">
        <v>173.85</v>
      </c>
      <c r="G2045">
        <v>1000210</v>
      </c>
      <c r="H2045" s="116"/>
      <c r="I2045" s="116"/>
      <c r="L2045" s="170">
        <v>45013</v>
      </c>
      <c r="M2045" s="116">
        <v>34.770000000000003</v>
      </c>
      <c r="N2045" s="116">
        <v>36.6</v>
      </c>
      <c r="O2045" s="116">
        <v>34.770000000000003</v>
      </c>
      <c r="P2045" s="116">
        <v>35.79</v>
      </c>
      <c r="Q2045" s="116">
        <v>173.85</v>
      </c>
      <c r="R2045">
        <v>5385184</v>
      </c>
    </row>
    <row r="2046" spans="1:18" x14ac:dyDescent="0.25">
      <c r="A2046" s="170">
        <v>45014</v>
      </c>
      <c r="B2046" s="116">
        <v>36.5</v>
      </c>
      <c r="C2046" s="116">
        <v>36.5</v>
      </c>
      <c r="D2046" s="116">
        <v>33.25</v>
      </c>
      <c r="E2046" s="116">
        <v>33.25</v>
      </c>
      <c r="F2046" s="116">
        <v>182.5</v>
      </c>
      <c r="G2046">
        <v>2135874</v>
      </c>
      <c r="H2046" s="116"/>
      <c r="I2046" s="116"/>
      <c r="L2046" s="170">
        <v>45014</v>
      </c>
      <c r="M2046" s="116">
        <v>36.5</v>
      </c>
      <c r="N2046" s="116">
        <v>36.5</v>
      </c>
      <c r="O2046" s="116">
        <v>33.28</v>
      </c>
      <c r="P2046" s="116">
        <v>33.4</v>
      </c>
      <c r="Q2046" s="116">
        <v>182.5</v>
      </c>
      <c r="R2046">
        <v>16463799</v>
      </c>
    </row>
    <row r="2047" spans="1:18" x14ac:dyDescent="0.25">
      <c r="A2047" s="170">
        <v>45016</v>
      </c>
      <c r="B2047" s="116">
        <v>38.32</v>
      </c>
      <c r="C2047" s="116">
        <v>38.32</v>
      </c>
      <c r="D2047" s="116">
        <v>37.799999999999997</v>
      </c>
      <c r="E2047" s="116">
        <v>37.880000000000003</v>
      </c>
      <c r="F2047" s="116">
        <v>191.6</v>
      </c>
      <c r="G2047">
        <v>1414315</v>
      </c>
      <c r="H2047" s="116"/>
      <c r="I2047" s="116"/>
      <c r="L2047" s="170">
        <v>45016</v>
      </c>
      <c r="M2047" s="116">
        <v>38.32</v>
      </c>
      <c r="N2047" s="116">
        <v>38.32</v>
      </c>
      <c r="O2047" s="116">
        <v>37.729999999999997</v>
      </c>
      <c r="P2047" s="116">
        <v>38.090000000000003</v>
      </c>
      <c r="Q2047" s="116">
        <v>191.6</v>
      </c>
      <c r="R2047">
        <v>7735789</v>
      </c>
    </row>
    <row r="2048" spans="1:18" x14ac:dyDescent="0.25">
      <c r="A2048" s="170">
        <v>45019</v>
      </c>
      <c r="B2048" s="116">
        <v>39.15</v>
      </c>
      <c r="C2048" s="116">
        <v>38.11</v>
      </c>
      <c r="D2048" s="116">
        <v>37.270000000000003</v>
      </c>
      <c r="E2048" s="116">
        <v>39</v>
      </c>
      <c r="F2048" s="116">
        <v>190.55</v>
      </c>
      <c r="G2048">
        <v>1392143</v>
      </c>
      <c r="H2048" s="116"/>
      <c r="I2048" s="116"/>
      <c r="L2048" s="170">
        <v>45019</v>
      </c>
      <c r="M2048" s="116">
        <v>38.11</v>
      </c>
      <c r="N2048" s="116">
        <v>39.19</v>
      </c>
      <c r="O2048" s="116">
        <v>37.200000000000003</v>
      </c>
      <c r="P2048" s="116">
        <v>39</v>
      </c>
      <c r="Q2048" s="116">
        <v>190.55</v>
      </c>
      <c r="R2048">
        <v>8826718</v>
      </c>
    </row>
    <row r="2049" spans="1:18" x14ac:dyDescent="0.25">
      <c r="A2049" s="170">
        <v>45021</v>
      </c>
      <c r="B2049" s="116">
        <v>38.799999999999997</v>
      </c>
      <c r="C2049" s="116">
        <v>38.01</v>
      </c>
      <c r="D2049" s="116">
        <v>37.299999999999997</v>
      </c>
      <c r="E2049" s="116">
        <v>38</v>
      </c>
      <c r="F2049" s="116">
        <v>190.05</v>
      </c>
      <c r="G2049">
        <v>602303</v>
      </c>
      <c r="H2049" s="116"/>
      <c r="I2049" s="116"/>
      <c r="L2049" s="170">
        <v>45021</v>
      </c>
      <c r="M2049" s="116">
        <v>38.020000000000003</v>
      </c>
      <c r="N2049" s="116">
        <v>38.799999999999997</v>
      </c>
      <c r="O2049" s="116">
        <v>37.28</v>
      </c>
      <c r="P2049" s="116">
        <v>37.799999999999997</v>
      </c>
      <c r="Q2049" s="116">
        <v>190.1</v>
      </c>
      <c r="R2049">
        <v>6249626</v>
      </c>
    </row>
    <row r="2050" spans="1:18" x14ac:dyDescent="0.25">
      <c r="A2050" s="170">
        <v>45022</v>
      </c>
      <c r="B2050" s="116">
        <v>39.4</v>
      </c>
      <c r="C2050" s="116">
        <v>38.43</v>
      </c>
      <c r="D2050" s="116">
        <v>37.46</v>
      </c>
      <c r="E2050" s="116">
        <v>38.03</v>
      </c>
      <c r="F2050" s="116">
        <v>192.15</v>
      </c>
      <c r="G2050">
        <v>1088033</v>
      </c>
      <c r="H2050" s="116"/>
      <c r="I2050" s="116"/>
      <c r="L2050" s="170">
        <v>45022</v>
      </c>
      <c r="M2050" s="116">
        <v>38.44</v>
      </c>
      <c r="N2050" s="116">
        <v>39.39</v>
      </c>
      <c r="O2050" s="116">
        <v>37.42</v>
      </c>
      <c r="P2050" s="116">
        <v>38.26</v>
      </c>
      <c r="Q2050" s="116">
        <v>192.2</v>
      </c>
      <c r="R2050">
        <v>11740797</v>
      </c>
    </row>
    <row r="2051" spans="1:18" x14ac:dyDescent="0.25">
      <c r="A2051" s="170">
        <v>45026</v>
      </c>
      <c r="B2051" s="116">
        <v>39.5</v>
      </c>
      <c r="C2051" s="116">
        <v>38.799999999999997</v>
      </c>
      <c r="D2051" s="116">
        <v>38.6</v>
      </c>
      <c r="E2051" s="116">
        <v>38.6</v>
      </c>
      <c r="F2051" s="116">
        <v>194</v>
      </c>
      <c r="G2051">
        <v>438023</v>
      </c>
      <c r="H2051" s="116"/>
      <c r="I2051" s="116"/>
      <c r="L2051" s="170">
        <v>45026</v>
      </c>
      <c r="M2051" s="116">
        <v>38.799999999999997</v>
      </c>
      <c r="N2051" s="116">
        <v>39.54</v>
      </c>
      <c r="O2051" s="116">
        <v>38.6</v>
      </c>
      <c r="P2051" s="116">
        <v>38.68</v>
      </c>
      <c r="Q2051" s="116">
        <v>194</v>
      </c>
      <c r="R2051">
        <v>6052568</v>
      </c>
    </row>
    <row r="2052" spans="1:18" x14ac:dyDescent="0.25">
      <c r="A2052" s="170">
        <v>45027</v>
      </c>
      <c r="B2052" s="116">
        <v>39.619999999999997</v>
      </c>
      <c r="C2052" s="116">
        <v>38.78</v>
      </c>
      <c r="D2052" s="116">
        <v>38.659999999999997</v>
      </c>
      <c r="E2052" s="116">
        <v>38.81</v>
      </c>
      <c r="F2052" s="116">
        <v>193.9</v>
      </c>
      <c r="G2052">
        <v>884896</v>
      </c>
      <c r="H2052" s="116"/>
      <c r="I2052" s="116"/>
      <c r="L2052" s="170">
        <v>45027</v>
      </c>
      <c r="M2052" s="116">
        <v>38.799999999999997</v>
      </c>
      <c r="N2052" s="116">
        <v>39.659999999999997</v>
      </c>
      <c r="O2052" s="116">
        <v>38.619999999999997</v>
      </c>
      <c r="P2052" s="116">
        <v>38.86</v>
      </c>
      <c r="Q2052" s="116">
        <v>194</v>
      </c>
      <c r="R2052">
        <v>5731535</v>
      </c>
    </row>
    <row r="2053" spans="1:18" x14ac:dyDescent="0.25">
      <c r="A2053" s="170">
        <v>45028</v>
      </c>
      <c r="B2053" s="116">
        <v>39.4</v>
      </c>
      <c r="C2053" s="116">
        <v>38.49</v>
      </c>
      <c r="D2053" s="116">
        <v>38.32</v>
      </c>
      <c r="E2053" s="116">
        <v>39.020000000000003</v>
      </c>
      <c r="F2053" s="116">
        <v>192.45</v>
      </c>
      <c r="G2053">
        <v>537060</v>
      </c>
      <c r="H2053" s="116"/>
      <c r="I2053" s="116"/>
      <c r="L2053" s="170">
        <v>45028</v>
      </c>
      <c r="M2053" s="116">
        <v>38.49</v>
      </c>
      <c r="N2053" s="116">
        <v>39.380000000000003</v>
      </c>
      <c r="O2053" s="116">
        <v>38.32</v>
      </c>
      <c r="P2053" s="116">
        <v>38.979999999999997</v>
      </c>
      <c r="Q2053" s="116">
        <v>192.45</v>
      </c>
      <c r="R2053">
        <v>6182146</v>
      </c>
    </row>
    <row r="2054" spans="1:18" x14ac:dyDescent="0.25">
      <c r="A2054" s="170">
        <v>45029</v>
      </c>
      <c r="B2054" s="116">
        <v>38.700000000000003</v>
      </c>
      <c r="C2054" s="116">
        <v>37.880000000000003</v>
      </c>
      <c r="D2054" s="116">
        <v>37.65</v>
      </c>
      <c r="E2054" s="116">
        <v>38.4</v>
      </c>
      <c r="F2054" s="116">
        <v>189.4</v>
      </c>
      <c r="G2054">
        <v>590612</v>
      </c>
      <c r="H2054" s="116"/>
      <c r="I2054" s="116"/>
      <c r="L2054" s="170">
        <v>45029</v>
      </c>
      <c r="M2054" s="116">
        <v>37.83</v>
      </c>
      <c r="N2054" s="116">
        <v>38.76</v>
      </c>
      <c r="O2054" s="116">
        <v>37.619999999999997</v>
      </c>
      <c r="P2054" s="116">
        <v>38.49</v>
      </c>
      <c r="Q2054" s="116">
        <v>189.15</v>
      </c>
      <c r="R2054">
        <v>3351950</v>
      </c>
    </row>
    <row r="2055" spans="1:18" x14ac:dyDescent="0.25">
      <c r="A2055" s="170">
        <v>45033</v>
      </c>
      <c r="B2055" s="116">
        <v>38.380000000000003</v>
      </c>
      <c r="C2055" s="116">
        <v>37.869999999999997</v>
      </c>
      <c r="D2055" s="116">
        <v>37.6</v>
      </c>
      <c r="E2055" s="116">
        <v>37.659999999999997</v>
      </c>
      <c r="F2055" s="116">
        <v>189.35</v>
      </c>
      <c r="G2055">
        <v>624346</v>
      </c>
      <c r="H2055" s="116"/>
      <c r="I2055" s="116"/>
      <c r="L2055" s="170">
        <v>45033</v>
      </c>
      <c r="M2055" s="116">
        <v>37.89</v>
      </c>
      <c r="N2055" s="116">
        <v>38.4</v>
      </c>
      <c r="O2055" s="116">
        <v>37.549999999999997</v>
      </c>
      <c r="P2055" s="116">
        <v>37.86</v>
      </c>
      <c r="Q2055" s="116">
        <v>189.45</v>
      </c>
      <c r="R2055">
        <v>3092968</v>
      </c>
    </row>
    <row r="2056" spans="1:18" x14ac:dyDescent="0.25">
      <c r="A2056" s="170">
        <v>45034</v>
      </c>
      <c r="B2056" s="116">
        <v>38.31</v>
      </c>
      <c r="C2056" s="116">
        <v>37.659999999999997</v>
      </c>
      <c r="D2056" s="116">
        <v>37.44</v>
      </c>
      <c r="E2056" s="116">
        <v>37.880000000000003</v>
      </c>
      <c r="F2056" s="116">
        <v>188.3</v>
      </c>
      <c r="G2056">
        <v>174049</v>
      </c>
      <c r="H2056" s="116"/>
      <c r="I2056" s="116"/>
      <c r="L2056" s="170">
        <v>45034</v>
      </c>
      <c r="M2056" s="116">
        <v>37.67</v>
      </c>
      <c r="N2056" s="116">
        <v>38.299999999999997</v>
      </c>
      <c r="O2056" s="116">
        <v>37.44</v>
      </c>
      <c r="P2056" s="116">
        <v>38.07</v>
      </c>
      <c r="Q2056" s="116">
        <v>188.35</v>
      </c>
      <c r="R2056">
        <v>2348374</v>
      </c>
    </row>
    <row r="2057" spans="1:18" x14ac:dyDescent="0.25">
      <c r="A2057" s="170">
        <v>45035</v>
      </c>
      <c r="B2057" s="116">
        <v>37.840000000000003</v>
      </c>
      <c r="C2057" s="116">
        <v>37.49</v>
      </c>
      <c r="D2057" s="116">
        <v>37.020000000000003</v>
      </c>
      <c r="E2057" s="116">
        <v>37.47</v>
      </c>
      <c r="F2057" s="116">
        <v>187.45</v>
      </c>
      <c r="G2057">
        <v>211136</v>
      </c>
      <c r="H2057" s="116"/>
      <c r="I2057" s="116"/>
      <c r="L2057" s="170">
        <v>45035</v>
      </c>
      <c r="M2057" s="116">
        <v>37.46</v>
      </c>
      <c r="N2057" s="116">
        <v>37.89</v>
      </c>
      <c r="O2057" s="116">
        <v>37.04</v>
      </c>
      <c r="P2057" s="116">
        <v>37.76</v>
      </c>
      <c r="Q2057" s="116">
        <v>187.3</v>
      </c>
      <c r="R2057">
        <v>3119628</v>
      </c>
    </row>
    <row r="2058" spans="1:18" x14ac:dyDescent="0.25">
      <c r="A2058" s="170">
        <v>45036</v>
      </c>
      <c r="B2058" s="116">
        <v>39.36</v>
      </c>
      <c r="C2058" s="116">
        <v>39.25</v>
      </c>
      <c r="D2058" s="116">
        <v>37.4</v>
      </c>
      <c r="E2058" s="116">
        <v>37.76</v>
      </c>
      <c r="F2058" s="116">
        <v>196.25</v>
      </c>
      <c r="G2058">
        <v>2147199</v>
      </c>
      <c r="H2058" s="116"/>
      <c r="I2058" s="116"/>
      <c r="L2058" s="170">
        <v>45036</v>
      </c>
      <c r="M2058" s="116">
        <v>39.159999999999997</v>
      </c>
      <c r="N2058" s="116">
        <v>39.33</v>
      </c>
      <c r="O2058" s="116">
        <v>37.4</v>
      </c>
      <c r="P2058" s="116">
        <v>37.700000000000003</v>
      </c>
      <c r="Q2058" s="116">
        <v>195.8</v>
      </c>
      <c r="R2058">
        <v>11055623</v>
      </c>
    </row>
    <row r="2059" spans="1:18" x14ac:dyDescent="0.25">
      <c r="A2059" s="170">
        <v>45037</v>
      </c>
      <c r="B2059" s="116">
        <v>40.1</v>
      </c>
      <c r="C2059" s="116">
        <v>39.85</v>
      </c>
      <c r="D2059" s="116">
        <v>38.71</v>
      </c>
      <c r="E2059" s="116">
        <v>39.94</v>
      </c>
      <c r="F2059" s="116">
        <v>199.25</v>
      </c>
      <c r="G2059">
        <v>1717365</v>
      </c>
      <c r="H2059" s="116"/>
      <c r="I2059" s="116"/>
      <c r="L2059" s="170">
        <v>45037</v>
      </c>
      <c r="M2059" s="116">
        <v>39.85</v>
      </c>
      <c r="N2059" s="116">
        <v>40.1</v>
      </c>
      <c r="O2059" s="116">
        <v>38.72</v>
      </c>
      <c r="P2059" s="116">
        <v>40</v>
      </c>
      <c r="Q2059" s="116">
        <v>199.25</v>
      </c>
      <c r="R2059">
        <v>11239848</v>
      </c>
    </row>
    <row r="2060" spans="1:18" x14ac:dyDescent="0.25">
      <c r="A2060" s="170">
        <v>45040</v>
      </c>
      <c r="B2060" s="116">
        <v>40.64</v>
      </c>
      <c r="C2060" s="116">
        <v>40.270000000000003</v>
      </c>
      <c r="D2060" s="116">
        <v>38.86</v>
      </c>
      <c r="E2060" s="116">
        <v>39.65</v>
      </c>
      <c r="F2060" s="116">
        <v>201.35</v>
      </c>
      <c r="G2060">
        <v>1163776</v>
      </c>
      <c r="H2060" s="116"/>
      <c r="I2060" s="116"/>
      <c r="L2060" s="170">
        <v>45040</v>
      </c>
      <c r="M2060" s="116">
        <v>40.28</v>
      </c>
      <c r="N2060" s="116">
        <v>40.68</v>
      </c>
      <c r="O2060" s="116">
        <v>38.880000000000003</v>
      </c>
      <c r="P2060" s="116">
        <v>39.799999999999997</v>
      </c>
      <c r="Q2060" s="116">
        <v>201.4</v>
      </c>
      <c r="R2060">
        <v>6274761</v>
      </c>
    </row>
    <row r="2061" spans="1:18" x14ac:dyDescent="0.25">
      <c r="A2061" s="170">
        <v>45041</v>
      </c>
      <c r="B2061" s="116">
        <v>42.08</v>
      </c>
      <c r="C2061" s="116">
        <v>41.15</v>
      </c>
      <c r="D2061" s="116">
        <v>40.020000000000003</v>
      </c>
      <c r="E2061" s="116">
        <v>40.020000000000003</v>
      </c>
      <c r="F2061" s="116">
        <v>205.75</v>
      </c>
      <c r="G2061">
        <v>1011344</v>
      </c>
      <c r="H2061" s="116"/>
      <c r="I2061" s="116"/>
      <c r="L2061" s="170">
        <v>45041</v>
      </c>
      <c r="M2061" s="116">
        <v>41.13</v>
      </c>
      <c r="N2061" s="116">
        <v>42.08</v>
      </c>
      <c r="O2061" s="116">
        <v>40</v>
      </c>
      <c r="P2061" s="116">
        <v>40.200000000000003</v>
      </c>
      <c r="Q2061" s="116">
        <v>205.65</v>
      </c>
      <c r="R2061">
        <v>11876735</v>
      </c>
    </row>
    <row r="2062" spans="1:18" x14ac:dyDescent="0.25">
      <c r="A2062" s="170">
        <v>45042</v>
      </c>
      <c r="B2062" s="116">
        <v>42.78</v>
      </c>
      <c r="C2062" s="116">
        <v>42.21</v>
      </c>
      <c r="D2062" s="116">
        <v>40.630000000000003</v>
      </c>
      <c r="E2062" s="116">
        <v>41.13</v>
      </c>
      <c r="F2062" s="116">
        <v>211.05</v>
      </c>
      <c r="G2062">
        <v>1627792</v>
      </c>
      <c r="H2062" s="116"/>
      <c r="I2062" s="116"/>
      <c r="L2062" s="170">
        <v>45042</v>
      </c>
      <c r="M2062" s="116">
        <v>42.27</v>
      </c>
      <c r="N2062" s="116">
        <v>42.8</v>
      </c>
      <c r="O2062" s="116">
        <v>40.659999999999997</v>
      </c>
      <c r="P2062" s="116">
        <v>41.25</v>
      </c>
      <c r="Q2062" s="116">
        <v>211.35</v>
      </c>
      <c r="R2062">
        <v>8721982</v>
      </c>
    </row>
    <row r="2063" spans="1:18" x14ac:dyDescent="0.25">
      <c r="A2063" s="170">
        <v>45043</v>
      </c>
      <c r="B2063" s="116">
        <v>43.2</v>
      </c>
      <c r="C2063" s="116">
        <v>42.83</v>
      </c>
      <c r="D2063" s="116">
        <v>42.09</v>
      </c>
      <c r="E2063" s="116">
        <v>42.12</v>
      </c>
      <c r="F2063" s="116">
        <v>214.15</v>
      </c>
      <c r="G2063">
        <v>885723</v>
      </c>
      <c r="H2063" s="116"/>
      <c r="I2063" s="116"/>
      <c r="L2063" s="170">
        <v>45043</v>
      </c>
      <c r="M2063" s="116">
        <v>42.83</v>
      </c>
      <c r="N2063" s="116">
        <v>43.2</v>
      </c>
      <c r="O2063" s="116">
        <v>42.1</v>
      </c>
      <c r="P2063" s="116">
        <v>42.26</v>
      </c>
      <c r="Q2063" s="116">
        <v>214.15</v>
      </c>
      <c r="R2063">
        <v>6881701</v>
      </c>
    </row>
    <row r="2064" spans="1:18" x14ac:dyDescent="0.25">
      <c r="A2064" s="170">
        <v>45044</v>
      </c>
      <c r="B2064" s="116">
        <v>44.97</v>
      </c>
      <c r="C2064" s="116">
        <v>44.97</v>
      </c>
      <c r="D2064" s="116">
        <v>42.9</v>
      </c>
      <c r="E2064" s="116">
        <v>42.9</v>
      </c>
      <c r="F2064" s="116">
        <v>224.85</v>
      </c>
      <c r="G2064">
        <v>1127655</v>
      </c>
      <c r="H2064" s="116"/>
      <c r="I2064" s="116"/>
      <c r="L2064" s="170">
        <v>45044</v>
      </c>
      <c r="M2064" s="116">
        <v>44.97</v>
      </c>
      <c r="N2064" s="116">
        <v>44.97</v>
      </c>
      <c r="O2064" s="116">
        <v>43</v>
      </c>
      <c r="P2064" s="116">
        <v>43.13</v>
      </c>
      <c r="Q2064" s="116">
        <v>224.85</v>
      </c>
      <c r="R2064">
        <v>7457724</v>
      </c>
    </row>
    <row r="2065" spans="1:18" x14ac:dyDescent="0.25">
      <c r="A2065" s="170">
        <v>45048</v>
      </c>
      <c r="B2065" s="116">
        <v>47.21</v>
      </c>
      <c r="C2065" s="116">
        <v>47.19</v>
      </c>
      <c r="D2065" s="116">
        <v>45.51</v>
      </c>
      <c r="E2065" s="116">
        <v>46.28</v>
      </c>
      <c r="F2065" s="116">
        <v>235.95</v>
      </c>
      <c r="G2065">
        <v>2221493</v>
      </c>
      <c r="H2065" s="116"/>
      <c r="I2065" s="116"/>
      <c r="L2065" s="170">
        <v>45048</v>
      </c>
      <c r="M2065" s="116">
        <v>47.19</v>
      </c>
      <c r="N2065" s="116">
        <v>47.21</v>
      </c>
      <c r="O2065" s="116">
        <v>45.53</v>
      </c>
      <c r="P2065" s="116">
        <v>46</v>
      </c>
      <c r="Q2065" s="116">
        <v>235.95</v>
      </c>
      <c r="R2065">
        <v>15316767</v>
      </c>
    </row>
    <row r="2066" spans="1:18" x14ac:dyDescent="0.25">
      <c r="A2066" s="170">
        <v>45049</v>
      </c>
      <c r="B2066" s="116">
        <v>49</v>
      </c>
      <c r="C2066" s="116">
        <v>46.25</v>
      </c>
      <c r="D2066" s="116">
        <v>44.84</v>
      </c>
      <c r="E2066" s="116">
        <v>47.18</v>
      </c>
      <c r="F2066" s="116">
        <v>231.25</v>
      </c>
      <c r="G2066">
        <v>1600592</v>
      </c>
      <c r="H2066" s="116"/>
      <c r="I2066" s="116"/>
      <c r="L2066" s="170">
        <v>45049</v>
      </c>
      <c r="M2066" s="116">
        <v>46.33</v>
      </c>
      <c r="N2066" s="116">
        <v>48.98</v>
      </c>
      <c r="O2066" s="116">
        <v>44.83</v>
      </c>
      <c r="P2066" s="116">
        <v>47.09</v>
      </c>
      <c r="Q2066" s="116">
        <v>231.65</v>
      </c>
      <c r="R2066">
        <v>19375629</v>
      </c>
    </row>
    <row r="2067" spans="1:18" x14ac:dyDescent="0.25">
      <c r="A2067" s="170">
        <v>45050</v>
      </c>
      <c r="B2067" s="116">
        <v>47.96</v>
      </c>
      <c r="C2067" s="116">
        <v>47.64</v>
      </c>
      <c r="D2067" s="116">
        <v>46.02</v>
      </c>
      <c r="E2067" s="116">
        <v>46.02</v>
      </c>
      <c r="F2067" s="116">
        <v>238.2</v>
      </c>
      <c r="G2067">
        <v>642818</v>
      </c>
      <c r="H2067" s="116"/>
      <c r="I2067" s="116"/>
      <c r="L2067" s="170">
        <v>45050</v>
      </c>
      <c r="M2067" s="116">
        <v>47.63</v>
      </c>
      <c r="N2067" s="116">
        <v>47.96</v>
      </c>
      <c r="O2067" s="116">
        <v>46.13</v>
      </c>
      <c r="P2067" s="116">
        <v>46.2</v>
      </c>
      <c r="Q2067" s="116">
        <v>238.15</v>
      </c>
      <c r="R2067">
        <v>7562540</v>
      </c>
    </row>
    <row r="2068" spans="1:18" x14ac:dyDescent="0.25">
      <c r="A2068" s="170">
        <v>45051</v>
      </c>
      <c r="B2068" s="116">
        <v>48.6</v>
      </c>
      <c r="C2068" s="116">
        <v>47.94</v>
      </c>
      <c r="D2068" s="116">
        <v>47.3</v>
      </c>
      <c r="E2068" s="116">
        <v>48.18</v>
      </c>
      <c r="F2068" s="116">
        <v>239.7</v>
      </c>
      <c r="G2068">
        <v>1069956</v>
      </c>
      <c r="H2068" s="116"/>
      <c r="I2068" s="116"/>
      <c r="L2068" s="170">
        <v>45051</v>
      </c>
      <c r="M2068" s="116">
        <v>47.97</v>
      </c>
      <c r="N2068" s="116">
        <v>48.68</v>
      </c>
      <c r="O2068" s="116">
        <v>47.3</v>
      </c>
      <c r="P2068" s="116">
        <v>48.18</v>
      </c>
      <c r="Q2068" s="116">
        <v>239.85</v>
      </c>
      <c r="R2068">
        <v>5879771</v>
      </c>
    </row>
    <row r="2069" spans="1:18" x14ac:dyDescent="0.25">
      <c r="A2069" s="170">
        <v>45054</v>
      </c>
      <c r="B2069" s="116">
        <v>49.55</v>
      </c>
      <c r="C2069" s="116">
        <v>47.74</v>
      </c>
      <c r="D2069" s="116">
        <v>47.09</v>
      </c>
      <c r="E2069" s="116">
        <v>48.99</v>
      </c>
      <c r="F2069" s="116">
        <v>238.7</v>
      </c>
      <c r="G2069">
        <v>682652</v>
      </c>
      <c r="H2069" s="116"/>
      <c r="I2069" s="116"/>
      <c r="L2069" s="170">
        <v>45054</v>
      </c>
      <c r="M2069" s="116">
        <v>47.74</v>
      </c>
      <c r="N2069" s="116">
        <v>49.56</v>
      </c>
      <c r="O2069" s="116">
        <v>47.07</v>
      </c>
      <c r="P2069" s="116">
        <v>48.8</v>
      </c>
      <c r="Q2069" s="116">
        <v>238.7</v>
      </c>
      <c r="R2069">
        <v>6805988</v>
      </c>
    </row>
    <row r="2070" spans="1:18" x14ac:dyDescent="0.25">
      <c r="A2070" s="170">
        <v>45055</v>
      </c>
      <c r="B2070" s="116">
        <v>48.76</v>
      </c>
      <c r="C2070" s="116">
        <v>48.03</v>
      </c>
      <c r="D2070" s="116">
        <v>47.6</v>
      </c>
      <c r="E2070" s="116">
        <v>48.02</v>
      </c>
      <c r="F2070" s="116">
        <v>240.15</v>
      </c>
      <c r="G2070">
        <v>778148</v>
      </c>
      <c r="H2070" s="116"/>
      <c r="I2070" s="116"/>
      <c r="L2070" s="170">
        <v>45055</v>
      </c>
      <c r="M2070" s="116">
        <v>48.06</v>
      </c>
      <c r="N2070" s="116">
        <v>48.76</v>
      </c>
      <c r="O2070" s="116">
        <v>47.61</v>
      </c>
      <c r="P2070" s="116">
        <v>48</v>
      </c>
      <c r="Q2070" s="116">
        <v>240.3</v>
      </c>
      <c r="R2070">
        <v>4510073</v>
      </c>
    </row>
    <row r="2071" spans="1:18" x14ac:dyDescent="0.25">
      <c r="A2071" s="170">
        <v>45056</v>
      </c>
      <c r="B2071" s="116">
        <v>48.08</v>
      </c>
      <c r="C2071" s="116">
        <v>47.62</v>
      </c>
      <c r="D2071" s="116">
        <v>46.65</v>
      </c>
      <c r="E2071" s="116">
        <v>48.06</v>
      </c>
      <c r="F2071" s="116">
        <v>238.1</v>
      </c>
      <c r="G2071">
        <v>340053</v>
      </c>
      <c r="H2071" s="116"/>
      <c r="I2071" s="116"/>
      <c r="L2071" s="170">
        <v>45056</v>
      </c>
      <c r="M2071" s="116">
        <v>47.64</v>
      </c>
      <c r="N2071" s="116">
        <v>48.06</v>
      </c>
      <c r="O2071" s="116">
        <v>46.62</v>
      </c>
      <c r="P2071" s="116">
        <v>48</v>
      </c>
      <c r="Q2071" s="116">
        <v>238.2</v>
      </c>
      <c r="R2071">
        <v>3832037</v>
      </c>
    </row>
    <row r="2072" spans="1:18" x14ac:dyDescent="0.25">
      <c r="A2072" s="170">
        <v>45057</v>
      </c>
      <c r="B2072" s="116">
        <v>48.99</v>
      </c>
      <c r="C2072" s="116">
        <v>48.53</v>
      </c>
      <c r="D2072" s="116">
        <v>47.66</v>
      </c>
      <c r="E2072" s="116">
        <v>47.66</v>
      </c>
      <c r="F2072" s="116">
        <v>242.65</v>
      </c>
      <c r="G2072">
        <v>495163</v>
      </c>
      <c r="H2072" s="116"/>
      <c r="I2072" s="116"/>
      <c r="L2072" s="170">
        <v>45057</v>
      </c>
      <c r="M2072" s="116">
        <v>48.53</v>
      </c>
      <c r="N2072" s="116">
        <v>48.96</v>
      </c>
      <c r="O2072" s="116">
        <v>47.7</v>
      </c>
      <c r="P2072" s="116">
        <v>47.8</v>
      </c>
      <c r="Q2072" s="116">
        <v>242.65</v>
      </c>
      <c r="R2072">
        <v>5550783</v>
      </c>
    </row>
    <row r="2073" spans="1:18" x14ac:dyDescent="0.25">
      <c r="A2073" s="170">
        <v>45058</v>
      </c>
      <c r="B2073" s="116">
        <v>48.87</v>
      </c>
      <c r="C2073" s="116">
        <v>48.22</v>
      </c>
      <c r="D2073" s="116">
        <v>47.7</v>
      </c>
      <c r="E2073" s="116">
        <v>48.6</v>
      </c>
      <c r="F2073" s="116">
        <v>241.1</v>
      </c>
      <c r="G2073">
        <v>568966</v>
      </c>
      <c r="H2073" s="116"/>
      <c r="I2073" s="116"/>
      <c r="L2073" s="170">
        <v>45058</v>
      </c>
      <c r="M2073" s="116">
        <v>48.17</v>
      </c>
      <c r="N2073" s="116">
        <v>48.87</v>
      </c>
      <c r="O2073" s="116">
        <v>47.7</v>
      </c>
      <c r="P2073" s="116">
        <v>48.6</v>
      </c>
      <c r="Q2073" s="116">
        <v>240.85</v>
      </c>
      <c r="R2073">
        <v>3106404</v>
      </c>
    </row>
    <row r="2074" spans="1:18" x14ac:dyDescent="0.25">
      <c r="A2074" s="170">
        <v>45061</v>
      </c>
      <c r="B2074" s="116">
        <v>48.32</v>
      </c>
      <c r="C2074" s="116">
        <v>47.16</v>
      </c>
      <c r="D2074" s="116">
        <v>46.28</v>
      </c>
      <c r="E2074" s="116">
        <v>47.83</v>
      </c>
      <c r="F2074" s="116">
        <v>235.8</v>
      </c>
      <c r="G2074">
        <v>742976</v>
      </c>
      <c r="H2074" s="116"/>
      <c r="I2074" s="116"/>
      <c r="L2074" s="170">
        <v>45061</v>
      </c>
      <c r="M2074" s="116">
        <v>47.17</v>
      </c>
      <c r="N2074" s="116">
        <v>48.31</v>
      </c>
      <c r="O2074" s="116">
        <v>46.3</v>
      </c>
      <c r="P2074" s="116">
        <v>48</v>
      </c>
      <c r="Q2074" s="116">
        <v>235.85</v>
      </c>
      <c r="R2074">
        <v>3734399</v>
      </c>
    </row>
    <row r="2075" spans="1:18" x14ac:dyDescent="0.25">
      <c r="A2075" s="170">
        <v>45062</v>
      </c>
      <c r="B2075" s="116">
        <v>47.97</v>
      </c>
      <c r="C2075" s="116">
        <v>47.26</v>
      </c>
      <c r="D2075" s="116">
        <v>46.84</v>
      </c>
      <c r="E2075" s="116">
        <v>46.84</v>
      </c>
      <c r="F2075" s="116">
        <v>236.3</v>
      </c>
      <c r="G2075">
        <v>213390</v>
      </c>
      <c r="H2075" s="116"/>
      <c r="I2075" s="116"/>
      <c r="L2075" s="170">
        <v>45062</v>
      </c>
      <c r="M2075" s="116">
        <v>47.24</v>
      </c>
      <c r="N2075" s="116">
        <v>47.98</v>
      </c>
      <c r="O2075" s="116">
        <v>47</v>
      </c>
      <c r="P2075" s="116">
        <v>47</v>
      </c>
      <c r="Q2075" s="116">
        <v>236.2</v>
      </c>
      <c r="R2075">
        <v>2958928</v>
      </c>
    </row>
    <row r="2076" spans="1:18" x14ac:dyDescent="0.25">
      <c r="A2076" s="170">
        <v>45063</v>
      </c>
      <c r="B2076" s="116">
        <v>47.5</v>
      </c>
      <c r="C2076" s="116">
        <v>46.84</v>
      </c>
      <c r="D2076" s="116">
        <v>46.4</v>
      </c>
      <c r="E2076" s="116">
        <v>47.01</v>
      </c>
      <c r="F2076" s="116">
        <v>234.2</v>
      </c>
      <c r="G2076">
        <v>527919</v>
      </c>
      <c r="H2076" s="116"/>
      <c r="I2076" s="116"/>
      <c r="L2076" s="170">
        <v>45063</v>
      </c>
      <c r="M2076" s="116">
        <v>46.87</v>
      </c>
      <c r="N2076" s="116">
        <v>47.51</v>
      </c>
      <c r="O2076" s="116">
        <v>46.4</v>
      </c>
      <c r="P2076" s="116">
        <v>47.2</v>
      </c>
      <c r="Q2076" s="116">
        <v>234.35</v>
      </c>
      <c r="R2076">
        <v>2729228</v>
      </c>
    </row>
    <row r="2077" spans="1:18" x14ac:dyDescent="0.25">
      <c r="A2077" s="170">
        <v>45064</v>
      </c>
      <c r="B2077" s="116">
        <v>47.3</v>
      </c>
      <c r="C2077" s="116">
        <v>45.02</v>
      </c>
      <c r="D2077" s="116">
        <v>44.8</v>
      </c>
      <c r="E2077" s="116">
        <v>47.04</v>
      </c>
      <c r="F2077" s="116">
        <v>225.1</v>
      </c>
      <c r="G2077">
        <v>361985</v>
      </c>
      <c r="H2077" s="116"/>
      <c r="I2077" s="116"/>
      <c r="L2077" s="170">
        <v>45064</v>
      </c>
      <c r="M2077" s="116">
        <v>45.01</v>
      </c>
      <c r="N2077" s="116">
        <v>47.29</v>
      </c>
      <c r="O2077" s="116">
        <v>44.8</v>
      </c>
      <c r="P2077" s="116">
        <v>47.11</v>
      </c>
      <c r="Q2077" s="116">
        <v>225.05</v>
      </c>
      <c r="R2077">
        <v>4530928</v>
      </c>
    </row>
    <row r="2078" spans="1:18" x14ac:dyDescent="0.25">
      <c r="A2078" s="170">
        <v>45065</v>
      </c>
      <c r="B2078" s="116">
        <v>47.27</v>
      </c>
      <c r="C2078" s="116">
        <v>47.24</v>
      </c>
      <c r="D2078" s="116">
        <v>42.8</v>
      </c>
      <c r="E2078" s="116">
        <v>44.03</v>
      </c>
      <c r="F2078" s="116">
        <v>236.2</v>
      </c>
      <c r="G2078">
        <v>2553168</v>
      </c>
      <c r="H2078" s="116"/>
      <c r="I2078" s="116"/>
      <c r="L2078" s="170">
        <v>45065</v>
      </c>
      <c r="M2078" s="116">
        <v>47.22</v>
      </c>
      <c r="N2078" s="116">
        <v>47.26</v>
      </c>
      <c r="O2078" s="116">
        <v>42.8</v>
      </c>
      <c r="P2078" s="116">
        <v>44.77</v>
      </c>
      <c r="Q2078" s="116">
        <v>236.1</v>
      </c>
      <c r="R2078">
        <v>15387039</v>
      </c>
    </row>
    <row r="2079" spans="1:18" x14ac:dyDescent="0.25">
      <c r="A2079" s="170">
        <v>45068</v>
      </c>
      <c r="B2079" s="116">
        <v>49.6</v>
      </c>
      <c r="C2079" s="116">
        <v>49.6</v>
      </c>
      <c r="D2079" s="116">
        <v>48.6</v>
      </c>
      <c r="E2079" s="116">
        <v>48.8</v>
      </c>
      <c r="F2079" s="116">
        <v>248</v>
      </c>
      <c r="G2079">
        <v>735703</v>
      </c>
      <c r="H2079" s="116"/>
      <c r="I2079" s="116"/>
      <c r="L2079" s="170">
        <v>45068</v>
      </c>
      <c r="M2079" s="116">
        <v>49.58</v>
      </c>
      <c r="N2079" s="116">
        <v>49.58</v>
      </c>
      <c r="O2079" s="116">
        <v>48.6</v>
      </c>
      <c r="P2079" s="116">
        <v>48.8</v>
      </c>
      <c r="Q2079" s="116">
        <v>247.9</v>
      </c>
      <c r="R2079">
        <v>2264418</v>
      </c>
    </row>
    <row r="2080" spans="1:18" x14ac:dyDescent="0.25">
      <c r="A2080" s="170">
        <v>45069</v>
      </c>
      <c r="B2080" s="116">
        <v>52.08</v>
      </c>
      <c r="C2080" s="116">
        <v>52.08</v>
      </c>
      <c r="D2080" s="116">
        <v>52.08</v>
      </c>
      <c r="E2080" s="116">
        <v>52.08</v>
      </c>
      <c r="F2080" s="116">
        <v>260.39999999999998</v>
      </c>
      <c r="G2080">
        <v>322481</v>
      </c>
      <c r="H2080" s="116"/>
      <c r="I2080" s="116"/>
      <c r="L2080" s="170">
        <v>45069</v>
      </c>
      <c r="M2080" s="116">
        <v>52.05</v>
      </c>
      <c r="N2080" s="116">
        <v>52.05</v>
      </c>
      <c r="O2080" s="116">
        <v>52.05</v>
      </c>
      <c r="P2080" s="116">
        <v>52.05</v>
      </c>
      <c r="Q2080" s="116">
        <v>260.25</v>
      </c>
      <c r="R2080">
        <v>891496</v>
      </c>
    </row>
    <row r="2081" spans="1:18" x14ac:dyDescent="0.25">
      <c r="A2081" s="170">
        <v>45070</v>
      </c>
      <c r="B2081" s="116">
        <v>54.56</v>
      </c>
      <c r="C2081" s="116">
        <v>51.23</v>
      </c>
      <c r="D2081" s="116">
        <v>50.65</v>
      </c>
      <c r="E2081" s="116">
        <v>53.44</v>
      </c>
      <c r="F2081" s="116">
        <v>256.14999999999998</v>
      </c>
      <c r="G2081">
        <v>4115326</v>
      </c>
      <c r="H2081" s="116"/>
      <c r="I2081" s="116"/>
      <c r="L2081" s="170">
        <v>45070</v>
      </c>
      <c r="M2081" s="116">
        <v>51.21</v>
      </c>
      <c r="N2081" s="116">
        <v>54.58</v>
      </c>
      <c r="O2081" s="116">
        <v>50.67</v>
      </c>
      <c r="P2081" s="116">
        <v>53.28</v>
      </c>
      <c r="Q2081" s="116">
        <v>256.05</v>
      </c>
      <c r="R2081">
        <v>25402451</v>
      </c>
    </row>
    <row r="2082" spans="1:18" x14ac:dyDescent="0.25">
      <c r="A2082" s="170">
        <v>45071</v>
      </c>
      <c r="B2082" s="116">
        <v>52.94</v>
      </c>
      <c r="C2082" s="116">
        <v>51.87</v>
      </c>
      <c r="D2082" s="116">
        <v>50.68</v>
      </c>
      <c r="E2082" s="116">
        <v>51.37</v>
      </c>
      <c r="F2082" s="116">
        <v>259.35000000000002</v>
      </c>
      <c r="G2082">
        <v>1362585</v>
      </c>
      <c r="H2082" s="116"/>
      <c r="I2082" s="116"/>
      <c r="L2082" s="170">
        <v>45071</v>
      </c>
      <c r="M2082" s="116">
        <v>51.83</v>
      </c>
      <c r="N2082" s="116">
        <v>52.9</v>
      </c>
      <c r="O2082" s="116">
        <v>50.66</v>
      </c>
      <c r="P2082" s="116">
        <v>51.33</v>
      </c>
      <c r="Q2082" s="116">
        <v>259.14999999999998</v>
      </c>
      <c r="R2082">
        <v>7465428</v>
      </c>
    </row>
    <row r="2083" spans="1:18" x14ac:dyDescent="0.25">
      <c r="A2083" s="170">
        <v>45072</v>
      </c>
      <c r="B2083" s="116">
        <v>52.74</v>
      </c>
      <c r="C2083" s="116">
        <v>51.61</v>
      </c>
      <c r="D2083" s="116">
        <v>51.4</v>
      </c>
      <c r="E2083" s="116">
        <v>52.16</v>
      </c>
      <c r="F2083" s="116">
        <v>258.05</v>
      </c>
      <c r="G2083">
        <v>785696</v>
      </c>
      <c r="H2083" s="116"/>
      <c r="I2083" s="116"/>
      <c r="L2083" s="170">
        <v>45072</v>
      </c>
      <c r="M2083" s="116">
        <v>51.61</v>
      </c>
      <c r="N2083" s="116">
        <v>52.76</v>
      </c>
      <c r="O2083" s="116">
        <v>51.4</v>
      </c>
      <c r="P2083" s="116">
        <v>52.31</v>
      </c>
      <c r="Q2083" s="116">
        <v>258.05</v>
      </c>
      <c r="R2083">
        <v>3436434</v>
      </c>
    </row>
    <row r="2084" spans="1:18" x14ac:dyDescent="0.25">
      <c r="A2084" s="170">
        <v>45075</v>
      </c>
      <c r="B2084" s="116">
        <v>52.4</v>
      </c>
      <c r="C2084" s="116">
        <v>51.27</v>
      </c>
      <c r="D2084" s="116">
        <v>51.1</v>
      </c>
      <c r="E2084" s="116">
        <v>51.75</v>
      </c>
      <c r="F2084" s="116">
        <v>256.35000000000002</v>
      </c>
      <c r="G2084">
        <v>563445</v>
      </c>
      <c r="H2084" s="116"/>
      <c r="I2084" s="116"/>
      <c r="L2084" s="170">
        <v>45075</v>
      </c>
      <c r="M2084" s="116">
        <v>51.28</v>
      </c>
      <c r="N2084" s="116">
        <v>52.34</v>
      </c>
      <c r="O2084" s="116">
        <v>51.1</v>
      </c>
      <c r="P2084" s="116">
        <v>51.98</v>
      </c>
      <c r="Q2084" s="116">
        <v>256.39999999999998</v>
      </c>
      <c r="R2084">
        <v>2581847</v>
      </c>
    </row>
    <row r="2085" spans="1:18" x14ac:dyDescent="0.25">
      <c r="A2085" s="170">
        <v>45076</v>
      </c>
      <c r="B2085" s="116">
        <v>51.54</v>
      </c>
      <c r="C2085" s="116">
        <v>50.21</v>
      </c>
      <c r="D2085" s="116">
        <v>50.04</v>
      </c>
      <c r="E2085" s="116">
        <v>51.28</v>
      </c>
      <c r="F2085" s="116">
        <v>251.05</v>
      </c>
      <c r="G2085">
        <v>224456</v>
      </c>
      <c r="H2085" s="116"/>
      <c r="I2085" s="116"/>
      <c r="L2085" s="170">
        <v>45076</v>
      </c>
      <c r="M2085" s="116">
        <v>50.22</v>
      </c>
      <c r="N2085" s="116">
        <v>51.56</v>
      </c>
      <c r="O2085" s="116">
        <v>50.04</v>
      </c>
      <c r="P2085" s="116">
        <v>51.4</v>
      </c>
      <c r="Q2085" s="116">
        <v>251.1</v>
      </c>
      <c r="R2085">
        <v>2767227</v>
      </c>
    </row>
    <row r="2086" spans="1:18" x14ac:dyDescent="0.25">
      <c r="A2086" s="170">
        <v>45077</v>
      </c>
      <c r="B2086" s="116">
        <v>51.33</v>
      </c>
      <c r="C2086" s="116">
        <v>49.97</v>
      </c>
      <c r="D2086" s="116">
        <v>48.67</v>
      </c>
      <c r="E2086" s="116">
        <v>50.05</v>
      </c>
      <c r="F2086" s="116">
        <v>249.85</v>
      </c>
      <c r="G2086">
        <v>604114</v>
      </c>
      <c r="H2086" s="116"/>
      <c r="I2086" s="116"/>
      <c r="L2086" s="170">
        <v>45077</v>
      </c>
      <c r="M2086" s="116">
        <v>49.93</v>
      </c>
      <c r="N2086" s="116">
        <v>51.34</v>
      </c>
      <c r="O2086" s="116">
        <v>48.65</v>
      </c>
      <c r="P2086" s="116">
        <v>50.2</v>
      </c>
      <c r="Q2086" s="116">
        <v>249.65</v>
      </c>
      <c r="R2086">
        <v>8595331</v>
      </c>
    </row>
    <row r="2087" spans="1:18" x14ac:dyDescent="0.25">
      <c r="A2087" s="170">
        <v>45078</v>
      </c>
      <c r="B2087" s="116">
        <v>51.56</v>
      </c>
      <c r="C2087" s="116">
        <v>50.83</v>
      </c>
      <c r="D2087" s="116">
        <v>50.23</v>
      </c>
      <c r="E2087" s="116">
        <v>50.41</v>
      </c>
      <c r="F2087" s="116">
        <v>254.15</v>
      </c>
      <c r="G2087">
        <v>739502</v>
      </c>
      <c r="H2087" s="116"/>
      <c r="I2087" s="116"/>
      <c r="L2087" s="170">
        <v>45078</v>
      </c>
      <c r="M2087" s="116">
        <v>50.83</v>
      </c>
      <c r="N2087" s="116">
        <v>51.57</v>
      </c>
      <c r="O2087" s="116">
        <v>50.2</v>
      </c>
      <c r="P2087" s="116">
        <v>50.51</v>
      </c>
      <c r="Q2087" s="116">
        <v>254.15</v>
      </c>
      <c r="R2087">
        <v>4241162</v>
      </c>
    </row>
    <row r="2088" spans="1:18" x14ac:dyDescent="0.25">
      <c r="A2088" s="170">
        <v>45079</v>
      </c>
      <c r="B2088" s="116">
        <v>52.22</v>
      </c>
      <c r="C2088" s="116">
        <v>51.13</v>
      </c>
      <c r="D2088" s="116">
        <v>50.63</v>
      </c>
      <c r="E2088" s="116">
        <v>51.02</v>
      </c>
      <c r="F2088" s="116">
        <v>255.65</v>
      </c>
      <c r="G2088">
        <v>329603</v>
      </c>
      <c r="H2088" s="116"/>
      <c r="I2088" s="116"/>
      <c r="L2088" s="170">
        <v>45079</v>
      </c>
      <c r="M2088" s="116">
        <v>51.13</v>
      </c>
      <c r="N2088" s="116">
        <v>52.26</v>
      </c>
      <c r="O2088" s="116">
        <v>50.65</v>
      </c>
      <c r="P2088" s="116">
        <v>51.11</v>
      </c>
      <c r="Q2088" s="116">
        <v>255.65</v>
      </c>
      <c r="R2088">
        <v>4140222</v>
      </c>
    </row>
    <row r="2089" spans="1:18" x14ac:dyDescent="0.25">
      <c r="A2089" s="170">
        <v>45082</v>
      </c>
      <c r="B2089" s="116">
        <v>52.98</v>
      </c>
      <c r="C2089" s="116">
        <v>51.89</v>
      </c>
      <c r="D2089" s="116">
        <v>50.94</v>
      </c>
      <c r="E2089" s="116">
        <v>51.25</v>
      </c>
      <c r="F2089" s="116">
        <v>259.45</v>
      </c>
      <c r="G2089">
        <v>1230711</v>
      </c>
      <c r="H2089" s="116"/>
      <c r="I2089" s="116"/>
      <c r="L2089" s="170">
        <v>45082</v>
      </c>
      <c r="M2089" s="116">
        <v>51.89</v>
      </c>
      <c r="N2089" s="116">
        <v>53</v>
      </c>
      <c r="O2089" s="116">
        <v>50.92</v>
      </c>
      <c r="P2089" s="116">
        <v>51.34</v>
      </c>
      <c r="Q2089" s="116">
        <v>259.45</v>
      </c>
      <c r="R2089">
        <v>5985089</v>
      </c>
    </row>
    <row r="2090" spans="1:18" x14ac:dyDescent="0.25">
      <c r="A2090" s="170">
        <v>45083</v>
      </c>
      <c r="B2090" s="116">
        <v>52.98</v>
      </c>
      <c r="C2090" s="116">
        <v>52.6</v>
      </c>
      <c r="D2090" s="116">
        <v>51.66</v>
      </c>
      <c r="E2090" s="116">
        <v>52.5</v>
      </c>
      <c r="F2090" s="116">
        <v>263</v>
      </c>
      <c r="G2090">
        <v>789872</v>
      </c>
      <c r="H2090" s="116"/>
      <c r="I2090" s="116"/>
      <c r="L2090" s="170">
        <v>45083</v>
      </c>
      <c r="M2090" s="116">
        <v>52.6</v>
      </c>
      <c r="N2090" s="116">
        <v>53</v>
      </c>
      <c r="O2090" s="116">
        <v>51.7</v>
      </c>
      <c r="P2090" s="116">
        <v>52.6</v>
      </c>
      <c r="Q2090" s="116">
        <v>263</v>
      </c>
      <c r="R2090">
        <v>4579408</v>
      </c>
    </row>
    <row r="2091" spans="1:18" x14ac:dyDescent="0.25">
      <c r="A2091" s="170">
        <v>45084</v>
      </c>
      <c r="B2091" s="116">
        <v>56.34</v>
      </c>
      <c r="C2091" s="116">
        <v>54.96</v>
      </c>
      <c r="D2091" s="116">
        <v>53.5</v>
      </c>
      <c r="E2091" s="116">
        <v>53.56</v>
      </c>
      <c r="F2091" s="116">
        <v>274.8</v>
      </c>
      <c r="G2091">
        <v>2700562</v>
      </c>
      <c r="H2091" s="116"/>
      <c r="I2091" s="116"/>
      <c r="L2091" s="170">
        <v>45084</v>
      </c>
      <c r="M2091" s="116">
        <v>54.97</v>
      </c>
      <c r="N2091" s="116">
        <v>56.33</v>
      </c>
      <c r="O2091" s="116">
        <v>53.4</v>
      </c>
      <c r="P2091" s="116">
        <v>53.57</v>
      </c>
      <c r="Q2091" s="116">
        <v>274.85000000000002</v>
      </c>
      <c r="R2091">
        <v>17632425</v>
      </c>
    </row>
    <row r="2092" spans="1:18" x14ac:dyDescent="0.25">
      <c r="A2092" s="170">
        <v>45085</v>
      </c>
      <c r="B2092" s="116">
        <v>57.2</v>
      </c>
      <c r="C2092" s="116">
        <v>55.82</v>
      </c>
      <c r="D2092" s="116">
        <v>54.82</v>
      </c>
      <c r="E2092" s="116">
        <v>56</v>
      </c>
      <c r="F2092" s="116">
        <v>279.10000000000002</v>
      </c>
      <c r="G2092">
        <v>1113825</v>
      </c>
      <c r="H2092" s="116"/>
      <c r="I2092" s="116"/>
      <c r="L2092" s="170">
        <v>45085</v>
      </c>
      <c r="M2092" s="116">
        <v>55.83</v>
      </c>
      <c r="N2092" s="116">
        <v>57.2</v>
      </c>
      <c r="O2092" s="116">
        <v>54.79</v>
      </c>
      <c r="P2092" s="116">
        <v>55.96</v>
      </c>
      <c r="Q2092" s="116">
        <v>279.14999999999998</v>
      </c>
      <c r="R2092">
        <v>11017620</v>
      </c>
    </row>
    <row r="2093" spans="1:18" x14ac:dyDescent="0.25">
      <c r="A2093" s="170">
        <v>45086</v>
      </c>
      <c r="B2093" s="116">
        <v>56.6</v>
      </c>
      <c r="C2093" s="116">
        <v>55.24</v>
      </c>
      <c r="D2093" s="116">
        <v>55</v>
      </c>
      <c r="E2093" s="116">
        <v>56.6</v>
      </c>
      <c r="F2093" s="116">
        <v>276.2</v>
      </c>
      <c r="G2093">
        <v>509080</v>
      </c>
      <c r="H2093" s="116"/>
      <c r="I2093" s="116"/>
      <c r="L2093" s="170">
        <v>45086</v>
      </c>
      <c r="M2093" s="116">
        <v>55.24</v>
      </c>
      <c r="N2093" s="116">
        <v>56.59</v>
      </c>
      <c r="O2093" s="116">
        <v>55.02</v>
      </c>
      <c r="P2093" s="116">
        <v>56.5</v>
      </c>
      <c r="Q2093" s="116">
        <v>276.2</v>
      </c>
      <c r="R2093">
        <v>4207318</v>
      </c>
    </row>
    <row r="2094" spans="1:18" x14ac:dyDescent="0.25">
      <c r="A2094" s="170">
        <v>45089</v>
      </c>
      <c r="B2094" s="116">
        <v>55.51</v>
      </c>
      <c r="C2094" s="116">
        <v>54.32</v>
      </c>
      <c r="D2094" s="116">
        <v>53.67</v>
      </c>
      <c r="E2094" s="116">
        <v>55.29</v>
      </c>
      <c r="F2094" s="116">
        <v>271.60000000000002</v>
      </c>
      <c r="G2094">
        <v>864520</v>
      </c>
      <c r="H2094" s="116"/>
      <c r="I2094" s="116"/>
      <c r="L2094" s="170">
        <v>45089</v>
      </c>
      <c r="M2094" s="116">
        <v>54.31</v>
      </c>
      <c r="N2094" s="116">
        <v>55.56</v>
      </c>
      <c r="O2094" s="116">
        <v>53.72</v>
      </c>
      <c r="P2094" s="116">
        <v>55.4</v>
      </c>
      <c r="Q2094" s="116">
        <v>271.55</v>
      </c>
      <c r="R2094">
        <v>4056299</v>
      </c>
    </row>
    <row r="2095" spans="1:18" x14ac:dyDescent="0.25">
      <c r="A2095" s="170">
        <v>45090</v>
      </c>
      <c r="B2095" s="116">
        <v>54.9</v>
      </c>
      <c r="C2095" s="116">
        <v>53.54</v>
      </c>
      <c r="D2095" s="116">
        <v>53.4</v>
      </c>
      <c r="E2095" s="116">
        <v>54.41</v>
      </c>
      <c r="F2095" s="116">
        <v>267.7</v>
      </c>
      <c r="G2095">
        <v>834383</v>
      </c>
      <c r="H2095" s="116"/>
      <c r="I2095" s="116"/>
      <c r="L2095" s="170">
        <v>45090</v>
      </c>
      <c r="M2095" s="116">
        <v>53.56</v>
      </c>
      <c r="N2095" s="116">
        <v>54.9</v>
      </c>
      <c r="O2095" s="116">
        <v>53.38</v>
      </c>
      <c r="P2095" s="116">
        <v>54.52</v>
      </c>
      <c r="Q2095" s="116">
        <v>267.8</v>
      </c>
      <c r="R2095">
        <v>2998067</v>
      </c>
    </row>
    <row r="2096" spans="1:18" x14ac:dyDescent="0.25">
      <c r="A2096" s="170">
        <v>45091</v>
      </c>
      <c r="B2096" s="116">
        <v>54.28</v>
      </c>
      <c r="C2096" s="116">
        <v>53.04</v>
      </c>
      <c r="D2096" s="116">
        <v>52.66</v>
      </c>
      <c r="E2096" s="116">
        <v>53.12</v>
      </c>
      <c r="F2096" s="116">
        <v>265.2</v>
      </c>
      <c r="G2096">
        <v>351082</v>
      </c>
      <c r="H2096" s="116"/>
      <c r="I2096" s="116"/>
      <c r="L2096" s="170">
        <v>45091</v>
      </c>
      <c r="M2096" s="116">
        <v>53.05</v>
      </c>
      <c r="N2096" s="116">
        <v>54.28</v>
      </c>
      <c r="O2096" s="116">
        <v>52.66</v>
      </c>
      <c r="P2096" s="116">
        <v>53.64</v>
      </c>
      <c r="Q2096" s="116">
        <v>265.25</v>
      </c>
      <c r="R2096">
        <v>3529920</v>
      </c>
    </row>
    <row r="2097" spans="1:18" x14ac:dyDescent="0.25">
      <c r="A2097" s="170">
        <v>45092</v>
      </c>
      <c r="B2097" s="116">
        <v>54.8</v>
      </c>
      <c r="C2097" s="116">
        <v>53.85</v>
      </c>
      <c r="D2097" s="116">
        <v>53.1</v>
      </c>
      <c r="E2097" s="116">
        <v>53.26</v>
      </c>
      <c r="F2097" s="116">
        <v>269.25</v>
      </c>
      <c r="G2097">
        <v>489887</v>
      </c>
      <c r="H2097" s="116"/>
      <c r="I2097" s="116"/>
      <c r="L2097" s="170">
        <v>45092</v>
      </c>
      <c r="M2097" s="116">
        <v>53.85</v>
      </c>
      <c r="N2097" s="116">
        <v>54.83</v>
      </c>
      <c r="O2097" s="116">
        <v>53.05</v>
      </c>
      <c r="P2097" s="116">
        <v>53.32</v>
      </c>
      <c r="Q2097" s="116">
        <v>269.25</v>
      </c>
      <c r="R2097">
        <v>4817968</v>
      </c>
    </row>
    <row r="2098" spans="1:18" x14ac:dyDescent="0.25">
      <c r="A2098" s="170">
        <v>45093</v>
      </c>
      <c r="B2098" s="116">
        <v>54.6</v>
      </c>
      <c r="C2098" s="116">
        <v>53.28</v>
      </c>
      <c r="D2098" s="116">
        <v>53</v>
      </c>
      <c r="E2098" s="116">
        <v>54.27</v>
      </c>
      <c r="F2098" s="116">
        <v>266.39999999999998</v>
      </c>
      <c r="G2098">
        <v>654326</v>
      </c>
      <c r="H2098" s="116"/>
      <c r="I2098" s="116"/>
      <c r="L2098" s="170">
        <v>45093</v>
      </c>
      <c r="M2098" s="116">
        <v>53.22</v>
      </c>
      <c r="N2098" s="116">
        <v>54.6</v>
      </c>
      <c r="O2098" s="116">
        <v>52.96</v>
      </c>
      <c r="P2098" s="116">
        <v>54.2</v>
      </c>
      <c r="Q2098" s="116">
        <v>266.10000000000002</v>
      </c>
      <c r="R2098">
        <v>3777293</v>
      </c>
    </row>
    <row r="2099" spans="1:18" x14ac:dyDescent="0.25">
      <c r="A2099" s="170">
        <v>45096</v>
      </c>
      <c r="B2099" s="116">
        <v>53.73</v>
      </c>
      <c r="C2099" s="116">
        <v>52.74</v>
      </c>
      <c r="D2099" s="116">
        <v>52.16</v>
      </c>
      <c r="E2099" s="116">
        <v>53.29</v>
      </c>
      <c r="F2099" s="116">
        <v>263.7</v>
      </c>
      <c r="G2099">
        <v>578230</v>
      </c>
      <c r="H2099" s="116"/>
      <c r="I2099" s="116"/>
      <c r="L2099" s="170">
        <v>45096</v>
      </c>
      <c r="M2099" s="116">
        <v>52.73</v>
      </c>
      <c r="N2099" s="116">
        <v>53.74</v>
      </c>
      <c r="O2099" s="116">
        <v>52.2</v>
      </c>
      <c r="P2099" s="116">
        <v>53.38</v>
      </c>
      <c r="Q2099" s="116">
        <v>263.64999999999998</v>
      </c>
      <c r="R2099">
        <v>2782345</v>
      </c>
    </row>
    <row r="2100" spans="1:18" x14ac:dyDescent="0.25">
      <c r="A2100" s="170">
        <v>45097</v>
      </c>
      <c r="B2100" s="116">
        <v>53.07</v>
      </c>
      <c r="C2100" s="116">
        <v>52.33</v>
      </c>
      <c r="D2100" s="116">
        <v>52</v>
      </c>
      <c r="E2100" s="116">
        <v>52.6</v>
      </c>
      <c r="F2100" s="116">
        <v>261.64999999999998</v>
      </c>
      <c r="G2100">
        <v>496981</v>
      </c>
      <c r="H2100" s="116"/>
      <c r="I2100" s="116"/>
      <c r="L2100" s="170">
        <v>45097</v>
      </c>
      <c r="M2100" s="116">
        <v>52.34</v>
      </c>
      <c r="N2100" s="116">
        <v>53.08</v>
      </c>
      <c r="O2100" s="116">
        <v>52.01</v>
      </c>
      <c r="P2100" s="116">
        <v>52.72</v>
      </c>
      <c r="Q2100" s="116">
        <v>261.7</v>
      </c>
      <c r="R2100">
        <v>1958707</v>
      </c>
    </row>
    <row r="2101" spans="1:18" x14ac:dyDescent="0.25">
      <c r="A2101" s="170">
        <v>45098</v>
      </c>
      <c r="B2101" s="116">
        <v>53.13</v>
      </c>
      <c r="C2101" s="116">
        <v>52.15</v>
      </c>
      <c r="D2101" s="116">
        <v>51.91</v>
      </c>
      <c r="E2101" s="116">
        <v>52.21</v>
      </c>
      <c r="F2101" s="116">
        <v>260.75</v>
      </c>
      <c r="G2101">
        <v>261002</v>
      </c>
      <c r="H2101" s="116"/>
      <c r="I2101" s="116"/>
      <c r="L2101" s="170">
        <v>45098</v>
      </c>
      <c r="M2101" s="116">
        <v>52.13</v>
      </c>
      <c r="N2101" s="116">
        <v>53.14</v>
      </c>
      <c r="O2101" s="116">
        <v>51.91</v>
      </c>
      <c r="P2101" s="116">
        <v>52.33</v>
      </c>
      <c r="Q2101" s="116">
        <v>260.64999999999998</v>
      </c>
      <c r="R2101">
        <v>2666965</v>
      </c>
    </row>
    <row r="2102" spans="1:18" x14ac:dyDescent="0.25">
      <c r="A2102" s="170">
        <v>45099</v>
      </c>
      <c r="B2102" s="116">
        <v>52.6</v>
      </c>
      <c r="C2102" s="116">
        <v>51.36</v>
      </c>
      <c r="D2102" s="116">
        <v>51.14</v>
      </c>
      <c r="E2102" s="116">
        <v>51.82</v>
      </c>
      <c r="F2102" s="116">
        <v>256.8</v>
      </c>
      <c r="G2102">
        <v>502441</v>
      </c>
      <c r="H2102" s="116"/>
      <c r="I2102" s="116"/>
      <c r="L2102" s="170">
        <v>45099</v>
      </c>
      <c r="M2102" s="116">
        <v>51.32</v>
      </c>
      <c r="N2102" s="116">
        <v>52.66</v>
      </c>
      <c r="O2102" s="116">
        <v>51.17</v>
      </c>
      <c r="P2102" s="116">
        <v>52.1</v>
      </c>
      <c r="Q2102" s="116">
        <v>256.60000000000002</v>
      </c>
      <c r="R2102">
        <v>2706152</v>
      </c>
    </row>
    <row r="2103" spans="1:18" x14ac:dyDescent="0.25">
      <c r="A2103" s="170">
        <v>45100</v>
      </c>
      <c r="B2103" s="116">
        <v>51.33</v>
      </c>
      <c r="C2103" s="116">
        <v>48.48</v>
      </c>
      <c r="D2103" s="116">
        <v>48.2</v>
      </c>
      <c r="E2103" s="116">
        <v>51.24</v>
      </c>
      <c r="F2103" s="116">
        <v>242.4</v>
      </c>
      <c r="G2103">
        <v>1723545</v>
      </c>
      <c r="H2103" s="116"/>
      <c r="I2103" s="116"/>
      <c r="L2103" s="170">
        <v>45100</v>
      </c>
      <c r="M2103" s="116">
        <v>48.48</v>
      </c>
      <c r="N2103" s="116">
        <v>51.36</v>
      </c>
      <c r="O2103" s="116">
        <v>48.2</v>
      </c>
      <c r="P2103" s="116">
        <v>51.32</v>
      </c>
      <c r="Q2103" s="116">
        <v>242.4</v>
      </c>
      <c r="R2103">
        <v>7292829</v>
      </c>
    </row>
    <row r="2104" spans="1:18" x14ac:dyDescent="0.25">
      <c r="A2104" s="170">
        <v>45103</v>
      </c>
      <c r="B2104" s="116">
        <v>50.83</v>
      </c>
      <c r="C2104" s="116">
        <v>50.13</v>
      </c>
      <c r="D2104" s="116">
        <v>46.19</v>
      </c>
      <c r="E2104" s="116">
        <v>46.62</v>
      </c>
      <c r="F2104" s="116">
        <v>250.65</v>
      </c>
      <c r="G2104">
        <v>1556428</v>
      </c>
      <c r="H2104" s="116"/>
      <c r="I2104" s="116"/>
      <c r="L2104" s="170">
        <v>45103</v>
      </c>
      <c r="M2104" s="116">
        <v>50.12</v>
      </c>
      <c r="N2104" s="116">
        <v>50.88</v>
      </c>
      <c r="O2104" s="116">
        <v>46.2</v>
      </c>
      <c r="P2104" s="116">
        <v>46.81</v>
      </c>
      <c r="Q2104" s="116">
        <v>250.6</v>
      </c>
      <c r="R2104">
        <v>8107191</v>
      </c>
    </row>
    <row r="2105" spans="1:18" x14ac:dyDescent="0.25">
      <c r="A2105" s="170">
        <v>45104</v>
      </c>
      <c r="B2105" s="116">
        <v>51.56</v>
      </c>
      <c r="C2105" s="116">
        <v>50.63</v>
      </c>
      <c r="D2105" s="116">
        <v>50.4</v>
      </c>
      <c r="E2105" s="116">
        <v>51</v>
      </c>
      <c r="F2105" s="116">
        <v>253.15</v>
      </c>
      <c r="G2105">
        <v>545073</v>
      </c>
      <c r="H2105" s="116"/>
      <c r="I2105" s="116"/>
      <c r="L2105" s="170">
        <v>45104</v>
      </c>
      <c r="M2105" s="116">
        <v>50.62</v>
      </c>
      <c r="N2105" s="116">
        <v>51.59</v>
      </c>
      <c r="O2105" s="116">
        <v>50.41</v>
      </c>
      <c r="P2105" s="116">
        <v>51</v>
      </c>
      <c r="Q2105" s="116">
        <v>253.1</v>
      </c>
      <c r="R2105">
        <v>2774315</v>
      </c>
    </row>
    <row r="2106" spans="1:18" x14ac:dyDescent="0.25">
      <c r="A2106" s="170">
        <v>45105</v>
      </c>
      <c r="B2106" s="116">
        <v>51.77</v>
      </c>
      <c r="C2106" s="116">
        <v>50.93</v>
      </c>
      <c r="D2106" s="116">
        <v>50.63</v>
      </c>
      <c r="E2106" s="116">
        <v>50.8</v>
      </c>
      <c r="F2106" s="116">
        <v>254.65</v>
      </c>
      <c r="G2106">
        <v>765290</v>
      </c>
      <c r="H2106" s="116"/>
      <c r="I2106" s="116"/>
      <c r="L2106" s="170">
        <v>45105</v>
      </c>
      <c r="M2106" s="116">
        <v>50.93</v>
      </c>
      <c r="N2106" s="116">
        <v>51.77</v>
      </c>
      <c r="O2106" s="116">
        <v>50.6</v>
      </c>
      <c r="P2106" s="116">
        <v>50.8</v>
      </c>
      <c r="Q2106" s="116">
        <v>254.65</v>
      </c>
      <c r="R2106">
        <v>4523418</v>
      </c>
    </row>
    <row r="2107" spans="1:18" x14ac:dyDescent="0.25">
      <c r="A2107" s="170">
        <v>45107</v>
      </c>
      <c r="B2107" s="116">
        <v>51.35</v>
      </c>
      <c r="C2107" s="116">
        <v>49.99</v>
      </c>
      <c r="D2107" s="116">
        <v>49.8</v>
      </c>
      <c r="E2107" s="116">
        <v>51.35</v>
      </c>
      <c r="F2107" s="116">
        <v>249.95</v>
      </c>
      <c r="G2107">
        <v>578466</v>
      </c>
      <c r="H2107" s="116"/>
      <c r="I2107" s="116"/>
      <c r="L2107" s="170">
        <v>45107</v>
      </c>
      <c r="M2107" s="116">
        <v>49.97</v>
      </c>
      <c r="N2107" s="116">
        <v>51.32</v>
      </c>
      <c r="O2107" s="116">
        <v>49.8</v>
      </c>
      <c r="P2107" s="116">
        <v>51.2</v>
      </c>
      <c r="Q2107" s="116">
        <v>249.85</v>
      </c>
      <c r="R2107">
        <v>2722288</v>
      </c>
    </row>
    <row r="2108" spans="1:18" x14ac:dyDescent="0.25">
      <c r="A2108" s="170">
        <v>45110</v>
      </c>
      <c r="B2108" s="116">
        <v>50.37</v>
      </c>
      <c r="C2108" s="116">
        <v>49.68</v>
      </c>
      <c r="D2108" s="116">
        <v>49.6</v>
      </c>
      <c r="E2108" s="116">
        <v>50.2</v>
      </c>
      <c r="F2108" s="116">
        <v>248.4</v>
      </c>
      <c r="G2108">
        <v>558388</v>
      </c>
      <c r="H2108" s="116"/>
      <c r="I2108" s="116"/>
      <c r="L2108" s="170">
        <v>45110</v>
      </c>
      <c r="M2108" s="116">
        <v>49.69</v>
      </c>
      <c r="N2108" s="116">
        <v>50.45</v>
      </c>
      <c r="O2108" s="116">
        <v>49.6</v>
      </c>
      <c r="P2108" s="116">
        <v>50.45</v>
      </c>
      <c r="Q2108" s="116">
        <v>248.45</v>
      </c>
      <c r="R2108">
        <v>2501293</v>
      </c>
    </row>
    <row r="2109" spans="1:18" x14ac:dyDescent="0.25">
      <c r="A2109" s="170">
        <v>45111</v>
      </c>
      <c r="B2109" s="116">
        <v>50.35</v>
      </c>
      <c r="C2109" s="116">
        <v>49.43</v>
      </c>
      <c r="D2109" s="116">
        <v>49.28</v>
      </c>
      <c r="E2109" s="116">
        <v>49.8</v>
      </c>
      <c r="F2109" s="116">
        <v>247.15</v>
      </c>
      <c r="G2109">
        <v>243970</v>
      </c>
      <c r="H2109" s="116"/>
      <c r="I2109" s="116"/>
      <c r="L2109" s="170">
        <v>45111</v>
      </c>
      <c r="M2109" s="116">
        <v>49.42</v>
      </c>
      <c r="N2109" s="116">
        <v>50.34</v>
      </c>
      <c r="O2109" s="116">
        <v>49.24</v>
      </c>
      <c r="P2109" s="116">
        <v>49.8</v>
      </c>
      <c r="Q2109" s="116">
        <v>247.1</v>
      </c>
      <c r="R2109">
        <v>2360805</v>
      </c>
    </row>
    <row r="2110" spans="1:18" x14ac:dyDescent="0.25">
      <c r="A2110" s="170">
        <v>45112</v>
      </c>
      <c r="B2110" s="116">
        <v>49.88</v>
      </c>
      <c r="C2110" s="116">
        <v>49.14</v>
      </c>
      <c r="D2110" s="116">
        <v>49</v>
      </c>
      <c r="E2110" s="116">
        <v>49.4</v>
      </c>
      <c r="F2110" s="116">
        <v>245.7</v>
      </c>
      <c r="G2110">
        <v>467524</v>
      </c>
      <c r="H2110" s="116"/>
      <c r="I2110" s="116"/>
      <c r="L2110" s="170">
        <v>45112</v>
      </c>
      <c r="M2110" s="116">
        <v>49.13</v>
      </c>
      <c r="N2110" s="116">
        <v>49.88</v>
      </c>
      <c r="O2110" s="116">
        <v>49.01</v>
      </c>
      <c r="P2110" s="116">
        <v>49.42</v>
      </c>
      <c r="Q2110" s="116">
        <v>245.65</v>
      </c>
      <c r="R2110">
        <v>2211677</v>
      </c>
    </row>
    <row r="2111" spans="1:18" x14ac:dyDescent="0.25">
      <c r="A2111" s="170">
        <v>45113</v>
      </c>
      <c r="B2111" s="116">
        <v>49.64</v>
      </c>
      <c r="C2111" s="116">
        <v>49.29</v>
      </c>
      <c r="D2111" s="116">
        <v>49.01</v>
      </c>
      <c r="E2111" s="116">
        <v>49.01</v>
      </c>
      <c r="F2111" s="116">
        <v>246.45</v>
      </c>
      <c r="G2111">
        <v>466653</v>
      </c>
      <c r="H2111" s="116"/>
      <c r="I2111" s="116"/>
      <c r="L2111" s="170">
        <v>45113</v>
      </c>
      <c r="M2111" s="116">
        <v>49.29</v>
      </c>
      <c r="N2111" s="116">
        <v>49.68</v>
      </c>
      <c r="O2111" s="116">
        <v>49.09</v>
      </c>
      <c r="P2111" s="116">
        <v>49.13</v>
      </c>
      <c r="Q2111" s="116">
        <v>246.45</v>
      </c>
      <c r="R2111">
        <v>2188169</v>
      </c>
    </row>
    <row r="2112" spans="1:18" x14ac:dyDescent="0.25">
      <c r="A2112" s="170">
        <v>45114</v>
      </c>
      <c r="B2112" s="116">
        <v>49.55</v>
      </c>
      <c r="C2112" s="116">
        <v>48.77</v>
      </c>
      <c r="D2112" s="116">
        <v>48.6</v>
      </c>
      <c r="E2112" s="116">
        <v>48.99</v>
      </c>
      <c r="F2112" s="116">
        <v>243.85</v>
      </c>
      <c r="G2112">
        <v>412659</v>
      </c>
      <c r="H2112" s="116"/>
      <c r="I2112" s="116"/>
      <c r="L2112" s="170">
        <v>45114</v>
      </c>
      <c r="M2112" s="116">
        <v>48.75</v>
      </c>
      <c r="N2112" s="116">
        <v>49.54</v>
      </c>
      <c r="O2112" s="116">
        <v>48.56</v>
      </c>
      <c r="P2112" s="116">
        <v>49.01</v>
      </c>
      <c r="Q2112" s="116">
        <v>243.75</v>
      </c>
      <c r="R2112">
        <v>1903403</v>
      </c>
    </row>
    <row r="2113" spans="1:18" x14ac:dyDescent="0.25">
      <c r="A2113" s="170">
        <v>45117</v>
      </c>
      <c r="B2113" s="116">
        <v>49.87</v>
      </c>
      <c r="C2113" s="116">
        <v>48.41</v>
      </c>
      <c r="D2113" s="116">
        <v>47.5</v>
      </c>
      <c r="E2113" s="116">
        <v>48.84</v>
      </c>
      <c r="F2113" s="116">
        <v>242.05</v>
      </c>
      <c r="G2113">
        <v>969729</v>
      </c>
      <c r="H2113" s="116"/>
      <c r="I2113" s="116"/>
      <c r="L2113" s="170">
        <v>45117</v>
      </c>
      <c r="M2113" s="116">
        <v>48.41</v>
      </c>
      <c r="N2113" s="116">
        <v>49.87</v>
      </c>
      <c r="O2113" s="116">
        <v>47.46</v>
      </c>
      <c r="P2113" s="116">
        <v>48.94</v>
      </c>
      <c r="Q2113" s="116">
        <v>242.05</v>
      </c>
      <c r="R2113">
        <v>4409516</v>
      </c>
    </row>
    <row r="2114" spans="1:18" x14ac:dyDescent="0.25">
      <c r="A2114" s="170">
        <v>45118</v>
      </c>
      <c r="B2114" s="116">
        <v>49.13</v>
      </c>
      <c r="C2114" s="116">
        <v>48.82</v>
      </c>
      <c r="D2114" s="116">
        <v>48.3</v>
      </c>
      <c r="E2114" s="116">
        <v>48.31</v>
      </c>
      <c r="F2114" s="116">
        <v>244.1</v>
      </c>
      <c r="G2114">
        <v>467771</v>
      </c>
      <c r="H2114" s="116"/>
      <c r="I2114" s="116"/>
      <c r="L2114" s="170">
        <v>45118</v>
      </c>
      <c r="M2114" s="116">
        <v>48.84</v>
      </c>
      <c r="N2114" s="116">
        <v>49.15</v>
      </c>
      <c r="O2114" s="116">
        <v>48.27</v>
      </c>
      <c r="P2114" s="116">
        <v>48.41</v>
      </c>
      <c r="Q2114" s="116">
        <v>244.2</v>
      </c>
      <c r="R2114">
        <v>2080819</v>
      </c>
    </row>
    <row r="2115" spans="1:18" x14ac:dyDescent="0.25">
      <c r="A2115" s="170">
        <v>45119</v>
      </c>
      <c r="B2115" s="116">
        <v>49.1</v>
      </c>
      <c r="C2115" s="116">
        <v>48.16</v>
      </c>
      <c r="D2115" s="116">
        <v>47.95</v>
      </c>
      <c r="E2115" s="116">
        <v>48.95</v>
      </c>
      <c r="F2115" s="116">
        <v>240.8</v>
      </c>
      <c r="G2115">
        <v>188097</v>
      </c>
      <c r="H2115" s="116"/>
      <c r="I2115" s="116"/>
      <c r="L2115" s="170">
        <v>45119</v>
      </c>
      <c r="M2115" s="116">
        <v>48.17</v>
      </c>
      <c r="N2115" s="116">
        <v>49.1</v>
      </c>
      <c r="O2115" s="116">
        <v>47.8</v>
      </c>
      <c r="P2115" s="116">
        <v>49.09</v>
      </c>
      <c r="Q2115" s="116">
        <v>240.85</v>
      </c>
      <c r="R2115">
        <v>2057207</v>
      </c>
    </row>
    <row r="2116" spans="1:18" x14ac:dyDescent="0.25">
      <c r="A2116" s="170">
        <v>45120</v>
      </c>
      <c r="B2116" s="116">
        <v>48.6</v>
      </c>
      <c r="C2116" s="116">
        <v>47.47</v>
      </c>
      <c r="D2116" s="116">
        <v>47.17</v>
      </c>
      <c r="E2116" s="116">
        <v>48.41</v>
      </c>
      <c r="F2116" s="116">
        <v>237.35</v>
      </c>
      <c r="G2116">
        <v>190469</v>
      </c>
      <c r="H2116" s="116"/>
      <c r="I2116" s="116"/>
      <c r="L2116" s="170">
        <v>45120</v>
      </c>
      <c r="M2116" s="116">
        <v>47.44</v>
      </c>
      <c r="N2116" s="116">
        <v>48.59</v>
      </c>
      <c r="O2116" s="116">
        <v>47.17</v>
      </c>
      <c r="P2116" s="116">
        <v>48.45</v>
      </c>
      <c r="Q2116" s="116">
        <v>237.2</v>
      </c>
      <c r="R2116">
        <v>2138783</v>
      </c>
    </row>
    <row r="2117" spans="1:18" x14ac:dyDescent="0.25">
      <c r="A2117" s="170">
        <v>45121</v>
      </c>
      <c r="B2117" s="116">
        <v>48.55</v>
      </c>
      <c r="C2117" s="116">
        <v>48.37</v>
      </c>
      <c r="D2117" s="116">
        <v>47.19</v>
      </c>
      <c r="E2117" s="116">
        <v>47.48</v>
      </c>
      <c r="F2117" s="116">
        <v>241.85</v>
      </c>
      <c r="G2117">
        <v>527718</v>
      </c>
      <c r="H2117" s="116"/>
      <c r="I2117" s="116"/>
      <c r="L2117" s="170">
        <v>45121</v>
      </c>
      <c r="M2117" s="116">
        <v>48.38</v>
      </c>
      <c r="N2117" s="116">
        <v>48.54</v>
      </c>
      <c r="O2117" s="116">
        <v>47.2</v>
      </c>
      <c r="P2117" s="116">
        <v>47.53</v>
      </c>
      <c r="Q2117" s="116">
        <v>241.9</v>
      </c>
      <c r="R2117">
        <v>2505497</v>
      </c>
    </row>
    <row r="2118" spans="1:18" x14ac:dyDescent="0.25">
      <c r="A2118" s="170">
        <v>45124</v>
      </c>
      <c r="B2118" s="116">
        <v>49.9</v>
      </c>
      <c r="C2118" s="116">
        <v>49.15</v>
      </c>
      <c r="D2118" s="116">
        <v>48.8</v>
      </c>
      <c r="E2118" s="116">
        <v>48.91</v>
      </c>
      <c r="F2118" s="116">
        <v>245.75</v>
      </c>
      <c r="G2118">
        <v>504701</v>
      </c>
      <c r="H2118" s="116"/>
      <c r="I2118" s="116"/>
      <c r="L2118" s="170">
        <v>45124</v>
      </c>
      <c r="M2118" s="116">
        <v>49.14</v>
      </c>
      <c r="N2118" s="116">
        <v>49.91</v>
      </c>
      <c r="O2118" s="116">
        <v>48.67</v>
      </c>
      <c r="P2118" s="116">
        <v>49.07</v>
      </c>
      <c r="Q2118" s="116">
        <v>245.7</v>
      </c>
      <c r="R2118">
        <v>3871997</v>
      </c>
    </row>
    <row r="2119" spans="1:18" x14ac:dyDescent="0.25">
      <c r="A2119" s="170">
        <v>45125</v>
      </c>
      <c r="B2119" s="116">
        <v>50.88</v>
      </c>
      <c r="C2119" s="116">
        <v>49.31</v>
      </c>
      <c r="D2119" s="116">
        <v>48.54</v>
      </c>
      <c r="E2119" s="116">
        <v>49.24</v>
      </c>
      <c r="F2119" s="116">
        <v>246.55</v>
      </c>
      <c r="G2119">
        <v>1251167</v>
      </c>
      <c r="H2119" s="116"/>
      <c r="I2119" s="116"/>
      <c r="L2119" s="170">
        <v>45125</v>
      </c>
      <c r="M2119" s="116">
        <v>49.31</v>
      </c>
      <c r="N2119" s="116">
        <v>50.89</v>
      </c>
      <c r="O2119" s="116">
        <v>48.56</v>
      </c>
      <c r="P2119" s="116">
        <v>49.39</v>
      </c>
      <c r="Q2119" s="116">
        <v>246.55</v>
      </c>
      <c r="R2119">
        <v>5590646</v>
      </c>
    </row>
    <row r="2120" spans="1:18" x14ac:dyDescent="0.25">
      <c r="A2120" s="170">
        <v>45126</v>
      </c>
      <c r="B2120" s="116">
        <v>49.77</v>
      </c>
      <c r="C2120" s="116">
        <v>49.14</v>
      </c>
      <c r="D2120" s="116">
        <v>48.97</v>
      </c>
      <c r="E2120" s="116">
        <v>49.77</v>
      </c>
      <c r="F2120" s="116">
        <v>245.7</v>
      </c>
      <c r="G2120">
        <v>336444</v>
      </c>
      <c r="H2120" s="116"/>
      <c r="I2120" s="116"/>
      <c r="L2120" s="170">
        <v>45126</v>
      </c>
      <c r="M2120" s="116">
        <v>49.14</v>
      </c>
      <c r="N2120" s="116">
        <v>49.75</v>
      </c>
      <c r="O2120" s="116">
        <v>49</v>
      </c>
      <c r="P2120" s="116">
        <v>49.6</v>
      </c>
      <c r="Q2120" s="116">
        <v>245.7</v>
      </c>
      <c r="R2120">
        <v>1554790</v>
      </c>
    </row>
    <row r="2121" spans="1:18" x14ac:dyDescent="0.25">
      <c r="A2121" s="170">
        <v>45127</v>
      </c>
      <c r="B2121" s="116">
        <v>49.38</v>
      </c>
      <c r="C2121" s="116">
        <v>48.82</v>
      </c>
      <c r="D2121" s="116">
        <v>48.7</v>
      </c>
      <c r="E2121" s="116">
        <v>49.04</v>
      </c>
      <c r="F2121" s="116">
        <v>244.1</v>
      </c>
      <c r="G2121">
        <v>326566</v>
      </c>
      <c r="H2121" s="116"/>
      <c r="I2121" s="116"/>
      <c r="L2121" s="170">
        <v>45127</v>
      </c>
      <c r="M2121" s="116">
        <v>48.83</v>
      </c>
      <c r="N2121" s="116">
        <v>49.39</v>
      </c>
      <c r="O2121" s="116">
        <v>48.7</v>
      </c>
      <c r="P2121" s="116">
        <v>49.14</v>
      </c>
      <c r="Q2121" s="116">
        <v>244.15</v>
      </c>
      <c r="R2121">
        <v>1364692</v>
      </c>
    </row>
    <row r="2122" spans="1:18" x14ac:dyDescent="0.25">
      <c r="A2122" s="170">
        <v>45128</v>
      </c>
      <c r="B2122" s="116">
        <v>48.94</v>
      </c>
      <c r="C2122" s="116">
        <v>48.34</v>
      </c>
      <c r="D2122" s="116">
        <v>48.22</v>
      </c>
      <c r="E2122" s="116">
        <v>48.6</v>
      </c>
      <c r="F2122" s="116">
        <v>241.7</v>
      </c>
      <c r="G2122">
        <v>261771</v>
      </c>
      <c r="H2122" s="116"/>
      <c r="I2122" s="116"/>
      <c r="L2122" s="170">
        <v>45128</v>
      </c>
      <c r="M2122" s="116">
        <v>48.35</v>
      </c>
      <c r="N2122" s="116">
        <v>48.98</v>
      </c>
      <c r="O2122" s="116">
        <v>48.19</v>
      </c>
      <c r="P2122" s="116">
        <v>48.63</v>
      </c>
      <c r="Q2122" s="116">
        <v>241.75</v>
      </c>
      <c r="R2122">
        <v>2001794</v>
      </c>
    </row>
    <row r="2123" spans="1:18" x14ac:dyDescent="0.25">
      <c r="A2123" s="170">
        <v>45131</v>
      </c>
      <c r="B2123" s="116">
        <v>48.6</v>
      </c>
      <c r="C2123" s="116">
        <v>47.61</v>
      </c>
      <c r="D2123" s="116">
        <v>47.4</v>
      </c>
      <c r="E2123" s="116">
        <v>48.28</v>
      </c>
      <c r="F2123" s="116">
        <v>238.05</v>
      </c>
      <c r="G2123">
        <v>210419</v>
      </c>
      <c r="H2123" s="116"/>
      <c r="I2123" s="116"/>
      <c r="L2123" s="170">
        <v>45131</v>
      </c>
      <c r="M2123" s="116">
        <v>47.6</v>
      </c>
      <c r="N2123" s="116">
        <v>48.57</v>
      </c>
      <c r="O2123" s="116">
        <v>47.43</v>
      </c>
      <c r="P2123" s="116">
        <v>48.57</v>
      </c>
      <c r="Q2123" s="116">
        <v>238</v>
      </c>
      <c r="R2123">
        <v>2445770</v>
      </c>
    </row>
    <row r="2124" spans="1:18" x14ac:dyDescent="0.25">
      <c r="A2124" s="170">
        <v>45132</v>
      </c>
      <c r="B2124" s="116">
        <v>52.57</v>
      </c>
      <c r="C2124" s="116">
        <v>51.99</v>
      </c>
      <c r="D2124" s="116">
        <v>47.14</v>
      </c>
      <c r="E2124" s="116">
        <v>47.6</v>
      </c>
      <c r="F2124" s="116">
        <v>259.95</v>
      </c>
      <c r="G2124">
        <v>3004397</v>
      </c>
      <c r="H2124" s="116"/>
      <c r="I2124" s="116"/>
      <c r="L2124" s="170">
        <v>45132</v>
      </c>
      <c r="M2124" s="116">
        <v>52.03</v>
      </c>
      <c r="N2124" s="116">
        <v>52.58</v>
      </c>
      <c r="O2124" s="116">
        <v>47.6</v>
      </c>
      <c r="P2124" s="116">
        <v>47.6</v>
      </c>
      <c r="Q2124" s="116">
        <v>260.14999999999998</v>
      </c>
      <c r="R2124">
        <v>16455999</v>
      </c>
    </row>
    <row r="2125" spans="1:18" x14ac:dyDescent="0.25">
      <c r="A2125" s="170">
        <v>45133</v>
      </c>
      <c r="B2125" s="116">
        <v>53.07</v>
      </c>
      <c r="C2125" s="116">
        <v>51.09</v>
      </c>
      <c r="D2125" s="116">
        <v>50.61</v>
      </c>
      <c r="E2125" s="116">
        <v>52.3</v>
      </c>
      <c r="F2125" s="116">
        <v>255.45</v>
      </c>
      <c r="G2125">
        <v>1370116</v>
      </c>
      <c r="H2125" s="116"/>
      <c r="I2125" s="116"/>
      <c r="L2125" s="170">
        <v>45133</v>
      </c>
      <c r="M2125" s="116">
        <v>51.1</v>
      </c>
      <c r="N2125" s="116">
        <v>53.09</v>
      </c>
      <c r="O2125" s="116">
        <v>50.58</v>
      </c>
      <c r="P2125" s="116">
        <v>52.4</v>
      </c>
      <c r="Q2125" s="116">
        <v>255.5</v>
      </c>
      <c r="R2125">
        <v>14364433</v>
      </c>
    </row>
    <row r="2126" spans="1:18" x14ac:dyDescent="0.25">
      <c r="A2126" s="170">
        <v>45134</v>
      </c>
      <c r="B2126" s="116">
        <v>51.55</v>
      </c>
      <c r="C2126" s="116">
        <v>50.62</v>
      </c>
      <c r="D2126" s="116">
        <v>50.03</v>
      </c>
      <c r="E2126" s="116">
        <v>51.2</v>
      </c>
      <c r="F2126" s="116">
        <v>253.1</v>
      </c>
      <c r="G2126">
        <v>435573</v>
      </c>
      <c r="H2126" s="116"/>
      <c r="I2126" s="116"/>
      <c r="L2126" s="170">
        <v>45134</v>
      </c>
      <c r="M2126" s="116">
        <v>50.6</v>
      </c>
      <c r="N2126" s="116">
        <v>51.54</v>
      </c>
      <c r="O2126" s="116">
        <v>50.02</v>
      </c>
      <c r="P2126" s="116">
        <v>51.28</v>
      </c>
      <c r="Q2126" s="116">
        <v>253</v>
      </c>
      <c r="R2126">
        <v>3251677</v>
      </c>
    </row>
    <row r="2127" spans="1:18" x14ac:dyDescent="0.25">
      <c r="A2127" s="170">
        <v>45135</v>
      </c>
      <c r="B2127" s="116">
        <v>52</v>
      </c>
      <c r="C2127" s="116">
        <v>51.71</v>
      </c>
      <c r="D2127" s="116">
        <v>50.24</v>
      </c>
      <c r="E2127" s="116">
        <v>50.69</v>
      </c>
      <c r="F2127" s="116">
        <v>258.55</v>
      </c>
      <c r="G2127">
        <v>1110987</v>
      </c>
      <c r="H2127" s="116"/>
      <c r="I2127" s="116"/>
      <c r="L2127" s="170">
        <v>45135</v>
      </c>
      <c r="M2127" s="116">
        <v>51.71</v>
      </c>
      <c r="N2127" s="116">
        <v>52.1</v>
      </c>
      <c r="O2127" s="116">
        <v>50.25</v>
      </c>
      <c r="P2127" s="116">
        <v>50.8</v>
      </c>
      <c r="Q2127" s="116">
        <v>258.55</v>
      </c>
      <c r="R2127">
        <v>6180690</v>
      </c>
    </row>
    <row r="2128" spans="1:18" x14ac:dyDescent="0.25">
      <c r="A2128" s="170">
        <v>45138</v>
      </c>
      <c r="B2128" s="116">
        <v>55.01</v>
      </c>
      <c r="C2128" s="116">
        <v>54.63</v>
      </c>
      <c r="D2128" s="116">
        <v>51.87</v>
      </c>
      <c r="E2128" s="116">
        <v>51.87</v>
      </c>
      <c r="F2128" s="116">
        <v>273.14999999999998</v>
      </c>
      <c r="G2128">
        <v>3281505</v>
      </c>
      <c r="H2128" s="116"/>
      <c r="I2128" s="116"/>
      <c r="L2128" s="170">
        <v>45138</v>
      </c>
      <c r="M2128" s="116">
        <v>54.66</v>
      </c>
      <c r="N2128" s="116">
        <v>55.1</v>
      </c>
      <c r="O2128" s="116">
        <v>51.9</v>
      </c>
      <c r="P2128" s="116">
        <v>52</v>
      </c>
      <c r="Q2128" s="116">
        <v>273.3</v>
      </c>
      <c r="R2128">
        <v>15925979</v>
      </c>
    </row>
    <row r="2129" spans="1:18" x14ac:dyDescent="0.25">
      <c r="A2129" s="170">
        <v>45139</v>
      </c>
      <c r="B2129" s="116">
        <v>55.99</v>
      </c>
      <c r="C2129" s="116">
        <v>54.63</v>
      </c>
      <c r="D2129" s="116">
        <v>54.11</v>
      </c>
      <c r="E2129" s="116">
        <v>55.07</v>
      </c>
      <c r="F2129" s="116">
        <v>273.14999999999998</v>
      </c>
      <c r="G2129">
        <v>774830</v>
      </c>
      <c r="H2129" s="116"/>
      <c r="I2129" s="116"/>
      <c r="L2129" s="170">
        <v>45139</v>
      </c>
      <c r="M2129" s="116">
        <v>54.64</v>
      </c>
      <c r="N2129" s="116">
        <v>55.98</v>
      </c>
      <c r="O2129" s="116">
        <v>54.07</v>
      </c>
      <c r="P2129" s="116">
        <v>55.17</v>
      </c>
      <c r="Q2129" s="116">
        <v>273.2</v>
      </c>
      <c r="R2129">
        <v>7924194</v>
      </c>
    </row>
    <row r="2130" spans="1:18" x14ac:dyDescent="0.25">
      <c r="A2130" s="170">
        <v>45140</v>
      </c>
      <c r="B2130" s="116">
        <v>55.25</v>
      </c>
      <c r="C2130" s="116">
        <v>53.54</v>
      </c>
      <c r="D2130" s="116">
        <v>52.08</v>
      </c>
      <c r="E2130" s="116">
        <v>54.64</v>
      </c>
      <c r="F2130" s="116">
        <v>267.7</v>
      </c>
      <c r="G2130">
        <v>542700</v>
      </c>
      <c r="H2130" s="116"/>
      <c r="I2130" s="116"/>
      <c r="L2130" s="170">
        <v>45140</v>
      </c>
      <c r="M2130" s="116">
        <v>53.54</v>
      </c>
      <c r="N2130" s="116">
        <v>55.29</v>
      </c>
      <c r="O2130" s="116">
        <v>52.12</v>
      </c>
      <c r="P2130" s="116">
        <v>54.68</v>
      </c>
      <c r="Q2130" s="116">
        <v>267.7</v>
      </c>
      <c r="R2130">
        <v>6899383</v>
      </c>
    </row>
    <row r="2131" spans="1:18" x14ac:dyDescent="0.25">
      <c r="A2131" s="170">
        <v>45141</v>
      </c>
      <c r="B2131" s="116">
        <v>56</v>
      </c>
      <c r="C2131" s="116">
        <v>54.98</v>
      </c>
      <c r="D2131" s="116">
        <v>52.74</v>
      </c>
      <c r="E2131" s="116">
        <v>53.55</v>
      </c>
      <c r="F2131" s="116">
        <v>274.89999999999998</v>
      </c>
      <c r="G2131">
        <v>2240167</v>
      </c>
      <c r="H2131" s="116"/>
      <c r="I2131" s="116"/>
      <c r="L2131" s="170">
        <v>45141</v>
      </c>
      <c r="M2131" s="116">
        <v>54.97</v>
      </c>
      <c r="N2131" s="116">
        <v>56.09</v>
      </c>
      <c r="O2131" s="116">
        <v>52.82</v>
      </c>
      <c r="P2131" s="116">
        <v>53.71</v>
      </c>
      <c r="Q2131" s="116">
        <v>274.85000000000002</v>
      </c>
      <c r="R2131">
        <v>17323631</v>
      </c>
    </row>
    <row r="2132" spans="1:18" x14ac:dyDescent="0.25">
      <c r="A2132" s="170">
        <v>45142</v>
      </c>
      <c r="B2132" s="116">
        <v>56.99</v>
      </c>
      <c r="C2132" s="116">
        <v>55.71</v>
      </c>
      <c r="D2132" s="116">
        <v>55</v>
      </c>
      <c r="E2132" s="116">
        <v>56.99</v>
      </c>
      <c r="F2132" s="116">
        <v>278.55</v>
      </c>
      <c r="G2132">
        <v>1855203</v>
      </c>
      <c r="H2132" s="116"/>
      <c r="I2132" s="116"/>
      <c r="L2132" s="170">
        <v>45142</v>
      </c>
      <c r="M2132" s="116">
        <v>55.7</v>
      </c>
      <c r="N2132" s="116">
        <v>56.9</v>
      </c>
      <c r="O2132" s="116">
        <v>55.04</v>
      </c>
      <c r="P2132" s="116">
        <v>56.8</v>
      </c>
      <c r="Q2132" s="116">
        <v>278.5</v>
      </c>
      <c r="R2132">
        <v>10293961</v>
      </c>
    </row>
    <row r="2133" spans="1:18" x14ac:dyDescent="0.25">
      <c r="A2133" s="170">
        <v>45145</v>
      </c>
      <c r="B2133" s="116">
        <v>56.19</v>
      </c>
      <c r="C2133" s="116">
        <v>54.68</v>
      </c>
      <c r="D2133" s="116">
        <v>54.4</v>
      </c>
      <c r="E2133" s="116">
        <v>56.06</v>
      </c>
      <c r="F2133" s="116">
        <v>273.39999999999998</v>
      </c>
      <c r="G2133">
        <v>1131784</v>
      </c>
      <c r="H2133" s="116"/>
      <c r="I2133" s="116"/>
      <c r="L2133" s="170">
        <v>45145</v>
      </c>
      <c r="M2133" s="116">
        <v>54.66</v>
      </c>
      <c r="N2133" s="116">
        <v>56.17</v>
      </c>
      <c r="O2133" s="116">
        <v>54.42</v>
      </c>
      <c r="P2133" s="116">
        <v>55.98</v>
      </c>
      <c r="Q2133" s="116">
        <v>273.3</v>
      </c>
      <c r="R2133">
        <v>5331796</v>
      </c>
    </row>
    <row r="2134" spans="1:18" x14ac:dyDescent="0.25">
      <c r="A2134" s="170">
        <v>45146</v>
      </c>
      <c r="B2134" s="116">
        <v>56.39</v>
      </c>
      <c r="C2134" s="116">
        <v>56.05</v>
      </c>
      <c r="D2134" s="116">
        <v>52.95</v>
      </c>
      <c r="E2134" s="116">
        <v>54.53</v>
      </c>
      <c r="F2134" s="116">
        <v>280.25</v>
      </c>
      <c r="G2134">
        <v>1700770</v>
      </c>
      <c r="H2134" s="116"/>
      <c r="I2134" s="116"/>
      <c r="L2134" s="170">
        <v>45146</v>
      </c>
      <c r="M2134" s="116">
        <v>56.05</v>
      </c>
      <c r="N2134" s="116">
        <v>56.4</v>
      </c>
      <c r="O2134" s="116">
        <v>52.95</v>
      </c>
      <c r="P2134" s="116">
        <v>54.6</v>
      </c>
      <c r="Q2134" s="116">
        <v>280.25</v>
      </c>
      <c r="R2134">
        <v>11629958</v>
      </c>
    </row>
    <row r="2135" spans="1:18" x14ac:dyDescent="0.25">
      <c r="A2135" s="170">
        <v>45147</v>
      </c>
      <c r="B2135" s="116">
        <v>56.78</v>
      </c>
      <c r="C2135" s="116">
        <v>55.41</v>
      </c>
      <c r="D2135" s="116">
        <v>55.2</v>
      </c>
      <c r="E2135" s="116">
        <v>56.05</v>
      </c>
      <c r="F2135" s="116">
        <v>277.05</v>
      </c>
      <c r="G2135">
        <v>1223523</v>
      </c>
      <c r="H2135" s="116"/>
      <c r="I2135" s="116"/>
      <c r="L2135" s="170">
        <v>45147</v>
      </c>
      <c r="M2135" s="116">
        <v>55.43</v>
      </c>
      <c r="N2135" s="116">
        <v>56.8</v>
      </c>
      <c r="O2135" s="116">
        <v>55.22</v>
      </c>
      <c r="P2135" s="116">
        <v>56.14</v>
      </c>
      <c r="Q2135" s="116">
        <v>277.14999999999998</v>
      </c>
      <c r="R2135">
        <v>7433237</v>
      </c>
    </row>
    <row r="2136" spans="1:18" x14ac:dyDescent="0.25">
      <c r="A2136" s="170">
        <v>45148</v>
      </c>
      <c r="B2136" s="116">
        <v>58.16</v>
      </c>
      <c r="C2136" s="116">
        <v>56.38</v>
      </c>
      <c r="D2136" s="116">
        <v>55.3</v>
      </c>
      <c r="E2136" s="116">
        <v>55.58</v>
      </c>
      <c r="F2136" s="116">
        <v>281.89999999999998</v>
      </c>
      <c r="G2136">
        <v>1283241</v>
      </c>
      <c r="H2136" s="116"/>
      <c r="I2136" s="116"/>
      <c r="L2136" s="170">
        <v>45148</v>
      </c>
      <c r="M2136" s="116">
        <v>56.38</v>
      </c>
      <c r="N2136" s="116">
        <v>58.2</v>
      </c>
      <c r="O2136" s="116">
        <v>55.29</v>
      </c>
      <c r="P2136" s="116">
        <v>55.62</v>
      </c>
      <c r="Q2136" s="116">
        <v>281.89999999999998</v>
      </c>
      <c r="R2136">
        <v>13815594</v>
      </c>
    </row>
    <row r="2137" spans="1:18" x14ac:dyDescent="0.25">
      <c r="A2137" s="170">
        <v>45149</v>
      </c>
      <c r="B2137" s="116">
        <v>57.8</v>
      </c>
      <c r="C2137" s="116">
        <v>57.62</v>
      </c>
      <c r="D2137" s="116">
        <v>56.14</v>
      </c>
      <c r="E2137" s="116">
        <v>56.67</v>
      </c>
      <c r="F2137" s="116">
        <v>288.10000000000002</v>
      </c>
      <c r="G2137">
        <v>1396585</v>
      </c>
      <c r="H2137" s="116"/>
      <c r="I2137" s="116"/>
      <c r="L2137" s="170">
        <v>45149</v>
      </c>
      <c r="M2137" s="116">
        <v>57.62</v>
      </c>
      <c r="N2137" s="116">
        <v>57.88</v>
      </c>
      <c r="O2137" s="116">
        <v>56.15</v>
      </c>
      <c r="P2137" s="116">
        <v>56.75</v>
      </c>
      <c r="Q2137" s="116">
        <v>288.10000000000002</v>
      </c>
      <c r="R2137">
        <v>10008733</v>
      </c>
    </row>
    <row r="2138" spans="1:18" x14ac:dyDescent="0.25">
      <c r="A2138" s="170">
        <v>45152</v>
      </c>
      <c r="B2138" s="116">
        <v>57.74</v>
      </c>
      <c r="C2138" s="116">
        <v>57.17</v>
      </c>
      <c r="D2138" s="116">
        <v>55.18</v>
      </c>
      <c r="E2138" s="116">
        <v>56.47</v>
      </c>
      <c r="F2138" s="116">
        <v>285.85000000000002</v>
      </c>
      <c r="G2138">
        <v>1826041</v>
      </c>
      <c r="H2138" s="116"/>
      <c r="I2138" s="116"/>
      <c r="L2138" s="170">
        <v>45152</v>
      </c>
      <c r="M2138" s="116">
        <v>57.22</v>
      </c>
      <c r="N2138" s="116">
        <v>57.79</v>
      </c>
      <c r="O2138" s="116">
        <v>55.21</v>
      </c>
      <c r="P2138" s="116">
        <v>56.66</v>
      </c>
      <c r="Q2138" s="116">
        <v>286.10000000000002</v>
      </c>
      <c r="R2138">
        <v>10660571</v>
      </c>
    </row>
    <row r="2139" spans="1:18" x14ac:dyDescent="0.25">
      <c r="A2139" s="170">
        <v>45154</v>
      </c>
      <c r="B2139" s="116">
        <v>58.3</v>
      </c>
      <c r="C2139" s="116">
        <v>55.86</v>
      </c>
      <c r="D2139" s="116">
        <v>54.93</v>
      </c>
      <c r="E2139" s="116">
        <v>57.17</v>
      </c>
      <c r="F2139" s="116">
        <v>279.3</v>
      </c>
      <c r="G2139">
        <v>326148958</v>
      </c>
      <c r="H2139" s="116"/>
      <c r="I2139" s="116"/>
      <c r="L2139" s="170">
        <v>45154</v>
      </c>
      <c r="M2139" s="116">
        <v>55.98</v>
      </c>
      <c r="N2139" s="116">
        <v>58.34</v>
      </c>
      <c r="O2139" s="116">
        <v>54.88</v>
      </c>
      <c r="P2139" s="116">
        <v>57.2</v>
      </c>
      <c r="Q2139" s="116">
        <v>279.89999999999998</v>
      </c>
      <c r="R2139">
        <v>33737517</v>
      </c>
    </row>
    <row r="2140" spans="1:18" x14ac:dyDescent="0.25">
      <c r="A2140" s="170">
        <v>45155</v>
      </c>
      <c r="B2140" s="116">
        <v>57.69</v>
      </c>
      <c r="C2140" s="116">
        <v>57.3</v>
      </c>
      <c r="D2140" s="116">
        <v>56.4</v>
      </c>
      <c r="E2140" s="116">
        <v>56.94</v>
      </c>
      <c r="F2140" s="116">
        <v>286.5</v>
      </c>
      <c r="G2140">
        <v>1705797</v>
      </c>
      <c r="H2140" s="116"/>
      <c r="I2140" s="116"/>
      <c r="L2140" s="170">
        <v>45155</v>
      </c>
      <c r="M2140" s="116">
        <v>57.31</v>
      </c>
      <c r="N2140" s="116">
        <v>57.7</v>
      </c>
      <c r="O2140" s="116">
        <v>56.4</v>
      </c>
      <c r="P2140" s="116">
        <v>56.92</v>
      </c>
      <c r="Q2140" s="116">
        <v>286.55</v>
      </c>
      <c r="R2140">
        <v>18159548</v>
      </c>
    </row>
    <row r="2141" spans="1:18" x14ac:dyDescent="0.25">
      <c r="A2141" s="170">
        <v>45156</v>
      </c>
      <c r="B2141" s="116">
        <v>64.2</v>
      </c>
      <c r="C2141" s="116">
        <v>60.93</v>
      </c>
      <c r="D2141" s="116">
        <v>57.28</v>
      </c>
      <c r="E2141" s="116">
        <v>57.4</v>
      </c>
      <c r="F2141" s="116">
        <v>304.64999999999998</v>
      </c>
      <c r="G2141">
        <v>3309732</v>
      </c>
      <c r="H2141" s="116"/>
      <c r="I2141" s="116"/>
      <c r="L2141" s="170">
        <v>45156</v>
      </c>
      <c r="M2141" s="116">
        <v>60.92</v>
      </c>
      <c r="N2141" s="116">
        <v>64.33</v>
      </c>
      <c r="O2141" s="116">
        <v>57.25</v>
      </c>
      <c r="P2141" s="116">
        <v>57.39</v>
      </c>
      <c r="Q2141" s="116">
        <v>304.60000000000002</v>
      </c>
      <c r="R2141">
        <v>58120641</v>
      </c>
    </row>
    <row r="2142" spans="1:18" x14ac:dyDescent="0.25">
      <c r="A2142" s="170">
        <v>45159</v>
      </c>
      <c r="B2142" s="116">
        <v>65.599999999999994</v>
      </c>
      <c r="C2142" s="116">
        <v>65.010000000000005</v>
      </c>
      <c r="D2142" s="116">
        <v>61.14</v>
      </c>
      <c r="E2142" s="116">
        <v>61.21</v>
      </c>
      <c r="F2142" s="116">
        <v>325.05</v>
      </c>
      <c r="G2142">
        <v>4615369</v>
      </c>
      <c r="H2142" s="116"/>
      <c r="I2142" s="116"/>
      <c r="L2142" s="170">
        <v>45159</v>
      </c>
      <c r="M2142" s="116">
        <v>64.97</v>
      </c>
      <c r="N2142" s="116">
        <v>65.599999999999994</v>
      </c>
      <c r="O2142" s="116">
        <v>61.11</v>
      </c>
      <c r="P2142" s="116">
        <v>61.34</v>
      </c>
      <c r="Q2142" s="116">
        <v>324.85000000000002</v>
      </c>
      <c r="R2142">
        <v>35884689</v>
      </c>
    </row>
    <row r="2143" spans="1:18" x14ac:dyDescent="0.25">
      <c r="A2143" s="170">
        <v>45160</v>
      </c>
      <c r="B2143" s="116">
        <v>70</v>
      </c>
      <c r="C2143" s="116">
        <v>69.48</v>
      </c>
      <c r="D2143" s="116">
        <v>66.41</v>
      </c>
      <c r="E2143" s="116">
        <v>66.8</v>
      </c>
      <c r="F2143" s="116">
        <v>347.4</v>
      </c>
      <c r="G2143">
        <v>5111589</v>
      </c>
      <c r="H2143" s="116"/>
      <c r="I2143" s="116"/>
      <c r="L2143" s="170">
        <v>45160</v>
      </c>
      <c r="M2143" s="116">
        <v>69.48</v>
      </c>
      <c r="N2143" s="116">
        <v>69.98</v>
      </c>
      <c r="O2143" s="116">
        <v>66.2</v>
      </c>
      <c r="P2143" s="116">
        <v>66.7</v>
      </c>
      <c r="Q2143" s="116">
        <v>347.4</v>
      </c>
      <c r="R2143">
        <v>36573300</v>
      </c>
    </row>
    <row r="2144" spans="1:18" x14ac:dyDescent="0.25">
      <c r="A2144" s="170">
        <v>45161</v>
      </c>
      <c r="B2144" s="116">
        <v>71.86</v>
      </c>
      <c r="C2144" s="116">
        <v>64.55</v>
      </c>
      <c r="D2144" s="116">
        <v>62.51</v>
      </c>
      <c r="E2144" s="116">
        <v>70.599999999999994</v>
      </c>
      <c r="F2144" s="116">
        <v>322.75</v>
      </c>
      <c r="G2144">
        <v>6919926</v>
      </c>
      <c r="H2144" s="116"/>
      <c r="I2144" s="116"/>
      <c r="L2144" s="170">
        <v>45161</v>
      </c>
      <c r="M2144" s="116">
        <v>64.569999999999993</v>
      </c>
      <c r="N2144" s="116">
        <v>71.849999999999994</v>
      </c>
      <c r="O2144" s="116">
        <v>62.46</v>
      </c>
      <c r="P2144" s="116">
        <v>70.599999999999994</v>
      </c>
      <c r="Q2144" s="116">
        <v>322.85000000000002</v>
      </c>
      <c r="R2144">
        <v>49358727</v>
      </c>
    </row>
    <row r="2145" spans="1:18" x14ac:dyDescent="0.25">
      <c r="A2145" s="170">
        <v>45162</v>
      </c>
      <c r="B2145" s="116">
        <v>67.98</v>
      </c>
      <c r="C2145" s="116">
        <v>65.77</v>
      </c>
      <c r="D2145" s="116">
        <v>64.599999999999994</v>
      </c>
      <c r="E2145" s="116">
        <v>65.61</v>
      </c>
      <c r="F2145" s="116">
        <v>328.85</v>
      </c>
      <c r="G2145">
        <v>1786200</v>
      </c>
      <c r="H2145" s="116"/>
      <c r="I2145" s="116"/>
      <c r="L2145" s="170">
        <v>45162</v>
      </c>
      <c r="M2145" s="116">
        <v>65.760000000000005</v>
      </c>
      <c r="N2145" s="116">
        <v>67.97</v>
      </c>
      <c r="O2145" s="116">
        <v>64.569999999999993</v>
      </c>
      <c r="P2145" s="116">
        <v>66</v>
      </c>
      <c r="Q2145" s="116">
        <v>328.8</v>
      </c>
      <c r="R2145">
        <v>23268024</v>
      </c>
    </row>
    <row r="2146" spans="1:18" x14ac:dyDescent="0.25">
      <c r="A2146" s="170">
        <v>45163</v>
      </c>
      <c r="B2146" s="116">
        <v>66.91</v>
      </c>
      <c r="C2146" s="116">
        <v>64.98</v>
      </c>
      <c r="D2146" s="116">
        <v>63.78</v>
      </c>
      <c r="E2146" s="116">
        <v>65.91</v>
      </c>
      <c r="F2146" s="116">
        <v>324.89999999999998</v>
      </c>
      <c r="G2146">
        <v>1894518</v>
      </c>
      <c r="H2146" s="116"/>
      <c r="I2146" s="116"/>
      <c r="L2146" s="170">
        <v>45163</v>
      </c>
      <c r="M2146" s="116">
        <v>65.010000000000005</v>
      </c>
      <c r="N2146" s="116">
        <v>66.94</v>
      </c>
      <c r="O2146" s="116">
        <v>63.8</v>
      </c>
      <c r="P2146" s="116">
        <v>65.98</v>
      </c>
      <c r="Q2146" s="116">
        <v>325.05</v>
      </c>
      <c r="R2146">
        <v>16028515</v>
      </c>
    </row>
    <row r="2147" spans="1:18" x14ac:dyDescent="0.25">
      <c r="A2147" s="170">
        <v>45166</v>
      </c>
      <c r="B2147" s="116">
        <v>67.08</v>
      </c>
      <c r="C2147" s="116">
        <v>64.36</v>
      </c>
      <c r="D2147" s="116">
        <v>63.47</v>
      </c>
      <c r="E2147" s="116">
        <v>66.13</v>
      </c>
      <c r="F2147" s="116">
        <v>321.8</v>
      </c>
      <c r="G2147">
        <v>1066574</v>
      </c>
      <c r="H2147" s="116"/>
      <c r="I2147" s="116"/>
      <c r="L2147" s="170">
        <v>45166</v>
      </c>
      <c r="M2147" s="116">
        <v>64.36</v>
      </c>
      <c r="N2147" s="116">
        <v>67.2</v>
      </c>
      <c r="O2147" s="116">
        <v>63.44</v>
      </c>
      <c r="P2147" s="116">
        <v>66.400000000000006</v>
      </c>
      <c r="Q2147" s="116">
        <v>321.8</v>
      </c>
      <c r="R2147">
        <v>14579011</v>
      </c>
    </row>
    <row r="2148" spans="1:18" x14ac:dyDescent="0.25">
      <c r="A2148" s="170">
        <v>45167</v>
      </c>
      <c r="B2148" s="116">
        <v>67.73</v>
      </c>
      <c r="C2148" s="116">
        <v>66.5</v>
      </c>
      <c r="D2148" s="116">
        <v>63.16</v>
      </c>
      <c r="E2148" s="116">
        <v>64.41</v>
      </c>
      <c r="F2148" s="116">
        <v>332.5</v>
      </c>
      <c r="G2148">
        <v>3002295</v>
      </c>
      <c r="H2148" s="116"/>
      <c r="I2148" s="116"/>
      <c r="L2148" s="170">
        <v>45167</v>
      </c>
      <c r="M2148" s="116">
        <v>66.540000000000006</v>
      </c>
      <c r="N2148" s="116">
        <v>67.77</v>
      </c>
      <c r="O2148" s="116">
        <v>63.18</v>
      </c>
      <c r="P2148" s="116">
        <v>64.569999999999993</v>
      </c>
      <c r="Q2148" s="116">
        <v>332.7</v>
      </c>
      <c r="R2148">
        <v>25217118</v>
      </c>
    </row>
    <row r="2149" spans="1:18" x14ac:dyDescent="0.25">
      <c r="A2149" s="170">
        <v>45168</v>
      </c>
      <c r="B2149" s="116">
        <v>67.23</v>
      </c>
      <c r="C2149" s="116">
        <v>65.680000000000007</v>
      </c>
      <c r="D2149" s="116">
        <v>65.319999999999993</v>
      </c>
      <c r="E2149" s="116">
        <v>66.61</v>
      </c>
      <c r="F2149" s="116">
        <v>328.4</v>
      </c>
      <c r="G2149">
        <v>683432</v>
      </c>
      <c r="H2149" s="116"/>
      <c r="I2149" s="116"/>
      <c r="L2149" s="170">
        <v>45168</v>
      </c>
      <c r="M2149" s="116">
        <v>65.680000000000007</v>
      </c>
      <c r="N2149" s="116">
        <v>67.260000000000005</v>
      </c>
      <c r="O2149" s="116">
        <v>65.27</v>
      </c>
      <c r="P2149" s="116">
        <v>66.87</v>
      </c>
      <c r="Q2149" s="116">
        <v>328.4</v>
      </c>
      <c r="R2149">
        <v>9128939</v>
      </c>
    </row>
    <row r="2150" spans="1:18" x14ac:dyDescent="0.25">
      <c r="A2150" s="170">
        <v>45169</v>
      </c>
      <c r="B2150" s="116">
        <v>64.89</v>
      </c>
      <c r="C2150" s="116">
        <v>64.209999999999994</v>
      </c>
      <c r="D2150" s="116">
        <v>61.81</v>
      </c>
      <c r="E2150" s="116">
        <v>63.07</v>
      </c>
      <c r="F2150" s="116">
        <v>321.05</v>
      </c>
      <c r="G2150">
        <v>3647913</v>
      </c>
      <c r="H2150" s="116"/>
      <c r="I2150" s="116"/>
      <c r="L2150" s="170">
        <v>45169</v>
      </c>
      <c r="M2150" s="116">
        <v>64.260000000000005</v>
      </c>
      <c r="N2150" s="116">
        <v>64.86</v>
      </c>
      <c r="O2150" s="116">
        <v>61.8</v>
      </c>
      <c r="P2150" s="116">
        <v>62.8</v>
      </c>
      <c r="Q2150" s="116">
        <v>321.3</v>
      </c>
      <c r="R2150">
        <v>21870905</v>
      </c>
    </row>
    <row r="2151" spans="1:18" x14ac:dyDescent="0.25">
      <c r="A2151" s="170">
        <v>45170</v>
      </c>
      <c r="B2151" s="116">
        <v>67.150000000000006</v>
      </c>
      <c r="C2151" s="116">
        <v>65.989999999999995</v>
      </c>
      <c r="D2151" s="116">
        <v>62.5</v>
      </c>
      <c r="E2151" s="116">
        <v>62.53</v>
      </c>
      <c r="F2151" s="116">
        <v>329.95</v>
      </c>
      <c r="G2151">
        <v>1890320</v>
      </c>
      <c r="H2151" s="116"/>
      <c r="I2151" s="116"/>
      <c r="L2151" s="170">
        <v>45170</v>
      </c>
      <c r="M2151" s="116">
        <v>66.05</v>
      </c>
      <c r="N2151" s="116">
        <v>67.19</v>
      </c>
      <c r="O2151" s="116">
        <v>62.45</v>
      </c>
      <c r="P2151" s="116">
        <v>63</v>
      </c>
      <c r="Q2151" s="116">
        <v>330.25</v>
      </c>
      <c r="R2151">
        <v>24863644</v>
      </c>
    </row>
    <row r="2152" spans="1:18" x14ac:dyDescent="0.25">
      <c r="A2152" s="170">
        <v>45173</v>
      </c>
      <c r="B2152" s="116">
        <v>69.099999999999994</v>
      </c>
      <c r="C2152" s="116">
        <v>68.290000000000006</v>
      </c>
      <c r="D2152" s="116">
        <v>66.069999999999993</v>
      </c>
      <c r="E2152" s="116">
        <v>66.069999999999993</v>
      </c>
      <c r="F2152" s="116">
        <v>341.45</v>
      </c>
      <c r="G2152">
        <v>1188529</v>
      </c>
      <c r="H2152" s="116"/>
      <c r="I2152" s="116"/>
      <c r="L2152" s="170">
        <v>45173</v>
      </c>
      <c r="M2152" s="116">
        <v>68.349999999999994</v>
      </c>
      <c r="N2152" s="116">
        <v>69.040000000000006</v>
      </c>
      <c r="O2152" s="116">
        <v>66.400000000000006</v>
      </c>
      <c r="P2152" s="116">
        <v>66.400000000000006</v>
      </c>
      <c r="Q2152" s="116">
        <v>341.75</v>
      </c>
      <c r="R2152">
        <v>15935199</v>
      </c>
    </row>
    <row r="2153" spans="1:18" x14ac:dyDescent="0.25">
      <c r="A2153" s="170">
        <v>45174</v>
      </c>
      <c r="B2153" s="116">
        <v>70.39</v>
      </c>
      <c r="C2153" s="116">
        <v>68.44</v>
      </c>
      <c r="D2153" s="116">
        <v>67.19</v>
      </c>
      <c r="E2153" s="116">
        <v>69.099999999999994</v>
      </c>
      <c r="F2153" s="116">
        <v>342.2</v>
      </c>
      <c r="G2153">
        <v>970615</v>
      </c>
      <c r="H2153" s="116"/>
      <c r="I2153" s="116"/>
      <c r="L2153" s="170">
        <v>45174</v>
      </c>
      <c r="M2153" s="116">
        <v>68.489999999999995</v>
      </c>
      <c r="N2153" s="116">
        <v>70.400000000000006</v>
      </c>
      <c r="O2153" s="116">
        <v>67.2</v>
      </c>
      <c r="P2153" s="116">
        <v>69.430000000000007</v>
      </c>
      <c r="Q2153" s="116">
        <v>342.45</v>
      </c>
      <c r="R2153">
        <v>16443461</v>
      </c>
    </row>
    <row r="2154" spans="1:18" x14ac:dyDescent="0.25">
      <c r="A2154" s="170">
        <v>45175</v>
      </c>
      <c r="B2154" s="116">
        <v>70</v>
      </c>
      <c r="C2154" s="116">
        <v>69.52</v>
      </c>
      <c r="D2154" s="116">
        <v>67.84</v>
      </c>
      <c r="E2154" s="116">
        <v>68.61</v>
      </c>
      <c r="F2154" s="116">
        <v>347.6</v>
      </c>
      <c r="G2154">
        <v>881951</v>
      </c>
      <c r="H2154" s="116"/>
      <c r="I2154" s="116"/>
      <c r="L2154" s="170">
        <v>45175</v>
      </c>
      <c r="M2154" s="116">
        <v>69.510000000000005</v>
      </c>
      <c r="N2154" s="116">
        <v>70.099999999999994</v>
      </c>
      <c r="O2154" s="116">
        <v>67.83</v>
      </c>
      <c r="P2154" s="116">
        <v>68.72</v>
      </c>
      <c r="Q2154" s="116">
        <v>347.55</v>
      </c>
      <c r="R2154">
        <v>9482430</v>
      </c>
    </row>
    <row r="2155" spans="1:18" x14ac:dyDescent="0.25">
      <c r="A2155" s="170">
        <v>45176</v>
      </c>
      <c r="B2155" s="116">
        <v>72.39</v>
      </c>
      <c r="C2155" s="116">
        <v>71.760000000000005</v>
      </c>
      <c r="D2155" s="116">
        <v>69</v>
      </c>
      <c r="E2155" s="116">
        <v>69.84</v>
      </c>
      <c r="F2155" s="116">
        <v>358.8</v>
      </c>
      <c r="G2155">
        <v>2727053</v>
      </c>
      <c r="H2155" s="116"/>
      <c r="I2155" s="116"/>
      <c r="L2155" s="170">
        <v>45176</v>
      </c>
      <c r="M2155" s="116">
        <v>71.760000000000005</v>
      </c>
      <c r="N2155" s="116">
        <v>72.44</v>
      </c>
      <c r="O2155" s="116">
        <v>69.02</v>
      </c>
      <c r="P2155" s="116">
        <v>69.87</v>
      </c>
      <c r="Q2155" s="116">
        <v>358.8</v>
      </c>
      <c r="R2155">
        <v>24935097</v>
      </c>
    </row>
    <row r="2156" spans="1:18" x14ac:dyDescent="0.25">
      <c r="A2156" s="170">
        <v>45177</v>
      </c>
      <c r="B2156" s="116">
        <v>74.44</v>
      </c>
      <c r="C2156" s="116">
        <v>73.86</v>
      </c>
      <c r="D2156" s="116">
        <v>71.5</v>
      </c>
      <c r="E2156" s="116">
        <v>71.81</v>
      </c>
      <c r="F2156" s="116">
        <v>369.3</v>
      </c>
      <c r="G2156">
        <v>2399795</v>
      </c>
      <c r="H2156" s="116"/>
      <c r="I2156" s="116"/>
      <c r="L2156" s="170">
        <v>45177</v>
      </c>
      <c r="M2156" s="116">
        <v>73.83</v>
      </c>
      <c r="N2156" s="116">
        <v>74.48</v>
      </c>
      <c r="O2156" s="116">
        <v>71.400000000000006</v>
      </c>
      <c r="P2156" s="116">
        <v>72</v>
      </c>
      <c r="Q2156" s="116">
        <v>369.15</v>
      </c>
      <c r="R2156">
        <v>26073229</v>
      </c>
    </row>
    <row r="2157" spans="1:18" x14ac:dyDescent="0.25">
      <c r="A2157" s="170">
        <v>45180</v>
      </c>
      <c r="B2157" s="116">
        <v>80.63</v>
      </c>
      <c r="C2157" s="116">
        <v>79.7</v>
      </c>
      <c r="D2157" s="116">
        <v>74.45</v>
      </c>
      <c r="E2157" s="116">
        <v>74.45</v>
      </c>
      <c r="F2157" s="116">
        <v>398.5</v>
      </c>
      <c r="G2157">
        <v>4562844</v>
      </c>
      <c r="H2157" s="116"/>
      <c r="I2157" s="116"/>
      <c r="L2157" s="170">
        <v>45180</v>
      </c>
      <c r="M2157" s="116">
        <v>79.680000000000007</v>
      </c>
      <c r="N2157" s="116">
        <v>80.64</v>
      </c>
      <c r="O2157" s="116">
        <v>74.59</v>
      </c>
      <c r="P2157" s="116">
        <v>74.599999999999994</v>
      </c>
      <c r="Q2157" s="116">
        <v>398.4</v>
      </c>
      <c r="R2157">
        <v>44839639</v>
      </c>
    </row>
    <row r="2158" spans="1:18" x14ac:dyDescent="0.25">
      <c r="A2158" s="170">
        <v>45181</v>
      </c>
      <c r="B2158" s="116">
        <v>82</v>
      </c>
      <c r="C2158" s="116">
        <v>77.23</v>
      </c>
      <c r="D2158" s="116">
        <v>74.62</v>
      </c>
      <c r="E2158" s="116">
        <v>81.11</v>
      </c>
      <c r="F2158" s="116">
        <v>386.15</v>
      </c>
      <c r="G2158">
        <v>3358585</v>
      </c>
      <c r="H2158" s="116"/>
      <c r="I2158" s="116"/>
      <c r="L2158" s="170">
        <v>45181</v>
      </c>
      <c r="M2158" s="116">
        <v>77.260000000000005</v>
      </c>
      <c r="N2158" s="116">
        <v>81.94</v>
      </c>
      <c r="O2158" s="116">
        <v>74.680000000000007</v>
      </c>
      <c r="P2158" s="116">
        <v>81.2</v>
      </c>
      <c r="Q2158" s="116">
        <v>386.3</v>
      </c>
      <c r="R2158">
        <v>33894520</v>
      </c>
    </row>
    <row r="2159" spans="1:18" x14ac:dyDescent="0.25">
      <c r="A2159" s="170">
        <v>45182</v>
      </c>
      <c r="B2159" s="116">
        <v>78.48</v>
      </c>
      <c r="C2159" s="116">
        <v>75.3</v>
      </c>
      <c r="D2159" s="116">
        <v>73.42</v>
      </c>
      <c r="E2159" s="116">
        <v>77.19</v>
      </c>
      <c r="F2159" s="116">
        <v>376.5</v>
      </c>
      <c r="G2159">
        <v>1114806</v>
      </c>
      <c r="H2159" s="116"/>
      <c r="I2159" s="116"/>
      <c r="L2159" s="170">
        <v>45182</v>
      </c>
      <c r="M2159" s="116">
        <v>75.42</v>
      </c>
      <c r="N2159" s="116">
        <v>78.400000000000006</v>
      </c>
      <c r="O2159" s="116">
        <v>73.36</v>
      </c>
      <c r="P2159" s="116">
        <v>77.150000000000006</v>
      </c>
      <c r="Q2159" s="116">
        <v>377.1</v>
      </c>
      <c r="R2159">
        <v>14536761</v>
      </c>
    </row>
    <row r="2160" spans="1:18" x14ac:dyDescent="0.25">
      <c r="A2160" s="170">
        <v>45183</v>
      </c>
      <c r="B2160" s="116">
        <v>76.81</v>
      </c>
      <c r="C2160" s="116">
        <v>75.41</v>
      </c>
      <c r="D2160" s="116">
        <v>75.02</v>
      </c>
      <c r="E2160" s="116">
        <v>75.959999999999994</v>
      </c>
      <c r="F2160" s="116">
        <v>377.05</v>
      </c>
      <c r="G2160">
        <v>738925</v>
      </c>
      <c r="H2160" s="116"/>
      <c r="I2160" s="116"/>
      <c r="L2160" s="170">
        <v>45183</v>
      </c>
      <c r="M2160" s="116">
        <v>75.430000000000007</v>
      </c>
      <c r="N2160" s="116">
        <v>76.760000000000005</v>
      </c>
      <c r="O2160" s="116">
        <v>75.02</v>
      </c>
      <c r="P2160" s="116">
        <v>76</v>
      </c>
      <c r="Q2160" s="116">
        <v>377.15</v>
      </c>
      <c r="R2160">
        <v>6898172</v>
      </c>
    </row>
    <row r="2161" spans="1:18" x14ac:dyDescent="0.25">
      <c r="A2161" s="170">
        <v>45184</v>
      </c>
      <c r="B2161" s="116">
        <v>76.790000000000006</v>
      </c>
      <c r="C2161" s="116">
        <v>75.84</v>
      </c>
      <c r="D2161" s="116">
        <v>75.41</v>
      </c>
      <c r="E2161" s="116">
        <v>75.64</v>
      </c>
      <c r="F2161" s="116">
        <v>379.2</v>
      </c>
      <c r="G2161">
        <v>513511</v>
      </c>
      <c r="H2161" s="116"/>
      <c r="I2161" s="116"/>
      <c r="L2161" s="170">
        <v>45184</v>
      </c>
      <c r="M2161" s="116">
        <v>75.88</v>
      </c>
      <c r="N2161" s="116">
        <v>76.8</v>
      </c>
      <c r="O2161" s="116">
        <v>75.44</v>
      </c>
      <c r="P2161" s="116">
        <v>75.7</v>
      </c>
      <c r="Q2161" s="116">
        <v>379.4</v>
      </c>
      <c r="R2161">
        <v>18213490</v>
      </c>
    </row>
    <row r="2162" spans="1:18" x14ac:dyDescent="0.25">
      <c r="A2162" s="170">
        <v>45187</v>
      </c>
      <c r="B2162" s="116">
        <v>76.63</v>
      </c>
      <c r="C2162" s="116">
        <v>74.959999999999994</v>
      </c>
      <c r="D2162" s="116">
        <v>74.58</v>
      </c>
      <c r="E2162" s="116">
        <v>75.849999999999994</v>
      </c>
      <c r="F2162" s="116">
        <v>374.8</v>
      </c>
      <c r="G2162">
        <v>366477</v>
      </c>
      <c r="H2162" s="116"/>
      <c r="I2162" s="116"/>
      <c r="L2162" s="170">
        <v>45187</v>
      </c>
      <c r="M2162" s="116">
        <v>75</v>
      </c>
      <c r="N2162" s="116">
        <v>76.569999999999993</v>
      </c>
      <c r="O2162" s="116">
        <v>74.489999999999995</v>
      </c>
      <c r="P2162" s="116">
        <v>76.2</v>
      </c>
      <c r="Q2162" s="116">
        <v>375</v>
      </c>
      <c r="R2162">
        <v>20351913</v>
      </c>
    </row>
    <row r="2163" spans="1:18" x14ac:dyDescent="0.25">
      <c r="A2163" s="170">
        <v>45189</v>
      </c>
      <c r="B2163" s="116">
        <v>74.709999999999994</v>
      </c>
      <c r="C2163" s="116">
        <v>73.709999999999994</v>
      </c>
      <c r="D2163" s="116">
        <v>73.209999999999994</v>
      </c>
      <c r="E2163" s="116">
        <v>74.3</v>
      </c>
      <c r="F2163" s="116">
        <v>368.55</v>
      </c>
      <c r="G2163">
        <v>429849</v>
      </c>
      <c r="H2163" s="116"/>
      <c r="I2163" s="116"/>
      <c r="L2163" s="170">
        <v>45189</v>
      </c>
      <c r="M2163" s="116">
        <v>73.680000000000007</v>
      </c>
      <c r="N2163" s="116">
        <v>74.760000000000005</v>
      </c>
      <c r="O2163" s="116">
        <v>73.209999999999994</v>
      </c>
      <c r="P2163" s="116">
        <v>74.23</v>
      </c>
      <c r="Q2163" s="116">
        <v>368.4</v>
      </c>
      <c r="R2163">
        <v>17656850</v>
      </c>
    </row>
    <row r="2164" spans="1:18" x14ac:dyDescent="0.25">
      <c r="A2164" s="170">
        <v>45190</v>
      </c>
      <c r="B2164" s="116">
        <v>76.989999999999995</v>
      </c>
      <c r="C2164" s="116">
        <v>76.48</v>
      </c>
      <c r="D2164" s="116">
        <v>72.849999999999994</v>
      </c>
      <c r="E2164" s="116">
        <v>73.22</v>
      </c>
      <c r="F2164" s="116">
        <v>382.4</v>
      </c>
      <c r="G2164">
        <v>1477367</v>
      </c>
      <c r="H2164" s="116"/>
      <c r="I2164" s="116"/>
      <c r="L2164" s="170">
        <v>45190</v>
      </c>
      <c r="M2164" s="116">
        <v>76.489999999999995</v>
      </c>
      <c r="N2164" s="116">
        <v>77</v>
      </c>
      <c r="O2164" s="116">
        <v>72.88</v>
      </c>
      <c r="P2164" s="116">
        <v>73.400000000000006</v>
      </c>
      <c r="Q2164" s="116">
        <v>382.45</v>
      </c>
      <c r="R2164">
        <v>24721306</v>
      </c>
    </row>
    <row r="2165" spans="1:18" x14ac:dyDescent="0.25">
      <c r="A2165" s="170">
        <v>45191</v>
      </c>
      <c r="B2165" s="116">
        <v>77.87</v>
      </c>
      <c r="C2165" s="116">
        <v>76.62</v>
      </c>
      <c r="D2165" s="116">
        <v>76</v>
      </c>
      <c r="E2165" s="116">
        <v>77.09</v>
      </c>
      <c r="F2165" s="116">
        <v>383.1</v>
      </c>
      <c r="G2165">
        <v>549033</v>
      </c>
      <c r="H2165" s="116"/>
      <c r="I2165" s="116"/>
      <c r="L2165" s="170">
        <v>45191</v>
      </c>
      <c r="M2165" s="116">
        <v>76.78</v>
      </c>
      <c r="N2165" s="116">
        <v>77.849999999999994</v>
      </c>
      <c r="O2165" s="116">
        <v>76</v>
      </c>
      <c r="P2165" s="116">
        <v>77.06</v>
      </c>
      <c r="Q2165" s="116">
        <v>383.9</v>
      </c>
      <c r="R2165">
        <v>12000168</v>
      </c>
    </row>
    <row r="2166" spans="1:18" x14ac:dyDescent="0.25">
      <c r="A2166" s="170">
        <v>45194</v>
      </c>
      <c r="B2166" s="116">
        <v>77.17</v>
      </c>
      <c r="C2166" s="116">
        <v>76.099999999999994</v>
      </c>
      <c r="D2166" s="116">
        <v>75.63</v>
      </c>
      <c r="E2166" s="116">
        <v>76.7</v>
      </c>
      <c r="F2166" s="116">
        <v>380.5</v>
      </c>
      <c r="G2166">
        <v>445860</v>
      </c>
      <c r="H2166" s="116"/>
      <c r="I2166" s="116"/>
      <c r="L2166" s="170">
        <v>45194</v>
      </c>
      <c r="M2166" s="116">
        <v>76.23</v>
      </c>
      <c r="N2166" s="116">
        <v>77.11</v>
      </c>
      <c r="O2166" s="116">
        <v>75.64</v>
      </c>
      <c r="P2166" s="116">
        <v>76.78</v>
      </c>
      <c r="Q2166" s="116">
        <v>381.15</v>
      </c>
      <c r="R2166">
        <v>17125016</v>
      </c>
    </row>
    <row r="2167" spans="1:18" x14ac:dyDescent="0.25">
      <c r="A2167" s="170">
        <v>45195</v>
      </c>
      <c r="B2167" s="116">
        <v>76.55</v>
      </c>
      <c r="C2167" s="116">
        <v>75.489999999999995</v>
      </c>
      <c r="D2167" s="116">
        <v>75.2</v>
      </c>
      <c r="E2167" s="116">
        <v>76.2</v>
      </c>
      <c r="F2167" s="116">
        <v>377.45</v>
      </c>
      <c r="G2167">
        <v>310018</v>
      </c>
      <c r="H2167" s="116"/>
      <c r="I2167" s="116"/>
      <c r="L2167" s="170">
        <v>45195</v>
      </c>
      <c r="M2167" s="116">
        <v>75.5</v>
      </c>
      <c r="N2167" s="116">
        <v>76.56</v>
      </c>
      <c r="O2167" s="116">
        <v>75.02</v>
      </c>
      <c r="P2167" s="116">
        <v>76.010000000000005</v>
      </c>
      <c r="Q2167" s="116">
        <v>377.5</v>
      </c>
      <c r="R2167">
        <v>17002538</v>
      </c>
    </row>
    <row r="2168" spans="1:18" x14ac:dyDescent="0.25">
      <c r="A2168" s="170">
        <v>45196</v>
      </c>
      <c r="B2168" s="116">
        <v>75.77</v>
      </c>
      <c r="C2168" s="116">
        <v>75.06</v>
      </c>
      <c r="D2168" s="116">
        <v>74.69</v>
      </c>
      <c r="E2168" s="116">
        <v>75.61</v>
      </c>
      <c r="F2168" s="116">
        <v>375.3</v>
      </c>
      <c r="G2168">
        <v>290063</v>
      </c>
      <c r="H2168" s="116"/>
      <c r="I2168" s="116"/>
      <c r="L2168" s="170">
        <v>45196</v>
      </c>
      <c r="M2168" s="116">
        <v>75.069999999999993</v>
      </c>
      <c r="N2168" s="116">
        <v>75.8</v>
      </c>
      <c r="O2168" s="116">
        <v>74.650000000000006</v>
      </c>
      <c r="P2168" s="116">
        <v>75.8</v>
      </c>
      <c r="Q2168" s="116">
        <v>375.35</v>
      </c>
      <c r="R2168">
        <v>16473986</v>
      </c>
    </row>
    <row r="2169" spans="1:18" x14ac:dyDescent="0.25">
      <c r="A2169" s="170">
        <v>45197</v>
      </c>
      <c r="B2169" s="116">
        <v>75.989999999999995</v>
      </c>
      <c r="C2169" s="116">
        <v>75.05</v>
      </c>
      <c r="D2169" s="116">
        <v>74.47</v>
      </c>
      <c r="E2169" s="116">
        <v>75.2</v>
      </c>
      <c r="F2169" s="116">
        <v>375.25</v>
      </c>
      <c r="G2169">
        <v>419557</v>
      </c>
      <c r="H2169" s="116"/>
      <c r="I2169" s="116"/>
      <c r="L2169" s="170">
        <v>45197</v>
      </c>
      <c r="M2169" s="116">
        <v>75.08</v>
      </c>
      <c r="N2169" s="116">
        <v>75.97</v>
      </c>
      <c r="O2169" s="116">
        <v>74.489999999999995</v>
      </c>
      <c r="P2169" s="116">
        <v>75.36</v>
      </c>
      <c r="Q2169" s="116">
        <v>375.4</v>
      </c>
      <c r="R2169">
        <v>19409168</v>
      </c>
    </row>
    <row r="2170" spans="1:18" x14ac:dyDescent="0.25">
      <c r="A2170" s="170">
        <v>45198</v>
      </c>
      <c r="B2170" s="116">
        <v>75.790000000000006</v>
      </c>
      <c r="C2170" s="116">
        <v>75.430000000000007</v>
      </c>
      <c r="D2170" s="116">
        <v>74.650000000000006</v>
      </c>
      <c r="E2170" s="116">
        <v>75.19</v>
      </c>
      <c r="F2170" s="116">
        <v>377.15</v>
      </c>
      <c r="G2170">
        <v>667248</v>
      </c>
      <c r="H2170" s="116"/>
      <c r="I2170" s="116"/>
      <c r="L2170" s="170">
        <v>45198</v>
      </c>
      <c r="M2170" s="116">
        <v>75.489999999999995</v>
      </c>
      <c r="N2170" s="116">
        <v>75.8</v>
      </c>
      <c r="O2170" s="116">
        <v>74.62</v>
      </c>
      <c r="P2170" s="116">
        <v>75.08</v>
      </c>
      <c r="Q2170" s="116">
        <v>377.45</v>
      </c>
      <c r="R2170">
        <v>17989437</v>
      </c>
    </row>
    <row r="2171" spans="1:18" x14ac:dyDescent="0.25">
      <c r="A2171" s="170">
        <v>45202</v>
      </c>
      <c r="B2171" s="116">
        <v>75.39</v>
      </c>
      <c r="C2171" s="116">
        <v>73.41</v>
      </c>
      <c r="D2171" s="116">
        <v>72.599999999999994</v>
      </c>
      <c r="E2171" s="116">
        <v>75.209999999999994</v>
      </c>
      <c r="F2171" s="116">
        <v>367.05</v>
      </c>
      <c r="G2171">
        <v>278309</v>
      </c>
      <c r="H2171" s="116"/>
      <c r="I2171" s="116"/>
      <c r="L2171" s="170">
        <v>45202</v>
      </c>
      <c r="M2171" s="116">
        <v>73.34</v>
      </c>
      <c r="N2171" s="116">
        <v>75.38</v>
      </c>
      <c r="O2171" s="116">
        <v>72.64</v>
      </c>
      <c r="P2171" s="116">
        <v>75.38</v>
      </c>
      <c r="Q2171" s="116">
        <v>366.7</v>
      </c>
      <c r="R2171">
        <v>3312991</v>
      </c>
    </row>
    <row r="2172" spans="1:18" x14ac:dyDescent="0.25">
      <c r="A2172" s="170">
        <v>45203</v>
      </c>
      <c r="B2172" s="116">
        <v>75.5</v>
      </c>
      <c r="C2172" s="116">
        <v>74.36</v>
      </c>
      <c r="D2172" s="116">
        <v>72.36</v>
      </c>
      <c r="E2172" s="116">
        <v>73.42</v>
      </c>
      <c r="F2172" s="116">
        <v>371.8</v>
      </c>
      <c r="G2172">
        <v>1066291</v>
      </c>
      <c r="H2172" s="116"/>
      <c r="I2172" s="116"/>
      <c r="L2172" s="170">
        <v>45203</v>
      </c>
      <c r="M2172" s="116">
        <v>74.41</v>
      </c>
      <c r="N2172" s="116">
        <v>75.5</v>
      </c>
      <c r="O2172" s="116">
        <v>72.64</v>
      </c>
      <c r="P2172" s="116">
        <v>73.459999999999994</v>
      </c>
      <c r="Q2172" s="116">
        <v>372.05</v>
      </c>
      <c r="R2172">
        <v>7760046</v>
      </c>
    </row>
    <row r="2173" spans="1:18" x14ac:dyDescent="0.25">
      <c r="A2173" s="170">
        <v>45204</v>
      </c>
      <c r="B2173" s="116">
        <v>75.2</v>
      </c>
      <c r="C2173" s="116">
        <v>73.16</v>
      </c>
      <c r="D2173" s="116">
        <v>72.8</v>
      </c>
      <c r="E2173" s="116">
        <v>74.599999999999994</v>
      </c>
      <c r="F2173" s="116">
        <v>365.8</v>
      </c>
      <c r="G2173">
        <v>262399</v>
      </c>
      <c r="H2173" s="116"/>
      <c r="I2173" s="116"/>
      <c r="L2173" s="170">
        <v>45204</v>
      </c>
      <c r="M2173" s="116">
        <v>73.17</v>
      </c>
      <c r="N2173" s="116">
        <v>75.2</v>
      </c>
      <c r="O2173" s="116">
        <v>72.819999999999993</v>
      </c>
      <c r="P2173" s="116">
        <v>74.680000000000007</v>
      </c>
      <c r="Q2173" s="116">
        <v>365.85</v>
      </c>
      <c r="R2173">
        <v>2382554</v>
      </c>
    </row>
    <row r="2174" spans="1:18" x14ac:dyDescent="0.25">
      <c r="A2174" s="170">
        <v>45205</v>
      </c>
      <c r="B2174" s="116">
        <v>74.2</v>
      </c>
      <c r="C2174" s="116">
        <v>72.98</v>
      </c>
      <c r="D2174" s="116">
        <v>72.650000000000006</v>
      </c>
      <c r="E2174" s="116">
        <v>73.31</v>
      </c>
      <c r="F2174" s="116">
        <v>364.9</v>
      </c>
      <c r="G2174">
        <v>255164</v>
      </c>
      <c r="H2174" s="116"/>
      <c r="I2174" s="116"/>
      <c r="L2174" s="170">
        <v>45205</v>
      </c>
      <c r="M2174" s="116">
        <v>72.86</v>
      </c>
      <c r="N2174" s="116">
        <v>74.2</v>
      </c>
      <c r="O2174" s="116">
        <v>72.599999999999994</v>
      </c>
      <c r="P2174" s="116">
        <v>73.28</v>
      </c>
      <c r="Q2174" s="116">
        <v>364.3</v>
      </c>
      <c r="R2174">
        <v>2349309</v>
      </c>
    </row>
    <row r="2175" spans="1:18" x14ac:dyDescent="0.25">
      <c r="A2175" s="170">
        <v>45208</v>
      </c>
      <c r="B2175" s="116">
        <v>70.84</v>
      </c>
      <c r="C2175" s="116">
        <v>68.39</v>
      </c>
      <c r="D2175" s="116">
        <v>66.67</v>
      </c>
      <c r="E2175" s="116">
        <v>66.67</v>
      </c>
      <c r="F2175" s="116">
        <v>341.95</v>
      </c>
      <c r="G2175">
        <v>1539461</v>
      </c>
      <c r="H2175" s="116"/>
      <c r="I2175" s="116"/>
      <c r="L2175" s="170">
        <v>45208</v>
      </c>
      <c r="M2175" s="116">
        <v>68.400000000000006</v>
      </c>
      <c r="N2175" s="116">
        <v>71</v>
      </c>
      <c r="O2175" s="116">
        <v>67.8</v>
      </c>
      <c r="P2175" s="116">
        <v>70.459999999999994</v>
      </c>
      <c r="Q2175" s="116">
        <v>342</v>
      </c>
      <c r="R2175">
        <v>7353001</v>
      </c>
    </row>
    <row r="2176" spans="1:18" x14ac:dyDescent="0.25">
      <c r="A2176" s="170">
        <v>45209</v>
      </c>
      <c r="B2176" s="116">
        <v>70.540000000000006</v>
      </c>
      <c r="C2176" s="116">
        <v>69.92</v>
      </c>
      <c r="D2176" s="116">
        <v>68.66</v>
      </c>
      <c r="E2176" s="116">
        <v>68.709999999999994</v>
      </c>
      <c r="F2176" s="116">
        <v>349.6</v>
      </c>
      <c r="G2176">
        <v>434006</v>
      </c>
      <c r="H2176" s="116"/>
      <c r="I2176" s="116"/>
      <c r="L2176" s="170">
        <v>45209</v>
      </c>
      <c r="M2176" s="116">
        <v>69.930000000000007</v>
      </c>
      <c r="N2176" s="116">
        <v>70.56</v>
      </c>
      <c r="O2176" s="116">
        <v>68.66</v>
      </c>
      <c r="P2176" s="116">
        <v>68.680000000000007</v>
      </c>
      <c r="Q2176" s="116">
        <v>349.65</v>
      </c>
      <c r="R2176">
        <v>3720710</v>
      </c>
    </row>
    <row r="2177" spans="1:18" x14ac:dyDescent="0.25">
      <c r="A2177" s="170">
        <v>45210</v>
      </c>
      <c r="B2177" s="116">
        <v>71.760000000000005</v>
      </c>
      <c r="C2177" s="116">
        <v>69.98</v>
      </c>
      <c r="D2177" s="116">
        <v>69.66</v>
      </c>
      <c r="E2177" s="116">
        <v>70.77</v>
      </c>
      <c r="F2177" s="116">
        <v>349.9</v>
      </c>
      <c r="G2177">
        <v>428873</v>
      </c>
      <c r="H2177" s="116"/>
      <c r="I2177" s="116"/>
      <c r="L2177" s="170">
        <v>45210</v>
      </c>
      <c r="M2177" s="116">
        <v>69.959999999999994</v>
      </c>
      <c r="N2177" s="116">
        <v>71.739999999999995</v>
      </c>
      <c r="O2177" s="116">
        <v>69.63</v>
      </c>
      <c r="P2177" s="116">
        <v>70.599999999999994</v>
      </c>
      <c r="Q2177" s="116">
        <v>349.8</v>
      </c>
      <c r="R2177">
        <v>3488974</v>
      </c>
    </row>
    <row r="2178" spans="1:18" x14ac:dyDescent="0.25">
      <c r="A2178" s="170">
        <v>45211</v>
      </c>
      <c r="B2178" s="116">
        <v>70.790000000000006</v>
      </c>
      <c r="C2178" s="116">
        <v>69.45</v>
      </c>
      <c r="D2178" s="116">
        <v>69.27</v>
      </c>
      <c r="E2178" s="116">
        <v>70.099999999999994</v>
      </c>
      <c r="F2178" s="116">
        <v>347.25</v>
      </c>
      <c r="G2178">
        <v>411130</v>
      </c>
      <c r="H2178" s="116"/>
      <c r="I2178" s="116"/>
      <c r="L2178" s="170">
        <v>45211</v>
      </c>
      <c r="M2178" s="116">
        <v>69.45</v>
      </c>
      <c r="N2178" s="116">
        <v>70.77</v>
      </c>
      <c r="O2178" s="116">
        <v>69.22</v>
      </c>
      <c r="P2178" s="116">
        <v>70.400000000000006</v>
      </c>
      <c r="Q2178" s="116">
        <v>347.25</v>
      </c>
      <c r="R2178">
        <v>2062648</v>
      </c>
    </row>
    <row r="2179" spans="1:18" x14ac:dyDescent="0.25">
      <c r="A2179" s="170">
        <v>45212</v>
      </c>
      <c r="B2179" s="116">
        <v>69</v>
      </c>
      <c r="C2179" s="116">
        <v>68.37</v>
      </c>
      <c r="D2179" s="116">
        <v>68.23</v>
      </c>
      <c r="E2179" s="116">
        <v>69</v>
      </c>
      <c r="F2179" s="116">
        <v>341.85</v>
      </c>
      <c r="G2179">
        <v>579507</v>
      </c>
      <c r="H2179" s="116"/>
      <c r="I2179" s="116"/>
      <c r="L2179" s="170">
        <v>45212</v>
      </c>
      <c r="M2179" s="116">
        <v>68.38</v>
      </c>
      <c r="N2179" s="116">
        <v>69</v>
      </c>
      <c r="O2179" s="116">
        <v>68.25</v>
      </c>
      <c r="P2179" s="116">
        <v>69</v>
      </c>
      <c r="Q2179" s="116">
        <v>341.9</v>
      </c>
      <c r="R2179">
        <v>2285167</v>
      </c>
    </row>
    <row r="2180" spans="1:18" x14ac:dyDescent="0.25">
      <c r="A2180" s="170">
        <v>45215</v>
      </c>
      <c r="B2180" s="116">
        <v>68.739999999999995</v>
      </c>
      <c r="C2180" s="116">
        <v>65.989999999999995</v>
      </c>
      <c r="D2180" s="116">
        <v>65.430000000000007</v>
      </c>
      <c r="E2180" s="116">
        <v>68.010000000000005</v>
      </c>
      <c r="F2180" s="116">
        <v>329.95</v>
      </c>
      <c r="G2180">
        <v>569371</v>
      </c>
      <c r="H2180" s="116"/>
      <c r="I2180" s="116"/>
      <c r="L2180" s="170">
        <v>45215</v>
      </c>
      <c r="M2180" s="116">
        <v>65.930000000000007</v>
      </c>
      <c r="N2180" s="116">
        <v>68.73</v>
      </c>
      <c r="O2180" s="116">
        <v>65.400000000000006</v>
      </c>
      <c r="P2180" s="116">
        <v>68.22</v>
      </c>
      <c r="Q2180" s="116">
        <v>329.65</v>
      </c>
      <c r="R2180">
        <v>5569553</v>
      </c>
    </row>
    <row r="2181" spans="1:18" x14ac:dyDescent="0.25">
      <c r="A2181" s="170">
        <v>45216</v>
      </c>
      <c r="B2181" s="116">
        <v>68.819999999999993</v>
      </c>
      <c r="C2181" s="116">
        <v>67.12</v>
      </c>
      <c r="D2181" s="116">
        <v>66.2</v>
      </c>
      <c r="E2181" s="116">
        <v>66.31</v>
      </c>
      <c r="F2181" s="116">
        <v>335.6</v>
      </c>
      <c r="G2181">
        <v>874110</v>
      </c>
      <c r="H2181" s="116"/>
      <c r="I2181" s="116"/>
      <c r="L2181" s="170">
        <v>45216</v>
      </c>
      <c r="M2181" s="116">
        <v>67.099999999999994</v>
      </c>
      <c r="N2181" s="116">
        <v>68.88</v>
      </c>
      <c r="O2181" s="116">
        <v>66.38</v>
      </c>
      <c r="P2181" s="116">
        <v>66.39</v>
      </c>
      <c r="Q2181" s="116">
        <v>335.5</v>
      </c>
      <c r="R2181">
        <v>4646955</v>
      </c>
    </row>
    <row r="2182" spans="1:18" x14ac:dyDescent="0.25">
      <c r="A2182" s="170">
        <v>45217</v>
      </c>
      <c r="B2182" s="116">
        <v>67.89</v>
      </c>
      <c r="C2182" s="116">
        <v>66.78</v>
      </c>
      <c r="D2182" s="116">
        <v>66.400000000000006</v>
      </c>
      <c r="E2182" s="116">
        <v>67.31</v>
      </c>
      <c r="F2182" s="116">
        <v>333.9</v>
      </c>
      <c r="G2182">
        <v>526507</v>
      </c>
      <c r="H2182" s="116"/>
      <c r="I2182" s="116"/>
      <c r="L2182" s="170">
        <v>45217</v>
      </c>
      <c r="M2182" s="116">
        <v>66.790000000000006</v>
      </c>
      <c r="N2182" s="116">
        <v>67.94</v>
      </c>
      <c r="O2182" s="116">
        <v>66.400000000000006</v>
      </c>
      <c r="P2182" s="116">
        <v>67.400000000000006</v>
      </c>
      <c r="Q2182" s="116">
        <v>333.95</v>
      </c>
      <c r="R2182">
        <v>2269766</v>
      </c>
    </row>
    <row r="2183" spans="1:18" x14ac:dyDescent="0.25">
      <c r="A2183" s="170">
        <v>45218</v>
      </c>
      <c r="B2183" s="116">
        <v>69.39</v>
      </c>
      <c r="C2183" s="116">
        <v>68.88</v>
      </c>
      <c r="D2183" s="116">
        <v>66.25</v>
      </c>
      <c r="E2183" s="116">
        <v>66.61</v>
      </c>
      <c r="F2183" s="116">
        <v>344.4</v>
      </c>
      <c r="G2183">
        <v>730293</v>
      </c>
      <c r="H2183" s="116"/>
      <c r="I2183" s="116"/>
      <c r="L2183" s="170">
        <v>45218</v>
      </c>
      <c r="M2183" s="116">
        <v>68.89</v>
      </c>
      <c r="N2183" s="116">
        <v>69.34</v>
      </c>
      <c r="O2183" s="116">
        <v>66.2</v>
      </c>
      <c r="P2183" s="116">
        <v>66.78</v>
      </c>
      <c r="Q2183" s="116">
        <v>344.45</v>
      </c>
      <c r="R2183">
        <v>5032636</v>
      </c>
    </row>
    <row r="2184" spans="1:18" x14ac:dyDescent="0.25">
      <c r="A2184" s="170">
        <v>45219</v>
      </c>
      <c r="B2184" s="116">
        <v>69.260000000000005</v>
      </c>
      <c r="C2184" s="116">
        <v>67.62</v>
      </c>
      <c r="D2184" s="116">
        <v>67.2</v>
      </c>
      <c r="E2184" s="116">
        <v>68.67</v>
      </c>
      <c r="F2184" s="116">
        <v>338.1</v>
      </c>
      <c r="G2184">
        <v>266402</v>
      </c>
      <c r="H2184" s="116"/>
      <c r="I2184" s="116"/>
      <c r="L2184" s="170">
        <v>45219</v>
      </c>
      <c r="M2184" s="116">
        <v>67.66</v>
      </c>
      <c r="N2184" s="116">
        <v>69.260000000000005</v>
      </c>
      <c r="O2184" s="116">
        <v>67</v>
      </c>
      <c r="P2184" s="116">
        <v>68.599999999999994</v>
      </c>
      <c r="Q2184" s="116">
        <v>338.3</v>
      </c>
      <c r="R2184">
        <v>3464389</v>
      </c>
    </row>
    <row r="2185" spans="1:18" x14ac:dyDescent="0.25">
      <c r="A2185" s="170">
        <v>45222</v>
      </c>
      <c r="B2185" s="116">
        <v>68.400000000000006</v>
      </c>
      <c r="C2185" s="116">
        <v>63.3</v>
      </c>
      <c r="D2185" s="116">
        <v>62.81</v>
      </c>
      <c r="E2185" s="116">
        <v>68.099999999999994</v>
      </c>
      <c r="F2185" s="116">
        <v>316.5</v>
      </c>
      <c r="G2185">
        <v>558039</v>
      </c>
      <c r="H2185" s="116"/>
      <c r="I2185" s="116"/>
      <c r="L2185" s="170">
        <v>45222</v>
      </c>
      <c r="M2185" s="116">
        <v>63.29</v>
      </c>
      <c r="N2185" s="116">
        <v>68.42</v>
      </c>
      <c r="O2185" s="116">
        <v>62.83</v>
      </c>
      <c r="P2185" s="116">
        <v>68.12</v>
      </c>
      <c r="Q2185" s="116">
        <v>316.45</v>
      </c>
      <c r="R2185">
        <v>6075498</v>
      </c>
    </row>
    <row r="2186" spans="1:18" x14ac:dyDescent="0.25">
      <c r="A2186" s="170">
        <v>45224</v>
      </c>
      <c r="B2186" s="116">
        <v>72</v>
      </c>
      <c r="C2186" s="116">
        <v>62.53</v>
      </c>
      <c r="D2186" s="116">
        <v>62.03</v>
      </c>
      <c r="E2186" s="116">
        <v>64.989999999999995</v>
      </c>
      <c r="F2186" s="116">
        <v>312.64999999999998</v>
      </c>
      <c r="G2186">
        <v>1152238</v>
      </c>
      <c r="H2186" s="116"/>
      <c r="I2186" s="116"/>
      <c r="L2186" s="170">
        <v>45224</v>
      </c>
      <c r="M2186" s="116">
        <v>62.54</v>
      </c>
      <c r="N2186" s="116">
        <v>65.959999999999994</v>
      </c>
      <c r="O2186" s="116">
        <v>62.05</v>
      </c>
      <c r="P2186" s="116">
        <v>65.39</v>
      </c>
      <c r="Q2186" s="116">
        <v>312.7</v>
      </c>
      <c r="R2186">
        <v>5402798</v>
      </c>
    </row>
    <row r="2187" spans="1:18" x14ac:dyDescent="0.25">
      <c r="A2187" s="170">
        <v>45225</v>
      </c>
      <c r="B2187" s="116">
        <v>67.62</v>
      </c>
      <c r="C2187" s="116">
        <v>65.66</v>
      </c>
      <c r="D2187" s="116">
        <v>57.86</v>
      </c>
      <c r="E2187" s="116">
        <v>62</v>
      </c>
      <c r="F2187" s="116">
        <v>328.3</v>
      </c>
      <c r="G2187">
        <v>1438581</v>
      </c>
      <c r="H2187" s="116"/>
      <c r="I2187" s="116"/>
      <c r="L2187" s="170">
        <v>45225</v>
      </c>
      <c r="M2187" s="116">
        <v>65.47</v>
      </c>
      <c r="N2187" s="116">
        <v>67.260000000000005</v>
      </c>
      <c r="O2187" s="116">
        <v>57.87</v>
      </c>
      <c r="P2187" s="116">
        <v>62</v>
      </c>
      <c r="Q2187" s="116">
        <v>327.35000000000002</v>
      </c>
      <c r="R2187">
        <v>12759045</v>
      </c>
    </row>
    <row r="2188" spans="1:18" x14ac:dyDescent="0.25">
      <c r="A2188" s="170">
        <v>45226</v>
      </c>
      <c r="B2188" s="116">
        <v>72.97</v>
      </c>
      <c r="C2188" s="116">
        <v>70.819999999999993</v>
      </c>
      <c r="D2188" s="116">
        <v>66.319999999999993</v>
      </c>
      <c r="E2188" s="116">
        <v>66.39</v>
      </c>
      <c r="F2188" s="116">
        <v>354.1</v>
      </c>
      <c r="G2188">
        <v>2296672</v>
      </c>
      <c r="H2188" s="116"/>
      <c r="I2188" s="116"/>
      <c r="L2188" s="170">
        <v>45226</v>
      </c>
      <c r="M2188" s="116">
        <v>70.83</v>
      </c>
      <c r="N2188" s="116">
        <v>72.97</v>
      </c>
      <c r="O2188" s="116">
        <v>66.31</v>
      </c>
      <c r="P2188" s="116">
        <v>66.400000000000006</v>
      </c>
      <c r="Q2188" s="116">
        <v>354.15</v>
      </c>
      <c r="R2188">
        <v>14877588</v>
      </c>
    </row>
    <row r="2189" spans="1:18" x14ac:dyDescent="0.25">
      <c r="A2189" s="170">
        <v>45229</v>
      </c>
      <c r="B2189" s="116">
        <v>71.959999999999994</v>
      </c>
      <c r="C2189" s="116">
        <v>71.569999999999993</v>
      </c>
      <c r="D2189" s="116">
        <v>69.040000000000006</v>
      </c>
      <c r="E2189" s="116">
        <v>70.94</v>
      </c>
      <c r="F2189" s="116">
        <v>357.85</v>
      </c>
      <c r="G2189">
        <v>838314</v>
      </c>
      <c r="H2189" s="116"/>
      <c r="I2189" s="116"/>
      <c r="L2189" s="170">
        <v>45229</v>
      </c>
      <c r="M2189" s="116">
        <v>71.59</v>
      </c>
      <c r="N2189" s="116">
        <v>71.94</v>
      </c>
      <c r="O2189" s="116">
        <v>69.010000000000005</v>
      </c>
      <c r="P2189" s="116">
        <v>70.88</v>
      </c>
      <c r="Q2189" s="116">
        <v>357.95</v>
      </c>
      <c r="R2189">
        <v>9014732</v>
      </c>
    </row>
    <row r="2190" spans="1:18" x14ac:dyDescent="0.25">
      <c r="A2190" s="170">
        <v>45230</v>
      </c>
      <c r="B2190" s="116">
        <v>73.5</v>
      </c>
      <c r="C2190" s="116">
        <v>72.540000000000006</v>
      </c>
      <c r="D2190" s="116">
        <v>71.86</v>
      </c>
      <c r="E2190" s="116">
        <v>72.069999999999993</v>
      </c>
      <c r="F2190" s="116">
        <v>362.7</v>
      </c>
      <c r="G2190">
        <v>589364</v>
      </c>
      <c r="H2190" s="116"/>
      <c r="I2190" s="116"/>
      <c r="L2190" s="170">
        <v>45230</v>
      </c>
      <c r="M2190" s="116">
        <v>72.61</v>
      </c>
      <c r="N2190" s="116">
        <v>73.58</v>
      </c>
      <c r="O2190" s="116">
        <v>71.87</v>
      </c>
      <c r="P2190" s="116">
        <v>72.2</v>
      </c>
      <c r="Q2190" s="116">
        <v>363.05</v>
      </c>
      <c r="R2190">
        <v>7080271</v>
      </c>
    </row>
    <row r="2191" spans="1:18" x14ac:dyDescent="0.25">
      <c r="A2191" s="170">
        <v>45231</v>
      </c>
      <c r="B2191" s="116">
        <v>74.56</v>
      </c>
      <c r="C2191" s="116">
        <v>73</v>
      </c>
      <c r="D2191" s="116">
        <v>71.569999999999993</v>
      </c>
      <c r="E2191" s="116">
        <v>72.62</v>
      </c>
      <c r="F2191" s="116">
        <v>365</v>
      </c>
      <c r="G2191">
        <v>484078</v>
      </c>
      <c r="H2191" s="116"/>
      <c r="I2191" s="116"/>
      <c r="L2191" s="170">
        <v>45231</v>
      </c>
      <c r="M2191" s="116">
        <v>73.040000000000006</v>
      </c>
      <c r="N2191" s="116">
        <v>74.540000000000006</v>
      </c>
      <c r="O2191" s="116">
        <v>71.52</v>
      </c>
      <c r="P2191" s="116">
        <v>72.900000000000006</v>
      </c>
      <c r="Q2191" s="116">
        <v>365.2</v>
      </c>
      <c r="R2191">
        <v>5572625</v>
      </c>
    </row>
    <row r="2192" spans="1:18" x14ac:dyDescent="0.25">
      <c r="A2192" s="170">
        <v>45232</v>
      </c>
      <c r="B2192" s="116">
        <v>78.63</v>
      </c>
      <c r="C2192" s="116">
        <v>74.55</v>
      </c>
      <c r="D2192" s="116">
        <v>73.11</v>
      </c>
      <c r="E2192" s="116">
        <v>73.430000000000007</v>
      </c>
      <c r="F2192" s="116">
        <v>372.75</v>
      </c>
      <c r="G2192">
        <v>1543792</v>
      </c>
      <c r="H2192" s="116"/>
      <c r="I2192" s="116"/>
      <c r="L2192" s="170">
        <v>45232</v>
      </c>
      <c r="M2192" s="116">
        <v>74.59</v>
      </c>
      <c r="N2192" s="116">
        <v>78.680000000000007</v>
      </c>
      <c r="O2192" s="116">
        <v>73.11</v>
      </c>
      <c r="P2192" s="116">
        <v>73.599999999999994</v>
      </c>
      <c r="Q2192" s="116">
        <v>372.95</v>
      </c>
      <c r="R2192">
        <v>21100773</v>
      </c>
    </row>
    <row r="2193" spans="1:18" x14ac:dyDescent="0.25">
      <c r="A2193" s="170">
        <v>45233</v>
      </c>
      <c r="B2193" s="116">
        <v>77.900000000000006</v>
      </c>
      <c r="C2193" s="116">
        <v>76.900000000000006</v>
      </c>
      <c r="D2193" s="116">
        <v>75.2</v>
      </c>
      <c r="E2193" s="116">
        <v>75.400000000000006</v>
      </c>
      <c r="F2193" s="116">
        <v>384.5</v>
      </c>
      <c r="G2193">
        <v>833018</v>
      </c>
      <c r="H2193" s="116"/>
      <c r="I2193" s="116"/>
      <c r="L2193" s="170">
        <v>45233</v>
      </c>
      <c r="M2193" s="116">
        <v>76.930000000000007</v>
      </c>
      <c r="N2193" s="116">
        <v>78.599999999999994</v>
      </c>
      <c r="O2193" s="116">
        <v>75.25</v>
      </c>
      <c r="P2193" s="116">
        <v>75.36</v>
      </c>
      <c r="Q2193" s="116">
        <v>384.65</v>
      </c>
      <c r="R2193">
        <v>12233091</v>
      </c>
    </row>
    <row r="2194" spans="1:18" x14ac:dyDescent="0.25">
      <c r="A2194" s="170">
        <v>45236</v>
      </c>
      <c r="B2194" s="116">
        <v>79.459999999999994</v>
      </c>
      <c r="C2194" s="116">
        <v>78.739999999999995</v>
      </c>
      <c r="D2194" s="116">
        <v>76.319999999999993</v>
      </c>
      <c r="E2194" s="116">
        <v>77.53</v>
      </c>
      <c r="F2194" s="116">
        <v>393.7</v>
      </c>
      <c r="G2194">
        <v>675068</v>
      </c>
      <c r="H2194" s="116"/>
      <c r="I2194" s="116"/>
      <c r="L2194" s="170">
        <v>45236</v>
      </c>
      <c r="M2194" s="116">
        <v>78.8</v>
      </c>
      <c r="N2194" s="116">
        <v>79.52</v>
      </c>
      <c r="O2194" s="116">
        <v>76.31</v>
      </c>
      <c r="P2194" s="116">
        <v>77.790000000000006</v>
      </c>
      <c r="Q2194" s="116">
        <v>394</v>
      </c>
      <c r="R2194">
        <v>17431088</v>
      </c>
    </row>
    <row r="2195" spans="1:18" x14ac:dyDescent="0.25">
      <c r="A2195" s="170">
        <v>45237</v>
      </c>
      <c r="B2195" s="116">
        <v>80.37</v>
      </c>
      <c r="C2195" s="116">
        <v>76.66</v>
      </c>
      <c r="D2195" s="116">
        <v>76.02</v>
      </c>
      <c r="E2195" s="116">
        <v>78.739999999999995</v>
      </c>
      <c r="F2195" s="116">
        <v>383.3</v>
      </c>
      <c r="G2195">
        <v>648271</v>
      </c>
      <c r="H2195" s="116"/>
      <c r="I2195" s="116"/>
      <c r="L2195" s="170">
        <v>45237</v>
      </c>
      <c r="M2195" s="116">
        <v>76.760000000000005</v>
      </c>
      <c r="N2195" s="116">
        <v>80.52</v>
      </c>
      <c r="O2195" s="116">
        <v>76</v>
      </c>
      <c r="P2195" s="116">
        <v>78.78</v>
      </c>
      <c r="Q2195" s="116">
        <v>383.8</v>
      </c>
      <c r="R2195">
        <v>18526329</v>
      </c>
    </row>
    <row r="2196" spans="1:18" x14ac:dyDescent="0.25">
      <c r="A2196" s="170">
        <v>45238</v>
      </c>
      <c r="B2196" s="116">
        <v>79.010000000000005</v>
      </c>
      <c r="C2196" s="116">
        <v>78.69</v>
      </c>
      <c r="D2196" s="116">
        <v>76.27</v>
      </c>
      <c r="E2196" s="116">
        <v>76.8</v>
      </c>
      <c r="F2196" s="116">
        <v>393.45</v>
      </c>
      <c r="G2196">
        <v>852048</v>
      </c>
      <c r="H2196" s="116"/>
      <c r="I2196" s="116"/>
      <c r="L2196" s="170">
        <v>45238</v>
      </c>
      <c r="M2196" s="116">
        <v>78.680000000000007</v>
      </c>
      <c r="N2196" s="116">
        <v>79</v>
      </c>
      <c r="O2196" s="116">
        <v>76.239999999999995</v>
      </c>
      <c r="P2196" s="116">
        <v>76.8</v>
      </c>
      <c r="Q2196" s="116">
        <v>393.4</v>
      </c>
      <c r="R2196">
        <v>20042521</v>
      </c>
    </row>
    <row r="2197" spans="1:18" x14ac:dyDescent="0.25">
      <c r="A2197" s="170">
        <v>45239</v>
      </c>
      <c r="B2197" s="116">
        <v>81.88</v>
      </c>
      <c r="C2197" s="116">
        <v>80.22</v>
      </c>
      <c r="D2197" s="116">
        <v>78.22</v>
      </c>
      <c r="E2197" s="116">
        <v>78.88</v>
      </c>
      <c r="F2197" s="116">
        <v>401.1</v>
      </c>
      <c r="G2197">
        <v>2662633</v>
      </c>
      <c r="H2197" s="116"/>
      <c r="I2197" s="116"/>
      <c r="L2197" s="170">
        <v>45239</v>
      </c>
      <c r="M2197" s="116">
        <v>80.22</v>
      </c>
      <c r="N2197" s="116">
        <v>81.93</v>
      </c>
      <c r="O2197" s="116">
        <v>78.11</v>
      </c>
      <c r="P2197" s="116">
        <v>79.02</v>
      </c>
      <c r="Q2197" s="116">
        <v>401.1</v>
      </c>
      <c r="R2197">
        <v>28389177</v>
      </c>
    </row>
    <row r="2198" spans="1:18" x14ac:dyDescent="0.25">
      <c r="A2198" s="170">
        <v>45240</v>
      </c>
      <c r="B2198" s="116">
        <v>81.38</v>
      </c>
      <c r="C2198" s="116">
        <v>79.819999999999993</v>
      </c>
      <c r="D2198" s="116">
        <v>78.97</v>
      </c>
      <c r="E2198" s="116">
        <v>79.989999999999995</v>
      </c>
      <c r="F2198" s="116">
        <v>399.1</v>
      </c>
      <c r="G2198">
        <v>1204617</v>
      </c>
      <c r="H2198" s="116"/>
      <c r="I2198" s="116"/>
      <c r="L2198" s="170">
        <v>45240</v>
      </c>
      <c r="M2198" s="116">
        <v>79.88</v>
      </c>
      <c r="N2198" s="116">
        <v>81.36</v>
      </c>
      <c r="O2198" s="116">
        <v>79.06</v>
      </c>
      <c r="P2198" s="116">
        <v>79.989999999999995</v>
      </c>
      <c r="Q2198" s="116">
        <v>399.4</v>
      </c>
      <c r="R2198">
        <v>16574959</v>
      </c>
    </row>
    <row r="2199" spans="1:18" x14ac:dyDescent="0.25">
      <c r="A2199" s="170">
        <v>45242</v>
      </c>
      <c r="B2199" s="116">
        <v>80.87</v>
      </c>
      <c r="C2199" s="116">
        <v>79.98</v>
      </c>
      <c r="D2199" s="116">
        <v>79.61</v>
      </c>
      <c r="E2199" s="116">
        <v>80.78</v>
      </c>
      <c r="F2199" s="116">
        <v>399.9</v>
      </c>
      <c r="G2199">
        <v>182520</v>
      </c>
      <c r="H2199" s="116"/>
      <c r="I2199" s="116"/>
      <c r="L2199" s="170">
        <v>45242</v>
      </c>
      <c r="M2199" s="116">
        <v>79.97</v>
      </c>
      <c r="N2199" s="116">
        <v>80.849999999999994</v>
      </c>
      <c r="O2199" s="116">
        <v>79.599999999999994</v>
      </c>
      <c r="P2199" s="116">
        <v>80.72</v>
      </c>
      <c r="Q2199" s="116">
        <v>399.85</v>
      </c>
      <c r="R2199">
        <v>1792783</v>
      </c>
    </row>
    <row r="2200" spans="1:18" x14ac:dyDescent="0.25">
      <c r="A2200" s="170">
        <v>45243</v>
      </c>
      <c r="B2200" s="116">
        <v>79.89</v>
      </c>
      <c r="C2200" s="116">
        <v>78.17</v>
      </c>
      <c r="D2200" s="116">
        <v>77.599999999999994</v>
      </c>
      <c r="E2200" s="116">
        <v>79.73</v>
      </c>
      <c r="F2200" s="116">
        <v>390.85</v>
      </c>
      <c r="G2200">
        <v>936065</v>
      </c>
      <c r="H2200" s="116"/>
      <c r="I2200" s="116"/>
      <c r="L2200" s="170">
        <v>45243</v>
      </c>
      <c r="M2200" s="116">
        <v>78.12</v>
      </c>
      <c r="N2200" s="116">
        <v>79.959999999999994</v>
      </c>
      <c r="O2200" s="116">
        <v>77.62</v>
      </c>
      <c r="P2200" s="116">
        <v>79.59</v>
      </c>
      <c r="Q2200" s="116">
        <v>390.6</v>
      </c>
      <c r="R2200">
        <v>11454280</v>
      </c>
    </row>
    <row r="2201" spans="1:18" x14ac:dyDescent="0.25">
      <c r="A2201" s="170">
        <v>45245</v>
      </c>
      <c r="B2201" s="116">
        <v>79.459999999999994</v>
      </c>
      <c r="C2201" s="116">
        <v>78.12</v>
      </c>
      <c r="D2201" s="116">
        <v>77.62</v>
      </c>
      <c r="E2201" s="116">
        <v>79.06</v>
      </c>
      <c r="F2201" s="116">
        <v>390.6</v>
      </c>
      <c r="G2201">
        <v>763526</v>
      </c>
      <c r="H2201" s="116"/>
      <c r="I2201" s="116"/>
      <c r="L2201" s="170">
        <v>45245</v>
      </c>
      <c r="M2201" s="116">
        <v>78.2</v>
      </c>
      <c r="N2201" s="116">
        <v>79.599999999999994</v>
      </c>
      <c r="O2201" s="116">
        <v>77.61</v>
      </c>
      <c r="P2201" s="116">
        <v>79.59</v>
      </c>
      <c r="Q2201" s="116">
        <v>391</v>
      </c>
      <c r="R2201">
        <v>12279448</v>
      </c>
    </row>
    <row r="2202" spans="1:18" x14ac:dyDescent="0.25">
      <c r="A2202" s="170">
        <v>45246</v>
      </c>
      <c r="B2202" s="116">
        <v>79</v>
      </c>
      <c r="C2202" s="116">
        <v>77.86</v>
      </c>
      <c r="D2202" s="116">
        <v>77.28</v>
      </c>
      <c r="E2202" s="116">
        <v>77.88</v>
      </c>
      <c r="F2202" s="116">
        <v>389.3</v>
      </c>
      <c r="G2202">
        <v>378158</v>
      </c>
      <c r="H2202" s="116"/>
      <c r="I2202" s="116"/>
      <c r="L2202" s="170">
        <v>45246</v>
      </c>
      <c r="M2202" s="116">
        <v>77.91</v>
      </c>
      <c r="N2202" s="116">
        <v>79.040000000000006</v>
      </c>
      <c r="O2202" s="116">
        <v>77.260000000000005</v>
      </c>
      <c r="P2202" s="116">
        <v>78.040000000000006</v>
      </c>
      <c r="Q2202" s="116">
        <v>389.55</v>
      </c>
      <c r="R2202">
        <v>13220902</v>
      </c>
    </row>
    <row r="2203" spans="1:18" x14ac:dyDescent="0.25">
      <c r="A2203" s="170">
        <v>45247</v>
      </c>
      <c r="B2203" s="116">
        <v>78.37</v>
      </c>
      <c r="C2203" s="116">
        <v>77.48</v>
      </c>
      <c r="D2203" s="116">
        <v>77.2</v>
      </c>
      <c r="E2203" s="116">
        <v>77.73</v>
      </c>
      <c r="F2203" s="116">
        <v>387.4</v>
      </c>
      <c r="G2203">
        <v>357020</v>
      </c>
      <c r="H2203" s="116"/>
      <c r="I2203" s="116"/>
      <c r="L2203" s="170">
        <v>45247</v>
      </c>
      <c r="M2203" s="116">
        <v>77.459999999999994</v>
      </c>
      <c r="N2203" s="116">
        <v>78.39</v>
      </c>
      <c r="O2203" s="116">
        <v>77.16</v>
      </c>
      <c r="P2203" s="116">
        <v>77.900000000000006</v>
      </c>
      <c r="Q2203" s="116">
        <v>387.3</v>
      </c>
      <c r="R2203">
        <v>12790695</v>
      </c>
    </row>
    <row r="2204" spans="1:18" x14ac:dyDescent="0.25">
      <c r="A2204" s="170">
        <v>45250</v>
      </c>
      <c r="B2204" s="116">
        <v>78.61</v>
      </c>
      <c r="C2204" s="116">
        <v>77.98</v>
      </c>
      <c r="D2204" s="116">
        <v>76.849999999999994</v>
      </c>
      <c r="E2204" s="116">
        <v>77.36</v>
      </c>
      <c r="F2204" s="116">
        <v>389.9</v>
      </c>
      <c r="G2204">
        <v>924845</v>
      </c>
      <c r="H2204" s="116"/>
      <c r="I2204" s="116"/>
      <c r="L2204" s="170">
        <v>45250</v>
      </c>
      <c r="M2204" s="116">
        <v>77.989999999999995</v>
      </c>
      <c r="N2204" s="116">
        <v>78.680000000000007</v>
      </c>
      <c r="O2204" s="116">
        <v>76.8</v>
      </c>
      <c r="P2204" s="116">
        <v>77.459999999999994</v>
      </c>
      <c r="Q2204" s="116">
        <v>389.95</v>
      </c>
      <c r="R2204">
        <v>13657211</v>
      </c>
    </row>
    <row r="2205" spans="1:18" x14ac:dyDescent="0.25">
      <c r="A2205" s="170">
        <v>45251</v>
      </c>
      <c r="B2205" s="116">
        <v>79.400000000000006</v>
      </c>
      <c r="C2205" s="116">
        <v>78.489999999999995</v>
      </c>
      <c r="D2205" s="116">
        <v>78.010000000000005</v>
      </c>
      <c r="E2205" s="116">
        <v>78.010000000000005</v>
      </c>
      <c r="F2205" s="116">
        <v>392.45</v>
      </c>
      <c r="G2205">
        <v>369379</v>
      </c>
      <c r="H2205" s="116"/>
      <c r="I2205" s="116"/>
      <c r="L2205" s="170">
        <v>45251</v>
      </c>
      <c r="M2205" s="116">
        <v>78.5</v>
      </c>
      <c r="N2205" s="116">
        <v>79.33</v>
      </c>
      <c r="O2205" s="116">
        <v>78.040000000000006</v>
      </c>
      <c r="P2205" s="116">
        <v>78.09</v>
      </c>
      <c r="Q2205" s="116">
        <v>392.5</v>
      </c>
      <c r="R2205">
        <v>14188472</v>
      </c>
    </row>
    <row r="2206" spans="1:18" x14ac:dyDescent="0.25">
      <c r="A2206" s="170">
        <v>45252</v>
      </c>
      <c r="B2206" s="116">
        <v>79.14</v>
      </c>
      <c r="C2206" s="116">
        <v>77.349999999999994</v>
      </c>
      <c r="D2206" s="116">
        <v>77.13</v>
      </c>
      <c r="E2206" s="116">
        <v>78.5</v>
      </c>
      <c r="F2206" s="116">
        <v>386.75</v>
      </c>
      <c r="G2206">
        <v>274054</v>
      </c>
      <c r="H2206" s="116"/>
      <c r="I2206" s="116"/>
      <c r="L2206" s="170">
        <v>45252</v>
      </c>
      <c r="M2206" s="116">
        <v>77.44</v>
      </c>
      <c r="N2206" s="116">
        <v>79.099999999999994</v>
      </c>
      <c r="O2206" s="116">
        <v>77.03</v>
      </c>
      <c r="P2206" s="116">
        <v>78.5</v>
      </c>
      <c r="Q2206" s="116">
        <v>387.2</v>
      </c>
      <c r="R2206">
        <v>10626256</v>
      </c>
    </row>
    <row r="2207" spans="1:18" x14ac:dyDescent="0.25">
      <c r="A2207" s="170">
        <v>45253</v>
      </c>
      <c r="B2207" s="116">
        <v>78.150000000000006</v>
      </c>
      <c r="C2207" s="116">
        <v>76.33</v>
      </c>
      <c r="D2207" s="116">
        <v>76.02</v>
      </c>
      <c r="E2207" s="116">
        <v>77.75</v>
      </c>
      <c r="F2207" s="116">
        <v>381.65</v>
      </c>
      <c r="G2207">
        <v>253487</v>
      </c>
      <c r="H2207" s="116"/>
      <c r="I2207" s="116"/>
      <c r="L2207" s="170">
        <v>45253</v>
      </c>
      <c r="M2207" s="116">
        <v>76.34</v>
      </c>
      <c r="N2207" s="116">
        <v>78.099999999999994</v>
      </c>
      <c r="O2207" s="116">
        <v>76.010000000000005</v>
      </c>
      <c r="P2207" s="116">
        <v>77.66</v>
      </c>
      <c r="Q2207" s="116">
        <v>381.7</v>
      </c>
      <c r="R2207">
        <v>2759240</v>
      </c>
    </row>
    <row r="2208" spans="1:18" x14ac:dyDescent="0.25">
      <c r="A2208" s="170">
        <v>45254</v>
      </c>
      <c r="B2208" s="116">
        <v>80.08</v>
      </c>
      <c r="C2208" s="116">
        <v>79.38</v>
      </c>
      <c r="D2208" s="116">
        <v>76.11</v>
      </c>
      <c r="E2208" s="116">
        <v>76.430000000000007</v>
      </c>
      <c r="F2208" s="116">
        <v>396.9</v>
      </c>
      <c r="G2208">
        <v>606763</v>
      </c>
      <c r="H2208" s="116"/>
      <c r="I2208" s="116"/>
      <c r="L2208" s="170">
        <v>45254</v>
      </c>
      <c r="M2208" s="116">
        <v>79.44</v>
      </c>
      <c r="N2208" s="116">
        <v>80.16</v>
      </c>
      <c r="O2208" s="116">
        <v>76.06</v>
      </c>
      <c r="P2208" s="116">
        <v>76.540000000000006</v>
      </c>
      <c r="Q2208" s="116">
        <v>397.2</v>
      </c>
      <c r="R2208">
        <v>9134805</v>
      </c>
    </row>
    <row r="2209" spans="1:18" x14ac:dyDescent="0.25">
      <c r="A2209" s="170">
        <v>45258</v>
      </c>
      <c r="B2209" s="116">
        <v>92.86</v>
      </c>
      <c r="C2209" s="116">
        <v>89.16</v>
      </c>
      <c r="D2209" s="116">
        <v>81.2</v>
      </c>
      <c r="E2209" s="116">
        <v>81.2</v>
      </c>
      <c r="F2209" s="116">
        <v>445.8</v>
      </c>
      <c r="G2209">
        <v>4650627</v>
      </c>
      <c r="H2209" s="116"/>
      <c r="I2209" s="116"/>
      <c r="L2209" s="170">
        <v>45258</v>
      </c>
      <c r="M2209" s="116">
        <v>89.24</v>
      </c>
      <c r="N2209" s="116">
        <v>92.88</v>
      </c>
      <c r="O2209" s="116">
        <v>81.400000000000006</v>
      </c>
      <c r="P2209" s="116">
        <v>81.400000000000006</v>
      </c>
      <c r="Q2209" s="116">
        <v>446.2</v>
      </c>
      <c r="R2209">
        <v>67482614</v>
      </c>
    </row>
    <row r="2210" spans="1:18" x14ac:dyDescent="0.25">
      <c r="A2210" s="170">
        <v>45259</v>
      </c>
      <c r="B2210" s="116">
        <v>94.18</v>
      </c>
      <c r="C2210" s="116">
        <v>86.71</v>
      </c>
      <c r="D2210" s="116">
        <v>85.5</v>
      </c>
      <c r="E2210" s="116">
        <v>91.36</v>
      </c>
      <c r="F2210" s="116">
        <v>433.55</v>
      </c>
      <c r="G2210">
        <v>3726980</v>
      </c>
      <c r="H2210" s="116"/>
      <c r="I2210" s="116"/>
      <c r="L2210" s="170">
        <v>45259</v>
      </c>
      <c r="M2210" s="116">
        <v>86.62</v>
      </c>
      <c r="N2210" s="116">
        <v>94.16</v>
      </c>
      <c r="O2210" s="116">
        <v>85.36</v>
      </c>
      <c r="P2210" s="116">
        <v>91.34</v>
      </c>
      <c r="Q2210" s="116">
        <v>433.1</v>
      </c>
      <c r="R2210">
        <v>44215572</v>
      </c>
    </row>
    <row r="2211" spans="1:18" x14ac:dyDescent="0.25">
      <c r="A2211" s="170">
        <v>45260</v>
      </c>
      <c r="B2211" s="116">
        <v>87.22</v>
      </c>
      <c r="C2211" s="116">
        <v>86.26</v>
      </c>
      <c r="D2211" s="116">
        <v>83.42</v>
      </c>
      <c r="E2211" s="116">
        <v>86.79</v>
      </c>
      <c r="F2211" s="116">
        <v>431.3</v>
      </c>
      <c r="G2211">
        <v>1489305</v>
      </c>
      <c r="H2211" s="116"/>
      <c r="I2211" s="116"/>
      <c r="L2211" s="170">
        <v>45260</v>
      </c>
      <c r="M2211" s="116">
        <v>86.3</v>
      </c>
      <c r="N2211" s="116">
        <v>87.32</v>
      </c>
      <c r="O2211" s="116">
        <v>83.42</v>
      </c>
      <c r="P2211" s="116">
        <v>86.6</v>
      </c>
      <c r="Q2211" s="116">
        <v>431.5</v>
      </c>
      <c r="R2211">
        <v>11540019</v>
      </c>
    </row>
    <row r="2212" spans="1:18" x14ac:dyDescent="0.25">
      <c r="A2212" s="170">
        <v>45261</v>
      </c>
      <c r="B2212" s="116">
        <v>90.94</v>
      </c>
      <c r="C2212" s="116">
        <v>88.04</v>
      </c>
      <c r="D2212" s="116">
        <v>87.09</v>
      </c>
      <c r="E2212" s="116">
        <v>87.25</v>
      </c>
      <c r="F2212" s="116">
        <v>440.2</v>
      </c>
      <c r="G2212">
        <v>813937</v>
      </c>
      <c r="H2212" s="116"/>
      <c r="I2212" s="116"/>
      <c r="L2212" s="170">
        <v>45261</v>
      </c>
      <c r="M2212" s="116">
        <v>88.08</v>
      </c>
      <c r="N2212" s="116">
        <v>90.96</v>
      </c>
      <c r="O2212" s="116">
        <v>87.07</v>
      </c>
      <c r="P2212" s="116">
        <v>87.4</v>
      </c>
      <c r="Q2212" s="116">
        <v>440.4</v>
      </c>
      <c r="R2212">
        <v>13761200</v>
      </c>
    </row>
    <row r="2213" spans="1:18" x14ac:dyDescent="0.25">
      <c r="A2213" s="170">
        <v>45264</v>
      </c>
      <c r="B2213" s="116">
        <v>99</v>
      </c>
      <c r="C2213" s="116">
        <v>92.92</v>
      </c>
      <c r="D2213" s="116">
        <v>91.75</v>
      </c>
      <c r="E2213" s="116">
        <v>99</v>
      </c>
      <c r="F2213" s="116">
        <v>464.6</v>
      </c>
      <c r="G2213">
        <v>1103747</v>
      </c>
      <c r="H2213" s="116"/>
      <c r="I2213" s="116"/>
      <c r="L2213" s="170">
        <v>45264</v>
      </c>
      <c r="M2213" s="116">
        <v>92.94</v>
      </c>
      <c r="N2213" s="116">
        <v>98.8</v>
      </c>
      <c r="O2213" s="116">
        <v>91.7</v>
      </c>
      <c r="P2213" s="116">
        <v>98.8</v>
      </c>
      <c r="Q2213" s="116">
        <v>464.7</v>
      </c>
      <c r="R2213">
        <v>15084875</v>
      </c>
    </row>
    <row r="2214" spans="1:18" x14ac:dyDescent="0.25">
      <c r="A2214" s="170">
        <v>45265</v>
      </c>
      <c r="B2214" s="116">
        <v>109.17</v>
      </c>
      <c r="C2214" s="116">
        <v>107.7</v>
      </c>
      <c r="D2214" s="116">
        <v>90.95</v>
      </c>
      <c r="E2214" s="116">
        <v>92.96</v>
      </c>
      <c r="F2214" s="116">
        <v>538.5</v>
      </c>
      <c r="G2214">
        <v>5143120</v>
      </c>
      <c r="H2214" s="116"/>
      <c r="I2214" s="116"/>
      <c r="L2214" s="170">
        <v>45265</v>
      </c>
      <c r="M2214" s="116">
        <v>107.63</v>
      </c>
      <c r="N2214" s="116">
        <v>109.16</v>
      </c>
      <c r="O2214" s="116">
        <v>91.2</v>
      </c>
      <c r="P2214" s="116">
        <v>92.6</v>
      </c>
      <c r="Q2214" s="116">
        <v>538.15</v>
      </c>
      <c r="R2214">
        <v>59296372</v>
      </c>
    </row>
    <row r="2215" spans="1:18" x14ac:dyDescent="0.25">
      <c r="A2215" s="170">
        <v>45266</v>
      </c>
      <c r="B2215" s="116">
        <v>117.86</v>
      </c>
      <c r="C2215" s="116">
        <v>112.11</v>
      </c>
      <c r="D2215" s="116">
        <v>108</v>
      </c>
      <c r="E2215" s="116">
        <v>109</v>
      </c>
      <c r="F2215" s="116">
        <v>560.54999999999995</v>
      </c>
      <c r="G2215">
        <v>6671011</v>
      </c>
      <c r="H2215" s="116"/>
      <c r="I2215" s="116"/>
      <c r="L2215" s="170">
        <v>45266</v>
      </c>
      <c r="M2215" s="116">
        <v>112.09</v>
      </c>
      <c r="N2215" s="116">
        <v>117.89</v>
      </c>
      <c r="O2215" s="116">
        <v>107.8</v>
      </c>
      <c r="P2215" s="116">
        <v>109</v>
      </c>
      <c r="Q2215" s="116">
        <v>560.45000000000005</v>
      </c>
      <c r="R2215">
        <v>46431996</v>
      </c>
    </row>
    <row r="2216" spans="1:18" x14ac:dyDescent="0.25">
      <c r="A2216" s="170">
        <v>45267</v>
      </c>
      <c r="B2216" s="116">
        <v>114.99</v>
      </c>
      <c r="C2216" s="116">
        <v>112.41</v>
      </c>
      <c r="D2216" s="116">
        <v>110.42</v>
      </c>
      <c r="E2216" s="116">
        <v>113.98</v>
      </c>
      <c r="F2216" s="116">
        <v>562.04999999999995</v>
      </c>
      <c r="G2216">
        <v>2640229</v>
      </c>
      <c r="H2216" s="116"/>
      <c r="I2216" s="116"/>
      <c r="L2216" s="170">
        <v>45267</v>
      </c>
      <c r="M2216" s="116">
        <v>112.48</v>
      </c>
      <c r="N2216" s="116">
        <v>114.94</v>
      </c>
      <c r="O2216" s="116">
        <v>110.47</v>
      </c>
      <c r="P2216" s="116">
        <v>113.59</v>
      </c>
      <c r="Q2216" s="116">
        <v>562.4</v>
      </c>
      <c r="R2216">
        <v>16013868</v>
      </c>
    </row>
    <row r="2217" spans="1:18" x14ac:dyDescent="0.25">
      <c r="A2217" s="170">
        <v>45268</v>
      </c>
      <c r="B2217" s="116">
        <v>114</v>
      </c>
      <c r="C2217" s="116">
        <v>106.78</v>
      </c>
      <c r="D2217" s="116">
        <v>103.46</v>
      </c>
      <c r="E2217" s="116">
        <v>113.59</v>
      </c>
      <c r="F2217" s="116">
        <v>533.9</v>
      </c>
      <c r="G2217">
        <v>1211131</v>
      </c>
      <c r="H2217" s="116"/>
      <c r="I2217" s="116"/>
      <c r="L2217" s="170">
        <v>45268</v>
      </c>
      <c r="M2217" s="116">
        <v>106.76</v>
      </c>
      <c r="N2217" s="116">
        <v>114</v>
      </c>
      <c r="O2217" s="116">
        <v>103.5</v>
      </c>
      <c r="P2217" s="116">
        <v>113.2</v>
      </c>
      <c r="Q2217" s="116">
        <v>533.79999999999995</v>
      </c>
      <c r="R2217">
        <v>16500676</v>
      </c>
    </row>
    <row r="2218" spans="1:18" x14ac:dyDescent="0.25">
      <c r="A2218" s="170">
        <v>45271</v>
      </c>
      <c r="B2218" s="116">
        <v>108.65</v>
      </c>
      <c r="C2218" s="116">
        <v>105.19</v>
      </c>
      <c r="D2218" s="116">
        <v>103</v>
      </c>
      <c r="E2218" s="116">
        <v>107.18</v>
      </c>
      <c r="F2218" s="116">
        <v>525.95000000000005</v>
      </c>
      <c r="G2218">
        <v>1404002</v>
      </c>
      <c r="H2218" s="116"/>
      <c r="I2218" s="116"/>
      <c r="L2218" s="170">
        <v>45271</v>
      </c>
      <c r="M2218" s="116">
        <v>105.23</v>
      </c>
      <c r="N2218" s="116">
        <v>107.94</v>
      </c>
      <c r="O2218" s="116">
        <v>103.02</v>
      </c>
      <c r="P2218" s="116">
        <v>107</v>
      </c>
      <c r="Q2218" s="116">
        <v>526.15</v>
      </c>
      <c r="R2218">
        <v>9890200</v>
      </c>
    </row>
    <row r="2219" spans="1:18" x14ac:dyDescent="0.25">
      <c r="A2219" s="170">
        <v>45272</v>
      </c>
      <c r="B2219" s="116">
        <v>105.86</v>
      </c>
      <c r="C2219" s="116">
        <v>103.31</v>
      </c>
      <c r="D2219" s="116">
        <v>102.4</v>
      </c>
      <c r="E2219" s="116">
        <v>105.47</v>
      </c>
      <c r="F2219" s="116">
        <v>516.54999999999995</v>
      </c>
      <c r="G2219">
        <v>331277</v>
      </c>
      <c r="H2219" s="116"/>
      <c r="I2219" s="116"/>
      <c r="L2219" s="170">
        <v>45272</v>
      </c>
      <c r="M2219" s="116">
        <v>103.39</v>
      </c>
      <c r="N2219" s="116">
        <v>105.8</v>
      </c>
      <c r="O2219" s="116">
        <v>102.42</v>
      </c>
      <c r="P2219" s="116">
        <v>105.53</v>
      </c>
      <c r="Q2219" s="116">
        <v>516.95000000000005</v>
      </c>
      <c r="R2219">
        <v>5130118</v>
      </c>
    </row>
    <row r="2220" spans="1:18" x14ac:dyDescent="0.25">
      <c r="A2220" s="170">
        <v>45273</v>
      </c>
      <c r="B2220" s="116">
        <v>104.12</v>
      </c>
      <c r="C2220" s="116">
        <v>101.12</v>
      </c>
      <c r="D2220" s="116">
        <v>99.6</v>
      </c>
      <c r="E2220" s="116">
        <v>103.61</v>
      </c>
      <c r="F2220" s="116">
        <v>505.6</v>
      </c>
      <c r="G2220">
        <v>533526</v>
      </c>
      <c r="H2220" s="116"/>
      <c r="I2220" s="116"/>
      <c r="L2220" s="170">
        <v>45273</v>
      </c>
      <c r="M2220" s="116">
        <v>101.14</v>
      </c>
      <c r="N2220" s="116">
        <v>104</v>
      </c>
      <c r="O2220" s="116">
        <v>99.6</v>
      </c>
      <c r="P2220" s="116">
        <v>103.89</v>
      </c>
      <c r="Q2220" s="116">
        <v>505.7</v>
      </c>
      <c r="R2220">
        <v>9267133</v>
      </c>
    </row>
    <row r="2221" spans="1:18" x14ac:dyDescent="0.25">
      <c r="A2221" s="170">
        <v>45274</v>
      </c>
      <c r="B2221" s="116">
        <v>106.17</v>
      </c>
      <c r="C2221" s="116">
        <v>105.57</v>
      </c>
      <c r="D2221" s="116">
        <v>102.02</v>
      </c>
      <c r="E2221" s="116">
        <v>102.02</v>
      </c>
      <c r="F2221" s="116">
        <v>527.85</v>
      </c>
      <c r="G2221">
        <v>322971</v>
      </c>
      <c r="H2221" s="116"/>
      <c r="I2221" s="116"/>
      <c r="L2221" s="170">
        <v>45274</v>
      </c>
      <c r="M2221" s="116">
        <v>105.79</v>
      </c>
      <c r="N2221" s="116">
        <v>106.19</v>
      </c>
      <c r="O2221" s="116">
        <v>101.14</v>
      </c>
      <c r="P2221" s="116">
        <v>101.78</v>
      </c>
      <c r="Q2221" s="116">
        <v>528.95000000000005</v>
      </c>
      <c r="R2221">
        <v>3588818</v>
      </c>
    </row>
    <row r="2222" spans="1:18" x14ac:dyDescent="0.25">
      <c r="A2222" s="170">
        <v>45275</v>
      </c>
      <c r="B2222" s="116">
        <v>109</v>
      </c>
      <c r="C2222" s="116">
        <v>107.41</v>
      </c>
      <c r="D2222" s="116">
        <v>104.25</v>
      </c>
      <c r="E2222" s="116">
        <v>106.4</v>
      </c>
      <c r="F2222" s="116">
        <v>537.04999999999995</v>
      </c>
      <c r="G2222">
        <v>290677</v>
      </c>
      <c r="H2222" s="116"/>
      <c r="I2222" s="116"/>
      <c r="L2222" s="170">
        <v>45275</v>
      </c>
      <c r="M2222" s="116">
        <v>107.77</v>
      </c>
      <c r="N2222" s="116">
        <v>109.3</v>
      </c>
      <c r="O2222" s="116">
        <v>103.92</v>
      </c>
      <c r="P2222" s="116">
        <v>107.4</v>
      </c>
      <c r="Q2222" s="116">
        <v>538.85</v>
      </c>
      <c r="R2222">
        <v>10493441</v>
      </c>
    </row>
    <row r="2223" spans="1:18" x14ac:dyDescent="0.25">
      <c r="A2223" s="170">
        <v>45278</v>
      </c>
      <c r="B2223" s="116">
        <v>109.2</v>
      </c>
      <c r="C2223" s="116">
        <v>107.73</v>
      </c>
      <c r="D2223" s="116">
        <v>106</v>
      </c>
      <c r="E2223" s="116">
        <v>107.6</v>
      </c>
      <c r="F2223" s="116">
        <v>538.65</v>
      </c>
      <c r="G2223">
        <v>171459</v>
      </c>
      <c r="H2223" s="116"/>
      <c r="I2223" s="116"/>
      <c r="L2223" s="170">
        <v>45278</v>
      </c>
      <c r="M2223" s="116">
        <v>107.87</v>
      </c>
      <c r="N2223" s="116">
        <v>109.08</v>
      </c>
      <c r="O2223" s="116">
        <v>106.41</v>
      </c>
      <c r="P2223" s="116">
        <v>108.63</v>
      </c>
      <c r="Q2223" s="116">
        <v>539.35</v>
      </c>
      <c r="R2223">
        <v>2048735</v>
      </c>
    </row>
    <row r="2224" spans="1:18" x14ac:dyDescent="0.25">
      <c r="A2224" s="170">
        <v>45279</v>
      </c>
      <c r="B2224" s="116">
        <v>109</v>
      </c>
      <c r="C2224" s="116">
        <v>107.16</v>
      </c>
      <c r="D2224" s="116">
        <v>105.6</v>
      </c>
      <c r="E2224" s="116">
        <v>107.8</v>
      </c>
      <c r="F2224" s="116">
        <v>535.79999999999995</v>
      </c>
      <c r="G2224">
        <v>129979</v>
      </c>
      <c r="H2224" s="116"/>
      <c r="I2224" s="116"/>
      <c r="L2224" s="170">
        <v>45279</v>
      </c>
      <c r="M2224" s="116">
        <v>107.09</v>
      </c>
      <c r="N2224" s="116">
        <v>109.5</v>
      </c>
      <c r="O2224" s="116">
        <v>105.62</v>
      </c>
      <c r="P2224" s="116">
        <v>109.5</v>
      </c>
      <c r="Q2224" s="116">
        <v>535.45000000000005</v>
      </c>
      <c r="R2224">
        <v>1607643</v>
      </c>
    </row>
    <row r="2225" spans="1:18" x14ac:dyDescent="0.25">
      <c r="A2225" s="170">
        <v>45280</v>
      </c>
      <c r="B2225" s="116">
        <v>108</v>
      </c>
      <c r="C2225" s="116">
        <v>101.84</v>
      </c>
      <c r="D2225" s="116">
        <v>101.81</v>
      </c>
      <c r="E2225" s="116">
        <v>106.8</v>
      </c>
      <c r="F2225" s="116">
        <v>509.2</v>
      </c>
      <c r="G2225">
        <v>453216</v>
      </c>
      <c r="H2225" s="116"/>
      <c r="I2225" s="116"/>
      <c r="L2225" s="170">
        <v>45280</v>
      </c>
      <c r="M2225" s="116">
        <v>101.76</v>
      </c>
      <c r="N2225" s="116">
        <v>108</v>
      </c>
      <c r="O2225" s="116">
        <v>101.74</v>
      </c>
      <c r="P2225" s="116">
        <v>107.09</v>
      </c>
      <c r="Q2225" s="116">
        <v>508.8</v>
      </c>
      <c r="R2225">
        <v>2849065</v>
      </c>
    </row>
    <row r="2226" spans="1:18" x14ac:dyDescent="0.25">
      <c r="A2226" s="170">
        <v>45281</v>
      </c>
      <c r="B2226" s="116">
        <v>103.6</v>
      </c>
      <c r="C2226" s="116">
        <v>102.41</v>
      </c>
      <c r="D2226" s="116">
        <v>96.75</v>
      </c>
      <c r="E2226" s="116">
        <v>98</v>
      </c>
      <c r="F2226" s="116">
        <v>512.04999999999995</v>
      </c>
      <c r="G2226">
        <v>459088</v>
      </c>
      <c r="H2226" s="116"/>
      <c r="I2226" s="116"/>
      <c r="L2226" s="170">
        <v>45281</v>
      </c>
      <c r="M2226" s="116">
        <v>102.33</v>
      </c>
      <c r="N2226" s="116">
        <v>103.74</v>
      </c>
      <c r="O2226" s="116">
        <v>97</v>
      </c>
      <c r="P2226" s="116">
        <v>98</v>
      </c>
      <c r="Q2226" s="116">
        <v>511.65</v>
      </c>
      <c r="R2226">
        <v>2299409</v>
      </c>
    </row>
    <row r="2227" spans="1:18" x14ac:dyDescent="0.25">
      <c r="A2227" s="170">
        <v>45282</v>
      </c>
      <c r="B2227" s="116">
        <v>103.88</v>
      </c>
      <c r="C2227" s="116">
        <v>102.36</v>
      </c>
      <c r="D2227" s="116">
        <v>99.2</v>
      </c>
      <c r="E2227" s="116">
        <v>103.88</v>
      </c>
      <c r="F2227" s="116">
        <v>511.8</v>
      </c>
      <c r="G2227">
        <v>194479</v>
      </c>
      <c r="H2227" s="116"/>
      <c r="I2227" s="116"/>
      <c r="L2227" s="170">
        <v>45282</v>
      </c>
      <c r="M2227" s="116">
        <v>102.51</v>
      </c>
      <c r="N2227" s="116">
        <v>103.6</v>
      </c>
      <c r="O2227" s="116">
        <v>101</v>
      </c>
      <c r="P2227" s="116">
        <v>103.6</v>
      </c>
      <c r="Q2227" s="116">
        <v>512.54999999999995</v>
      </c>
      <c r="R2227">
        <v>942799</v>
      </c>
    </row>
    <row r="2228" spans="1:18" x14ac:dyDescent="0.25">
      <c r="A2228" s="170">
        <v>45286</v>
      </c>
      <c r="B2228" s="116">
        <v>103.8</v>
      </c>
      <c r="C2228" s="116">
        <v>102.43</v>
      </c>
      <c r="D2228" s="116">
        <v>102</v>
      </c>
      <c r="E2228" s="116">
        <v>103.6</v>
      </c>
      <c r="F2228" s="116">
        <v>512.15</v>
      </c>
      <c r="G2228">
        <v>88999</v>
      </c>
      <c r="H2228" s="116"/>
      <c r="I2228" s="116"/>
      <c r="L2228" s="170">
        <v>45286</v>
      </c>
      <c r="M2228" s="116">
        <v>102.34</v>
      </c>
      <c r="N2228" s="116">
        <v>103.96</v>
      </c>
      <c r="O2228" s="116">
        <v>102.02</v>
      </c>
      <c r="P2228" s="116">
        <v>103.1</v>
      </c>
      <c r="Q2228" s="116">
        <v>511.7</v>
      </c>
      <c r="R2228">
        <v>831910</v>
      </c>
    </row>
    <row r="2229" spans="1:18" x14ac:dyDescent="0.25">
      <c r="A2229" s="170">
        <v>45287</v>
      </c>
      <c r="B2229" s="116">
        <v>106.13</v>
      </c>
      <c r="C2229" s="116">
        <v>104.31</v>
      </c>
      <c r="D2229" s="116">
        <v>102.43</v>
      </c>
      <c r="E2229" s="116">
        <v>103</v>
      </c>
      <c r="F2229" s="116">
        <v>521.54999999999995</v>
      </c>
      <c r="G2229">
        <v>270097</v>
      </c>
      <c r="H2229" s="116"/>
      <c r="I2229" s="116"/>
      <c r="L2229" s="170">
        <v>45287</v>
      </c>
      <c r="M2229" s="116">
        <v>104.49</v>
      </c>
      <c r="N2229" s="116">
        <v>106.6</v>
      </c>
      <c r="O2229" s="116">
        <v>102.4</v>
      </c>
      <c r="P2229" s="116">
        <v>103.48</v>
      </c>
      <c r="Q2229" s="116">
        <v>522.45000000000005</v>
      </c>
      <c r="R2229">
        <v>1707299</v>
      </c>
    </row>
    <row r="2230" spans="1:18" x14ac:dyDescent="0.25">
      <c r="A2230" s="170">
        <v>45288</v>
      </c>
      <c r="B2230" s="116">
        <v>105.16</v>
      </c>
      <c r="C2230" s="116">
        <v>104.25</v>
      </c>
      <c r="D2230" s="116">
        <v>102.4</v>
      </c>
      <c r="E2230" s="116">
        <v>104.38</v>
      </c>
      <c r="F2230" s="116">
        <v>521.25</v>
      </c>
      <c r="G2230">
        <v>102335</v>
      </c>
      <c r="H2230" s="116"/>
      <c r="I2230" s="116"/>
      <c r="L2230" s="170">
        <v>45288</v>
      </c>
      <c r="M2230" s="116">
        <v>104.68</v>
      </c>
      <c r="N2230" s="116">
        <v>105.4</v>
      </c>
      <c r="O2230" s="116">
        <v>102.6</v>
      </c>
      <c r="P2230" s="116">
        <v>105.4</v>
      </c>
      <c r="Q2230" s="116">
        <v>523.4</v>
      </c>
      <c r="R2230">
        <v>1388906</v>
      </c>
    </row>
    <row r="2231" spans="1:18" x14ac:dyDescent="0.25">
      <c r="A2231" s="170">
        <v>45289</v>
      </c>
      <c r="B2231" s="116">
        <v>106.2</v>
      </c>
      <c r="C2231" s="116">
        <v>104.97</v>
      </c>
      <c r="D2231" s="116">
        <v>103.01</v>
      </c>
      <c r="E2231" s="116">
        <v>103.8</v>
      </c>
      <c r="F2231" s="116">
        <v>524.85</v>
      </c>
      <c r="G2231">
        <v>84514</v>
      </c>
      <c r="H2231" s="116"/>
      <c r="I2231" s="116"/>
      <c r="L2231" s="170">
        <v>45289</v>
      </c>
      <c r="M2231" s="116">
        <v>105.03</v>
      </c>
      <c r="N2231" s="116">
        <v>105.4</v>
      </c>
      <c r="O2231" s="116">
        <v>103.6</v>
      </c>
      <c r="P2231" s="116">
        <v>104.1</v>
      </c>
      <c r="Q2231" s="116">
        <v>525.15</v>
      </c>
      <c r="R2231">
        <v>1270593</v>
      </c>
    </row>
    <row r="2232" spans="1:18" x14ac:dyDescent="0.25">
      <c r="A2232" s="170">
        <v>45292</v>
      </c>
      <c r="B2232" s="116">
        <v>106.83</v>
      </c>
      <c r="C2232" s="116">
        <v>105.06</v>
      </c>
      <c r="D2232" s="116">
        <v>104</v>
      </c>
      <c r="E2232" s="116">
        <v>105.01</v>
      </c>
      <c r="F2232" s="116">
        <v>525.29999999999995</v>
      </c>
      <c r="G2232">
        <v>89103</v>
      </c>
      <c r="H2232" s="116"/>
      <c r="I2232" s="116"/>
      <c r="L2232" s="170">
        <v>45292</v>
      </c>
      <c r="M2232" s="116">
        <v>104.65</v>
      </c>
      <c r="N2232" s="116">
        <v>106.79</v>
      </c>
      <c r="O2232" s="116">
        <v>103.82</v>
      </c>
      <c r="P2232" s="116">
        <v>105.03</v>
      </c>
      <c r="Q2232" s="116">
        <v>523.25</v>
      </c>
      <c r="R2232">
        <v>1123066</v>
      </c>
    </row>
    <row r="2233" spans="1:18" x14ac:dyDescent="0.25">
      <c r="A2233" s="170">
        <v>45293</v>
      </c>
      <c r="B2233" s="116">
        <v>105</v>
      </c>
      <c r="C2233" s="116">
        <v>103.75</v>
      </c>
      <c r="D2233" s="116">
        <v>102.9</v>
      </c>
      <c r="E2233" s="116">
        <v>104.8</v>
      </c>
      <c r="F2233" s="116">
        <v>518.75</v>
      </c>
      <c r="G2233">
        <v>185451</v>
      </c>
      <c r="H2233" s="116"/>
      <c r="I2233" s="116"/>
      <c r="L2233" s="170">
        <v>45293</v>
      </c>
      <c r="M2233" s="116">
        <v>103.72</v>
      </c>
      <c r="N2233" s="116">
        <v>105</v>
      </c>
      <c r="O2233" s="116">
        <v>103</v>
      </c>
      <c r="P2233" s="116">
        <v>105</v>
      </c>
      <c r="Q2233" s="116">
        <v>518.6</v>
      </c>
      <c r="R2233">
        <v>1011777</v>
      </c>
    </row>
    <row r="2234" spans="1:18" x14ac:dyDescent="0.25">
      <c r="A2234" s="170">
        <v>45294</v>
      </c>
      <c r="B2234" s="116">
        <v>108.93</v>
      </c>
      <c r="C2234" s="116">
        <v>108.93</v>
      </c>
      <c r="D2234" s="116">
        <v>105.02</v>
      </c>
      <c r="E2234" s="116">
        <v>107.02</v>
      </c>
      <c r="F2234" s="116">
        <v>544.65</v>
      </c>
      <c r="G2234">
        <v>1103400</v>
      </c>
      <c r="H2234" s="116"/>
      <c r="I2234" s="116"/>
      <c r="L2234" s="170">
        <v>45294</v>
      </c>
      <c r="M2234" s="116">
        <v>108.9</v>
      </c>
      <c r="N2234" s="116">
        <v>108.9</v>
      </c>
      <c r="O2234" s="116">
        <v>105</v>
      </c>
      <c r="P2234" s="116">
        <v>107.6</v>
      </c>
      <c r="Q2234" s="116">
        <v>544.5</v>
      </c>
      <c r="R2234">
        <v>4044997</v>
      </c>
    </row>
    <row r="2235" spans="1:18" x14ac:dyDescent="0.25">
      <c r="A2235" s="170">
        <v>45295</v>
      </c>
      <c r="B2235" s="116">
        <v>111.6</v>
      </c>
      <c r="C2235" s="116">
        <v>111.18</v>
      </c>
      <c r="D2235" s="116">
        <v>107.2</v>
      </c>
      <c r="E2235" s="116">
        <v>109.8</v>
      </c>
      <c r="F2235" s="116">
        <v>555.9</v>
      </c>
      <c r="G2235">
        <v>572000</v>
      </c>
      <c r="H2235" s="116"/>
      <c r="I2235" s="116"/>
      <c r="L2235" s="170">
        <v>45295</v>
      </c>
      <c r="M2235" s="116">
        <v>111.71</v>
      </c>
      <c r="N2235" s="116">
        <v>112.29</v>
      </c>
      <c r="O2235" s="116">
        <v>107.46</v>
      </c>
      <c r="P2235" s="116">
        <v>109.6</v>
      </c>
      <c r="Q2235" s="116">
        <v>558.54999999999995</v>
      </c>
      <c r="R2235">
        <v>3611727</v>
      </c>
    </row>
    <row r="2236" spans="1:18" x14ac:dyDescent="0.25">
      <c r="A2236" s="170">
        <v>45296</v>
      </c>
      <c r="B2236" s="116">
        <v>113</v>
      </c>
      <c r="C2236" s="116">
        <v>110.37</v>
      </c>
      <c r="D2236" s="116">
        <v>109.4</v>
      </c>
      <c r="E2236" s="116">
        <v>112.68</v>
      </c>
      <c r="F2236" s="116">
        <v>551.85</v>
      </c>
      <c r="G2236">
        <v>154041</v>
      </c>
      <c r="H2236" s="116"/>
      <c r="I2236" s="116"/>
      <c r="L2236" s="170">
        <v>45296</v>
      </c>
      <c r="M2236" s="116">
        <v>110.22</v>
      </c>
      <c r="N2236" s="116">
        <v>113</v>
      </c>
      <c r="O2236" s="116">
        <v>109.22</v>
      </c>
      <c r="P2236" s="116">
        <v>112.94</v>
      </c>
      <c r="Q2236" s="116">
        <v>551.1</v>
      </c>
      <c r="R2236">
        <v>1411436</v>
      </c>
    </row>
    <row r="2237" spans="1:18" x14ac:dyDescent="0.25">
      <c r="A2237" s="170">
        <v>45299</v>
      </c>
      <c r="B2237" s="116">
        <v>111</v>
      </c>
      <c r="C2237" s="116">
        <v>108.32</v>
      </c>
      <c r="D2237" s="116">
        <v>107.04</v>
      </c>
      <c r="E2237" s="116">
        <v>110.4</v>
      </c>
      <c r="F2237" s="116">
        <v>541.6</v>
      </c>
      <c r="G2237">
        <v>214003</v>
      </c>
      <c r="H2237" s="116"/>
      <c r="I2237" s="116"/>
      <c r="L2237" s="170">
        <v>45299</v>
      </c>
      <c r="M2237" s="116">
        <v>108.34</v>
      </c>
      <c r="N2237" s="116">
        <v>110.79</v>
      </c>
      <c r="O2237" s="116">
        <v>108</v>
      </c>
      <c r="P2237" s="116">
        <v>110.79</v>
      </c>
      <c r="Q2237" s="116">
        <v>541.70000000000005</v>
      </c>
      <c r="R2237">
        <v>975444</v>
      </c>
    </row>
    <row r="2238" spans="1:18" x14ac:dyDescent="0.25">
      <c r="A2238" s="170">
        <v>45300</v>
      </c>
      <c r="B2238" s="116">
        <v>110.93</v>
      </c>
      <c r="C2238" s="116">
        <v>107.88</v>
      </c>
      <c r="D2238" s="116">
        <v>107</v>
      </c>
      <c r="E2238" s="116">
        <v>109.34</v>
      </c>
      <c r="F2238" s="116">
        <v>539.4</v>
      </c>
      <c r="G2238">
        <v>112830</v>
      </c>
      <c r="H2238" s="116"/>
      <c r="I2238" s="116"/>
      <c r="L2238" s="170">
        <v>45300</v>
      </c>
      <c r="M2238" s="116">
        <v>107.95</v>
      </c>
      <c r="N2238" s="116">
        <v>110.7</v>
      </c>
      <c r="O2238" s="116">
        <v>107</v>
      </c>
      <c r="P2238" s="116">
        <v>109</v>
      </c>
      <c r="Q2238" s="116">
        <v>539.75</v>
      </c>
      <c r="R2238">
        <v>1213712</v>
      </c>
    </row>
    <row r="2239" spans="1:18" x14ac:dyDescent="0.25">
      <c r="A2239" s="170">
        <v>45301</v>
      </c>
      <c r="B2239" s="116">
        <v>109.78</v>
      </c>
      <c r="C2239" s="116">
        <v>108.41</v>
      </c>
      <c r="D2239" s="116">
        <v>107.4</v>
      </c>
      <c r="E2239" s="116">
        <v>109.35</v>
      </c>
      <c r="F2239" s="116">
        <v>542.04999999999995</v>
      </c>
      <c r="G2239">
        <v>66577</v>
      </c>
      <c r="H2239" s="116"/>
      <c r="I2239" s="116"/>
      <c r="L2239" s="170">
        <v>45301</v>
      </c>
      <c r="M2239" s="116">
        <v>108.46</v>
      </c>
      <c r="N2239" s="116">
        <v>109.92</v>
      </c>
      <c r="O2239" s="116">
        <v>107</v>
      </c>
      <c r="P2239" s="116">
        <v>108.9</v>
      </c>
      <c r="Q2239" s="116">
        <v>542.29999999999995</v>
      </c>
      <c r="R2239">
        <v>1024874</v>
      </c>
    </row>
    <row r="2240" spans="1:18" x14ac:dyDescent="0.25">
      <c r="A2240" s="170">
        <v>45302</v>
      </c>
      <c r="B2240" s="116">
        <v>109.8</v>
      </c>
      <c r="C2240" s="116">
        <v>108.12</v>
      </c>
      <c r="D2240" s="116">
        <v>107.9</v>
      </c>
      <c r="E2240" s="116">
        <v>109.8</v>
      </c>
      <c r="F2240" s="116">
        <v>540.6</v>
      </c>
      <c r="G2240">
        <v>69517</v>
      </c>
      <c r="H2240" s="116"/>
      <c r="I2240" s="116"/>
      <c r="L2240" s="170">
        <v>45302</v>
      </c>
      <c r="M2240" s="116">
        <v>108.03</v>
      </c>
      <c r="N2240" s="116">
        <v>109.54</v>
      </c>
      <c r="O2240" s="116">
        <v>107.82</v>
      </c>
      <c r="P2240" s="116">
        <v>109.54</v>
      </c>
      <c r="Q2240" s="116">
        <v>540.15</v>
      </c>
      <c r="R2240">
        <v>781046</v>
      </c>
    </row>
    <row r="2241" spans="1:18" x14ac:dyDescent="0.25">
      <c r="A2241" s="170">
        <v>45303</v>
      </c>
      <c r="B2241" s="116">
        <v>109.12</v>
      </c>
      <c r="C2241" s="116">
        <v>108.19</v>
      </c>
      <c r="D2241" s="116">
        <v>108</v>
      </c>
      <c r="E2241" s="116">
        <v>109.06</v>
      </c>
      <c r="F2241" s="116">
        <v>540.95000000000005</v>
      </c>
      <c r="G2241">
        <v>147725</v>
      </c>
      <c r="H2241" s="116"/>
      <c r="I2241" s="116"/>
      <c r="L2241" s="170">
        <v>45303</v>
      </c>
      <c r="M2241" s="116">
        <v>108.23</v>
      </c>
      <c r="N2241" s="116">
        <v>109.36</v>
      </c>
      <c r="O2241" s="116">
        <v>108</v>
      </c>
      <c r="P2241" s="116">
        <v>109.2</v>
      </c>
      <c r="Q2241" s="116">
        <v>541.15</v>
      </c>
      <c r="R2241">
        <v>711519</v>
      </c>
    </row>
    <row r="2242" spans="1:18" x14ac:dyDescent="0.25">
      <c r="A2242" s="170">
        <v>45306</v>
      </c>
      <c r="B2242" s="116">
        <v>109.2</v>
      </c>
      <c r="C2242" s="116">
        <v>108.29</v>
      </c>
      <c r="D2242" s="116">
        <v>108</v>
      </c>
      <c r="E2242" s="116">
        <v>109.03</v>
      </c>
      <c r="F2242" s="116">
        <v>541.45000000000005</v>
      </c>
      <c r="G2242">
        <v>85765</v>
      </c>
      <c r="H2242" s="116"/>
      <c r="I2242" s="116"/>
      <c r="L2242" s="170">
        <v>45306</v>
      </c>
      <c r="M2242" s="116">
        <v>108.23</v>
      </c>
      <c r="N2242" s="116">
        <v>109.4</v>
      </c>
      <c r="O2242" s="116">
        <v>108</v>
      </c>
      <c r="P2242" s="116">
        <v>109.36</v>
      </c>
      <c r="Q2242" s="116">
        <v>541.15</v>
      </c>
      <c r="R2242">
        <v>1077632</v>
      </c>
    </row>
    <row r="2243" spans="1:18" x14ac:dyDescent="0.25">
      <c r="A2243" s="170">
        <v>45307</v>
      </c>
      <c r="B2243" s="116">
        <v>108.39</v>
      </c>
      <c r="C2243" s="116">
        <v>106.78</v>
      </c>
      <c r="D2243" s="116">
        <v>106</v>
      </c>
      <c r="E2243" s="116">
        <v>108.34</v>
      </c>
      <c r="F2243" s="116">
        <v>533.9</v>
      </c>
      <c r="G2243">
        <v>194112</v>
      </c>
      <c r="H2243" s="116"/>
      <c r="I2243" s="116"/>
      <c r="L2243" s="170">
        <v>45307</v>
      </c>
      <c r="M2243" s="116">
        <v>106.46</v>
      </c>
      <c r="N2243" s="116">
        <v>108</v>
      </c>
      <c r="O2243" s="116">
        <v>105.8</v>
      </c>
      <c r="P2243" s="116">
        <v>108</v>
      </c>
      <c r="Q2243" s="116">
        <v>532.29999999999995</v>
      </c>
      <c r="R2243">
        <v>1055123</v>
      </c>
    </row>
    <row r="2244" spans="1:18" x14ac:dyDescent="0.25">
      <c r="A2244" s="170">
        <v>45308</v>
      </c>
      <c r="B2244" s="116">
        <v>106</v>
      </c>
      <c r="C2244" s="116">
        <v>104.09</v>
      </c>
      <c r="D2244" s="116">
        <v>102.2</v>
      </c>
      <c r="E2244" s="116">
        <v>106</v>
      </c>
      <c r="F2244" s="116">
        <v>520.45000000000005</v>
      </c>
      <c r="G2244">
        <v>198783</v>
      </c>
      <c r="H2244" s="116"/>
      <c r="I2244" s="116"/>
      <c r="L2244" s="170">
        <v>45308</v>
      </c>
      <c r="M2244" s="116">
        <v>104.29</v>
      </c>
      <c r="N2244" s="116">
        <v>105.98</v>
      </c>
      <c r="O2244" s="116">
        <v>101.22</v>
      </c>
      <c r="P2244" s="116">
        <v>105.89</v>
      </c>
      <c r="Q2244" s="116">
        <v>521.45000000000005</v>
      </c>
      <c r="R2244">
        <v>1806770</v>
      </c>
    </row>
    <row r="2245" spans="1:18" x14ac:dyDescent="0.25">
      <c r="A2245" s="170">
        <v>45309</v>
      </c>
      <c r="B2245" s="116">
        <v>106</v>
      </c>
      <c r="C2245" s="116">
        <v>104.93</v>
      </c>
      <c r="D2245" s="116">
        <v>101.6</v>
      </c>
      <c r="E2245" s="116">
        <v>103.63</v>
      </c>
      <c r="F2245" s="116">
        <v>524.65</v>
      </c>
      <c r="G2245">
        <v>90371</v>
      </c>
      <c r="H2245" s="116"/>
      <c r="I2245" s="116"/>
      <c r="L2245" s="170">
        <v>45309</v>
      </c>
      <c r="M2245" s="116">
        <v>104.71</v>
      </c>
      <c r="N2245" s="116">
        <v>106.05</v>
      </c>
      <c r="O2245" s="116">
        <v>101.8</v>
      </c>
      <c r="P2245" s="116">
        <v>104.29</v>
      </c>
      <c r="Q2245" s="116">
        <v>523.54999999999995</v>
      </c>
      <c r="R2245">
        <v>1384253</v>
      </c>
    </row>
    <row r="2246" spans="1:18" x14ac:dyDescent="0.25">
      <c r="A2246" s="170">
        <v>45310</v>
      </c>
      <c r="B2246" s="116">
        <v>105.6</v>
      </c>
      <c r="C2246" s="116">
        <v>103.91</v>
      </c>
      <c r="D2246" s="116">
        <v>103.4</v>
      </c>
      <c r="E2246" s="116">
        <v>104.81</v>
      </c>
      <c r="F2246" s="116">
        <v>519.54999999999995</v>
      </c>
      <c r="G2246">
        <v>172382</v>
      </c>
      <c r="H2246" s="116"/>
      <c r="I2246" s="116"/>
      <c r="L2246" s="170">
        <v>45310</v>
      </c>
      <c r="M2246" s="116">
        <v>103.35</v>
      </c>
      <c r="N2246" s="116">
        <v>109.8</v>
      </c>
      <c r="O2246" s="116">
        <v>102.88</v>
      </c>
      <c r="P2246" s="116">
        <v>105.8</v>
      </c>
      <c r="Q2246" s="116">
        <v>516.75</v>
      </c>
      <c r="R2246">
        <v>6070841</v>
      </c>
    </row>
    <row r="2247" spans="1:18" x14ac:dyDescent="0.25">
      <c r="A2247" s="170">
        <v>45311</v>
      </c>
      <c r="B2247" s="116">
        <v>108</v>
      </c>
      <c r="C2247" s="116">
        <v>107.37</v>
      </c>
      <c r="D2247" s="116">
        <v>106</v>
      </c>
      <c r="E2247" s="116">
        <v>106</v>
      </c>
      <c r="F2247" s="116">
        <v>536.85</v>
      </c>
      <c r="G2247">
        <v>171543</v>
      </c>
      <c r="H2247" s="116"/>
      <c r="I2247" s="116"/>
      <c r="L2247" s="170">
        <v>45311</v>
      </c>
      <c r="M2247" s="116">
        <v>107.31</v>
      </c>
      <c r="N2247" s="116">
        <v>108</v>
      </c>
      <c r="O2247" s="116">
        <v>106</v>
      </c>
      <c r="P2247" s="116">
        <v>107.35</v>
      </c>
      <c r="Q2247" s="116">
        <v>536.54999999999995</v>
      </c>
      <c r="R2247">
        <v>858276</v>
      </c>
    </row>
    <row r="2248" spans="1:18" x14ac:dyDescent="0.25">
      <c r="A2248" s="170">
        <v>45314</v>
      </c>
      <c r="B2248" s="116">
        <v>109</v>
      </c>
      <c r="C2248" s="116">
        <v>103.64</v>
      </c>
      <c r="D2248" s="116">
        <v>103.1</v>
      </c>
      <c r="E2248" s="116">
        <v>107.6</v>
      </c>
      <c r="F2248" s="116">
        <v>518.20000000000005</v>
      </c>
      <c r="G2248">
        <v>242933</v>
      </c>
      <c r="H2248" s="116"/>
      <c r="I2248" s="116"/>
      <c r="L2248" s="170">
        <v>45314</v>
      </c>
      <c r="M2248" s="116">
        <v>103.51</v>
      </c>
      <c r="N2248" s="116">
        <v>111</v>
      </c>
      <c r="O2248" s="116">
        <v>103</v>
      </c>
      <c r="P2248" s="116">
        <v>108.79</v>
      </c>
      <c r="Q2248" s="116">
        <v>517.54999999999995</v>
      </c>
      <c r="R2248">
        <v>1439117</v>
      </c>
    </row>
    <row r="2249" spans="1:18" x14ac:dyDescent="0.25">
      <c r="A2249" s="170">
        <v>45315</v>
      </c>
      <c r="B2249" s="116">
        <v>104.98</v>
      </c>
      <c r="C2249" s="116">
        <v>103.93</v>
      </c>
      <c r="D2249" s="116">
        <v>102.07</v>
      </c>
      <c r="E2249" s="116">
        <v>103.81</v>
      </c>
      <c r="F2249" s="116">
        <v>519.65</v>
      </c>
      <c r="G2249">
        <v>131046</v>
      </c>
      <c r="H2249" s="116"/>
      <c r="I2249" s="116"/>
      <c r="L2249" s="170">
        <v>45315</v>
      </c>
      <c r="M2249" s="116">
        <v>103.99</v>
      </c>
      <c r="N2249" s="116">
        <v>105.21</v>
      </c>
      <c r="O2249" s="116">
        <v>102.4</v>
      </c>
      <c r="P2249" s="116">
        <v>104.56</v>
      </c>
      <c r="Q2249" s="116">
        <v>519.95000000000005</v>
      </c>
      <c r="R2249">
        <v>42152346</v>
      </c>
    </row>
    <row r="2250" spans="1:18" x14ac:dyDescent="0.25">
      <c r="A2250" s="170">
        <v>45316</v>
      </c>
      <c r="B2250" s="116">
        <v>108.82</v>
      </c>
      <c r="C2250" s="116">
        <v>108.5</v>
      </c>
      <c r="D2250" s="116">
        <v>104.11</v>
      </c>
      <c r="E2250" s="116">
        <v>104.11</v>
      </c>
      <c r="F2250" s="116">
        <v>542.5</v>
      </c>
      <c r="G2250">
        <v>576871</v>
      </c>
      <c r="H2250" s="116"/>
      <c r="I2250" s="116"/>
      <c r="L2250" s="170">
        <v>45316</v>
      </c>
      <c r="M2250" s="116">
        <v>108.66</v>
      </c>
      <c r="N2250" s="116">
        <v>109</v>
      </c>
      <c r="O2250" s="116">
        <v>104.2</v>
      </c>
      <c r="P2250" s="116">
        <v>104.48</v>
      </c>
      <c r="Q2250" s="116">
        <v>543.29999999999995</v>
      </c>
      <c r="R2250">
        <v>2175726</v>
      </c>
    </row>
    <row r="2251" spans="1:18" x14ac:dyDescent="0.25">
      <c r="A2251" s="170">
        <v>45320</v>
      </c>
      <c r="B2251" s="116">
        <v>113.92</v>
      </c>
      <c r="C2251" s="116">
        <v>113.92</v>
      </c>
      <c r="D2251" s="116">
        <v>110.67</v>
      </c>
      <c r="E2251" s="116">
        <v>112.3</v>
      </c>
      <c r="F2251" s="116">
        <v>569.6</v>
      </c>
      <c r="G2251">
        <v>345590</v>
      </c>
      <c r="H2251" s="116"/>
      <c r="I2251" s="116"/>
      <c r="L2251" s="170">
        <v>45320</v>
      </c>
      <c r="M2251" s="116">
        <v>114.09</v>
      </c>
      <c r="N2251" s="116">
        <v>114.09</v>
      </c>
      <c r="O2251" s="116">
        <v>110.5</v>
      </c>
      <c r="P2251" s="116">
        <v>114</v>
      </c>
      <c r="Q2251" s="116">
        <v>570.45000000000005</v>
      </c>
      <c r="R2251">
        <v>5730005</v>
      </c>
    </row>
    <row r="2252" spans="1:18" x14ac:dyDescent="0.25">
      <c r="A2252" s="170">
        <v>45321</v>
      </c>
      <c r="B2252" s="116">
        <v>116</v>
      </c>
      <c r="C2252" s="116">
        <v>112.02</v>
      </c>
      <c r="D2252" s="116">
        <v>110.6</v>
      </c>
      <c r="E2252" s="116">
        <v>115</v>
      </c>
      <c r="F2252" s="116">
        <v>560.1</v>
      </c>
      <c r="G2252">
        <v>203342</v>
      </c>
      <c r="H2252" s="116"/>
      <c r="I2252" s="116"/>
      <c r="L2252" s="170">
        <v>45321</v>
      </c>
      <c r="M2252" s="116">
        <v>111.66</v>
      </c>
      <c r="N2252" s="116">
        <v>115.96</v>
      </c>
      <c r="O2252" s="116">
        <v>109.4</v>
      </c>
      <c r="P2252" s="116">
        <v>115</v>
      </c>
      <c r="Q2252" s="116">
        <v>558.29999999999995</v>
      </c>
      <c r="R2252">
        <v>2962115</v>
      </c>
    </row>
    <row r="2253" spans="1:18" x14ac:dyDescent="0.25">
      <c r="A2253" s="170">
        <v>45322</v>
      </c>
      <c r="B2253" s="116">
        <v>113.58</v>
      </c>
      <c r="C2253" s="116">
        <v>112.44</v>
      </c>
      <c r="D2253" s="116">
        <v>111.51</v>
      </c>
      <c r="E2253" s="116">
        <v>112</v>
      </c>
      <c r="F2253" s="116">
        <v>562.20000000000005</v>
      </c>
      <c r="G2253">
        <v>255879</v>
      </c>
      <c r="H2253" s="116"/>
      <c r="I2253" s="116"/>
      <c r="L2253" s="170">
        <v>45322</v>
      </c>
      <c r="M2253" s="116">
        <v>112.54</v>
      </c>
      <c r="N2253" s="116">
        <v>114.06</v>
      </c>
      <c r="O2253" s="116">
        <v>111.6</v>
      </c>
      <c r="P2253" s="116">
        <v>111.7</v>
      </c>
      <c r="Q2253" s="116">
        <v>562.70000000000005</v>
      </c>
      <c r="R2253">
        <v>1915616</v>
      </c>
    </row>
    <row r="2254" spans="1:18" x14ac:dyDescent="0.25">
      <c r="A2254" s="170">
        <v>45323</v>
      </c>
      <c r="B2254" s="116">
        <v>114</v>
      </c>
      <c r="C2254" s="116">
        <v>112.82</v>
      </c>
      <c r="D2254" s="116">
        <v>111.06</v>
      </c>
      <c r="E2254" s="116">
        <v>114</v>
      </c>
      <c r="F2254" s="116">
        <v>564.1</v>
      </c>
      <c r="G2254">
        <v>98939</v>
      </c>
      <c r="H2254" s="116"/>
      <c r="I2254" s="116"/>
      <c r="L2254" s="170">
        <v>45323</v>
      </c>
      <c r="M2254" s="116">
        <v>112.87</v>
      </c>
      <c r="N2254" s="116">
        <v>113.8</v>
      </c>
      <c r="O2254" s="116">
        <v>111.36</v>
      </c>
      <c r="P2254" s="116">
        <v>113.6</v>
      </c>
      <c r="Q2254" s="116">
        <v>564.35</v>
      </c>
      <c r="R2254">
        <v>1377239</v>
      </c>
    </row>
    <row r="2255" spans="1:18" x14ac:dyDescent="0.25">
      <c r="A2255" s="170">
        <v>45324</v>
      </c>
      <c r="B2255" s="116">
        <v>113.97</v>
      </c>
      <c r="C2255" s="116">
        <v>111.86</v>
      </c>
      <c r="D2255" s="116">
        <v>111.21</v>
      </c>
      <c r="E2255" s="116">
        <v>113.2</v>
      </c>
      <c r="F2255" s="116">
        <v>559.29999999999995</v>
      </c>
      <c r="G2255">
        <v>98967</v>
      </c>
      <c r="H2255" s="116"/>
      <c r="I2255" s="116"/>
      <c r="L2255" s="170">
        <v>45324</v>
      </c>
      <c r="M2255" s="116">
        <v>111.88</v>
      </c>
      <c r="N2255" s="116">
        <v>113.6</v>
      </c>
      <c r="O2255" s="116">
        <v>111.1</v>
      </c>
      <c r="P2255" s="116">
        <v>113.4</v>
      </c>
      <c r="Q2255" s="116">
        <v>559.4</v>
      </c>
      <c r="R2255">
        <v>2001145</v>
      </c>
    </row>
    <row r="2256" spans="1:18" x14ac:dyDescent="0.25">
      <c r="A2256" s="170">
        <v>45327</v>
      </c>
      <c r="B2256" s="116">
        <v>112.77</v>
      </c>
      <c r="C2256" s="116">
        <v>109.27</v>
      </c>
      <c r="D2256" s="116">
        <v>108.2</v>
      </c>
      <c r="E2256" s="116">
        <v>112.31</v>
      </c>
      <c r="F2256" s="116">
        <v>546.35</v>
      </c>
      <c r="G2256">
        <v>105329</v>
      </c>
      <c r="H2256" s="116"/>
      <c r="I2256" s="116"/>
      <c r="L2256" s="170">
        <v>45327</v>
      </c>
      <c r="M2256" s="116">
        <v>109.26</v>
      </c>
      <c r="N2256" s="116">
        <v>113</v>
      </c>
      <c r="O2256" s="116">
        <v>109</v>
      </c>
      <c r="P2256" s="116">
        <v>112.94</v>
      </c>
      <c r="Q2256" s="116">
        <v>546.29999999999995</v>
      </c>
      <c r="R2256">
        <v>1576938</v>
      </c>
    </row>
    <row r="2257" spans="1:18" x14ac:dyDescent="0.25">
      <c r="A2257" s="170">
        <v>45328</v>
      </c>
      <c r="B2257" s="116">
        <v>111</v>
      </c>
      <c r="C2257" s="116">
        <v>109.72</v>
      </c>
      <c r="D2257" s="116">
        <v>108.8</v>
      </c>
      <c r="E2257" s="116">
        <v>109.6</v>
      </c>
      <c r="F2257" s="116">
        <v>548.6</v>
      </c>
      <c r="G2257">
        <v>149148</v>
      </c>
      <c r="H2257" s="116"/>
      <c r="I2257" s="116"/>
      <c r="L2257" s="170">
        <v>45328</v>
      </c>
      <c r="M2257" s="116">
        <v>109.94</v>
      </c>
      <c r="N2257" s="116">
        <v>110.98</v>
      </c>
      <c r="O2257" s="116">
        <v>109</v>
      </c>
      <c r="P2257" s="116">
        <v>110.98</v>
      </c>
      <c r="Q2257" s="116">
        <v>549.70000000000005</v>
      </c>
      <c r="R2257">
        <v>1145839</v>
      </c>
    </row>
    <row r="2258" spans="1:18" x14ac:dyDescent="0.25">
      <c r="A2258" s="170">
        <v>45329</v>
      </c>
      <c r="B2258" s="116">
        <v>114.6</v>
      </c>
      <c r="C2258" s="116">
        <v>113.69</v>
      </c>
      <c r="D2258" s="116">
        <v>108</v>
      </c>
      <c r="E2258" s="116">
        <v>110.4</v>
      </c>
      <c r="F2258" s="116">
        <v>568.45000000000005</v>
      </c>
      <c r="G2258">
        <v>163397</v>
      </c>
      <c r="H2258" s="116"/>
      <c r="I2258" s="116"/>
      <c r="L2258" s="170">
        <v>45329</v>
      </c>
      <c r="M2258" s="116">
        <v>113.94</v>
      </c>
      <c r="N2258" s="116">
        <v>114.96</v>
      </c>
      <c r="O2258" s="116">
        <v>109.6</v>
      </c>
      <c r="P2258" s="116">
        <v>110.4</v>
      </c>
      <c r="Q2258" s="116">
        <v>569.70000000000005</v>
      </c>
      <c r="R2258">
        <v>2785795</v>
      </c>
    </row>
    <row r="2259" spans="1:18" x14ac:dyDescent="0.25">
      <c r="A2259" s="170">
        <v>45330</v>
      </c>
      <c r="B2259" s="116">
        <v>115.64</v>
      </c>
      <c r="C2259" s="116">
        <v>112.89</v>
      </c>
      <c r="D2259" s="116">
        <v>112.4</v>
      </c>
      <c r="E2259" s="116">
        <v>114</v>
      </c>
      <c r="F2259" s="116">
        <v>564.45000000000005</v>
      </c>
      <c r="G2259">
        <v>126975</v>
      </c>
      <c r="H2259" s="116"/>
      <c r="I2259" s="116"/>
      <c r="L2259" s="170">
        <v>45330</v>
      </c>
      <c r="M2259" s="116">
        <v>112.74</v>
      </c>
      <c r="N2259" s="116">
        <v>115.76</v>
      </c>
      <c r="O2259" s="116">
        <v>112.2</v>
      </c>
      <c r="P2259" s="116">
        <v>114.4</v>
      </c>
      <c r="Q2259" s="116">
        <v>563.70000000000005</v>
      </c>
      <c r="R2259">
        <v>2214893</v>
      </c>
    </row>
    <row r="2260" spans="1:18" x14ac:dyDescent="0.25">
      <c r="A2260" s="170">
        <v>45331</v>
      </c>
      <c r="B2260" s="116">
        <v>115</v>
      </c>
      <c r="C2260" s="116">
        <v>113.7</v>
      </c>
      <c r="D2260" s="116">
        <v>111</v>
      </c>
      <c r="E2260" s="116">
        <v>113.8</v>
      </c>
      <c r="F2260" s="116">
        <v>568.5</v>
      </c>
      <c r="G2260">
        <v>270341</v>
      </c>
      <c r="H2260" s="116"/>
      <c r="I2260" s="116"/>
      <c r="L2260" s="170">
        <v>45331</v>
      </c>
      <c r="M2260" s="116">
        <v>113.9</v>
      </c>
      <c r="N2260" s="116">
        <v>115.49</v>
      </c>
      <c r="O2260" s="116">
        <v>110.8</v>
      </c>
      <c r="P2260" s="116">
        <v>113.8</v>
      </c>
      <c r="Q2260" s="116">
        <v>569.5</v>
      </c>
      <c r="R2260">
        <v>1327795</v>
      </c>
    </row>
    <row r="2261" spans="1:18" x14ac:dyDescent="0.25">
      <c r="A2261" s="170">
        <v>45334</v>
      </c>
      <c r="B2261" s="116">
        <v>116.98</v>
      </c>
      <c r="C2261" s="116">
        <v>112.46</v>
      </c>
      <c r="D2261" s="116">
        <v>111.6</v>
      </c>
      <c r="E2261" s="116">
        <v>115</v>
      </c>
      <c r="F2261" s="116">
        <v>562.29999999999995</v>
      </c>
      <c r="G2261">
        <v>127705</v>
      </c>
      <c r="H2261" s="116"/>
      <c r="I2261" s="116"/>
      <c r="L2261" s="170">
        <v>45334</v>
      </c>
      <c r="M2261" s="116">
        <v>112.37</v>
      </c>
      <c r="N2261" s="116">
        <v>116.99</v>
      </c>
      <c r="O2261" s="116">
        <v>111.2</v>
      </c>
      <c r="P2261" s="116">
        <v>115</v>
      </c>
      <c r="Q2261" s="116">
        <v>561.85</v>
      </c>
      <c r="R2261">
        <v>1542575</v>
      </c>
    </row>
    <row r="2262" spans="1:18" x14ac:dyDescent="0.25">
      <c r="A2262" s="170">
        <v>45335</v>
      </c>
      <c r="B2262" s="116">
        <v>113</v>
      </c>
      <c r="C2262" s="116">
        <v>112.07</v>
      </c>
      <c r="D2262" s="116">
        <v>106.84</v>
      </c>
      <c r="E2262" s="116">
        <v>112.4</v>
      </c>
      <c r="F2262" s="116">
        <v>560.35</v>
      </c>
      <c r="G2262">
        <v>281608</v>
      </c>
      <c r="H2262" s="116"/>
      <c r="I2262" s="116"/>
      <c r="L2262" s="170">
        <v>45335</v>
      </c>
      <c r="M2262" s="116">
        <v>112.42</v>
      </c>
      <c r="N2262" s="116">
        <v>113.6</v>
      </c>
      <c r="O2262" s="116">
        <v>106.75</v>
      </c>
      <c r="P2262" s="116">
        <v>113</v>
      </c>
      <c r="Q2262" s="116">
        <v>562.1</v>
      </c>
      <c r="R2262">
        <v>1671207</v>
      </c>
    </row>
    <row r="2263" spans="1:18" x14ac:dyDescent="0.25">
      <c r="A2263" s="170">
        <v>45336</v>
      </c>
      <c r="B2263" s="116">
        <v>114</v>
      </c>
      <c r="C2263" s="116">
        <v>112.86</v>
      </c>
      <c r="D2263" s="116">
        <v>108</v>
      </c>
      <c r="E2263" s="116">
        <v>111</v>
      </c>
      <c r="F2263" s="116">
        <v>564.29999999999995</v>
      </c>
      <c r="G2263">
        <v>88562</v>
      </c>
      <c r="H2263" s="116"/>
      <c r="I2263" s="116"/>
      <c r="L2263" s="170">
        <v>45336</v>
      </c>
      <c r="M2263" s="116">
        <v>112.78</v>
      </c>
      <c r="N2263" s="116">
        <v>114</v>
      </c>
      <c r="O2263" s="116">
        <v>107.4</v>
      </c>
      <c r="P2263" s="116">
        <v>110.4</v>
      </c>
      <c r="Q2263" s="116">
        <v>563.9</v>
      </c>
      <c r="R2263">
        <v>1268142</v>
      </c>
    </row>
    <row r="2264" spans="1:18" x14ac:dyDescent="0.25">
      <c r="A2264" s="170">
        <v>45337</v>
      </c>
      <c r="B2264" s="116">
        <v>114</v>
      </c>
      <c r="C2264" s="116">
        <v>112.27</v>
      </c>
      <c r="D2264" s="116">
        <v>111.6</v>
      </c>
      <c r="E2264" s="116">
        <v>113.6</v>
      </c>
      <c r="F2264" s="116">
        <v>561.35</v>
      </c>
      <c r="G2264">
        <v>162828</v>
      </c>
      <c r="H2264" s="116"/>
      <c r="I2264" s="116"/>
      <c r="L2264" s="170">
        <v>45337</v>
      </c>
      <c r="M2264" s="116">
        <v>112.37</v>
      </c>
      <c r="N2264" s="116">
        <v>113.8</v>
      </c>
      <c r="O2264" s="116">
        <v>111.76</v>
      </c>
      <c r="P2264" s="116">
        <v>113.6</v>
      </c>
      <c r="Q2264" s="116">
        <v>561.85</v>
      </c>
      <c r="R2264">
        <v>658997</v>
      </c>
    </row>
    <row r="2265" spans="1:18" x14ac:dyDescent="0.25">
      <c r="A2265" s="170">
        <v>45338</v>
      </c>
      <c r="B2265" s="116">
        <v>113.32</v>
      </c>
      <c r="C2265" s="116">
        <v>112.72</v>
      </c>
      <c r="D2265" s="116">
        <v>111.1</v>
      </c>
      <c r="E2265" s="116">
        <v>112.24</v>
      </c>
      <c r="F2265" s="116">
        <v>563.6</v>
      </c>
      <c r="G2265">
        <v>75696</v>
      </c>
      <c r="H2265" s="116"/>
      <c r="I2265" s="116"/>
      <c r="L2265" s="170">
        <v>45338</v>
      </c>
      <c r="M2265" s="116">
        <v>112.75</v>
      </c>
      <c r="N2265" s="116">
        <v>113.38</v>
      </c>
      <c r="O2265" s="116">
        <v>111</v>
      </c>
      <c r="P2265" s="116">
        <v>112.4</v>
      </c>
      <c r="Q2265" s="116">
        <v>563.75</v>
      </c>
      <c r="R2265">
        <v>1015079</v>
      </c>
    </row>
    <row r="2266" spans="1:18" x14ac:dyDescent="0.25">
      <c r="A2266" s="170">
        <v>45341</v>
      </c>
      <c r="B2266" s="116">
        <v>115.4</v>
      </c>
      <c r="C2266" s="116">
        <v>113.57</v>
      </c>
      <c r="D2266" s="116">
        <v>113</v>
      </c>
      <c r="E2266" s="116">
        <v>113.72</v>
      </c>
      <c r="F2266" s="116">
        <v>567.85</v>
      </c>
      <c r="G2266">
        <v>88897</v>
      </c>
      <c r="H2266" s="116"/>
      <c r="I2266" s="116"/>
      <c r="L2266" s="170">
        <v>45341</v>
      </c>
      <c r="M2266" s="116">
        <v>113.53</v>
      </c>
      <c r="N2266" s="116">
        <v>115.28</v>
      </c>
      <c r="O2266" s="116">
        <v>112.75</v>
      </c>
      <c r="P2266" s="116">
        <v>114.4</v>
      </c>
      <c r="Q2266" s="116">
        <v>567.65</v>
      </c>
      <c r="R2266">
        <v>974361</v>
      </c>
    </row>
    <row r="2267" spans="1:18" x14ac:dyDescent="0.25">
      <c r="A2267" s="170">
        <v>45342</v>
      </c>
      <c r="B2267" s="116">
        <v>114.76</v>
      </c>
      <c r="C2267" s="116">
        <v>110.97</v>
      </c>
      <c r="D2267" s="116">
        <v>110.6</v>
      </c>
      <c r="E2267" s="116">
        <v>114</v>
      </c>
      <c r="F2267" s="116">
        <v>554.85</v>
      </c>
      <c r="G2267">
        <v>184117</v>
      </c>
      <c r="H2267" s="116"/>
      <c r="I2267" s="116"/>
      <c r="L2267" s="170">
        <v>45342</v>
      </c>
      <c r="M2267" s="116">
        <v>110.73</v>
      </c>
      <c r="N2267" s="116">
        <v>114.17</v>
      </c>
      <c r="O2267" s="116">
        <v>110.39</v>
      </c>
      <c r="P2267" s="116">
        <v>114</v>
      </c>
      <c r="Q2267" s="116">
        <v>553.65</v>
      </c>
      <c r="R2267">
        <v>1193009</v>
      </c>
    </row>
    <row r="2268" spans="1:18" x14ac:dyDescent="0.25">
      <c r="A2268" s="170">
        <v>45343</v>
      </c>
      <c r="B2268" s="116">
        <v>112</v>
      </c>
      <c r="C2268" s="116">
        <v>108.28</v>
      </c>
      <c r="D2268" s="116">
        <v>107.45</v>
      </c>
      <c r="E2268" s="116">
        <v>112</v>
      </c>
      <c r="F2268" s="116">
        <v>541.4</v>
      </c>
      <c r="G2268">
        <v>208412</v>
      </c>
      <c r="H2268" s="116"/>
      <c r="I2268" s="116"/>
      <c r="L2268" s="170">
        <v>45343</v>
      </c>
      <c r="M2268" s="116">
        <v>108.15</v>
      </c>
      <c r="N2268" s="116">
        <v>112</v>
      </c>
      <c r="O2268" s="116">
        <v>107</v>
      </c>
      <c r="P2268" s="116">
        <v>111</v>
      </c>
      <c r="Q2268" s="116">
        <v>540.75</v>
      </c>
      <c r="R2268">
        <v>1263043</v>
      </c>
    </row>
    <row r="2269" spans="1:18" x14ac:dyDescent="0.25">
      <c r="A2269" s="170">
        <v>45344</v>
      </c>
      <c r="B2269" s="116">
        <v>113</v>
      </c>
      <c r="C2269" s="116">
        <v>112.01</v>
      </c>
      <c r="D2269" s="116">
        <v>105.6</v>
      </c>
      <c r="E2269" s="116">
        <v>108.6</v>
      </c>
      <c r="F2269" s="116">
        <v>560.04999999999995</v>
      </c>
      <c r="G2269">
        <v>225756</v>
      </c>
      <c r="H2269" s="116"/>
      <c r="I2269" s="116"/>
      <c r="L2269" s="170">
        <v>45344</v>
      </c>
      <c r="M2269" s="116">
        <v>112.45</v>
      </c>
      <c r="N2269" s="116">
        <v>113.4</v>
      </c>
      <c r="O2269" s="116">
        <v>103.46</v>
      </c>
      <c r="P2269" s="116">
        <v>109.3</v>
      </c>
      <c r="Q2269" s="116">
        <v>562.25</v>
      </c>
      <c r="R2269">
        <v>1193558</v>
      </c>
    </row>
    <row r="2270" spans="1:18" x14ac:dyDescent="0.25">
      <c r="A2270" s="170">
        <v>45345</v>
      </c>
      <c r="B2270" s="116">
        <v>113</v>
      </c>
      <c r="C2270" s="116">
        <v>111.85</v>
      </c>
      <c r="D2270" s="116">
        <v>111</v>
      </c>
      <c r="E2270" s="116">
        <v>113</v>
      </c>
      <c r="F2270" s="116">
        <v>559.25</v>
      </c>
      <c r="G2270">
        <v>66746</v>
      </c>
      <c r="H2270" s="116"/>
      <c r="I2270" s="116"/>
      <c r="L2270" s="170">
        <v>45345</v>
      </c>
      <c r="M2270" s="116">
        <v>111.81</v>
      </c>
      <c r="N2270" s="116">
        <v>113.2</v>
      </c>
      <c r="O2270" s="116">
        <v>111.02</v>
      </c>
      <c r="P2270" s="116">
        <v>112.4</v>
      </c>
      <c r="Q2270" s="116">
        <v>559.04999999999995</v>
      </c>
      <c r="R2270">
        <v>801799</v>
      </c>
    </row>
    <row r="2271" spans="1:18" x14ac:dyDescent="0.25">
      <c r="A2271" s="170">
        <v>45348</v>
      </c>
      <c r="B2271" s="116">
        <v>114.8</v>
      </c>
      <c r="C2271" s="116">
        <v>113.59</v>
      </c>
      <c r="D2271" s="116">
        <v>110.21</v>
      </c>
      <c r="E2271" s="116">
        <v>111.4</v>
      </c>
      <c r="F2271" s="116">
        <v>567.95000000000005</v>
      </c>
      <c r="G2271">
        <v>343304</v>
      </c>
      <c r="H2271" s="116"/>
      <c r="I2271" s="116"/>
      <c r="L2271" s="170">
        <v>45348</v>
      </c>
      <c r="M2271" s="116">
        <v>114.09</v>
      </c>
      <c r="N2271" s="116">
        <v>115</v>
      </c>
      <c r="O2271" s="116">
        <v>111.2</v>
      </c>
      <c r="P2271" s="116">
        <v>111.89</v>
      </c>
      <c r="Q2271" s="116">
        <v>570.45000000000005</v>
      </c>
      <c r="R2271">
        <v>2002057</v>
      </c>
    </row>
    <row r="2272" spans="1:18" x14ac:dyDescent="0.25">
      <c r="A2272" s="170">
        <v>45349</v>
      </c>
      <c r="B2272" s="116">
        <v>115</v>
      </c>
      <c r="C2272" s="116">
        <v>113.33</v>
      </c>
      <c r="D2272" s="116">
        <v>112.2</v>
      </c>
      <c r="E2272" s="116">
        <v>114.4</v>
      </c>
      <c r="F2272" s="116">
        <v>566.65</v>
      </c>
      <c r="G2272">
        <v>68451</v>
      </c>
      <c r="H2272" s="116"/>
      <c r="I2272" s="116"/>
      <c r="L2272" s="170">
        <v>45349</v>
      </c>
      <c r="M2272" s="116">
        <v>113.34</v>
      </c>
      <c r="N2272" s="116">
        <v>114.96</v>
      </c>
      <c r="O2272" s="116">
        <v>112.21</v>
      </c>
      <c r="P2272" s="116">
        <v>114.96</v>
      </c>
      <c r="Q2272" s="116">
        <v>566.70000000000005</v>
      </c>
      <c r="R2272">
        <v>919411</v>
      </c>
    </row>
    <row r="2273" spans="1:18" x14ac:dyDescent="0.25">
      <c r="A2273" s="170">
        <v>45350</v>
      </c>
      <c r="B2273" s="116">
        <v>114</v>
      </c>
      <c r="C2273" s="116">
        <v>110.19</v>
      </c>
      <c r="D2273" s="116">
        <v>109.6</v>
      </c>
      <c r="E2273" s="116">
        <v>113.34</v>
      </c>
      <c r="F2273" s="116">
        <v>550.95000000000005</v>
      </c>
      <c r="G2273">
        <v>91633</v>
      </c>
      <c r="H2273" s="116"/>
      <c r="I2273" s="116"/>
      <c r="L2273" s="170">
        <v>45350</v>
      </c>
      <c r="M2273" s="116">
        <v>109.92</v>
      </c>
      <c r="N2273" s="116">
        <v>113.3</v>
      </c>
      <c r="O2273" s="116">
        <v>109.54</v>
      </c>
      <c r="P2273" s="116">
        <v>112.83</v>
      </c>
      <c r="Q2273" s="116">
        <v>549.6</v>
      </c>
      <c r="R2273">
        <v>975616</v>
      </c>
    </row>
    <row r="2274" spans="1:18" x14ac:dyDescent="0.25">
      <c r="A2274" s="170">
        <v>45351</v>
      </c>
      <c r="B2274" s="116">
        <v>112</v>
      </c>
      <c r="C2274" s="116">
        <v>109.97</v>
      </c>
      <c r="D2274" s="116">
        <v>107.81</v>
      </c>
      <c r="E2274" s="116">
        <v>110.19</v>
      </c>
      <c r="F2274" s="116">
        <v>549.85</v>
      </c>
      <c r="G2274">
        <v>178337</v>
      </c>
      <c r="H2274" s="116"/>
      <c r="I2274" s="116"/>
      <c r="L2274" s="170">
        <v>45351</v>
      </c>
      <c r="M2274" s="116">
        <v>109.99</v>
      </c>
      <c r="N2274" s="116">
        <v>112.8</v>
      </c>
      <c r="O2274" s="116">
        <v>107.8</v>
      </c>
      <c r="P2274" s="116">
        <v>110.67</v>
      </c>
      <c r="Q2274" s="116">
        <v>549.95000000000005</v>
      </c>
      <c r="R2274">
        <v>1648782</v>
      </c>
    </row>
    <row r="2275" spans="1:18" x14ac:dyDescent="0.25">
      <c r="A2275" s="170">
        <v>45352</v>
      </c>
      <c r="B2275" s="116">
        <v>111.92</v>
      </c>
      <c r="C2275" s="116">
        <v>110.7</v>
      </c>
      <c r="D2275" s="116">
        <v>110</v>
      </c>
      <c r="E2275" s="116">
        <v>111.39</v>
      </c>
      <c r="F2275" s="116">
        <v>553.5</v>
      </c>
      <c r="G2275">
        <v>62610</v>
      </c>
      <c r="H2275" s="116"/>
      <c r="I2275" s="116"/>
      <c r="L2275" s="170">
        <v>45352</v>
      </c>
      <c r="M2275" s="116">
        <v>110.83</v>
      </c>
      <c r="N2275" s="116">
        <v>111.8</v>
      </c>
      <c r="O2275" s="116">
        <v>110.04</v>
      </c>
      <c r="P2275" s="116">
        <v>110.48</v>
      </c>
      <c r="Q2275" s="116">
        <v>554.15</v>
      </c>
      <c r="R2275">
        <v>988764</v>
      </c>
    </row>
    <row r="2276" spans="1:18" x14ac:dyDescent="0.25">
      <c r="A2276" s="170">
        <v>45353</v>
      </c>
      <c r="B2276" s="116">
        <v>112.8</v>
      </c>
      <c r="C2276" s="116">
        <v>111.32</v>
      </c>
      <c r="D2276" s="116">
        <v>109</v>
      </c>
      <c r="E2276" s="116">
        <v>110.7</v>
      </c>
      <c r="F2276" s="116">
        <v>556.6</v>
      </c>
      <c r="G2276">
        <v>14671</v>
      </c>
      <c r="H2276" s="116"/>
      <c r="I2276" s="116"/>
      <c r="L2276" s="170">
        <v>45353</v>
      </c>
      <c r="M2276" s="116">
        <v>111.16</v>
      </c>
      <c r="N2276" s="116">
        <v>111.56</v>
      </c>
      <c r="O2276" s="116">
        <v>110.6</v>
      </c>
      <c r="P2276" s="116">
        <v>111.5</v>
      </c>
      <c r="Q2276" s="116">
        <v>555.79999999999995</v>
      </c>
      <c r="R2276">
        <v>141292</v>
      </c>
    </row>
    <row r="2277" spans="1:18" x14ac:dyDescent="0.25">
      <c r="A2277" s="170">
        <v>45355</v>
      </c>
      <c r="B2277" s="116">
        <v>112.2</v>
      </c>
      <c r="C2277" s="116">
        <v>111.8</v>
      </c>
      <c r="D2277" s="116">
        <v>110.04</v>
      </c>
      <c r="E2277" s="116">
        <v>111.03</v>
      </c>
      <c r="F2277" s="116">
        <v>559</v>
      </c>
      <c r="G2277">
        <v>159310</v>
      </c>
      <c r="H2277" s="116"/>
      <c r="I2277" s="116"/>
      <c r="L2277" s="170">
        <v>45355</v>
      </c>
      <c r="M2277" s="116">
        <v>111.98</v>
      </c>
      <c r="N2277" s="116">
        <v>112.64</v>
      </c>
      <c r="O2277" s="116">
        <v>110.6</v>
      </c>
      <c r="P2277" s="116">
        <v>111.16</v>
      </c>
      <c r="Q2277" s="116">
        <v>559.9</v>
      </c>
      <c r="R2277">
        <v>1297071</v>
      </c>
    </row>
    <row r="2278" spans="1:18" x14ac:dyDescent="0.25">
      <c r="A2278" s="170">
        <v>45356</v>
      </c>
      <c r="B2278" s="116">
        <v>116</v>
      </c>
      <c r="C2278" s="116">
        <v>114.63</v>
      </c>
      <c r="D2278" s="116">
        <v>110.22</v>
      </c>
      <c r="E2278" s="116">
        <v>110.22</v>
      </c>
      <c r="F2278" s="116">
        <v>573.15</v>
      </c>
      <c r="G2278">
        <v>140831</v>
      </c>
      <c r="H2278" s="116"/>
      <c r="I2278" s="116"/>
      <c r="L2278" s="170">
        <v>45356</v>
      </c>
      <c r="M2278" s="116">
        <v>114.77</v>
      </c>
      <c r="N2278" s="116">
        <v>116</v>
      </c>
      <c r="O2278" s="116">
        <v>111.06</v>
      </c>
      <c r="P2278" s="116">
        <v>111.76</v>
      </c>
      <c r="Q2278" s="116">
        <v>573.85</v>
      </c>
      <c r="R2278">
        <v>2123437</v>
      </c>
    </row>
    <row r="2279" spans="1:18" x14ac:dyDescent="0.25">
      <c r="A2279" s="170">
        <v>45357</v>
      </c>
      <c r="B2279" s="116">
        <v>116.2</v>
      </c>
      <c r="C2279" s="116">
        <v>115.01</v>
      </c>
      <c r="D2279" s="116">
        <v>112.01</v>
      </c>
      <c r="E2279" s="116">
        <v>115</v>
      </c>
      <c r="F2279" s="116">
        <v>575.04999999999995</v>
      </c>
      <c r="G2279">
        <v>114963</v>
      </c>
      <c r="H2279" s="116"/>
      <c r="I2279" s="116"/>
      <c r="L2279" s="170">
        <v>45357</v>
      </c>
      <c r="M2279" s="116">
        <v>115.34</v>
      </c>
      <c r="N2279" s="116">
        <v>116</v>
      </c>
      <c r="O2279" s="116">
        <v>112</v>
      </c>
      <c r="P2279" s="116">
        <v>115</v>
      </c>
      <c r="Q2279" s="116">
        <v>576.70000000000005</v>
      </c>
      <c r="R2279">
        <v>1708709</v>
      </c>
    </row>
    <row r="2280" spans="1:18" x14ac:dyDescent="0.25">
      <c r="A2280" s="170">
        <v>45358</v>
      </c>
      <c r="B2280" s="116">
        <v>115.8</v>
      </c>
      <c r="C2280" s="116">
        <v>113.78</v>
      </c>
      <c r="D2280" s="116">
        <v>111.01</v>
      </c>
      <c r="E2280" s="116">
        <v>115.8</v>
      </c>
      <c r="F2280" s="116">
        <v>568.9</v>
      </c>
      <c r="G2280">
        <v>73291</v>
      </c>
      <c r="H2280" s="116"/>
      <c r="I2280" s="116"/>
      <c r="L2280" s="170">
        <v>45358</v>
      </c>
      <c r="M2280" s="116">
        <v>113.37</v>
      </c>
      <c r="N2280" s="116">
        <v>115.53</v>
      </c>
      <c r="O2280" s="116">
        <v>113</v>
      </c>
      <c r="P2280" s="116">
        <v>115.32</v>
      </c>
      <c r="Q2280" s="116">
        <v>566.85</v>
      </c>
      <c r="R2280">
        <v>1323851</v>
      </c>
    </row>
    <row r="2281" spans="1:18" x14ac:dyDescent="0.25">
      <c r="A2281" s="170">
        <v>45362</v>
      </c>
      <c r="B2281" s="116">
        <v>114.4</v>
      </c>
      <c r="C2281" s="116">
        <v>113.21</v>
      </c>
      <c r="D2281" s="116">
        <v>112.07</v>
      </c>
      <c r="E2281" s="116">
        <v>113.8</v>
      </c>
      <c r="F2281" s="116">
        <v>566.04999999999995</v>
      </c>
      <c r="G2281">
        <v>145902</v>
      </c>
      <c r="H2281" s="116"/>
      <c r="I2281" s="116"/>
      <c r="L2281" s="170">
        <v>45362</v>
      </c>
      <c r="M2281" s="116">
        <v>113.39</v>
      </c>
      <c r="N2281" s="116">
        <v>114.5</v>
      </c>
      <c r="O2281" s="116">
        <v>112</v>
      </c>
      <c r="P2281" s="116">
        <v>114</v>
      </c>
      <c r="Q2281" s="116">
        <v>566.95000000000005</v>
      </c>
      <c r="R2281">
        <v>1158653</v>
      </c>
    </row>
    <row r="2282" spans="1:18" x14ac:dyDescent="0.25">
      <c r="A2282" s="170">
        <v>45363</v>
      </c>
      <c r="B2282" s="116">
        <v>113.2</v>
      </c>
      <c r="C2282" s="116">
        <v>111.17</v>
      </c>
      <c r="D2282" s="116">
        <v>108.8</v>
      </c>
      <c r="E2282" s="116">
        <v>113.2</v>
      </c>
      <c r="F2282" s="116">
        <v>555.85</v>
      </c>
      <c r="G2282">
        <v>93948</v>
      </c>
      <c r="H2282" s="116"/>
      <c r="I2282" s="116"/>
      <c r="L2282" s="170">
        <v>45363</v>
      </c>
      <c r="M2282" s="116">
        <v>111.22</v>
      </c>
      <c r="N2282" s="116">
        <v>113.2</v>
      </c>
      <c r="O2282" s="116">
        <v>108.4</v>
      </c>
      <c r="P2282" s="116">
        <v>112.8</v>
      </c>
      <c r="Q2282" s="116">
        <v>556.1</v>
      </c>
      <c r="R2282">
        <v>1214938</v>
      </c>
    </row>
    <row r="2283" spans="1:18" x14ac:dyDescent="0.25">
      <c r="A2283" s="170">
        <v>45364</v>
      </c>
      <c r="B2283" s="116">
        <v>112</v>
      </c>
      <c r="C2283" s="116">
        <v>105.62</v>
      </c>
      <c r="D2283" s="116">
        <v>105.62</v>
      </c>
      <c r="E2283" s="116">
        <v>111.53</v>
      </c>
      <c r="F2283" s="116">
        <v>528.1</v>
      </c>
      <c r="G2283">
        <v>148886</v>
      </c>
      <c r="H2283" s="116"/>
      <c r="I2283" s="116"/>
      <c r="L2283" s="170">
        <v>45364</v>
      </c>
      <c r="M2283" s="116">
        <v>105.66</v>
      </c>
      <c r="N2283" s="116">
        <v>111.82</v>
      </c>
      <c r="O2283" s="116">
        <v>105.66</v>
      </c>
      <c r="P2283" s="116">
        <v>111.53</v>
      </c>
      <c r="Q2283" s="116">
        <v>528.29999999999995</v>
      </c>
      <c r="R2283">
        <v>1791061</v>
      </c>
    </row>
    <row r="2284" spans="1:18" x14ac:dyDescent="0.25">
      <c r="A2284" s="170">
        <v>45365</v>
      </c>
      <c r="B2284" s="116">
        <v>108.8</v>
      </c>
      <c r="C2284" s="116">
        <v>107.53</v>
      </c>
      <c r="D2284" s="116">
        <v>100.34</v>
      </c>
      <c r="E2284" s="116">
        <v>101</v>
      </c>
      <c r="F2284" s="116">
        <v>537.65</v>
      </c>
      <c r="G2284">
        <v>130407</v>
      </c>
      <c r="H2284" s="116"/>
      <c r="I2284" s="116"/>
      <c r="L2284" s="170">
        <v>45365</v>
      </c>
      <c r="M2284" s="116">
        <v>107.57</v>
      </c>
      <c r="N2284" s="116">
        <v>108.99</v>
      </c>
      <c r="O2284" s="116">
        <v>100.38</v>
      </c>
      <c r="P2284" s="116">
        <v>100.38</v>
      </c>
      <c r="Q2284" s="116">
        <v>537.85</v>
      </c>
      <c r="R2284">
        <v>2496183</v>
      </c>
    </row>
    <row r="2285" spans="1:18" x14ac:dyDescent="0.25">
      <c r="A2285" s="170">
        <v>45366</v>
      </c>
      <c r="B2285" s="116">
        <v>108.58</v>
      </c>
      <c r="C2285" s="116">
        <v>106.28</v>
      </c>
      <c r="D2285" s="116">
        <v>104.4</v>
      </c>
      <c r="E2285" s="116">
        <v>107.8</v>
      </c>
      <c r="F2285" s="116">
        <v>531.4</v>
      </c>
      <c r="G2285">
        <v>104942</v>
      </c>
      <c r="H2285" s="116"/>
      <c r="I2285" s="116"/>
      <c r="L2285" s="170">
        <v>45366</v>
      </c>
      <c r="M2285" s="116">
        <v>106.08</v>
      </c>
      <c r="N2285" s="116">
        <v>108</v>
      </c>
      <c r="O2285" s="116">
        <v>104</v>
      </c>
      <c r="P2285" s="116">
        <v>107.22</v>
      </c>
      <c r="Q2285" s="116">
        <v>530.4</v>
      </c>
      <c r="R2285">
        <v>2295233</v>
      </c>
    </row>
    <row r="2286" spans="1:18" x14ac:dyDescent="0.25">
      <c r="A2286" s="170">
        <v>45369</v>
      </c>
      <c r="B2286" s="116">
        <v>106.39</v>
      </c>
      <c r="C2286" s="116">
        <v>105.91</v>
      </c>
      <c r="D2286" s="116">
        <v>101.6</v>
      </c>
      <c r="E2286" s="116">
        <v>102.39</v>
      </c>
      <c r="F2286" s="116">
        <v>529.54999999999995</v>
      </c>
      <c r="G2286">
        <v>377861</v>
      </c>
      <c r="H2286" s="116"/>
      <c r="I2286" s="116"/>
      <c r="L2286" s="170">
        <v>45369</v>
      </c>
      <c r="M2286" s="116">
        <v>105.88</v>
      </c>
      <c r="N2286" s="116">
        <v>106.4</v>
      </c>
      <c r="O2286" s="116">
        <v>102</v>
      </c>
      <c r="P2286" s="116">
        <v>102.2</v>
      </c>
      <c r="Q2286" s="116">
        <v>529.4</v>
      </c>
      <c r="R2286">
        <v>3486054</v>
      </c>
    </row>
    <row r="2287" spans="1:18" x14ac:dyDescent="0.25">
      <c r="A2287" s="170">
        <v>45370</v>
      </c>
      <c r="B2287" s="116">
        <v>106.68</v>
      </c>
      <c r="C2287" s="116">
        <v>103.51</v>
      </c>
      <c r="D2287" s="116">
        <v>103.13</v>
      </c>
      <c r="E2287" s="116">
        <v>104.01</v>
      </c>
      <c r="F2287" s="116">
        <v>517.54999999999995</v>
      </c>
      <c r="G2287">
        <v>269316</v>
      </c>
      <c r="H2287" s="116"/>
      <c r="I2287" s="116"/>
      <c r="L2287" s="170">
        <v>45370</v>
      </c>
      <c r="M2287" s="116">
        <v>103.64</v>
      </c>
      <c r="N2287" s="116">
        <v>106.78</v>
      </c>
      <c r="O2287" s="116">
        <v>103.08</v>
      </c>
      <c r="P2287" s="116">
        <v>105.79</v>
      </c>
      <c r="Q2287" s="116">
        <v>518.20000000000005</v>
      </c>
      <c r="R2287">
        <v>1032341</v>
      </c>
    </row>
    <row r="2288" spans="1:18" x14ac:dyDescent="0.25">
      <c r="A2288" s="170">
        <v>45371</v>
      </c>
      <c r="B2288" s="116">
        <v>104.8</v>
      </c>
      <c r="C2288" s="116">
        <v>102.89</v>
      </c>
      <c r="D2288" s="116">
        <v>100.34</v>
      </c>
      <c r="E2288" s="116">
        <v>104.8</v>
      </c>
      <c r="F2288" s="116">
        <v>514.45000000000005</v>
      </c>
      <c r="G2288">
        <v>114318</v>
      </c>
      <c r="H2288" s="116"/>
      <c r="I2288" s="116"/>
      <c r="L2288" s="170">
        <v>45371</v>
      </c>
      <c r="M2288" s="116">
        <v>102.97</v>
      </c>
      <c r="N2288" s="116">
        <v>104.76</v>
      </c>
      <c r="O2288" s="116">
        <v>100.31</v>
      </c>
      <c r="P2288" s="116">
        <v>104.76</v>
      </c>
      <c r="Q2288" s="116">
        <v>514.85</v>
      </c>
      <c r="R2288">
        <v>2022566</v>
      </c>
    </row>
    <row r="2289" spans="1:18" x14ac:dyDescent="0.25">
      <c r="A2289" s="170">
        <v>45372</v>
      </c>
      <c r="B2289" s="116">
        <v>105.74</v>
      </c>
      <c r="C2289" s="116">
        <v>104.8</v>
      </c>
      <c r="D2289" s="116">
        <v>103.01</v>
      </c>
      <c r="E2289" s="116">
        <v>103.01</v>
      </c>
      <c r="F2289" s="116">
        <v>524</v>
      </c>
      <c r="G2289">
        <v>95348</v>
      </c>
      <c r="H2289" s="116"/>
      <c r="I2289" s="116"/>
      <c r="L2289" s="170">
        <v>45372</v>
      </c>
      <c r="M2289" s="116">
        <v>104.85</v>
      </c>
      <c r="N2289" s="116">
        <v>105.64</v>
      </c>
      <c r="O2289" s="116">
        <v>103.4</v>
      </c>
      <c r="P2289" s="116">
        <v>103.56</v>
      </c>
      <c r="Q2289" s="116">
        <v>524.25</v>
      </c>
      <c r="R2289">
        <v>829388</v>
      </c>
    </row>
    <row r="2290" spans="1:18" x14ac:dyDescent="0.25">
      <c r="A2290" s="170">
        <v>45373</v>
      </c>
      <c r="B2290" s="116">
        <v>107.61</v>
      </c>
      <c r="C2290" s="116">
        <v>106.2</v>
      </c>
      <c r="D2290" s="116">
        <v>104.86</v>
      </c>
      <c r="E2290" s="116">
        <v>105.22</v>
      </c>
      <c r="F2290" s="116">
        <v>531</v>
      </c>
      <c r="G2290">
        <v>6553082</v>
      </c>
      <c r="H2290" s="116"/>
      <c r="I2290" s="116"/>
      <c r="L2290" s="170">
        <v>45373</v>
      </c>
      <c r="M2290" s="116">
        <v>106.21</v>
      </c>
      <c r="N2290" s="116">
        <v>107.76</v>
      </c>
      <c r="O2290" s="116">
        <v>104.85</v>
      </c>
      <c r="P2290" s="116">
        <v>105.76</v>
      </c>
      <c r="Q2290" s="116">
        <v>531.04999999999995</v>
      </c>
      <c r="R2290">
        <v>1331269</v>
      </c>
    </row>
    <row r="2291" spans="1:18" x14ac:dyDescent="0.25">
      <c r="A2291" s="170">
        <v>45377</v>
      </c>
      <c r="B2291" s="116">
        <v>107</v>
      </c>
      <c r="C2291" s="116">
        <v>104.38</v>
      </c>
      <c r="D2291" s="116">
        <v>103.88</v>
      </c>
      <c r="E2291" s="116">
        <v>104.88</v>
      </c>
      <c r="F2291" s="116">
        <v>521.9</v>
      </c>
      <c r="G2291">
        <v>157896</v>
      </c>
      <c r="H2291" s="116"/>
      <c r="I2291" s="116"/>
      <c r="L2291" s="170">
        <v>45377</v>
      </c>
      <c r="M2291" s="116">
        <v>104.4</v>
      </c>
      <c r="N2291" s="116">
        <v>107.14</v>
      </c>
      <c r="O2291" s="116">
        <v>103.8</v>
      </c>
      <c r="P2291" s="116">
        <v>104.06</v>
      </c>
      <c r="Q2291" s="116">
        <v>522</v>
      </c>
      <c r="R2291">
        <v>1595013</v>
      </c>
    </row>
    <row r="2292" spans="1:18" x14ac:dyDescent="0.25">
      <c r="A2292" s="170">
        <v>45378</v>
      </c>
      <c r="B2292" s="116">
        <v>109.59</v>
      </c>
      <c r="C2292" s="116">
        <v>103.31</v>
      </c>
      <c r="D2292" s="116">
        <v>101.4</v>
      </c>
      <c r="E2292" s="116">
        <v>106</v>
      </c>
      <c r="F2292" s="116">
        <v>516.54999999999995</v>
      </c>
      <c r="G2292">
        <v>410589</v>
      </c>
      <c r="H2292" s="116"/>
      <c r="I2292" s="116"/>
      <c r="L2292" s="170">
        <v>45378</v>
      </c>
      <c r="M2292" s="116">
        <v>103.31</v>
      </c>
      <c r="N2292" s="116">
        <v>109.62</v>
      </c>
      <c r="O2292" s="116">
        <v>101.26</v>
      </c>
      <c r="P2292" s="116">
        <v>105.8</v>
      </c>
      <c r="Q2292" s="116">
        <v>516.54999999999995</v>
      </c>
      <c r="R2292">
        <v>9346876</v>
      </c>
    </row>
    <row r="2293" spans="1:18" x14ac:dyDescent="0.25">
      <c r="A2293" s="170">
        <v>45379</v>
      </c>
      <c r="B2293" s="116">
        <v>107.7</v>
      </c>
      <c r="C2293" s="116">
        <v>106.74</v>
      </c>
      <c r="D2293" s="116">
        <v>103.91</v>
      </c>
      <c r="E2293" s="116">
        <v>104.39</v>
      </c>
      <c r="F2293" s="116">
        <v>533.70000000000005</v>
      </c>
      <c r="G2293">
        <v>403611</v>
      </c>
      <c r="H2293" s="116"/>
      <c r="I2293" s="116"/>
      <c r="L2293" s="170">
        <v>45379</v>
      </c>
      <c r="M2293" s="116">
        <v>106.76</v>
      </c>
      <c r="N2293" s="116">
        <v>107.77</v>
      </c>
      <c r="O2293" s="116">
        <v>103.71</v>
      </c>
      <c r="P2293" s="116">
        <v>104</v>
      </c>
      <c r="Q2293" s="116">
        <v>533.79999999999995</v>
      </c>
      <c r="R2293">
        <v>3350259</v>
      </c>
    </row>
    <row r="2294" spans="1:18" x14ac:dyDescent="0.25">
      <c r="A2294" s="170">
        <v>45383</v>
      </c>
      <c r="B2294" s="116">
        <v>112.07</v>
      </c>
      <c r="C2294" s="116">
        <v>112.07</v>
      </c>
      <c r="D2294" s="116">
        <v>108.88</v>
      </c>
      <c r="E2294" s="116">
        <v>109.54</v>
      </c>
      <c r="F2294" s="116">
        <v>560.35</v>
      </c>
      <c r="G2294">
        <v>239090</v>
      </c>
      <c r="H2294" s="116"/>
      <c r="I2294" s="116"/>
      <c r="L2294" s="170">
        <v>45383</v>
      </c>
      <c r="M2294" s="116">
        <v>112.09</v>
      </c>
      <c r="N2294" s="116">
        <v>112.09</v>
      </c>
      <c r="O2294" s="116">
        <v>108.92</v>
      </c>
      <c r="P2294" s="116">
        <v>109.54</v>
      </c>
      <c r="Q2294" s="116">
        <v>560.45000000000005</v>
      </c>
      <c r="R2294">
        <v>2506563</v>
      </c>
    </row>
    <row r="2295" spans="1:18" x14ac:dyDescent="0.25">
      <c r="A2295" s="170">
        <v>45384</v>
      </c>
      <c r="B2295" s="116">
        <v>117.67</v>
      </c>
      <c r="C2295" s="116">
        <v>117.67</v>
      </c>
      <c r="D2295" s="116">
        <v>114.81</v>
      </c>
      <c r="E2295" s="116">
        <v>114.81</v>
      </c>
      <c r="F2295" s="116">
        <v>588.35</v>
      </c>
      <c r="G2295">
        <v>544764</v>
      </c>
      <c r="H2295" s="116"/>
      <c r="I2295" s="116"/>
      <c r="L2295" s="170">
        <v>45384</v>
      </c>
      <c r="M2295" s="116">
        <v>117.69</v>
      </c>
      <c r="N2295" s="116">
        <v>117.69</v>
      </c>
      <c r="O2295" s="116">
        <v>114.8</v>
      </c>
      <c r="P2295" s="116">
        <v>115</v>
      </c>
      <c r="Q2295" s="116">
        <v>588.45000000000005</v>
      </c>
      <c r="R2295">
        <v>7010323</v>
      </c>
    </row>
    <row r="2296" spans="1:18" x14ac:dyDescent="0.25">
      <c r="A2296" s="170">
        <v>45385</v>
      </c>
      <c r="B2296" s="116">
        <v>123.55</v>
      </c>
      <c r="C2296" s="116">
        <v>123.55</v>
      </c>
      <c r="D2296" s="116">
        <v>117.8</v>
      </c>
      <c r="E2296" s="116">
        <v>118.39</v>
      </c>
      <c r="F2296" s="116">
        <v>617.75</v>
      </c>
      <c r="G2296">
        <v>678911</v>
      </c>
      <c r="H2296" s="116"/>
      <c r="I2296" s="116"/>
      <c r="L2296" s="170">
        <v>45385</v>
      </c>
      <c r="M2296" s="116">
        <v>123.57</v>
      </c>
      <c r="N2296" s="116">
        <v>123.57</v>
      </c>
      <c r="O2296" s="116">
        <v>117.69</v>
      </c>
      <c r="P2296" s="116">
        <v>118</v>
      </c>
      <c r="Q2296" s="116">
        <v>617.85</v>
      </c>
      <c r="R2296">
        <v>9025796</v>
      </c>
    </row>
    <row r="2297" spans="1:18" x14ac:dyDescent="0.25">
      <c r="A2297" s="170">
        <v>45386</v>
      </c>
      <c r="B2297" s="116">
        <v>129.4</v>
      </c>
      <c r="C2297" s="116">
        <v>128.43</v>
      </c>
      <c r="D2297" s="116">
        <v>125.6</v>
      </c>
      <c r="E2297" s="116">
        <v>126.03</v>
      </c>
      <c r="F2297" s="116">
        <v>642.15</v>
      </c>
      <c r="G2297">
        <v>687821</v>
      </c>
      <c r="H2297" s="116"/>
      <c r="I2297" s="116"/>
      <c r="L2297" s="170">
        <v>45386</v>
      </c>
      <c r="M2297" s="116">
        <v>128.4</v>
      </c>
      <c r="N2297" s="116">
        <v>129.38</v>
      </c>
      <c r="O2297" s="116">
        <v>125.53</v>
      </c>
      <c r="P2297" s="116">
        <v>126.03</v>
      </c>
      <c r="Q2297" s="116">
        <v>642</v>
      </c>
      <c r="R2297">
        <v>7717357</v>
      </c>
    </row>
    <row r="2298" spans="1:18" x14ac:dyDescent="0.25">
      <c r="A2298" s="170">
        <v>45387</v>
      </c>
      <c r="B2298" s="116">
        <v>127.34</v>
      </c>
      <c r="C2298" s="116">
        <v>125.31</v>
      </c>
      <c r="D2298" s="116">
        <v>123.63</v>
      </c>
      <c r="E2298" s="116">
        <v>126.2</v>
      </c>
      <c r="F2298" s="116">
        <v>626.54999999999995</v>
      </c>
      <c r="G2298">
        <v>681497</v>
      </c>
      <c r="H2298" s="116"/>
      <c r="I2298" s="116"/>
      <c r="L2298" s="170">
        <v>45387</v>
      </c>
      <c r="M2298" s="116">
        <v>125.34</v>
      </c>
      <c r="N2298" s="116">
        <v>127.3</v>
      </c>
      <c r="O2298" s="116">
        <v>123.63</v>
      </c>
      <c r="P2298" s="116">
        <v>126</v>
      </c>
      <c r="Q2298" s="116">
        <v>626.70000000000005</v>
      </c>
      <c r="R2298">
        <v>3914920</v>
      </c>
    </row>
    <row r="2299" spans="1:18" x14ac:dyDescent="0.25">
      <c r="A2299" s="170">
        <v>45390</v>
      </c>
      <c r="B2299" s="116">
        <v>126.55</v>
      </c>
      <c r="C2299" s="116">
        <v>122.05</v>
      </c>
      <c r="D2299" s="116">
        <v>121.22</v>
      </c>
      <c r="E2299" s="116">
        <v>126.55</v>
      </c>
      <c r="F2299" s="116">
        <v>610.25</v>
      </c>
      <c r="G2299">
        <v>244749</v>
      </c>
      <c r="H2299" s="116"/>
      <c r="I2299" s="116"/>
      <c r="L2299" s="170">
        <v>45390</v>
      </c>
      <c r="M2299" s="116">
        <v>122.21</v>
      </c>
      <c r="N2299" s="116">
        <v>126.52</v>
      </c>
      <c r="O2299" s="116">
        <v>121.2</v>
      </c>
      <c r="P2299" s="116">
        <v>126.4</v>
      </c>
      <c r="Q2299" s="116">
        <v>611.04999999999995</v>
      </c>
      <c r="R2299">
        <v>2256563</v>
      </c>
    </row>
    <row r="2300" spans="1:18" x14ac:dyDescent="0.25">
      <c r="A2300" s="170">
        <v>45391</v>
      </c>
      <c r="B2300" s="116">
        <v>126.4</v>
      </c>
      <c r="C2300" s="116">
        <v>123.26</v>
      </c>
      <c r="D2300" s="116">
        <v>122.1</v>
      </c>
      <c r="E2300" s="116">
        <v>123.38</v>
      </c>
      <c r="F2300" s="116">
        <v>616.29999999999995</v>
      </c>
      <c r="G2300">
        <v>210325</v>
      </c>
      <c r="H2300" s="116"/>
      <c r="I2300" s="116"/>
      <c r="L2300" s="170">
        <v>45391</v>
      </c>
      <c r="M2300" s="116">
        <v>123.27</v>
      </c>
      <c r="N2300" s="116">
        <v>126.4</v>
      </c>
      <c r="O2300" s="116">
        <v>122.28</v>
      </c>
      <c r="P2300" s="116">
        <v>123.4</v>
      </c>
      <c r="Q2300" s="116">
        <v>616.35</v>
      </c>
      <c r="R2300">
        <v>2138399</v>
      </c>
    </row>
    <row r="2301" spans="1:18" x14ac:dyDescent="0.25">
      <c r="A2301" s="170">
        <v>45392</v>
      </c>
      <c r="B2301" s="116">
        <v>124.4</v>
      </c>
      <c r="C2301" s="116">
        <v>123.58</v>
      </c>
      <c r="D2301" s="116">
        <v>122</v>
      </c>
      <c r="E2301" s="116">
        <v>124.4</v>
      </c>
      <c r="F2301" s="116">
        <v>617.9</v>
      </c>
      <c r="G2301">
        <v>110850</v>
      </c>
      <c r="H2301" s="116"/>
      <c r="I2301" s="116"/>
      <c r="L2301" s="170">
        <v>45392</v>
      </c>
      <c r="M2301" s="116">
        <v>123.57</v>
      </c>
      <c r="N2301" s="116">
        <v>124.38</v>
      </c>
      <c r="O2301" s="116">
        <v>122</v>
      </c>
      <c r="P2301" s="116">
        <v>124.28</v>
      </c>
      <c r="Q2301" s="116">
        <v>617.85</v>
      </c>
      <c r="R2301">
        <v>1518665</v>
      </c>
    </row>
    <row r="2302" spans="1:18" x14ac:dyDescent="0.25">
      <c r="A2302" s="170">
        <v>45394</v>
      </c>
      <c r="B2302" s="116">
        <v>123</v>
      </c>
      <c r="C2302" s="116">
        <v>119.04</v>
      </c>
      <c r="D2302" s="116">
        <v>118.16</v>
      </c>
      <c r="E2302" s="116">
        <v>122.83</v>
      </c>
      <c r="F2302" s="116">
        <v>595.20000000000005</v>
      </c>
      <c r="G2302">
        <v>464804</v>
      </c>
      <c r="H2302" s="116"/>
      <c r="I2302" s="116"/>
      <c r="L2302" s="170">
        <v>45394</v>
      </c>
      <c r="M2302" s="116">
        <v>119.04</v>
      </c>
      <c r="N2302" s="116">
        <v>123</v>
      </c>
      <c r="O2302" s="116">
        <v>118.16</v>
      </c>
      <c r="P2302" s="116">
        <v>123</v>
      </c>
      <c r="Q2302" s="116">
        <v>595.20000000000005</v>
      </c>
      <c r="R2302">
        <v>2999709</v>
      </c>
    </row>
    <row r="2303" spans="1:18" x14ac:dyDescent="0.25">
      <c r="A2303" s="170">
        <v>45397</v>
      </c>
      <c r="B2303" s="116">
        <v>122.38</v>
      </c>
      <c r="C2303" s="116">
        <v>118.23</v>
      </c>
      <c r="D2303" s="116">
        <v>113.6</v>
      </c>
      <c r="E2303" s="116">
        <v>115.5</v>
      </c>
      <c r="F2303" s="116">
        <v>591.15</v>
      </c>
      <c r="G2303">
        <v>945391</v>
      </c>
      <c r="H2303" s="116"/>
      <c r="I2303" s="116"/>
      <c r="L2303" s="170">
        <v>45397</v>
      </c>
      <c r="M2303" s="116">
        <v>118.23</v>
      </c>
      <c r="N2303" s="116">
        <v>122.36</v>
      </c>
      <c r="O2303" s="116">
        <v>113.65</v>
      </c>
      <c r="P2303" s="116">
        <v>117.8</v>
      </c>
      <c r="Q2303" s="116">
        <v>591.15</v>
      </c>
      <c r="R2303">
        <v>4499953</v>
      </c>
    </row>
    <row r="2304" spans="1:18" x14ac:dyDescent="0.25">
      <c r="A2304" s="170">
        <v>45398</v>
      </c>
      <c r="B2304" s="116">
        <v>121.23</v>
      </c>
      <c r="C2304" s="116">
        <v>120.13</v>
      </c>
      <c r="D2304" s="116">
        <v>117.25</v>
      </c>
      <c r="E2304" s="116">
        <v>117.25</v>
      </c>
      <c r="F2304" s="116">
        <v>600.65</v>
      </c>
      <c r="G2304">
        <v>336628</v>
      </c>
      <c r="H2304" s="116"/>
      <c r="I2304" s="116"/>
      <c r="L2304" s="170">
        <v>45398</v>
      </c>
      <c r="M2304" s="116">
        <v>120.32</v>
      </c>
      <c r="N2304" s="116">
        <v>121.4</v>
      </c>
      <c r="O2304" s="116">
        <v>117.37</v>
      </c>
      <c r="P2304" s="116">
        <v>117.38</v>
      </c>
      <c r="Q2304" s="116">
        <v>601.6</v>
      </c>
      <c r="R2304">
        <v>2108558</v>
      </c>
    </row>
    <row r="2305" spans="1:18" x14ac:dyDescent="0.25">
      <c r="A2305" s="170">
        <v>45400</v>
      </c>
      <c r="B2305" s="116">
        <v>123.17</v>
      </c>
      <c r="C2305" s="116">
        <v>119.83</v>
      </c>
      <c r="D2305" s="116">
        <v>119.03</v>
      </c>
      <c r="E2305" s="116">
        <v>122.26</v>
      </c>
      <c r="F2305" s="116">
        <v>599.15</v>
      </c>
      <c r="G2305">
        <v>181532</v>
      </c>
      <c r="H2305" s="116"/>
      <c r="I2305" s="116"/>
      <c r="L2305" s="170">
        <v>45400</v>
      </c>
      <c r="M2305" s="116">
        <v>119.62</v>
      </c>
      <c r="N2305" s="116">
        <v>123.2</v>
      </c>
      <c r="O2305" s="116">
        <v>119</v>
      </c>
      <c r="P2305" s="116">
        <v>122.39</v>
      </c>
      <c r="Q2305" s="116">
        <v>598.1</v>
      </c>
      <c r="R2305">
        <v>2684316</v>
      </c>
    </row>
    <row r="2306" spans="1:18" x14ac:dyDescent="0.25">
      <c r="A2306" s="170">
        <v>45401</v>
      </c>
      <c r="B2306" s="116">
        <v>120.36</v>
      </c>
      <c r="C2306" s="116">
        <v>118.9</v>
      </c>
      <c r="D2306" s="116">
        <v>113.2</v>
      </c>
      <c r="E2306" s="116">
        <v>113.2</v>
      </c>
      <c r="F2306" s="116">
        <v>594.5</v>
      </c>
      <c r="G2306">
        <v>484050</v>
      </c>
      <c r="H2306" s="116"/>
      <c r="I2306" s="116"/>
      <c r="L2306" s="170">
        <v>45401</v>
      </c>
      <c r="M2306" s="116">
        <v>118.91</v>
      </c>
      <c r="N2306" s="116">
        <v>120.4</v>
      </c>
      <c r="O2306" s="116">
        <v>114.2</v>
      </c>
      <c r="P2306" s="116">
        <v>114.2</v>
      </c>
      <c r="Q2306" s="116">
        <v>594.54999999999995</v>
      </c>
      <c r="R2306">
        <v>2363186</v>
      </c>
    </row>
    <row r="2307" spans="1:18" x14ac:dyDescent="0.25">
      <c r="A2307" s="170">
        <v>45404</v>
      </c>
      <c r="B2307" s="116">
        <v>122</v>
      </c>
      <c r="C2307" s="116">
        <v>119.4</v>
      </c>
      <c r="D2307" s="116">
        <v>119.11</v>
      </c>
      <c r="E2307" s="116">
        <v>121.4</v>
      </c>
      <c r="F2307" s="116">
        <v>597</v>
      </c>
      <c r="G2307">
        <v>113638</v>
      </c>
      <c r="H2307" s="116"/>
      <c r="I2307" s="116"/>
      <c r="L2307" s="170">
        <v>45404</v>
      </c>
      <c r="M2307" s="116">
        <v>119.38</v>
      </c>
      <c r="N2307" s="116">
        <v>121.94</v>
      </c>
      <c r="O2307" s="116">
        <v>119.1</v>
      </c>
      <c r="P2307" s="116">
        <v>121.65</v>
      </c>
      <c r="Q2307" s="116">
        <v>596.9</v>
      </c>
      <c r="R2307">
        <v>1264700</v>
      </c>
    </row>
    <row r="2308" spans="1:18" x14ac:dyDescent="0.25">
      <c r="A2308" s="170">
        <v>45405</v>
      </c>
      <c r="B2308" s="116">
        <v>121.6</v>
      </c>
      <c r="C2308" s="116">
        <v>120.49</v>
      </c>
      <c r="D2308" s="116">
        <v>119.72</v>
      </c>
      <c r="E2308" s="116">
        <v>119.72</v>
      </c>
      <c r="F2308" s="116">
        <v>602.45000000000005</v>
      </c>
      <c r="G2308">
        <v>295555</v>
      </c>
      <c r="H2308" s="116"/>
      <c r="I2308" s="116"/>
      <c r="L2308" s="170">
        <v>45405</v>
      </c>
      <c r="M2308" s="116">
        <v>120.49</v>
      </c>
      <c r="N2308" s="116">
        <v>121.6</v>
      </c>
      <c r="O2308" s="116">
        <v>119.8</v>
      </c>
      <c r="P2308" s="116">
        <v>120</v>
      </c>
      <c r="Q2308" s="116">
        <v>602.45000000000005</v>
      </c>
      <c r="R2308">
        <v>1708627</v>
      </c>
    </row>
    <row r="2309" spans="1:18" x14ac:dyDescent="0.25">
      <c r="A2309" s="170">
        <v>45406</v>
      </c>
      <c r="B2309" s="116">
        <v>120.83</v>
      </c>
      <c r="C2309" s="116">
        <v>119.23</v>
      </c>
      <c r="D2309" s="116">
        <v>118</v>
      </c>
      <c r="E2309" s="116">
        <v>120.02</v>
      </c>
      <c r="F2309" s="116">
        <v>596.15</v>
      </c>
      <c r="G2309">
        <v>247234</v>
      </c>
      <c r="H2309" s="116"/>
      <c r="I2309" s="116"/>
      <c r="L2309" s="170">
        <v>45406</v>
      </c>
      <c r="M2309" s="116">
        <v>119.3</v>
      </c>
      <c r="N2309" s="116">
        <v>120.98</v>
      </c>
      <c r="O2309" s="116">
        <v>117.92</v>
      </c>
      <c r="P2309" s="116">
        <v>120.2</v>
      </c>
      <c r="Q2309" s="116">
        <v>596.5</v>
      </c>
      <c r="R2309">
        <v>1284543</v>
      </c>
    </row>
    <row r="2310" spans="1:18" x14ac:dyDescent="0.25">
      <c r="A2310" s="170">
        <v>45407</v>
      </c>
      <c r="B2310" s="116">
        <v>119.18</v>
      </c>
      <c r="C2310" s="116">
        <v>118.48</v>
      </c>
      <c r="D2310" s="116">
        <v>118</v>
      </c>
      <c r="E2310" s="116">
        <v>119.18</v>
      </c>
      <c r="F2310" s="116">
        <v>592.4</v>
      </c>
      <c r="G2310">
        <v>122847</v>
      </c>
      <c r="H2310" s="116"/>
      <c r="I2310" s="116"/>
      <c r="L2310" s="170">
        <v>45407</v>
      </c>
      <c r="M2310" s="116">
        <v>118.47</v>
      </c>
      <c r="N2310" s="116">
        <v>119.2</v>
      </c>
      <c r="O2310" s="116">
        <v>117.85</v>
      </c>
      <c r="P2310" s="116">
        <v>118.92</v>
      </c>
      <c r="Q2310" s="116">
        <v>592.35</v>
      </c>
      <c r="R2310">
        <v>1512574</v>
      </c>
    </row>
    <row r="2311" spans="1:18" x14ac:dyDescent="0.25">
      <c r="A2311" s="170">
        <v>45408</v>
      </c>
      <c r="B2311" s="116">
        <v>120.28</v>
      </c>
      <c r="C2311" s="116">
        <v>118.34</v>
      </c>
      <c r="D2311" s="116">
        <v>117.6</v>
      </c>
      <c r="E2311" s="116">
        <v>119.42</v>
      </c>
      <c r="F2311" s="116">
        <v>591.70000000000005</v>
      </c>
      <c r="G2311">
        <v>298332</v>
      </c>
      <c r="H2311" s="116"/>
      <c r="I2311" s="116"/>
      <c r="L2311" s="170">
        <v>45408</v>
      </c>
      <c r="M2311" s="116">
        <v>118.32</v>
      </c>
      <c r="N2311" s="116">
        <v>120.33</v>
      </c>
      <c r="O2311" s="116">
        <v>117.41</v>
      </c>
      <c r="P2311" s="116">
        <v>119.55</v>
      </c>
      <c r="Q2311" s="116">
        <v>591.6</v>
      </c>
      <c r="R2311">
        <v>1903380</v>
      </c>
    </row>
    <row r="2312" spans="1:18" x14ac:dyDescent="0.25">
      <c r="A2312" s="170">
        <v>45411</v>
      </c>
      <c r="B2312" s="116">
        <v>119.99</v>
      </c>
      <c r="C2312" s="116">
        <v>119.09</v>
      </c>
      <c r="D2312" s="116">
        <v>118.34</v>
      </c>
      <c r="E2312" s="116">
        <v>119.98</v>
      </c>
      <c r="F2312" s="116">
        <v>595.45000000000005</v>
      </c>
      <c r="G2312">
        <v>314498</v>
      </c>
      <c r="H2312" s="116"/>
      <c r="I2312" s="116"/>
      <c r="L2312" s="170">
        <v>45411</v>
      </c>
      <c r="M2312" s="116">
        <v>119.22</v>
      </c>
      <c r="N2312" s="116">
        <v>120</v>
      </c>
      <c r="O2312" s="116">
        <v>118.31</v>
      </c>
      <c r="P2312" s="116">
        <v>119.88</v>
      </c>
      <c r="Q2312" s="116">
        <v>596.1</v>
      </c>
      <c r="R2312">
        <v>1849778</v>
      </c>
    </row>
    <row r="2313" spans="1:18" x14ac:dyDescent="0.25">
      <c r="A2313" s="170">
        <v>45412</v>
      </c>
      <c r="B2313" s="116">
        <v>124.46</v>
      </c>
      <c r="C2313" s="116">
        <v>122.51</v>
      </c>
      <c r="D2313" s="116">
        <v>118.87</v>
      </c>
      <c r="E2313" s="116">
        <v>120</v>
      </c>
      <c r="F2313" s="116">
        <v>612.54999999999995</v>
      </c>
      <c r="G2313">
        <v>446383</v>
      </c>
      <c r="H2313" s="116"/>
      <c r="I2313" s="116"/>
      <c r="L2313" s="170">
        <v>45412</v>
      </c>
      <c r="M2313" s="116">
        <v>122.49</v>
      </c>
      <c r="N2313" s="116">
        <v>124.56</v>
      </c>
      <c r="O2313" s="116">
        <v>118.85</v>
      </c>
      <c r="P2313" s="116">
        <v>120</v>
      </c>
      <c r="Q2313" s="116">
        <v>612.45000000000005</v>
      </c>
      <c r="R2313">
        <v>5863929</v>
      </c>
    </row>
    <row r="2314" spans="1:18" x14ac:dyDescent="0.25">
      <c r="A2314" s="170">
        <v>45414</v>
      </c>
      <c r="B2314" s="116">
        <v>124.98</v>
      </c>
      <c r="C2314" s="116">
        <v>121.6</v>
      </c>
      <c r="D2314" s="116">
        <v>120.96</v>
      </c>
      <c r="E2314" s="116">
        <v>123</v>
      </c>
      <c r="F2314" s="116">
        <v>608</v>
      </c>
      <c r="G2314">
        <v>909571</v>
      </c>
      <c r="H2314" s="116"/>
      <c r="I2314" s="116"/>
      <c r="L2314" s="170">
        <v>45414</v>
      </c>
      <c r="M2314" s="116">
        <v>121.62</v>
      </c>
      <c r="N2314" s="116">
        <v>124.92</v>
      </c>
      <c r="O2314" s="116">
        <v>120.94</v>
      </c>
      <c r="P2314" s="116">
        <v>123.6</v>
      </c>
      <c r="Q2314" s="116">
        <v>608.1</v>
      </c>
      <c r="R2314">
        <v>5888418</v>
      </c>
    </row>
    <row r="2315" spans="1:18" x14ac:dyDescent="0.25">
      <c r="A2315" s="170">
        <v>45415</v>
      </c>
      <c r="B2315" s="116">
        <v>122.9</v>
      </c>
      <c r="C2315" s="116">
        <v>120.88</v>
      </c>
      <c r="D2315" s="116">
        <v>119.33</v>
      </c>
      <c r="E2315" s="116">
        <v>121.98</v>
      </c>
      <c r="F2315" s="116">
        <v>604.4</v>
      </c>
      <c r="G2315">
        <v>212040</v>
      </c>
      <c r="H2315" s="116"/>
      <c r="I2315" s="116"/>
      <c r="L2315" s="170">
        <v>45415</v>
      </c>
      <c r="M2315" s="116">
        <v>120.94</v>
      </c>
      <c r="N2315" s="116">
        <v>123.01</v>
      </c>
      <c r="O2315" s="116">
        <v>119.23</v>
      </c>
      <c r="P2315" s="116">
        <v>122</v>
      </c>
      <c r="Q2315" s="116">
        <v>604.70000000000005</v>
      </c>
      <c r="R2315">
        <v>3125576</v>
      </c>
    </row>
    <row r="2316" spans="1:18" x14ac:dyDescent="0.25">
      <c r="A2316" s="170">
        <v>45418</v>
      </c>
      <c r="B2316" s="116">
        <v>120.6</v>
      </c>
      <c r="C2316" s="116">
        <v>117.77</v>
      </c>
      <c r="D2316" s="116">
        <v>115.6</v>
      </c>
      <c r="E2316" s="116">
        <v>119.81</v>
      </c>
      <c r="F2316" s="116">
        <v>588.85</v>
      </c>
      <c r="G2316">
        <v>284306</v>
      </c>
      <c r="H2316" s="116"/>
      <c r="I2316" s="116"/>
      <c r="L2316" s="170">
        <v>45418</v>
      </c>
      <c r="M2316" s="116">
        <v>117.81</v>
      </c>
      <c r="N2316" s="116">
        <v>120.6</v>
      </c>
      <c r="O2316" s="116">
        <v>115.6</v>
      </c>
      <c r="P2316" s="116">
        <v>120.6</v>
      </c>
      <c r="Q2316" s="116">
        <v>589.04999999999995</v>
      </c>
      <c r="R2316">
        <v>3426487</v>
      </c>
    </row>
    <row r="2317" spans="1:18" x14ac:dyDescent="0.25">
      <c r="A2317" s="170">
        <v>45419</v>
      </c>
      <c r="B2317" s="116">
        <v>119.24</v>
      </c>
      <c r="C2317" s="116">
        <v>116</v>
      </c>
      <c r="D2317" s="116">
        <v>115.4</v>
      </c>
      <c r="E2317" s="116">
        <v>117.88</v>
      </c>
      <c r="F2317" s="116">
        <v>580</v>
      </c>
      <c r="G2317">
        <v>148544</v>
      </c>
      <c r="H2317" s="116"/>
      <c r="I2317" s="116"/>
      <c r="L2317" s="170">
        <v>45419</v>
      </c>
      <c r="M2317" s="116">
        <v>116.11</v>
      </c>
      <c r="N2317" s="116">
        <v>119.26</v>
      </c>
      <c r="O2317" s="116">
        <v>115.4</v>
      </c>
      <c r="P2317" s="116">
        <v>118.01</v>
      </c>
      <c r="Q2317" s="116">
        <v>580.54999999999995</v>
      </c>
      <c r="R2317">
        <v>2543948</v>
      </c>
    </row>
    <row r="2318" spans="1:18" x14ac:dyDescent="0.25">
      <c r="A2318" s="170">
        <v>45420</v>
      </c>
      <c r="B2318" s="116">
        <v>117.55</v>
      </c>
      <c r="C2318" s="116">
        <v>115.86</v>
      </c>
      <c r="D2318" s="116">
        <v>114.45</v>
      </c>
      <c r="E2318" s="116">
        <v>116.11</v>
      </c>
      <c r="F2318" s="116">
        <v>579.29999999999995</v>
      </c>
      <c r="G2318">
        <v>151688</v>
      </c>
      <c r="H2318" s="116"/>
      <c r="I2318" s="116"/>
      <c r="L2318" s="170">
        <v>45420</v>
      </c>
      <c r="M2318" s="116">
        <v>116.13</v>
      </c>
      <c r="N2318" s="116">
        <v>117.5</v>
      </c>
      <c r="O2318" s="116">
        <v>114.48</v>
      </c>
      <c r="P2318" s="116">
        <v>116</v>
      </c>
      <c r="Q2318" s="116">
        <v>580.65</v>
      </c>
      <c r="R2318">
        <v>2198980</v>
      </c>
    </row>
    <row r="2319" spans="1:18" x14ac:dyDescent="0.25">
      <c r="A2319" s="170">
        <v>45421</v>
      </c>
      <c r="B2319" s="116">
        <v>124.4</v>
      </c>
      <c r="C2319" s="116">
        <v>122.61</v>
      </c>
      <c r="D2319" s="116">
        <v>117.41</v>
      </c>
      <c r="E2319" s="116">
        <v>117.41</v>
      </c>
      <c r="F2319" s="116">
        <v>613.04999999999995</v>
      </c>
      <c r="G2319">
        <v>1287919</v>
      </c>
      <c r="H2319" s="116"/>
      <c r="I2319" s="116"/>
      <c r="L2319" s="170">
        <v>45421</v>
      </c>
      <c r="M2319" s="116">
        <v>122.56</v>
      </c>
      <c r="N2319" s="116">
        <v>124.4</v>
      </c>
      <c r="O2319" s="116">
        <v>117.3</v>
      </c>
      <c r="P2319" s="116">
        <v>117.88</v>
      </c>
      <c r="Q2319" s="116">
        <v>612.79999999999995</v>
      </c>
      <c r="R2319">
        <v>20259585</v>
      </c>
    </row>
    <row r="2320" spans="1:18" x14ac:dyDescent="0.25">
      <c r="A2320" s="170">
        <v>45422</v>
      </c>
      <c r="B2320" s="116">
        <v>126</v>
      </c>
      <c r="C2320" s="116">
        <v>120.62</v>
      </c>
      <c r="D2320" s="116">
        <v>120</v>
      </c>
      <c r="E2320" s="116">
        <v>123</v>
      </c>
      <c r="F2320" s="116">
        <v>603.1</v>
      </c>
      <c r="G2320">
        <v>1184953</v>
      </c>
      <c r="H2320" s="116"/>
      <c r="I2320" s="116"/>
      <c r="L2320" s="170">
        <v>45422</v>
      </c>
      <c r="M2320" s="116">
        <v>120.62</v>
      </c>
      <c r="N2320" s="116">
        <v>126.2</v>
      </c>
      <c r="O2320" s="116">
        <v>120</v>
      </c>
      <c r="P2320" s="116">
        <v>123</v>
      </c>
      <c r="Q2320" s="116">
        <v>603.1</v>
      </c>
      <c r="R2320">
        <v>7610876</v>
      </c>
    </row>
    <row r="2321" spans="1:18" x14ac:dyDescent="0.25">
      <c r="A2321" s="170">
        <v>45425</v>
      </c>
      <c r="B2321" s="116">
        <v>121</v>
      </c>
      <c r="C2321" s="116">
        <v>119</v>
      </c>
      <c r="D2321" s="116">
        <v>116.16</v>
      </c>
      <c r="E2321" s="116">
        <v>120.75</v>
      </c>
      <c r="F2321" s="116">
        <v>595</v>
      </c>
      <c r="G2321">
        <v>590427</v>
      </c>
      <c r="H2321" s="116"/>
      <c r="I2321" s="116"/>
      <c r="L2321" s="170">
        <v>45425</v>
      </c>
      <c r="M2321" s="116">
        <v>118.98</v>
      </c>
      <c r="N2321" s="116">
        <v>121</v>
      </c>
      <c r="O2321" s="116">
        <v>116.14</v>
      </c>
      <c r="P2321" s="116">
        <v>120.62</v>
      </c>
      <c r="Q2321" s="116">
        <v>594.9</v>
      </c>
      <c r="R2321">
        <v>4113250</v>
      </c>
    </row>
    <row r="2322" spans="1:18" x14ac:dyDescent="0.25">
      <c r="A2322" s="170">
        <v>45426</v>
      </c>
      <c r="B2322" s="116">
        <v>127.17</v>
      </c>
      <c r="C2322" s="116">
        <v>125.53</v>
      </c>
      <c r="D2322" s="116">
        <v>118.13</v>
      </c>
      <c r="E2322" s="116">
        <v>118.89</v>
      </c>
      <c r="F2322" s="116">
        <v>627.65</v>
      </c>
      <c r="G2322">
        <v>1426123</v>
      </c>
      <c r="H2322" s="116"/>
      <c r="I2322" s="116"/>
      <c r="L2322" s="170">
        <v>45426</v>
      </c>
      <c r="M2322" s="116">
        <v>125.61</v>
      </c>
      <c r="N2322" s="116">
        <v>127.2</v>
      </c>
      <c r="O2322" s="116">
        <v>118.09</v>
      </c>
      <c r="P2322" s="116">
        <v>118.69</v>
      </c>
      <c r="Q2322" s="116">
        <v>628.04999999999995</v>
      </c>
      <c r="R2322">
        <v>9936039</v>
      </c>
    </row>
    <row r="2323" spans="1:18" x14ac:dyDescent="0.25">
      <c r="A2323" s="170">
        <v>45427</v>
      </c>
      <c r="B2323" s="116">
        <v>129.56</v>
      </c>
      <c r="C2323" s="116">
        <v>127.96</v>
      </c>
      <c r="D2323" s="116">
        <v>125.2</v>
      </c>
      <c r="E2323" s="116">
        <v>126.2</v>
      </c>
      <c r="F2323" s="116">
        <v>639.79999999999995</v>
      </c>
      <c r="G2323">
        <v>516681</v>
      </c>
      <c r="H2323" s="116"/>
      <c r="I2323" s="116"/>
      <c r="L2323" s="170">
        <v>45427</v>
      </c>
      <c r="M2323" s="116">
        <v>127.95</v>
      </c>
      <c r="N2323" s="116">
        <v>129.56</v>
      </c>
      <c r="O2323" s="116">
        <v>125.2</v>
      </c>
      <c r="P2323" s="116">
        <v>126</v>
      </c>
      <c r="Q2323" s="116">
        <v>639.75</v>
      </c>
      <c r="R2323">
        <v>7613514</v>
      </c>
    </row>
    <row r="2324" spans="1:18" x14ac:dyDescent="0.25">
      <c r="A2324" s="170">
        <v>45428</v>
      </c>
      <c r="B2324" s="116">
        <v>130.32</v>
      </c>
      <c r="C2324" s="116">
        <v>127.99</v>
      </c>
      <c r="D2324" s="116">
        <v>126.4</v>
      </c>
      <c r="E2324" s="116">
        <v>129.37</v>
      </c>
      <c r="F2324" s="116">
        <v>639.95000000000005</v>
      </c>
      <c r="G2324">
        <v>578483</v>
      </c>
      <c r="H2324" s="116"/>
      <c r="I2324" s="116"/>
      <c r="L2324" s="170">
        <v>45428</v>
      </c>
      <c r="M2324" s="116">
        <v>128.07</v>
      </c>
      <c r="N2324" s="116">
        <v>130.4</v>
      </c>
      <c r="O2324" s="116">
        <v>126.32</v>
      </c>
      <c r="P2324" s="116">
        <v>129.19999999999999</v>
      </c>
      <c r="Q2324" s="116">
        <v>640.35</v>
      </c>
      <c r="R2324">
        <v>3970904</v>
      </c>
    </row>
    <row r="2325" spans="1:18" x14ac:dyDescent="0.25">
      <c r="A2325" s="170">
        <v>45429</v>
      </c>
      <c r="B2325" s="116">
        <v>128.15</v>
      </c>
      <c r="C2325" s="116">
        <v>127.15</v>
      </c>
      <c r="D2325" s="116">
        <v>125.84</v>
      </c>
      <c r="E2325" s="116">
        <v>128.15</v>
      </c>
      <c r="F2325" s="116">
        <v>635.75</v>
      </c>
      <c r="G2325">
        <v>168319</v>
      </c>
      <c r="H2325" s="116"/>
      <c r="I2325" s="116"/>
      <c r="L2325" s="170">
        <v>45429</v>
      </c>
      <c r="M2325" s="116">
        <v>127.19</v>
      </c>
      <c r="N2325" s="116">
        <v>128.07</v>
      </c>
      <c r="O2325" s="116">
        <v>125.81</v>
      </c>
      <c r="P2325" s="116">
        <v>128</v>
      </c>
      <c r="Q2325" s="116">
        <v>635.95000000000005</v>
      </c>
      <c r="R2325">
        <v>2763360</v>
      </c>
    </row>
    <row r="2326" spans="1:18" x14ac:dyDescent="0.25">
      <c r="A2326" s="170">
        <v>45430</v>
      </c>
      <c r="B2326" s="116">
        <v>128.37</v>
      </c>
      <c r="C2326" s="116">
        <v>126.95</v>
      </c>
      <c r="D2326" s="116">
        <v>126.75</v>
      </c>
      <c r="E2326" s="116">
        <v>127.99</v>
      </c>
      <c r="F2326" s="116">
        <v>634.75</v>
      </c>
      <c r="G2326">
        <v>39482</v>
      </c>
      <c r="H2326" s="116"/>
      <c r="I2326" s="116"/>
      <c r="L2326" s="170">
        <v>45430</v>
      </c>
      <c r="M2326" s="116">
        <v>126.94</v>
      </c>
      <c r="N2326" s="116">
        <v>128.4</v>
      </c>
      <c r="O2326" s="116">
        <v>126.71</v>
      </c>
      <c r="P2326" s="116">
        <v>127.2</v>
      </c>
      <c r="Q2326" s="116">
        <v>634.70000000000005</v>
      </c>
      <c r="R2326">
        <v>389939</v>
      </c>
    </row>
    <row r="2327" spans="1:18" x14ac:dyDescent="0.25">
      <c r="A2327" s="170">
        <v>45433</v>
      </c>
      <c r="B2327" s="116">
        <v>138.38999999999999</v>
      </c>
      <c r="C2327" s="116">
        <v>136.05000000000001</v>
      </c>
      <c r="D2327" s="116">
        <v>125.31</v>
      </c>
      <c r="E2327" s="116">
        <v>126.95</v>
      </c>
      <c r="F2327" s="116">
        <v>680.25</v>
      </c>
      <c r="G2327">
        <v>1640763</v>
      </c>
      <c r="H2327" s="116"/>
      <c r="I2327" s="116"/>
      <c r="L2327" s="170">
        <v>45433</v>
      </c>
      <c r="M2327" s="116">
        <v>136.01</v>
      </c>
      <c r="N2327" s="116">
        <v>138.47</v>
      </c>
      <c r="O2327" s="116">
        <v>125.4</v>
      </c>
      <c r="P2327" s="116">
        <v>127.07</v>
      </c>
      <c r="Q2327" s="116">
        <v>680.05</v>
      </c>
      <c r="R2327">
        <v>12249454</v>
      </c>
    </row>
    <row r="2328" spans="1:18" x14ac:dyDescent="0.25">
      <c r="A2328" s="170">
        <v>45434</v>
      </c>
      <c r="B2328" s="116">
        <v>143</v>
      </c>
      <c r="C2328" s="116">
        <v>138.33000000000001</v>
      </c>
      <c r="D2328" s="116">
        <v>137.11000000000001</v>
      </c>
      <c r="E2328" s="116">
        <v>137.86000000000001</v>
      </c>
      <c r="F2328" s="116">
        <v>691.65</v>
      </c>
      <c r="G2328">
        <v>1152151</v>
      </c>
      <c r="H2328" s="116"/>
      <c r="I2328" s="116"/>
      <c r="L2328" s="170">
        <v>45434</v>
      </c>
      <c r="M2328" s="116">
        <v>138.29</v>
      </c>
      <c r="N2328" s="116">
        <v>143.12</v>
      </c>
      <c r="O2328" s="116">
        <v>137.21</v>
      </c>
      <c r="P2328" s="116">
        <v>137.58000000000001</v>
      </c>
      <c r="Q2328" s="116">
        <v>691.45</v>
      </c>
      <c r="R2328">
        <v>10100567</v>
      </c>
    </row>
    <row r="2329" spans="1:18" x14ac:dyDescent="0.25">
      <c r="A2329" s="170">
        <v>45435</v>
      </c>
      <c r="B2329" s="116">
        <v>144</v>
      </c>
      <c r="C2329" s="116">
        <v>142.19</v>
      </c>
      <c r="D2329" s="116">
        <v>137.19999999999999</v>
      </c>
      <c r="E2329" s="116">
        <v>140.15</v>
      </c>
      <c r="F2329" s="116">
        <v>710.95</v>
      </c>
      <c r="G2329">
        <v>1208081</v>
      </c>
      <c r="H2329" s="116"/>
      <c r="I2329" s="116"/>
      <c r="L2329" s="170">
        <v>45435</v>
      </c>
      <c r="M2329" s="116">
        <v>142.27000000000001</v>
      </c>
      <c r="N2329" s="116">
        <v>144.1</v>
      </c>
      <c r="O2329" s="116">
        <v>137.22999999999999</v>
      </c>
      <c r="P2329" s="116">
        <v>140</v>
      </c>
      <c r="Q2329" s="116">
        <v>711.35</v>
      </c>
      <c r="R2329">
        <v>9757504</v>
      </c>
    </row>
    <row r="2330" spans="1:18" x14ac:dyDescent="0.25">
      <c r="A2330" s="170">
        <v>45436</v>
      </c>
      <c r="B2330" s="116">
        <v>144.02000000000001</v>
      </c>
      <c r="C2330" s="116">
        <v>141.38999999999999</v>
      </c>
      <c r="D2330" s="116">
        <v>140.66</v>
      </c>
      <c r="E2330" s="116">
        <v>142.74</v>
      </c>
      <c r="F2330" s="116">
        <v>706.95</v>
      </c>
      <c r="G2330">
        <v>424301</v>
      </c>
      <c r="H2330" s="116"/>
      <c r="I2330" s="116"/>
      <c r="L2330" s="170">
        <v>45436</v>
      </c>
      <c r="M2330" s="116">
        <v>141.4</v>
      </c>
      <c r="N2330" s="116">
        <v>144.04</v>
      </c>
      <c r="O2330" s="116">
        <v>140.6</v>
      </c>
      <c r="P2330" s="116">
        <v>142.69999999999999</v>
      </c>
      <c r="Q2330" s="116">
        <v>707</v>
      </c>
      <c r="R2330">
        <v>4944197</v>
      </c>
    </row>
    <row r="2331" spans="1:18" x14ac:dyDescent="0.25">
      <c r="A2331" s="170">
        <v>45439</v>
      </c>
      <c r="B2331" s="116">
        <v>143.4</v>
      </c>
      <c r="C2331" s="116">
        <v>140.91</v>
      </c>
      <c r="D2331" s="116">
        <v>140.47</v>
      </c>
      <c r="E2331" s="116">
        <v>141.99</v>
      </c>
      <c r="F2331" s="116">
        <v>704.55</v>
      </c>
      <c r="G2331">
        <v>307073</v>
      </c>
      <c r="H2331" s="116"/>
      <c r="I2331" s="116"/>
      <c r="L2331" s="170">
        <v>45439</v>
      </c>
      <c r="M2331" s="116">
        <v>140.97</v>
      </c>
      <c r="N2331" s="116">
        <v>143.4</v>
      </c>
      <c r="O2331" s="116">
        <v>140.41</v>
      </c>
      <c r="P2331" s="116">
        <v>141.99</v>
      </c>
      <c r="Q2331" s="116">
        <v>704.85</v>
      </c>
      <c r="R2331">
        <v>3515710</v>
      </c>
    </row>
    <row r="2332" spans="1:18" x14ac:dyDescent="0.25">
      <c r="A2332" s="170">
        <v>45440</v>
      </c>
      <c r="B2332" s="116">
        <v>142.4</v>
      </c>
      <c r="C2332" s="116">
        <v>135.72999999999999</v>
      </c>
      <c r="D2332" s="116">
        <v>135.1</v>
      </c>
      <c r="E2332" s="116">
        <v>141.54</v>
      </c>
      <c r="F2332" s="116">
        <v>678.65</v>
      </c>
      <c r="G2332">
        <v>395034</v>
      </c>
      <c r="H2332" s="116"/>
      <c r="I2332" s="116"/>
      <c r="L2332" s="170">
        <v>45440</v>
      </c>
      <c r="M2332" s="116">
        <v>135.78</v>
      </c>
      <c r="N2332" s="116">
        <v>142.36000000000001</v>
      </c>
      <c r="O2332" s="116">
        <v>135</v>
      </c>
      <c r="P2332" s="116">
        <v>140.97</v>
      </c>
      <c r="Q2332" s="116">
        <v>678.9</v>
      </c>
      <c r="R2332">
        <v>5213530</v>
      </c>
    </row>
    <row r="2333" spans="1:18" x14ac:dyDescent="0.25">
      <c r="A2333" s="170">
        <v>45441</v>
      </c>
      <c r="B2333" s="116">
        <v>136.82</v>
      </c>
      <c r="C2333" s="116">
        <v>135.91999999999999</v>
      </c>
      <c r="D2333" s="116">
        <v>133.22999999999999</v>
      </c>
      <c r="E2333" s="116">
        <v>135.44999999999999</v>
      </c>
      <c r="F2333" s="116">
        <v>679.6</v>
      </c>
      <c r="G2333">
        <v>418496</v>
      </c>
      <c r="H2333" s="116"/>
      <c r="I2333" s="116"/>
      <c r="L2333" s="170">
        <v>45441</v>
      </c>
      <c r="M2333" s="116">
        <v>135.85</v>
      </c>
      <c r="N2333" s="116">
        <v>136.80000000000001</v>
      </c>
      <c r="O2333" s="116">
        <v>133.21</v>
      </c>
      <c r="P2333" s="116">
        <v>135.19999999999999</v>
      </c>
      <c r="Q2333" s="116">
        <v>679.25</v>
      </c>
      <c r="R2333">
        <v>4742002</v>
      </c>
    </row>
    <row r="2334" spans="1:18" x14ac:dyDescent="0.25">
      <c r="A2334" s="170">
        <v>45442</v>
      </c>
      <c r="B2334" s="116">
        <v>141.80000000000001</v>
      </c>
      <c r="C2334" s="116">
        <v>139.63999999999999</v>
      </c>
      <c r="D2334" s="116">
        <v>135.15</v>
      </c>
      <c r="E2334" s="116">
        <v>135.91</v>
      </c>
      <c r="F2334" s="116">
        <v>698.2</v>
      </c>
      <c r="G2334">
        <v>1023631</v>
      </c>
      <c r="H2334" s="116"/>
      <c r="I2334" s="116"/>
      <c r="L2334" s="170">
        <v>45442</v>
      </c>
      <c r="M2334" s="116">
        <v>139.68</v>
      </c>
      <c r="N2334" s="116">
        <v>141.88999999999999</v>
      </c>
      <c r="O2334" s="116">
        <v>135.11000000000001</v>
      </c>
      <c r="P2334" s="116">
        <v>135.58000000000001</v>
      </c>
      <c r="Q2334" s="116">
        <v>698.4</v>
      </c>
      <c r="R2334">
        <v>8155098</v>
      </c>
    </row>
    <row r="2335" spans="1:18" x14ac:dyDescent="0.25">
      <c r="A2335" s="170">
        <v>45443</v>
      </c>
      <c r="B2335" s="116">
        <v>159.51</v>
      </c>
      <c r="C2335" s="116">
        <v>151.33000000000001</v>
      </c>
      <c r="D2335" s="116">
        <v>140.94999999999999</v>
      </c>
      <c r="E2335" s="116">
        <v>141.76</v>
      </c>
      <c r="F2335" s="116">
        <v>756.65</v>
      </c>
      <c r="G2335">
        <v>1989581</v>
      </c>
      <c r="H2335" s="116"/>
      <c r="I2335" s="116"/>
      <c r="L2335" s="170">
        <v>45443</v>
      </c>
      <c r="M2335" s="116">
        <v>151.16</v>
      </c>
      <c r="N2335" s="116">
        <v>159.4</v>
      </c>
      <c r="O2335" s="116">
        <v>140.81</v>
      </c>
      <c r="P2335" s="116">
        <v>141.16</v>
      </c>
      <c r="Q2335" s="116">
        <v>755.8</v>
      </c>
      <c r="R2335">
        <v>32985652</v>
      </c>
    </row>
    <row r="2336" spans="1:18" x14ac:dyDescent="0.25">
      <c r="A2336" s="170">
        <v>45446</v>
      </c>
      <c r="B2336" s="116">
        <v>179.35</v>
      </c>
      <c r="C2336" s="116">
        <v>175</v>
      </c>
      <c r="D2336" s="116">
        <v>165.15</v>
      </c>
      <c r="E2336" s="116">
        <v>175</v>
      </c>
      <c r="F2336" s="116">
        <v>875</v>
      </c>
      <c r="G2336">
        <v>5373659</v>
      </c>
      <c r="H2336" s="116"/>
      <c r="I2336" s="116"/>
      <c r="L2336" s="170">
        <v>45446</v>
      </c>
      <c r="M2336" s="116">
        <v>174.9</v>
      </c>
      <c r="N2336" s="116">
        <v>179.17</v>
      </c>
      <c r="O2336" s="116">
        <v>165.33</v>
      </c>
      <c r="P2336" s="116">
        <v>174</v>
      </c>
      <c r="Q2336" s="116">
        <v>874.5</v>
      </c>
      <c r="R2336">
        <v>39973783</v>
      </c>
    </row>
    <row r="2337" spans="1:18" x14ac:dyDescent="0.25">
      <c r="A2337" s="170">
        <v>45447</v>
      </c>
      <c r="B2337" s="116">
        <v>175.19</v>
      </c>
      <c r="C2337" s="116">
        <v>144.77000000000001</v>
      </c>
      <c r="D2337" s="116">
        <v>140</v>
      </c>
      <c r="E2337" s="116">
        <v>175.19</v>
      </c>
      <c r="F2337" s="116">
        <v>723.85</v>
      </c>
      <c r="G2337">
        <v>11062798</v>
      </c>
      <c r="H2337" s="116"/>
      <c r="I2337" s="116"/>
      <c r="L2337" s="170">
        <v>45447</v>
      </c>
      <c r="M2337" s="116">
        <v>144.59</v>
      </c>
      <c r="N2337" s="116">
        <v>174.6</v>
      </c>
      <c r="O2337" s="116">
        <v>139.91999999999999</v>
      </c>
      <c r="P2337" s="116">
        <v>174.6</v>
      </c>
      <c r="Q2337" s="116">
        <v>722.95</v>
      </c>
      <c r="R2337">
        <v>71252395</v>
      </c>
    </row>
    <row r="2338" spans="1:18" x14ac:dyDescent="0.25">
      <c r="A2338" s="170">
        <v>45448</v>
      </c>
      <c r="B2338" s="116">
        <v>155.69999999999999</v>
      </c>
      <c r="C2338" s="116">
        <v>145.22999999999999</v>
      </c>
      <c r="D2338" s="116">
        <v>127.78</v>
      </c>
      <c r="E2338" s="116">
        <v>147.66999999999999</v>
      </c>
      <c r="F2338" s="116">
        <v>726.15</v>
      </c>
      <c r="G2338">
        <v>7259175</v>
      </c>
      <c r="H2338" s="116"/>
      <c r="I2338" s="116"/>
      <c r="L2338" s="170">
        <v>45448</v>
      </c>
      <c r="M2338" s="116">
        <v>145.33000000000001</v>
      </c>
      <c r="N2338" s="116">
        <v>155.94999999999999</v>
      </c>
      <c r="O2338" s="116">
        <v>128</v>
      </c>
      <c r="P2338" s="116">
        <v>148.4</v>
      </c>
      <c r="Q2338" s="116">
        <v>726.65</v>
      </c>
      <c r="R2338">
        <v>34537620</v>
      </c>
    </row>
    <row r="2339" spans="1:18" x14ac:dyDescent="0.25">
      <c r="A2339" s="170">
        <v>45449</v>
      </c>
      <c r="B2339" s="116">
        <v>158</v>
      </c>
      <c r="C2339" s="116">
        <v>149.84</v>
      </c>
      <c r="D2339" s="116">
        <v>148.74</v>
      </c>
      <c r="E2339" s="116">
        <v>149.80000000000001</v>
      </c>
      <c r="F2339" s="116">
        <v>749.2</v>
      </c>
      <c r="G2339">
        <v>1166631</v>
      </c>
      <c r="H2339" s="116"/>
      <c r="I2339" s="116"/>
      <c r="L2339" s="170">
        <v>45449</v>
      </c>
      <c r="M2339" s="116">
        <v>149.87</v>
      </c>
      <c r="N2339" s="116">
        <v>158</v>
      </c>
      <c r="O2339" s="116">
        <v>149.03</v>
      </c>
      <c r="P2339" s="116">
        <v>149.97999999999999</v>
      </c>
      <c r="Q2339" s="116">
        <v>749.35</v>
      </c>
      <c r="R2339">
        <v>17408648</v>
      </c>
    </row>
    <row r="2340" spans="1:18" x14ac:dyDescent="0.25">
      <c r="A2340" s="170">
        <v>45450</v>
      </c>
      <c r="B2340" s="116">
        <v>154.44</v>
      </c>
      <c r="C2340" s="116">
        <v>153.44999999999999</v>
      </c>
      <c r="D2340" s="116">
        <v>146.68</v>
      </c>
      <c r="E2340" s="116">
        <v>149.38</v>
      </c>
      <c r="F2340" s="116">
        <v>767.25</v>
      </c>
      <c r="G2340">
        <v>551434</v>
      </c>
      <c r="H2340" s="116"/>
      <c r="I2340" s="116"/>
      <c r="L2340" s="170">
        <v>45450</v>
      </c>
      <c r="M2340" s="116">
        <v>153.41</v>
      </c>
      <c r="N2340" s="116">
        <v>154.38</v>
      </c>
      <c r="O2340" s="116">
        <v>147</v>
      </c>
      <c r="P2340" s="116">
        <v>149.19999999999999</v>
      </c>
      <c r="Q2340" s="116">
        <v>767.05</v>
      </c>
      <c r="R2340">
        <v>8120551</v>
      </c>
    </row>
    <row r="2341" spans="1:18" x14ac:dyDescent="0.25">
      <c r="A2341" s="170">
        <v>45453</v>
      </c>
      <c r="B2341" s="116">
        <v>162.11000000000001</v>
      </c>
      <c r="C2341" s="116">
        <v>153.97</v>
      </c>
      <c r="D2341" s="116">
        <v>153.37</v>
      </c>
      <c r="E2341" s="116">
        <v>157.79</v>
      </c>
      <c r="F2341" s="116">
        <v>769.85</v>
      </c>
      <c r="G2341">
        <v>1184838</v>
      </c>
      <c r="H2341" s="116"/>
      <c r="I2341" s="116"/>
      <c r="L2341" s="170">
        <v>45453</v>
      </c>
      <c r="M2341" s="116">
        <v>153.94</v>
      </c>
      <c r="N2341" s="116">
        <v>162.19999999999999</v>
      </c>
      <c r="O2341" s="116">
        <v>153.6</v>
      </c>
      <c r="P2341" s="116">
        <v>156.6</v>
      </c>
      <c r="Q2341" s="116">
        <v>769.7</v>
      </c>
      <c r="R2341">
        <v>6174014</v>
      </c>
    </row>
    <row r="2342" spans="1:18" x14ac:dyDescent="0.25">
      <c r="A2342" s="170">
        <v>45454</v>
      </c>
      <c r="B2342" s="116">
        <v>155.99</v>
      </c>
      <c r="C2342" s="116">
        <v>152.55000000000001</v>
      </c>
      <c r="D2342" s="116">
        <v>152</v>
      </c>
      <c r="E2342" s="116">
        <v>155.02000000000001</v>
      </c>
      <c r="F2342" s="116">
        <v>762.75</v>
      </c>
      <c r="G2342">
        <v>659456</v>
      </c>
      <c r="H2342" s="116"/>
      <c r="I2342" s="116"/>
      <c r="L2342" s="170">
        <v>45454</v>
      </c>
      <c r="M2342" s="116">
        <v>152.57</v>
      </c>
      <c r="N2342" s="116">
        <v>155.94</v>
      </c>
      <c r="O2342" s="116">
        <v>152</v>
      </c>
      <c r="P2342" s="116">
        <v>155</v>
      </c>
      <c r="Q2342" s="116">
        <v>762.85</v>
      </c>
      <c r="R2342">
        <v>3751359</v>
      </c>
    </row>
    <row r="2343" spans="1:18" x14ac:dyDescent="0.25">
      <c r="A2343" s="170">
        <v>45455</v>
      </c>
      <c r="B2343" s="116">
        <v>153.6</v>
      </c>
      <c r="C2343" s="116">
        <v>152.37</v>
      </c>
      <c r="D2343" s="116">
        <v>150.91</v>
      </c>
      <c r="E2343" s="116">
        <v>153.19999999999999</v>
      </c>
      <c r="F2343" s="116">
        <v>761.85</v>
      </c>
      <c r="G2343">
        <v>257516</v>
      </c>
      <c r="H2343" s="116"/>
      <c r="I2343" s="116"/>
      <c r="L2343" s="170">
        <v>45455</v>
      </c>
      <c r="M2343" s="116">
        <v>152.44</v>
      </c>
      <c r="N2343" s="116">
        <v>153.76</v>
      </c>
      <c r="O2343" s="116">
        <v>150.91999999999999</v>
      </c>
      <c r="P2343" s="116">
        <v>152.81</v>
      </c>
      <c r="Q2343" s="116">
        <v>762.2</v>
      </c>
      <c r="R2343">
        <v>7519233</v>
      </c>
    </row>
    <row r="2344" spans="1:18" x14ac:dyDescent="0.25">
      <c r="A2344" s="170">
        <v>45456</v>
      </c>
      <c r="B2344" s="116">
        <v>153.94999999999999</v>
      </c>
      <c r="C2344" s="116">
        <v>150.77000000000001</v>
      </c>
      <c r="D2344" s="116">
        <v>150.04</v>
      </c>
      <c r="E2344" s="116">
        <v>152.72999999999999</v>
      </c>
      <c r="F2344" s="116">
        <v>753.85</v>
      </c>
      <c r="G2344">
        <v>232509</v>
      </c>
      <c r="H2344" s="116"/>
      <c r="I2344" s="116"/>
      <c r="L2344" s="170">
        <v>45456</v>
      </c>
      <c r="M2344" s="116">
        <v>150.76</v>
      </c>
      <c r="N2344" s="116">
        <v>153.94</v>
      </c>
      <c r="O2344" s="116">
        <v>150</v>
      </c>
      <c r="P2344" s="116">
        <v>153</v>
      </c>
      <c r="Q2344" s="116">
        <v>753.8</v>
      </c>
      <c r="R2344">
        <v>8712685</v>
      </c>
    </row>
    <row r="2345" spans="1:18" x14ac:dyDescent="0.25">
      <c r="A2345" s="170">
        <v>45457</v>
      </c>
      <c r="B2345" s="116">
        <v>152</v>
      </c>
      <c r="C2345" s="116">
        <v>149.38</v>
      </c>
      <c r="D2345" s="116">
        <v>149.06</v>
      </c>
      <c r="E2345" s="116">
        <v>150.81</v>
      </c>
      <c r="F2345" s="116">
        <v>746.9</v>
      </c>
      <c r="G2345">
        <v>581914</v>
      </c>
      <c r="H2345" s="116"/>
      <c r="I2345" s="116"/>
      <c r="L2345" s="170">
        <v>45457</v>
      </c>
      <c r="M2345" s="116">
        <v>149.35</v>
      </c>
      <c r="N2345" s="116">
        <v>151.6</v>
      </c>
      <c r="O2345" s="116">
        <v>149.04</v>
      </c>
      <c r="P2345" s="116">
        <v>151.34</v>
      </c>
      <c r="Q2345" s="116">
        <v>746.75</v>
      </c>
      <c r="R2345">
        <v>10638477</v>
      </c>
    </row>
    <row r="2346" spans="1:18" x14ac:dyDescent="0.25">
      <c r="A2346" s="170">
        <v>45461</v>
      </c>
      <c r="B2346" s="116">
        <v>151.6</v>
      </c>
      <c r="C2346" s="116">
        <v>149.56</v>
      </c>
      <c r="D2346" s="116">
        <v>148.38999999999999</v>
      </c>
      <c r="E2346" s="116">
        <v>150.78</v>
      </c>
      <c r="F2346" s="116">
        <v>747.8</v>
      </c>
      <c r="G2346">
        <v>534429</v>
      </c>
      <c r="H2346" s="116"/>
      <c r="I2346" s="116"/>
      <c r="L2346" s="170">
        <v>45461</v>
      </c>
      <c r="M2346" s="116">
        <v>149.63</v>
      </c>
      <c r="N2346" s="116">
        <v>151.69999999999999</v>
      </c>
      <c r="O2346" s="116">
        <v>148.02000000000001</v>
      </c>
      <c r="P2346" s="116">
        <v>151.56</v>
      </c>
      <c r="Q2346" s="116">
        <v>748.15</v>
      </c>
      <c r="R2346">
        <v>7398418</v>
      </c>
    </row>
    <row r="2347" spans="1:18" x14ac:dyDescent="0.25">
      <c r="A2347" s="170">
        <v>45462</v>
      </c>
      <c r="B2347" s="116">
        <v>150</v>
      </c>
      <c r="C2347" s="116">
        <v>147.6</v>
      </c>
      <c r="D2347" s="116">
        <v>144</v>
      </c>
      <c r="E2347" s="116">
        <v>149.83000000000001</v>
      </c>
      <c r="F2347" s="116">
        <v>738</v>
      </c>
      <c r="G2347">
        <v>343289</v>
      </c>
      <c r="H2347" s="116"/>
      <c r="I2347" s="116"/>
      <c r="L2347" s="170">
        <v>45462</v>
      </c>
      <c r="M2347" s="116">
        <v>147.72999999999999</v>
      </c>
      <c r="N2347" s="116">
        <v>149.99</v>
      </c>
      <c r="O2347" s="116">
        <v>144</v>
      </c>
      <c r="P2347" s="116">
        <v>149.82</v>
      </c>
      <c r="Q2347" s="116">
        <v>738.65</v>
      </c>
      <c r="R2347">
        <v>5477588</v>
      </c>
    </row>
    <row r="2348" spans="1:18" x14ac:dyDescent="0.25">
      <c r="A2348" s="170">
        <v>45463</v>
      </c>
      <c r="B2348" s="116">
        <v>149.38999999999999</v>
      </c>
      <c r="C2348" s="116">
        <v>148.4</v>
      </c>
      <c r="D2348" s="116">
        <v>147</v>
      </c>
      <c r="E2348" s="116">
        <v>148.79</v>
      </c>
      <c r="F2348" s="116">
        <v>742</v>
      </c>
      <c r="G2348">
        <v>153011</v>
      </c>
      <c r="H2348" s="116"/>
      <c r="I2348" s="116"/>
      <c r="L2348" s="170">
        <v>45463</v>
      </c>
      <c r="M2348" s="116">
        <v>148.66999999999999</v>
      </c>
      <c r="N2348" s="116">
        <v>149.46</v>
      </c>
      <c r="O2348" s="116">
        <v>146.84</v>
      </c>
      <c r="P2348" s="116">
        <v>148.61000000000001</v>
      </c>
      <c r="Q2348" s="116">
        <v>743.35</v>
      </c>
      <c r="R2348">
        <v>7168834</v>
      </c>
    </row>
    <row r="2349" spans="1:18" x14ac:dyDescent="0.25">
      <c r="A2349" s="170">
        <v>45464</v>
      </c>
      <c r="B2349" s="116">
        <v>148.80000000000001</v>
      </c>
      <c r="C2349" s="116">
        <v>146.69</v>
      </c>
      <c r="D2349" s="116">
        <v>146</v>
      </c>
      <c r="E2349" s="116">
        <v>148.41</v>
      </c>
      <c r="F2349" s="116">
        <v>733.45</v>
      </c>
      <c r="G2349">
        <v>126106</v>
      </c>
      <c r="H2349" s="116"/>
      <c r="I2349" s="116"/>
      <c r="L2349" s="170">
        <v>45464</v>
      </c>
      <c r="M2349" s="116">
        <v>146.72999999999999</v>
      </c>
      <c r="N2349" s="116">
        <v>148.82</v>
      </c>
      <c r="O2349" s="116">
        <v>146.01</v>
      </c>
      <c r="P2349" s="116">
        <v>148.63</v>
      </c>
      <c r="Q2349" s="116">
        <v>733.65</v>
      </c>
      <c r="R2349">
        <v>7325293</v>
      </c>
    </row>
    <row r="2350" spans="1:18" x14ac:dyDescent="0.25">
      <c r="A2350" s="170">
        <v>45467</v>
      </c>
      <c r="B2350" s="116">
        <v>149</v>
      </c>
      <c r="C2350" s="116">
        <v>147.59</v>
      </c>
      <c r="D2350" s="116">
        <v>144.03</v>
      </c>
      <c r="E2350" s="116">
        <v>145.94999999999999</v>
      </c>
      <c r="F2350" s="116">
        <v>737.95</v>
      </c>
      <c r="G2350">
        <v>166841</v>
      </c>
      <c r="H2350" s="116"/>
      <c r="I2350" s="116"/>
      <c r="L2350" s="170">
        <v>45467</v>
      </c>
      <c r="M2350" s="116">
        <v>147.69</v>
      </c>
      <c r="N2350" s="116">
        <v>148.96</v>
      </c>
      <c r="O2350" s="116">
        <v>144</v>
      </c>
      <c r="P2350" s="116">
        <v>145.59</v>
      </c>
      <c r="Q2350" s="116">
        <v>738.45</v>
      </c>
      <c r="R2350">
        <v>7741654</v>
      </c>
    </row>
    <row r="2351" spans="1:18" x14ac:dyDescent="0.25">
      <c r="A2351" s="170">
        <v>45468</v>
      </c>
      <c r="B2351" s="116">
        <v>148.86000000000001</v>
      </c>
      <c r="C2351" s="116">
        <v>145.11000000000001</v>
      </c>
      <c r="D2351" s="116">
        <v>144.80000000000001</v>
      </c>
      <c r="E2351" s="116">
        <v>147.61000000000001</v>
      </c>
      <c r="F2351" s="116">
        <v>725.55</v>
      </c>
      <c r="G2351">
        <v>129773</v>
      </c>
      <c r="H2351" s="116"/>
      <c r="I2351" s="116"/>
      <c r="L2351" s="170">
        <v>45468</v>
      </c>
      <c r="M2351" s="116">
        <v>145.06</v>
      </c>
      <c r="N2351" s="116">
        <v>148.47999999999999</v>
      </c>
      <c r="O2351" s="116">
        <v>144.76</v>
      </c>
      <c r="P2351" s="116">
        <v>148.18</v>
      </c>
      <c r="Q2351" s="116">
        <v>725.3</v>
      </c>
      <c r="R2351">
        <v>6824812</v>
      </c>
    </row>
    <row r="2352" spans="1:18" x14ac:dyDescent="0.25">
      <c r="A2352" s="170">
        <v>45469</v>
      </c>
      <c r="B2352" s="116">
        <v>146</v>
      </c>
      <c r="C2352" s="116">
        <v>144</v>
      </c>
      <c r="D2352" s="116">
        <v>143.80000000000001</v>
      </c>
      <c r="E2352" s="116">
        <v>145</v>
      </c>
      <c r="F2352" s="116">
        <v>720</v>
      </c>
      <c r="G2352">
        <v>307383</v>
      </c>
      <c r="H2352" s="116"/>
      <c r="I2352" s="116"/>
      <c r="L2352" s="170">
        <v>45469</v>
      </c>
      <c r="M2352" s="116">
        <v>143.97999999999999</v>
      </c>
      <c r="N2352" s="116">
        <v>146.18</v>
      </c>
      <c r="O2352" s="116">
        <v>143.6</v>
      </c>
      <c r="P2352" s="116">
        <v>144.81</v>
      </c>
      <c r="Q2352" s="116">
        <v>719.9</v>
      </c>
      <c r="R2352">
        <v>6234248</v>
      </c>
    </row>
    <row r="2353" spans="1:18" x14ac:dyDescent="0.25">
      <c r="A2353" s="170">
        <v>45470</v>
      </c>
      <c r="B2353" s="116">
        <v>145.6</v>
      </c>
      <c r="C2353" s="116">
        <v>143.06</v>
      </c>
      <c r="D2353" s="116">
        <v>142.03</v>
      </c>
      <c r="E2353" s="116">
        <v>144.15</v>
      </c>
      <c r="F2353" s="116">
        <v>715.3</v>
      </c>
      <c r="G2353">
        <v>365709</v>
      </c>
      <c r="H2353" s="116"/>
      <c r="I2353" s="116"/>
      <c r="L2353" s="170">
        <v>45470</v>
      </c>
      <c r="M2353" s="116">
        <v>143.13999999999999</v>
      </c>
      <c r="N2353" s="116">
        <v>145.59</v>
      </c>
      <c r="O2353" s="116">
        <v>142</v>
      </c>
      <c r="P2353" s="116">
        <v>144.59</v>
      </c>
      <c r="Q2353" s="116">
        <v>715.7</v>
      </c>
      <c r="R2353">
        <v>7777502</v>
      </c>
    </row>
    <row r="2354" spans="1:18" x14ac:dyDescent="0.25">
      <c r="A2354" s="170">
        <v>45471</v>
      </c>
      <c r="B2354" s="116">
        <v>145.6</v>
      </c>
      <c r="C2354" s="116">
        <v>143.63999999999999</v>
      </c>
      <c r="D2354" s="116">
        <v>143.01</v>
      </c>
      <c r="E2354" s="116">
        <v>143.59</v>
      </c>
      <c r="F2354" s="116">
        <v>718.2</v>
      </c>
      <c r="G2354">
        <v>200771</v>
      </c>
      <c r="H2354" s="116"/>
      <c r="I2354" s="116"/>
      <c r="L2354" s="170">
        <v>45471</v>
      </c>
      <c r="M2354" s="116">
        <v>143.72</v>
      </c>
      <c r="N2354" s="116">
        <v>145.63999999999999</v>
      </c>
      <c r="O2354" s="116">
        <v>142.94999999999999</v>
      </c>
      <c r="P2354" s="116">
        <v>143.94</v>
      </c>
      <c r="Q2354" s="116">
        <v>718.6</v>
      </c>
      <c r="R2354">
        <v>10294456</v>
      </c>
    </row>
    <row r="2355" spans="1:18" x14ac:dyDescent="0.25">
      <c r="A2355" s="170">
        <v>45474</v>
      </c>
      <c r="B2355" s="116">
        <v>144.55000000000001</v>
      </c>
      <c r="C2355" s="116">
        <v>143.56</v>
      </c>
      <c r="D2355" s="116">
        <v>142.54</v>
      </c>
      <c r="E2355" s="116">
        <v>143.72</v>
      </c>
      <c r="F2355" s="116">
        <v>717.8</v>
      </c>
      <c r="G2355">
        <v>146911</v>
      </c>
      <c r="H2355" s="116"/>
      <c r="I2355" s="116"/>
      <c r="L2355" s="170">
        <v>45474</v>
      </c>
      <c r="M2355" s="116">
        <v>143.49</v>
      </c>
      <c r="N2355" s="116">
        <v>144.58000000000001</v>
      </c>
      <c r="O2355" s="116">
        <v>142.53</v>
      </c>
      <c r="P2355" s="116">
        <v>143.4</v>
      </c>
      <c r="Q2355" s="116">
        <v>717.45</v>
      </c>
      <c r="R2355">
        <v>3433119</v>
      </c>
    </row>
    <row r="2356" spans="1:18" x14ac:dyDescent="0.25">
      <c r="A2356" s="170">
        <v>45475</v>
      </c>
      <c r="B2356" s="116">
        <v>146.6</v>
      </c>
      <c r="C2356" s="116">
        <v>142.16</v>
      </c>
      <c r="D2356" s="116">
        <v>141.69</v>
      </c>
      <c r="E2356" s="116">
        <v>143.21</v>
      </c>
      <c r="F2356" s="116">
        <v>710.8</v>
      </c>
      <c r="G2356">
        <v>739608</v>
      </c>
      <c r="H2356" s="116"/>
      <c r="I2356" s="116"/>
      <c r="L2356" s="170">
        <v>45475</v>
      </c>
      <c r="M2356" s="116">
        <v>142.12</v>
      </c>
      <c r="N2356" s="116">
        <v>146.6</v>
      </c>
      <c r="O2356" s="116">
        <v>141.63999999999999</v>
      </c>
      <c r="P2356" s="116">
        <v>143.4</v>
      </c>
      <c r="Q2356" s="116">
        <v>710.6</v>
      </c>
      <c r="R2356">
        <v>4595657</v>
      </c>
    </row>
    <row r="2357" spans="1:18" x14ac:dyDescent="0.25">
      <c r="A2357" s="170">
        <v>45476</v>
      </c>
      <c r="B2357" s="116">
        <v>144.37</v>
      </c>
      <c r="C2357" s="116">
        <v>143</v>
      </c>
      <c r="D2357" s="116">
        <v>142.22999999999999</v>
      </c>
      <c r="E2357" s="116">
        <v>142.31</v>
      </c>
      <c r="F2357" s="116">
        <v>715</v>
      </c>
      <c r="G2357">
        <v>391273</v>
      </c>
      <c r="H2357" s="116"/>
      <c r="I2357" s="116"/>
      <c r="L2357" s="170">
        <v>45476</v>
      </c>
      <c r="M2357" s="116">
        <v>143.05000000000001</v>
      </c>
      <c r="N2357" s="116">
        <v>144.38999999999999</v>
      </c>
      <c r="O2357" s="116">
        <v>142.19999999999999</v>
      </c>
      <c r="P2357" s="116">
        <v>143.19999999999999</v>
      </c>
      <c r="Q2357" s="116">
        <v>715.25</v>
      </c>
      <c r="R2357">
        <v>1923993</v>
      </c>
    </row>
    <row r="2358" spans="1:18" x14ac:dyDescent="0.25">
      <c r="A2358" s="170">
        <v>45477</v>
      </c>
      <c r="B2358" s="116">
        <v>143.69999999999999</v>
      </c>
      <c r="C2358" s="116">
        <v>142.46</v>
      </c>
      <c r="D2358" s="116">
        <v>142.1</v>
      </c>
      <c r="E2358" s="116">
        <v>143.07</v>
      </c>
      <c r="F2358" s="116">
        <v>712.3</v>
      </c>
      <c r="G2358">
        <v>141404</v>
      </c>
      <c r="H2358" s="116"/>
      <c r="I2358" s="116"/>
      <c r="L2358" s="170">
        <v>45477</v>
      </c>
      <c r="M2358" s="116">
        <v>142.44999999999999</v>
      </c>
      <c r="N2358" s="116">
        <v>143.78</v>
      </c>
      <c r="O2358" s="116">
        <v>142</v>
      </c>
      <c r="P2358" s="116">
        <v>143.4</v>
      </c>
      <c r="Q2358" s="116">
        <v>712.25</v>
      </c>
      <c r="R2358">
        <v>2057045</v>
      </c>
    </row>
    <row r="2359" spans="1:18" x14ac:dyDescent="0.25">
      <c r="A2359" s="170">
        <v>45478</v>
      </c>
      <c r="B2359" s="116">
        <v>142.94</v>
      </c>
      <c r="C2359" s="116">
        <v>141.77000000000001</v>
      </c>
      <c r="D2359" s="116">
        <v>141.35</v>
      </c>
      <c r="E2359" s="116">
        <v>142.19</v>
      </c>
      <c r="F2359" s="116">
        <v>708.85</v>
      </c>
      <c r="G2359">
        <v>484714</v>
      </c>
      <c r="H2359" s="116"/>
      <c r="I2359" s="116"/>
      <c r="L2359" s="170">
        <v>45478</v>
      </c>
      <c r="M2359" s="116">
        <v>141.78</v>
      </c>
      <c r="N2359" s="116">
        <v>142.91999999999999</v>
      </c>
      <c r="O2359" s="116">
        <v>141.30000000000001</v>
      </c>
      <c r="P2359" s="116">
        <v>142.4</v>
      </c>
      <c r="Q2359" s="116">
        <v>708.9</v>
      </c>
      <c r="R2359">
        <v>2130002</v>
      </c>
    </row>
    <row r="2360" spans="1:18" x14ac:dyDescent="0.25">
      <c r="A2360" s="170">
        <v>45481</v>
      </c>
      <c r="B2360" s="116">
        <v>142.4</v>
      </c>
      <c r="C2360" s="116">
        <v>139.59</v>
      </c>
      <c r="D2360" s="116">
        <v>138.61000000000001</v>
      </c>
      <c r="E2360" s="116">
        <v>141.43</v>
      </c>
      <c r="F2360" s="116">
        <v>697.95</v>
      </c>
      <c r="G2360">
        <v>241030</v>
      </c>
      <c r="H2360" s="116"/>
      <c r="I2360" s="116"/>
      <c r="L2360" s="170">
        <v>45481</v>
      </c>
      <c r="M2360" s="116">
        <v>139.61000000000001</v>
      </c>
      <c r="N2360" s="116">
        <v>142.51</v>
      </c>
      <c r="O2360" s="116">
        <v>138.6</v>
      </c>
      <c r="P2360" s="116">
        <v>141.97999999999999</v>
      </c>
      <c r="Q2360" s="116">
        <v>698.05</v>
      </c>
      <c r="R2360">
        <v>3315411</v>
      </c>
    </row>
    <row r="2361" spans="1:18" x14ac:dyDescent="0.25">
      <c r="A2361" s="170">
        <v>45482</v>
      </c>
      <c r="B2361" s="116">
        <v>149</v>
      </c>
      <c r="C2361" s="116">
        <v>145.07</v>
      </c>
      <c r="D2361" s="116">
        <v>139.19999999999999</v>
      </c>
      <c r="E2361" s="116">
        <v>139.41</v>
      </c>
      <c r="F2361" s="116">
        <v>725.35</v>
      </c>
      <c r="G2361">
        <v>5943408</v>
      </c>
      <c r="H2361" s="116"/>
      <c r="I2361" s="116"/>
      <c r="L2361" s="170">
        <v>45482</v>
      </c>
      <c r="M2361" s="116">
        <v>144.99</v>
      </c>
      <c r="N2361" s="116">
        <v>149</v>
      </c>
      <c r="O2361" s="116">
        <v>139.31</v>
      </c>
      <c r="P2361" s="116">
        <v>139.61000000000001</v>
      </c>
      <c r="Q2361" s="116">
        <v>724.95</v>
      </c>
      <c r="R2361">
        <v>11121466</v>
      </c>
    </row>
    <row r="2362" spans="1:18" x14ac:dyDescent="0.25">
      <c r="A2362" s="170">
        <v>45483</v>
      </c>
      <c r="B2362" s="116">
        <v>147.57</v>
      </c>
      <c r="C2362" s="116">
        <v>145.47</v>
      </c>
      <c r="D2362" s="116">
        <v>142.84</v>
      </c>
      <c r="E2362" s="116">
        <v>146.80000000000001</v>
      </c>
      <c r="F2362" s="116">
        <v>727.35</v>
      </c>
      <c r="G2362">
        <v>910262</v>
      </c>
      <c r="H2362" s="116"/>
      <c r="I2362" s="116"/>
      <c r="L2362" s="170">
        <v>45483</v>
      </c>
      <c r="M2362" s="116">
        <v>145.51</v>
      </c>
      <c r="N2362" s="116">
        <v>147.49</v>
      </c>
      <c r="O2362" s="116">
        <v>142.83000000000001</v>
      </c>
      <c r="P2362" s="116">
        <v>146.81</v>
      </c>
      <c r="Q2362" s="116">
        <v>727.55</v>
      </c>
      <c r="R2362">
        <v>7194197</v>
      </c>
    </row>
    <row r="2363" spans="1:18" x14ac:dyDescent="0.25">
      <c r="A2363" s="170">
        <v>45484</v>
      </c>
      <c r="B2363" s="116">
        <v>146.44</v>
      </c>
      <c r="C2363" s="116">
        <v>144.24</v>
      </c>
      <c r="D2363" s="116">
        <v>143.19999999999999</v>
      </c>
      <c r="E2363" s="116">
        <v>146.15</v>
      </c>
      <c r="F2363" s="116">
        <v>721.2</v>
      </c>
      <c r="G2363">
        <v>176101</v>
      </c>
      <c r="H2363" s="116"/>
      <c r="I2363" s="116"/>
      <c r="L2363" s="170">
        <v>45484</v>
      </c>
      <c r="M2363" s="116">
        <v>144.13999999999999</v>
      </c>
      <c r="N2363" s="116">
        <v>146.4</v>
      </c>
      <c r="O2363" s="116">
        <v>143.19999999999999</v>
      </c>
      <c r="P2363" s="116">
        <v>146.4</v>
      </c>
      <c r="Q2363" s="116">
        <v>720.7</v>
      </c>
      <c r="R2363">
        <v>2915945</v>
      </c>
    </row>
    <row r="2364" spans="1:18" x14ac:dyDescent="0.25">
      <c r="A2364" s="170">
        <v>45485</v>
      </c>
      <c r="B2364" s="116">
        <v>145.19999999999999</v>
      </c>
      <c r="C2364" s="116">
        <v>142.01</v>
      </c>
      <c r="D2364" s="116">
        <v>141.6</v>
      </c>
      <c r="E2364" s="116">
        <v>144.4</v>
      </c>
      <c r="F2364" s="116">
        <v>710.05</v>
      </c>
      <c r="G2364">
        <v>452733</v>
      </c>
      <c r="H2364" s="116"/>
      <c r="I2364" s="116"/>
      <c r="L2364" s="170">
        <v>45485</v>
      </c>
      <c r="M2364" s="116">
        <v>141.99</v>
      </c>
      <c r="N2364" s="116">
        <v>145.16999999999999</v>
      </c>
      <c r="O2364" s="116">
        <v>141.6</v>
      </c>
      <c r="P2364" s="116">
        <v>144.31</v>
      </c>
      <c r="Q2364" s="116">
        <v>709.95</v>
      </c>
      <c r="R2364">
        <v>2167137</v>
      </c>
    </row>
    <row r="2365" spans="1:18" x14ac:dyDescent="0.25">
      <c r="A2365" s="170">
        <v>45488</v>
      </c>
      <c r="B2365" s="116">
        <v>142.91</v>
      </c>
      <c r="C2365" s="116">
        <v>141.74</v>
      </c>
      <c r="D2365" s="116">
        <v>141.05000000000001</v>
      </c>
      <c r="E2365" s="116">
        <v>142.91</v>
      </c>
      <c r="F2365" s="116">
        <v>708.7</v>
      </c>
      <c r="G2365">
        <v>397707</v>
      </c>
      <c r="H2365" s="116"/>
      <c r="I2365" s="116"/>
      <c r="L2365" s="170">
        <v>45488</v>
      </c>
      <c r="M2365" s="116">
        <v>141.71</v>
      </c>
      <c r="N2365" s="116">
        <v>142.99</v>
      </c>
      <c r="O2365" s="116">
        <v>141.1</v>
      </c>
      <c r="P2365" s="116">
        <v>142</v>
      </c>
      <c r="Q2365" s="116">
        <v>708.55</v>
      </c>
      <c r="R2365">
        <v>2038025</v>
      </c>
    </row>
    <row r="2366" spans="1:18" x14ac:dyDescent="0.25">
      <c r="A2366" s="170">
        <v>45489</v>
      </c>
      <c r="B2366" s="116">
        <v>146.19999999999999</v>
      </c>
      <c r="C2366" s="116">
        <v>142.43</v>
      </c>
      <c r="D2366" s="116">
        <v>141.80000000000001</v>
      </c>
      <c r="E2366" s="116">
        <v>142.01</v>
      </c>
      <c r="F2366" s="116">
        <v>712.15</v>
      </c>
      <c r="G2366">
        <v>503845</v>
      </c>
      <c r="H2366" s="116"/>
      <c r="I2366" s="116"/>
      <c r="L2366" s="170">
        <v>45489</v>
      </c>
      <c r="M2366" s="116">
        <v>142.49</v>
      </c>
      <c r="N2366" s="116">
        <v>146.34</v>
      </c>
      <c r="O2366" s="116">
        <v>141.71</v>
      </c>
      <c r="P2366" s="116">
        <v>142.51</v>
      </c>
      <c r="Q2366" s="116">
        <v>712.45</v>
      </c>
      <c r="R2366">
        <v>2705111</v>
      </c>
    </row>
    <row r="2367" spans="1:18" x14ac:dyDescent="0.25">
      <c r="A2367" s="170">
        <v>45491</v>
      </c>
      <c r="B2367" s="116">
        <v>142.88</v>
      </c>
      <c r="C2367" s="116">
        <v>139.87</v>
      </c>
      <c r="D2367" s="116">
        <v>139.27000000000001</v>
      </c>
      <c r="E2367" s="116">
        <v>142.88</v>
      </c>
      <c r="F2367" s="116">
        <v>699.35</v>
      </c>
      <c r="G2367">
        <v>213725</v>
      </c>
      <c r="H2367" s="116"/>
      <c r="I2367" s="116"/>
      <c r="L2367" s="170">
        <v>45491</v>
      </c>
      <c r="M2367" s="116">
        <v>139.9</v>
      </c>
      <c r="N2367" s="116">
        <v>142.49</v>
      </c>
      <c r="O2367" s="116">
        <v>139.28</v>
      </c>
      <c r="P2367" s="116">
        <v>142.49</v>
      </c>
      <c r="Q2367" s="116">
        <v>699.5</v>
      </c>
      <c r="R2367">
        <v>3156405</v>
      </c>
    </row>
    <row r="2368" spans="1:18" x14ac:dyDescent="0.25">
      <c r="A2368" s="170">
        <v>45492</v>
      </c>
      <c r="B2368" s="116">
        <v>140.49</v>
      </c>
      <c r="C2368" s="116">
        <v>138.85</v>
      </c>
      <c r="D2368" s="116">
        <v>138</v>
      </c>
      <c r="E2368" s="116">
        <v>140</v>
      </c>
      <c r="F2368" s="116">
        <v>694.25</v>
      </c>
      <c r="G2368">
        <v>171238</v>
      </c>
      <c r="H2368" s="116"/>
      <c r="I2368" s="116"/>
      <c r="L2368" s="170">
        <v>45492</v>
      </c>
      <c r="M2368" s="116">
        <v>138.9</v>
      </c>
      <c r="N2368" s="116">
        <v>140.32</v>
      </c>
      <c r="O2368" s="116">
        <v>138</v>
      </c>
      <c r="P2368" s="116">
        <v>140</v>
      </c>
      <c r="Q2368" s="116">
        <v>694.5</v>
      </c>
      <c r="R2368">
        <v>2427868</v>
      </c>
    </row>
    <row r="2369" spans="1:18" x14ac:dyDescent="0.25">
      <c r="A2369" s="170">
        <v>45495</v>
      </c>
      <c r="B2369" s="116">
        <v>142</v>
      </c>
      <c r="C2369" s="116">
        <v>139.22999999999999</v>
      </c>
      <c r="D2369" s="116">
        <v>136.5</v>
      </c>
      <c r="E2369" s="116">
        <v>138.75</v>
      </c>
      <c r="F2369" s="116">
        <v>696.15</v>
      </c>
      <c r="G2369">
        <v>212275</v>
      </c>
      <c r="H2369" s="116"/>
      <c r="I2369" s="116"/>
      <c r="L2369" s="170">
        <v>45495</v>
      </c>
      <c r="M2369" s="116">
        <v>139.22999999999999</v>
      </c>
      <c r="N2369" s="116">
        <v>141.99</v>
      </c>
      <c r="O2369" s="116">
        <v>136.44999999999999</v>
      </c>
      <c r="P2369" s="116">
        <v>138.6</v>
      </c>
      <c r="Q2369" s="116">
        <v>696.15</v>
      </c>
      <c r="R2369">
        <v>2444034</v>
      </c>
    </row>
    <row r="2370" spans="1:18" x14ac:dyDescent="0.25">
      <c r="A2370" s="170">
        <v>45496</v>
      </c>
      <c r="B2370" s="116">
        <v>145.74</v>
      </c>
      <c r="C2370" s="116">
        <v>139.38999999999999</v>
      </c>
      <c r="D2370" s="116">
        <v>129.25</v>
      </c>
      <c r="E2370" s="116">
        <v>140.80000000000001</v>
      </c>
      <c r="F2370" s="116">
        <v>696.95</v>
      </c>
      <c r="G2370">
        <v>1537266</v>
      </c>
      <c r="H2370" s="116"/>
      <c r="I2370" s="116"/>
      <c r="L2370" s="170">
        <v>45496</v>
      </c>
      <c r="M2370" s="116">
        <v>139.47999999999999</v>
      </c>
      <c r="N2370" s="116">
        <v>145.80000000000001</v>
      </c>
      <c r="O2370" s="116">
        <v>129.30000000000001</v>
      </c>
      <c r="P2370" s="116">
        <v>141</v>
      </c>
      <c r="Q2370" s="116">
        <v>697.4</v>
      </c>
      <c r="R2370">
        <v>10069127</v>
      </c>
    </row>
    <row r="2371" spans="1:18" x14ac:dyDescent="0.25">
      <c r="A2371" s="170">
        <v>45497</v>
      </c>
      <c r="B2371" s="116">
        <v>141.85</v>
      </c>
      <c r="C2371" s="116">
        <v>138.94999999999999</v>
      </c>
      <c r="D2371" s="116">
        <v>138.59</v>
      </c>
      <c r="E2371" s="116">
        <v>139.4</v>
      </c>
      <c r="F2371" s="116">
        <v>694.75</v>
      </c>
      <c r="G2371">
        <v>190677</v>
      </c>
      <c r="H2371" s="116"/>
      <c r="I2371" s="116"/>
      <c r="L2371" s="170">
        <v>45497</v>
      </c>
      <c r="M2371" s="116">
        <v>138.94</v>
      </c>
      <c r="N2371" s="116">
        <v>141.94</v>
      </c>
      <c r="O2371" s="116">
        <v>138.51</v>
      </c>
      <c r="P2371" s="116">
        <v>139.54</v>
      </c>
      <c r="Q2371" s="116">
        <v>694.7</v>
      </c>
      <c r="R2371">
        <v>2210803</v>
      </c>
    </row>
    <row r="2372" spans="1:18" x14ac:dyDescent="0.25">
      <c r="A2372" s="170">
        <v>45498</v>
      </c>
      <c r="B2372" s="116">
        <v>141.84</v>
      </c>
      <c r="C2372" s="116">
        <v>138.97999999999999</v>
      </c>
      <c r="D2372" s="116">
        <v>137.22999999999999</v>
      </c>
      <c r="E2372" s="116">
        <v>138.41</v>
      </c>
      <c r="F2372" s="116">
        <v>694.9</v>
      </c>
      <c r="G2372">
        <v>440053</v>
      </c>
      <c r="H2372" s="116"/>
      <c r="I2372" s="116"/>
      <c r="L2372" s="170">
        <v>45498</v>
      </c>
      <c r="M2372" s="116">
        <v>139.04</v>
      </c>
      <c r="N2372" s="116">
        <v>141.88999999999999</v>
      </c>
      <c r="O2372" s="116">
        <v>137.22999999999999</v>
      </c>
      <c r="P2372" s="116">
        <v>138.80000000000001</v>
      </c>
      <c r="Q2372" s="116">
        <v>695.2</v>
      </c>
      <c r="R2372">
        <v>2769562</v>
      </c>
    </row>
    <row r="2373" spans="1:18" x14ac:dyDescent="0.25">
      <c r="A2373" s="170">
        <v>45499</v>
      </c>
      <c r="B2373" s="116">
        <v>145.58000000000001</v>
      </c>
      <c r="C2373" s="116">
        <v>142.61000000000001</v>
      </c>
      <c r="D2373" s="116">
        <v>139.88</v>
      </c>
      <c r="E2373" s="116">
        <v>140.99</v>
      </c>
      <c r="F2373" s="116">
        <v>713.05</v>
      </c>
      <c r="G2373">
        <v>409785</v>
      </c>
      <c r="H2373" s="116"/>
      <c r="I2373" s="116"/>
      <c r="L2373" s="170">
        <v>45499</v>
      </c>
      <c r="M2373" s="116">
        <v>142.53</v>
      </c>
      <c r="N2373" s="116">
        <v>145.56</v>
      </c>
      <c r="O2373" s="116">
        <v>139.72</v>
      </c>
      <c r="P2373" s="116">
        <v>140</v>
      </c>
      <c r="Q2373" s="116">
        <v>712.65</v>
      </c>
      <c r="R2373">
        <v>5483714</v>
      </c>
    </row>
    <row r="2374" spans="1:18" x14ac:dyDescent="0.25">
      <c r="A2374" s="170">
        <v>45502</v>
      </c>
      <c r="B2374" s="116">
        <v>144.97</v>
      </c>
      <c r="C2374" s="116">
        <v>143.35</v>
      </c>
      <c r="D2374" s="116">
        <v>143.02000000000001</v>
      </c>
      <c r="E2374" s="116">
        <v>143.94</v>
      </c>
      <c r="F2374" s="116">
        <v>716.75</v>
      </c>
      <c r="G2374">
        <v>563074</v>
      </c>
      <c r="H2374" s="116"/>
      <c r="I2374" s="116"/>
      <c r="L2374" s="170">
        <v>45502</v>
      </c>
      <c r="M2374" s="116">
        <v>143.28</v>
      </c>
      <c r="N2374" s="116">
        <v>144.99</v>
      </c>
      <c r="O2374" s="116">
        <v>143.01</v>
      </c>
      <c r="P2374" s="116">
        <v>143.80000000000001</v>
      </c>
      <c r="Q2374" s="116">
        <v>716.4</v>
      </c>
      <c r="R2374">
        <v>3013372</v>
      </c>
    </row>
    <row r="2375" spans="1:18" x14ac:dyDescent="0.25">
      <c r="A2375" s="170">
        <v>45503</v>
      </c>
      <c r="B2375" s="116">
        <v>146.97999999999999</v>
      </c>
      <c r="C2375" s="116">
        <v>145.83000000000001</v>
      </c>
      <c r="D2375" s="116">
        <v>143.4</v>
      </c>
      <c r="E2375" s="116">
        <v>144.27000000000001</v>
      </c>
      <c r="F2375" s="116">
        <v>729.15</v>
      </c>
      <c r="G2375">
        <v>779342</v>
      </c>
      <c r="H2375" s="116"/>
      <c r="I2375" s="116"/>
      <c r="L2375" s="170">
        <v>45503</v>
      </c>
      <c r="M2375" s="116">
        <v>145.85</v>
      </c>
      <c r="N2375" s="116">
        <v>147</v>
      </c>
      <c r="O2375" s="116">
        <v>143.28</v>
      </c>
      <c r="P2375" s="116">
        <v>144</v>
      </c>
      <c r="Q2375" s="116">
        <v>729.25</v>
      </c>
      <c r="R2375">
        <v>5283993</v>
      </c>
    </row>
    <row r="2376" spans="1:18" x14ac:dyDescent="0.25">
      <c r="A2376" s="170">
        <v>45504</v>
      </c>
      <c r="B2376" s="116">
        <v>149.77000000000001</v>
      </c>
      <c r="C2376" s="116">
        <v>146.9</v>
      </c>
      <c r="D2376" s="116">
        <v>142.6</v>
      </c>
      <c r="E2376" s="116">
        <v>146.94</v>
      </c>
      <c r="F2376" s="116">
        <v>734.5</v>
      </c>
      <c r="G2376">
        <v>534650</v>
      </c>
      <c r="H2376" s="116"/>
      <c r="I2376" s="116"/>
      <c r="L2376" s="170">
        <v>45504</v>
      </c>
      <c r="M2376" s="116">
        <v>146.88999999999999</v>
      </c>
      <c r="N2376" s="116">
        <v>149.86000000000001</v>
      </c>
      <c r="O2376" s="116">
        <v>142.53</v>
      </c>
      <c r="P2376" s="116">
        <v>147.1</v>
      </c>
      <c r="Q2376" s="116">
        <v>734.45</v>
      </c>
      <c r="R2376">
        <v>12076205</v>
      </c>
    </row>
    <row r="2377" spans="1:18" x14ac:dyDescent="0.25">
      <c r="A2377" s="170">
        <v>45505</v>
      </c>
      <c r="B2377" s="116">
        <v>150.43</v>
      </c>
      <c r="C2377" s="116">
        <v>147.55000000000001</v>
      </c>
      <c r="D2377" s="116">
        <v>143.06</v>
      </c>
      <c r="E2377" s="116">
        <v>143.9</v>
      </c>
      <c r="F2377" s="116">
        <v>737.75</v>
      </c>
      <c r="G2377">
        <v>2012101</v>
      </c>
      <c r="H2377" s="116"/>
      <c r="I2377" s="116"/>
      <c r="L2377" s="170">
        <v>45505</v>
      </c>
      <c r="M2377" s="116">
        <v>147.6</v>
      </c>
      <c r="N2377" s="116">
        <v>150.58000000000001</v>
      </c>
      <c r="O2377" s="116">
        <v>143</v>
      </c>
      <c r="P2377" s="116">
        <v>144</v>
      </c>
      <c r="Q2377" s="116">
        <v>738</v>
      </c>
      <c r="R2377">
        <v>13649371</v>
      </c>
    </row>
    <row r="2378" spans="1:18" x14ac:dyDescent="0.25">
      <c r="A2378" s="170">
        <v>45506</v>
      </c>
      <c r="B2378" s="116">
        <v>148.1</v>
      </c>
      <c r="C2378" s="116">
        <v>145.28</v>
      </c>
      <c r="D2378" s="116">
        <v>144.19999999999999</v>
      </c>
      <c r="E2378" s="116">
        <v>145.94999999999999</v>
      </c>
      <c r="F2378" s="116">
        <v>726.4</v>
      </c>
      <c r="G2378">
        <v>319628</v>
      </c>
      <c r="H2378" s="116"/>
      <c r="I2378" s="116"/>
      <c r="L2378" s="170">
        <v>45506</v>
      </c>
      <c r="M2378" s="116">
        <v>145.27000000000001</v>
      </c>
      <c r="N2378" s="116">
        <v>148.15</v>
      </c>
      <c r="O2378" s="116">
        <v>144.19</v>
      </c>
      <c r="P2378" s="116">
        <v>145.58000000000001</v>
      </c>
      <c r="Q2378" s="116">
        <v>726.35</v>
      </c>
      <c r="R2378">
        <v>5669123</v>
      </c>
    </row>
    <row r="2379" spans="1:18" x14ac:dyDescent="0.25">
      <c r="A2379" s="170">
        <v>45509</v>
      </c>
      <c r="B2379" s="116">
        <v>143.9</v>
      </c>
      <c r="C2379" s="116">
        <v>138.16</v>
      </c>
      <c r="D2379" s="116">
        <v>137.04</v>
      </c>
      <c r="E2379" s="116">
        <v>137.04</v>
      </c>
      <c r="F2379" s="116">
        <v>690.8</v>
      </c>
      <c r="G2379">
        <v>1336154</v>
      </c>
      <c r="H2379" s="116"/>
      <c r="I2379" s="116"/>
      <c r="L2379" s="170">
        <v>45509</v>
      </c>
      <c r="M2379" s="116">
        <v>138.16999999999999</v>
      </c>
      <c r="N2379" s="116">
        <v>143.84</v>
      </c>
      <c r="O2379" s="116">
        <v>136.19999999999999</v>
      </c>
      <c r="P2379" s="116">
        <v>140</v>
      </c>
      <c r="Q2379" s="116">
        <v>690.85</v>
      </c>
      <c r="R2379">
        <v>15329072</v>
      </c>
    </row>
    <row r="2380" spans="1:18" x14ac:dyDescent="0.25">
      <c r="A2380" s="170">
        <v>45510</v>
      </c>
      <c r="B2380" s="116">
        <v>141.38999999999999</v>
      </c>
      <c r="C2380" s="116">
        <v>137.44999999999999</v>
      </c>
      <c r="D2380" s="116">
        <v>136.5</v>
      </c>
      <c r="E2380" s="116">
        <v>138.43</v>
      </c>
      <c r="F2380" s="116">
        <v>687.25</v>
      </c>
      <c r="G2380">
        <v>408071</v>
      </c>
      <c r="H2380" s="116"/>
      <c r="I2380" s="116"/>
      <c r="L2380" s="170">
        <v>45510</v>
      </c>
      <c r="M2380" s="116">
        <v>137.88</v>
      </c>
      <c r="N2380" s="116">
        <v>141.33000000000001</v>
      </c>
      <c r="O2380" s="116">
        <v>136.6</v>
      </c>
      <c r="P2380" s="116">
        <v>139.38999999999999</v>
      </c>
      <c r="Q2380" s="116">
        <v>689.4</v>
      </c>
      <c r="R2380">
        <v>14694147</v>
      </c>
    </row>
    <row r="2381" spans="1:18" x14ac:dyDescent="0.25">
      <c r="A2381" s="170">
        <v>45511</v>
      </c>
      <c r="B2381" s="116">
        <v>140.68</v>
      </c>
      <c r="C2381" s="116">
        <v>138.18</v>
      </c>
      <c r="D2381" s="116">
        <v>137.65</v>
      </c>
      <c r="E2381" s="116">
        <v>140</v>
      </c>
      <c r="F2381" s="116">
        <v>690.9</v>
      </c>
      <c r="G2381">
        <v>199804</v>
      </c>
      <c r="H2381" s="116"/>
      <c r="I2381" s="116"/>
      <c r="L2381" s="170">
        <v>45511</v>
      </c>
      <c r="M2381" s="116">
        <v>138.38</v>
      </c>
      <c r="N2381" s="116">
        <v>140.94</v>
      </c>
      <c r="O2381" s="116">
        <v>137.63</v>
      </c>
      <c r="P2381" s="116">
        <v>140</v>
      </c>
      <c r="Q2381" s="116">
        <v>691.9</v>
      </c>
      <c r="R2381">
        <v>15171803</v>
      </c>
    </row>
    <row r="2382" spans="1:18" x14ac:dyDescent="0.25">
      <c r="A2382" s="170">
        <v>45512</v>
      </c>
      <c r="B2382" s="116">
        <v>140</v>
      </c>
      <c r="C2382" s="116">
        <v>138.21</v>
      </c>
      <c r="D2382" s="116">
        <v>137.22</v>
      </c>
      <c r="E2382" s="116">
        <v>138.96</v>
      </c>
      <c r="F2382" s="116">
        <v>691.05</v>
      </c>
      <c r="G2382">
        <v>180082</v>
      </c>
      <c r="H2382" s="116"/>
      <c r="I2382" s="116"/>
      <c r="L2382" s="170">
        <v>45512</v>
      </c>
      <c r="M2382" s="116">
        <v>138.31</v>
      </c>
      <c r="N2382" s="116">
        <v>140</v>
      </c>
      <c r="O2382" s="116">
        <v>137.07</v>
      </c>
      <c r="P2382" s="116">
        <v>138.94</v>
      </c>
      <c r="Q2382" s="116">
        <v>691.55</v>
      </c>
      <c r="R2382">
        <v>15691389</v>
      </c>
    </row>
    <row r="2383" spans="1:18" x14ac:dyDescent="0.25">
      <c r="A2383" s="170">
        <v>45513</v>
      </c>
      <c r="B2383" s="116">
        <v>140.65</v>
      </c>
      <c r="C2383" s="116">
        <v>139.02000000000001</v>
      </c>
      <c r="D2383" s="116">
        <v>138.4</v>
      </c>
      <c r="E2383" s="116">
        <v>139.69</v>
      </c>
      <c r="F2383" s="116">
        <v>695.1</v>
      </c>
      <c r="G2383">
        <v>197045</v>
      </c>
      <c r="H2383" s="116"/>
      <c r="I2383" s="116"/>
      <c r="L2383" s="170">
        <v>45513</v>
      </c>
      <c r="M2383" s="116">
        <v>139.08000000000001</v>
      </c>
      <c r="N2383" s="116">
        <v>140.78</v>
      </c>
      <c r="O2383" s="116">
        <v>138.31</v>
      </c>
      <c r="P2383" s="116">
        <v>139.41</v>
      </c>
      <c r="Q2383" s="116">
        <v>695.4</v>
      </c>
      <c r="R2383">
        <v>13922027</v>
      </c>
    </row>
    <row r="2384" spans="1:18" x14ac:dyDescent="0.25">
      <c r="A2384" s="170">
        <v>45516</v>
      </c>
      <c r="B2384" s="116">
        <v>139.02000000000001</v>
      </c>
      <c r="C2384" s="116">
        <v>138.11000000000001</v>
      </c>
      <c r="D2384" s="116">
        <v>123.8</v>
      </c>
      <c r="E2384" s="116">
        <v>132.01</v>
      </c>
      <c r="F2384" s="116">
        <v>690.55</v>
      </c>
      <c r="G2384">
        <v>1618357</v>
      </c>
      <c r="H2384" s="116"/>
      <c r="I2384" s="116"/>
      <c r="L2384" s="170">
        <v>45516</v>
      </c>
      <c r="M2384" s="116">
        <v>138.30000000000001</v>
      </c>
      <c r="N2384" s="116">
        <v>138.99</v>
      </c>
      <c r="O2384" s="116">
        <v>124</v>
      </c>
      <c r="P2384" s="116">
        <v>135</v>
      </c>
      <c r="Q2384" s="116">
        <v>691.5</v>
      </c>
      <c r="R2384">
        <v>28039604</v>
      </c>
    </row>
    <row r="2385" spans="1:18" x14ac:dyDescent="0.25">
      <c r="A2385" s="170">
        <v>45517</v>
      </c>
      <c r="B2385" s="116">
        <v>140.52000000000001</v>
      </c>
      <c r="C2385" s="116">
        <v>137.83000000000001</v>
      </c>
      <c r="D2385" s="116">
        <v>137.19999999999999</v>
      </c>
      <c r="E2385" s="116">
        <v>138.25</v>
      </c>
      <c r="F2385" s="116">
        <v>689.15</v>
      </c>
      <c r="G2385">
        <v>355325</v>
      </c>
      <c r="H2385" s="116"/>
      <c r="I2385" s="116"/>
      <c r="L2385" s="170">
        <v>45517</v>
      </c>
      <c r="M2385" s="116">
        <v>137.9</v>
      </c>
      <c r="N2385" s="116">
        <v>140.5</v>
      </c>
      <c r="O2385" s="116">
        <v>137.19999999999999</v>
      </c>
      <c r="P2385" s="116">
        <v>138.5</v>
      </c>
      <c r="Q2385" s="116">
        <v>689.5</v>
      </c>
      <c r="R2385">
        <v>14772732</v>
      </c>
    </row>
    <row r="2386" spans="1:18" x14ac:dyDescent="0.25">
      <c r="A2386" s="170">
        <v>45518</v>
      </c>
      <c r="B2386" s="116">
        <v>138</v>
      </c>
      <c r="C2386" s="116">
        <v>134.79</v>
      </c>
      <c r="D2386" s="116">
        <v>134.28</v>
      </c>
      <c r="E2386" s="116">
        <v>137.65</v>
      </c>
      <c r="F2386" s="116">
        <v>673.95</v>
      </c>
      <c r="G2386">
        <v>263981</v>
      </c>
      <c r="H2386" s="116"/>
      <c r="I2386" s="116"/>
      <c r="L2386" s="170">
        <v>45518</v>
      </c>
      <c r="M2386" s="116">
        <v>134.81</v>
      </c>
      <c r="N2386" s="116">
        <v>137.94</v>
      </c>
      <c r="O2386" s="116">
        <v>134.19999999999999</v>
      </c>
      <c r="P2386" s="116">
        <v>137.88</v>
      </c>
      <c r="Q2386" s="116">
        <v>674.05</v>
      </c>
      <c r="R2386">
        <v>14521140</v>
      </c>
    </row>
    <row r="2387" spans="1:18" x14ac:dyDescent="0.25">
      <c r="A2387" s="170">
        <v>45520</v>
      </c>
      <c r="B2387" s="116">
        <v>140.13999999999999</v>
      </c>
      <c r="C2387" s="116">
        <v>139.46</v>
      </c>
      <c r="D2387" s="116">
        <v>134.26</v>
      </c>
      <c r="E2387" s="116">
        <v>136.75</v>
      </c>
      <c r="F2387" s="116">
        <v>697.3</v>
      </c>
      <c r="G2387">
        <v>267482</v>
      </c>
      <c r="H2387" s="116"/>
      <c r="I2387" s="116"/>
      <c r="L2387" s="170">
        <v>45520</v>
      </c>
      <c r="M2387" s="116">
        <v>139.47999999999999</v>
      </c>
      <c r="N2387" s="116">
        <v>140</v>
      </c>
      <c r="O2387" s="116">
        <v>134.19999999999999</v>
      </c>
      <c r="P2387" s="116">
        <v>136.6</v>
      </c>
      <c r="Q2387" s="116">
        <v>697.4</v>
      </c>
      <c r="R2387">
        <v>16281420</v>
      </c>
    </row>
    <row r="2388" spans="1:18" x14ac:dyDescent="0.25">
      <c r="A2388" s="170">
        <v>45523</v>
      </c>
      <c r="B2388" s="116">
        <v>141.30000000000001</v>
      </c>
      <c r="C2388" s="116">
        <v>139.33000000000001</v>
      </c>
      <c r="D2388" s="116">
        <v>138.65</v>
      </c>
      <c r="E2388" s="116">
        <v>139.80000000000001</v>
      </c>
      <c r="F2388" s="116">
        <v>696.65</v>
      </c>
      <c r="G2388">
        <v>246017</v>
      </c>
      <c r="H2388" s="116"/>
      <c r="I2388" s="116"/>
      <c r="L2388" s="170">
        <v>45523</v>
      </c>
      <c r="M2388" s="116">
        <v>139.4</v>
      </c>
      <c r="N2388" s="116">
        <v>141.35</v>
      </c>
      <c r="O2388" s="116">
        <v>138.6</v>
      </c>
      <c r="P2388" s="116">
        <v>139.6</v>
      </c>
      <c r="Q2388" s="116">
        <v>697</v>
      </c>
      <c r="R2388">
        <v>16369504</v>
      </c>
    </row>
    <row r="2389" spans="1:18" x14ac:dyDescent="0.25">
      <c r="A2389" s="170">
        <v>45524</v>
      </c>
      <c r="B2389" s="116">
        <v>140.38999999999999</v>
      </c>
      <c r="C2389" s="116">
        <v>138.96</v>
      </c>
      <c r="D2389" s="116">
        <v>138.41999999999999</v>
      </c>
      <c r="E2389" s="116">
        <v>139.80000000000001</v>
      </c>
      <c r="F2389" s="116">
        <v>694.8</v>
      </c>
      <c r="G2389">
        <v>163605</v>
      </c>
      <c r="H2389" s="116"/>
      <c r="I2389" s="116"/>
      <c r="L2389" s="170">
        <v>45524</v>
      </c>
      <c r="M2389" s="116">
        <v>139.09</v>
      </c>
      <c r="N2389" s="116">
        <v>140.37</v>
      </c>
      <c r="O2389" s="116">
        <v>138.44999999999999</v>
      </c>
      <c r="P2389" s="116">
        <v>139.4</v>
      </c>
      <c r="Q2389" s="116">
        <v>695.45</v>
      </c>
      <c r="R2389">
        <v>11990722</v>
      </c>
    </row>
    <row r="2390" spans="1:18" x14ac:dyDescent="0.25">
      <c r="A2390" s="170">
        <v>45525</v>
      </c>
      <c r="B2390" s="116">
        <v>140.19999999999999</v>
      </c>
      <c r="C2390" s="116">
        <v>138.99</v>
      </c>
      <c r="D2390" s="116">
        <v>138.13</v>
      </c>
      <c r="E2390" s="116">
        <v>138.13</v>
      </c>
      <c r="F2390" s="116">
        <v>694.95</v>
      </c>
      <c r="G2390">
        <v>170436</v>
      </c>
      <c r="H2390" s="116"/>
      <c r="I2390" s="116"/>
      <c r="L2390" s="170">
        <v>45525</v>
      </c>
      <c r="M2390" s="116">
        <v>139.03</v>
      </c>
      <c r="N2390" s="116">
        <v>140.28</v>
      </c>
      <c r="O2390" s="116">
        <v>138.4</v>
      </c>
      <c r="P2390" s="116">
        <v>139.09</v>
      </c>
      <c r="Q2390" s="116">
        <v>695.15</v>
      </c>
      <c r="R2390">
        <v>11486465</v>
      </c>
    </row>
    <row r="2391" spans="1:18" x14ac:dyDescent="0.25">
      <c r="A2391" s="170">
        <v>45526</v>
      </c>
      <c r="B2391" s="116">
        <v>139.59</v>
      </c>
      <c r="C2391" s="116">
        <v>134.77000000000001</v>
      </c>
      <c r="D2391" s="116">
        <v>134.21</v>
      </c>
      <c r="E2391" s="116">
        <v>138.41</v>
      </c>
      <c r="F2391" s="116">
        <v>673.85</v>
      </c>
      <c r="G2391">
        <v>192081</v>
      </c>
      <c r="H2391" s="116"/>
      <c r="I2391" s="116"/>
      <c r="L2391" s="170">
        <v>45526</v>
      </c>
      <c r="M2391" s="116">
        <v>134.74</v>
      </c>
      <c r="N2391" s="116">
        <v>139.5</v>
      </c>
      <c r="O2391" s="116">
        <v>134.19999999999999</v>
      </c>
      <c r="P2391" s="116">
        <v>139.1</v>
      </c>
      <c r="Q2391" s="116">
        <v>673.7</v>
      </c>
      <c r="R2391">
        <v>4186497</v>
      </c>
    </row>
    <row r="2392" spans="1:18" x14ac:dyDescent="0.25">
      <c r="A2392" s="170">
        <v>45527</v>
      </c>
      <c r="B2392" s="116">
        <v>137.80000000000001</v>
      </c>
      <c r="C2392" s="116">
        <v>135.16999999999999</v>
      </c>
      <c r="D2392" s="116">
        <v>134.80000000000001</v>
      </c>
      <c r="E2392" s="116">
        <v>137.1</v>
      </c>
      <c r="F2392" s="116">
        <v>675.85</v>
      </c>
      <c r="G2392">
        <v>482117</v>
      </c>
      <c r="H2392" s="116"/>
      <c r="I2392" s="116"/>
      <c r="L2392" s="170">
        <v>45527</v>
      </c>
      <c r="M2392" s="116">
        <v>135.16</v>
      </c>
      <c r="N2392" s="116">
        <v>137.80000000000001</v>
      </c>
      <c r="O2392" s="116">
        <v>134.80000000000001</v>
      </c>
      <c r="P2392" s="116">
        <v>137.4</v>
      </c>
      <c r="Q2392" s="116">
        <v>675.8</v>
      </c>
      <c r="R2392">
        <v>3498357</v>
      </c>
    </row>
    <row r="2393" spans="1:18" x14ac:dyDescent="0.25">
      <c r="A2393" s="170">
        <v>45530</v>
      </c>
      <c r="B2393" s="116">
        <v>135.77000000000001</v>
      </c>
      <c r="C2393" s="116">
        <v>132.28</v>
      </c>
      <c r="D2393" s="116">
        <v>132</v>
      </c>
      <c r="E2393" s="116">
        <v>135.16</v>
      </c>
      <c r="F2393" s="116">
        <v>661.4</v>
      </c>
      <c r="G2393">
        <v>545933</v>
      </c>
      <c r="H2393" s="116"/>
      <c r="I2393" s="116"/>
      <c r="L2393" s="170">
        <v>45530</v>
      </c>
      <c r="M2393" s="116">
        <v>132.26</v>
      </c>
      <c r="N2393" s="116">
        <v>135.80000000000001</v>
      </c>
      <c r="O2393" s="116">
        <v>132</v>
      </c>
      <c r="P2393" s="116">
        <v>134.9</v>
      </c>
      <c r="Q2393" s="116">
        <v>661.3</v>
      </c>
      <c r="R2393">
        <v>3416207</v>
      </c>
    </row>
    <row r="2394" spans="1:18" x14ac:dyDescent="0.25">
      <c r="A2394" s="170">
        <v>45531</v>
      </c>
      <c r="B2394" s="116">
        <v>134.35</v>
      </c>
      <c r="C2394" s="116">
        <v>130.83000000000001</v>
      </c>
      <c r="D2394" s="116">
        <v>130.32</v>
      </c>
      <c r="E2394" s="116">
        <v>133</v>
      </c>
      <c r="F2394" s="116">
        <v>654.15</v>
      </c>
      <c r="G2394">
        <v>191153</v>
      </c>
      <c r="H2394" s="116"/>
      <c r="I2394" s="116"/>
      <c r="L2394" s="170">
        <v>45531</v>
      </c>
      <c r="M2394" s="116">
        <v>130.82</v>
      </c>
      <c r="N2394" s="116">
        <v>134.38999999999999</v>
      </c>
      <c r="O2394" s="116">
        <v>130.34</v>
      </c>
      <c r="P2394" s="116">
        <v>133</v>
      </c>
      <c r="Q2394" s="116">
        <v>654.1</v>
      </c>
      <c r="R2394">
        <v>3446140</v>
      </c>
    </row>
    <row r="2395" spans="1:18" x14ac:dyDescent="0.25">
      <c r="A2395" s="170">
        <v>45532</v>
      </c>
      <c r="B2395" s="116">
        <v>131.74</v>
      </c>
      <c r="C2395" s="116">
        <v>128.29</v>
      </c>
      <c r="D2395" s="116">
        <v>127.72</v>
      </c>
      <c r="E2395" s="116">
        <v>131.65</v>
      </c>
      <c r="F2395" s="116">
        <v>641.45000000000005</v>
      </c>
      <c r="G2395">
        <v>504932</v>
      </c>
      <c r="H2395" s="116"/>
      <c r="I2395" s="116"/>
      <c r="L2395" s="170">
        <v>45532</v>
      </c>
      <c r="M2395" s="116">
        <v>128.31</v>
      </c>
      <c r="N2395" s="116">
        <v>131.77000000000001</v>
      </c>
      <c r="O2395" s="116">
        <v>127.63</v>
      </c>
      <c r="P2395" s="116">
        <v>131.4</v>
      </c>
      <c r="Q2395" s="116">
        <v>641.54999999999995</v>
      </c>
      <c r="R2395">
        <v>3573910</v>
      </c>
    </row>
    <row r="2396" spans="1:18" x14ac:dyDescent="0.25">
      <c r="A2396" s="170">
        <v>45533</v>
      </c>
      <c r="B2396" s="116">
        <v>129.93</v>
      </c>
      <c r="C2396" s="116">
        <v>128.83000000000001</v>
      </c>
      <c r="D2396" s="116">
        <v>125.8</v>
      </c>
      <c r="E2396" s="116">
        <v>128.28</v>
      </c>
      <c r="F2396" s="116">
        <v>644.15</v>
      </c>
      <c r="G2396">
        <v>318301</v>
      </c>
      <c r="H2396" s="116"/>
      <c r="I2396" s="116"/>
      <c r="L2396" s="170">
        <v>45533</v>
      </c>
      <c r="M2396" s="116">
        <v>128.86000000000001</v>
      </c>
      <c r="N2396" s="116">
        <v>130</v>
      </c>
      <c r="O2396" s="116">
        <v>125.7</v>
      </c>
      <c r="P2396" s="116">
        <v>128</v>
      </c>
      <c r="Q2396" s="116">
        <v>644.29999999999995</v>
      </c>
      <c r="R2396">
        <v>4661301</v>
      </c>
    </row>
    <row r="2397" spans="1:18" x14ac:dyDescent="0.25">
      <c r="A2397" s="170">
        <v>45534</v>
      </c>
      <c r="B2397" s="116">
        <v>129.99</v>
      </c>
      <c r="C2397" s="116">
        <v>126.39</v>
      </c>
      <c r="D2397" s="116">
        <v>125.86</v>
      </c>
      <c r="E2397" s="116">
        <v>129.33000000000001</v>
      </c>
      <c r="F2397" s="116">
        <v>631.95000000000005</v>
      </c>
      <c r="G2397">
        <v>196552</v>
      </c>
      <c r="H2397" s="116"/>
      <c r="I2397" s="116"/>
      <c r="L2397" s="170">
        <v>45534</v>
      </c>
      <c r="M2397" s="116">
        <v>126.41</v>
      </c>
      <c r="N2397" s="116">
        <v>129.94</v>
      </c>
      <c r="O2397" s="116">
        <v>125.88</v>
      </c>
      <c r="P2397" s="116">
        <v>129.69999999999999</v>
      </c>
      <c r="Q2397" s="116">
        <v>632.04999999999995</v>
      </c>
      <c r="R2397">
        <v>4777522</v>
      </c>
    </row>
    <row r="2398" spans="1:18" x14ac:dyDescent="0.25">
      <c r="A2398" s="170">
        <v>45537</v>
      </c>
      <c r="B2398" s="116">
        <v>136.97999999999999</v>
      </c>
      <c r="C2398" s="116">
        <v>134.09</v>
      </c>
      <c r="D2398" s="116">
        <v>125.6</v>
      </c>
      <c r="E2398" s="116">
        <v>127.93</v>
      </c>
      <c r="F2398" s="116">
        <v>670.45</v>
      </c>
      <c r="G2398">
        <v>1007718</v>
      </c>
      <c r="H2398" s="116"/>
      <c r="I2398" s="116"/>
      <c r="L2398" s="170">
        <v>45537</v>
      </c>
      <c r="M2398" s="116">
        <v>134.04</v>
      </c>
      <c r="N2398" s="116">
        <v>136.88999999999999</v>
      </c>
      <c r="O2398" s="116">
        <v>125.61</v>
      </c>
      <c r="P2398" s="116">
        <v>127</v>
      </c>
      <c r="Q2398" s="116">
        <v>670.2</v>
      </c>
      <c r="R2398">
        <v>19722464</v>
      </c>
    </row>
    <row r="2399" spans="1:18" x14ac:dyDescent="0.25">
      <c r="A2399" s="170">
        <v>45538</v>
      </c>
      <c r="B2399" s="116">
        <v>134.4</v>
      </c>
      <c r="C2399" s="116">
        <v>131.71</v>
      </c>
      <c r="D2399" s="116">
        <v>131.28</v>
      </c>
      <c r="E2399" s="116">
        <v>134</v>
      </c>
      <c r="F2399" s="116">
        <v>658.55</v>
      </c>
      <c r="G2399">
        <v>408884</v>
      </c>
      <c r="H2399" s="116"/>
      <c r="I2399" s="116"/>
      <c r="L2399" s="170">
        <v>45538</v>
      </c>
      <c r="M2399" s="116">
        <v>131.82</v>
      </c>
      <c r="N2399" s="116">
        <v>134.4</v>
      </c>
      <c r="O2399" s="116">
        <v>131.41</v>
      </c>
      <c r="P2399" s="116">
        <v>134.04</v>
      </c>
      <c r="Q2399" s="116">
        <v>659.1</v>
      </c>
      <c r="R2399">
        <v>3930349</v>
      </c>
    </row>
    <row r="2400" spans="1:18" x14ac:dyDescent="0.25">
      <c r="A2400" s="170">
        <v>45539</v>
      </c>
      <c r="B2400" s="116">
        <v>131.80000000000001</v>
      </c>
      <c r="C2400" s="116">
        <v>130.13999999999999</v>
      </c>
      <c r="D2400" s="116">
        <v>129.83000000000001</v>
      </c>
      <c r="E2400" s="116">
        <v>131.19</v>
      </c>
      <c r="F2400" s="116">
        <v>650.70000000000005</v>
      </c>
      <c r="G2400">
        <v>170945</v>
      </c>
      <c r="H2400" s="116"/>
      <c r="I2400" s="116"/>
      <c r="L2400" s="170">
        <v>45539</v>
      </c>
      <c r="M2400" s="116">
        <v>130.16999999999999</v>
      </c>
      <c r="N2400" s="116">
        <v>131.80000000000001</v>
      </c>
      <c r="O2400" s="116">
        <v>129.80000000000001</v>
      </c>
      <c r="P2400" s="116">
        <v>129.86000000000001</v>
      </c>
      <c r="Q2400" s="116">
        <v>650.85</v>
      </c>
      <c r="R2400">
        <v>2484343</v>
      </c>
    </row>
    <row r="2401" spans="1:18" x14ac:dyDescent="0.25">
      <c r="A2401" s="170">
        <v>45540</v>
      </c>
      <c r="B2401" s="116">
        <v>131.15</v>
      </c>
      <c r="C2401" s="116">
        <v>128.78</v>
      </c>
      <c r="D2401" s="116">
        <v>128.19</v>
      </c>
      <c r="E2401" s="116">
        <v>130.35</v>
      </c>
      <c r="F2401" s="116">
        <v>643.9</v>
      </c>
      <c r="G2401">
        <v>144552</v>
      </c>
      <c r="H2401" s="116"/>
      <c r="I2401" s="116"/>
      <c r="L2401" s="170">
        <v>45540</v>
      </c>
      <c r="M2401" s="116">
        <v>128.77000000000001</v>
      </c>
      <c r="N2401" s="116">
        <v>131.18</v>
      </c>
      <c r="O2401" s="116">
        <v>128.19999999999999</v>
      </c>
      <c r="P2401" s="116">
        <v>130.44</v>
      </c>
      <c r="Q2401" s="116">
        <v>643.85</v>
      </c>
      <c r="R2401">
        <v>2222687</v>
      </c>
    </row>
    <row r="2402" spans="1:18" x14ac:dyDescent="0.25">
      <c r="A2402" s="170">
        <v>45541</v>
      </c>
      <c r="B2402" s="116">
        <v>129.6</v>
      </c>
      <c r="C2402" s="116">
        <v>127.01</v>
      </c>
      <c r="D2402" s="116">
        <v>126.27</v>
      </c>
      <c r="E2402" s="116">
        <v>128.99</v>
      </c>
      <c r="F2402" s="116">
        <v>635.04999999999995</v>
      </c>
      <c r="G2402">
        <v>407922</v>
      </c>
      <c r="H2402" s="116"/>
      <c r="I2402" s="116"/>
      <c r="L2402" s="170">
        <v>45541</v>
      </c>
      <c r="M2402" s="116">
        <v>126.94</v>
      </c>
      <c r="N2402" s="116">
        <v>129.61000000000001</v>
      </c>
      <c r="O2402" s="116">
        <v>126</v>
      </c>
      <c r="P2402" s="116">
        <v>128.80000000000001</v>
      </c>
      <c r="Q2402" s="116">
        <v>634.70000000000005</v>
      </c>
      <c r="R2402">
        <v>2549153</v>
      </c>
    </row>
    <row r="2403" spans="1:18" x14ac:dyDescent="0.25">
      <c r="A2403" s="170">
        <v>45544</v>
      </c>
      <c r="B2403" s="116">
        <v>128.94999999999999</v>
      </c>
      <c r="C2403" s="116">
        <v>127.1</v>
      </c>
      <c r="D2403" s="116">
        <v>124.24</v>
      </c>
      <c r="E2403" s="116">
        <v>127.74</v>
      </c>
      <c r="F2403" s="116">
        <v>635.5</v>
      </c>
      <c r="G2403">
        <v>759378</v>
      </c>
      <c r="H2403" s="116"/>
      <c r="I2403" s="116"/>
      <c r="L2403" s="170">
        <v>45544</v>
      </c>
      <c r="M2403" s="116">
        <v>127.04</v>
      </c>
      <c r="N2403" s="116">
        <v>129</v>
      </c>
      <c r="O2403" s="116">
        <v>124.2</v>
      </c>
      <c r="P2403" s="116">
        <v>127</v>
      </c>
      <c r="Q2403" s="116">
        <v>635.20000000000005</v>
      </c>
      <c r="R2403">
        <v>3959557</v>
      </c>
    </row>
    <row r="2404" spans="1:18" x14ac:dyDescent="0.25">
      <c r="A2404" s="170">
        <v>45545</v>
      </c>
      <c r="B2404" s="116">
        <v>129.19</v>
      </c>
      <c r="C2404" s="116">
        <v>127.44</v>
      </c>
      <c r="D2404" s="116">
        <v>126.75</v>
      </c>
      <c r="E2404" s="116">
        <v>128.27000000000001</v>
      </c>
      <c r="F2404" s="116">
        <v>637.20000000000005</v>
      </c>
      <c r="G2404">
        <v>384607</v>
      </c>
      <c r="H2404" s="116"/>
      <c r="I2404" s="116"/>
      <c r="L2404" s="170">
        <v>45545</v>
      </c>
      <c r="M2404" s="116">
        <v>127.41</v>
      </c>
      <c r="N2404" s="116">
        <v>129.19999999999999</v>
      </c>
      <c r="O2404" s="116">
        <v>126.6</v>
      </c>
      <c r="P2404" s="116">
        <v>127.8</v>
      </c>
      <c r="Q2404" s="116">
        <v>637.04999999999995</v>
      </c>
      <c r="R2404">
        <v>2429849</v>
      </c>
    </row>
    <row r="2405" spans="1:18" x14ac:dyDescent="0.25">
      <c r="A2405" s="170">
        <v>45546</v>
      </c>
      <c r="B2405" s="116">
        <v>128</v>
      </c>
      <c r="C2405" s="116">
        <v>125.36</v>
      </c>
      <c r="D2405" s="116">
        <v>125</v>
      </c>
      <c r="E2405" s="116">
        <v>127.4</v>
      </c>
      <c r="F2405" s="116">
        <v>626.79999999999995</v>
      </c>
      <c r="G2405">
        <v>282047</v>
      </c>
      <c r="H2405" s="116"/>
      <c r="I2405" s="116"/>
      <c r="L2405" s="170">
        <v>45546</v>
      </c>
      <c r="M2405" s="116">
        <v>125.44</v>
      </c>
      <c r="N2405" s="116">
        <v>127.98</v>
      </c>
      <c r="O2405" s="116">
        <v>125.02</v>
      </c>
      <c r="P2405" s="116">
        <v>127.27</v>
      </c>
      <c r="Q2405" s="116">
        <v>627.20000000000005</v>
      </c>
      <c r="R2405">
        <v>1653235</v>
      </c>
    </row>
    <row r="2406" spans="1:18" x14ac:dyDescent="0.25">
      <c r="A2406" s="170">
        <v>45547</v>
      </c>
      <c r="B2406" s="116">
        <v>130.91999999999999</v>
      </c>
      <c r="C2406" s="116">
        <v>130.27000000000001</v>
      </c>
      <c r="D2406" s="116">
        <v>124.65</v>
      </c>
      <c r="E2406" s="116">
        <v>127.14</v>
      </c>
      <c r="F2406" s="116">
        <v>651.35</v>
      </c>
      <c r="G2406">
        <v>364898</v>
      </c>
      <c r="H2406" s="116"/>
      <c r="I2406" s="116"/>
      <c r="L2406" s="170">
        <v>45547</v>
      </c>
      <c r="M2406" s="116">
        <v>130.22</v>
      </c>
      <c r="N2406" s="116">
        <v>131</v>
      </c>
      <c r="O2406" s="116">
        <v>124.6</v>
      </c>
      <c r="P2406" s="116">
        <v>126.7</v>
      </c>
      <c r="Q2406" s="116">
        <v>651.1</v>
      </c>
      <c r="R2406">
        <v>5508037</v>
      </c>
    </row>
    <row r="2407" spans="1:18" x14ac:dyDescent="0.25">
      <c r="A2407" s="170">
        <v>45548</v>
      </c>
      <c r="B2407" s="116">
        <v>129.53</v>
      </c>
      <c r="C2407" s="116">
        <v>126.71</v>
      </c>
      <c r="D2407" s="116">
        <v>126.09</v>
      </c>
      <c r="E2407" s="116">
        <v>129.53</v>
      </c>
      <c r="F2407" s="116">
        <v>633.54999999999995</v>
      </c>
      <c r="G2407">
        <v>447056</v>
      </c>
      <c r="H2407" s="116"/>
      <c r="I2407" s="116"/>
      <c r="L2407" s="170">
        <v>45548</v>
      </c>
      <c r="M2407" s="116">
        <v>126.69</v>
      </c>
      <c r="N2407" s="116">
        <v>129.32</v>
      </c>
      <c r="O2407" s="116">
        <v>126.2</v>
      </c>
      <c r="P2407" s="116">
        <v>128.53</v>
      </c>
      <c r="Q2407" s="116">
        <v>633.45000000000005</v>
      </c>
      <c r="R2407">
        <v>2810030</v>
      </c>
    </row>
    <row r="2408" spans="1:18" x14ac:dyDescent="0.25">
      <c r="A2408" s="170">
        <v>45551</v>
      </c>
      <c r="B2408" s="116">
        <v>136.26</v>
      </c>
      <c r="C2408" s="116">
        <v>133.19999999999999</v>
      </c>
      <c r="D2408" s="116">
        <v>130.03</v>
      </c>
      <c r="E2408" s="116">
        <v>132.19</v>
      </c>
      <c r="F2408" s="116">
        <v>666</v>
      </c>
      <c r="G2408">
        <v>1749076</v>
      </c>
      <c r="H2408" s="116"/>
      <c r="I2408" s="116"/>
      <c r="L2408" s="170">
        <v>45551</v>
      </c>
      <c r="M2408" s="116">
        <v>133.19</v>
      </c>
      <c r="N2408" s="116">
        <v>136.31</v>
      </c>
      <c r="O2408" s="116">
        <v>130.16</v>
      </c>
      <c r="P2408" s="116">
        <v>132.19999999999999</v>
      </c>
      <c r="Q2408" s="116">
        <v>665.95</v>
      </c>
      <c r="R2408">
        <v>14262802</v>
      </c>
    </row>
    <row r="2409" spans="1:18" x14ac:dyDescent="0.25">
      <c r="A2409" s="170">
        <v>45552</v>
      </c>
      <c r="B2409" s="116">
        <v>134.79</v>
      </c>
      <c r="C2409" s="116">
        <v>133.24</v>
      </c>
      <c r="D2409" s="116">
        <v>130.46</v>
      </c>
      <c r="E2409" s="116">
        <v>133.19999999999999</v>
      </c>
      <c r="F2409" s="116">
        <v>666.2</v>
      </c>
      <c r="G2409">
        <v>549851</v>
      </c>
      <c r="H2409" s="116"/>
      <c r="I2409" s="116"/>
      <c r="L2409" s="170">
        <v>45552</v>
      </c>
      <c r="M2409" s="116">
        <v>133.27000000000001</v>
      </c>
      <c r="N2409" s="116">
        <v>134.80000000000001</v>
      </c>
      <c r="O2409" s="116">
        <v>130.44</v>
      </c>
      <c r="P2409" s="116">
        <v>133.19999999999999</v>
      </c>
      <c r="Q2409" s="116">
        <v>666.35</v>
      </c>
      <c r="R2409">
        <v>3823091</v>
      </c>
    </row>
    <row r="2410" spans="1:18" x14ac:dyDescent="0.25">
      <c r="A2410" s="170">
        <v>45553</v>
      </c>
      <c r="B2410" s="116">
        <v>133.62</v>
      </c>
      <c r="C2410" s="116">
        <v>130.26</v>
      </c>
      <c r="D2410" s="116">
        <v>130</v>
      </c>
      <c r="E2410" s="116">
        <v>132.99</v>
      </c>
      <c r="F2410" s="116">
        <v>651.29999999999995</v>
      </c>
      <c r="G2410">
        <v>159187</v>
      </c>
      <c r="H2410" s="116"/>
      <c r="I2410" s="116"/>
      <c r="L2410" s="170">
        <v>45553</v>
      </c>
      <c r="M2410" s="116">
        <v>130.34</v>
      </c>
      <c r="N2410" s="116">
        <v>133.54</v>
      </c>
      <c r="O2410" s="116">
        <v>129.80000000000001</v>
      </c>
      <c r="P2410" s="116">
        <v>132.19999999999999</v>
      </c>
      <c r="Q2410" s="116">
        <v>651.70000000000005</v>
      </c>
      <c r="R2410">
        <v>1754433</v>
      </c>
    </row>
    <row r="2411" spans="1:18" x14ac:dyDescent="0.25">
      <c r="A2411" s="170">
        <v>45554</v>
      </c>
      <c r="B2411" s="116">
        <v>131.65</v>
      </c>
      <c r="C2411" s="116">
        <v>129.96</v>
      </c>
      <c r="D2411" s="116">
        <v>127.41</v>
      </c>
      <c r="E2411" s="116">
        <v>131.38999999999999</v>
      </c>
      <c r="F2411" s="116">
        <v>649.79999999999995</v>
      </c>
      <c r="G2411">
        <v>197030</v>
      </c>
      <c r="H2411" s="116"/>
      <c r="I2411" s="116"/>
      <c r="L2411" s="170">
        <v>45554</v>
      </c>
      <c r="M2411" s="116">
        <v>129.91999999999999</v>
      </c>
      <c r="N2411" s="116">
        <v>131.61000000000001</v>
      </c>
      <c r="O2411" s="116">
        <v>127.4</v>
      </c>
      <c r="P2411" s="116">
        <v>131</v>
      </c>
      <c r="Q2411" s="116">
        <v>649.6</v>
      </c>
      <c r="R2411">
        <v>2363060</v>
      </c>
    </row>
    <row r="2412" spans="1:18" x14ac:dyDescent="0.25">
      <c r="A2412" s="170">
        <v>45555</v>
      </c>
      <c r="B2412" s="116">
        <v>133.99</v>
      </c>
      <c r="C2412" s="116">
        <v>133.02000000000001</v>
      </c>
      <c r="D2412" s="116">
        <v>129.72999999999999</v>
      </c>
      <c r="E2412" s="116">
        <v>130.47999999999999</v>
      </c>
      <c r="F2412" s="116">
        <v>665.1</v>
      </c>
      <c r="G2412">
        <v>383739</v>
      </c>
      <c r="H2412" s="116"/>
      <c r="I2412" s="116"/>
      <c r="L2412" s="170">
        <v>45555</v>
      </c>
      <c r="M2412" s="116">
        <v>133.03</v>
      </c>
      <c r="N2412" s="116">
        <v>134</v>
      </c>
      <c r="O2412" s="116">
        <v>129.91999999999999</v>
      </c>
      <c r="P2412" s="116">
        <v>129.91999999999999</v>
      </c>
      <c r="Q2412" s="116">
        <v>665.15</v>
      </c>
      <c r="R2412">
        <v>2936128</v>
      </c>
    </row>
    <row r="2413" spans="1:18" x14ac:dyDescent="0.25">
      <c r="A2413" s="170">
        <v>45558</v>
      </c>
      <c r="B2413" s="116">
        <v>134.9</v>
      </c>
      <c r="C2413" s="116">
        <v>134.35</v>
      </c>
      <c r="D2413" s="116">
        <v>132.19999999999999</v>
      </c>
      <c r="E2413" s="116">
        <v>133.06</v>
      </c>
      <c r="F2413" s="116">
        <v>671.75</v>
      </c>
      <c r="G2413">
        <v>226592</v>
      </c>
      <c r="H2413" s="116"/>
      <c r="I2413" s="116"/>
      <c r="L2413" s="170">
        <v>45558</v>
      </c>
      <c r="M2413" s="116">
        <v>134.4</v>
      </c>
      <c r="N2413" s="116">
        <v>134.94999999999999</v>
      </c>
      <c r="O2413" s="116">
        <v>132.1</v>
      </c>
      <c r="P2413" s="116">
        <v>134.4</v>
      </c>
      <c r="Q2413" s="116">
        <v>672</v>
      </c>
      <c r="R2413">
        <v>3398899</v>
      </c>
    </row>
    <row r="2414" spans="1:18" x14ac:dyDescent="0.25">
      <c r="A2414" s="170">
        <v>45559</v>
      </c>
      <c r="B2414" s="116">
        <v>136</v>
      </c>
      <c r="C2414" s="116">
        <v>135.21</v>
      </c>
      <c r="D2414" s="116">
        <v>133.44999999999999</v>
      </c>
      <c r="E2414" s="116">
        <v>134.35</v>
      </c>
      <c r="F2414" s="116">
        <v>676.05</v>
      </c>
      <c r="G2414">
        <v>186002</v>
      </c>
      <c r="H2414" s="116"/>
      <c r="I2414" s="116"/>
      <c r="L2414" s="170">
        <v>45559</v>
      </c>
      <c r="M2414" s="116">
        <v>135.05000000000001</v>
      </c>
      <c r="N2414" s="116">
        <v>135.6</v>
      </c>
      <c r="O2414" s="116">
        <v>133.34</v>
      </c>
      <c r="P2414" s="116">
        <v>134.4</v>
      </c>
      <c r="Q2414" s="116">
        <v>675.25</v>
      </c>
      <c r="R2414">
        <v>2729439</v>
      </c>
    </row>
    <row r="2415" spans="1:18" x14ac:dyDescent="0.25">
      <c r="A2415" s="170">
        <v>45560</v>
      </c>
      <c r="B2415" s="116">
        <v>135.36000000000001</v>
      </c>
      <c r="C2415" s="116">
        <v>133.46</v>
      </c>
      <c r="D2415" s="116">
        <v>132.13999999999999</v>
      </c>
      <c r="E2415" s="116">
        <v>133.61000000000001</v>
      </c>
      <c r="F2415" s="116">
        <v>667.3</v>
      </c>
      <c r="G2415">
        <v>272607</v>
      </c>
      <c r="H2415" s="116"/>
      <c r="I2415" s="116"/>
      <c r="L2415" s="170">
        <v>45560</v>
      </c>
      <c r="M2415" s="116">
        <v>133.47</v>
      </c>
      <c r="N2415" s="116">
        <v>135.4</v>
      </c>
      <c r="O2415" s="116">
        <v>132</v>
      </c>
      <c r="P2415" s="116">
        <v>134</v>
      </c>
      <c r="Q2415" s="116">
        <v>667.35</v>
      </c>
      <c r="R2415">
        <v>1921900</v>
      </c>
    </row>
    <row r="2416" spans="1:18" x14ac:dyDescent="0.25">
      <c r="A2416" s="170">
        <v>45561</v>
      </c>
      <c r="B2416" s="116">
        <v>133.71</v>
      </c>
      <c r="C2416" s="116">
        <v>133.08000000000001</v>
      </c>
      <c r="D2416" s="116">
        <v>132</v>
      </c>
      <c r="E2416" s="116">
        <v>133.22999999999999</v>
      </c>
      <c r="F2416" s="116">
        <v>665.4</v>
      </c>
      <c r="G2416">
        <v>71695</v>
      </c>
      <c r="H2416" s="116"/>
      <c r="I2416" s="116"/>
      <c r="L2416" s="170">
        <v>45561</v>
      </c>
      <c r="M2416" s="116">
        <v>133.07</v>
      </c>
      <c r="N2416" s="116">
        <v>133.72999999999999</v>
      </c>
      <c r="O2416" s="116">
        <v>132.02000000000001</v>
      </c>
      <c r="P2416" s="116">
        <v>133.6</v>
      </c>
      <c r="Q2416" s="116">
        <v>665.35</v>
      </c>
      <c r="R2416">
        <v>1282999</v>
      </c>
    </row>
    <row r="2417" spans="1:18" x14ac:dyDescent="0.25">
      <c r="A2417" s="170">
        <v>45562</v>
      </c>
      <c r="B2417" s="116">
        <v>134.80000000000001</v>
      </c>
      <c r="C2417" s="116">
        <v>130.86000000000001</v>
      </c>
      <c r="D2417" s="116">
        <v>129.4</v>
      </c>
      <c r="E2417" s="116">
        <v>132.84</v>
      </c>
      <c r="F2417" s="116">
        <v>654.29999999999995</v>
      </c>
      <c r="G2417">
        <v>308349</v>
      </c>
      <c r="H2417" s="116"/>
      <c r="I2417" s="116"/>
      <c r="L2417" s="170">
        <v>45562</v>
      </c>
      <c r="M2417" s="116">
        <v>130.86000000000001</v>
      </c>
      <c r="N2417" s="116">
        <v>134.88</v>
      </c>
      <c r="O2417" s="116">
        <v>129.34</v>
      </c>
      <c r="P2417" s="116">
        <v>133</v>
      </c>
      <c r="Q2417" s="116">
        <v>654.29999999999995</v>
      </c>
      <c r="R2417">
        <v>3117587</v>
      </c>
    </row>
    <row r="2418" spans="1:18" x14ac:dyDescent="0.25">
      <c r="A2418" s="170">
        <v>45565</v>
      </c>
      <c r="B2418" s="116">
        <v>132.47</v>
      </c>
      <c r="C2418" s="116">
        <v>131.21</v>
      </c>
      <c r="D2418" s="116">
        <v>129.69999999999999</v>
      </c>
      <c r="E2418" s="116">
        <v>130.86000000000001</v>
      </c>
      <c r="F2418" s="116">
        <v>656.05</v>
      </c>
      <c r="G2418">
        <v>303076</v>
      </c>
      <c r="H2418" s="116"/>
      <c r="I2418" s="116"/>
      <c r="L2418" s="170">
        <v>45565</v>
      </c>
      <c r="M2418" s="116">
        <v>131.22999999999999</v>
      </c>
      <c r="N2418" s="116">
        <v>132.53</v>
      </c>
      <c r="O2418" s="116">
        <v>129.69999999999999</v>
      </c>
      <c r="P2418" s="116">
        <v>130.80000000000001</v>
      </c>
      <c r="Q2418" s="116">
        <v>656.15</v>
      </c>
      <c r="R2418">
        <v>2211131</v>
      </c>
    </row>
    <row r="2419" spans="1:18" x14ac:dyDescent="0.25">
      <c r="A2419" s="170">
        <v>45566</v>
      </c>
      <c r="B2419" s="116">
        <v>132.12</v>
      </c>
      <c r="C2419" s="116">
        <v>130.68</v>
      </c>
      <c r="D2419" s="116">
        <v>130.36000000000001</v>
      </c>
      <c r="E2419" s="116">
        <v>130.65</v>
      </c>
      <c r="F2419" s="116">
        <v>653.4</v>
      </c>
      <c r="G2419">
        <v>103359</v>
      </c>
      <c r="H2419" s="116"/>
      <c r="I2419" s="116"/>
      <c r="L2419" s="170">
        <v>45566</v>
      </c>
      <c r="M2419" s="116">
        <v>130.63999999999999</v>
      </c>
      <c r="N2419" s="116">
        <v>132.16</v>
      </c>
      <c r="O2419" s="116">
        <v>130.4</v>
      </c>
      <c r="P2419" s="116">
        <v>131</v>
      </c>
      <c r="Q2419" s="116">
        <v>653.20000000000005</v>
      </c>
      <c r="R2419">
        <v>1266464</v>
      </c>
    </row>
    <row r="2420" spans="1:18" x14ac:dyDescent="0.25">
      <c r="A2420" s="170">
        <v>45568</v>
      </c>
      <c r="B2420" s="116">
        <v>130.47</v>
      </c>
      <c r="C2420" s="116">
        <v>129.1</v>
      </c>
      <c r="D2420" s="116">
        <v>126.24</v>
      </c>
      <c r="E2420" s="116">
        <v>129.79</v>
      </c>
      <c r="F2420" s="116">
        <v>645.5</v>
      </c>
      <c r="G2420">
        <v>498668</v>
      </c>
      <c r="H2420" s="116"/>
      <c r="I2420" s="116"/>
      <c r="L2420" s="170">
        <v>45568</v>
      </c>
      <c r="M2420" s="116">
        <v>128.94999999999999</v>
      </c>
      <c r="N2420" s="116">
        <v>130.58000000000001</v>
      </c>
      <c r="O2420" s="116">
        <v>126.31</v>
      </c>
      <c r="P2420" s="116">
        <v>129.81</v>
      </c>
      <c r="Q2420" s="116">
        <v>644.75</v>
      </c>
      <c r="R2420">
        <v>2625339</v>
      </c>
    </row>
    <row r="2421" spans="1:18" x14ac:dyDescent="0.25">
      <c r="A2421" s="170">
        <v>45569</v>
      </c>
      <c r="B2421" s="116">
        <v>129.56</v>
      </c>
      <c r="C2421" s="116">
        <v>128.4</v>
      </c>
      <c r="D2421" s="116">
        <v>127</v>
      </c>
      <c r="E2421" s="116">
        <v>127.01</v>
      </c>
      <c r="F2421" s="116">
        <v>642</v>
      </c>
      <c r="G2421">
        <v>395310</v>
      </c>
      <c r="H2421" s="116"/>
      <c r="I2421" s="116"/>
      <c r="L2421" s="170">
        <v>45569</v>
      </c>
      <c r="M2421" s="116">
        <v>128.41999999999999</v>
      </c>
      <c r="N2421" s="116">
        <v>129.6</v>
      </c>
      <c r="O2421" s="116">
        <v>127.02</v>
      </c>
      <c r="P2421" s="116">
        <v>127.99</v>
      </c>
      <c r="Q2421" s="116">
        <v>642.1</v>
      </c>
      <c r="R2421">
        <v>2168422</v>
      </c>
    </row>
    <row r="2422" spans="1:18" x14ac:dyDescent="0.25">
      <c r="A2422" s="170">
        <v>45572</v>
      </c>
      <c r="B2422" s="116">
        <v>129</v>
      </c>
      <c r="C2422" s="116">
        <v>125.06</v>
      </c>
      <c r="D2422" s="116">
        <v>122.8</v>
      </c>
      <c r="E2422" s="116">
        <v>128.21</v>
      </c>
      <c r="F2422" s="116">
        <v>625.29999999999995</v>
      </c>
      <c r="G2422">
        <v>264421</v>
      </c>
      <c r="H2422" s="116"/>
      <c r="I2422" s="116"/>
      <c r="L2422" s="170">
        <v>45572</v>
      </c>
      <c r="M2422" s="116">
        <v>125.09</v>
      </c>
      <c r="N2422" s="116">
        <v>129.19</v>
      </c>
      <c r="O2422" s="116">
        <v>122.68</v>
      </c>
      <c r="P2422" s="116">
        <v>128.29</v>
      </c>
      <c r="Q2422" s="116">
        <v>625.45000000000005</v>
      </c>
      <c r="R2422">
        <v>2859604</v>
      </c>
    </row>
    <row r="2423" spans="1:18" x14ac:dyDescent="0.25">
      <c r="A2423" s="170">
        <v>45573</v>
      </c>
      <c r="B2423" s="116">
        <v>129.22</v>
      </c>
      <c r="C2423" s="116">
        <v>128.13</v>
      </c>
      <c r="D2423" s="116">
        <v>122.75</v>
      </c>
      <c r="E2423" s="116">
        <v>125.06</v>
      </c>
      <c r="F2423" s="116">
        <v>640.65</v>
      </c>
      <c r="G2423">
        <v>218275</v>
      </c>
      <c r="H2423" s="116"/>
      <c r="I2423" s="116"/>
      <c r="L2423" s="170">
        <v>45573</v>
      </c>
      <c r="M2423" s="116">
        <v>128.12</v>
      </c>
      <c r="N2423" s="116">
        <v>129.18</v>
      </c>
      <c r="O2423" s="116">
        <v>122.64</v>
      </c>
      <c r="P2423" s="116">
        <v>124.98</v>
      </c>
      <c r="Q2423" s="116">
        <v>640.6</v>
      </c>
      <c r="R2423">
        <v>2350816</v>
      </c>
    </row>
    <row r="2424" spans="1:18" x14ac:dyDescent="0.25">
      <c r="A2424" s="170">
        <v>45574</v>
      </c>
      <c r="B2424" s="116">
        <v>129.78</v>
      </c>
      <c r="C2424" s="116">
        <v>126.83</v>
      </c>
      <c r="D2424" s="116">
        <v>126.4</v>
      </c>
      <c r="E2424" s="116">
        <v>129.63999999999999</v>
      </c>
      <c r="F2424" s="116">
        <v>634.15</v>
      </c>
      <c r="G2424">
        <v>165766</v>
      </c>
      <c r="H2424" s="116"/>
      <c r="I2424" s="116"/>
      <c r="L2424" s="170">
        <v>45574</v>
      </c>
      <c r="M2424" s="116">
        <v>126.86</v>
      </c>
      <c r="N2424" s="116">
        <v>129.80000000000001</v>
      </c>
      <c r="O2424" s="116">
        <v>126.31</v>
      </c>
      <c r="P2424" s="116">
        <v>129.28</v>
      </c>
      <c r="Q2424" s="116">
        <v>634.29999999999995</v>
      </c>
      <c r="R2424">
        <v>1270367</v>
      </c>
    </row>
    <row r="2425" spans="1:18" x14ac:dyDescent="0.25">
      <c r="A2425" s="170">
        <v>45575</v>
      </c>
      <c r="B2425" s="116">
        <v>129.6</v>
      </c>
      <c r="C2425" s="116">
        <v>129</v>
      </c>
      <c r="D2425" s="116">
        <v>126.21</v>
      </c>
      <c r="E2425" s="116">
        <v>128.55000000000001</v>
      </c>
      <c r="F2425" s="116">
        <v>645</v>
      </c>
      <c r="G2425">
        <v>124479</v>
      </c>
      <c r="H2425" s="116"/>
      <c r="I2425" s="116"/>
      <c r="L2425" s="170">
        <v>45575</v>
      </c>
      <c r="M2425" s="116">
        <v>129.08000000000001</v>
      </c>
      <c r="N2425" s="116">
        <v>129.68</v>
      </c>
      <c r="O2425" s="116">
        <v>126.21</v>
      </c>
      <c r="P2425" s="116">
        <v>128.38999999999999</v>
      </c>
      <c r="Q2425" s="116">
        <v>645.4</v>
      </c>
      <c r="R2425">
        <v>1649770</v>
      </c>
    </row>
    <row r="2426" spans="1:18" x14ac:dyDescent="0.25">
      <c r="A2426" s="170">
        <v>45576</v>
      </c>
      <c r="B2426" s="116">
        <v>129</v>
      </c>
      <c r="C2426" s="116">
        <v>128.35</v>
      </c>
      <c r="D2426" s="116">
        <v>127.45</v>
      </c>
      <c r="E2426" s="116">
        <v>129</v>
      </c>
      <c r="F2426" s="116">
        <v>641.75</v>
      </c>
      <c r="G2426">
        <v>78411</v>
      </c>
      <c r="H2426" s="116"/>
      <c r="I2426" s="116"/>
      <c r="L2426" s="170">
        <v>45576</v>
      </c>
      <c r="M2426" s="116">
        <v>128.46</v>
      </c>
      <c r="N2426" s="116">
        <v>129.08000000000001</v>
      </c>
      <c r="O2426" s="116">
        <v>127.49</v>
      </c>
      <c r="P2426" s="116">
        <v>129</v>
      </c>
      <c r="Q2426" s="116">
        <v>642.29999999999995</v>
      </c>
      <c r="R2426">
        <v>1109827</v>
      </c>
    </row>
    <row r="2427" spans="1:18" x14ac:dyDescent="0.25">
      <c r="A2427" s="170">
        <v>45579</v>
      </c>
      <c r="B2427" s="116">
        <v>129.13</v>
      </c>
      <c r="C2427" s="116">
        <v>126.87</v>
      </c>
      <c r="D2427" s="116">
        <v>126.25</v>
      </c>
      <c r="E2427" s="116">
        <v>128.4</v>
      </c>
      <c r="F2427" s="116">
        <v>634.35</v>
      </c>
      <c r="G2427">
        <v>106995</v>
      </c>
      <c r="H2427" s="116"/>
      <c r="I2427" s="116"/>
      <c r="L2427" s="170">
        <v>45579</v>
      </c>
      <c r="M2427" s="116">
        <v>126.89</v>
      </c>
      <c r="N2427" s="116">
        <v>129.13999999999999</v>
      </c>
      <c r="O2427" s="116">
        <v>126.2</v>
      </c>
      <c r="P2427" s="116">
        <v>128.5</v>
      </c>
      <c r="Q2427" s="116">
        <v>634.45000000000005</v>
      </c>
      <c r="R2427">
        <v>1811001</v>
      </c>
    </row>
    <row r="2428" spans="1:18" x14ac:dyDescent="0.25">
      <c r="A2428" s="170">
        <v>45580</v>
      </c>
      <c r="B2428" s="116">
        <v>128.11000000000001</v>
      </c>
      <c r="C2428" s="116">
        <v>126.68</v>
      </c>
      <c r="D2428" s="116">
        <v>126.4</v>
      </c>
      <c r="E2428" s="116">
        <v>127.61</v>
      </c>
      <c r="F2428" s="116">
        <v>633.4</v>
      </c>
      <c r="G2428">
        <v>57486</v>
      </c>
      <c r="H2428" s="116"/>
      <c r="I2428" s="116"/>
      <c r="L2428" s="170">
        <v>45580</v>
      </c>
      <c r="M2428" s="116">
        <v>126.78</v>
      </c>
      <c r="N2428" s="116">
        <v>128.07</v>
      </c>
      <c r="O2428" s="116">
        <v>126.49</v>
      </c>
      <c r="P2428" s="116">
        <v>128</v>
      </c>
      <c r="Q2428" s="116">
        <v>633.9</v>
      </c>
      <c r="R2428">
        <v>930148</v>
      </c>
    </row>
    <row r="2429" spans="1:18" x14ac:dyDescent="0.25">
      <c r="A2429" s="170">
        <v>45581</v>
      </c>
      <c r="B2429" s="116">
        <v>127.15</v>
      </c>
      <c r="C2429" s="116">
        <v>125.11</v>
      </c>
      <c r="D2429" s="116">
        <v>124.37</v>
      </c>
      <c r="E2429" s="116">
        <v>126.59</v>
      </c>
      <c r="F2429" s="116">
        <v>625.54999999999995</v>
      </c>
      <c r="G2429">
        <v>120855</v>
      </c>
      <c r="H2429" s="116"/>
      <c r="I2429" s="116"/>
      <c r="L2429" s="170">
        <v>45581</v>
      </c>
      <c r="M2429" s="116">
        <v>125.16</v>
      </c>
      <c r="N2429" s="116">
        <v>127.16</v>
      </c>
      <c r="O2429" s="116">
        <v>124.31</v>
      </c>
      <c r="P2429" s="116">
        <v>126.31</v>
      </c>
      <c r="Q2429" s="116">
        <v>625.79999999999995</v>
      </c>
      <c r="R2429">
        <v>1720594</v>
      </c>
    </row>
    <row r="2430" spans="1:18" x14ac:dyDescent="0.25">
      <c r="A2430" s="170">
        <v>45582</v>
      </c>
      <c r="B2430" s="116">
        <v>125.6</v>
      </c>
      <c r="C2430" s="116">
        <v>121.83</v>
      </c>
      <c r="D2430" s="116">
        <v>121.53</v>
      </c>
      <c r="E2430" s="116">
        <v>125.11</v>
      </c>
      <c r="F2430" s="116">
        <v>609.15</v>
      </c>
      <c r="G2430">
        <v>134850</v>
      </c>
      <c r="H2430" s="116"/>
      <c r="I2430" s="116"/>
      <c r="L2430" s="170">
        <v>45582</v>
      </c>
      <c r="M2430" s="116">
        <v>121.82</v>
      </c>
      <c r="N2430" s="116">
        <v>125.74</v>
      </c>
      <c r="O2430" s="116">
        <v>121.56</v>
      </c>
      <c r="P2430" s="116">
        <v>125.2</v>
      </c>
      <c r="Q2430" s="116">
        <v>609.1</v>
      </c>
      <c r="R2430">
        <v>2025544</v>
      </c>
    </row>
    <row r="2431" spans="1:18" x14ac:dyDescent="0.25">
      <c r="A2431" s="170">
        <v>45583</v>
      </c>
      <c r="B2431" s="116">
        <v>122.79</v>
      </c>
      <c r="C2431" s="116">
        <v>122.29</v>
      </c>
      <c r="D2431" s="116">
        <v>119</v>
      </c>
      <c r="E2431" s="116">
        <v>121.97</v>
      </c>
      <c r="F2431" s="116">
        <v>611.45000000000005</v>
      </c>
      <c r="G2431">
        <v>312002</v>
      </c>
      <c r="H2431" s="116"/>
      <c r="I2431" s="116"/>
      <c r="L2431" s="170">
        <v>45583</v>
      </c>
      <c r="M2431" s="116">
        <v>122.28</v>
      </c>
      <c r="N2431" s="116">
        <v>122.78</v>
      </c>
      <c r="O2431" s="116">
        <v>119.01</v>
      </c>
      <c r="P2431" s="116">
        <v>121.8</v>
      </c>
      <c r="Q2431" s="116">
        <v>611.4</v>
      </c>
      <c r="R2431">
        <v>2279512</v>
      </c>
    </row>
    <row r="2432" spans="1:18" x14ac:dyDescent="0.25">
      <c r="A2432" s="170">
        <v>45586</v>
      </c>
      <c r="B2432" s="116">
        <v>124.01</v>
      </c>
      <c r="C2432" s="116">
        <v>120.73</v>
      </c>
      <c r="D2432" s="116">
        <v>120.2</v>
      </c>
      <c r="E2432" s="116">
        <v>122.31</v>
      </c>
      <c r="F2432" s="116">
        <v>603.65</v>
      </c>
      <c r="G2432">
        <v>241272</v>
      </c>
      <c r="H2432" s="116"/>
      <c r="I2432" s="116"/>
      <c r="L2432" s="170">
        <v>45586</v>
      </c>
      <c r="M2432" s="116">
        <v>120.72</v>
      </c>
      <c r="N2432" s="116">
        <v>123.62</v>
      </c>
      <c r="O2432" s="116">
        <v>120</v>
      </c>
      <c r="P2432" s="116">
        <v>123</v>
      </c>
      <c r="Q2432" s="116">
        <v>603.6</v>
      </c>
      <c r="R2432">
        <v>1324561</v>
      </c>
    </row>
    <row r="2433" spans="1:18" x14ac:dyDescent="0.25">
      <c r="A2433" s="170">
        <v>45587</v>
      </c>
      <c r="B2433" s="116">
        <v>121.55</v>
      </c>
      <c r="C2433" s="116">
        <v>117.56</v>
      </c>
      <c r="D2433" s="116">
        <v>116.81</v>
      </c>
      <c r="E2433" s="116">
        <v>120.61</v>
      </c>
      <c r="F2433" s="116">
        <v>587.79999999999995</v>
      </c>
      <c r="G2433">
        <v>438141</v>
      </c>
      <c r="H2433" s="116"/>
      <c r="I2433" s="116"/>
      <c r="L2433" s="170">
        <v>45587</v>
      </c>
      <c r="M2433" s="116">
        <v>117.63</v>
      </c>
      <c r="N2433" s="116">
        <v>121.43</v>
      </c>
      <c r="O2433" s="116">
        <v>116.74</v>
      </c>
      <c r="P2433" s="116">
        <v>120.8</v>
      </c>
      <c r="Q2433" s="116">
        <v>588.15</v>
      </c>
      <c r="R2433">
        <v>2445083</v>
      </c>
    </row>
    <row r="2434" spans="1:18" x14ac:dyDescent="0.25">
      <c r="A2434" s="170">
        <v>45588</v>
      </c>
      <c r="B2434" s="116">
        <v>119.19</v>
      </c>
      <c r="C2434" s="116">
        <v>117.25</v>
      </c>
      <c r="D2434" s="116">
        <v>115.75</v>
      </c>
      <c r="E2434" s="116">
        <v>117.63</v>
      </c>
      <c r="F2434" s="116">
        <v>586.25</v>
      </c>
      <c r="G2434">
        <v>259021</v>
      </c>
      <c r="H2434" s="116"/>
      <c r="I2434" s="116"/>
      <c r="L2434" s="170">
        <v>45588</v>
      </c>
      <c r="M2434" s="116">
        <v>117.57</v>
      </c>
      <c r="N2434" s="116">
        <v>119.2</v>
      </c>
      <c r="O2434" s="116">
        <v>115.61</v>
      </c>
      <c r="P2434" s="116">
        <v>117.59</v>
      </c>
      <c r="Q2434" s="116">
        <v>587.85</v>
      </c>
      <c r="R2434">
        <v>5418393</v>
      </c>
    </row>
    <row r="2435" spans="1:18" x14ac:dyDescent="0.25">
      <c r="A2435" s="170">
        <v>45589</v>
      </c>
      <c r="B2435" s="116">
        <v>122.4</v>
      </c>
      <c r="C2435" s="116">
        <v>120.92</v>
      </c>
      <c r="D2435" s="116">
        <v>117.2</v>
      </c>
      <c r="E2435" s="116">
        <v>117.41</v>
      </c>
      <c r="F2435" s="116">
        <v>604.6</v>
      </c>
      <c r="G2435">
        <v>217697</v>
      </c>
      <c r="H2435" s="116"/>
      <c r="I2435" s="116"/>
      <c r="L2435" s="170">
        <v>45589</v>
      </c>
      <c r="M2435" s="116">
        <v>120.97</v>
      </c>
      <c r="N2435" s="116">
        <v>122.4</v>
      </c>
      <c r="O2435" s="116">
        <v>117</v>
      </c>
      <c r="P2435" s="116">
        <v>117.56</v>
      </c>
      <c r="Q2435" s="116">
        <v>604.85</v>
      </c>
      <c r="R2435">
        <v>3856566</v>
      </c>
    </row>
    <row r="2436" spans="1:18" x14ac:dyDescent="0.25">
      <c r="A2436" s="170">
        <v>45590</v>
      </c>
      <c r="B2436" s="116">
        <v>122.5</v>
      </c>
      <c r="C2436" s="116">
        <v>118.47</v>
      </c>
      <c r="D2436" s="116">
        <v>116.95</v>
      </c>
      <c r="E2436" s="116">
        <v>121.02</v>
      </c>
      <c r="F2436" s="116">
        <v>592.35</v>
      </c>
      <c r="G2436">
        <v>167052</v>
      </c>
      <c r="H2436" s="116"/>
      <c r="I2436" s="116"/>
      <c r="L2436" s="170">
        <v>45590</v>
      </c>
      <c r="M2436" s="116">
        <v>118.46</v>
      </c>
      <c r="N2436" s="116">
        <v>122.46</v>
      </c>
      <c r="O2436" s="116">
        <v>117.02</v>
      </c>
      <c r="P2436" s="116">
        <v>121.14</v>
      </c>
      <c r="Q2436" s="116">
        <v>592.29999999999995</v>
      </c>
      <c r="R2436">
        <v>2432785</v>
      </c>
    </row>
    <row r="2437" spans="1:18" x14ac:dyDescent="0.25">
      <c r="A2437" s="170">
        <v>45593</v>
      </c>
      <c r="B2437" s="116">
        <v>121.4</v>
      </c>
      <c r="C2437" s="116">
        <v>119.8</v>
      </c>
      <c r="D2437" s="116">
        <v>114.52</v>
      </c>
      <c r="E2437" s="116">
        <v>117.13</v>
      </c>
      <c r="F2437" s="116">
        <v>599</v>
      </c>
      <c r="G2437">
        <v>538821</v>
      </c>
      <c r="H2437" s="116"/>
      <c r="I2437" s="116"/>
      <c r="L2437" s="170">
        <v>45593</v>
      </c>
      <c r="M2437" s="116">
        <v>119.64</v>
      </c>
      <c r="N2437" s="116">
        <v>121.34</v>
      </c>
      <c r="O2437" s="116">
        <v>114.53</v>
      </c>
      <c r="P2437" s="116">
        <v>117.22</v>
      </c>
      <c r="Q2437" s="116">
        <v>598.20000000000005</v>
      </c>
      <c r="R2437">
        <v>3684210</v>
      </c>
    </row>
    <row r="2438" spans="1:18" x14ac:dyDescent="0.25">
      <c r="A2438" s="170">
        <v>45594</v>
      </c>
      <c r="B2438" s="116">
        <v>119.25</v>
      </c>
      <c r="C2438" s="116">
        <v>118.36</v>
      </c>
      <c r="D2438" s="116">
        <v>115.61</v>
      </c>
      <c r="E2438" s="116">
        <v>115.61</v>
      </c>
      <c r="F2438" s="116">
        <v>591.79999999999995</v>
      </c>
      <c r="G2438">
        <v>473689</v>
      </c>
      <c r="H2438" s="116"/>
      <c r="I2438" s="116"/>
      <c r="L2438" s="170">
        <v>45594</v>
      </c>
      <c r="M2438" s="116">
        <v>118.46</v>
      </c>
      <c r="N2438" s="116">
        <v>119.22</v>
      </c>
      <c r="O2438" s="116">
        <v>115.66</v>
      </c>
      <c r="P2438" s="116">
        <v>115.99</v>
      </c>
      <c r="Q2438" s="116">
        <v>592.29999999999995</v>
      </c>
      <c r="R2438">
        <v>2649607</v>
      </c>
    </row>
    <row r="2439" spans="1:18" x14ac:dyDescent="0.25">
      <c r="A2439" s="170">
        <v>45595</v>
      </c>
      <c r="B2439" s="116">
        <v>119.9</v>
      </c>
      <c r="C2439" s="116">
        <v>118.29</v>
      </c>
      <c r="D2439" s="116">
        <v>116.89</v>
      </c>
      <c r="E2439" s="116">
        <v>118.8</v>
      </c>
      <c r="F2439" s="116">
        <v>591.45000000000005</v>
      </c>
      <c r="G2439">
        <v>133805</v>
      </c>
      <c r="H2439" s="116"/>
      <c r="I2439" s="116"/>
      <c r="L2439" s="170">
        <v>45595</v>
      </c>
      <c r="M2439" s="116">
        <v>118.41</v>
      </c>
      <c r="N2439" s="116">
        <v>119.96</v>
      </c>
      <c r="O2439" s="116">
        <v>116.81</v>
      </c>
      <c r="P2439" s="116">
        <v>119</v>
      </c>
      <c r="Q2439" s="116">
        <v>592.04999999999995</v>
      </c>
      <c r="R2439">
        <v>1808791</v>
      </c>
    </row>
    <row r="2440" spans="1:18" x14ac:dyDescent="0.25">
      <c r="A2440" s="170">
        <v>45596</v>
      </c>
      <c r="B2440" s="116">
        <v>121.82</v>
      </c>
      <c r="C2440" s="116">
        <v>118.57</v>
      </c>
      <c r="D2440" s="116">
        <v>117.98</v>
      </c>
      <c r="E2440" s="116">
        <v>119.81</v>
      </c>
      <c r="F2440" s="116">
        <v>592.85</v>
      </c>
      <c r="G2440">
        <v>143381</v>
      </c>
      <c r="H2440" s="116"/>
      <c r="I2440" s="116"/>
      <c r="L2440" s="170">
        <v>45596</v>
      </c>
      <c r="M2440" s="116">
        <v>118.54</v>
      </c>
      <c r="N2440" s="116">
        <v>121.98</v>
      </c>
      <c r="O2440" s="116">
        <v>118</v>
      </c>
      <c r="P2440" s="116">
        <v>120.2</v>
      </c>
      <c r="Q2440" s="116">
        <v>592.70000000000005</v>
      </c>
      <c r="R2440">
        <v>2434391</v>
      </c>
    </row>
    <row r="2441" spans="1:18" x14ac:dyDescent="0.25">
      <c r="A2441" s="170">
        <v>45597</v>
      </c>
      <c r="B2441" s="116">
        <v>119.92</v>
      </c>
      <c r="C2441" s="116">
        <v>119.39</v>
      </c>
      <c r="D2441" s="116">
        <v>118.43</v>
      </c>
      <c r="E2441" s="116">
        <v>119.1</v>
      </c>
      <c r="F2441" s="116">
        <v>596.95000000000005</v>
      </c>
      <c r="G2441">
        <v>99770</v>
      </c>
      <c r="H2441" s="116"/>
      <c r="I2441" s="116"/>
      <c r="L2441" s="170">
        <v>45597</v>
      </c>
      <c r="M2441" s="116">
        <v>119.47</v>
      </c>
      <c r="N2441" s="116">
        <v>119.99</v>
      </c>
      <c r="O2441" s="116">
        <v>118.7</v>
      </c>
      <c r="P2441" s="116">
        <v>119.14</v>
      </c>
      <c r="Q2441" s="116">
        <v>597.35</v>
      </c>
      <c r="R2441">
        <v>396239</v>
      </c>
    </row>
    <row r="2442" spans="1:18" x14ac:dyDescent="0.25">
      <c r="A2442" s="170">
        <v>45600</v>
      </c>
      <c r="B2442" s="116">
        <v>119.42</v>
      </c>
      <c r="C2442" s="116">
        <v>116.96</v>
      </c>
      <c r="D2442" s="116">
        <v>116.5</v>
      </c>
      <c r="E2442" s="116">
        <v>119.42</v>
      </c>
      <c r="F2442" s="116">
        <v>584.79999999999995</v>
      </c>
      <c r="G2442">
        <v>109734</v>
      </c>
      <c r="H2442" s="116"/>
      <c r="I2442" s="116"/>
      <c r="L2442" s="170">
        <v>45600</v>
      </c>
      <c r="M2442" s="116">
        <v>117</v>
      </c>
      <c r="N2442" s="116">
        <v>119.39</v>
      </c>
      <c r="O2442" s="116">
        <v>116.44</v>
      </c>
      <c r="P2442" s="116">
        <v>119.39</v>
      </c>
      <c r="Q2442" s="116">
        <v>585</v>
      </c>
      <c r="R2442">
        <v>1472471</v>
      </c>
    </row>
    <row r="2443" spans="1:18" x14ac:dyDescent="0.25">
      <c r="A2443" s="170">
        <v>45601</v>
      </c>
      <c r="B2443" s="116">
        <v>121.5</v>
      </c>
      <c r="C2443" s="116">
        <v>120.67</v>
      </c>
      <c r="D2443" s="116">
        <v>116.2</v>
      </c>
      <c r="E2443" s="116">
        <v>116.77</v>
      </c>
      <c r="F2443" s="116">
        <v>603.35</v>
      </c>
      <c r="G2443">
        <v>109040</v>
      </c>
      <c r="H2443" s="116"/>
      <c r="I2443" s="116"/>
      <c r="L2443" s="170">
        <v>45601</v>
      </c>
      <c r="M2443" s="116">
        <v>120.69</v>
      </c>
      <c r="N2443" s="116">
        <v>121.48</v>
      </c>
      <c r="O2443" s="116">
        <v>116.2</v>
      </c>
      <c r="P2443" s="116">
        <v>116.99</v>
      </c>
      <c r="Q2443" s="116">
        <v>603.45000000000005</v>
      </c>
      <c r="R2443">
        <v>2088555</v>
      </c>
    </row>
    <row r="2444" spans="1:18" x14ac:dyDescent="0.25">
      <c r="A2444" s="170">
        <v>45602</v>
      </c>
      <c r="B2444" s="116">
        <v>125.37</v>
      </c>
      <c r="C2444" s="116">
        <v>123.27</v>
      </c>
      <c r="D2444" s="116">
        <v>121.14</v>
      </c>
      <c r="E2444" s="116">
        <v>121.17</v>
      </c>
      <c r="F2444" s="116">
        <v>616.35</v>
      </c>
      <c r="G2444">
        <v>191274</v>
      </c>
      <c r="H2444" s="116"/>
      <c r="I2444" s="116"/>
      <c r="L2444" s="170">
        <v>45602</v>
      </c>
      <c r="M2444" s="116">
        <v>123.26</v>
      </c>
      <c r="N2444" s="116">
        <v>125.4</v>
      </c>
      <c r="O2444" s="116">
        <v>121.1</v>
      </c>
      <c r="P2444" s="116">
        <v>121.48</v>
      </c>
      <c r="Q2444" s="116">
        <v>616.29999999999995</v>
      </c>
      <c r="R2444">
        <v>3154049</v>
      </c>
    </row>
    <row r="2445" spans="1:18" x14ac:dyDescent="0.25">
      <c r="A2445" s="170">
        <v>45603</v>
      </c>
      <c r="B2445" s="116">
        <v>123.76</v>
      </c>
      <c r="C2445" s="116">
        <v>119.92</v>
      </c>
      <c r="D2445" s="116">
        <v>119.4</v>
      </c>
      <c r="E2445" s="116">
        <v>123.76</v>
      </c>
      <c r="F2445" s="116">
        <v>599.6</v>
      </c>
      <c r="G2445">
        <v>220906</v>
      </c>
      <c r="H2445" s="116"/>
      <c r="I2445" s="116"/>
      <c r="L2445" s="170">
        <v>45603</v>
      </c>
      <c r="M2445" s="116">
        <v>119.93</v>
      </c>
      <c r="N2445" s="116">
        <v>123.37</v>
      </c>
      <c r="O2445" s="116">
        <v>119.29</v>
      </c>
      <c r="P2445" s="116">
        <v>123.26</v>
      </c>
      <c r="Q2445" s="116">
        <v>599.65</v>
      </c>
      <c r="R2445">
        <v>1799793</v>
      </c>
    </row>
    <row r="2446" spans="1:18" x14ac:dyDescent="0.25">
      <c r="A2446" s="170">
        <v>45604</v>
      </c>
      <c r="B2446" s="116">
        <v>119.95</v>
      </c>
      <c r="C2446" s="116">
        <v>117.73</v>
      </c>
      <c r="D2446" s="116">
        <v>117.37</v>
      </c>
      <c r="E2446" s="116">
        <v>119.95</v>
      </c>
      <c r="F2446" s="116">
        <v>588.65</v>
      </c>
      <c r="G2446">
        <v>77865</v>
      </c>
      <c r="H2446" s="116"/>
      <c r="I2446" s="116"/>
      <c r="L2446" s="170">
        <v>45604</v>
      </c>
      <c r="M2446" s="116">
        <v>117.8</v>
      </c>
      <c r="N2446" s="116">
        <v>119.88</v>
      </c>
      <c r="O2446" s="116">
        <v>117.33</v>
      </c>
      <c r="P2446" s="116">
        <v>119.8</v>
      </c>
      <c r="Q2446" s="116">
        <v>589</v>
      </c>
      <c r="R2446">
        <v>1193506</v>
      </c>
    </row>
    <row r="2447" spans="1:18" x14ac:dyDescent="0.25">
      <c r="A2447" s="170">
        <v>45607</v>
      </c>
      <c r="B2447" s="116">
        <v>117.44</v>
      </c>
      <c r="C2447" s="116">
        <v>115.77</v>
      </c>
      <c r="D2447" s="116">
        <v>115.6</v>
      </c>
      <c r="E2447" s="116">
        <v>116.78</v>
      </c>
      <c r="F2447" s="116">
        <v>578.85</v>
      </c>
      <c r="G2447">
        <v>102354</v>
      </c>
      <c r="H2447" s="116"/>
      <c r="I2447" s="116"/>
      <c r="L2447" s="170">
        <v>45607</v>
      </c>
      <c r="M2447" s="116">
        <v>115.79</v>
      </c>
      <c r="N2447" s="116">
        <v>117.52</v>
      </c>
      <c r="O2447" s="116">
        <v>115.52</v>
      </c>
      <c r="P2447" s="116">
        <v>117</v>
      </c>
      <c r="Q2447" s="116">
        <v>578.95000000000005</v>
      </c>
      <c r="R2447">
        <v>1243813</v>
      </c>
    </row>
    <row r="2448" spans="1:18" x14ac:dyDescent="0.25">
      <c r="A2448" s="170">
        <v>45608</v>
      </c>
      <c r="B2448" s="116">
        <v>117.4</v>
      </c>
      <c r="C2448" s="116">
        <v>111.56</v>
      </c>
      <c r="D2448" s="116">
        <v>111</v>
      </c>
      <c r="E2448" s="116">
        <v>116.77</v>
      </c>
      <c r="F2448" s="116">
        <v>557.79999999999995</v>
      </c>
      <c r="G2448">
        <v>125483</v>
      </c>
      <c r="H2448" s="116"/>
      <c r="I2448" s="116"/>
      <c r="L2448" s="170">
        <v>45608</v>
      </c>
      <c r="M2448" s="116">
        <v>111.59</v>
      </c>
      <c r="N2448" s="116">
        <v>117.42</v>
      </c>
      <c r="O2448" s="116">
        <v>111</v>
      </c>
      <c r="P2448" s="116">
        <v>115.96</v>
      </c>
      <c r="Q2448" s="116">
        <v>557.95000000000005</v>
      </c>
      <c r="R2448">
        <v>2438708</v>
      </c>
    </row>
    <row r="2449" spans="1:18" x14ac:dyDescent="0.25">
      <c r="A2449" s="170">
        <v>45609</v>
      </c>
      <c r="B2449" s="116">
        <v>119.6</v>
      </c>
      <c r="C2449" s="116">
        <v>109.51</v>
      </c>
      <c r="D2449" s="116">
        <v>108.3</v>
      </c>
      <c r="E2449" s="116">
        <v>111.61</v>
      </c>
      <c r="F2449" s="116">
        <v>547.54999999999995</v>
      </c>
      <c r="G2449">
        <v>633607</v>
      </c>
      <c r="H2449" s="116"/>
      <c r="I2449" s="116"/>
      <c r="L2449" s="170">
        <v>45609</v>
      </c>
      <c r="M2449" s="116">
        <v>109.4</v>
      </c>
      <c r="N2449" s="116">
        <v>119.6</v>
      </c>
      <c r="O2449" s="116">
        <v>108.26</v>
      </c>
      <c r="P2449" s="116">
        <v>112</v>
      </c>
      <c r="Q2449" s="116">
        <v>547</v>
      </c>
      <c r="R2449">
        <v>12401974</v>
      </c>
    </row>
    <row r="2450" spans="1:18" x14ac:dyDescent="0.25">
      <c r="A2450" s="170">
        <v>45610</v>
      </c>
      <c r="B2450" s="116">
        <v>113.49</v>
      </c>
      <c r="C2450" s="116">
        <v>109.87</v>
      </c>
      <c r="D2450" s="116">
        <v>109.47</v>
      </c>
      <c r="E2450" s="116">
        <v>111.72</v>
      </c>
      <c r="F2450" s="116">
        <v>549.35</v>
      </c>
      <c r="G2450">
        <v>461733</v>
      </c>
      <c r="H2450" s="116"/>
      <c r="I2450" s="116"/>
      <c r="L2450" s="170">
        <v>45610</v>
      </c>
      <c r="M2450" s="116">
        <v>109.82</v>
      </c>
      <c r="N2450" s="116">
        <v>113.42</v>
      </c>
      <c r="O2450" s="116">
        <v>109.4</v>
      </c>
      <c r="P2450" s="116">
        <v>111.99</v>
      </c>
      <c r="Q2450" s="116">
        <v>549.1</v>
      </c>
      <c r="R2450">
        <v>3095845</v>
      </c>
    </row>
    <row r="2451" spans="1:18" x14ac:dyDescent="0.25">
      <c r="A2451" s="170">
        <v>45614</v>
      </c>
      <c r="B2451" s="116">
        <v>111.5</v>
      </c>
      <c r="C2451" s="116">
        <v>105.32</v>
      </c>
      <c r="D2451" s="116">
        <v>105.04</v>
      </c>
      <c r="E2451" s="116">
        <v>110.81</v>
      </c>
      <c r="F2451" s="116">
        <v>526.6</v>
      </c>
      <c r="G2451">
        <v>570533</v>
      </c>
      <c r="H2451" s="116"/>
      <c r="I2451" s="116"/>
      <c r="L2451" s="170">
        <v>45614</v>
      </c>
      <c r="M2451" s="116">
        <v>105.37</v>
      </c>
      <c r="N2451" s="116">
        <v>111.48</v>
      </c>
      <c r="O2451" s="116">
        <v>105.02</v>
      </c>
      <c r="P2451" s="116">
        <v>111.19</v>
      </c>
      <c r="Q2451" s="116">
        <v>526.85</v>
      </c>
      <c r="R2451">
        <v>3664843</v>
      </c>
    </row>
    <row r="2452" spans="1:18" x14ac:dyDescent="0.25">
      <c r="A2452" s="170">
        <v>45615</v>
      </c>
      <c r="B2452" s="116">
        <v>107.5</v>
      </c>
      <c r="C2452" s="116">
        <v>104.82</v>
      </c>
      <c r="D2452" s="116">
        <v>104.3</v>
      </c>
      <c r="E2452" s="116">
        <v>106.55</v>
      </c>
      <c r="F2452" s="116">
        <v>524.1</v>
      </c>
      <c r="G2452">
        <v>187049</v>
      </c>
      <c r="H2452" s="116"/>
      <c r="I2452" s="116"/>
      <c r="L2452" s="170">
        <v>45615</v>
      </c>
      <c r="M2452" s="116">
        <v>104.82</v>
      </c>
      <c r="N2452" s="116">
        <v>107.52</v>
      </c>
      <c r="O2452" s="116">
        <v>104.32</v>
      </c>
      <c r="P2452" s="116">
        <v>106.4</v>
      </c>
      <c r="Q2452" s="116">
        <v>524.1</v>
      </c>
      <c r="R2452">
        <v>4024003</v>
      </c>
    </row>
    <row r="2453" spans="1:18" x14ac:dyDescent="0.25">
      <c r="A2453" s="170">
        <v>45617</v>
      </c>
      <c r="B2453" s="116">
        <v>98.9</v>
      </c>
      <c r="C2453" s="116">
        <v>95.23</v>
      </c>
      <c r="D2453" s="116">
        <v>86.17</v>
      </c>
      <c r="E2453" s="116">
        <v>88.2</v>
      </c>
      <c r="F2453" s="116">
        <v>476.15</v>
      </c>
      <c r="G2453">
        <v>4949099</v>
      </c>
      <c r="H2453" s="116"/>
      <c r="I2453" s="116"/>
      <c r="L2453" s="170">
        <v>45617</v>
      </c>
      <c r="M2453" s="116">
        <v>95.23</v>
      </c>
      <c r="N2453" s="116">
        <v>98.88</v>
      </c>
      <c r="O2453" s="116">
        <v>86.4</v>
      </c>
      <c r="P2453" s="116">
        <v>87.99</v>
      </c>
      <c r="Q2453" s="116">
        <v>476.15</v>
      </c>
      <c r="R2453">
        <v>40754831</v>
      </c>
    </row>
    <row r="2454" spans="1:18" x14ac:dyDescent="0.25">
      <c r="A2454" s="170">
        <v>45618</v>
      </c>
      <c r="B2454" s="116">
        <v>98.3</v>
      </c>
      <c r="C2454" s="116">
        <v>92.15</v>
      </c>
      <c r="D2454" s="116">
        <v>89.15</v>
      </c>
      <c r="E2454" s="116">
        <v>90.21</v>
      </c>
      <c r="F2454" s="116">
        <v>460.75</v>
      </c>
      <c r="G2454">
        <v>4123278</v>
      </c>
      <c r="H2454" s="116"/>
      <c r="I2454" s="116"/>
      <c r="L2454" s="170">
        <v>45618</v>
      </c>
      <c r="M2454" s="116">
        <v>92.09</v>
      </c>
      <c r="N2454" s="116">
        <v>98.32</v>
      </c>
      <c r="O2454" s="116">
        <v>89.21</v>
      </c>
      <c r="P2454" s="116">
        <v>91.04</v>
      </c>
      <c r="Q2454" s="116">
        <v>460.45</v>
      </c>
      <c r="R2454">
        <v>33493676</v>
      </c>
    </row>
    <row r="2455" spans="1:18" x14ac:dyDescent="0.25">
      <c r="A2455" s="170">
        <v>45621</v>
      </c>
      <c r="B2455" s="116">
        <v>96</v>
      </c>
      <c r="C2455" s="116">
        <v>89.37</v>
      </c>
      <c r="D2455" s="116">
        <v>88.2</v>
      </c>
      <c r="E2455" s="116">
        <v>94.41</v>
      </c>
      <c r="F2455" s="116">
        <v>446.85</v>
      </c>
      <c r="G2455">
        <v>2491519</v>
      </c>
      <c r="H2455" s="116"/>
      <c r="I2455" s="116"/>
      <c r="L2455" s="170">
        <v>45621</v>
      </c>
      <c r="M2455" s="116">
        <v>89.33</v>
      </c>
      <c r="N2455" s="116">
        <v>96</v>
      </c>
      <c r="O2455" s="116">
        <v>88.2</v>
      </c>
      <c r="P2455" s="116">
        <v>94.76</v>
      </c>
      <c r="Q2455" s="116">
        <v>446.65</v>
      </c>
      <c r="R2455">
        <v>34303726</v>
      </c>
    </row>
    <row r="2456" spans="1:18" x14ac:dyDescent="0.25">
      <c r="A2456" s="170">
        <v>45622</v>
      </c>
      <c r="B2456" s="116">
        <v>91.13</v>
      </c>
      <c r="C2456" s="116">
        <v>87.55</v>
      </c>
      <c r="D2456" s="116">
        <v>86.65</v>
      </c>
      <c r="E2456" s="116">
        <v>90</v>
      </c>
      <c r="F2456" s="116">
        <v>437.75</v>
      </c>
      <c r="G2456">
        <v>1966194</v>
      </c>
      <c r="H2456" s="116"/>
      <c r="I2456" s="116"/>
      <c r="L2456" s="170">
        <v>45622</v>
      </c>
      <c r="M2456" s="116">
        <v>87.53</v>
      </c>
      <c r="N2456" s="116">
        <v>91.08</v>
      </c>
      <c r="O2456" s="116">
        <v>86.65</v>
      </c>
      <c r="P2456" s="116">
        <v>90.06</v>
      </c>
      <c r="Q2456" s="116">
        <v>437.65</v>
      </c>
      <c r="R2456">
        <v>14480598</v>
      </c>
    </row>
    <row r="2457" spans="1:18" x14ac:dyDescent="0.25">
      <c r="A2457" s="170">
        <v>45623</v>
      </c>
      <c r="B2457" s="116">
        <v>105.06</v>
      </c>
      <c r="C2457" s="116">
        <v>104.76</v>
      </c>
      <c r="D2457" s="116">
        <v>86.42</v>
      </c>
      <c r="E2457" s="116">
        <v>87.1</v>
      </c>
      <c r="F2457" s="116">
        <v>523.79999999999995</v>
      </c>
      <c r="G2457">
        <v>7178380</v>
      </c>
      <c r="H2457" s="116"/>
      <c r="I2457" s="116"/>
      <c r="L2457" s="170">
        <v>45623</v>
      </c>
      <c r="M2457" s="116">
        <v>104.61</v>
      </c>
      <c r="N2457" s="116">
        <v>105.03</v>
      </c>
      <c r="O2457" s="116">
        <v>86.43</v>
      </c>
      <c r="P2457" s="116">
        <v>87.35</v>
      </c>
      <c r="Q2457" s="116">
        <v>523.04999999999995</v>
      </c>
      <c r="R2457">
        <v>58095744</v>
      </c>
    </row>
    <row r="2458" spans="1:18" x14ac:dyDescent="0.25">
      <c r="A2458" s="170">
        <v>45624</v>
      </c>
      <c r="B2458" s="116">
        <v>116.75</v>
      </c>
      <c r="C2458" s="116">
        <v>112.04</v>
      </c>
      <c r="D2458" s="116">
        <v>106.41</v>
      </c>
      <c r="E2458" s="116">
        <v>107.01</v>
      </c>
      <c r="F2458" s="116">
        <v>560.20000000000005</v>
      </c>
      <c r="G2458">
        <v>5422408</v>
      </c>
      <c r="H2458" s="116"/>
      <c r="I2458" s="116"/>
      <c r="L2458" s="170">
        <v>45624</v>
      </c>
      <c r="M2458" s="116">
        <v>112.2</v>
      </c>
      <c r="N2458" s="116">
        <v>116.76</v>
      </c>
      <c r="O2458" s="116">
        <v>106.01</v>
      </c>
      <c r="P2458" s="116">
        <v>106.88</v>
      </c>
      <c r="Q2458" s="116">
        <v>561</v>
      </c>
      <c r="R2458">
        <v>60775609</v>
      </c>
    </row>
    <row r="2459" spans="1:18" x14ac:dyDescent="0.25">
      <c r="A2459" s="170">
        <v>45625</v>
      </c>
      <c r="B2459" s="116">
        <v>117.54</v>
      </c>
      <c r="C2459" s="116">
        <v>110.91</v>
      </c>
      <c r="D2459" s="116">
        <v>108.49</v>
      </c>
      <c r="E2459" s="116">
        <v>112.68</v>
      </c>
      <c r="F2459" s="116">
        <v>554.54999999999995</v>
      </c>
      <c r="G2459">
        <v>2673285</v>
      </c>
      <c r="H2459" s="116"/>
      <c r="I2459" s="116"/>
      <c r="L2459" s="170">
        <v>45625</v>
      </c>
      <c r="M2459" s="116">
        <v>110.96</v>
      </c>
      <c r="N2459" s="116">
        <v>117.5</v>
      </c>
      <c r="O2459" s="116">
        <v>108.55</v>
      </c>
      <c r="P2459" s="116">
        <v>112.2</v>
      </c>
      <c r="Q2459" s="116">
        <v>554.79999999999995</v>
      </c>
      <c r="R2459">
        <v>45964064</v>
      </c>
    </row>
    <row r="2460" spans="1:18" x14ac:dyDescent="0.25">
      <c r="A2460" s="170">
        <v>45628</v>
      </c>
      <c r="B2460" s="116">
        <v>113.2</v>
      </c>
      <c r="C2460" s="116">
        <v>109.8</v>
      </c>
      <c r="D2460" s="116">
        <v>108.65</v>
      </c>
      <c r="E2460" s="116">
        <v>112.94</v>
      </c>
      <c r="F2460" s="116">
        <v>549</v>
      </c>
      <c r="G2460">
        <v>837874</v>
      </c>
      <c r="H2460" s="116"/>
      <c r="I2460" s="116"/>
      <c r="L2460" s="170">
        <v>45628</v>
      </c>
      <c r="M2460" s="116">
        <v>109.78</v>
      </c>
      <c r="N2460" s="116">
        <v>113.32</v>
      </c>
      <c r="O2460" s="116">
        <v>108.65</v>
      </c>
      <c r="P2460" s="116">
        <v>111.41</v>
      </c>
      <c r="Q2460" s="116">
        <v>548.9</v>
      </c>
      <c r="R2460">
        <v>13048616</v>
      </c>
    </row>
    <row r="2461" spans="1:18" x14ac:dyDescent="0.25">
      <c r="A2461" s="170">
        <v>45629</v>
      </c>
      <c r="B2461" s="116">
        <v>111.06</v>
      </c>
      <c r="C2461" s="116">
        <v>108.85</v>
      </c>
      <c r="D2461" s="116">
        <v>108.56</v>
      </c>
      <c r="E2461" s="116">
        <v>110.43</v>
      </c>
      <c r="F2461" s="116">
        <v>544.25</v>
      </c>
      <c r="G2461">
        <v>1037148</v>
      </c>
      <c r="H2461" s="116"/>
      <c r="I2461" s="116"/>
      <c r="L2461" s="170">
        <v>45629</v>
      </c>
      <c r="M2461" s="116">
        <v>108.84</v>
      </c>
      <c r="N2461" s="116">
        <v>111.16</v>
      </c>
      <c r="O2461" s="116">
        <v>108.6</v>
      </c>
      <c r="P2461" s="116">
        <v>110.4</v>
      </c>
      <c r="Q2461" s="116">
        <v>544.20000000000005</v>
      </c>
      <c r="R2461">
        <v>8875688</v>
      </c>
    </row>
    <row r="2462" spans="1:18" x14ac:dyDescent="0.25">
      <c r="A2462" s="170">
        <v>45630</v>
      </c>
      <c r="B2462" s="116">
        <v>109.67</v>
      </c>
      <c r="C2462" s="116">
        <v>107.5</v>
      </c>
      <c r="D2462" s="116">
        <v>107</v>
      </c>
      <c r="E2462" s="116">
        <v>109.21</v>
      </c>
      <c r="F2462" s="116">
        <v>537.5</v>
      </c>
      <c r="G2462">
        <v>845763</v>
      </c>
      <c r="H2462" s="116"/>
      <c r="I2462" s="116"/>
      <c r="L2462" s="170">
        <v>45630</v>
      </c>
      <c r="M2462" s="116">
        <v>107.51</v>
      </c>
      <c r="N2462" s="116">
        <v>109.68</v>
      </c>
      <c r="O2462" s="116">
        <v>107.08</v>
      </c>
      <c r="P2462" s="116">
        <v>109.36</v>
      </c>
      <c r="Q2462" s="116">
        <v>537.54999999999995</v>
      </c>
      <c r="R2462">
        <v>5065333</v>
      </c>
    </row>
    <row r="2463" spans="1:18" x14ac:dyDescent="0.25">
      <c r="A2463" s="170">
        <v>45631</v>
      </c>
      <c r="B2463" s="116">
        <v>109.91</v>
      </c>
      <c r="C2463" s="116">
        <v>107.48</v>
      </c>
      <c r="D2463" s="116">
        <v>106.79</v>
      </c>
      <c r="E2463" s="116">
        <v>107.72</v>
      </c>
      <c r="F2463" s="116">
        <v>537.4</v>
      </c>
      <c r="G2463">
        <v>499098</v>
      </c>
      <c r="H2463" s="116"/>
      <c r="I2463" s="116"/>
      <c r="L2463" s="170">
        <v>45631</v>
      </c>
      <c r="M2463" s="116">
        <v>107.49</v>
      </c>
      <c r="N2463" s="116">
        <v>109.88</v>
      </c>
      <c r="O2463" s="116">
        <v>106.76</v>
      </c>
      <c r="P2463" s="116">
        <v>108</v>
      </c>
      <c r="Q2463" s="116">
        <v>537.45000000000005</v>
      </c>
      <c r="R2463">
        <v>6146305</v>
      </c>
    </row>
    <row r="2464" spans="1:18" x14ac:dyDescent="0.25">
      <c r="A2464" s="170">
        <v>45632</v>
      </c>
      <c r="B2464" s="116">
        <v>109.2</v>
      </c>
      <c r="C2464" s="116">
        <v>107.25</v>
      </c>
      <c r="D2464" s="116">
        <v>106.86</v>
      </c>
      <c r="E2464" s="116">
        <v>108</v>
      </c>
      <c r="F2464" s="116">
        <v>536.25</v>
      </c>
      <c r="G2464">
        <v>262814</v>
      </c>
      <c r="H2464" s="116"/>
      <c r="I2464" s="116"/>
      <c r="L2464" s="170">
        <v>45632</v>
      </c>
      <c r="M2464" s="116">
        <v>107.22</v>
      </c>
      <c r="N2464" s="116">
        <v>109.22</v>
      </c>
      <c r="O2464" s="116">
        <v>106.8</v>
      </c>
      <c r="P2464" s="116">
        <v>108</v>
      </c>
      <c r="Q2464" s="116">
        <v>536.1</v>
      </c>
      <c r="R2464">
        <v>3999281</v>
      </c>
    </row>
    <row r="2465" spans="1:18" x14ac:dyDescent="0.25">
      <c r="A2465" s="170">
        <v>45635</v>
      </c>
      <c r="B2465" s="116">
        <v>108.76</v>
      </c>
      <c r="C2465" s="116">
        <v>107.14</v>
      </c>
      <c r="D2465" s="116">
        <v>106.8</v>
      </c>
      <c r="E2465" s="116">
        <v>107.9</v>
      </c>
      <c r="F2465" s="116">
        <v>535.70000000000005</v>
      </c>
      <c r="G2465">
        <v>590890</v>
      </c>
      <c r="H2465" s="116"/>
      <c r="I2465" s="116"/>
      <c r="L2465" s="170">
        <v>45635</v>
      </c>
      <c r="M2465" s="116">
        <v>107.18</v>
      </c>
      <c r="N2465" s="116">
        <v>108.83</v>
      </c>
      <c r="O2465" s="116">
        <v>106.84</v>
      </c>
      <c r="P2465" s="116">
        <v>107.8</v>
      </c>
      <c r="Q2465" s="116">
        <v>535.9</v>
      </c>
      <c r="R2465">
        <v>3749073</v>
      </c>
    </row>
    <row r="2466" spans="1:18" x14ac:dyDescent="0.25">
      <c r="A2466" s="170">
        <v>45636</v>
      </c>
      <c r="B2466" s="116">
        <v>107.7</v>
      </c>
      <c r="C2466" s="116">
        <v>105.45</v>
      </c>
      <c r="D2466" s="116">
        <v>104.58</v>
      </c>
      <c r="E2466" s="116">
        <v>107.53</v>
      </c>
      <c r="F2466" s="116">
        <v>527.25</v>
      </c>
      <c r="G2466">
        <v>220936</v>
      </c>
      <c r="H2466" s="116"/>
      <c r="I2466" s="116"/>
      <c r="L2466" s="170">
        <v>45636</v>
      </c>
      <c r="M2466" s="116">
        <v>105.36</v>
      </c>
      <c r="N2466" s="116">
        <v>107.55</v>
      </c>
      <c r="O2466" s="116">
        <v>104.68</v>
      </c>
      <c r="P2466" s="116">
        <v>107.4</v>
      </c>
      <c r="Q2466" s="116">
        <v>526.79999999999995</v>
      </c>
      <c r="R2466">
        <v>3429797</v>
      </c>
    </row>
    <row r="2467" spans="1:18" x14ac:dyDescent="0.25">
      <c r="A2467" s="170">
        <v>45637</v>
      </c>
      <c r="B2467" s="116">
        <v>106.1</v>
      </c>
      <c r="C2467" s="116">
        <v>103.89</v>
      </c>
      <c r="D2467" s="116">
        <v>103.6</v>
      </c>
      <c r="E2467" s="116">
        <v>105.17</v>
      </c>
      <c r="F2467" s="116">
        <v>519.45000000000005</v>
      </c>
      <c r="G2467">
        <v>529483</v>
      </c>
      <c r="H2467" s="116"/>
      <c r="I2467" s="116"/>
      <c r="L2467" s="170">
        <v>45637</v>
      </c>
      <c r="M2467" s="116">
        <v>103.85</v>
      </c>
      <c r="N2467" s="116">
        <v>106.11</v>
      </c>
      <c r="O2467" s="116">
        <v>103.6</v>
      </c>
      <c r="P2467" s="116">
        <v>105.4</v>
      </c>
      <c r="Q2467" s="116">
        <v>519.25</v>
      </c>
      <c r="R2467">
        <v>2948888</v>
      </c>
    </row>
    <row r="2468" spans="1:18" x14ac:dyDescent="0.25">
      <c r="A2468" s="170">
        <v>45638</v>
      </c>
      <c r="B2468" s="116">
        <v>112.37</v>
      </c>
      <c r="C2468" s="116">
        <v>108.01</v>
      </c>
      <c r="D2468" s="116">
        <v>102.66</v>
      </c>
      <c r="E2468" s="116">
        <v>103.85</v>
      </c>
      <c r="F2468" s="116">
        <v>540.04999999999995</v>
      </c>
      <c r="G2468">
        <v>2787355</v>
      </c>
      <c r="H2468" s="116"/>
      <c r="I2468" s="116"/>
      <c r="L2468" s="170">
        <v>45638</v>
      </c>
      <c r="M2468" s="116">
        <v>107.97</v>
      </c>
      <c r="N2468" s="116">
        <v>112.36</v>
      </c>
      <c r="O2468" s="116">
        <v>102.7</v>
      </c>
      <c r="P2468" s="116">
        <v>103.85</v>
      </c>
      <c r="Q2468" s="116">
        <v>539.85</v>
      </c>
      <c r="R2468">
        <v>25503312</v>
      </c>
    </row>
    <row r="2469" spans="1:18" x14ac:dyDescent="0.25">
      <c r="A2469" s="170">
        <v>45639</v>
      </c>
      <c r="B2469" s="116">
        <v>108.99</v>
      </c>
      <c r="C2469" s="116">
        <v>107.39</v>
      </c>
      <c r="D2469" s="116">
        <v>106.38</v>
      </c>
      <c r="E2469" s="116">
        <v>108.99</v>
      </c>
      <c r="F2469" s="116">
        <v>536.95000000000005</v>
      </c>
      <c r="G2469">
        <v>894784</v>
      </c>
      <c r="H2469" s="116"/>
      <c r="I2469" s="116"/>
      <c r="L2469" s="170">
        <v>45639</v>
      </c>
      <c r="M2469" s="116">
        <v>107.32</v>
      </c>
      <c r="N2469" s="116">
        <v>108.94</v>
      </c>
      <c r="O2469" s="116">
        <v>106.4</v>
      </c>
      <c r="P2469" s="116">
        <v>107.92</v>
      </c>
      <c r="Q2469" s="116">
        <v>536.6</v>
      </c>
      <c r="R2469">
        <v>6081771</v>
      </c>
    </row>
    <row r="2470" spans="1:18" x14ac:dyDescent="0.25">
      <c r="A2470" s="170">
        <v>45642</v>
      </c>
      <c r="B2470" s="116">
        <v>107.8</v>
      </c>
      <c r="C2470" s="116">
        <v>105.8</v>
      </c>
      <c r="D2470" s="116">
        <v>104.5</v>
      </c>
      <c r="E2470" s="116">
        <v>107.63</v>
      </c>
      <c r="F2470" s="116">
        <v>529</v>
      </c>
      <c r="G2470">
        <v>558171</v>
      </c>
      <c r="H2470" s="116"/>
      <c r="I2470" s="116"/>
      <c r="L2470" s="170">
        <v>45642</v>
      </c>
      <c r="M2470" s="116">
        <v>105.98</v>
      </c>
      <c r="N2470" s="116">
        <v>107.88</v>
      </c>
      <c r="O2470" s="116">
        <v>105.46</v>
      </c>
      <c r="P2470" s="116">
        <v>107.8</v>
      </c>
      <c r="Q2470" s="116">
        <v>529.9</v>
      </c>
      <c r="R2470">
        <v>2622097</v>
      </c>
    </row>
    <row r="2471" spans="1:18" x14ac:dyDescent="0.25">
      <c r="A2471" s="170">
        <v>45643</v>
      </c>
      <c r="B2471" s="116">
        <v>108.35</v>
      </c>
      <c r="C2471" s="116">
        <v>104.98</v>
      </c>
      <c r="D2471" s="116">
        <v>104.4</v>
      </c>
      <c r="E2471" s="116">
        <v>105.8</v>
      </c>
      <c r="F2471" s="116">
        <v>524.9</v>
      </c>
      <c r="G2471">
        <v>419562</v>
      </c>
      <c r="H2471" s="116"/>
      <c r="I2471" s="116"/>
      <c r="L2471" s="170">
        <v>45643</v>
      </c>
      <c r="M2471" s="116">
        <v>104.92</v>
      </c>
      <c r="N2471" s="116">
        <v>108.32</v>
      </c>
      <c r="O2471" s="116">
        <v>104.4</v>
      </c>
      <c r="P2471" s="116">
        <v>105.8</v>
      </c>
      <c r="Q2471" s="116">
        <v>524.6</v>
      </c>
      <c r="R2471">
        <v>4918977</v>
      </c>
    </row>
    <row r="2472" spans="1:18" x14ac:dyDescent="0.25">
      <c r="A2472" s="170">
        <v>45644</v>
      </c>
      <c r="B2472" s="116">
        <v>105.96</v>
      </c>
      <c r="C2472" s="116">
        <v>104.22</v>
      </c>
      <c r="D2472" s="116">
        <v>103.53</v>
      </c>
      <c r="E2472" s="116">
        <v>104.81</v>
      </c>
      <c r="F2472" s="116">
        <v>521.1</v>
      </c>
      <c r="G2472">
        <v>490029</v>
      </c>
      <c r="H2472" s="116"/>
      <c r="I2472" s="116"/>
      <c r="L2472" s="170">
        <v>45644</v>
      </c>
      <c r="M2472" s="116">
        <v>104.23</v>
      </c>
      <c r="N2472" s="116">
        <v>105.97</v>
      </c>
      <c r="O2472" s="116">
        <v>103.5</v>
      </c>
      <c r="P2472" s="116">
        <v>105.2</v>
      </c>
      <c r="Q2472" s="116">
        <v>521.15</v>
      </c>
      <c r="R2472">
        <v>2975529</v>
      </c>
    </row>
    <row r="2473" spans="1:18" x14ac:dyDescent="0.25">
      <c r="A2473" s="170">
        <v>45645</v>
      </c>
      <c r="B2473" s="116">
        <v>103.28</v>
      </c>
      <c r="C2473" s="116">
        <v>101.69</v>
      </c>
      <c r="D2473" s="116">
        <v>101.4</v>
      </c>
      <c r="E2473" s="116">
        <v>102.13</v>
      </c>
      <c r="F2473" s="116">
        <v>508.45</v>
      </c>
      <c r="G2473">
        <v>222084</v>
      </c>
      <c r="H2473" s="116"/>
      <c r="I2473" s="116"/>
      <c r="L2473" s="170">
        <v>45645</v>
      </c>
      <c r="M2473" s="116">
        <v>101.66</v>
      </c>
      <c r="N2473" s="116">
        <v>103.29</v>
      </c>
      <c r="O2473" s="116">
        <v>101.34</v>
      </c>
      <c r="P2473" s="116">
        <v>102</v>
      </c>
      <c r="Q2473" s="116">
        <v>508.3</v>
      </c>
      <c r="R2473">
        <v>3583001</v>
      </c>
    </row>
    <row r="2474" spans="1:18" x14ac:dyDescent="0.25">
      <c r="A2474" s="170">
        <v>45646</v>
      </c>
      <c r="B2474" s="116">
        <v>105.4</v>
      </c>
      <c r="C2474" s="116">
        <v>99.69</v>
      </c>
      <c r="D2474" s="116">
        <v>98.4</v>
      </c>
      <c r="E2474" s="116">
        <v>102.07</v>
      </c>
      <c r="F2474" s="116">
        <v>498.45</v>
      </c>
      <c r="G2474">
        <v>782180</v>
      </c>
      <c r="H2474" s="116"/>
      <c r="I2474" s="116"/>
      <c r="L2474" s="170">
        <v>45646</v>
      </c>
      <c r="M2474" s="116">
        <v>99.58</v>
      </c>
      <c r="N2474" s="116">
        <v>105.4</v>
      </c>
      <c r="O2474" s="116">
        <v>98.21</v>
      </c>
      <c r="P2474" s="116">
        <v>102.28</v>
      </c>
      <c r="Q2474" s="116">
        <v>497.9</v>
      </c>
      <c r="R2474">
        <v>8079059</v>
      </c>
    </row>
    <row r="2475" spans="1:18" x14ac:dyDescent="0.25">
      <c r="A2475" s="170">
        <v>45649</v>
      </c>
      <c r="B2475" s="116">
        <v>102.18</v>
      </c>
      <c r="C2475" s="116">
        <v>100.8</v>
      </c>
      <c r="D2475" s="116">
        <v>98.92</v>
      </c>
      <c r="E2475" s="116">
        <v>100.51</v>
      </c>
      <c r="F2475" s="116">
        <v>504</v>
      </c>
      <c r="G2475">
        <v>498963</v>
      </c>
      <c r="H2475" s="116"/>
      <c r="I2475" s="116"/>
      <c r="L2475" s="170">
        <v>45649</v>
      </c>
      <c r="M2475" s="116">
        <v>100.82</v>
      </c>
      <c r="N2475" s="116">
        <v>102</v>
      </c>
      <c r="O2475" s="116">
        <v>98.93</v>
      </c>
      <c r="P2475" s="116">
        <v>100.98</v>
      </c>
      <c r="Q2475" s="116">
        <v>504.1</v>
      </c>
      <c r="R2475">
        <v>3971433</v>
      </c>
    </row>
    <row r="2476" spans="1:18" x14ac:dyDescent="0.25">
      <c r="A2476" s="170">
        <v>45650</v>
      </c>
      <c r="B2476" s="116">
        <v>101.97</v>
      </c>
      <c r="C2476" s="116">
        <v>99.21</v>
      </c>
      <c r="D2476" s="116">
        <v>99</v>
      </c>
      <c r="E2476" s="116">
        <v>101.07</v>
      </c>
      <c r="F2476" s="116">
        <v>496.05</v>
      </c>
      <c r="G2476">
        <v>241156</v>
      </c>
      <c r="H2476" s="116"/>
      <c r="I2476" s="116"/>
      <c r="L2476" s="170">
        <v>45650</v>
      </c>
      <c r="M2476" s="116">
        <v>99.2</v>
      </c>
      <c r="N2476" s="116">
        <v>101.96</v>
      </c>
      <c r="O2476" s="116">
        <v>99</v>
      </c>
      <c r="P2476" s="116">
        <v>101.2</v>
      </c>
      <c r="Q2476" s="116">
        <v>496</v>
      </c>
      <c r="R2476">
        <v>3280956</v>
      </c>
    </row>
    <row r="2477" spans="1:18" x14ac:dyDescent="0.25">
      <c r="A2477" s="170">
        <v>45652</v>
      </c>
      <c r="B2477" s="116">
        <v>103.14</v>
      </c>
      <c r="C2477" s="116">
        <v>101.44</v>
      </c>
      <c r="D2477" s="116">
        <v>99.13</v>
      </c>
      <c r="E2477" s="116">
        <v>99.6</v>
      </c>
      <c r="F2477" s="116">
        <v>507.2</v>
      </c>
      <c r="G2477">
        <v>814651</v>
      </c>
      <c r="H2477" s="116"/>
      <c r="I2477" s="116"/>
      <c r="L2477" s="170">
        <v>45652</v>
      </c>
      <c r="M2477" s="116">
        <v>101.43</v>
      </c>
      <c r="N2477" s="116">
        <v>103.16</v>
      </c>
      <c r="O2477" s="116">
        <v>99.12</v>
      </c>
      <c r="P2477" s="116">
        <v>99.6</v>
      </c>
      <c r="Q2477" s="116">
        <v>507.15</v>
      </c>
      <c r="R2477">
        <v>6703228</v>
      </c>
    </row>
    <row r="2478" spans="1:18" x14ac:dyDescent="0.25">
      <c r="A2478" s="170">
        <v>45653</v>
      </c>
      <c r="B2478" s="116">
        <v>102.73</v>
      </c>
      <c r="C2478" s="116">
        <v>101.39</v>
      </c>
      <c r="D2478" s="116">
        <v>100.85</v>
      </c>
      <c r="E2478" s="116">
        <v>102.01</v>
      </c>
      <c r="F2478" s="116">
        <v>506.95</v>
      </c>
      <c r="G2478">
        <v>586918</v>
      </c>
      <c r="H2478" s="116"/>
      <c r="I2478" s="116"/>
      <c r="L2478" s="170">
        <v>45653</v>
      </c>
      <c r="M2478" s="116">
        <v>101.35</v>
      </c>
      <c r="N2478" s="116">
        <v>102.75</v>
      </c>
      <c r="O2478" s="116">
        <v>100.87</v>
      </c>
      <c r="P2478" s="116">
        <v>102.1</v>
      </c>
      <c r="Q2478" s="116">
        <v>506.75</v>
      </c>
      <c r="R2478">
        <v>4671940</v>
      </c>
    </row>
    <row r="2479" spans="1:18" x14ac:dyDescent="0.25">
      <c r="A2479" s="170">
        <v>45656</v>
      </c>
      <c r="B2479" s="116">
        <v>111.74</v>
      </c>
      <c r="C2479" s="116">
        <v>107.94</v>
      </c>
      <c r="D2479" s="116">
        <v>100.32</v>
      </c>
      <c r="E2479" s="116">
        <v>101.41</v>
      </c>
      <c r="F2479" s="116">
        <v>539.70000000000005</v>
      </c>
      <c r="G2479">
        <v>1544636</v>
      </c>
      <c r="H2479" s="116"/>
      <c r="I2479" s="116"/>
      <c r="L2479" s="170">
        <v>45656</v>
      </c>
      <c r="M2479" s="116">
        <v>107.89</v>
      </c>
      <c r="N2479" s="116">
        <v>111.78</v>
      </c>
      <c r="O2479" s="116">
        <v>100.3</v>
      </c>
      <c r="P2479" s="116">
        <v>101.6</v>
      </c>
      <c r="Q2479" s="116">
        <v>539.45000000000005</v>
      </c>
      <c r="R2479">
        <v>14814886</v>
      </c>
    </row>
    <row r="2480" spans="1:18" x14ac:dyDescent="0.25">
      <c r="A2480" s="170">
        <v>45657</v>
      </c>
      <c r="B2480" s="116">
        <v>107.44</v>
      </c>
      <c r="C2480" s="116">
        <v>105.83</v>
      </c>
      <c r="D2480" s="116">
        <v>104.68</v>
      </c>
      <c r="E2480" s="116">
        <v>107.09</v>
      </c>
      <c r="F2480" s="116">
        <v>529.15</v>
      </c>
      <c r="G2480">
        <v>543958</v>
      </c>
      <c r="H2480" s="116"/>
      <c r="I2480" s="116"/>
      <c r="L2480" s="170">
        <v>45657</v>
      </c>
      <c r="M2480" s="116">
        <v>105.89</v>
      </c>
      <c r="N2480" s="116">
        <v>107.48</v>
      </c>
      <c r="O2480" s="116">
        <v>104.72</v>
      </c>
      <c r="P2480" s="116">
        <v>106.6</v>
      </c>
      <c r="Q2480" s="116">
        <v>529.45000000000005</v>
      </c>
      <c r="R2480">
        <v>4472016</v>
      </c>
    </row>
    <row r="2481" spans="1:18" x14ac:dyDescent="0.25">
      <c r="A2481" s="170">
        <v>45658</v>
      </c>
      <c r="B2481" s="116">
        <v>106.87</v>
      </c>
      <c r="C2481" s="116">
        <v>105.4</v>
      </c>
      <c r="D2481" s="116">
        <v>104.95</v>
      </c>
      <c r="E2481" s="116">
        <v>106.87</v>
      </c>
      <c r="F2481" s="116">
        <v>527</v>
      </c>
      <c r="G2481">
        <v>221527</v>
      </c>
      <c r="H2481" s="116"/>
      <c r="I2481" s="116"/>
      <c r="L2481" s="170">
        <v>45658</v>
      </c>
      <c r="M2481" s="116">
        <v>105.33</v>
      </c>
      <c r="N2481" s="116">
        <v>106.87</v>
      </c>
      <c r="O2481" s="116">
        <v>105</v>
      </c>
      <c r="P2481" s="116">
        <v>106.2</v>
      </c>
      <c r="Q2481" s="116">
        <v>526.65</v>
      </c>
      <c r="R2481">
        <v>3063854</v>
      </c>
    </row>
    <row r="2482" spans="1:18" x14ac:dyDescent="0.25">
      <c r="A2482" s="170">
        <v>45659</v>
      </c>
      <c r="B2482" s="116">
        <v>105.82</v>
      </c>
      <c r="C2482" s="116">
        <v>104.34</v>
      </c>
      <c r="D2482" s="116">
        <v>104.07</v>
      </c>
      <c r="E2482" s="116">
        <v>105.8</v>
      </c>
      <c r="F2482" s="116">
        <v>521.70000000000005</v>
      </c>
      <c r="G2482">
        <v>351182</v>
      </c>
      <c r="H2482" s="116"/>
      <c r="I2482" s="116"/>
      <c r="L2482" s="170">
        <v>45659</v>
      </c>
      <c r="M2482" s="116">
        <v>104.36</v>
      </c>
      <c r="N2482" s="116">
        <v>105.96</v>
      </c>
      <c r="O2482" s="116">
        <v>104</v>
      </c>
      <c r="P2482" s="116">
        <v>105.8</v>
      </c>
      <c r="Q2482" s="116">
        <v>521.79999999999995</v>
      </c>
      <c r="R2482">
        <v>2056552</v>
      </c>
    </row>
    <row r="2483" spans="1:18" x14ac:dyDescent="0.25">
      <c r="A2483" s="170">
        <v>45660</v>
      </c>
      <c r="B2483" s="116">
        <v>106.4</v>
      </c>
      <c r="C2483" s="116">
        <v>104.1</v>
      </c>
      <c r="D2483" s="116">
        <v>103.59</v>
      </c>
      <c r="E2483" s="116">
        <v>104.48</v>
      </c>
      <c r="F2483" s="116">
        <v>520.5</v>
      </c>
      <c r="G2483">
        <v>209514</v>
      </c>
      <c r="H2483" s="116"/>
      <c r="I2483" s="116"/>
      <c r="L2483" s="170">
        <v>45660</v>
      </c>
      <c r="M2483" s="116">
        <v>104.09</v>
      </c>
      <c r="N2483" s="116">
        <v>106.45</v>
      </c>
      <c r="O2483" s="116">
        <v>103.61</v>
      </c>
      <c r="P2483" s="116">
        <v>104.6</v>
      </c>
      <c r="Q2483" s="116">
        <v>520.45000000000005</v>
      </c>
      <c r="R2483">
        <v>2965056</v>
      </c>
    </row>
    <row r="2484" spans="1:18" x14ac:dyDescent="0.25">
      <c r="A2484" s="170">
        <v>45663</v>
      </c>
      <c r="B2484" s="116">
        <v>104</v>
      </c>
      <c r="C2484" s="116">
        <v>99.59</v>
      </c>
      <c r="D2484" s="116">
        <v>98.7</v>
      </c>
      <c r="E2484" s="116">
        <v>103.99</v>
      </c>
      <c r="F2484" s="116">
        <v>497.95</v>
      </c>
      <c r="G2484">
        <v>538908</v>
      </c>
      <c r="H2484" s="116"/>
      <c r="I2484" s="116"/>
      <c r="L2484" s="170">
        <v>45663</v>
      </c>
      <c r="M2484" s="116">
        <v>99.66</v>
      </c>
      <c r="N2484" s="116">
        <v>104</v>
      </c>
      <c r="O2484" s="116">
        <v>99.2</v>
      </c>
      <c r="P2484" s="116">
        <v>103.8</v>
      </c>
      <c r="Q2484" s="116">
        <v>498.3</v>
      </c>
      <c r="R2484">
        <v>2987088</v>
      </c>
    </row>
    <row r="2485" spans="1:18" x14ac:dyDescent="0.25">
      <c r="A2485" s="170">
        <v>45664</v>
      </c>
      <c r="B2485" s="116">
        <v>104.21</v>
      </c>
      <c r="C2485" s="116">
        <v>102.04</v>
      </c>
      <c r="D2485" s="116">
        <v>99.55</v>
      </c>
      <c r="E2485" s="116">
        <v>99.67</v>
      </c>
      <c r="F2485" s="116">
        <v>510.2</v>
      </c>
      <c r="G2485">
        <v>413950</v>
      </c>
      <c r="H2485" s="116"/>
      <c r="I2485" s="116"/>
      <c r="L2485" s="170">
        <v>45664</v>
      </c>
      <c r="M2485" s="116">
        <v>101.97</v>
      </c>
      <c r="N2485" s="116">
        <v>104.29</v>
      </c>
      <c r="O2485" s="116">
        <v>99.51</v>
      </c>
      <c r="P2485" s="116">
        <v>99.79</v>
      </c>
      <c r="Q2485" s="116">
        <v>509.85</v>
      </c>
      <c r="R2485">
        <v>5606797</v>
      </c>
    </row>
    <row r="2486" spans="1:18" x14ac:dyDescent="0.25">
      <c r="A2486" s="170">
        <v>45665</v>
      </c>
      <c r="B2486" s="116">
        <v>103.01</v>
      </c>
      <c r="C2486" s="116">
        <v>100.88</v>
      </c>
      <c r="D2486" s="116">
        <v>100.05</v>
      </c>
      <c r="E2486" s="116">
        <v>102.35</v>
      </c>
      <c r="F2486" s="116">
        <v>504.4</v>
      </c>
      <c r="G2486">
        <v>354199</v>
      </c>
      <c r="H2486" s="116"/>
      <c r="I2486" s="116"/>
      <c r="L2486" s="170">
        <v>45665</v>
      </c>
      <c r="M2486" s="116">
        <v>100.99</v>
      </c>
      <c r="N2486" s="116">
        <v>102.89</v>
      </c>
      <c r="O2486" s="116">
        <v>100.58</v>
      </c>
      <c r="P2486" s="116">
        <v>102.89</v>
      </c>
      <c r="Q2486" s="116">
        <v>504.95</v>
      </c>
      <c r="R2486">
        <v>2312110</v>
      </c>
    </row>
    <row r="2487" spans="1:18" x14ac:dyDescent="0.25">
      <c r="A2487" s="170">
        <v>45666</v>
      </c>
      <c r="B2487" s="116">
        <v>101.62</v>
      </c>
      <c r="C2487" s="116">
        <v>99.55</v>
      </c>
      <c r="D2487" s="116">
        <v>99.35</v>
      </c>
      <c r="E2487" s="116">
        <v>101.3</v>
      </c>
      <c r="F2487" s="116">
        <v>497.75</v>
      </c>
      <c r="G2487">
        <v>126766</v>
      </c>
      <c r="H2487" s="116"/>
      <c r="I2487" s="116"/>
      <c r="L2487" s="170">
        <v>45666</v>
      </c>
      <c r="M2487" s="116">
        <v>99.58</v>
      </c>
      <c r="N2487" s="116">
        <v>101.76</v>
      </c>
      <c r="O2487" s="116">
        <v>99.26</v>
      </c>
      <c r="P2487" s="116">
        <v>101.4</v>
      </c>
      <c r="Q2487" s="116">
        <v>497.9</v>
      </c>
      <c r="R2487">
        <v>1723426</v>
      </c>
    </row>
    <row r="2488" spans="1:18" x14ac:dyDescent="0.25">
      <c r="A2488" s="170">
        <v>45667</v>
      </c>
      <c r="B2488" s="116">
        <v>100.39</v>
      </c>
      <c r="C2488" s="116">
        <v>96.38</v>
      </c>
      <c r="D2488" s="116">
        <v>95.7</v>
      </c>
      <c r="E2488" s="116">
        <v>99.41</v>
      </c>
      <c r="F2488" s="116">
        <v>481.9</v>
      </c>
      <c r="G2488">
        <v>263111</v>
      </c>
      <c r="H2488" s="116"/>
      <c r="I2488" s="116"/>
      <c r="L2488" s="170">
        <v>45667</v>
      </c>
      <c r="M2488" s="116">
        <v>96.46</v>
      </c>
      <c r="N2488" s="116">
        <v>100.58</v>
      </c>
      <c r="O2488" s="116">
        <v>95.69</v>
      </c>
      <c r="P2488" s="116">
        <v>99.6</v>
      </c>
      <c r="Q2488" s="116">
        <v>482.3</v>
      </c>
      <c r="R2488">
        <v>3638409</v>
      </c>
    </row>
    <row r="2489" spans="1:18" x14ac:dyDescent="0.25">
      <c r="A2489" s="170">
        <v>45670</v>
      </c>
      <c r="B2489" s="116">
        <v>95.94</v>
      </c>
      <c r="C2489" s="116">
        <v>90.03</v>
      </c>
      <c r="D2489" s="116">
        <v>89.07</v>
      </c>
      <c r="E2489" s="116">
        <v>95.94</v>
      </c>
      <c r="F2489" s="116">
        <v>450.15</v>
      </c>
      <c r="G2489">
        <v>373307</v>
      </c>
      <c r="H2489" s="116"/>
      <c r="I2489" s="116"/>
      <c r="L2489" s="170">
        <v>45670</v>
      </c>
      <c r="M2489" s="116">
        <v>89.98</v>
      </c>
      <c r="N2489" s="116">
        <v>95.59</v>
      </c>
      <c r="O2489" s="116">
        <v>89</v>
      </c>
      <c r="P2489" s="116">
        <v>95.21</v>
      </c>
      <c r="Q2489" s="116">
        <v>449.9</v>
      </c>
      <c r="R2489">
        <v>5369628</v>
      </c>
    </row>
    <row r="2490" spans="1:18" x14ac:dyDescent="0.25">
      <c r="A2490" s="170">
        <v>45671</v>
      </c>
      <c r="B2490" s="116">
        <v>108.03</v>
      </c>
      <c r="C2490" s="116">
        <v>107.83</v>
      </c>
      <c r="D2490" s="116">
        <v>91.6</v>
      </c>
      <c r="E2490" s="116">
        <v>91.6</v>
      </c>
      <c r="F2490" s="116">
        <v>539.15</v>
      </c>
      <c r="G2490">
        <v>5875276</v>
      </c>
      <c r="H2490" s="116"/>
      <c r="I2490" s="116"/>
      <c r="L2490" s="170">
        <v>45671</v>
      </c>
      <c r="M2490" s="116">
        <v>107.4</v>
      </c>
      <c r="N2490" s="116">
        <v>107.97</v>
      </c>
      <c r="O2490" s="116">
        <v>91.99</v>
      </c>
      <c r="P2490" s="116">
        <v>92</v>
      </c>
      <c r="Q2490" s="116">
        <v>537</v>
      </c>
      <c r="R2490">
        <v>51113423</v>
      </c>
    </row>
    <row r="2491" spans="1:18" x14ac:dyDescent="0.25">
      <c r="A2491" s="170">
        <v>45672</v>
      </c>
      <c r="B2491" s="116">
        <v>114.3</v>
      </c>
      <c r="C2491" s="116">
        <v>109.86</v>
      </c>
      <c r="D2491" s="116">
        <v>104.61</v>
      </c>
      <c r="E2491" s="116">
        <v>107.86</v>
      </c>
      <c r="F2491" s="116">
        <v>549.29999999999995</v>
      </c>
      <c r="G2491">
        <v>2923826</v>
      </c>
      <c r="H2491" s="116"/>
      <c r="I2491" s="116"/>
      <c r="L2491" s="170">
        <v>45672</v>
      </c>
      <c r="M2491" s="116">
        <v>109.89</v>
      </c>
      <c r="N2491" s="116">
        <v>114.38</v>
      </c>
      <c r="O2491" s="116">
        <v>104.6</v>
      </c>
      <c r="P2491" s="116">
        <v>107.99</v>
      </c>
      <c r="Q2491" s="116">
        <v>549.45000000000005</v>
      </c>
      <c r="R2491">
        <v>39118967</v>
      </c>
    </row>
    <row r="2492" spans="1:18" x14ac:dyDescent="0.25">
      <c r="A2492" s="170">
        <v>45673</v>
      </c>
      <c r="B2492" s="116">
        <v>119.98</v>
      </c>
      <c r="C2492" s="116">
        <v>112.55</v>
      </c>
      <c r="D2492" s="116">
        <v>111.3</v>
      </c>
      <c r="E2492" s="116">
        <v>116.66</v>
      </c>
      <c r="F2492" s="116">
        <v>562.75</v>
      </c>
      <c r="G2492">
        <v>1286224</v>
      </c>
      <c r="H2492" s="116"/>
      <c r="I2492" s="116"/>
      <c r="L2492" s="170">
        <v>45673</v>
      </c>
      <c r="M2492" s="116">
        <v>112.6</v>
      </c>
      <c r="N2492" s="116">
        <v>119.68</v>
      </c>
      <c r="O2492" s="116">
        <v>111.28</v>
      </c>
      <c r="P2492" s="116">
        <v>117</v>
      </c>
      <c r="Q2492" s="116">
        <v>563</v>
      </c>
      <c r="R2492">
        <v>21563434</v>
      </c>
    </row>
    <row r="2493" spans="1:18" x14ac:dyDescent="0.25">
      <c r="A2493" s="170">
        <v>45674</v>
      </c>
      <c r="B2493" s="116">
        <v>114.75</v>
      </c>
      <c r="C2493" s="116">
        <v>109.23</v>
      </c>
      <c r="D2493" s="116">
        <v>100</v>
      </c>
      <c r="E2493" s="116">
        <v>112.74</v>
      </c>
      <c r="F2493" s="116">
        <v>546.15</v>
      </c>
      <c r="G2493">
        <v>776099</v>
      </c>
      <c r="H2493" s="116"/>
      <c r="I2493" s="116"/>
      <c r="L2493" s="170">
        <v>45674</v>
      </c>
      <c r="M2493" s="116">
        <v>110.26</v>
      </c>
      <c r="N2493" s="116">
        <v>114.71</v>
      </c>
      <c r="O2493" s="116">
        <v>109</v>
      </c>
      <c r="P2493" s="116">
        <v>112.59</v>
      </c>
      <c r="Q2493" s="116">
        <v>551.29999999999995</v>
      </c>
      <c r="R2493">
        <v>10290018</v>
      </c>
    </row>
    <row r="2494" spans="1:18" x14ac:dyDescent="0.25">
      <c r="A2494" s="170">
        <v>45677</v>
      </c>
      <c r="B2494" s="116">
        <v>110.8</v>
      </c>
      <c r="C2494" s="116">
        <v>108.81</v>
      </c>
      <c r="D2494" s="116">
        <v>107.76</v>
      </c>
      <c r="E2494" s="116">
        <v>110.33</v>
      </c>
      <c r="F2494" s="116">
        <v>544.04999999999995</v>
      </c>
      <c r="G2494">
        <v>362623</v>
      </c>
      <c r="H2494" s="116"/>
      <c r="I2494" s="116"/>
      <c r="L2494" s="170">
        <v>45677</v>
      </c>
      <c r="M2494" s="116">
        <v>108.76</v>
      </c>
      <c r="N2494" s="116">
        <v>110.82</v>
      </c>
      <c r="O2494" s="116">
        <v>107.8</v>
      </c>
      <c r="P2494" s="116">
        <v>110.25</v>
      </c>
      <c r="Q2494" s="116">
        <v>543.79999999999995</v>
      </c>
      <c r="R2494">
        <v>4648954</v>
      </c>
    </row>
    <row r="2495" spans="1:18" x14ac:dyDescent="0.25">
      <c r="A2495" s="170">
        <v>45678</v>
      </c>
      <c r="B2495" s="116">
        <v>109.9</v>
      </c>
      <c r="C2495" s="116">
        <v>105.75</v>
      </c>
      <c r="D2495" s="116">
        <v>105.26</v>
      </c>
      <c r="E2495" s="116">
        <v>109.1</v>
      </c>
      <c r="F2495" s="116">
        <v>528.75</v>
      </c>
      <c r="G2495">
        <v>539732</v>
      </c>
      <c r="H2495" s="116"/>
      <c r="I2495" s="116"/>
      <c r="L2495" s="170">
        <v>45678</v>
      </c>
      <c r="M2495" s="116">
        <v>105.75</v>
      </c>
      <c r="N2495" s="116">
        <v>109.95</v>
      </c>
      <c r="O2495" s="116">
        <v>105.25</v>
      </c>
      <c r="P2495" s="116">
        <v>109</v>
      </c>
      <c r="Q2495" s="116">
        <v>528.75</v>
      </c>
      <c r="R2495">
        <v>3947487</v>
      </c>
    </row>
    <row r="2496" spans="1:18" x14ac:dyDescent="0.25">
      <c r="A2496" s="170">
        <v>45679</v>
      </c>
      <c r="B2496" s="116">
        <v>106.6</v>
      </c>
      <c r="C2496" s="116">
        <v>105.05</v>
      </c>
      <c r="D2496" s="116">
        <v>102.68</v>
      </c>
      <c r="E2496" s="116">
        <v>105.93</v>
      </c>
      <c r="F2496" s="116">
        <v>525.25</v>
      </c>
      <c r="G2496">
        <v>503117</v>
      </c>
      <c r="H2496" s="116"/>
      <c r="I2496" s="116"/>
      <c r="L2496" s="170">
        <v>45679</v>
      </c>
      <c r="M2496" s="116">
        <v>105.09</v>
      </c>
      <c r="N2496" s="116">
        <v>106.6</v>
      </c>
      <c r="O2496" s="116">
        <v>102.71</v>
      </c>
      <c r="P2496" s="116">
        <v>106.18</v>
      </c>
      <c r="Q2496" s="116">
        <v>525.45000000000005</v>
      </c>
      <c r="R2496">
        <v>3506011</v>
      </c>
    </row>
    <row r="2497" spans="1:18" x14ac:dyDescent="0.25">
      <c r="A2497" s="170">
        <v>45680</v>
      </c>
      <c r="B2497" s="116">
        <v>107.46</v>
      </c>
      <c r="C2497" s="116">
        <v>104.3</v>
      </c>
      <c r="D2497" s="116">
        <v>103.66</v>
      </c>
      <c r="E2497" s="116">
        <v>105.09</v>
      </c>
      <c r="F2497" s="116">
        <v>521.5</v>
      </c>
      <c r="G2497">
        <v>293123</v>
      </c>
      <c r="H2497" s="116"/>
      <c r="I2497" s="116"/>
      <c r="L2497" s="170">
        <v>45680</v>
      </c>
      <c r="M2497" s="116">
        <v>104.36</v>
      </c>
      <c r="N2497" s="116">
        <v>107.59</v>
      </c>
      <c r="O2497" s="116">
        <v>103.74</v>
      </c>
      <c r="P2497" s="116">
        <v>105.05</v>
      </c>
      <c r="Q2497" s="116">
        <v>521.79999999999995</v>
      </c>
      <c r="R2497">
        <v>4337709</v>
      </c>
    </row>
    <row r="2498" spans="1:18" x14ac:dyDescent="0.25">
      <c r="A2498" s="170">
        <v>45681</v>
      </c>
      <c r="B2498" s="116">
        <v>105.78</v>
      </c>
      <c r="C2498" s="116">
        <v>102.98</v>
      </c>
      <c r="D2498" s="116">
        <v>101.8</v>
      </c>
      <c r="E2498" s="116">
        <v>105.38</v>
      </c>
      <c r="F2498" s="116">
        <v>514.9</v>
      </c>
      <c r="G2498">
        <v>332771</v>
      </c>
      <c r="H2498" s="116"/>
      <c r="I2498" s="116"/>
      <c r="L2498" s="170">
        <v>45681</v>
      </c>
      <c r="M2498" s="116">
        <v>102.97</v>
      </c>
      <c r="N2498" s="116">
        <v>105.76</v>
      </c>
      <c r="O2498" s="116">
        <v>101.8</v>
      </c>
      <c r="P2498" s="116">
        <v>104.51</v>
      </c>
      <c r="Q2498" s="116">
        <v>514.85</v>
      </c>
      <c r="R2498">
        <v>4943171</v>
      </c>
    </row>
    <row r="2499" spans="1:18" x14ac:dyDescent="0.25">
      <c r="A2499" s="170">
        <v>45684</v>
      </c>
      <c r="B2499" s="116">
        <v>102.86</v>
      </c>
      <c r="C2499" s="116">
        <v>99.36</v>
      </c>
      <c r="D2499" s="116">
        <v>98.6</v>
      </c>
      <c r="E2499" s="116">
        <v>102.81</v>
      </c>
      <c r="F2499" s="116">
        <v>496.8</v>
      </c>
      <c r="G2499">
        <v>520674</v>
      </c>
      <c r="H2499" s="116"/>
      <c r="I2499" s="116"/>
      <c r="L2499" s="170">
        <v>45684</v>
      </c>
      <c r="M2499" s="116">
        <v>99.38</v>
      </c>
      <c r="N2499" s="116">
        <v>102.97</v>
      </c>
      <c r="O2499" s="116">
        <v>98.6</v>
      </c>
      <c r="P2499" s="116">
        <v>102.97</v>
      </c>
      <c r="Q2499" s="116">
        <v>496.9</v>
      </c>
      <c r="R2499">
        <v>3438956</v>
      </c>
    </row>
    <row r="2500" spans="1:18" x14ac:dyDescent="0.25">
      <c r="A2500" s="170">
        <v>45685</v>
      </c>
      <c r="B2500" s="116">
        <v>101.31</v>
      </c>
      <c r="C2500" s="116">
        <v>99.42</v>
      </c>
      <c r="D2500" s="116">
        <v>96.61</v>
      </c>
      <c r="E2500" s="116">
        <v>99.39</v>
      </c>
      <c r="F2500" s="116">
        <v>497.1</v>
      </c>
      <c r="G2500">
        <v>348199</v>
      </c>
      <c r="H2500" s="116"/>
      <c r="I2500" s="116"/>
      <c r="L2500" s="170">
        <v>45685</v>
      </c>
      <c r="M2500" s="116">
        <v>99.44</v>
      </c>
      <c r="N2500" s="116">
        <v>101.37</v>
      </c>
      <c r="O2500" s="116">
        <v>96.63</v>
      </c>
      <c r="P2500" s="116">
        <v>99.47</v>
      </c>
      <c r="Q2500" s="116">
        <v>497.2</v>
      </c>
      <c r="R2500">
        <v>4693074</v>
      </c>
    </row>
    <row r="2501" spans="1:18" x14ac:dyDescent="0.25">
      <c r="A2501" s="170">
        <v>45686</v>
      </c>
      <c r="B2501" s="116">
        <v>105.6</v>
      </c>
      <c r="C2501" s="116">
        <v>104.47</v>
      </c>
      <c r="D2501" s="116">
        <v>99.4</v>
      </c>
      <c r="E2501" s="116">
        <v>100.96</v>
      </c>
      <c r="F2501" s="116">
        <v>522.35</v>
      </c>
      <c r="G2501">
        <v>505015</v>
      </c>
      <c r="H2501" s="116"/>
      <c r="I2501" s="116"/>
      <c r="L2501" s="170">
        <v>45686</v>
      </c>
      <c r="M2501" s="116">
        <v>104.55</v>
      </c>
      <c r="N2501" s="116">
        <v>105.58</v>
      </c>
      <c r="O2501" s="116">
        <v>99.38</v>
      </c>
      <c r="P2501" s="116">
        <v>100.59</v>
      </c>
      <c r="Q2501" s="116">
        <v>522.75</v>
      </c>
      <c r="R2501">
        <v>7833685</v>
      </c>
    </row>
    <row r="2502" spans="1:18" x14ac:dyDescent="0.25">
      <c r="A2502" s="170">
        <v>45687</v>
      </c>
      <c r="B2502" s="116">
        <v>104.98</v>
      </c>
      <c r="C2502" s="116">
        <v>101.8</v>
      </c>
      <c r="D2502" s="116">
        <v>101.13</v>
      </c>
      <c r="E2502" s="116">
        <v>104.61</v>
      </c>
      <c r="F2502" s="116">
        <v>509</v>
      </c>
      <c r="G2502">
        <v>311191</v>
      </c>
      <c r="H2502" s="116"/>
      <c r="I2502" s="116"/>
      <c r="L2502" s="170">
        <v>45687</v>
      </c>
      <c r="M2502" s="116">
        <v>101.76</v>
      </c>
      <c r="N2502" s="116">
        <v>104.9</v>
      </c>
      <c r="O2502" s="116">
        <v>101</v>
      </c>
      <c r="P2502" s="116">
        <v>104.8</v>
      </c>
      <c r="Q2502" s="116">
        <v>508.8</v>
      </c>
      <c r="R2502">
        <v>4438202</v>
      </c>
    </row>
    <row r="2503" spans="1:18" x14ac:dyDescent="0.25">
      <c r="A2503" s="170">
        <v>45688</v>
      </c>
      <c r="B2503" s="116">
        <v>103.28</v>
      </c>
      <c r="C2503" s="116">
        <v>102.65</v>
      </c>
      <c r="D2503" s="116">
        <v>100.9</v>
      </c>
      <c r="E2503" s="116">
        <v>100.96</v>
      </c>
      <c r="F2503" s="116">
        <v>513.25</v>
      </c>
      <c r="G2503">
        <v>512185</v>
      </c>
      <c r="H2503" s="116"/>
      <c r="I2503" s="116"/>
      <c r="L2503" s="170">
        <v>45688</v>
      </c>
      <c r="M2503" s="116">
        <v>102.64</v>
      </c>
      <c r="N2503" s="116">
        <v>103.27</v>
      </c>
      <c r="O2503" s="116">
        <v>100.85</v>
      </c>
      <c r="P2503" s="116">
        <v>101.69</v>
      </c>
      <c r="Q2503" s="116">
        <v>513.20000000000005</v>
      </c>
      <c r="R2503">
        <v>3812391</v>
      </c>
    </row>
    <row r="2504" spans="1:18" x14ac:dyDescent="0.25">
      <c r="A2504" s="170">
        <v>45689</v>
      </c>
      <c r="B2504" s="116">
        <v>107.31</v>
      </c>
      <c r="C2504" s="116">
        <v>102.84</v>
      </c>
      <c r="D2504" s="116">
        <v>101.8</v>
      </c>
      <c r="E2504" s="116">
        <v>102.97</v>
      </c>
      <c r="F2504" s="116">
        <v>514.20000000000005</v>
      </c>
      <c r="G2504">
        <v>1144432</v>
      </c>
      <c r="H2504" s="116"/>
      <c r="I2504" s="116"/>
      <c r="L2504" s="170">
        <v>45689</v>
      </c>
      <c r="M2504" s="116">
        <v>102.86</v>
      </c>
      <c r="N2504" s="116">
        <v>107.35</v>
      </c>
      <c r="O2504" s="116">
        <v>101.79</v>
      </c>
      <c r="P2504" s="116">
        <v>102.64</v>
      </c>
      <c r="Q2504" s="116">
        <v>514.29999999999995</v>
      </c>
      <c r="R2504">
        <v>6879672</v>
      </c>
    </row>
    <row r="2505" spans="1:18" x14ac:dyDescent="0.25">
      <c r="A2505" s="170">
        <v>45691</v>
      </c>
      <c r="B2505" s="116">
        <v>103.15</v>
      </c>
      <c r="C2505" s="116">
        <v>100.46</v>
      </c>
      <c r="D2505" s="116">
        <v>99.67</v>
      </c>
      <c r="E2505" s="116">
        <v>101.99</v>
      </c>
      <c r="F2505" s="116">
        <v>502.3</v>
      </c>
      <c r="G2505">
        <v>224979</v>
      </c>
      <c r="H2505" s="116"/>
      <c r="I2505" s="116"/>
      <c r="L2505" s="170">
        <v>45691</v>
      </c>
      <c r="M2505" s="116">
        <v>100.45</v>
      </c>
      <c r="N2505" s="116">
        <v>103.15</v>
      </c>
      <c r="O2505" s="116">
        <v>99.65</v>
      </c>
      <c r="P2505" s="116">
        <v>101.81</v>
      </c>
      <c r="Q2505" s="116">
        <v>502.25</v>
      </c>
      <c r="R2505">
        <v>2953544</v>
      </c>
    </row>
    <row r="2506" spans="1:18" x14ac:dyDescent="0.25">
      <c r="A2506" s="170">
        <v>45692</v>
      </c>
      <c r="B2506" s="116">
        <v>102.74</v>
      </c>
      <c r="C2506" s="116">
        <v>101.31</v>
      </c>
      <c r="D2506" s="116">
        <v>100.26</v>
      </c>
      <c r="E2506" s="116">
        <v>102.48</v>
      </c>
      <c r="F2506" s="116">
        <v>506.55</v>
      </c>
      <c r="G2506">
        <v>414862</v>
      </c>
      <c r="H2506" s="116"/>
      <c r="I2506" s="116"/>
      <c r="L2506" s="170">
        <v>45692</v>
      </c>
      <c r="M2506" s="116">
        <v>101.27</v>
      </c>
      <c r="N2506" s="116">
        <v>102.6</v>
      </c>
      <c r="O2506" s="116">
        <v>100.24</v>
      </c>
      <c r="P2506" s="116">
        <v>102.6</v>
      </c>
      <c r="Q2506" s="116">
        <v>506.35</v>
      </c>
      <c r="R2506">
        <v>2822180</v>
      </c>
    </row>
    <row r="2507" spans="1:18" x14ac:dyDescent="0.25">
      <c r="A2507" s="170">
        <v>45693</v>
      </c>
      <c r="B2507" s="116">
        <v>103.14</v>
      </c>
      <c r="C2507" s="116">
        <v>101.07</v>
      </c>
      <c r="D2507" s="116">
        <v>100.6</v>
      </c>
      <c r="E2507" s="116">
        <v>102.24</v>
      </c>
      <c r="F2507" s="116">
        <v>505.35</v>
      </c>
      <c r="G2507">
        <v>411311</v>
      </c>
      <c r="H2507" s="116"/>
      <c r="I2507" s="116"/>
      <c r="L2507" s="170">
        <v>45693</v>
      </c>
      <c r="M2507" s="116">
        <v>101.08</v>
      </c>
      <c r="N2507" s="116">
        <v>103.15</v>
      </c>
      <c r="O2507" s="116">
        <v>100.61</v>
      </c>
      <c r="P2507" s="116">
        <v>102.19</v>
      </c>
      <c r="Q2507" s="116">
        <v>505.4</v>
      </c>
      <c r="R2507">
        <v>3579029</v>
      </c>
    </row>
    <row r="2508" spans="1:18" x14ac:dyDescent="0.25">
      <c r="A2508" s="170">
        <v>45694</v>
      </c>
      <c r="B2508" s="116">
        <v>102.2</v>
      </c>
      <c r="C2508" s="116">
        <v>100.72</v>
      </c>
      <c r="D2508" s="116">
        <v>100.3</v>
      </c>
      <c r="E2508" s="116">
        <v>101.92</v>
      </c>
      <c r="F2508" s="116">
        <v>503.6</v>
      </c>
      <c r="G2508">
        <v>166210</v>
      </c>
      <c r="H2508" s="116"/>
      <c r="I2508" s="116"/>
      <c r="L2508" s="170">
        <v>45694</v>
      </c>
      <c r="M2508" s="116">
        <v>100.69</v>
      </c>
      <c r="N2508" s="116">
        <v>102.27</v>
      </c>
      <c r="O2508" s="116">
        <v>100.29</v>
      </c>
      <c r="P2508" s="116">
        <v>101.88</v>
      </c>
      <c r="Q2508" s="116">
        <v>503.45</v>
      </c>
      <c r="R2508">
        <v>2388880</v>
      </c>
    </row>
    <row r="2509" spans="1:18" x14ac:dyDescent="0.25">
      <c r="A2509" s="170">
        <v>45695</v>
      </c>
      <c r="B2509" s="116">
        <v>101.48</v>
      </c>
      <c r="C2509" s="116">
        <v>98.79</v>
      </c>
      <c r="D2509" s="116">
        <v>98.25</v>
      </c>
      <c r="E2509" s="116">
        <v>101.15</v>
      </c>
      <c r="F2509" s="116">
        <v>493.95</v>
      </c>
      <c r="G2509">
        <v>570687</v>
      </c>
      <c r="H2509" s="116"/>
      <c r="I2509" s="116"/>
      <c r="L2509" s="170">
        <v>45695</v>
      </c>
      <c r="M2509" s="116">
        <v>98.82</v>
      </c>
      <c r="N2509" s="116">
        <v>101.34</v>
      </c>
      <c r="O2509" s="116">
        <v>98.2</v>
      </c>
      <c r="P2509" s="116">
        <v>101</v>
      </c>
      <c r="Q2509" s="116">
        <v>494.1</v>
      </c>
      <c r="R2509">
        <v>4385362</v>
      </c>
    </row>
    <row r="2510" spans="1:18" x14ac:dyDescent="0.25">
      <c r="A2510" s="170">
        <v>45698</v>
      </c>
      <c r="B2510" s="116">
        <v>99.8</v>
      </c>
      <c r="C2510" s="116">
        <v>98.26</v>
      </c>
      <c r="D2510" s="116">
        <v>97.62</v>
      </c>
      <c r="E2510" s="116">
        <v>99.38</v>
      </c>
      <c r="F2510" s="116">
        <v>491.3</v>
      </c>
      <c r="G2510">
        <v>246658</v>
      </c>
      <c r="H2510" s="116"/>
      <c r="I2510" s="116"/>
      <c r="L2510" s="170">
        <v>45698</v>
      </c>
      <c r="M2510" s="116">
        <v>98.28</v>
      </c>
      <c r="N2510" s="116">
        <v>99.8</v>
      </c>
      <c r="O2510" s="116">
        <v>97.62</v>
      </c>
      <c r="P2510" s="116">
        <v>99</v>
      </c>
      <c r="Q2510" s="116">
        <v>491.4</v>
      </c>
      <c r="R2510">
        <v>2635512</v>
      </c>
    </row>
    <row r="2511" spans="1:18" x14ac:dyDescent="0.25">
      <c r="A2511" s="170">
        <v>45699</v>
      </c>
      <c r="B2511" s="116">
        <v>102.37</v>
      </c>
      <c r="C2511" s="116">
        <v>99.63</v>
      </c>
      <c r="D2511" s="116">
        <v>97.64</v>
      </c>
      <c r="E2511" s="116">
        <v>98.28</v>
      </c>
      <c r="F2511" s="116">
        <v>498.15</v>
      </c>
      <c r="G2511">
        <v>925405</v>
      </c>
      <c r="H2511" s="116"/>
      <c r="I2511" s="116"/>
      <c r="L2511" s="170">
        <v>45699</v>
      </c>
      <c r="M2511" s="116">
        <v>99.63</v>
      </c>
      <c r="N2511" s="116">
        <v>102.38</v>
      </c>
      <c r="O2511" s="116">
        <v>97.62</v>
      </c>
      <c r="P2511" s="116">
        <v>98.82</v>
      </c>
      <c r="Q2511" s="116">
        <v>498.15</v>
      </c>
      <c r="R2511">
        <v>12016587</v>
      </c>
    </row>
    <row r="2512" spans="1:18" x14ac:dyDescent="0.25">
      <c r="A2512" s="170">
        <v>45700</v>
      </c>
      <c r="B2512" s="116">
        <v>100.96</v>
      </c>
      <c r="C2512" s="116">
        <v>100.32</v>
      </c>
      <c r="D2512" s="116">
        <v>96.51</v>
      </c>
      <c r="E2512" s="116">
        <v>100.19</v>
      </c>
      <c r="F2512" s="116">
        <v>501.6</v>
      </c>
      <c r="G2512">
        <v>956861</v>
      </c>
      <c r="H2512" s="116"/>
      <c r="I2512" s="116"/>
      <c r="L2512" s="170">
        <v>45700</v>
      </c>
      <c r="M2512" s="116">
        <v>100.35</v>
      </c>
      <c r="N2512" s="116">
        <v>100.98</v>
      </c>
      <c r="O2512" s="116">
        <v>96.49</v>
      </c>
      <c r="P2512" s="116">
        <v>100.07</v>
      </c>
      <c r="Q2512" s="116">
        <v>501.75</v>
      </c>
      <c r="R2512">
        <v>6317291</v>
      </c>
    </row>
    <row r="2513" spans="1:18" x14ac:dyDescent="0.25">
      <c r="A2513" s="170">
        <v>45701</v>
      </c>
      <c r="B2513" s="116">
        <v>101.22</v>
      </c>
      <c r="C2513" s="116">
        <v>99.76</v>
      </c>
      <c r="D2513" s="116">
        <v>98.7</v>
      </c>
      <c r="E2513" s="116">
        <v>100.79</v>
      </c>
      <c r="F2513" s="116">
        <v>498.8</v>
      </c>
      <c r="G2513">
        <v>303906</v>
      </c>
      <c r="H2513" s="116"/>
      <c r="I2513" s="116"/>
      <c r="L2513" s="170">
        <v>45701</v>
      </c>
      <c r="M2513" s="116">
        <v>99.63</v>
      </c>
      <c r="N2513" s="116">
        <v>101.24</v>
      </c>
      <c r="O2513" s="116">
        <v>98.62</v>
      </c>
      <c r="P2513" s="116">
        <v>100.6</v>
      </c>
      <c r="Q2513" s="116">
        <v>498.15</v>
      </c>
      <c r="R2513">
        <v>3508204</v>
      </c>
    </row>
    <row r="2514" spans="1:18" x14ac:dyDescent="0.25">
      <c r="A2514" s="170">
        <v>45702</v>
      </c>
      <c r="B2514" s="116">
        <v>100.36</v>
      </c>
      <c r="C2514" s="116">
        <v>97.59</v>
      </c>
      <c r="D2514" s="116">
        <v>96.82</v>
      </c>
      <c r="E2514" s="116">
        <v>99.81</v>
      </c>
      <c r="F2514" s="116">
        <v>487.95</v>
      </c>
      <c r="G2514">
        <v>270507</v>
      </c>
      <c r="H2514" s="116"/>
      <c r="I2514" s="116"/>
      <c r="L2514" s="170">
        <v>45702</v>
      </c>
      <c r="M2514" s="116">
        <v>97.73</v>
      </c>
      <c r="N2514" s="116">
        <v>100.3</v>
      </c>
      <c r="O2514" s="116">
        <v>96.81</v>
      </c>
      <c r="P2514" s="116">
        <v>100.1</v>
      </c>
      <c r="Q2514" s="116">
        <v>488.65</v>
      </c>
      <c r="R2514">
        <v>3292927</v>
      </c>
    </row>
    <row r="2515" spans="1:18" x14ac:dyDescent="0.25">
      <c r="A2515" s="170">
        <v>45705</v>
      </c>
      <c r="B2515" s="116">
        <v>98.95</v>
      </c>
      <c r="C2515" s="116">
        <v>98.06</v>
      </c>
      <c r="D2515" s="116">
        <v>94.45</v>
      </c>
      <c r="E2515" s="116">
        <v>96.09</v>
      </c>
      <c r="F2515" s="116">
        <v>490.3</v>
      </c>
      <c r="G2515">
        <v>372170</v>
      </c>
      <c r="H2515" s="116"/>
      <c r="I2515" s="116"/>
      <c r="L2515" s="170">
        <v>45705</v>
      </c>
      <c r="M2515" s="116">
        <v>98.05</v>
      </c>
      <c r="N2515" s="116">
        <v>98.98</v>
      </c>
      <c r="O2515" s="116">
        <v>94.43</v>
      </c>
      <c r="P2515" s="116">
        <v>96.12</v>
      </c>
      <c r="Q2515" s="116">
        <v>490.25</v>
      </c>
      <c r="R2515">
        <v>3862418</v>
      </c>
    </row>
    <row r="2516" spans="1:18" x14ac:dyDescent="0.25">
      <c r="A2516" s="170">
        <v>45706</v>
      </c>
      <c r="B2516" s="116">
        <v>98.88</v>
      </c>
      <c r="C2516" s="116">
        <v>96.97</v>
      </c>
      <c r="D2516" s="116">
        <v>96.34</v>
      </c>
      <c r="E2516" s="116">
        <v>98.59</v>
      </c>
      <c r="F2516" s="116">
        <v>484.85</v>
      </c>
      <c r="G2516">
        <v>424055</v>
      </c>
      <c r="H2516" s="116"/>
      <c r="I2516" s="116"/>
      <c r="L2516" s="170">
        <v>45706</v>
      </c>
      <c r="M2516" s="116">
        <v>96.95</v>
      </c>
      <c r="N2516" s="116">
        <v>98.88</v>
      </c>
      <c r="O2516" s="116">
        <v>96.3</v>
      </c>
      <c r="P2516" s="116">
        <v>98.2</v>
      </c>
      <c r="Q2516" s="116">
        <v>484.75</v>
      </c>
      <c r="R2516">
        <v>2511478</v>
      </c>
    </row>
    <row r="2517" spans="1:18" x14ac:dyDescent="0.25">
      <c r="A2517" s="170">
        <v>45707</v>
      </c>
      <c r="B2517" s="116">
        <v>97.72</v>
      </c>
      <c r="C2517" s="116">
        <v>96.51</v>
      </c>
      <c r="D2517" s="116">
        <v>94.5</v>
      </c>
      <c r="E2517" s="116">
        <v>95.62</v>
      </c>
      <c r="F2517" s="116">
        <v>482.55</v>
      </c>
      <c r="G2517">
        <v>526461</v>
      </c>
      <c r="H2517" s="116"/>
      <c r="I2517" s="116"/>
      <c r="L2517" s="170">
        <v>45707</v>
      </c>
      <c r="M2517" s="116">
        <v>96.51</v>
      </c>
      <c r="N2517" s="116">
        <v>97.77</v>
      </c>
      <c r="O2517" s="116">
        <v>94.52</v>
      </c>
      <c r="P2517" s="116">
        <v>95.74</v>
      </c>
      <c r="Q2517" s="116">
        <v>482.55</v>
      </c>
      <c r="R2517">
        <v>3193090</v>
      </c>
    </row>
    <row r="2518" spans="1:18" x14ac:dyDescent="0.25">
      <c r="A2518" s="170">
        <v>45708</v>
      </c>
      <c r="B2518" s="116">
        <v>98.99</v>
      </c>
      <c r="C2518" s="116">
        <v>96.93</v>
      </c>
      <c r="D2518" s="116">
        <v>95.5</v>
      </c>
      <c r="E2518" s="116">
        <v>95.89</v>
      </c>
      <c r="F2518" s="116">
        <v>484.65</v>
      </c>
      <c r="G2518">
        <v>550009</v>
      </c>
      <c r="H2518" s="116"/>
      <c r="I2518" s="116"/>
      <c r="L2518" s="170">
        <v>45708</v>
      </c>
      <c r="M2518" s="116">
        <v>96.86</v>
      </c>
      <c r="N2518" s="116">
        <v>99</v>
      </c>
      <c r="O2518" s="116">
        <v>95.47</v>
      </c>
      <c r="P2518" s="116">
        <v>96</v>
      </c>
      <c r="Q2518" s="116">
        <v>484.3</v>
      </c>
      <c r="R2518">
        <v>3781087</v>
      </c>
    </row>
    <row r="2519" spans="1:18" x14ac:dyDescent="0.25">
      <c r="A2519" s="170">
        <v>45709</v>
      </c>
      <c r="B2519" s="116">
        <v>97.95</v>
      </c>
      <c r="C2519" s="116">
        <v>95.76</v>
      </c>
      <c r="D2519" s="116">
        <v>95.1</v>
      </c>
      <c r="E2519" s="116">
        <v>96.9</v>
      </c>
      <c r="F2519" s="116">
        <v>478.8</v>
      </c>
      <c r="G2519">
        <v>424238</v>
      </c>
      <c r="H2519" s="116"/>
      <c r="I2519" s="116"/>
      <c r="L2519" s="170">
        <v>45709</v>
      </c>
      <c r="M2519" s="116">
        <v>95.73</v>
      </c>
      <c r="N2519" s="116">
        <v>98.09</v>
      </c>
      <c r="O2519" s="116">
        <v>95</v>
      </c>
      <c r="P2519" s="116">
        <v>97</v>
      </c>
      <c r="Q2519" s="116">
        <v>478.65</v>
      </c>
      <c r="R2519">
        <v>2339494</v>
      </c>
    </row>
    <row r="2520" spans="1:18" x14ac:dyDescent="0.25">
      <c r="A2520" s="170">
        <v>45712</v>
      </c>
      <c r="B2520" s="116">
        <v>95.64</v>
      </c>
      <c r="C2520" s="116">
        <v>94.03</v>
      </c>
      <c r="D2520" s="116">
        <v>93.6</v>
      </c>
      <c r="E2520" s="116">
        <v>95.6</v>
      </c>
      <c r="F2520" s="116">
        <v>470.15</v>
      </c>
      <c r="G2520">
        <v>359854</v>
      </c>
      <c r="H2520" s="116"/>
      <c r="I2520" s="116"/>
      <c r="L2520" s="170">
        <v>45712</v>
      </c>
      <c r="M2520" s="116">
        <v>94.02</v>
      </c>
      <c r="N2520" s="116">
        <v>95.71</v>
      </c>
      <c r="O2520" s="116">
        <v>93.6</v>
      </c>
      <c r="P2520" s="116">
        <v>95.58</v>
      </c>
      <c r="Q2520" s="116">
        <v>470.1</v>
      </c>
      <c r="R2520">
        <v>1926104</v>
      </c>
    </row>
    <row r="2521" spans="1:18" x14ac:dyDescent="0.25">
      <c r="A2521" s="170">
        <v>45713</v>
      </c>
      <c r="B2521" s="116">
        <v>102.95</v>
      </c>
      <c r="C2521" s="116">
        <v>99.54</v>
      </c>
      <c r="D2521" s="116">
        <v>93.23</v>
      </c>
      <c r="E2521" s="116">
        <v>94.38</v>
      </c>
      <c r="F2521" s="116">
        <v>497.7</v>
      </c>
      <c r="G2521">
        <v>2275913</v>
      </c>
      <c r="H2521" s="116"/>
      <c r="I2521" s="116"/>
      <c r="L2521" s="170">
        <v>45713</v>
      </c>
      <c r="M2521" s="116">
        <v>99.56</v>
      </c>
      <c r="N2521" s="116">
        <v>102.96</v>
      </c>
      <c r="O2521" s="116">
        <v>93.9</v>
      </c>
      <c r="P2521" s="116">
        <v>94.02</v>
      </c>
      <c r="Q2521" s="116">
        <v>497.8</v>
      </c>
      <c r="R2521">
        <v>25236260</v>
      </c>
    </row>
    <row r="2522" spans="1:18" x14ac:dyDescent="0.25">
      <c r="A2522" s="170">
        <v>45715</v>
      </c>
      <c r="B2522" s="116">
        <v>102.46</v>
      </c>
      <c r="C2522" s="116">
        <v>99.49</v>
      </c>
      <c r="D2522" s="116">
        <v>98.16</v>
      </c>
      <c r="E2522" s="116">
        <v>100.54</v>
      </c>
      <c r="F2522" s="116">
        <v>497.45</v>
      </c>
      <c r="G2522">
        <v>825852</v>
      </c>
      <c r="H2522" s="116"/>
      <c r="I2522" s="116"/>
      <c r="L2522" s="170">
        <v>45715</v>
      </c>
      <c r="M2522" s="116">
        <v>99.45</v>
      </c>
      <c r="N2522" s="116">
        <v>102.44</v>
      </c>
      <c r="O2522" s="116">
        <v>98.13</v>
      </c>
      <c r="P2522" s="116">
        <v>100.6</v>
      </c>
      <c r="Q2522" s="116">
        <v>497.25</v>
      </c>
      <c r="R2522">
        <v>8836834</v>
      </c>
    </row>
    <row r="2523" spans="1:18" x14ac:dyDescent="0.25">
      <c r="A2523" s="170">
        <v>45716</v>
      </c>
      <c r="B2523" s="116">
        <v>100.3</v>
      </c>
      <c r="C2523" s="116">
        <v>95.75</v>
      </c>
      <c r="D2523" s="116">
        <v>94.6</v>
      </c>
      <c r="E2523" s="116">
        <v>98.61</v>
      </c>
      <c r="F2523" s="116">
        <v>478.75</v>
      </c>
      <c r="G2523">
        <v>692008</v>
      </c>
      <c r="H2523" s="116"/>
      <c r="I2523" s="116"/>
      <c r="L2523" s="170">
        <v>45716</v>
      </c>
      <c r="M2523" s="116">
        <v>95.79</v>
      </c>
      <c r="N2523" s="116">
        <v>100.31</v>
      </c>
      <c r="O2523" s="116">
        <v>94.6</v>
      </c>
      <c r="P2523" s="116">
        <v>99</v>
      </c>
      <c r="Q2523" s="116">
        <v>478.95</v>
      </c>
      <c r="R2523">
        <v>6604732</v>
      </c>
    </row>
    <row r="2524" spans="1:18" x14ac:dyDescent="0.25">
      <c r="A2524" s="170">
        <v>45719</v>
      </c>
      <c r="B2524" s="116">
        <v>99.29</v>
      </c>
      <c r="C2524" s="116">
        <v>96.6</v>
      </c>
      <c r="D2524" s="116">
        <v>94.84</v>
      </c>
      <c r="E2524" s="116">
        <v>97.24</v>
      </c>
      <c r="F2524" s="116">
        <v>483</v>
      </c>
      <c r="G2524">
        <v>607827</v>
      </c>
      <c r="H2524" s="116"/>
      <c r="I2524" s="116"/>
      <c r="L2524" s="170">
        <v>45719</v>
      </c>
      <c r="M2524" s="116">
        <v>96.63</v>
      </c>
      <c r="N2524" s="116">
        <v>99.4</v>
      </c>
      <c r="O2524" s="116">
        <v>94.81</v>
      </c>
      <c r="P2524" s="116">
        <v>97.52</v>
      </c>
      <c r="Q2524" s="116">
        <v>483.15</v>
      </c>
      <c r="R2524">
        <v>5843341</v>
      </c>
    </row>
    <row r="2525" spans="1:18" x14ac:dyDescent="0.25">
      <c r="A2525" s="170">
        <v>45720</v>
      </c>
      <c r="B2525" s="116">
        <v>97.65</v>
      </c>
      <c r="C2525" s="116">
        <v>96.71</v>
      </c>
      <c r="D2525" s="116">
        <v>95.23</v>
      </c>
      <c r="E2525" s="116">
        <v>96.59</v>
      </c>
      <c r="F2525" s="116">
        <v>483.55</v>
      </c>
      <c r="G2525">
        <v>225284</v>
      </c>
      <c r="H2525" s="116"/>
      <c r="I2525" s="116"/>
      <c r="L2525" s="170">
        <v>45720</v>
      </c>
      <c r="M2525" s="116">
        <v>96.65</v>
      </c>
      <c r="N2525" s="116">
        <v>97.67</v>
      </c>
      <c r="O2525" s="116">
        <v>95.26</v>
      </c>
      <c r="P2525" s="116">
        <v>95.99</v>
      </c>
      <c r="Q2525" s="116">
        <v>483.25</v>
      </c>
      <c r="R2525">
        <v>2722804</v>
      </c>
    </row>
    <row r="2526" spans="1:18" x14ac:dyDescent="0.25">
      <c r="A2526" s="170">
        <v>45721</v>
      </c>
      <c r="B2526" s="116">
        <v>102.36</v>
      </c>
      <c r="C2526" s="116">
        <v>101.11</v>
      </c>
      <c r="D2526" s="116">
        <v>96.66</v>
      </c>
      <c r="E2526" s="116">
        <v>96.66</v>
      </c>
      <c r="F2526" s="116">
        <v>505.55</v>
      </c>
      <c r="G2526">
        <v>1173125</v>
      </c>
      <c r="H2526" s="116"/>
      <c r="I2526" s="116"/>
      <c r="L2526" s="170">
        <v>45721</v>
      </c>
      <c r="M2526" s="116">
        <v>101.11</v>
      </c>
      <c r="N2526" s="116">
        <v>102.34</v>
      </c>
      <c r="O2526" s="116">
        <v>96.8</v>
      </c>
      <c r="P2526" s="116">
        <v>96.8</v>
      </c>
      <c r="Q2526" s="116">
        <v>505.55</v>
      </c>
      <c r="R2526">
        <v>8506174</v>
      </c>
    </row>
    <row r="2527" spans="1:18" x14ac:dyDescent="0.25">
      <c r="A2527" s="170">
        <v>45722</v>
      </c>
      <c r="B2527" s="116">
        <v>102.08</v>
      </c>
      <c r="C2527" s="116">
        <v>100.6</v>
      </c>
      <c r="D2527" s="116">
        <v>100.05</v>
      </c>
      <c r="E2527" s="116">
        <v>101.7</v>
      </c>
      <c r="F2527" s="116">
        <v>503</v>
      </c>
      <c r="G2527">
        <v>581375</v>
      </c>
      <c r="H2527" s="116"/>
      <c r="I2527" s="116"/>
      <c r="L2527" s="170">
        <v>45722</v>
      </c>
      <c r="M2527" s="116">
        <v>100.63</v>
      </c>
      <c r="N2527" s="116">
        <v>102.11</v>
      </c>
      <c r="O2527" s="116">
        <v>100.13</v>
      </c>
      <c r="P2527" s="116">
        <v>101.6</v>
      </c>
      <c r="Q2527" s="116">
        <v>503.15</v>
      </c>
      <c r="R2527">
        <v>3560829</v>
      </c>
    </row>
    <row r="2528" spans="1:18" x14ac:dyDescent="0.25">
      <c r="A2528" s="170">
        <v>45723</v>
      </c>
      <c r="B2528" s="116">
        <v>102.28</v>
      </c>
      <c r="C2528" s="116">
        <v>101.23</v>
      </c>
      <c r="D2528" s="116">
        <v>99.82</v>
      </c>
      <c r="E2528" s="116">
        <v>101.39</v>
      </c>
      <c r="F2528" s="116">
        <v>506.15</v>
      </c>
      <c r="G2528">
        <v>299809</v>
      </c>
      <c r="H2528" s="116"/>
      <c r="I2528" s="116"/>
      <c r="L2528" s="170">
        <v>45723</v>
      </c>
      <c r="M2528" s="116">
        <v>101.23</v>
      </c>
      <c r="N2528" s="116">
        <v>102.31</v>
      </c>
      <c r="O2528" s="116">
        <v>99.8</v>
      </c>
      <c r="P2528" s="116">
        <v>100.98</v>
      </c>
      <c r="Q2528" s="116">
        <v>506.15</v>
      </c>
      <c r="R2528">
        <v>3890016</v>
      </c>
    </row>
    <row r="2529" spans="1:18" x14ac:dyDescent="0.25">
      <c r="A2529" s="170">
        <v>45726</v>
      </c>
      <c r="B2529" s="116">
        <v>107</v>
      </c>
      <c r="C2529" s="116">
        <v>101.01</v>
      </c>
      <c r="D2529" s="116">
        <v>100.4</v>
      </c>
      <c r="E2529" s="116">
        <v>101.52</v>
      </c>
      <c r="F2529" s="116">
        <v>505.05</v>
      </c>
      <c r="G2529">
        <v>1384182</v>
      </c>
      <c r="H2529" s="116"/>
      <c r="I2529" s="116"/>
      <c r="L2529" s="170">
        <v>45726</v>
      </c>
      <c r="M2529" s="116">
        <v>101.01</v>
      </c>
      <c r="N2529" s="116">
        <v>107.13</v>
      </c>
      <c r="O2529" s="116">
        <v>100.17</v>
      </c>
      <c r="P2529" s="116">
        <v>101.23</v>
      </c>
      <c r="Q2529" s="116">
        <v>505.05</v>
      </c>
      <c r="R2529">
        <v>11902657</v>
      </c>
    </row>
    <row r="2530" spans="1:18" x14ac:dyDescent="0.25">
      <c r="A2530" s="170">
        <v>45727</v>
      </c>
      <c r="B2530" s="116">
        <v>102.67</v>
      </c>
      <c r="C2530" s="116">
        <v>102.08</v>
      </c>
      <c r="D2530" s="116">
        <v>99.6</v>
      </c>
      <c r="E2530" s="116">
        <v>100.22</v>
      </c>
      <c r="F2530" s="116">
        <v>510.4</v>
      </c>
      <c r="G2530">
        <v>659080</v>
      </c>
      <c r="H2530" s="116"/>
      <c r="I2530" s="116"/>
      <c r="L2530" s="170">
        <v>45727</v>
      </c>
      <c r="M2530" s="116">
        <v>102.03</v>
      </c>
      <c r="N2530" s="116">
        <v>102.62</v>
      </c>
      <c r="O2530" s="116">
        <v>99.51</v>
      </c>
      <c r="P2530" s="116">
        <v>100.2</v>
      </c>
      <c r="Q2530" s="116">
        <v>510.15</v>
      </c>
      <c r="R2530">
        <v>4608644</v>
      </c>
    </row>
    <row r="2531" spans="1:18" x14ac:dyDescent="0.25">
      <c r="A2531" s="170">
        <v>45728</v>
      </c>
      <c r="B2531" s="116">
        <v>104.1</v>
      </c>
      <c r="C2531" s="116">
        <v>102.49</v>
      </c>
      <c r="D2531" s="116">
        <v>101.2</v>
      </c>
      <c r="E2531" s="116">
        <v>103.04</v>
      </c>
      <c r="F2531" s="116">
        <v>512.45000000000005</v>
      </c>
      <c r="G2531">
        <v>540969</v>
      </c>
      <c r="H2531" s="116"/>
      <c r="I2531" s="116"/>
      <c r="L2531" s="170">
        <v>45728</v>
      </c>
      <c r="M2531" s="116">
        <v>102.47</v>
      </c>
      <c r="N2531" s="116">
        <v>104.12</v>
      </c>
      <c r="O2531" s="116">
        <v>101.2</v>
      </c>
      <c r="P2531" s="116">
        <v>103.2</v>
      </c>
      <c r="Q2531" s="116">
        <v>512.35</v>
      </c>
      <c r="R2531">
        <v>4123098</v>
      </c>
    </row>
    <row r="2532" spans="1:18" x14ac:dyDescent="0.25">
      <c r="A2532" s="170">
        <v>45729</v>
      </c>
      <c r="B2532" s="116">
        <v>105.43</v>
      </c>
      <c r="C2532" s="116">
        <v>102.39</v>
      </c>
      <c r="D2532" s="116">
        <v>102</v>
      </c>
      <c r="E2532" s="116">
        <v>103.79</v>
      </c>
      <c r="F2532" s="116">
        <v>511.95</v>
      </c>
      <c r="G2532">
        <v>550221</v>
      </c>
      <c r="H2532" s="116"/>
      <c r="I2532" s="116"/>
      <c r="L2532" s="170">
        <v>45729</v>
      </c>
      <c r="M2532" s="116">
        <v>102.4</v>
      </c>
      <c r="N2532" s="116">
        <v>105.46</v>
      </c>
      <c r="O2532" s="116">
        <v>102.05</v>
      </c>
      <c r="P2532" s="116">
        <v>103.38</v>
      </c>
      <c r="Q2532" s="116">
        <v>512</v>
      </c>
      <c r="R2532">
        <v>5102613</v>
      </c>
    </row>
    <row r="2533" spans="1:18" x14ac:dyDescent="0.25">
      <c r="A2533" s="170">
        <v>45733</v>
      </c>
      <c r="B2533" s="116">
        <v>103.6</v>
      </c>
      <c r="C2533" s="116">
        <v>102.14</v>
      </c>
      <c r="D2533" s="116">
        <v>101.74</v>
      </c>
      <c r="E2533" s="116">
        <v>102.4</v>
      </c>
      <c r="F2533" s="116">
        <v>510.7</v>
      </c>
      <c r="G2533">
        <v>250342</v>
      </c>
      <c r="H2533" s="116"/>
      <c r="I2533" s="116"/>
      <c r="L2533" s="170">
        <v>45733</v>
      </c>
      <c r="M2533" s="116">
        <v>102.24</v>
      </c>
      <c r="N2533" s="116">
        <v>103.65</v>
      </c>
      <c r="O2533" s="116">
        <v>101.7</v>
      </c>
      <c r="P2533" s="116">
        <v>102.39</v>
      </c>
      <c r="Q2533" s="116">
        <v>511.2</v>
      </c>
      <c r="R2533">
        <v>3106357</v>
      </c>
    </row>
    <row r="2534" spans="1:18" x14ac:dyDescent="0.25">
      <c r="A2534" s="170">
        <v>45734</v>
      </c>
      <c r="B2534" s="116">
        <v>103.72</v>
      </c>
      <c r="C2534" s="116">
        <v>103.26</v>
      </c>
      <c r="D2534" s="116">
        <v>102.06</v>
      </c>
      <c r="E2534" s="116">
        <v>103.11</v>
      </c>
      <c r="F2534" s="116">
        <v>516.29999999999995</v>
      </c>
      <c r="G2534">
        <v>259837</v>
      </c>
      <c r="H2534" s="116"/>
      <c r="I2534" s="116"/>
      <c r="L2534" s="170">
        <v>45734</v>
      </c>
      <c r="M2534" s="116">
        <v>103.23</v>
      </c>
      <c r="N2534" s="116">
        <v>103.8</v>
      </c>
      <c r="O2534" s="116">
        <v>102</v>
      </c>
      <c r="P2534" s="116">
        <v>103</v>
      </c>
      <c r="Q2534" s="116">
        <v>516.15</v>
      </c>
      <c r="R2534">
        <v>2910834</v>
      </c>
    </row>
    <row r="2535" spans="1:18" x14ac:dyDescent="0.25">
      <c r="A2535" s="170">
        <v>45735</v>
      </c>
      <c r="B2535" s="116">
        <v>105.36</v>
      </c>
      <c r="C2535" s="116">
        <v>104.23</v>
      </c>
      <c r="D2535" s="116">
        <v>102.81</v>
      </c>
      <c r="E2535" s="116">
        <v>103.32</v>
      </c>
      <c r="F2535" s="116">
        <v>521.15</v>
      </c>
      <c r="G2535">
        <v>535354</v>
      </c>
      <c r="H2535" s="116"/>
      <c r="I2535" s="116"/>
      <c r="L2535" s="170">
        <v>45735</v>
      </c>
      <c r="M2535" s="116">
        <v>104.2</v>
      </c>
      <c r="N2535" s="116">
        <v>105.4</v>
      </c>
      <c r="O2535" s="116">
        <v>102.87</v>
      </c>
      <c r="P2535" s="116">
        <v>103.75</v>
      </c>
      <c r="Q2535" s="116">
        <v>521</v>
      </c>
      <c r="R2535">
        <v>3634978</v>
      </c>
    </row>
    <row r="2536" spans="1:18" x14ac:dyDescent="0.25">
      <c r="A2536" s="170">
        <v>45736</v>
      </c>
      <c r="B2536" s="116">
        <v>105.48</v>
      </c>
      <c r="C2536" s="116">
        <v>103.89</v>
      </c>
      <c r="D2536" s="116">
        <v>102.9</v>
      </c>
      <c r="E2536" s="116">
        <v>105.2</v>
      </c>
      <c r="F2536" s="116">
        <v>519.45000000000005</v>
      </c>
      <c r="G2536">
        <v>373602</v>
      </c>
      <c r="H2536" s="116"/>
      <c r="I2536" s="116"/>
      <c r="L2536" s="170">
        <v>45736</v>
      </c>
      <c r="M2536" s="116">
        <v>103.93</v>
      </c>
      <c r="N2536" s="116">
        <v>105.48</v>
      </c>
      <c r="O2536" s="116">
        <v>102.86</v>
      </c>
      <c r="P2536" s="116">
        <v>105.14</v>
      </c>
      <c r="Q2536" s="116">
        <v>519.65</v>
      </c>
      <c r="R2536">
        <v>2492017</v>
      </c>
    </row>
    <row r="2537" spans="1:18" x14ac:dyDescent="0.25">
      <c r="A2537" s="170">
        <v>45737</v>
      </c>
      <c r="B2537" s="116">
        <v>108.25</v>
      </c>
      <c r="C2537" s="116">
        <v>104.49</v>
      </c>
      <c r="D2537" s="116">
        <v>103.6</v>
      </c>
      <c r="E2537" s="116">
        <v>104.31</v>
      </c>
      <c r="F2537" s="116">
        <v>522.45000000000005</v>
      </c>
      <c r="G2537">
        <v>547615</v>
      </c>
      <c r="H2537" s="116"/>
      <c r="I2537" s="116"/>
      <c r="L2537" s="170">
        <v>45737</v>
      </c>
      <c r="M2537" s="116">
        <v>104.42</v>
      </c>
      <c r="N2537" s="116">
        <v>108.3</v>
      </c>
      <c r="O2537" s="116">
        <v>103.62</v>
      </c>
      <c r="P2537" s="116">
        <v>104.2</v>
      </c>
      <c r="Q2537" s="116">
        <v>522.1</v>
      </c>
      <c r="R2537">
        <v>7861834</v>
      </c>
    </row>
    <row r="2538" spans="1:18" x14ac:dyDescent="0.25">
      <c r="A2538" s="170">
        <v>45740</v>
      </c>
      <c r="B2538" s="116">
        <v>107.53</v>
      </c>
      <c r="C2538" s="116">
        <v>104.84</v>
      </c>
      <c r="D2538" s="116">
        <v>104.39</v>
      </c>
      <c r="E2538" s="116">
        <v>105.59</v>
      </c>
      <c r="F2538" s="116">
        <v>524.20000000000005</v>
      </c>
      <c r="G2538">
        <v>506265</v>
      </c>
      <c r="H2538" s="116"/>
      <c r="I2538" s="116"/>
      <c r="L2538" s="170">
        <v>45740</v>
      </c>
      <c r="M2538" s="116">
        <v>104.79</v>
      </c>
      <c r="N2538" s="116">
        <v>107.48</v>
      </c>
      <c r="O2538" s="116">
        <v>104.4</v>
      </c>
      <c r="P2538" s="116">
        <v>105.48</v>
      </c>
      <c r="Q2538" s="116">
        <v>523.95000000000005</v>
      </c>
      <c r="R2538">
        <v>3517769</v>
      </c>
    </row>
    <row r="2539" spans="1:18" x14ac:dyDescent="0.25">
      <c r="A2539" s="170">
        <v>45741</v>
      </c>
      <c r="B2539" s="116">
        <v>105.73</v>
      </c>
      <c r="C2539" s="116">
        <v>101.58</v>
      </c>
      <c r="D2539" s="116">
        <v>101</v>
      </c>
      <c r="E2539" s="116">
        <v>105.4</v>
      </c>
      <c r="F2539" s="116">
        <v>507.9</v>
      </c>
      <c r="G2539">
        <v>598055</v>
      </c>
      <c r="H2539" s="116"/>
      <c r="I2539" s="116"/>
      <c r="L2539" s="170">
        <v>45741</v>
      </c>
      <c r="M2539" s="116">
        <v>101.54</v>
      </c>
      <c r="N2539" s="116">
        <v>105.59</v>
      </c>
      <c r="O2539" s="116">
        <v>101.01</v>
      </c>
      <c r="P2539" s="116">
        <v>105.4</v>
      </c>
      <c r="Q2539" s="116">
        <v>507.7</v>
      </c>
      <c r="R2539">
        <v>3517278</v>
      </c>
    </row>
    <row r="2540" spans="1:18" x14ac:dyDescent="0.25">
      <c r="A2540" s="170">
        <v>45742</v>
      </c>
      <c r="B2540" s="116">
        <v>103.18</v>
      </c>
      <c r="C2540" s="116">
        <v>99.56</v>
      </c>
      <c r="D2540" s="116">
        <v>99.2</v>
      </c>
      <c r="E2540" s="116">
        <v>101.94</v>
      </c>
      <c r="F2540" s="116">
        <v>497.8</v>
      </c>
      <c r="G2540">
        <v>638393</v>
      </c>
      <c r="H2540" s="116"/>
      <c r="I2540" s="116"/>
      <c r="L2540" s="170">
        <v>45742</v>
      </c>
      <c r="M2540" s="116">
        <v>99.57</v>
      </c>
      <c r="N2540" s="116">
        <v>103.16</v>
      </c>
      <c r="O2540" s="116">
        <v>99.2</v>
      </c>
      <c r="P2540" s="116">
        <v>101.8</v>
      </c>
      <c r="Q2540" s="116">
        <v>497.85</v>
      </c>
      <c r="R2540">
        <v>3712356</v>
      </c>
    </row>
    <row r="2541" spans="1:18" x14ac:dyDescent="0.25">
      <c r="A2541" s="170">
        <v>45743</v>
      </c>
      <c r="B2541" s="116">
        <v>104.78</v>
      </c>
      <c r="C2541" s="116">
        <v>103.93</v>
      </c>
      <c r="D2541" s="116">
        <v>98.6</v>
      </c>
      <c r="E2541" s="116">
        <v>99.19</v>
      </c>
      <c r="F2541" s="116">
        <v>519.65</v>
      </c>
      <c r="G2541">
        <v>620613</v>
      </c>
      <c r="H2541" s="116"/>
      <c r="I2541" s="116"/>
      <c r="L2541" s="170">
        <v>45743</v>
      </c>
      <c r="M2541" s="116">
        <v>103.98</v>
      </c>
      <c r="N2541" s="116">
        <v>104.7</v>
      </c>
      <c r="O2541" s="116">
        <v>98.47</v>
      </c>
      <c r="P2541" s="116">
        <v>99.4</v>
      </c>
      <c r="Q2541" s="116">
        <v>519.9</v>
      </c>
      <c r="R2541">
        <v>7324369</v>
      </c>
    </row>
    <row r="2542" spans="1:18" x14ac:dyDescent="0.25">
      <c r="A2542" s="170">
        <v>45744</v>
      </c>
      <c r="B2542" s="116">
        <v>105.1</v>
      </c>
      <c r="C2542" s="116">
        <v>101.84</v>
      </c>
      <c r="D2542" s="116">
        <v>101.6</v>
      </c>
      <c r="E2542" s="116">
        <v>104.21</v>
      </c>
      <c r="F2542" s="116">
        <v>509.2</v>
      </c>
      <c r="G2542">
        <v>492155</v>
      </c>
      <c r="H2542" s="116"/>
      <c r="I2542" s="116"/>
      <c r="L2542" s="170">
        <v>45744</v>
      </c>
      <c r="M2542" s="116">
        <v>101.86</v>
      </c>
      <c r="N2542" s="116">
        <v>105.11</v>
      </c>
      <c r="O2542" s="116">
        <v>101.51</v>
      </c>
      <c r="P2542" s="116">
        <v>104.4</v>
      </c>
      <c r="Q2542" s="116">
        <v>509.3</v>
      </c>
      <c r="R2542">
        <v>5174247</v>
      </c>
    </row>
    <row r="2543" spans="1:18" x14ac:dyDescent="0.25">
      <c r="A2543" s="170">
        <v>45748</v>
      </c>
      <c r="B2543" s="116">
        <v>102.64</v>
      </c>
      <c r="C2543" s="116">
        <v>100.94</v>
      </c>
      <c r="D2543" s="116">
        <v>100.4</v>
      </c>
      <c r="E2543" s="116">
        <v>101.73</v>
      </c>
      <c r="F2543" s="116">
        <v>504.7</v>
      </c>
      <c r="G2543">
        <v>189515</v>
      </c>
      <c r="H2543" s="116"/>
      <c r="I2543" s="116"/>
      <c r="L2543" s="170">
        <v>45748</v>
      </c>
      <c r="M2543" s="116">
        <v>100.94</v>
      </c>
      <c r="N2543" s="116">
        <v>102.64</v>
      </c>
      <c r="O2543" s="116">
        <v>100.32</v>
      </c>
      <c r="P2543" s="116">
        <v>101.57</v>
      </c>
      <c r="Q2543" s="116">
        <v>504.7</v>
      </c>
      <c r="R2543">
        <v>2358973</v>
      </c>
    </row>
    <row r="2544" spans="1:18" x14ac:dyDescent="0.25">
      <c r="A2544" s="170">
        <v>45749</v>
      </c>
      <c r="B2544" s="116">
        <v>103.54</v>
      </c>
      <c r="C2544" s="116">
        <v>102.72</v>
      </c>
      <c r="D2544" s="116">
        <v>100.45</v>
      </c>
      <c r="E2544" s="116">
        <v>102.2</v>
      </c>
      <c r="F2544" s="116">
        <v>513.6</v>
      </c>
      <c r="G2544">
        <v>449493</v>
      </c>
      <c r="H2544" s="116"/>
      <c r="I2544" s="116"/>
      <c r="L2544" s="170">
        <v>45749</v>
      </c>
      <c r="M2544" s="116">
        <v>102.71</v>
      </c>
      <c r="N2544" s="116">
        <v>103.6</v>
      </c>
      <c r="O2544" s="116">
        <v>100.37</v>
      </c>
      <c r="P2544" s="116">
        <v>101.54</v>
      </c>
      <c r="Q2544" s="116">
        <v>513.54999999999995</v>
      </c>
      <c r="R2544">
        <v>3194547</v>
      </c>
    </row>
    <row r="2545" spans="1:18" x14ac:dyDescent="0.25">
      <c r="A2545" s="170">
        <v>45750</v>
      </c>
      <c r="B2545" s="116">
        <v>107.6</v>
      </c>
      <c r="C2545" s="116">
        <v>105.72</v>
      </c>
      <c r="D2545" s="116">
        <v>101.52</v>
      </c>
      <c r="E2545" s="116">
        <v>102</v>
      </c>
      <c r="F2545" s="116">
        <v>528.6</v>
      </c>
      <c r="G2545">
        <v>1370577</v>
      </c>
      <c r="H2545" s="116"/>
      <c r="I2545" s="116"/>
      <c r="L2545" s="170">
        <v>45750</v>
      </c>
      <c r="M2545" s="116">
        <v>105.77</v>
      </c>
      <c r="N2545" s="116">
        <v>107.61</v>
      </c>
      <c r="O2545" s="116">
        <v>101.62</v>
      </c>
      <c r="P2545" s="116">
        <v>102</v>
      </c>
      <c r="Q2545" s="116">
        <v>528.85</v>
      </c>
      <c r="R2545">
        <v>8331421</v>
      </c>
    </row>
    <row r="2546" spans="1:18" x14ac:dyDescent="0.25">
      <c r="A2546" s="170">
        <v>45751</v>
      </c>
      <c r="B2546" s="116">
        <v>107.96</v>
      </c>
      <c r="C2546" s="116">
        <v>106.5</v>
      </c>
      <c r="D2546" s="116">
        <v>104.39</v>
      </c>
      <c r="E2546" s="116">
        <v>105.5</v>
      </c>
      <c r="F2546" s="116">
        <v>532.5</v>
      </c>
      <c r="G2546">
        <v>605645</v>
      </c>
      <c r="H2546" s="116"/>
      <c r="I2546" s="116"/>
      <c r="L2546" s="170">
        <v>45751</v>
      </c>
      <c r="M2546" s="116">
        <v>106.51</v>
      </c>
      <c r="N2546" s="116">
        <v>107.98</v>
      </c>
      <c r="O2546" s="116">
        <v>104.34</v>
      </c>
      <c r="P2546" s="116">
        <v>105.6</v>
      </c>
      <c r="Q2546" s="116">
        <v>532.54999999999995</v>
      </c>
      <c r="R2546">
        <v>8941177</v>
      </c>
    </row>
    <row r="2547" spans="1:18" x14ac:dyDescent="0.25">
      <c r="A2547" s="170">
        <v>45754</v>
      </c>
      <c r="B2547" s="116">
        <v>103.05</v>
      </c>
      <c r="C2547" s="116">
        <v>102.19</v>
      </c>
      <c r="D2547" s="116">
        <v>94.41</v>
      </c>
      <c r="E2547" s="116">
        <v>102.79</v>
      </c>
      <c r="F2547" s="116">
        <v>510.95</v>
      </c>
      <c r="G2547">
        <v>678752</v>
      </c>
      <c r="H2547" s="116"/>
      <c r="I2547" s="116"/>
      <c r="L2547" s="170">
        <v>45754</v>
      </c>
      <c r="M2547" s="116">
        <v>101.99</v>
      </c>
      <c r="N2547" s="116">
        <v>103</v>
      </c>
      <c r="O2547" s="116">
        <v>92.4</v>
      </c>
      <c r="P2547" s="116">
        <v>92.4</v>
      </c>
      <c r="Q2547" s="116">
        <v>509.95</v>
      </c>
      <c r="R2547">
        <v>7884602</v>
      </c>
    </row>
    <row r="2548" spans="1:18" x14ac:dyDescent="0.25">
      <c r="A2548" s="170">
        <v>45755</v>
      </c>
      <c r="B2548" s="116">
        <v>105.26</v>
      </c>
      <c r="C2548" s="116">
        <v>102.74</v>
      </c>
      <c r="D2548" s="116">
        <v>101.6</v>
      </c>
      <c r="E2548" s="116">
        <v>105.26</v>
      </c>
      <c r="F2548" s="116">
        <v>513.70000000000005</v>
      </c>
      <c r="G2548">
        <v>448725</v>
      </c>
      <c r="H2548" s="116"/>
      <c r="I2548" s="116"/>
      <c r="L2548" s="170">
        <v>45755</v>
      </c>
      <c r="M2548" s="116">
        <v>102.71</v>
      </c>
      <c r="N2548" s="116">
        <v>105.09</v>
      </c>
      <c r="O2548" s="116">
        <v>101.6</v>
      </c>
      <c r="P2548" s="116">
        <v>105</v>
      </c>
      <c r="Q2548" s="116">
        <v>513.54999999999995</v>
      </c>
      <c r="R2548">
        <v>3816989</v>
      </c>
    </row>
    <row r="2549" spans="1:18" x14ac:dyDescent="0.25">
      <c r="A2549" s="170">
        <v>45756</v>
      </c>
      <c r="B2549" s="116">
        <v>102.79</v>
      </c>
      <c r="C2549" s="116">
        <v>101.7</v>
      </c>
      <c r="D2549" s="116">
        <v>101</v>
      </c>
      <c r="E2549" s="116">
        <v>102.6</v>
      </c>
      <c r="F2549" s="116">
        <v>508.5</v>
      </c>
      <c r="G2549">
        <v>337306</v>
      </c>
      <c r="H2549" s="116"/>
      <c r="I2549" s="116"/>
      <c r="L2549" s="170">
        <v>45756</v>
      </c>
      <c r="M2549" s="116">
        <v>101.69</v>
      </c>
      <c r="N2549" s="116">
        <v>102.8</v>
      </c>
      <c r="O2549" s="116">
        <v>101</v>
      </c>
      <c r="P2549" s="116">
        <v>102.59</v>
      </c>
      <c r="Q2549" s="116">
        <v>508.45</v>
      </c>
      <c r="R2549">
        <v>1863371</v>
      </c>
    </row>
    <row r="2550" spans="1:18" x14ac:dyDescent="0.25">
      <c r="A2550" s="170">
        <v>45758</v>
      </c>
      <c r="B2550" s="116">
        <v>104.87</v>
      </c>
      <c r="C2550" s="116">
        <v>103.62</v>
      </c>
      <c r="D2550" s="116">
        <v>102.86</v>
      </c>
      <c r="E2550" s="116">
        <v>103.8</v>
      </c>
      <c r="F2550" s="116">
        <v>518.1</v>
      </c>
      <c r="G2550">
        <v>598567</v>
      </c>
      <c r="H2550" s="116"/>
      <c r="I2550" s="116"/>
      <c r="L2550" s="170">
        <v>45758</v>
      </c>
      <c r="M2550" s="116">
        <v>103.65</v>
      </c>
      <c r="N2550" s="116">
        <v>104.86</v>
      </c>
      <c r="O2550" s="116">
        <v>102.85</v>
      </c>
      <c r="P2550" s="116">
        <v>103.73</v>
      </c>
      <c r="Q2550" s="116">
        <v>518.25</v>
      </c>
      <c r="R2550">
        <v>3196520</v>
      </c>
    </row>
    <row r="2551" spans="1:18" x14ac:dyDescent="0.25">
      <c r="A2551" s="170">
        <v>45762</v>
      </c>
      <c r="B2551" s="116">
        <v>110.91</v>
      </c>
      <c r="C2551" s="116">
        <v>108.46</v>
      </c>
      <c r="D2551" s="116">
        <v>104.51</v>
      </c>
      <c r="E2551" s="116">
        <v>105.17</v>
      </c>
      <c r="F2551" s="116">
        <v>542.29999999999995</v>
      </c>
      <c r="G2551">
        <v>658668</v>
      </c>
      <c r="H2551" s="116"/>
      <c r="I2551" s="116"/>
      <c r="L2551" s="170">
        <v>45762</v>
      </c>
      <c r="M2551" s="116">
        <v>108.44</v>
      </c>
      <c r="N2551" s="116">
        <v>110.89</v>
      </c>
      <c r="O2551" s="116">
        <v>104.49</v>
      </c>
      <c r="P2551" s="116">
        <v>105.2</v>
      </c>
      <c r="Q2551" s="116">
        <v>542.20000000000005</v>
      </c>
      <c r="R2551">
        <v>8055146</v>
      </c>
    </row>
    <row r="2552" spans="1:18" x14ac:dyDescent="0.25">
      <c r="A2552" s="170">
        <v>45763</v>
      </c>
      <c r="B2552" s="116">
        <v>109.47</v>
      </c>
      <c r="C2552" s="116">
        <v>109.08</v>
      </c>
      <c r="D2552" s="116">
        <v>107.65</v>
      </c>
      <c r="E2552" s="116">
        <v>108.83</v>
      </c>
      <c r="F2552" s="116">
        <v>545.4</v>
      </c>
      <c r="G2552">
        <v>393286</v>
      </c>
      <c r="H2552" s="116"/>
      <c r="I2552" s="116"/>
      <c r="L2552" s="170">
        <v>45763</v>
      </c>
      <c r="M2552" s="116">
        <v>109.11</v>
      </c>
      <c r="N2552" s="116">
        <v>109.55</v>
      </c>
      <c r="O2552" s="116">
        <v>107.62</v>
      </c>
      <c r="P2552" s="116">
        <v>108.6</v>
      </c>
      <c r="Q2552" s="116">
        <v>545.54999999999995</v>
      </c>
      <c r="R2552">
        <v>2701439</v>
      </c>
    </row>
    <row r="2553" spans="1:18" x14ac:dyDescent="0.25">
      <c r="A2553" s="170">
        <v>45764</v>
      </c>
      <c r="B2553" s="116">
        <v>112.28</v>
      </c>
      <c r="C2553" s="116">
        <v>109.92</v>
      </c>
      <c r="D2553" s="116">
        <v>108.45</v>
      </c>
      <c r="E2553" s="116">
        <v>109.21</v>
      </c>
      <c r="F2553" s="116">
        <v>549.6</v>
      </c>
      <c r="G2553">
        <v>490595</v>
      </c>
      <c r="H2553" s="116"/>
      <c r="I2553" s="116"/>
      <c r="L2553" s="170">
        <v>45764</v>
      </c>
      <c r="M2553" s="116">
        <v>109.94</v>
      </c>
      <c r="N2553" s="116">
        <v>112.27</v>
      </c>
      <c r="O2553" s="116">
        <v>108.43</v>
      </c>
      <c r="P2553" s="116">
        <v>109.54</v>
      </c>
      <c r="Q2553" s="116">
        <v>549.70000000000005</v>
      </c>
      <c r="R2553">
        <v>6591016</v>
      </c>
    </row>
    <row r="2554" spans="1:18" x14ac:dyDescent="0.25">
      <c r="A2554" s="170">
        <v>45768</v>
      </c>
      <c r="B2554" s="116">
        <v>117</v>
      </c>
      <c r="C2554" s="116">
        <v>113.79</v>
      </c>
      <c r="D2554" s="116">
        <v>109.84</v>
      </c>
      <c r="E2554" s="116">
        <v>110.08</v>
      </c>
      <c r="F2554" s="116">
        <v>568.95000000000005</v>
      </c>
      <c r="G2554">
        <v>768681</v>
      </c>
      <c r="H2554" s="116"/>
      <c r="I2554" s="116"/>
      <c r="L2554" s="170">
        <v>45768</v>
      </c>
      <c r="M2554" s="116">
        <v>113.81</v>
      </c>
      <c r="N2554" s="116">
        <v>117.11</v>
      </c>
      <c r="O2554" s="116">
        <v>109.81</v>
      </c>
      <c r="P2554" s="116">
        <v>110.25</v>
      </c>
      <c r="Q2554" s="116">
        <v>569.04999999999995</v>
      </c>
      <c r="R2554">
        <v>9935100</v>
      </c>
    </row>
    <row r="2555" spans="1:18" x14ac:dyDescent="0.25">
      <c r="A2555" s="170">
        <v>45769</v>
      </c>
      <c r="B2555" s="116">
        <v>115.9</v>
      </c>
      <c r="C2555" s="116">
        <v>114.64</v>
      </c>
      <c r="D2555" s="116">
        <v>113.8</v>
      </c>
      <c r="E2555" s="116">
        <v>114.8</v>
      </c>
      <c r="F2555" s="116">
        <v>573.20000000000005</v>
      </c>
      <c r="G2555">
        <v>323823</v>
      </c>
      <c r="H2555" s="116"/>
      <c r="I2555" s="116"/>
      <c r="L2555" s="170">
        <v>45769</v>
      </c>
      <c r="M2555" s="116">
        <v>114.67</v>
      </c>
      <c r="N2555" s="116">
        <v>115.95</v>
      </c>
      <c r="O2555" s="116">
        <v>113.75</v>
      </c>
      <c r="P2555" s="116">
        <v>114.8</v>
      </c>
      <c r="Q2555" s="116">
        <v>573.35</v>
      </c>
      <c r="R2555">
        <v>3962029</v>
      </c>
    </row>
    <row r="2556" spans="1:18" x14ac:dyDescent="0.25">
      <c r="A2556" s="170">
        <v>45770</v>
      </c>
      <c r="B2556" s="116">
        <v>116.8</v>
      </c>
      <c r="C2556" s="116">
        <v>115.91</v>
      </c>
      <c r="D2556" s="116">
        <v>114.82</v>
      </c>
      <c r="E2556" s="116">
        <v>115.55</v>
      </c>
      <c r="F2556" s="116">
        <v>579.54999999999995</v>
      </c>
      <c r="G2556">
        <v>327818</v>
      </c>
      <c r="H2556" s="116"/>
      <c r="I2556" s="116"/>
      <c r="L2556" s="170">
        <v>45770</v>
      </c>
      <c r="M2556" s="116">
        <v>115.88</v>
      </c>
      <c r="N2556" s="116">
        <v>116.84</v>
      </c>
      <c r="O2556" s="116">
        <v>114.8</v>
      </c>
      <c r="P2556" s="116">
        <v>115.4</v>
      </c>
      <c r="Q2556" s="116">
        <v>579.4</v>
      </c>
      <c r="R2556">
        <v>4242545</v>
      </c>
    </row>
    <row r="2557" spans="1:18" x14ac:dyDescent="0.25">
      <c r="A2557" s="170">
        <v>45771</v>
      </c>
      <c r="B2557" s="116">
        <v>116.92</v>
      </c>
      <c r="C2557" s="116">
        <v>115.14</v>
      </c>
      <c r="D2557" s="116">
        <v>114.24</v>
      </c>
      <c r="E2557" s="116">
        <v>116.37</v>
      </c>
      <c r="F2557" s="116">
        <v>575.70000000000005</v>
      </c>
      <c r="G2557">
        <v>442211</v>
      </c>
      <c r="H2557" s="116"/>
      <c r="I2557" s="116"/>
      <c r="L2557" s="170">
        <v>45771</v>
      </c>
      <c r="M2557" s="116">
        <v>115.17</v>
      </c>
      <c r="N2557" s="116">
        <v>116.98</v>
      </c>
      <c r="O2557" s="116">
        <v>114.25</v>
      </c>
      <c r="P2557" s="116">
        <v>116</v>
      </c>
      <c r="Q2557" s="116">
        <v>575.85</v>
      </c>
      <c r="R2557">
        <v>2904301</v>
      </c>
    </row>
    <row r="2558" spans="1:18" x14ac:dyDescent="0.25">
      <c r="A2558" s="170">
        <v>45772</v>
      </c>
      <c r="B2558" s="116">
        <v>117.1</v>
      </c>
      <c r="C2558" s="116">
        <v>109.83</v>
      </c>
      <c r="D2558" s="116">
        <v>109</v>
      </c>
      <c r="E2558" s="116">
        <v>115.2</v>
      </c>
      <c r="F2558" s="116">
        <v>549.15</v>
      </c>
      <c r="G2558">
        <v>688916</v>
      </c>
      <c r="H2558" s="116"/>
      <c r="I2558" s="116"/>
      <c r="L2558" s="170">
        <v>45772</v>
      </c>
      <c r="M2558" s="116">
        <v>109.87</v>
      </c>
      <c r="N2558" s="116">
        <v>117.11</v>
      </c>
      <c r="O2558" s="116">
        <v>108.85</v>
      </c>
      <c r="P2558" s="116">
        <v>115.39</v>
      </c>
      <c r="Q2558" s="116">
        <v>549.35</v>
      </c>
      <c r="R2558">
        <v>7765708</v>
      </c>
    </row>
    <row r="2559" spans="1:18" x14ac:dyDescent="0.25">
      <c r="A2559" s="170">
        <v>45775</v>
      </c>
      <c r="B2559" s="116">
        <v>111.45</v>
      </c>
      <c r="C2559" s="116">
        <v>110.52</v>
      </c>
      <c r="D2559" s="116">
        <v>108.32</v>
      </c>
      <c r="E2559" s="116">
        <v>109.72</v>
      </c>
      <c r="F2559" s="116">
        <v>552.6</v>
      </c>
      <c r="G2559">
        <v>468538</v>
      </c>
      <c r="H2559" s="116"/>
      <c r="I2559" s="116"/>
      <c r="L2559" s="170">
        <v>45775</v>
      </c>
      <c r="M2559" s="116">
        <v>110.55</v>
      </c>
      <c r="N2559" s="116">
        <v>111.5</v>
      </c>
      <c r="O2559" s="116">
        <v>108.25</v>
      </c>
      <c r="P2559" s="116">
        <v>109.61</v>
      </c>
      <c r="Q2559" s="116">
        <v>552.75</v>
      </c>
      <c r="R2559">
        <v>3966569</v>
      </c>
    </row>
    <row r="2560" spans="1:18" x14ac:dyDescent="0.25">
      <c r="A2560" s="170">
        <v>45776</v>
      </c>
      <c r="B2560" s="116">
        <v>112.4</v>
      </c>
      <c r="C2560" s="116">
        <v>109.73</v>
      </c>
      <c r="D2560" s="116">
        <v>109.31</v>
      </c>
      <c r="E2560" s="116">
        <v>111.88</v>
      </c>
      <c r="F2560" s="116">
        <v>548.65</v>
      </c>
      <c r="G2560">
        <v>234260</v>
      </c>
      <c r="H2560" s="116"/>
      <c r="I2560" s="116"/>
      <c r="L2560" s="170">
        <v>45776</v>
      </c>
      <c r="M2560" s="116">
        <v>109.73</v>
      </c>
      <c r="N2560" s="116">
        <v>112.4</v>
      </c>
      <c r="O2560" s="116">
        <v>109.27</v>
      </c>
      <c r="P2560" s="116">
        <v>111.6</v>
      </c>
      <c r="Q2560" s="116">
        <v>548.65</v>
      </c>
      <c r="R2560">
        <v>2919635</v>
      </c>
    </row>
    <row r="2561" spans="1:18" x14ac:dyDescent="0.25">
      <c r="A2561" s="170">
        <v>45777</v>
      </c>
      <c r="B2561" s="116">
        <v>110.39</v>
      </c>
      <c r="C2561" s="116">
        <v>106.39</v>
      </c>
      <c r="D2561" s="116">
        <v>105.27</v>
      </c>
      <c r="E2561" s="116">
        <v>110</v>
      </c>
      <c r="F2561" s="116">
        <v>531.95000000000005</v>
      </c>
      <c r="G2561">
        <v>656540</v>
      </c>
      <c r="H2561" s="116"/>
      <c r="I2561" s="116"/>
      <c r="L2561" s="170">
        <v>45777</v>
      </c>
      <c r="M2561" s="116">
        <v>106.41</v>
      </c>
      <c r="N2561" s="116">
        <v>110.35</v>
      </c>
      <c r="O2561" s="116">
        <v>105.25</v>
      </c>
      <c r="P2561" s="116">
        <v>109.96</v>
      </c>
      <c r="Q2561" s="116">
        <v>532.04999999999995</v>
      </c>
      <c r="R2561">
        <v>5205418</v>
      </c>
    </row>
    <row r="2562" spans="1:18" x14ac:dyDescent="0.25">
      <c r="A2562" s="170">
        <v>45779</v>
      </c>
      <c r="B2562" s="116">
        <v>108.74</v>
      </c>
      <c r="C2562" s="116">
        <v>104.98</v>
      </c>
      <c r="D2562" s="116">
        <v>104.61</v>
      </c>
      <c r="E2562" s="116">
        <v>105.9</v>
      </c>
      <c r="F2562" s="116">
        <v>524.9</v>
      </c>
      <c r="G2562">
        <v>461768</v>
      </c>
      <c r="H2562" s="116"/>
      <c r="I2562" s="116"/>
      <c r="L2562" s="170">
        <v>45779</v>
      </c>
      <c r="M2562" s="116">
        <v>105.04</v>
      </c>
      <c r="N2562" s="116">
        <v>108.72</v>
      </c>
      <c r="O2562" s="116">
        <v>104.6</v>
      </c>
      <c r="P2562" s="116">
        <v>105.9</v>
      </c>
      <c r="Q2562" s="116">
        <v>525.20000000000005</v>
      </c>
      <c r="R2562">
        <v>4308634</v>
      </c>
    </row>
    <row r="2563" spans="1:18" x14ac:dyDescent="0.25">
      <c r="A2563" s="170">
        <v>45782</v>
      </c>
      <c r="B2563" s="116">
        <v>116.86</v>
      </c>
      <c r="C2563" s="116">
        <v>111.24</v>
      </c>
      <c r="D2563" s="116">
        <v>105.1</v>
      </c>
      <c r="E2563" s="116">
        <v>105.79</v>
      </c>
      <c r="F2563" s="116">
        <v>556.20000000000005</v>
      </c>
      <c r="G2563">
        <v>2982590</v>
      </c>
      <c r="H2563" s="116"/>
      <c r="I2563" s="116"/>
      <c r="L2563" s="170">
        <v>45782</v>
      </c>
      <c r="M2563" s="116">
        <v>111.29</v>
      </c>
      <c r="N2563" s="116">
        <v>116.87</v>
      </c>
      <c r="O2563" s="116">
        <v>105.1</v>
      </c>
      <c r="P2563" s="116">
        <v>105.6</v>
      </c>
      <c r="Q2563" s="116">
        <v>556.45000000000005</v>
      </c>
      <c r="R2563">
        <v>27209073</v>
      </c>
    </row>
    <row r="2564" spans="1:18" x14ac:dyDescent="0.25">
      <c r="A2564" s="170">
        <v>45783</v>
      </c>
      <c r="B2564" s="116">
        <v>113.15</v>
      </c>
      <c r="C2564" s="116">
        <v>107.19</v>
      </c>
      <c r="D2564" s="116">
        <v>106.57</v>
      </c>
      <c r="E2564" s="116">
        <v>112</v>
      </c>
      <c r="F2564" s="116">
        <v>535.95000000000005</v>
      </c>
      <c r="G2564">
        <v>712023</v>
      </c>
      <c r="H2564" s="116"/>
      <c r="I2564" s="116"/>
      <c r="L2564" s="170">
        <v>45783</v>
      </c>
      <c r="M2564" s="116">
        <v>107.21</v>
      </c>
      <c r="N2564" s="116">
        <v>113.1</v>
      </c>
      <c r="O2564" s="116">
        <v>106.5</v>
      </c>
      <c r="P2564" s="116">
        <v>111.98</v>
      </c>
      <c r="Q2564" s="116">
        <v>536.04999999999995</v>
      </c>
      <c r="R2564">
        <v>8065243</v>
      </c>
    </row>
    <row r="2565" spans="1:18" x14ac:dyDescent="0.25">
      <c r="A2565" s="170">
        <v>45784</v>
      </c>
      <c r="B2565" s="116">
        <v>107.78</v>
      </c>
      <c r="C2565" s="116">
        <v>106.46</v>
      </c>
      <c r="D2565" s="116">
        <v>103.46</v>
      </c>
      <c r="E2565" s="116">
        <v>103.66</v>
      </c>
      <c r="F2565" s="116">
        <v>532.29999999999995</v>
      </c>
      <c r="G2565">
        <v>667554</v>
      </c>
      <c r="H2565" s="116"/>
      <c r="I2565" s="116"/>
      <c r="L2565" s="170">
        <v>45784</v>
      </c>
      <c r="M2565" s="116">
        <v>106.39</v>
      </c>
      <c r="N2565" s="116">
        <v>107.78</v>
      </c>
      <c r="O2565" s="116">
        <v>104.2</v>
      </c>
      <c r="P2565" s="116">
        <v>104.22</v>
      </c>
      <c r="Q2565" s="116">
        <v>531.95000000000005</v>
      </c>
      <c r="R2565">
        <v>6000991</v>
      </c>
    </row>
    <row r="2566" spans="1:18" x14ac:dyDescent="0.25">
      <c r="A2566" s="170">
        <v>45785</v>
      </c>
      <c r="B2566" s="116">
        <v>108.38</v>
      </c>
      <c r="C2566" s="116">
        <v>104.01</v>
      </c>
      <c r="D2566" s="116">
        <v>103.06</v>
      </c>
      <c r="E2566" s="116">
        <v>106.66</v>
      </c>
      <c r="F2566" s="116">
        <v>520.04999999999995</v>
      </c>
      <c r="G2566">
        <v>676124</v>
      </c>
      <c r="H2566" s="116"/>
      <c r="I2566" s="116"/>
      <c r="L2566" s="170">
        <v>45785</v>
      </c>
      <c r="M2566" s="116">
        <v>104.04</v>
      </c>
      <c r="N2566" s="116">
        <v>108.38</v>
      </c>
      <c r="O2566" s="116">
        <v>103</v>
      </c>
      <c r="P2566" s="116">
        <v>107.2</v>
      </c>
      <c r="Q2566" s="116">
        <v>520.20000000000005</v>
      </c>
      <c r="R2566">
        <v>5244763</v>
      </c>
    </row>
    <row r="2567" spans="1:18" x14ac:dyDescent="0.25">
      <c r="A2567" s="170">
        <v>45786</v>
      </c>
      <c r="B2567" s="116">
        <v>103.24</v>
      </c>
      <c r="C2567" s="116">
        <v>102.7</v>
      </c>
      <c r="D2567" s="116">
        <v>101.06</v>
      </c>
      <c r="E2567" s="116">
        <v>101.06</v>
      </c>
      <c r="F2567" s="116">
        <v>513.5</v>
      </c>
      <c r="G2567">
        <v>515500</v>
      </c>
      <c r="H2567" s="116"/>
      <c r="I2567" s="116"/>
      <c r="L2567" s="170">
        <v>45786</v>
      </c>
      <c r="M2567" s="116">
        <v>102.4</v>
      </c>
      <c r="N2567" s="116">
        <v>103.2</v>
      </c>
      <c r="O2567" s="116">
        <v>101</v>
      </c>
      <c r="P2567" s="116">
        <v>101</v>
      </c>
      <c r="Q2567" s="116">
        <v>512</v>
      </c>
      <c r="R2567">
        <v>4270624</v>
      </c>
    </row>
    <row r="2568" spans="1:18" x14ac:dyDescent="0.25">
      <c r="A2568" s="170">
        <v>45789</v>
      </c>
      <c r="B2568" s="116">
        <v>110.4</v>
      </c>
      <c r="C2568" s="116">
        <v>109.29</v>
      </c>
      <c r="D2568" s="116">
        <v>108.28</v>
      </c>
      <c r="E2568" s="116">
        <v>109</v>
      </c>
      <c r="F2568" s="116">
        <v>546.45000000000005</v>
      </c>
      <c r="G2568">
        <v>1037858</v>
      </c>
      <c r="H2568" s="116"/>
      <c r="I2568" s="116"/>
      <c r="L2568" s="170">
        <v>45789</v>
      </c>
      <c r="M2568" s="116">
        <v>109.31</v>
      </c>
      <c r="N2568" s="116">
        <v>110.57</v>
      </c>
      <c r="O2568" s="116">
        <v>108.3</v>
      </c>
      <c r="P2568" s="116">
        <v>108.99</v>
      </c>
      <c r="Q2568" s="116">
        <v>546.54999999999995</v>
      </c>
      <c r="R2568">
        <v>6409870</v>
      </c>
    </row>
    <row r="2569" spans="1:18" x14ac:dyDescent="0.25">
      <c r="A2569" s="170">
        <v>45790</v>
      </c>
      <c r="B2569" s="116">
        <v>109.96</v>
      </c>
      <c r="C2569" s="116">
        <v>107.77</v>
      </c>
      <c r="D2569" s="116">
        <v>107.24</v>
      </c>
      <c r="E2569" s="116">
        <v>109.96</v>
      </c>
      <c r="F2569" s="116">
        <v>538.85</v>
      </c>
      <c r="G2569">
        <v>385396</v>
      </c>
      <c r="H2569" s="116"/>
      <c r="I2569" s="116"/>
      <c r="L2569" s="170">
        <v>45790</v>
      </c>
      <c r="M2569" s="116">
        <v>107.75</v>
      </c>
      <c r="N2569" s="116">
        <v>109.46</v>
      </c>
      <c r="O2569" s="116">
        <v>107.2</v>
      </c>
      <c r="P2569" s="116">
        <v>109.31</v>
      </c>
      <c r="Q2569" s="116">
        <v>538.75</v>
      </c>
      <c r="R2569">
        <v>5557722</v>
      </c>
    </row>
    <row r="2570" spans="1:18" x14ac:dyDescent="0.25">
      <c r="A2570" s="170">
        <v>45791</v>
      </c>
      <c r="B2570" s="116">
        <v>108.62</v>
      </c>
      <c r="C2570" s="116">
        <v>107.97</v>
      </c>
      <c r="D2570" s="116">
        <v>107.17</v>
      </c>
      <c r="E2570" s="116">
        <v>108.17</v>
      </c>
      <c r="F2570" s="116">
        <v>539.85</v>
      </c>
      <c r="G2570">
        <v>495565</v>
      </c>
      <c r="H2570" s="116"/>
      <c r="I2570" s="116"/>
      <c r="L2570" s="170">
        <v>45791</v>
      </c>
      <c r="M2570" s="116">
        <v>107.96</v>
      </c>
      <c r="N2570" s="116">
        <v>108.71</v>
      </c>
      <c r="O2570" s="116">
        <v>107.16</v>
      </c>
      <c r="P2570" s="116">
        <v>108.54</v>
      </c>
      <c r="Q2570" s="116">
        <v>539.79999999999995</v>
      </c>
      <c r="R2570">
        <v>3594120</v>
      </c>
    </row>
    <row r="2571" spans="1:18" x14ac:dyDescent="0.25">
      <c r="A2571" s="170">
        <v>45792</v>
      </c>
      <c r="B2571" s="116">
        <v>109.27</v>
      </c>
      <c r="C2571" s="116">
        <v>108.6</v>
      </c>
      <c r="D2571" s="116">
        <v>107.47</v>
      </c>
      <c r="E2571" s="116">
        <v>108.36</v>
      </c>
      <c r="F2571" s="116">
        <v>543</v>
      </c>
      <c r="G2571">
        <v>480178</v>
      </c>
      <c r="H2571" s="116"/>
      <c r="I2571" s="116"/>
      <c r="L2571" s="170">
        <v>45792</v>
      </c>
      <c r="M2571" s="116">
        <v>108.62</v>
      </c>
      <c r="N2571" s="116">
        <v>109.26</v>
      </c>
      <c r="O2571" s="116">
        <v>107.46</v>
      </c>
      <c r="P2571" s="116">
        <v>108.48</v>
      </c>
      <c r="Q2571" s="116">
        <v>543.1</v>
      </c>
      <c r="R2571">
        <v>3550325</v>
      </c>
    </row>
    <row r="2572" spans="1:18" x14ac:dyDescent="0.25">
      <c r="A2572" s="170">
        <v>45793</v>
      </c>
      <c r="B2572" s="116">
        <v>113.86</v>
      </c>
      <c r="C2572" s="116">
        <v>113.08</v>
      </c>
      <c r="D2572" s="116">
        <v>108.66</v>
      </c>
      <c r="E2572" s="116">
        <v>109.13</v>
      </c>
      <c r="F2572" s="116">
        <v>565.4</v>
      </c>
      <c r="G2572">
        <v>1027592</v>
      </c>
      <c r="H2572" s="116"/>
      <c r="I2572" s="116"/>
      <c r="L2572" s="170">
        <v>45793</v>
      </c>
      <c r="M2572" s="116">
        <v>113.1</v>
      </c>
      <c r="N2572" s="116">
        <v>113.96</v>
      </c>
      <c r="O2572" s="116">
        <v>108.62</v>
      </c>
      <c r="P2572" s="116">
        <v>109</v>
      </c>
      <c r="Q2572" s="116">
        <v>565.5</v>
      </c>
      <c r="R2572">
        <v>9905122</v>
      </c>
    </row>
    <row r="2573" spans="1:18" x14ac:dyDescent="0.25">
      <c r="A2573" s="170">
        <v>45796</v>
      </c>
      <c r="B2573" s="116">
        <v>114.69</v>
      </c>
      <c r="C2573" s="116">
        <v>112.55</v>
      </c>
      <c r="D2573" s="116">
        <v>111.84</v>
      </c>
      <c r="E2573" s="116">
        <v>113.5</v>
      </c>
      <c r="F2573" s="116">
        <v>562.75</v>
      </c>
      <c r="G2573">
        <v>316057</v>
      </c>
      <c r="H2573" s="116"/>
      <c r="I2573" s="116"/>
      <c r="L2573" s="170">
        <v>45796</v>
      </c>
      <c r="M2573" s="116">
        <v>112.45</v>
      </c>
      <c r="N2573" s="116">
        <v>114.6</v>
      </c>
      <c r="O2573" s="116">
        <v>111.84</v>
      </c>
      <c r="P2573" s="116">
        <v>113.3</v>
      </c>
      <c r="Q2573" s="116">
        <v>562.25</v>
      </c>
      <c r="R2573">
        <v>3795922</v>
      </c>
    </row>
    <row r="2574" spans="1:18" x14ac:dyDescent="0.25">
      <c r="A2574" s="170">
        <v>45797</v>
      </c>
      <c r="B2574" s="116">
        <v>113.48</v>
      </c>
      <c r="C2574" s="116">
        <v>111.19</v>
      </c>
      <c r="D2574" s="116">
        <v>110.57</v>
      </c>
      <c r="E2574" s="116">
        <v>112.61</v>
      </c>
      <c r="F2574" s="116">
        <v>555.95000000000005</v>
      </c>
      <c r="G2574">
        <v>499940</v>
      </c>
      <c r="H2574" s="116"/>
      <c r="I2574" s="116"/>
      <c r="L2574" s="170">
        <v>45797</v>
      </c>
      <c r="M2574" s="116">
        <v>111.24</v>
      </c>
      <c r="N2574" s="116">
        <v>113.5</v>
      </c>
      <c r="O2574" s="116">
        <v>110.57</v>
      </c>
      <c r="P2574" s="116">
        <v>112.79</v>
      </c>
      <c r="Q2574" s="116">
        <v>556.20000000000005</v>
      </c>
      <c r="R2574">
        <v>3431206</v>
      </c>
    </row>
    <row r="2575" spans="1:18" x14ac:dyDescent="0.25">
      <c r="A2575" s="170">
        <v>45798</v>
      </c>
      <c r="B2575" s="116">
        <v>112.13</v>
      </c>
      <c r="C2575" s="116">
        <v>110.26</v>
      </c>
      <c r="D2575" s="116">
        <v>109.37</v>
      </c>
      <c r="E2575" s="116">
        <v>111.51</v>
      </c>
      <c r="F2575" s="116">
        <v>551.29999999999995</v>
      </c>
      <c r="G2575">
        <v>252575</v>
      </c>
      <c r="H2575" s="116"/>
      <c r="I2575" s="116"/>
      <c r="L2575" s="170">
        <v>45798</v>
      </c>
      <c r="M2575" s="116">
        <v>110.25</v>
      </c>
      <c r="N2575" s="116">
        <v>112.2</v>
      </c>
      <c r="O2575" s="116">
        <v>109.37</v>
      </c>
      <c r="P2575" s="116">
        <v>111.2</v>
      </c>
      <c r="Q2575" s="116">
        <v>551.25</v>
      </c>
      <c r="R2575">
        <v>2675373</v>
      </c>
    </row>
    <row r="2576" spans="1:18" x14ac:dyDescent="0.25">
      <c r="A2576" s="170">
        <v>45799</v>
      </c>
      <c r="B2576" s="116">
        <v>112.17</v>
      </c>
      <c r="C2576" s="116">
        <v>110.79</v>
      </c>
      <c r="D2576" s="116">
        <v>109.81</v>
      </c>
      <c r="E2576" s="116">
        <v>110.27</v>
      </c>
      <c r="F2576" s="116">
        <v>553.95000000000005</v>
      </c>
      <c r="G2576">
        <v>557273</v>
      </c>
      <c r="H2576" s="116"/>
      <c r="I2576" s="116"/>
      <c r="L2576" s="170">
        <v>45799</v>
      </c>
      <c r="M2576" s="116">
        <v>110.74</v>
      </c>
      <c r="N2576" s="116">
        <v>112.15</v>
      </c>
      <c r="O2576" s="116">
        <v>109.83</v>
      </c>
      <c r="P2576" s="116">
        <v>110.3</v>
      </c>
      <c r="Q2576" s="116">
        <v>553.70000000000005</v>
      </c>
      <c r="R2576">
        <v>2988650</v>
      </c>
    </row>
    <row r="2577" spans="1:18" x14ac:dyDescent="0.25">
      <c r="A2577" s="170">
        <v>45800</v>
      </c>
      <c r="B2577" s="116">
        <v>112.04</v>
      </c>
      <c r="C2577" s="116">
        <v>110.62</v>
      </c>
      <c r="D2577" s="116">
        <v>110.23</v>
      </c>
      <c r="E2577" s="116">
        <v>111.11</v>
      </c>
      <c r="F2577" s="116">
        <v>553.1</v>
      </c>
      <c r="G2577">
        <v>470434</v>
      </c>
      <c r="H2577" s="116"/>
      <c r="I2577" s="116"/>
      <c r="L2577" s="170">
        <v>45800</v>
      </c>
      <c r="M2577" s="116">
        <v>110.64</v>
      </c>
      <c r="N2577" s="116">
        <v>112.08</v>
      </c>
      <c r="O2577" s="116">
        <v>110.2</v>
      </c>
      <c r="P2577" s="116">
        <v>111.2</v>
      </c>
      <c r="Q2577" s="116">
        <v>553.20000000000005</v>
      </c>
      <c r="R2577">
        <v>2405370</v>
      </c>
    </row>
    <row r="2578" spans="1:18" x14ac:dyDescent="0.25">
      <c r="A2578" s="170">
        <v>45803</v>
      </c>
      <c r="B2578" s="116">
        <v>114</v>
      </c>
      <c r="C2578" s="116">
        <v>111.69</v>
      </c>
      <c r="D2578" s="116">
        <v>111.22</v>
      </c>
      <c r="E2578" s="116">
        <v>111.4</v>
      </c>
      <c r="F2578" s="116">
        <v>558.45000000000005</v>
      </c>
      <c r="G2578">
        <v>307970</v>
      </c>
      <c r="H2578" s="116"/>
      <c r="I2578" s="116"/>
      <c r="L2578" s="170">
        <v>45803</v>
      </c>
      <c r="M2578" s="116">
        <v>111.72</v>
      </c>
      <c r="N2578" s="116">
        <v>113.98</v>
      </c>
      <c r="O2578" s="116">
        <v>111.23</v>
      </c>
      <c r="P2578" s="116">
        <v>111.38</v>
      </c>
      <c r="Q2578" s="116">
        <v>558.6</v>
      </c>
      <c r="R2578">
        <v>3834794</v>
      </c>
    </row>
    <row r="2579" spans="1:18" x14ac:dyDescent="0.25">
      <c r="A2579" s="170">
        <v>45804</v>
      </c>
      <c r="B2579" s="116">
        <v>112</v>
      </c>
      <c r="C2579" s="116">
        <v>110.57</v>
      </c>
      <c r="D2579" s="116">
        <v>110.06</v>
      </c>
      <c r="E2579" s="116">
        <v>111.8</v>
      </c>
      <c r="F2579" s="116">
        <v>552.85</v>
      </c>
      <c r="G2579">
        <v>230579</v>
      </c>
      <c r="H2579" s="116"/>
      <c r="I2579" s="116"/>
      <c r="L2579" s="170">
        <v>45804</v>
      </c>
      <c r="M2579" s="116">
        <v>110.51</v>
      </c>
      <c r="N2579" s="116">
        <v>112.06</v>
      </c>
      <c r="O2579" s="116">
        <v>109.96</v>
      </c>
      <c r="P2579" s="116">
        <v>112</v>
      </c>
      <c r="Q2579" s="116">
        <v>552.54999999999995</v>
      </c>
      <c r="R2579">
        <v>2773664</v>
      </c>
    </row>
    <row r="2580" spans="1:18" x14ac:dyDescent="0.25">
      <c r="A2580" s="170">
        <v>45805</v>
      </c>
      <c r="B2580" s="116">
        <v>113.4</v>
      </c>
      <c r="C2580" s="116">
        <v>110.18</v>
      </c>
      <c r="D2580" s="116">
        <v>106.81</v>
      </c>
      <c r="E2580" s="116">
        <v>111.1</v>
      </c>
      <c r="F2580" s="116">
        <v>550.9</v>
      </c>
      <c r="G2580">
        <v>671879</v>
      </c>
      <c r="H2580" s="116"/>
      <c r="I2580" s="116"/>
      <c r="L2580" s="170">
        <v>45805</v>
      </c>
      <c r="M2580" s="116">
        <v>110.14</v>
      </c>
      <c r="N2580" s="116">
        <v>113.42</v>
      </c>
      <c r="O2580" s="116">
        <v>106.16</v>
      </c>
      <c r="P2580" s="116">
        <v>111</v>
      </c>
      <c r="Q2580" s="116">
        <v>550.70000000000005</v>
      </c>
      <c r="R2580">
        <v>4912139</v>
      </c>
    </row>
    <row r="2581" spans="1:18" x14ac:dyDescent="0.25">
      <c r="A2581" s="170">
        <v>45806</v>
      </c>
      <c r="B2581" s="116">
        <v>111.7</v>
      </c>
      <c r="C2581" s="116">
        <v>110.39</v>
      </c>
      <c r="D2581" s="116">
        <v>110.24</v>
      </c>
      <c r="E2581" s="116">
        <v>110.83</v>
      </c>
      <c r="F2581" s="116">
        <v>551.95000000000005</v>
      </c>
      <c r="G2581">
        <v>404877</v>
      </c>
      <c r="H2581" s="116"/>
      <c r="I2581" s="116"/>
      <c r="L2581" s="170">
        <v>45806</v>
      </c>
      <c r="M2581" s="116">
        <v>110.39</v>
      </c>
      <c r="N2581" s="116">
        <v>111.77</v>
      </c>
      <c r="O2581" s="116">
        <v>110.2</v>
      </c>
      <c r="P2581" s="116">
        <v>110.77</v>
      </c>
      <c r="Q2581" s="116">
        <v>551.95000000000005</v>
      </c>
      <c r="R2581">
        <v>2576321</v>
      </c>
    </row>
    <row r="2582" spans="1:18" x14ac:dyDescent="0.25">
      <c r="A2582" s="170">
        <v>45807</v>
      </c>
      <c r="B2582" s="116">
        <v>111.09</v>
      </c>
      <c r="C2582" s="116">
        <v>108.92</v>
      </c>
      <c r="D2582" s="116">
        <v>108.24</v>
      </c>
      <c r="E2582" s="116">
        <v>110.66</v>
      </c>
      <c r="F2582" s="116">
        <v>544.6</v>
      </c>
      <c r="G2582">
        <v>409884</v>
      </c>
      <c r="H2582" s="116"/>
      <c r="I2582" s="116"/>
      <c r="L2582" s="170">
        <v>45807</v>
      </c>
      <c r="M2582" s="116">
        <v>108.76</v>
      </c>
      <c r="N2582" s="116">
        <v>111.09</v>
      </c>
      <c r="O2582" s="116">
        <v>108.18</v>
      </c>
      <c r="P2582" s="116">
        <v>110.61</v>
      </c>
      <c r="Q2582" s="116">
        <v>543.79999999999995</v>
      </c>
      <c r="R2582">
        <v>3074095</v>
      </c>
    </row>
    <row r="2583" spans="1:18" x14ac:dyDescent="0.25">
      <c r="A2583" s="170">
        <v>45810</v>
      </c>
      <c r="B2583" s="116">
        <v>111.94</v>
      </c>
      <c r="C2583" s="116">
        <v>110.99</v>
      </c>
      <c r="D2583" s="116">
        <v>108.98</v>
      </c>
      <c r="E2583" s="116">
        <v>109.01</v>
      </c>
      <c r="F2583" s="116">
        <v>554.95000000000005</v>
      </c>
      <c r="G2583">
        <v>578801</v>
      </c>
      <c r="H2583" s="116"/>
      <c r="I2583" s="116"/>
      <c r="L2583" s="170">
        <v>45810</v>
      </c>
      <c r="M2583" s="116">
        <v>111.02</v>
      </c>
      <c r="N2583" s="116">
        <v>111.98</v>
      </c>
      <c r="O2583" s="116">
        <v>109</v>
      </c>
      <c r="P2583" s="116">
        <v>109.4</v>
      </c>
      <c r="Q2583" s="116">
        <v>555.1</v>
      </c>
      <c r="R2583">
        <v>3558922</v>
      </c>
    </row>
    <row r="2584" spans="1:18" x14ac:dyDescent="0.25">
      <c r="A2584" s="170">
        <v>45811</v>
      </c>
      <c r="B2584" s="116">
        <v>110.8</v>
      </c>
      <c r="C2584" s="116">
        <v>108.75</v>
      </c>
      <c r="D2584" s="116">
        <v>108</v>
      </c>
      <c r="E2584" s="116">
        <v>110.38</v>
      </c>
      <c r="F2584" s="116">
        <v>543.75</v>
      </c>
      <c r="G2584">
        <v>280409</v>
      </c>
      <c r="H2584" s="116"/>
      <c r="I2584" s="116"/>
      <c r="L2584" s="170">
        <v>45811</v>
      </c>
      <c r="M2584" s="116">
        <v>108.92</v>
      </c>
      <c r="N2584" s="116">
        <v>110.64</v>
      </c>
      <c r="O2584" s="116">
        <v>108.6</v>
      </c>
      <c r="P2584" s="116">
        <v>110.51</v>
      </c>
      <c r="Q2584" s="116">
        <v>544.6</v>
      </c>
      <c r="R2584">
        <v>2585421</v>
      </c>
    </row>
    <row r="2585" spans="1:18" x14ac:dyDescent="0.25">
      <c r="A2585" s="170">
        <v>45812</v>
      </c>
      <c r="B2585" s="116">
        <v>109.96</v>
      </c>
      <c r="C2585" s="116">
        <v>108.99</v>
      </c>
      <c r="D2585" s="116">
        <v>107.79</v>
      </c>
      <c r="E2585" s="116">
        <v>109.05</v>
      </c>
      <c r="F2585" s="116">
        <v>544.95000000000005</v>
      </c>
      <c r="G2585">
        <v>374322</v>
      </c>
      <c r="H2585" s="116"/>
      <c r="I2585" s="116"/>
      <c r="L2585" s="170">
        <v>45812</v>
      </c>
      <c r="M2585" s="116">
        <v>109.03</v>
      </c>
      <c r="N2585" s="116">
        <v>109.98</v>
      </c>
      <c r="O2585" s="116">
        <v>107.72</v>
      </c>
      <c r="P2585" s="116">
        <v>109.48</v>
      </c>
      <c r="Q2585" s="116">
        <v>545.15</v>
      </c>
      <c r="R2585">
        <v>2601679</v>
      </c>
    </row>
    <row r="2586" spans="1:18" x14ac:dyDescent="0.25">
      <c r="A2586" s="170">
        <v>45813</v>
      </c>
      <c r="B2586" s="116">
        <v>110.69</v>
      </c>
      <c r="C2586" s="116">
        <v>109.52</v>
      </c>
      <c r="D2586" s="116">
        <v>109.32</v>
      </c>
      <c r="E2586" s="116">
        <v>109.44</v>
      </c>
      <c r="F2586" s="116">
        <v>547.6</v>
      </c>
      <c r="G2586">
        <v>178644</v>
      </c>
      <c r="H2586" s="116"/>
      <c r="I2586" s="116"/>
      <c r="L2586" s="170">
        <v>45813</v>
      </c>
      <c r="M2586" s="116">
        <v>109.53</v>
      </c>
      <c r="N2586" s="116">
        <v>110.74</v>
      </c>
      <c r="O2586" s="116">
        <v>109.31</v>
      </c>
      <c r="P2586" s="116">
        <v>109.54</v>
      </c>
      <c r="Q2586" s="116">
        <v>547.65</v>
      </c>
      <c r="R2586">
        <v>1923341</v>
      </c>
    </row>
    <row r="2587" spans="1:18" x14ac:dyDescent="0.25">
      <c r="A2587" s="170">
        <v>45814</v>
      </c>
      <c r="B2587" s="116">
        <v>112.76</v>
      </c>
      <c r="C2587" s="116">
        <v>111.04</v>
      </c>
      <c r="D2587" s="116">
        <v>109.64</v>
      </c>
      <c r="E2587" s="116">
        <v>109.64</v>
      </c>
      <c r="F2587" s="116">
        <v>555.20000000000005</v>
      </c>
      <c r="G2587">
        <v>331773</v>
      </c>
      <c r="H2587" s="116"/>
      <c r="I2587" s="116"/>
      <c r="L2587" s="170">
        <v>45814</v>
      </c>
      <c r="M2587" s="116">
        <v>111.05</v>
      </c>
      <c r="N2587" s="116">
        <v>112.79</v>
      </c>
      <c r="O2587" s="116">
        <v>109.82</v>
      </c>
      <c r="P2587" s="116">
        <v>110.15</v>
      </c>
      <c r="Q2587" s="116">
        <v>555.25</v>
      </c>
      <c r="R2587">
        <v>4011381</v>
      </c>
    </row>
    <row r="2588" spans="1:18" x14ac:dyDescent="0.25">
      <c r="A2588" s="170">
        <v>45817</v>
      </c>
      <c r="B2588" s="116">
        <v>114.77</v>
      </c>
      <c r="C2588" s="116">
        <v>112.66</v>
      </c>
      <c r="D2588" s="116">
        <v>111.28</v>
      </c>
      <c r="E2588" s="116">
        <v>111.46</v>
      </c>
      <c r="F2588" s="116">
        <v>563.29999999999995</v>
      </c>
      <c r="G2588">
        <v>360971</v>
      </c>
      <c r="H2588" s="116"/>
      <c r="I2588" s="116"/>
      <c r="L2588" s="170">
        <v>45817</v>
      </c>
      <c r="M2588" s="116">
        <v>112.62</v>
      </c>
      <c r="N2588" s="116">
        <v>114.8</v>
      </c>
      <c r="O2588" s="116">
        <v>111.26</v>
      </c>
      <c r="P2588" s="116">
        <v>111.95</v>
      </c>
      <c r="Q2588" s="116">
        <v>563.1</v>
      </c>
      <c r="R2588">
        <v>4723594</v>
      </c>
    </row>
    <row r="2589" spans="1:18" x14ac:dyDescent="0.25">
      <c r="A2589" s="170">
        <v>45818</v>
      </c>
      <c r="B2589" s="116">
        <v>122</v>
      </c>
      <c r="C2589" s="116">
        <v>119.26</v>
      </c>
      <c r="D2589" s="116">
        <v>112.46</v>
      </c>
      <c r="E2589" s="116">
        <v>113.06</v>
      </c>
      <c r="F2589" s="116">
        <v>596.29999999999995</v>
      </c>
      <c r="G2589">
        <v>4256152</v>
      </c>
      <c r="H2589" s="116"/>
      <c r="I2589" s="116"/>
      <c r="L2589" s="170">
        <v>45818</v>
      </c>
      <c r="M2589" s="116">
        <v>119.21</v>
      </c>
      <c r="N2589" s="116">
        <v>122.12</v>
      </c>
      <c r="O2589" s="116">
        <v>112.49</v>
      </c>
      <c r="P2589" s="116">
        <v>113.54</v>
      </c>
      <c r="Q2589" s="116">
        <v>596.04999999999995</v>
      </c>
      <c r="R2589">
        <v>30085179</v>
      </c>
    </row>
    <row r="2590" spans="1:18" x14ac:dyDescent="0.25">
      <c r="A2590" s="170">
        <v>45819</v>
      </c>
      <c r="B2590" s="116">
        <v>120.78</v>
      </c>
      <c r="C2590" s="116">
        <v>117.4</v>
      </c>
      <c r="D2590" s="116">
        <v>116.6</v>
      </c>
      <c r="E2590" s="116">
        <v>120.2</v>
      </c>
      <c r="F2590" s="116">
        <v>587</v>
      </c>
      <c r="G2590">
        <v>1070769</v>
      </c>
      <c r="H2590" s="116"/>
      <c r="I2590" s="116"/>
      <c r="L2590" s="170">
        <v>45819</v>
      </c>
      <c r="M2590" s="116">
        <v>117.41</v>
      </c>
      <c r="N2590" s="116">
        <v>121</v>
      </c>
      <c r="O2590" s="116">
        <v>116.59</v>
      </c>
      <c r="P2590" s="116">
        <v>120.55</v>
      </c>
      <c r="Q2590" s="116">
        <v>587.04999999999995</v>
      </c>
      <c r="R2590">
        <v>8763850</v>
      </c>
    </row>
    <row r="2591" spans="1:18" x14ac:dyDescent="0.25">
      <c r="A2591" s="170">
        <v>45820</v>
      </c>
      <c r="B2591" s="116">
        <v>117.78</v>
      </c>
      <c r="C2591" s="116">
        <v>113.46</v>
      </c>
      <c r="D2591" s="116">
        <v>113.03</v>
      </c>
      <c r="E2591" s="116">
        <v>117.78</v>
      </c>
      <c r="F2591" s="116">
        <v>567.29999999999995</v>
      </c>
      <c r="G2591">
        <v>473020</v>
      </c>
      <c r="H2591" s="116"/>
      <c r="I2591" s="116"/>
      <c r="L2591" s="170">
        <v>45820</v>
      </c>
      <c r="M2591" s="116">
        <v>113.43</v>
      </c>
      <c r="N2591" s="116">
        <v>117.74</v>
      </c>
      <c r="O2591" s="116">
        <v>113.1</v>
      </c>
      <c r="P2591" s="116">
        <v>117.41</v>
      </c>
      <c r="Q2591" s="116">
        <v>567.15</v>
      </c>
      <c r="R2591">
        <v>5139702</v>
      </c>
    </row>
    <row r="2592" spans="1:18" x14ac:dyDescent="0.25">
      <c r="A2592" s="170">
        <v>45821</v>
      </c>
      <c r="B2592" s="116">
        <v>115.67</v>
      </c>
      <c r="C2592" s="116">
        <v>114.19</v>
      </c>
      <c r="D2592" s="116">
        <v>109.89</v>
      </c>
      <c r="E2592" s="116">
        <v>110.83</v>
      </c>
      <c r="F2592" s="116">
        <v>570.95000000000005</v>
      </c>
      <c r="G2592">
        <v>779021</v>
      </c>
      <c r="H2592" s="116"/>
      <c r="I2592" s="116"/>
      <c r="L2592" s="170">
        <v>45821</v>
      </c>
      <c r="M2592" s="116">
        <v>114.18</v>
      </c>
      <c r="N2592" s="116">
        <v>115.68</v>
      </c>
      <c r="O2592" s="116">
        <v>109.87</v>
      </c>
      <c r="P2592" s="116">
        <v>111.09</v>
      </c>
      <c r="Q2592" s="116">
        <v>570.9</v>
      </c>
      <c r="R2592">
        <v>5926129</v>
      </c>
    </row>
    <row r="2593" spans="1:18" x14ac:dyDescent="0.25">
      <c r="A2593" s="170">
        <v>45824</v>
      </c>
      <c r="B2593" s="116">
        <v>114.38</v>
      </c>
      <c r="C2593" s="116">
        <v>112.63</v>
      </c>
      <c r="D2593" s="116">
        <v>111</v>
      </c>
      <c r="E2593" s="116">
        <v>113.47</v>
      </c>
      <c r="F2593" s="116">
        <v>563.15</v>
      </c>
      <c r="G2593">
        <v>436684</v>
      </c>
      <c r="H2593" s="116"/>
      <c r="I2593" s="116"/>
      <c r="L2593" s="170">
        <v>45824</v>
      </c>
      <c r="M2593" s="116">
        <v>112.59</v>
      </c>
      <c r="N2593" s="116">
        <v>114.4</v>
      </c>
      <c r="O2593" s="116">
        <v>111.01</v>
      </c>
      <c r="P2593" s="116">
        <v>113.59</v>
      </c>
      <c r="Q2593" s="116">
        <v>562.95000000000005</v>
      </c>
      <c r="R2593">
        <v>2789157</v>
      </c>
    </row>
    <row r="2594" spans="1:18" x14ac:dyDescent="0.25">
      <c r="A2594" s="170">
        <v>45825</v>
      </c>
      <c r="B2594" s="116">
        <v>114.22</v>
      </c>
      <c r="C2594" s="116">
        <v>111.63</v>
      </c>
      <c r="D2594" s="116">
        <v>111.37</v>
      </c>
      <c r="E2594" s="116">
        <v>113.17</v>
      </c>
      <c r="F2594" s="116">
        <v>558.15</v>
      </c>
      <c r="G2594">
        <v>293261</v>
      </c>
      <c r="H2594" s="116"/>
      <c r="I2594" s="116"/>
      <c r="L2594" s="170">
        <v>45825</v>
      </c>
      <c r="M2594" s="116">
        <v>111.64</v>
      </c>
      <c r="N2594" s="116">
        <v>114.22</v>
      </c>
      <c r="O2594" s="116">
        <v>111.4</v>
      </c>
      <c r="P2594" s="116">
        <v>112.91</v>
      </c>
      <c r="Q2594" s="116">
        <v>558.20000000000005</v>
      </c>
      <c r="R2594">
        <v>1964035</v>
      </c>
    </row>
    <row r="2595" spans="1:18" x14ac:dyDescent="0.25">
      <c r="A2595" s="170">
        <v>45826</v>
      </c>
      <c r="B2595" s="116">
        <v>112.05</v>
      </c>
      <c r="C2595" s="116">
        <v>110.18</v>
      </c>
      <c r="D2595" s="116">
        <v>110</v>
      </c>
      <c r="E2595" s="116">
        <v>111.25</v>
      </c>
      <c r="F2595" s="116">
        <v>550.9</v>
      </c>
      <c r="G2595">
        <v>189778</v>
      </c>
      <c r="H2595" s="116"/>
      <c r="I2595" s="116"/>
      <c r="L2595" s="170">
        <v>45826</v>
      </c>
      <c r="M2595" s="116">
        <v>110.16</v>
      </c>
      <c r="N2595" s="116">
        <v>112.07</v>
      </c>
      <c r="O2595" s="116">
        <v>110</v>
      </c>
      <c r="P2595" s="116">
        <v>111.6</v>
      </c>
      <c r="Q2595" s="116">
        <v>550.79999999999995</v>
      </c>
      <c r="R2595">
        <v>2012632</v>
      </c>
    </row>
    <row r="2596" spans="1:18" x14ac:dyDescent="0.25">
      <c r="A2596" s="170">
        <v>45827</v>
      </c>
      <c r="B2596" s="116">
        <v>111.71</v>
      </c>
      <c r="C2596" s="116">
        <v>107.26</v>
      </c>
      <c r="D2596" s="116">
        <v>106.6</v>
      </c>
      <c r="E2596" s="116">
        <v>109.64</v>
      </c>
      <c r="F2596" s="116">
        <v>536.29999999999995</v>
      </c>
      <c r="G2596">
        <v>452913</v>
      </c>
      <c r="H2596" s="116"/>
      <c r="I2596" s="116"/>
      <c r="L2596" s="170">
        <v>45827</v>
      </c>
      <c r="M2596" s="116">
        <v>107.3</v>
      </c>
      <c r="N2596" s="116">
        <v>111.75</v>
      </c>
      <c r="O2596" s="116">
        <v>106.5</v>
      </c>
      <c r="P2596" s="116">
        <v>110.2</v>
      </c>
      <c r="Q2596" s="116">
        <v>536.5</v>
      </c>
      <c r="R2596">
        <v>2713788</v>
      </c>
    </row>
    <row r="2597" spans="1:18" x14ac:dyDescent="0.25">
      <c r="A2597" s="170">
        <v>45828</v>
      </c>
      <c r="B2597" s="116">
        <v>108.88</v>
      </c>
      <c r="C2597" s="116">
        <v>106.3</v>
      </c>
      <c r="D2597" s="116">
        <v>105.66</v>
      </c>
      <c r="E2597" s="116">
        <v>107.72</v>
      </c>
      <c r="F2597" s="116">
        <v>531.5</v>
      </c>
      <c r="G2597">
        <v>383937</v>
      </c>
      <c r="H2597" s="116"/>
      <c r="I2597" s="116"/>
      <c r="L2597" s="170">
        <v>45828</v>
      </c>
      <c r="M2597" s="116">
        <v>106.05</v>
      </c>
      <c r="N2597" s="116">
        <v>109.11</v>
      </c>
      <c r="O2597" s="116">
        <v>105.42</v>
      </c>
      <c r="P2597" s="116">
        <v>107.6</v>
      </c>
      <c r="Q2597" s="116">
        <v>530.25</v>
      </c>
      <c r="R2597">
        <v>9547699</v>
      </c>
    </row>
    <row r="2598" spans="1:18" x14ac:dyDescent="0.25">
      <c r="A2598" s="170">
        <v>45831</v>
      </c>
      <c r="B2598" s="116">
        <v>108.35</v>
      </c>
      <c r="C2598" s="116">
        <v>107.61</v>
      </c>
      <c r="D2598" s="116">
        <v>105.83</v>
      </c>
      <c r="E2598" s="116">
        <v>106</v>
      </c>
      <c r="F2598" s="116">
        <v>538.04999999999995</v>
      </c>
      <c r="G2598">
        <v>558978</v>
      </c>
      <c r="H2598" s="116"/>
      <c r="I2598" s="116"/>
      <c r="L2598" s="170">
        <v>45831</v>
      </c>
      <c r="M2598" s="116">
        <v>107.6</v>
      </c>
      <c r="N2598" s="116">
        <v>108.29</v>
      </c>
      <c r="O2598" s="116">
        <v>105.65</v>
      </c>
      <c r="P2598" s="116">
        <v>106</v>
      </c>
      <c r="Q2598" s="116">
        <v>538</v>
      </c>
      <c r="R2598">
        <v>3046939</v>
      </c>
    </row>
    <row r="2599" spans="1:18" x14ac:dyDescent="0.25">
      <c r="A2599" s="170">
        <v>45832</v>
      </c>
      <c r="B2599" s="116">
        <v>110.39</v>
      </c>
      <c r="C2599" s="116">
        <v>109.36</v>
      </c>
      <c r="D2599" s="116">
        <v>107.7</v>
      </c>
      <c r="E2599" s="116">
        <v>109.46</v>
      </c>
      <c r="F2599" s="116">
        <v>546.79999999999995</v>
      </c>
      <c r="G2599">
        <v>586114</v>
      </c>
      <c r="H2599" s="116"/>
      <c r="I2599" s="116"/>
      <c r="L2599" s="170">
        <v>45832</v>
      </c>
      <c r="M2599" s="116">
        <v>109.37</v>
      </c>
      <c r="N2599" s="116">
        <v>110.4</v>
      </c>
      <c r="O2599" s="116">
        <v>107.74</v>
      </c>
      <c r="P2599" s="116">
        <v>108.98</v>
      </c>
      <c r="Q2599" s="116">
        <v>546.85</v>
      </c>
      <c r="R2599">
        <v>4114586</v>
      </c>
    </row>
    <row r="2600" spans="1:18" x14ac:dyDescent="0.25">
      <c r="A2600" s="170">
        <v>45833</v>
      </c>
      <c r="B2600" s="116">
        <v>111.65</v>
      </c>
      <c r="C2600" s="116">
        <v>111.41</v>
      </c>
      <c r="D2600" s="116">
        <v>109.8</v>
      </c>
      <c r="E2600" s="116">
        <v>109.94</v>
      </c>
      <c r="F2600" s="116">
        <v>557.04999999999995</v>
      </c>
      <c r="G2600">
        <v>256422</v>
      </c>
      <c r="H2600" s="116"/>
      <c r="I2600" s="116"/>
      <c r="L2600" s="170">
        <v>45833</v>
      </c>
      <c r="M2600" s="116">
        <v>111.4</v>
      </c>
      <c r="N2600" s="116">
        <v>111.8</v>
      </c>
      <c r="O2600" s="116">
        <v>109.75</v>
      </c>
      <c r="P2600" s="116">
        <v>109.84</v>
      </c>
      <c r="Q2600" s="116">
        <v>557</v>
      </c>
      <c r="R2600">
        <v>3434204</v>
      </c>
    </row>
    <row r="2601" spans="1:18" x14ac:dyDescent="0.25">
      <c r="A2601" s="170">
        <v>45834</v>
      </c>
      <c r="B2601" s="116">
        <v>116</v>
      </c>
      <c r="C2601" s="116">
        <v>115.57</v>
      </c>
      <c r="D2601" s="116">
        <v>111.45</v>
      </c>
      <c r="E2601" s="116">
        <v>111.45</v>
      </c>
      <c r="F2601" s="116">
        <v>577.85</v>
      </c>
      <c r="G2601">
        <v>811703</v>
      </c>
      <c r="H2601" s="116"/>
      <c r="I2601" s="116"/>
      <c r="L2601" s="170">
        <v>45834</v>
      </c>
      <c r="M2601" s="116">
        <v>115.63</v>
      </c>
      <c r="N2601" s="116">
        <v>116.08</v>
      </c>
      <c r="O2601" s="116">
        <v>111.6</v>
      </c>
      <c r="P2601" s="116">
        <v>111.8</v>
      </c>
      <c r="Q2601" s="116">
        <v>578.15</v>
      </c>
      <c r="R2601">
        <v>6123781</v>
      </c>
    </row>
    <row r="2602" spans="1:18" x14ac:dyDescent="0.25">
      <c r="A2602" s="170">
        <v>45835</v>
      </c>
      <c r="B2602" s="116">
        <v>121.5</v>
      </c>
      <c r="C2602" s="116">
        <v>116.85</v>
      </c>
      <c r="D2602" s="116">
        <v>114.85</v>
      </c>
      <c r="E2602" s="116">
        <v>116</v>
      </c>
      <c r="F2602" s="116">
        <v>584.25</v>
      </c>
      <c r="G2602">
        <v>1325653</v>
      </c>
      <c r="H2602" s="116"/>
      <c r="I2602" s="116"/>
      <c r="L2602" s="170">
        <v>45835</v>
      </c>
      <c r="M2602" s="116">
        <v>116.87</v>
      </c>
      <c r="N2602" s="116">
        <v>121.36</v>
      </c>
      <c r="O2602" s="116">
        <v>114.84</v>
      </c>
      <c r="P2602" s="116">
        <v>116</v>
      </c>
      <c r="Q2602" s="116">
        <v>584.35</v>
      </c>
      <c r="R2602">
        <v>15644091</v>
      </c>
    </row>
    <row r="2603" spans="1:18" x14ac:dyDescent="0.25">
      <c r="A2603" s="170">
        <v>45838</v>
      </c>
      <c r="B2603" s="116">
        <v>119.51</v>
      </c>
      <c r="C2603" s="116">
        <v>117.16</v>
      </c>
      <c r="D2603" s="116">
        <v>116.54</v>
      </c>
      <c r="E2603" s="116">
        <v>117.98</v>
      </c>
      <c r="F2603" s="116">
        <v>585.79999999999995</v>
      </c>
      <c r="G2603">
        <v>380794</v>
      </c>
      <c r="H2603" s="116"/>
      <c r="I2603" s="116"/>
      <c r="L2603" s="170">
        <v>45838</v>
      </c>
      <c r="M2603" s="116">
        <v>117.15</v>
      </c>
      <c r="N2603" s="116">
        <v>119.46</v>
      </c>
      <c r="O2603" s="116">
        <v>116.47</v>
      </c>
      <c r="P2603" s="116">
        <v>117.9</v>
      </c>
      <c r="Q2603" s="116">
        <v>585.75</v>
      </c>
      <c r="R2603">
        <v>4546263</v>
      </c>
    </row>
    <row r="2604" spans="1:18" x14ac:dyDescent="0.25">
      <c r="A2604" s="170">
        <v>45839</v>
      </c>
      <c r="B2604" s="116">
        <v>121.38</v>
      </c>
      <c r="C2604" s="116">
        <v>118.31</v>
      </c>
      <c r="D2604" s="116">
        <v>117.24</v>
      </c>
      <c r="E2604" s="116">
        <v>117.24</v>
      </c>
      <c r="F2604" s="116">
        <v>591.54999999999995</v>
      </c>
      <c r="G2604">
        <v>1197788</v>
      </c>
      <c r="H2604" s="116"/>
      <c r="I2604" s="116"/>
      <c r="L2604" s="170">
        <v>45839</v>
      </c>
      <c r="M2604" s="116">
        <v>118.28</v>
      </c>
      <c r="N2604" s="116">
        <v>121.4</v>
      </c>
      <c r="O2604" s="116">
        <v>117.3</v>
      </c>
      <c r="P2604" s="116">
        <v>117.68</v>
      </c>
      <c r="Q2604" s="116">
        <v>591.4</v>
      </c>
      <c r="R2604">
        <v>8053058</v>
      </c>
    </row>
    <row r="2605" spans="1:18" x14ac:dyDescent="0.25">
      <c r="A2605" s="170">
        <v>45840</v>
      </c>
      <c r="B2605" s="116">
        <v>120.37</v>
      </c>
      <c r="C2605" s="116">
        <v>118.29</v>
      </c>
      <c r="D2605" s="116">
        <v>117.55</v>
      </c>
      <c r="E2605" s="116">
        <v>119</v>
      </c>
      <c r="F2605" s="116">
        <v>591.45000000000005</v>
      </c>
      <c r="G2605">
        <v>525655</v>
      </c>
      <c r="H2605" s="116"/>
      <c r="I2605" s="116"/>
      <c r="L2605" s="170">
        <v>45840</v>
      </c>
      <c r="M2605" s="116">
        <v>118.28</v>
      </c>
      <c r="N2605" s="116">
        <v>120.38</v>
      </c>
      <c r="O2605" s="116">
        <v>117.55</v>
      </c>
      <c r="P2605" s="116">
        <v>119.2</v>
      </c>
      <c r="Q2605" s="116">
        <v>591.4</v>
      </c>
      <c r="R2605">
        <v>4077961</v>
      </c>
    </row>
    <row r="2606" spans="1:18" x14ac:dyDescent="0.25">
      <c r="A2606" s="170">
        <v>45841</v>
      </c>
      <c r="B2606" s="116">
        <v>119.26</v>
      </c>
      <c r="C2606" s="116">
        <v>117.58</v>
      </c>
      <c r="D2606" s="116">
        <v>116.94</v>
      </c>
      <c r="E2606" s="116">
        <v>119.26</v>
      </c>
      <c r="F2606" s="116">
        <v>587.9</v>
      </c>
      <c r="G2606">
        <v>465178</v>
      </c>
      <c r="H2606" s="116"/>
      <c r="I2606" s="116"/>
      <c r="L2606" s="170">
        <v>45841</v>
      </c>
      <c r="M2606" s="116">
        <v>117.58</v>
      </c>
      <c r="N2606" s="116">
        <v>119.24</v>
      </c>
      <c r="O2606" s="116">
        <v>117</v>
      </c>
      <c r="P2606" s="116">
        <v>119</v>
      </c>
      <c r="Q2606" s="116">
        <v>587.9</v>
      </c>
      <c r="R2606">
        <v>3672802</v>
      </c>
    </row>
    <row r="2607" spans="1:18" x14ac:dyDescent="0.25">
      <c r="A2607" s="170">
        <v>45842</v>
      </c>
      <c r="B2607" s="116">
        <v>118.13</v>
      </c>
      <c r="C2607" s="116">
        <v>116.93</v>
      </c>
      <c r="D2607" s="116">
        <v>116.2</v>
      </c>
      <c r="E2607" s="116">
        <v>117.72</v>
      </c>
      <c r="F2607" s="116">
        <v>584.65</v>
      </c>
      <c r="G2607">
        <v>337050</v>
      </c>
      <c r="H2607" s="116"/>
      <c r="I2607" s="116"/>
      <c r="L2607" s="170">
        <v>45842</v>
      </c>
      <c r="M2607" s="116">
        <v>116.96</v>
      </c>
      <c r="N2607" s="116">
        <v>118.16</v>
      </c>
      <c r="O2607" s="116">
        <v>116.22</v>
      </c>
      <c r="P2607" s="116">
        <v>117.58</v>
      </c>
      <c r="Q2607" s="116">
        <v>584.79999999999995</v>
      </c>
      <c r="R2607">
        <v>2178560</v>
      </c>
    </row>
    <row r="2608" spans="1:18" x14ac:dyDescent="0.25">
      <c r="A2608" s="170">
        <v>45845</v>
      </c>
      <c r="B2608" s="116">
        <v>119.98</v>
      </c>
      <c r="C2608" s="116">
        <v>119.34</v>
      </c>
      <c r="D2608" s="116">
        <v>115.77</v>
      </c>
      <c r="E2608" s="116">
        <v>116.8</v>
      </c>
      <c r="F2608" s="116">
        <v>596.70000000000005</v>
      </c>
      <c r="G2608">
        <v>349392</v>
      </c>
      <c r="H2608" s="116"/>
      <c r="I2608" s="116"/>
      <c r="L2608" s="170">
        <v>45845</v>
      </c>
      <c r="M2608" s="116">
        <v>119.43</v>
      </c>
      <c r="N2608" s="116">
        <v>120</v>
      </c>
      <c r="O2608" s="116">
        <v>115.75</v>
      </c>
      <c r="P2608" s="116">
        <v>116.96</v>
      </c>
      <c r="Q2608" s="116">
        <v>597.15</v>
      </c>
      <c r="R2608">
        <v>4309258</v>
      </c>
    </row>
    <row r="2609" spans="1:18" x14ac:dyDescent="0.25">
      <c r="A2609" s="170">
        <v>45846</v>
      </c>
      <c r="B2609" s="116">
        <v>123</v>
      </c>
      <c r="C2609" s="116">
        <v>119.94</v>
      </c>
      <c r="D2609" s="116">
        <v>118.45</v>
      </c>
      <c r="E2609" s="116">
        <v>120.6</v>
      </c>
      <c r="F2609" s="116">
        <v>599.70000000000005</v>
      </c>
      <c r="G2609">
        <v>747435</v>
      </c>
      <c r="H2609" s="116"/>
      <c r="I2609" s="116"/>
      <c r="L2609" s="170">
        <v>45846</v>
      </c>
      <c r="M2609" s="116">
        <v>120</v>
      </c>
      <c r="N2609" s="116">
        <v>123</v>
      </c>
      <c r="O2609" s="116">
        <v>118.4</v>
      </c>
      <c r="P2609" s="116">
        <v>120.7</v>
      </c>
      <c r="Q2609" s="116">
        <v>600</v>
      </c>
      <c r="R2609">
        <v>9923368</v>
      </c>
    </row>
    <row r="2610" spans="1:18" x14ac:dyDescent="0.25">
      <c r="A2610" s="170">
        <v>45847</v>
      </c>
      <c r="B2610" s="116">
        <v>121.99</v>
      </c>
      <c r="C2610" s="116">
        <v>120.44</v>
      </c>
      <c r="D2610" s="116">
        <v>119.35</v>
      </c>
      <c r="E2610" s="116">
        <v>120.04</v>
      </c>
      <c r="F2610" s="116">
        <v>602.20000000000005</v>
      </c>
      <c r="G2610">
        <v>388057</v>
      </c>
      <c r="H2610" s="116"/>
      <c r="I2610" s="116"/>
      <c r="L2610" s="170">
        <v>45847</v>
      </c>
      <c r="M2610" s="116">
        <v>120.43</v>
      </c>
      <c r="N2610" s="116">
        <v>122</v>
      </c>
      <c r="O2610" s="116">
        <v>119.3</v>
      </c>
      <c r="P2610" s="116">
        <v>120.51</v>
      </c>
      <c r="Q2610" s="116">
        <v>602.15</v>
      </c>
      <c r="R2610">
        <v>5420153</v>
      </c>
    </row>
    <row r="2611" spans="1:18" x14ac:dyDescent="0.25">
      <c r="A2611" s="170">
        <v>45848</v>
      </c>
      <c r="B2611" s="116">
        <v>123.96</v>
      </c>
      <c r="C2611" s="116">
        <v>121.18</v>
      </c>
      <c r="D2611" s="116">
        <v>120.44</v>
      </c>
      <c r="E2611" s="116">
        <v>121.59</v>
      </c>
      <c r="F2611" s="116">
        <v>605.9</v>
      </c>
      <c r="G2611">
        <v>1503786</v>
      </c>
      <c r="H2611" s="116"/>
      <c r="I2611" s="116"/>
      <c r="L2611" s="170">
        <v>45848</v>
      </c>
      <c r="M2611" s="116">
        <v>121.16</v>
      </c>
      <c r="N2611" s="116">
        <v>124</v>
      </c>
      <c r="O2611" s="116">
        <v>120.42</v>
      </c>
      <c r="P2611" s="116">
        <v>120.88</v>
      </c>
      <c r="Q2611" s="116">
        <v>605.79999999999995</v>
      </c>
      <c r="R2611">
        <v>14938466</v>
      </c>
    </row>
    <row r="2612" spans="1:18" x14ac:dyDescent="0.25">
      <c r="A2612" s="170">
        <v>45849</v>
      </c>
      <c r="B2612" s="116">
        <v>122.4</v>
      </c>
      <c r="C2612" s="116">
        <v>120.81</v>
      </c>
      <c r="D2612" s="116">
        <v>120</v>
      </c>
      <c r="E2612" s="116">
        <v>121.45</v>
      </c>
      <c r="F2612" s="116">
        <v>604.04999999999995</v>
      </c>
      <c r="G2612">
        <v>571083</v>
      </c>
      <c r="H2612" s="116"/>
      <c r="I2612" s="116"/>
      <c r="L2612" s="170">
        <v>45849</v>
      </c>
      <c r="M2612" s="116">
        <v>120.79</v>
      </c>
      <c r="N2612" s="116">
        <v>122.4</v>
      </c>
      <c r="O2612" s="116">
        <v>120.07</v>
      </c>
      <c r="P2612" s="116">
        <v>121.4</v>
      </c>
      <c r="Q2612" s="116">
        <v>603.95000000000005</v>
      </c>
      <c r="R2612">
        <v>4047280</v>
      </c>
    </row>
    <row r="2613" spans="1:18" x14ac:dyDescent="0.25">
      <c r="A2613" s="170">
        <v>45852</v>
      </c>
      <c r="B2613" s="116">
        <v>123.86</v>
      </c>
      <c r="C2613" s="116">
        <v>121.9</v>
      </c>
      <c r="D2613" s="116">
        <v>120.42</v>
      </c>
      <c r="E2613" s="116">
        <v>120.81</v>
      </c>
      <c r="F2613" s="116">
        <v>609.5</v>
      </c>
      <c r="G2613">
        <v>935232</v>
      </c>
      <c r="H2613" s="116"/>
      <c r="I2613" s="116"/>
      <c r="L2613" s="170">
        <v>45852</v>
      </c>
      <c r="M2613" s="116">
        <v>121.91</v>
      </c>
      <c r="N2613" s="116">
        <v>123.86</v>
      </c>
      <c r="O2613" s="116">
        <v>120.45</v>
      </c>
      <c r="P2613" s="116">
        <v>120.82</v>
      </c>
      <c r="Q2613" s="116">
        <v>609.54999999999995</v>
      </c>
      <c r="R2613">
        <v>7403596</v>
      </c>
    </row>
    <row r="2614" spans="1:18" x14ac:dyDescent="0.25">
      <c r="A2614" s="170">
        <v>45853</v>
      </c>
      <c r="B2614" s="116">
        <v>123.57</v>
      </c>
      <c r="C2614" s="116">
        <v>121.62</v>
      </c>
      <c r="D2614" s="116">
        <v>121.2</v>
      </c>
      <c r="E2614" s="116">
        <v>123.57</v>
      </c>
      <c r="F2614" s="116">
        <v>608.1</v>
      </c>
      <c r="G2614">
        <v>381375</v>
      </c>
      <c r="H2614" s="116"/>
      <c r="I2614" s="116"/>
      <c r="L2614" s="170">
        <v>45853</v>
      </c>
      <c r="M2614" s="116">
        <v>121.62</v>
      </c>
      <c r="N2614" s="116">
        <v>123.2</v>
      </c>
      <c r="O2614" s="116">
        <v>121.14</v>
      </c>
      <c r="P2614" s="116">
        <v>122.58</v>
      </c>
      <c r="Q2614" s="116">
        <v>608.1</v>
      </c>
      <c r="R2614">
        <v>3884403</v>
      </c>
    </row>
    <row r="2615" spans="1:18" x14ac:dyDescent="0.25">
      <c r="A2615" s="170">
        <v>45854</v>
      </c>
      <c r="B2615" s="116">
        <v>122.81</v>
      </c>
      <c r="C2615" s="116">
        <v>120.94</v>
      </c>
      <c r="D2615" s="116">
        <v>120.62</v>
      </c>
      <c r="E2615" s="116">
        <v>122.27</v>
      </c>
      <c r="F2615" s="116">
        <v>604.70000000000005</v>
      </c>
      <c r="G2615">
        <v>438743</v>
      </c>
      <c r="H2615" s="116"/>
      <c r="I2615" s="116"/>
      <c r="L2615" s="170">
        <v>45854</v>
      </c>
      <c r="M2615" s="116">
        <v>120.97</v>
      </c>
      <c r="N2615" s="116">
        <v>122.86</v>
      </c>
      <c r="O2615" s="116">
        <v>120.6</v>
      </c>
      <c r="P2615" s="116">
        <v>121.98</v>
      </c>
      <c r="Q2615" s="116">
        <v>604.85</v>
      </c>
      <c r="R2615">
        <v>3709911</v>
      </c>
    </row>
    <row r="2616" spans="1:18" x14ac:dyDescent="0.25">
      <c r="A2616" s="170">
        <v>45855</v>
      </c>
      <c r="B2616" s="116">
        <v>121.74</v>
      </c>
      <c r="C2616" s="116">
        <v>119.7</v>
      </c>
      <c r="D2616" s="116">
        <v>119.46</v>
      </c>
      <c r="E2616" s="116">
        <v>121.66</v>
      </c>
      <c r="F2616" s="116">
        <v>598.5</v>
      </c>
      <c r="G2616">
        <v>224001</v>
      </c>
      <c r="H2616" s="116"/>
      <c r="I2616" s="116"/>
      <c r="L2616" s="170">
        <v>45855</v>
      </c>
      <c r="M2616" s="116">
        <v>119.73</v>
      </c>
      <c r="N2616" s="116">
        <v>121.73</v>
      </c>
      <c r="O2616" s="116">
        <v>119.5</v>
      </c>
      <c r="P2616" s="116">
        <v>121.49</v>
      </c>
      <c r="Q2616" s="116">
        <v>598.65</v>
      </c>
      <c r="R2616">
        <v>3515846</v>
      </c>
    </row>
    <row r="2617" spans="1:18" x14ac:dyDescent="0.25">
      <c r="A2617" s="170">
        <v>45856</v>
      </c>
      <c r="B2617" s="116">
        <v>119.8</v>
      </c>
      <c r="C2617" s="116">
        <v>118.9</v>
      </c>
      <c r="D2617" s="116">
        <v>117.69</v>
      </c>
      <c r="E2617" s="116">
        <v>119.73</v>
      </c>
      <c r="F2617" s="116">
        <v>594.5</v>
      </c>
      <c r="G2617">
        <v>218294</v>
      </c>
      <c r="H2617" s="116"/>
      <c r="I2617" s="116"/>
      <c r="L2617" s="170">
        <v>45856</v>
      </c>
      <c r="M2617" s="116">
        <v>118.93</v>
      </c>
      <c r="N2617" s="116">
        <v>119.88</v>
      </c>
      <c r="O2617" s="116">
        <v>117.69</v>
      </c>
      <c r="P2617" s="116">
        <v>119.72</v>
      </c>
      <c r="Q2617" s="116">
        <v>594.65</v>
      </c>
      <c r="R2617">
        <v>3104464</v>
      </c>
    </row>
    <row r="2618" spans="1:18" x14ac:dyDescent="0.25">
      <c r="A2618" s="170">
        <v>45859</v>
      </c>
      <c r="B2618" s="116">
        <v>120.74</v>
      </c>
      <c r="C2618" s="116">
        <v>119.36</v>
      </c>
      <c r="D2618" s="116">
        <v>118.24</v>
      </c>
      <c r="E2618" s="116">
        <v>119.46</v>
      </c>
      <c r="F2618" s="116">
        <v>596.79999999999995</v>
      </c>
      <c r="G2618">
        <v>150552</v>
      </c>
      <c r="H2618" s="116"/>
      <c r="I2618" s="116"/>
      <c r="L2618" s="170">
        <v>45859</v>
      </c>
      <c r="M2618" s="116">
        <v>119.32</v>
      </c>
      <c r="N2618" s="116">
        <v>120.7</v>
      </c>
      <c r="O2618" s="116">
        <v>118.22</v>
      </c>
      <c r="P2618" s="116">
        <v>119.2</v>
      </c>
      <c r="Q2618" s="116">
        <v>596.6</v>
      </c>
      <c r="R2618">
        <v>2043900</v>
      </c>
    </row>
    <row r="2619" spans="1:18" x14ac:dyDescent="0.25">
      <c r="A2619" s="170">
        <v>45860</v>
      </c>
      <c r="B2619" s="116">
        <v>120.25</v>
      </c>
      <c r="C2619" s="116">
        <v>118.2</v>
      </c>
      <c r="D2619" s="116">
        <v>117.6</v>
      </c>
      <c r="E2619" s="116">
        <v>119.7</v>
      </c>
      <c r="F2619" s="116">
        <v>591</v>
      </c>
      <c r="G2619">
        <v>221114</v>
      </c>
      <c r="H2619" s="116"/>
      <c r="I2619" s="116"/>
      <c r="L2619" s="170">
        <v>45860</v>
      </c>
      <c r="M2619" s="116">
        <v>118.11</v>
      </c>
      <c r="N2619" s="116">
        <v>120.29</v>
      </c>
      <c r="O2619" s="116">
        <v>117.4</v>
      </c>
      <c r="P2619" s="116">
        <v>119.82</v>
      </c>
      <c r="Q2619" s="116">
        <v>590.54999999999995</v>
      </c>
      <c r="R2619">
        <v>2078991</v>
      </c>
    </row>
    <row r="2620" spans="1:18" x14ac:dyDescent="0.25">
      <c r="A2620" s="170">
        <v>45861</v>
      </c>
      <c r="B2620" s="116">
        <v>119.19</v>
      </c>
      <c r="C2620" s="116">
        <v>117.79</v>
      </c>
      <c r="D2620" s="116">
        <v>117.5</v>
      </c>
      <c r="E2620" s="116">
        <v>118.6</v>
      </c>
      <c r="F2620" s="116">
        <v>588.95000000000005</v>
      </c>
      <c r="G2620">
        <v>278647</v>
      </c>
      <c r="H2620" s="116"/>
      <c r="I2620" s="116"/>
      <c r="L2620" s="170">
        <v>45861</v>
      </c>
      <c r="M2620" s="116">
        <v>117.79</v>
      </c>
      <c r="N2620" s="116">
        <v>119.24</v>
      </c>
      <c r="O2620" s="116">
        <v>117.43</v>
      </c>
      <c r="P2620" s="116">
        <v>118.56</v>
      </c>
      <c r="Q2620" s="116">
        <v>588.95000000000005</v>
      </c>
      <c r="R2620">
        <v>1920037</v>
      </c>
    </row>
    <row r="2621" spans="1:18" x14ac:dyDescent="0.25">
      <c r="A2621" s="170">
        <v>45862</v>
      </c>
      <c r="B2621" s="116">
        <v>118.59</v>
      </c>
      <c r="C2621" s="116">
        <v>117.14</v>
      </c>
      <c r="D2621" s="116">
        <v>116.66</v>
      </c>
      <c r="E2621" s="116">
        <v>118.03</v>
      </c>
      <c r="F2621" s="116">
        <v>585.70000000000005</v>
      </c>
      <c r="G2621">
        <v>334344</v>
      </c>
      <c r="H2621" s="116"/>
      <c r="I2621" s="116"/>
      <c r="L2621" s="170">
        <v>45862</v>
      </c>
      <c r="M2621" s="116">
        <v>117.15</v>
      </c>
      <c r="N2621" s="116">
        <v>118.58</v>
      </c>
      <c r="O2621" s="116">
        <v>116.66</v>
      </c>
      <c r="P2621" s="116">
        <v>118.16</v>
      </c>
      <c r="Q2621" s="116">
        <v>585.75</v>
      </c>
      <c r="R2621">
        <v>1631109</v>
      </c>
    </row>
    <row r="2622" spans="1:18" x14ac:dyDescent="0.25">
      <c r="A2622" s="170">
        <v>45863</v>
      </c>
      <c r="B2622" s="116">
        <v>116.8</v>
      </c>
      <c r="C2622" s="116">
        <v>114.03</v>
      </c>
      <c r="D2622" s="116">
        <v>113.7</v>
      </c>
      <c r="E2622" s="116">
        <v>116.42</v>
      </c>
      <c r="F2622" s="116">
        <v>570.15</v>
      </c>
      <c r="G2622">
        <v>125831</v>
      </c>
      <c r="H2622" s="116"/>
      <c r="I2622" s="116"/>
      <c r="L2622" s="170">
        <v>45863</v>
      </c>
      <c r="M2622" s="116">
        <v>114</v>
      </c>
      <c r="N2622" s="116">
        <v>116.88</v>
      </c>
      <c r="O2622" s="116">
        <v>113.6</v>
      </c>
      <c r="P2622" s="116">
        <v>116.78</v>
      </c>
      <c r="Q2622" s="116">
        <v>570</v>
      </c>
      <c r="R2622">
        <v>2300573</v>
      </c>
    </row>
    <row r="2623" spans="1:18" x14ac:dyDescent="0.25">
      <c r="A2623" s="170">
        <v>45866</v>
      </c>
      <c r="B2623" s="116">
        <v>115.35</v>
      </c>
      <c r="C2623" s="116">
        <v>114.12</v>
      </c>
      <c r="D2623" s="116">
        <v>112.21</v>
      </c>
      <c r="E2623" s="116">
        <v>113.84</v>
      </c>
      <c r="F2623" s="116">
        <v>570.6</v>
      </c>
      <c r="G2623">
        <v>365885</v>
      </c>
      <c r="H2623" s="116"/>
      <c r="I2623" s="116"/>
      <c r="L2623" s="170">
        <v>45866</v>
      </c>
      <c r="M2623" s="116">
        <v>114.13</v>
      </c>
      <c r="N2623" s="116">
        <v>115.39</v>
      </c>
      <c r="O2623" s="116">
        <v>112.2</v>
      </c>
      <c r="P2623" s="116">
        <v>113.96</v>
      </c>
      <c r="Q2623" s="116">
        <v>570.65</v>
      </c>
      <c r="R2623">
        <v>2682244</v>
      </c>
    </row>
    <row r="2624" spans="1:18" x14ac:dyDescent="0.25">
      <c r="A2624" s="170">
        <v>45867</v>
      </c>
      <c r="B2624" s="116">
        <v>118.95</v>
      </c>
      <c r="C2624" s="116">
        <v>118.51</v>
      </c>
      <c r="D2624" s="116">
        <v>113.27</v>
      </c>
      <c r="E2624" s="116">
        <v>114.12</v>
      </c>
      <c r="F2624" s="116">
        <v>592.54999999999995</v>
      </c>
      <c r="G2624">
        <v>349523</v>
      </c>
      <c r="H2624" s="116"/>
      <c r="I2624" s="116"/>
      <c r="L2624" s="170">
        <v>45867</v>
      </c>
      <c r="M2624" s="116">
        <v>118.51</v>
      </c>
      <c r="N2624" s="116">
        <v>118.94</v>
      </c>
      <c r="O2624" s="116">
        <v>113.26</v>
      </c>
      <c r="P2624" s="116">
        <v>114</v>
      </c>
      <c r="Q2624" s="116">
        <v>592.54999999999995</v>
      </c>
      <c r="R2624">
        <v>5170536</v>
      </c>
    </row>
    <row r="2625" spans="1:18" x14ac:dyDescent="0.25">
      <c r="A2625" s="170">
        <v>45868</v>
      </c>
      <c r="B2625" s="116">
        <v>120.39</v>
      </c>
      <c r="C2625" s="116">
        <v>117.91</v>
      </c>
      <c r="D2625" s="116">
        <v>117.41</v>
      </c>
      <c r="E2625" s="116">
        <v>119</v>
      </c>
      <c r="F2625" s="116">
        <v>589.54999999999995</v>
      </c>
      <c r="G2625">
        <v>363199</v>
      </c>
      <c r="H2625" s="116"/>
      <c r="I2625" s="116"/>
      <c r="L2625" s="170">
        <v>45868</v>
      </c>
      <c r="M2625" s="116">
        <v>117.94</v>
      </c>
      <c r="N2625" s="116">
        <v>120.46</v>
      </c>
      <c r="O2625" s="116">
        <v>117.42</v>
      </c>
      <c r="P2625" s="116">
        <v>118.8</v>
      </c>
      <c r="Q2625" s="116">
        <v>589.70000000000005</v>
      </c>
      <c r="R2625">
        <v>2911869</v>
      </c>
    </row>
    <row r="2626" spans="1:18" x14ac:dyDescent="0.25">
      <c r="A2626" s="170">
        <v>45869</v>
      </c>
      <c r="B2626" s="116">
        <v>118.35</v>
      </c>
      <c r="C2626" s="116">
        <v>117.48</v>
      </c>
      <c r="D2626" s="116">
        <v>114.34</v>
      </c>
      <c r="E2626" s="116">
        <v>114.34</v>
      </c>
      <c r="F2626" s="116">
        <v>587.4</v>
      </c>
      <c r="G2626">
        <v>188986</v>
      </c>
      <c r="H2626" s="116"/>
      <c r="I2626" s="116"/>
      <c r="L2626" s="170">
        <v>45869</v>
      </c>
      <c r="M2626" s="116">
        <v>117.62</v>
      </c>
      <c r="N2626" s="116">
        <v>118.38</v>
      </c>
      <c r="O2626" s="116">
        <v>115.46</v>
      </c>
      <c r="P2626" s="116">
        <v>116</v>
      </c>
      <c r="Q2626" s="116">
        <v>588.1</v>
      </c>
      <c r="R2626">
        <v>2546236</v>
      </c>
    </row>
    <row r="2627" spans="1:18" x14ac:dyDescent="0.25">
      <c r="A2627" s="170">
        <v>45870</v>
      </c>
      <c r="B2627" s="116">
        <v>118.6</v>
      </c>
      <c r="C2627" s="116">
        <v>113.35</v>
      </c>
      <c r="D2627" s="116">
        <v>112.82</v>
      </c>
      <c r="E2627" s="116">
        <v>117.47</v>
      </c>
      <c r="F2627" s="116">
        <v>566.75</v>
      </c>
      <c r="G2627">
        <v>532022</v>
      </c>
      <c r="H2627" s="116"/>
      <c r="I2627" s="116"/>
      <c r="L2627" s="170">
        <v>45870</v>
      </c>
      <c r="M2627" s="116">
        <v>113.4</v>
      </c>
      <c r="N2627" s="116">
        <v>118.59</v>
      </c>
      <c r="O2627" s="116">
        <v>112.8</v>
      </c>
      <c r="P2627" s="116">
        <v>117.6</v>
      </c>
      <c r="Q2627" s="116">
        <v>567</v>
      </c>
      <c r="R2627">
        <v>6214960</v>
      </c>
    </row>
    <row r="2628" spans="1:18" x14ac:dyDescent="0.25">
      <c r="A2628" s="170">
        <v>45873</v>
      </c>
      <c r="B2628" s="116">
        <v>117.6</v>
      </c>
      <c r="C2628" s="116">
        <v>116.9</v>
      </c>
      <c r="D2628" s="116">
        <v>112.84</v>
      </c>
      <c r="E2628" s="116">
        <v>113.41</v>
      </c>
      <c r="F2628" s="116">
        <v>584.5</v>
      </c>
      <c r="G2628">
        <v>255199</v>
      </c>
      <c r="H2628" s="116"/>
      <c r="I2628" s="116"/>
      <c r="L2628" s="170">
        <v>45873</v>
      </c>
      <c r="M2628" s="116">
        <v>116.8</v>
      </c>
      <c r="N2628" s="116">
        <v>117.54</v>
      </c>
      <c r="O2628" s="116">
        <v>112.83</v>
      </c>
      <c r="P2628" s="116">
        <v>113.4</v>
      </c>
      <c r="Q2628" s="116">
        <v>584</v>
      </c>
      <c r="R2628">
        <v>2735010</v>
      </c>
    </row>
    <row r="2629" spans="1:18" x14ac:dyDescent="0.25">
      <c r="A2629" s="170">
        <v>45874</v>
      </c>
      <c r="B2629" s="116">
        <v>116.98</v>
      </c>
      <c r="C2629" s="116">
        <v>115.88</v>
      </c>
      <c r="D2629" s="116">
        <v>115.18</v>
      </c>
      <c r="E2629" s="116">
        <v>116.98</v>
      </c>
      <c r="F2629" s="116">
        <v>579.4</v>
      </c>
      <c r="G2629">
        <v>210661</v>
      </c>
      <c r="H2629" s="116"/>
      <c r="I2629" s="116"/>
      <c r="L2629" s="170">
        <v>45874</v>
      </c>
      <c r="M2629" s="116">
        <v>115.9</v>
      </c>
      <c r="N2629" s="116">
        <v>116.82</v>
      </c>
      <c r="O2629" s="116">
        <v>115.16</v>
      </c>
      <c r="P2629" s="116">
        <v>116.8</v>
      </c>
      <c r="Q2629" s="116">
        <v>579.5</v>
      </c>
      <c r="R2629">
        <v>1519871</v>
      </c>
    </row>
    <row r="2630" spans="1:18" x14ac:dyDescent="0.25">
      <c r="A2630" s="170">
        <v>45875</v>
      </c>
      <c r="B2630" s="116">
        <v>116.4</v>
      </c>
      <c r="C2630" s="116">
        <v>113.38</v>
      </c>
      <c r="D2630" s="116">
        <v>113</v>
      </c>
      <c r="E2630" s="116">
        <v>115.88</v>
      </c>
      <c r="F2630" s="116">
        <v>566.9</v>
      </c>
      <c r="G2630">
        <v>209548</v>
      </c>
      <c r="H2630" s="116"/>
      <c r="I2630" s="116"/>
      <c r="L2630" s="170">
        <v>45875</v>
      </c>
      <c r="M2630" s="116">
        <v>113.49</v>
      </c>
      <c r="N2630" s="116">
        <v>116.39</v>
      </c>
      <c r="O2630" s="116">
        <v>113.12</v>
      </c>
      <c r="P2630" s="116">
        <v>115.99</v>
      </c>
      <c r="Q2630" s="116">
        <v>567.45000000000005</v>
      </c>
      <c r="R2630">
        <v>1520912</v>
      </c>
    </row>
    <row r="2631" spans="1:18" x14ac:dyDescent="0.25">
      <c r="A2631" s="170">
        <v>45876</v>
      </c>
      <c r="B2631" s="116">
        <v>116.38</v>
      </c>
      <c r="C2631" s="116">
        <v>115.7</v>
      </c>
      <c r="D2631" s="116">
        <v>110.47</v>
      </c>
      <c r="E2631" s="116">
        <v>112.76</v>
      </c>
      <c r="F2631" s="116">
        <v>578.5</v>
      </c>
      <c r="G2631">
        <v>438537</v>
      </c>
      <c r="H2631" s="116"/>
      <c r="I2631" s="116"/>
      <c r="L2631" s="170">
        <v>45876</v>
      </c>
      <c r="M2631" s="116">
        <v>115.79</v>
      </c>
      <c r="N2631" s="116">
        <v>116.4</v>
      </c>
      <c r="O2631" s="116">
        <v>110.45</v>
      </c>
      <c r="P2631" s="116">
        <v>112.22</v>
      </c>
      <c r="Q2631" s="116">
        <v>578.95000000000005</v>
      </c>
      <c r="R2631">
        <v>7148701</v>
      </c>
    </row>
    <row r="2632" spans="1:18" x14ac:dyDescent="0.25">
      <c r="A2632" s="170">
        <v>45877</v>
      </c>
      <c r="B2632" s="116">
        <v>116.66</v>
      </c>
      <c r="C2632" s="116">
        <v>115.33</v>
      </c>
      <c r="D2632" s="116">
        <v>114.77</v>
      </c>
      <c r="E2632" s="116">
        <v>116.28</v>
      </c>
      <c r="F2632" s="116">
        <v>576.65</v>
      </c>
      <c r="G2632">
        <v>134451</v>
      </c>
      <c r="H2632" s="116"/>
      <c r="I2632" s="116"/>
      <c r="L2632" s="170">
        <v>45877</v>
      </c>
      <c r="M2632" s="116">
        <v>115.38</v>
      </c>
      <c r="N2632" s="116">
        <v>116.66</v>
      </c>
      <c r="O2632" s="116">
        <v>114.8</v>
      </c>
      <c r="P2632" s="116">
        <v>116.4</v>
      </c>
      <c r="Q2632" s="116">
        <v>576.9</v>
      </c>
      <c r="R2632">
        <v>2568412</v>
      </c>
    </row>
    <row r="2633" spans="1:18" x14ac:dyDescent="0.25">
      <c r="A2633" s="170">
        <v>45880</v>
      </c>
      <c r="B2633" s="116">
        <v>119.7</v>
      </c>
      <c r="C2633" s="116">
        <v>118.74</v>
      </c>
      <c r="D2633" s="116">
        <v>114.24</v>
      </c>
      <c r="E2633" s="116">
        <v>115.5</v>
      </c>
      <c r="F2633" s="116">
        <v>593.70000000000005</v>
      </c>
      <c r="G2633">
        <v>200816</v>
      </c>
      <c r="H2633" s="116"/>
      <c r="I2633" s="116"/>
      <c r="L2633" s="170">
        <v>45880</v>
      </c>
      <c r="M2633" s="116">
        <v>118.78</v>
      </c>
      <c r="N2633" s="116">
        <v>119.8</v>
      </c>
      <c r="O2633" s="116">
        <v>114.24</v>
      </c>
      <c r="P2633" s="116">
        <v>115.38</v>
      </c>
      <c r="Q2633" s="116">
        <v>593.9</v>
      </c>
      <c r="R2633">
        <v>3030490</v>
      </c>
    </row>
    <row r="2634" spans="1:18" x14ac:dyDescent="0.25">
      <c r="A2634" s="170">
        <v>45881</v>
      </c>
      <c r="B2634" s="116">
        <v>119.69</v>
      </c>
      <c r="C2634" s="116">
        <v>118.25</v>
      </c>
      <c r="D2634" s="116">
        <v>117.87</v>
      </c>
      <c r="E2634" s="116">
        <v>119.4</v>
      </c>
      <c r="F2634" s="116">
        <v>591.25</v>
      </c>
      <c r="G2634">
        <v>164440</v>
      </c>
      <c r="H2634" s="116"/>
      <c r="I2634" s="116"/>
      <c r="L2634" s="170">
        <v>45881</v>
      </c>
      <c r="M2634" s="116">
        <v>118.3</v>
      </c>
      <c r="N2634" s="116">
        <v>119.68</v>
      </c>
      <c r="O2634" s="116">
        <v>117.84</v>
      </c>
      <c r="P2634" s="116">
        <v>119.05</v>
      </c>
      <c r="Q2634" s="116">
        <v>591.5</v>
      </c>
      <c r="R2634">
        <v>2282587</v>
      </c>
    </row>
    <row r="2635" spans="1:18" x14ac:dyDescent="0.25">
      <c r="A2635" s="170">
        <v>45882</v>
      </c>
      <c r="B2635" s="116">
        <v>118.98</v>
      </c>
      <c r="C2635" s="116">
        <v>117.15</v>
      </c>
      <c r="D2635" s="116">
        <v>116.67</v>
      </c>
      <c r="E2635" s="116">
        <v>118.79</v>
      </c>
      <c r="F2635" s="116">
        <v>585.75</v>
      </c>
      <c r="G2635">
        <v>125145</v>
      </c>
      <c r="H2635" s="116"/>
      <c r="I2635" s="116"/>
      <c r="L2635" s="170">
        <v>45882</v>
      </c>
      <c r="M2635" s="116">
        <v>117.12</v>
      </c>
      <c r="N2635" s="116">
        <v>118.96</v>
      </c>
      <c r="O2635" s="116">
        <v>116.7</v>
      </c>
      <c r="P2635" s="116">
        <v>118.96</v>
      </c>
      <c r="Q2635" s="116">
        <v>585.6</v>
      </c>
      <c r="R2635">
        <v>1804693</v>
      </c>
    </row>
    <row r="2636" spans="1:18" x14ac:dyDescent="0.25">
      <c r="A2636" s="170">
        <v>45883</v>
      </c>
      <c r="B2636" s="116">
        <v>117.87</v>
      </c>
      <c r="C2636" s="116">
        <v>116.8</v>
      </c>
      <c r="D2636" s="116">
        <v>116.26</v>
      </c>
      <c r="E2636" s="116">
        <v>117.16</v>
      </c>
      <c r="F2636" s="116">
        <v>584</v>
      </c>
      <c r="G2636">
        <v>153639</v>
      </c>
      <c r="H2636" s="116"/>
      <c r="I2636" s="116"/>
      <c r="L2636" s="170">
        <v>45883</v>
      </c>
      <c r="M2636" s="116">
        <v>116.81</v>
      </c>
      <c r="N2636" s="116">
        <v>117.89</v>
      </c>
      <c r="O2636" s="116">
        <v>116.22</v>
      </c>
      <c r="P2636" s="116">
        <v>117.38</v>
      </c>
      <c r="Q2636" s="116">
        <v>584.04999999999995</v>
      </c>
      <c r="R2636">
        <v>961767</v>
      </c>
    </row>
    <row r="2637" spans="1:18" x14ac:dyDescent="0.25">
      <c r="A2637" s="170">
        <v>45887</v>
      </c>
      <c r="B2637" s="116">
        <v>120.36</v>
      </c>
      <c r="C2637" s="116">
        <v>119.71</v>
      </c>
      <c r="D2637" s="116">
        <v>117.31</v>
      </c>
      <c r="E2637" s="116">
        <v>118</v>
      </c>
      <c r="F2637" s="116">
        <v>598.54999999999995</v>
      </c>
      <c r="G2637">
        <v>231427</v>
      </c>
      <c r="H2637" s="116"/>
      <c r="I2637" s="116"/>
      <c r="L2637" s="170">
        <v>45887</v>
      </c>
      <c r="M2637" s="116">
        <v>119.75</v>
      </c>
      <c r="N2637" s="116">
        <v>120.3</v>
      </c>
      <c r="O2637" s="116">
        <v>117.3</v>
      </c>
      <c r="P2637" s="116">
        <v>118.02</v>
      </c>
      <c r="Q2637" s="116">
        <v>598.75</v>
      </c>
      <c r="R2637">
        <v>3212796</v>
      </c>
    </row>
    <row r="2638" spans="1:18" x14ac:dyDescent="0.25">
      <c r="A2638" s="170">
        <v>45888</v>
      </c>
      <c r="B2638" s="116">
        <v>121.6</v>
      </c>
      <c r="C2638" s="116">
        <v>121.25</v>
      </c>
      <c r="D2638" s="116">
        <v>119.28</v>
      </c>
      <c r="E2638" s="116">
        <v>119.93</v>
      </c>
      <c r="F2638" s="116">
        <v>606.25</v>
      </c>
      <c r="G2638">
        <v>305946</v>
      </c>
      <c r="H2638" s="116"/>
      <c r="I2638" s="116"/>
      <c r="L2638" s="170">
        <v>45888</v>
      </c>
      <c r="M2638" s="116">
        <v>121.2</v>
      </c>
      <c r="N2638" s="116">
        <v>121.6</v>
      </c>
      <c r="O2638" s="116">
        <v>119.26</v>
      </c>
      <c r="P2638" s="116">
        <v>119.8</v>
      </c>
      <c r="Q2638" s="116">
        <v>606</v>
      </c>
      <c r="R2638">
        <v>2817641</v>
      </c>
    </row>
    <row r="2639" spans="1:18" x14ac:dyDescent="0.25">
      <c r="A2639" s="170">
        <v>45889</v>
      </c>
      <c r="B2639" s="116">
        <v>121.51</v>
      </c>
      <c r="C2639" s="116">
        <v>120.04</v>
      </c>
      <c r="D2639" s="116">
        <v>119.4</v>
      </c>
      <c r="E2639" s="116">
        <v>121.14</v>
      </c>
      <c r="F2639" s="116">
        <v>600.20000000000005</v>
      </c>
      <c r="G2639">
        <v>302279</v>
      </c>
      <c r="H2639" s="116"/>
      <c r="I2639" s="116"/>
      <c r="L2639" s="170">
        <v>45889</v>
      </c>
      <c r="M2639" s="116">
        <v>119.99</v>
      </c>
      <c r="N2639" s="116">
        <v>121.47</v>
      </c>
      <c r="O2639" s="116">
        <v>119.02</v>
      </c>
      <c r="P2639" s="116">
        <v>120.79</v>
      </c>
      <c r="Q2639" s="116">
        <v>599.95000000000005</v>
      </c>
      <c r="R2639">
        <v>1401803</v>
      </c>
    </row>
    <row r="2640" spans="1:18" x14ac:dyDescent="0.25">
      <c r="A2640" s="170">
        <v>45890</v>
      </c>
      <c r="B2640" s="116">
        <v>120.82</v>
      </c>
      <c r="C2640" s="116">
        <v>119.21</v>
      </c>
      <c r="D2640" s="116">
        <v>119</v>
      </c>
      <c r="E2640" s="116">
        <v>119.86</v>
      </c>
      <c r="F2640" s="116">
        <v>596.04999999999995</v>
      </c>
      <c r="G2640">
        <v>253614</v>
      </c>
      <c r="H2640" s="116"/>
      <c r="I2640" s="116"/>
      <c r="L2640" s="170">
        <v>45890</v>
      </c>
      <c r="M2640" s="116">
        <v>119.24</v>
      </c>
      <c r="N2640" s="116">
        <v>120.8</v>
      </c>
      <c r="O2640" s="116">
        <v>119.05</v>
      </c>
      <c r="P2640" s="116">
        <v>120.18</v>
      </c>
      <c r="Q2640" s="116">
        <v>596.20000000000005</v>
      </c>
      <c r="R2640">
        <v>994335</v>
      </c>
    </row>
    <row r="2641" spans="1:18" x14ac:dyDescent="0.25">
      <c r="A2641" s="170">
        <v>45891</v>
      </c>
      <c r="B2641" s="116">
        <v>120.6</v>
      </c>
      <c r="C2641" s="116">
        <v>118.85</v>
      </c>
      <c r="D2641" s="116">
        <v>118.41</v>
      </c>
      <c r="E2641" s="116">
        <v>119.53</v>
      </c>
      <c r="F2641" s="116">
        <v>594.25</v>
      </c>
      <c r="G2641">
        <v>156305</v>
      </c>
      <c r="H2641" s="116"/>
      <c r="I2641" s="116"/>
      <c r="L2641" s="170">
        <v>45891</v>
      </c>
      <c r="M2641" s="116">
        <v>118.86</v>
      </c>
      <c r="N2641" s="116">
        <v>120.59</v>
      </c>
      <c r="O2641" s="116">
        <v>118.4</v>
      </c>
      <c r="P2641" s="116">
        <v>119.4</v>
      </c>
      <c r="Q2641" s="116">
        <v>594.29999999999995</v>
      </c>
      <c r="R2641">
        <v>1276557</v>
      </c>
    </row>
    <row r="2642" spans="1:18" x14ac:dyDescent="0.25">
      <c r="A2642" s="170">
        <v>45894</v>
      </c>
      <c r="B2642" s="116">
        <v>121.58</v>
      </c>
      <c r="C2642" s="116">
        <v>121.08</v>
      </c>
      <c r="D2642" s="116">
        <v>118.02</v>
      </c>
      <c r="E2642" s="116">
        <v>118.43</v>
      </c>
      <c r="F2642" s="116">
        <v>605.4</v>
      </c>
      <c r="G2642">
        <v>163459</v>
      </c>
      <c r="H2642" s="116"/>
      <c r="I2642" s="116"/>
      <c r="L2642" s="170">
        <v>45894</v>
      </c>
      <c r="M2642" s="116">
        <v>121.13</v>
      </c>
      <c r="N2642" s="116">
        <v>121.6</v>
      </c>
      <c r="O2642" s="116">
        <v>118.02</v>
      </c>
      <c r="P2642" s="116">
        <v>119.03</v>
      </c>
      <c r="Q2642" s="116">
        <v>605.65</v>
      </c>
      <c r="R2642">
        <v>2687589</v>
      </c>
    </row>
    <row r="2643" spans="1:18" x14ac:dyDescent="0.25">
      <c r="A2643" s="170">
        <v>45895</v>
      </c>
      <c r="B2643" s="116">
        <v>121</v>
      </c>
      <c r="C2643" s="116">
        <v>118.36</v>
      </c>
      <c r="D2643" s="116">
        <v>118</v>
      </c>
      <c r="E2643" s="116">
        <v>120.84</v>
      </c>
      <c r="F2643" s="116">
        <v>591.79999999999995</v>
      </c>
      <c r="G2643">
        <v>119152</v>
      </c>
      <c r="H2643" s="116"/>
      <c r="I2643" s="116"/>
      <c r="L2643" s="170">
        <v>45895</v>
      </c>
      <c r="M2643" s="116">
        <v>118.42</v>
      </c>
      <c r="N2643" s="116">
        <v>121</v>
      </c>
      <c r="O2643" s="116">
        <v>118</v>
      </c>
      <c r="P2643" s="116">
        <v>120.98</v>
      </c>
      <c r="Q2643" s="116">
        <v>592.1</v>
      </c>
      <c r="R2643">
        <v>2259169</v>
      </c>
    </row>
    <row r="2644" spans="1:18" x14ac:dyDescent="0.25">
      <c r="A2644" s="170">
        <v>45897</v>
      </c>
      <c r="B2644" s="116">
        <v>121.37</v>
      </c>
      <c r="C2644" s="116">
        <v>119.05</v>
      </c>
      <c r="D2644" s="116">
        <v>117.05</v>
      </c>
      <c r="E2644" s="116">
        <v>118.08</v>
      </c>
      <c r="F2644" s="116">
        <v>595.25</v>
      </c>
      <c r="G2644">
        <v>204085</v>
      </c>
      <c r="H2644" s="116"/>
      <c r="I2644" s="116"/>
      <c r="L2644" s="170">
        <v>45897</v>
      </c>
      <c r="M2644" s="116">
        <v>118.99</v>
      </c>
      <c r="N2644" s="116">
        <v>121.38</v>
      </c>
      <c r="O2644" s="116">
        <v>117.04</v>
      </c>
      <c r="P2644" s="116">
        <v>118</v>
      </c>
      <c r="Q2644" s="116">
        <v>594.95000000000005</v>
      </c>
      <c r="R2644">
        <v>2803843</v>
      </c>
    </row>
    <row r="2645" spans="1:18" x14ac:dyDescent="0.25">
      <c r="A2645" s="170">
        <v>45898</v>
      </c>
      <c r="B2645" s="116">
        <v>120.6</v>
      </c>
      <c r="C2645" s="116">
        <v>120.15</v>
      </c>
      <c r="D2645" s="116">
        <v>116.67</v>
      </c>
      <c r="E2645" s="116">
        <v>119.6</v>
      </c>
      <c r="F2645" s="116">
        <v>600.75</v>
      </c>
      <c r="G2645">
        <v>332603</v>
      </c>
      <c r="H2645" s="116"/>
      <c r="I2645" s="116"/>
      <c r="L2645" s="170">
        <v>45898</v>
      </c>
      <c r="M2645" s="116">
        <v>120.13</v>
      </c>
      <c r="N2645" s="116">
        <v>120.64</v>
      </c>
      <c r="O2645" s="116">
        <v>116.7</v>
      </c>
      <c r="P2645" s="116">
        <v>119.68</v>
      </c>
      <c r="Q2645" s="116">
        <v>600.65</v>
      </c>
      <c r="R2645">
        <v>3619098</v>
      </c>
    </row>
    <row r="2646" spans="1:18" x14ac:dyDescent="0.25">
      <c r="A2646" s="170">
        <v>45901</v>
      </c>
      <c r="B2646" s="116">
        <v>122.96</v>
      </c>
      <c r="C2646" s="116">
        <v>121.34</v>
      </c>
      <c r="D2646" s="116">
        <v>120.67</v>
      </c>
      <c r="E2646" s="116">
        <v>121.2</v>
      </c>
      <c r="F2646" s="116">
        <v>606.70000000000005</v>
      </c>
      <c r="G2646">
        <v>465089</v>
      </c>
      <c r="H2646" s="116"/>
      <c r="I2646" s="116"/>
      <c r="L2646" s="170">
        <v>45901</v>
      </c>
      <c r="M2646" s="116">
        <v>121.37</v>
      </c>
      <c r="N2646" s="116">
        <v>123</v>
      </c>
      <c r="O2646" s="116">
        <v>120.64</v>
      </c>
      <c r="P2646" s="116">
        <v>121.18</v>
      </c>
      <c r="Q2646" s="116">
        <v>606.85</v>
      </c>
      <c r="R2646">
        <v>3328357</v>
      </c>
    </row>
    <row r="2647" spans="1:18" x14ac:dyDescent="0.25">
      <c r="A2647" s="170">
        <v>45902</v>
      </c>
      <c r="B2647" s="116">
        <v>122.4</v>
      </c>
      <c r="C2647" s="116">
        <v>121.58</v>
      </c>
      <c r="D2647" s="116">
        <v>120.23</v>
      </c>
      <c r="E2647" s="116">
        <v>122.4</v>
      </c>
      <c r="F2647" s="116">
        <v>607.9</v>
      </c>
      <c r="G2647">
        <v>170080</v>
      </c>
      <c r="H2647" s="116"/>
      <c r="I2647" s="116"/>
      <c r="L2647" s="170">
        <v>45902</v>
      </c>
      <c r="M2647" s="116">
        <v>121.67</v>
      </c>
      <c r="N2647" s="116">
        <v>122.34</v>
      </c>
      <c r="O2647" s="116">
        <v>120.3</v>
      </c>
      <c r="P2647" s="116">
        <v>122.34</v>
      </c>
      <c r="Q2647" s="116">
        <v>608.35</v>
      </c>
      <c r="R2647">
        <v>2150899</v>
      </c>
    </row>
    <row r="2648" spans="1:18" x14ac:dyDescent="0.25">
      <c r="A2648" s="170">
        <v>45903</v>
      </c>
      <c r="B2648" s="116">
        <v>123.27</v>
      </c>
      <c r="C2648" s="116">
        <v>121.84</v>
      </c>
      <c r="D2648" s="116">
        <v>121</v>
      </c>
      <c r="E2648" s="116">
        <v>121.9</v>
      </c>
      <c r="F2648" s="116">
        <v>609.20000000000005</v>
      </c>
      <c r="G2648">
        <v>238126</v>
      </c>
      <c r="H2648" s="116"/>
      <c r="I2648" s="116"/>
      <c r="L2648" s="170">
        <v>45903</v>
      </c>
      <c r="M2648" s="116">
        <v>121.86</v>
      </c>
      <c r="N2648" s="116">
        <v>123.2</v>
      </c>
      <c r="O2648" s="116">
        <v>120.94</v>
      </c>
      <c r="P2648" s="116">
        <v>122.2</v>
      </c>
      <c r="Q2648" s="116">
        <v>609.29999999999995</v>
      </c>
      <c r="R2648">
        <v>3070468</v>
      </c>
    </row>
    <row r="2649" spans="1:18" x14ac:dyDescent="0.25">
      <c r="A2649" s="170">
        <v>45904</v>
      </c>
      <c r="B2649" s="116">
        <v>123.1</v>
      </c>
      <c r="C2649" s="116">
        <v>121.7</v>
      </c>
      <c r="D2649" s="116">
        <v>121.25</v>
      </c>
      <c r="E2649" s="116">
        <v>122.26</v>
      </c>
      <c r="F2649" s="116">
        <v>608.5</v>
      </c>
      <c r="G2649">
        <v>114023</v>
      </c>
      <c r="H2649" s="116"/>
      <c r="I2649" s="116"/>
      <c r="L2649" s="170">
        <v>45904</v>
      </c>
      <c r="M2649" s="116">
        <v>121.74</v>
      </c>
      <c r="N2649" s="116">
        <v>123.12</v>
      </c>
      <c r="O2649" s="116">
        <v>121.31</v>
      </c>
      <c r="P2649" s="116">
        <v>122.6</v>
      </c>
      <c r="Q2649" s="116">
        <v>608.70000000000005</v>
      </c>
      <c r="R2649">
        <v>1819617</v>
      </c>
    </row>
    <row r="2650" spans="1:18" x14ac:dyDescent="0.25">
      <c r="A2650" s="170">
        <v>45905</v>
      </c>
      <c r="B2650" s="116">
        <v>122.85</v>
      </c>
      <c r="C2650" s="116">
        <v>121.96</v>
      </c>
      <c r="D2650" s="116">
        <v>120.36</v>
      </c>
      <c r="E2650" s="116">
        <v>121.98</v>
      </c>
      <c r="F2650" s="116">
        <v>609.79999999999995</v>
      </c>
      <c r="G2650">
        <v>159690</v>
      </c>
      <c r="H2650" s="116"/>
      <c r="I2650" s="116"/>
      <c r="L2650" s="170">
        <v>45905</v>
      </c>
      <c r="M2650" s="116">
        <v>121.94</v>
      </c>
      <c r="N2650" s="116">
        <v>122.88</v>
      </c>
      <c r="O2650" s="116">
        <v>120.4</v>
      </c>
      <c r="P2650" s="116">
        <v>121.59</v>
      </c>
      <c r="Q2650" s="116">
        <v>609.70000000000005</v>
      </c>
      <c r="R2650">
        <v>1994479</v>
      </c>
    </row>
    <row r="2651" spans="1:18" x14ac:dyDescent="0.25">
      <c r="A2651" s="170">
        <v>45908</v>
      </c>
      <c r="B2651" s="116">
        <v>129.84</v>
      </c>
      <c r="C2651" s="116">
        <v>126.75</v>
      </c>
      <c r="D2651" s="116">
        <v>122.94</v>
      </c>
      <c r="E2651" s="116">
        <v>123.31</v>
      </c>
      <c r="F2651" s="116">
        <v>633.75</v>
      </c>
      <c r="G2651">
        <v>2105415</v>
      </c>
      <c r="H2651" s="116"/>
      <c r="I2651" s="116"/>
      <c r="L2651" s="170">
        <v>45908</v>
      </c>
      <c r="M2651" s="116">
        <v>126.77</v>
      </c>
      <c r="N2651" s="116">
        <v>129.91999999999999</v>
      </c>
      <c r="O2651" s="116">
        <v>122.81</v>
      </c>
      <c r="P2651" s="116">
        <v>123.4</v>
      </c>
      <c r="Q2651" s="116">
        <v>633.85</v>
      </c>
      <c r="R2651">
        <v>16947857</v>
      </c>
    </row>
    <row r="2652" spans="1:18" x14ac:dyDescent="0.25">
      <c r="A2652" s="170">
        <v>45909</v>
      </c>
      <c r="B2652" s="116">
        <v>129.66</v>
      </c>
      <c r="C2652" s="116">
        <v>128.79</v>
      </c>
      <c r="D2652" s="116">
        <v>127.2</v>
      </c>
      <c r="E2652" s="116">
        <v>127.91</v>
      </c>
      <c r="F2652" s="116">
        <v>643.95000000000005</v>
      </c>
      <c r="G2652">
        <v>429210</v>
      </c>
      <c r="H2652" s="116"/>
      <c r="I2652" s="116"/>
      <c r="L2652" s="170">
        <v>45909</v>
      </c>
      <c r="M2652" s="116">
        <v>128.72999999999999</v>
      </c>
      <c r="N2652" s="116">
        <v>129.6</v>
      </c>
      <c r="O2652" s="116">
        <v>127.17</v>
      </c>
      <c r="P2652" s="116">
        <v>127.6</v>
      </c>
      <c r="Q2652" s="116">
        <v>643.65</v>
      </c>
      <c r="R2652">
        <v>5547306</v>
      </c>
    </row>
    <row r="2653" spans="1:18" x14ac:dyDescent="0.25">
      <c r="A2653" s="170">
        <v>45910</v>
      </c>
      <c r="B2653" s="116">
        <v>131.72</v>
      </c>
      <c r="C2653" s="116">
        <v>126.69</v>
      </c>
      <c r="D2653" s="116">
        <v>125.6</v>
      </c>
      <c r="E2653" s="116">
        <v>129.4</v>
      </c>
      <c r="F2653" s="116">
        <v>633.45000000000005</v>
      </c>
      <c r="G2653">
        <v>800565</v>
      </c>
      <c r="H2653" s="116"/>
      <c r="I2653" s="116"/>
      <c r="L2653" s="170">
        <v>45910</v>
      </c>
      <c r="M2653" s="116">
        <v>126.89</v>
      </c>
      <c r="N2653" s="116">
        <v>131.71</v>
      </c>
      <c r="O2653" s="116">
        <v>126.5</v>
      </c>
      <c r="P2653" s="116">
        <v>129.4</v>
      </c>
      <c r="Q2653" s="116">
        <v>634.45000000000005</v>
      </c>
      <c r="R2653">
        <v>6355659</v>
      </c>
    </row>
    <row r="2654" spans="1:18" x14ac:dyDescent="0.25">
      <c r="A2654" s="170">
        <v>45911</v>
      </c>
      <c r="B2654" s="116">
        <v>130.69</v>
      </c>
      <c r="C2654" s="116">
        <v>124.89</v>
      </c>
      <c r="D2654" s="116">
        <v>120.5</v>
      </c>
      <c r="E2654" s="116">
        <v>127.8</v>
      </c>
      <c r="F2654" s="116">
        <v>624.45000000000005</v>
      </c>
      <c r="G2654">
        <v>2176287</v>
      </c>
      <c r="H2654" s="116"/>
      <c r="I2654" s="116"/>
      <c r="L2654" s="170">
        <v>45911</v>
      </c>
      <c r="M2654" s="116">
        <v>124.93</v>
      </c>
      <c r="N2654" s="116">
        <v>130.6</v>
      </c>
      <c r="O2654" s="116">
        <v>120</v>
      </c>
      <c r="P2654" s="116">
        <v>127.7</v>
      </c>
      <c r="Q2654" s="116">
        <v>624.65</v>
      </c>
      <c r="R2654">
        <v>59602183</v>
      </c>
    </row>
    <row r="2655" spans="1:18" x14ac:dyDescent="0.25">
      <c r="A2655" s="170">
        <v>45912</v>
      </c>
      <c r="B2655" s="116">
        <v>130.01</v>
      </c>
      <c r="C2655" s="116">
        <v>129.72999999999999</v>
      </c>
      <c r="D2655" s="116">
        <v>125.62</v>
      </c>
      <c r="E2655" s="116">
        <v>125.77</v>
      </c>
      <c r="F2655" s="116">
        <v>648.65</v>
      </c>
      <c r="G2655">
        <v>663306</v>
      </c>
      <c r="H2655" s="116"/>
      <c r="I2655" s="116"/>
      <c r="L2655" s="170">
        <v>45912</v>
      </c>
      <c r="M2655" s="116">
        <v>129.71</v>
      </c>
      <c r="N2655" s="116">
        <v>130.1</v>
      </c>
      <c r="O2655" s="116">
        <v>125.56</v>
      </c>
      <c r="P2655" s="116">
        <v>125.6</v>
      </c>
      <c r="Q2655" s="116">
        <v>648.54999999999995</v>
      </c>
      <c r="R2655">
        <v>9281587</v>
      </c>
    </row>
    <row r="2656" spans="1:18" x14ac:dyDescent="0.25">
      <c r="A2656" s="170">
        <v>45915</v>
      </c>
      <c r="B2656" s="116">
        <v>133.35</v>
      </c>
      <c r="C2656" s="116">
        <v>128.88</v>
      </c>
      <c r="D2656" s="116">
        <v>128.26</v>
      </c>
      <c r="E2656" s="116">
        <v>131.13999999999999</v>
      </c>
      <c r="F2656" s="116">
        <v>644.4</v>
      </c>
      <c r="G2656">
        <v>1007351</v>
      </c>
      <c r="H2656" s="116"/>
      <c r="I2656" s="116"/>
      <c r="L2656" s="170">
        <v>45915</v>
      </c>
      <c r="M2656" s="116">
        <v>128.83000000000001</v>
      </c>
      <c r="N2656" s="116">
        <v>133.36000000000001</v>
      </c>
      <c r="O2656" s="116">
        <v>128.08000000000001</v>
      </c>
      <c r="P2656" s="116">
        <v>131.30000000000001</v>
      </c>
      <c r="Q2656" s="116">
        <v>644.15</v>
      </c>
      <c r="R2656">
        <v>7780731</v>
      </c>
    </row>
    <row r="2657" spans="1:18" x14ac:dyDescent="0.25">
      <c r="A2657" s="170">
        <v>45916</v>
      </c>
      <c r="B2657" s="116">
        <v>129.66</v>
      </c>
      <c r="C2657" s="116">
        <v>127.42</v>
      </c>
      <c r="D2657" s="116">
        <v>127.1</v>
      </c>
      <c r="E2657" s="116">
        <v>129.53</v>
      </c>
      <c r="F2657" s="116">
        <v>637.1</v>
      </c>
      <c r="G2657">
        <v>463670</v>
      </c>
      <c r="H2657" s="116"/>
      <c r="I2657" s="116"/>
      <c r="L2657" s="170">
        <v>45916</v>
      </c>
      <c r="M2657" s="116">
        <v>127.47</v>
      </c>
      <c r="N2657" s="116">
        <v>129.66</v>
      </c>
      <c r="O2657" s="116">
        <v>127.16</v>
      </c>
      <c r="P2657" s="116">
        <v>129.4</v>
      </c>
      <c r="Q2657" s="116">
        <v>637.35</v>
      </c>
      <c r="R2657">
        <v>4544645</v>
      </c>
    </row>
    <row r="2658" spans="1:18" x14ac:dyDescent="0.25">
      <c r="A2658" s="170">
        <v>45917</v>
      </c>
      <c r="B2658" s="116">
        <v>128.76</v>
      </c>
      <c r="C2658" s="116">
        <v>126.03</v>
      </c>
      <c r="D2658" s="116">
        <v>125.35</v>
      </c>
      <c r="E2658" s="116">
        <v>128</v>
      </c>
      <c r="F2658" s="116">
        <v>630.15</v>
      </c>
      <c r="G2658">
        <v>345559</v>
      </c>
      <c r="H2658" s="116"/>
      <c r="I2658" s="116"/>
      <c r="L2658" s="170">
        <v>45917</v>
      </c>
      <c r="M2658" s="116">
        <v>126.1</v>
      </c>
      <c r="N2658" s="116">
        <v>128.05000000000001</v>
      </c>
      <c r="O2658" s="116">
        <v>125.72</v>
      </c>
      <c r="P2658" s="116">
        <v>127.98</v>
      </c>
      <c r="Q2658" s="116">
        <v>630.5</v>
      </c>
      <c r="R2658">
        <v>4177593</v>
      </c>
    </row>
    <row r="2659" spans="1:18" x14ac:dyDescent="0.25">
      <c r="A2659" s="170">
        <v>45918</v>
      </c>
      <c r="B2659" s="116">
        <v>127.04</v>
      </c>
      <c r="C2659" s="116">
        <v>126.17</v>
      </c>
      <c r="D2659" s="116">
        <v>125.2</v>
      </c>
      <c r="E2659" s="116">
        <v>126.6</v>
      </c>
      <c r="F2659" s="116">
        <v>630.85</v>
      </c>
      <c r="G2659">
        <v>214536</v>
      </c>
      <c r="H2659" s="116"/>
      <c r="I2659" s="116"/>
      <c r="L2659" s="170">
        <v>45918</v>
      </c>
      <c r="M2659" s="116">
        <v>126.27</v>
      </c>
      <c r="N2659" s="116">
        <v>127.06</v>
      </c>
      <c r="O2659" s="116">
        <v>125.2</v>
      </c>
      <c r="P2659" s="116">
        <v>126.69</v>
      </c>
      <c r="Q2659" s="116">
        <v>631.35</v>
      </c>
      <c r="R2659">
        <v>3975262</v>
      </c>
    </row>
    <row r="2660" spans="1:18" x14ac:dyDescent="0.25">
      <c r="A2660" s="170">
        <v>45919</v>
      </c>
      <c r="B2660" s="116">
        <v>144.68</v>
      </c>
      <c r="C2660" s="116">
        <v>141.81</v>
      </c>
      <c r="D2660" s="116">
        <v>133.19999999999999</v>
      </c>
      <c r="E2660" s="116">
        <v>134.52000000000001</v>
      </c>
      <c r="F2660" s="116">
        <v>709.05</v>
      </c>
      <c r="G2660">
        <v>6902074</v>
      </c>
      <c r="H2660" s="116"/>
      <c r="I2660" s="116"/>
      <c r="L2660" s="170">
        <v>45919</v>
      </c>
      <c r="M2660" s="116">
        <v>141.88</v>
      </c>
      <c r="N2660" s="116">
        <v>144.6</v>
      </c>
      <c r="O2660" s="116">
        <v>133.07</v>
      </c>
      <c r="P2660" s="116">
        <v>135.19999999999999</v>
      </c>
      <c r="Q2660" s="116">
        <v>709.4</v>
      </c>
      <c r="R2660">
        <v>86324006</v>
      </c>
    </row>
    <row r="2661" spans="1:18" x14ac:dyDescent="0.25">
      <c r="A2661" s="170">
        <v>45922</v>
      </c>
      <c r="B2661" s="116">
        <v>170.15</v>
      </c>
      <c r="C2661" s="116">
        <v>170.15</v>
      </c>
      <c r="D2661" s="116">
        <v>147.69999999999999</v>
      </c>
      <c r="E2661" s="116">
        <v>147.9</v>
      </c>
      <c r="F2661" s="116">
        <v>170.15</v>
      </c>
      <c r="G2661">
        <v>12500977</v>
      </c>
      <c r="H2661" s="116"/>
      <c r="I2661" s="116"/>
      <c r="L2661" s="170">
        <v>45922</v>
      </c>
      <c r="M2661" s="116">
        <v>170.25</v>
      </c>
      <c r="N2661" s="116">
        <v>170.25</v>
      </c>
      <c r="O2661" s="116">
        <v>147.30000000000001</v>
      </c>
      <c r="P2661" s="116">
        <v>148.19999999999999</v>
      </c>
      <c r="Q2661" s="116">
        <v>170.25</v>
      </c>
      <c r="R2661">
        <v>134757185</v>
      </c>
    </row>
    <row r="2662" spans="1:18" x14ac:dyDescent="0.25">
      <c r="A2662" s="170">
        <v>45923</v>
      </c>
      <c r="B2662" s="116">
        <v>182.75</v>
      </c>
      <c r="C2662" s="116">
        <v>162.4</v>
      </c>
      <c r="D2662" s="116">
        <v>160.19999999999999</v>
      </c>
      <c r="E2662" s="116">
        <v>180</v>
      </c>
      <c r="F2662" s="116">
        <v>162.4</v>
      </c>
      <c r="G2662">
        <v>16686383</v>
      </c>
      <c r="H2662" s="116"/>
      <c r="I2662" s="116"/>
      <c r="L2662" s="170">
        <v>45923</v>
      </c>
      <c r="M2662" s="116">
        <v>162.35</v>
      </c>
      <c r="N2662" s="116">
        <v>182.7</v>
      </c>
      <c r="O2662" s="116">
        <v>160.25</v>
      </c>
      <c r="P2662" s="116">
        <v>179.9</v>
      </c>
      <c r="Q2662" s="116">
        <v>162.35</v>
      </c>
      <c r="R2662">
        <v>192595137</v>
      </c>
    </row>
    <row r="2663" spans="1:18" x14ac:dyDescent="0.25">
      <c r="A2663" s="170">
        <v>45924</v>
      </c>
      <c r="B2663" s="116">
        <v>163.85</v>
      </c>
      <c r="C2663" s="116">
        <v>144.80000000000001</v>
      </c>
      <c r="D2663" s="116">
        <v>142.30000000000001</v>
      </c>
      <c r="E2663" s="116">
        <v>162.65</v>
      </c>
      <c r="F2663" s="116">
        <v>144.80000000000001</v>
      </c>
      <c r="G2663">
        <v>18416585</v>
      </c>
      <c r="H2663" s="116"/>
      <c r="I2663" s="116"/>
      <c r="L2663" s="170">
        <v>45924</v>
      </c>
      <c r="M2663" s="116">
        <v>144.5</v>
      </c>
      <c r="N2663" s="116">
        <v>163.69999999999999</v>
      </c>
      <c r="O2663" s="116">
        <v>142.1</v>
      </c>
      <c r="P2663" s="116">
        <v>163.25</v>
      </c>
      <c r="Q2663" s="116">
        <v>144.5</v>
      </c>
      <c r="R2663">
        <v>135960455</v>
      </c>
    </row>
    <row r="2664" spans="1:18" x14ac:dyDescent="0.25">
      <c r="A2664" s="170">
        <v>45925</v>
      </c>
      <c r="B2664" s="116">
        <v>154</v>
      </c>
      <c r="C2664" s="116">
        <v>148.9</v>
      </c>
      <c r="D2664" s="116">
        <v>145.5</v>
      </c>
      <c r="E2664" s="116">
        <v>146</v>
      </c>
      <c r="F2664" s="116">
        <v>148.9</v>
      </c>
      <c r="G2664">
        <v>20114042</v>
      </c>
      <c r="H2664" s="116"/>
      <c r="I2664" s="116"/>
      <c r="L2664" s="170">
        <v>45925</v>
      </c>
      <c r="M2664" s="116">
        <v>149</v>
      </c>
      <c r="N2664" s="116">
        <v>153.9</v>
      </c>
      <c r="O2664" s="116">
        <v>145.5</v>
      </c>
      <c r="P2664" s="116">
        <v>145.5</v>
      </c>
      <c r="Q2664" s="116">
        <v>149</v>
      </c>
      <c r="R2664">
        <v>158371401</v>
      </c>
    </row>
    <row r="2665" spans="1:18" x14ac:dyDescent="0.25">
      <c r="A2665" s="170">
        <v>45926</v>
      </c>
      <c r="B2665" s="116">
        <v>153.05000000000001</v>
      </c>
      <c r="C2665" s="116">
        <v>146.35</v>
      </c>
      <c r="D2665" s="116">
        <v>144.75</v>
      </c>
      <c r="E2665" s="116">
        <v>150.55000000000001</v>
      </c>
      <c r="F2665" s="116">
        <v>146.35</v>
      </c>
      <c r="G2665">
        <v>7057655</v>
      </c>
      <c r="H2665" s="116"/>
      <c r="I2665" s="116"/>
      <c r="L2665" s="170">
        <v>45926</v>
      </c>
      <c r="M2665" s="116">
        <v>146.25</v>
      </c>
      <c r="N2665" s="116">
        <v>152.9</v>
      </c>
      <c r="O2665" s="116">
        <v>144.69999999999999</v>
      </c>
      <c r="P2665" s="116">
        <v>151.35</v>
      </c>
      <c r="Q2665" s="116">
        <v>146.25</v>
      </c>
      <c r="R2665">
        <v>65042463</v>
      </c>
    </row>
    <row r="2666" spans="1:18" x14ac:dyDescent="0.25">
      <c r="A2666" s="170">
        <v>45929</v>
      </c>
      <c r="B2666" s="116">
        <v>149.44999999999999</v>
      </c>
      <c r="C2666" s="116">
        <v>146.75</v>
      </c>
      <c r="D2666" s="116">
        <v>144.1</v>
      </c>
      <c r="E2666" s="116">
        <v>148.55000000000001</v>
      </c>
      <c r="F2666" s="116">
        <v>146.75</v>
      </c>
      <c r="G2666">
        <v>5470290</v>
      </c>
      <c r="H2666" s="116"/>
      <c r="I2666" s="116"/>
      <c r="L2666" s="170">
        <v>45929</v>
      </c>
      <c r="M2666" s="116">
        <v>146.65</v>
      </c>
      <c r="N2666" s="116">
        <v>149.6</v>
      </c>
      <c r="O2666" s="116">
        <v>144.19999999999999</v>
      </c>
      <c r="P2666" s="116">
        <v>148.69999999999999</v>
      </c>
      <c r="Q2666" s="116">
        <v>146.65</v>
      </c>
      <c r="R2666">
        <v>43205955</v>
      </c>
    </row>
    <row r="2667" spans="1:18" x14ac:dyDescent="0.25">
      <c r="A2667" s="170">
        <v>45930</v>
      </c>
      <c r="B2667" s="116">
        <v>148.1</v>
      </c>
      <c r="C2667" s="116">
        <v>144.65</v>
      </c>
      <c r="D2667" s="116">
        <v>143.9</v>
      </c>
      <c r="E2667" s="116">
        <v>147.9</v>
      </c>
      <c r="F2667" s="116">
        <v>144.65</v>
      </c>
      <c r="G2667">
        <v>2742638</v>
      </c>
      <c r="H2667" s="116"/>
      <c r="I2667" s="116"/>
      <c r="L2667" s="170">
        <v>45930</v>
      </c>
      <c r="M2667" s="116">
        <v>144.65</v>
      </c>
      <c r="N2667" s="116">
        <v>148.25</v>
      </c>
      <c r="O2667" s="116">
        <v>143.9</v>
      </c>
      <c r="P2667" s="116">
        <v>148</v>
      </c>
      <c r="Q2667" s="116">
        <v>144.65</v>
      </c>
      <c r="R2667">
        <v>22474749</v>
      </c>
    </row>
    <row r="2668" spans="1:18" x14ac:dyDescent="0.25">
      <c r="A2668" s="170">
        <v>45931</v>
      </c>
      <c r="B2668" s="116">
        <v>153.19999999999999</v>
      </c>
      <c r="C2668" s="116">
        <v>152.44999999999999</v>
      </c>
      <c r="D2668" s="116">
        <v>144.80000000000001</v>
      </c>
      <c r="E2668" s="116">
        <v>144.80000000000001</v>
      </c>
      <c r="F2668" s="116">
        <v>152.44999999999999</v>
      </c>
      <c r="G2668">
        <v>7298305</v>
      </c>
      <c r="H2668" s="116"/>
      <c r="I2668" s="116"/>
      <c r="L2668" s="170">
        <v>45931</v>
      </c>
      <c r="M2668" s="116">
        <v>152.51</v>
      </c>
      <c r="N2668" s="116">
        <v>153.30000000000001</v>
      </c>
      <c r="O2668" s="116">
        <v>144.81</v>
      </c>
      <c r="P2668" s="116">
        <v>144.94999999999999</v>
      </c>
      <c r="Q2668" s="116">
        <v>152.51</v>
      </c>
      <c r="R2668">
        <v>63059546</v>
      </c>
    </row>
    <row r="2669" spans="1:18" x14ac:dyDescent="0.25">
      <c r="A2669" s="170">
        <v>45933</v>
      </c>
      <c r="B2669" s="116">
        <v>153.30000000000001</v>
      </c>
      <c r="C2669" s="116">
        <v>147.5</v>
      </c>
      <c r="D2669" s="116">
        <v>143.9</v>
      </c>
      <c r="E2669" s="116">
        <v>152.1</v>
      </c>
      <c r="F2669" s="116">
        <v>147.5</v>
      </c>
      <c r="G2669">
        <v>9543933</v>
      </c>
      <c r="H2669" s="116"/>
      <c r="I2669" s="116"/>
      <c r="L2669" s="170">
        <v>45933</v>
      </c>
      <c r="M2669" s="116">
        <v>147.38</v>
      </c>
      <c r="N2669" s="116">
        <v>153</v>
      </c>
      <c r="O2669" s="116">
        <v>143.15</v>
      </c>
      <c r="P2669" s="116">
        <v>152.9</v>
      </c>
      <c r="Q2669" s="116">
        <v>147.38</v>
      </c>
      <c r="R2669">
        <v>124141027</v>
      </c>
    </row>
    <row r="2670" spans="1:18" x14ac:dyDescent="0.25">
      <c r="A2670" s="170">
        <v>45936</v>
      </c>
      <c r="B2670" s="116">
        <v>152.94999999999999</v>
      </c>
      <c r="C2670" s="116">
        <v>152</v>
      </c>
      <c r="D2670" s="116">
        <v>147.35</v>
      </c>
      <c r="E2670" s="116">
        <v>148.35</v>
      </c>
      <c r="F2670" s="116">
        <v>152</v>
      </c>
      <c r="G2670">
        <v>7227815</v>
      </c>
      <c r="H2670" s="116"/>
      <c r="I2670" s="116"/>
      <c r="L2670" s="170">
        <v>45936</v>
      </c>
      <c r="M2670" s="116">
        <v>151.99</v>
      </c>
      <c r="N2670" s="116">
        <v>152.99</v>
      </c>
      <c r="O2670" s="116">
        <v>147.38</v>
      </c>
      <c r="P2670" s="116">
        <v>148</v>
      </c>
      <c r="Q2670" s="116">
        <v>151.99</v>
      </c>
      <c r="R2670">
        <v>68647669</v>
      </c>
    </row>
    <row r="2671" spans="1:18" x14ac:dyDescent="0.25">
      <c r="A2671" s="170">
        <v>45937</v>
      </c>
      <c r="B2671" s="116">
        <v>155.44999999999999</v>
      </c>
      <c r="C2671" s="116">
        <v>151.44999999999999</v>
      </c>
      <c r="D2671" s="116">
        <v>150.44999999999999</v>
      </c>
      <c r="E2671" s="116">
        <v>151.6</v>
      </c>
      <c r="F2671" s="116">
        <v>151.44999999999999</v>
      </c>
      <c r="G2671">
        <v>5252770</v>
      </c>
      <c r="H2671" s="116"/>
      <c r="I2671" s="116"/>
      <c r="L2671" s="170">
        <v>45937</v>
      </c>
      <c r="M2671" s="116">
        <v>151.47999999999999</v>
      </c>
      <c r="N2671" s="116">
        <v>155.4</v>
      </c>
      <c r="O2671" s="116">
        <v>150.35</v>
      </c>
      <c r="P2671" s="116">
        <v>151.99</v>
      </c>
      <c r="Q2671" s="116">
        <v>151.47999999999999</v>
      </c>
      <c r="R2671">
        <v>55385781</v>
      </c>
    </row>
    <row r="2672" spans="1:18" x14ac:dyDescent="0.25">
      <c r="A2672" s="170">
        <v>45938</v>
      </c>
      <c r="B2672" s="116">
        <v>152.5</v>
      </c>
      <c r="C2672" s="116">
        <v>148.80000000000001</v>
      </c>
      <c r="D2672" s="116">
        <v>148.44999999999999</v>
      </c>
      <c r="E2672" s="116">
        <v>151.80000000000001</v>
      </c>
      <c r="F2672" s="116">
        <v>148.80000000000001</v>
      </c>
      <c r="G2672">
        <v>27471739</v>
      </c>
      <c r="H2672" s="116"/>
      <c r="I2672" s="116"/>
      <c r="L2672" s="170">
        <v>45938</v>
      </c>
      <c r="M2672" s="116">
        <v>148.78</v>
      </c>
      <c r="N2672" s="116">
        <v>152.5</v>
      </c>
      <c r="O2672" s="116">
        <v>148.41999999999999</v>
      </c>
      <c r="P2672" s="116">
        <v>151.69999999999999</v>
      </c>
      <c r="Q2672" s="116">
        <v>148.78</v>
      </c>
      <c r="R2672">
        <v>45821449</v>
      </c>
    </row>
    <row r="2673" spans="1:18" x14ac:dyDescent="0.25">
      <c r="A2673" s="170">
        <v>45939</v>
      </c>
      <c r="B2673" s="116">
        <v>149.94999999999999</v>
      </c>
      <c r="C2673" s="116">
        <v>148.9</v>
      </c>
      <c r="D2673" s="116">
        <v>147.5</v>
      </c>
      <c r="E2673" s="116">
        <v>149.6</v>
      </c>
      <c r="F2673" s="116">
        <v>148.9</v>
      </c>
      <c r="G2673">
        <v>2663133</v>
      </c>
      <c r="H2673" s="116"/>
      <c r="I2673" s="116"/>
      <c r="L2673" s="170">
        <v>45939</v>
      </c>
      <c r="M2673" s="116">
        <v>148.91</v>
      </c>
      <c r="N2673" s="116">
        <v>149.97999999999999</v>
      </c>
      <c r="O2673" s="116">
        <v>147.44</v>
      </c>
      <c r="P2673" s="116">
        <v>149.4</v>
      </c>
      <c r="Q2673" s="116">
        <v>148.91</v>
      </c>
      <c r="R2673">
        <v>26066621</v>
      </c>
    </row>
    <row r="2674" spans="1:18" x14ac:dyDescent="0.25">
      <c r="A2674" s="170">
        <v>45940</v>
      </c>
      <c r="B2674" s="116">
        <v>150.80000000000001</v>
      </c>
      <c r="C2674" s="116">
        <v>149.55000000000001</v>
      </c>
      <c r="D2674" s="116">
        <v>147.85</v>
      </c>
      <c r="E2674" s="116">
        <v>149</v>
      </c>
      <c r="F2674" s="116">
        <v>149.55000000000001</v>
      </c>
      <c r="G2674">
        <v>1618869</v>
      </c>
      <c r="H2674" s="116"/>
      <c r="I2674" s="116"/>
      <c r="L2674" s="170">
        <v>45940</v>
      </c>
      <c r="M2674" s="116">
        <v>149.69999999999999</v>
      </c>
      <c r="N2674" s="116">
        <v>150.79</v>
      </c>
      <c r="O2674" s="116">
        <v>147.84</v>
      </c>
      <c r="P2674" s="116">
        <v>149.1</v>
      </c>
      <c r="Q2674" s="116">
        <v>149.69999999999999</v>
      </c>
      <c r="R2674">
        <v>23705398</v>
      </c>
    </row>
    <row r="2675" spans="1:18" x14ac:dyDescent="0.25">
      <c r="A2675" s="170">
        <v>45943</v>
      </c>
      <c r="B2675" s="116">
        <v>155.75</v>
      </c>
      <c r="C2675" s="116">
        <v>154.35</v>
      </c>
      <c r="D2675" s="116">
        <v>147.6</v>
      </c>
      <c r="E2675" s="116">
        <v>148.19999999999999</v>
      </c>
      <c r="F2675" s="116">
        <v>154.35</v>
      </c>
      <c r="G2675">
        <v>3558162</v>
      </c>
      <c r="H2675" s="116"/>
      <c r="I2675" s="116"/>
      <c r="L2675" s="170">
        <v>45943</v>
      </c>
      <c r="M2675" s="116">
        <v>154.43</v>
      </c>
      <c r="N2675" s="116">
        <v>155.75</v>
      </c>
      <c r="O2675" s="116">
        <v>147.52000000000001</v>
      </c>
      <c r="P2675" s="116">
        <v>148</v>
      </c>
      <c r="Q2675" s="116">
        <v>154.43</v>
      </c>
      <c r="R2675">
        <v>64933221</v>
      </c>
    </row>
    <row r="2676" spans="1:18" x14ac:dyDescent="0.25">
      <c r="A2676" s="170">
        <v>45944</v>
      </c>
      <c r="B2676" s="116">
        <v>157.5</v>
      </c>
      <c r="C2676" s="116">
        <v>154.85</v>
      </c>
      <c r="D2676" s="116">
        <v>152.94999999999999</v>
      </c>
      <c r="E2676" s="116">
        <v>155.25</v>
      </c>
      <c r="F2676" s="116">
        <v>154.85</v>
      </c>
      <c r="G2676">
        <v>3160411</v>
      </c>
      <c r="H2676" s="116"/>
      <c r="I2676" s="116"/>
      <c r="L2676" s="170">
        <v>45944</v>
      </c>
      <c r="M2676" s="116">
        <v>154.9</v>
      </c>
      <c r="N2676" s="116">
        <v>157.5</v>
      </c>
      <c r="O2676" s="116">
        <v>152.80000000000001</v>
      </c>
      <c r="P2676" s="116">
        <v>155.01</v>
      </c>
      <c r="Q2676" s="116">
        <v>154.9</v>
      </c>
      <c r="R2676">
        <v>52873531</v>
      </c>
    </row>
    <row r="2677" spans="1:18" x14ac:dyDescent="0.25">
      <c r="A2677" s="170">
        <v>45945</v>
      </c>
      <c r="B2677" s="116">
        <v>157.94999999999999</v>
      </c>
      <c r="C2677" s="116">
        <v>157.55000000000001</v>
      </c>
      <c r="D2677" s="116">
        <v>150.5</v>
      </c>
      <c r="E2677" s="116">
        <v>155</v>
      </c>
      <c r="F2677" s="116">
        <v>157.55000000000001</v>
      </c>
      <c r="G2677">
        <v>3230014</v>
      </c>
      <c r="H2677" s="116"/>
      <c r="I2677" s="116"/>
      <c r="L2677" s="170">
        <v>45945</v>
      </c>
      <c r="M2677" s="116">
        <v>157.51</v>
      </c>
      <c r="N2677" s="116">
        <v>158</v>
      </c>
      <c r="O2677" s="116">
        <v>150.43</v>
      </c>
      <c r="P2677" s="116">
        <v>154.85</v>
      </c>
      <c r="Q2677" s="116">
        <v>157.51</v>
      </c>
      <c r="R2677">
        <v>64552739</v>
      </c>
    </row>
    <row r="2678" spans="1:18" x14ac:dyDescent="0.25">
      <c r="A2678" s="170">
        <v>45946</v>
      </c>
      <c r="B2678" s="116">
        <v>158.65</v>
      </c>
      <c r="C2678" s="116">
        <v>157.30000000000001</v>
      </c>
      <c r="D2678" s="116">
        <v>155.55000000000001</v>
      </c>
      <c r="E2678" s="116">
        <v>156.80000000000001</v>
      </c>
      <c r="F2678" s="116">
        <v>157.30000000000001</v>
      </c>
      <c r="G2678">
        <v>104355463</v>
      </c>
      <c r="H2678" s="116"/>
      <c r="I2678" s="116"/>
      <c r="L2678" s="170">
        <v>45946</v>
      </c>
      <c r="M2678" s="116">
        <v>157.37</v>
      </c>
      <c r="N2678" s="116">
        <v>158.69</v>
      </c>
      <c r="O2678" s="116">
        <v>155.5</v>
      </c>
      <c r="P2678" s="116">
        <v>158.1</v>
      </c>
      <c r="Q2678" s="116">
        <v>157.37</v>
      </c>
      <c r="R2678">
        <v>111085386</v>
      </c>
    </row>
    <row r="2679" spans="1:18" x14ac:dyDescent="0.25">
      <c r="A2679" s="170">
        <v>45947</v>
      </c>
      <c r="B2679" s="116">
        <v>168</v>
      </c>
      <c r="C2679" s="116">
        <v>165.9</v>
      </c>
      <c r="D2679" s="116">
        <v>156.80000000000001</v>
      </c>
      <c r="E2679" s="116">
        <v>157.5</v>
      </c>
      <c r="F2679" s="116">
        <v>165.9</v>
      </c>
      <c r="G2679">
        <v>13088351</v>
      </c>
      <c r="H2679" s="116"/>
      <c r="I2679" s="116"/>
      <c r="L2679" s="170">
        <v>45947</v>
      </c>
      <c r="M2679" s="116">
        <v>165.98</v>
      </c>
      <c r="N2679" s="116">
        <v>168</v>
      </c>
      <c r="O2679" s="116">
        <v>156.77000000000001</v>
      </c>
      <c r="P2679" s="116">
        <v>157.26</v>
      </c>
      <c r="Q2679" s="116">
        <v>165.98</v>
      </c>
      <c r="R2679">
        <v>170754425</v>
      </c>
    </row>
    <row r="2680" spans="1:18" x14ac:dyDescent="0.25">
      <c r="A2680" s="170">
        <v>45950</v>
      </c>
      <c r="B2680" s="116">
        <v>172</v>
      </c>
      <c r="C2680" s="116">
        <v>170.25</v>
      </c>
      <c r="D2680" s="116">
        <v>166.7</v>
      </c>
      <c r="E2680" s="116">
        <v>168.4</v>
      </c>
      <c r="F2680" s="116">
        <v>170.25</v>
      </c>
      <c r="G2680">
        <v>6355336</v>
      </c>
      <c r="H2680" s="116"/>
      <c r="I2680" s="116"/>
      <c r="L2680" s="170">
        <v>45950</v>
      </c>
      <c r="M2680" s="116">
        <v>170.3</v>
      </c>
      <c r="N2680" s="116">
        <v>172.2</v>
      </c>
      <c r="O2680" s="116">
        <v>166.7</v>
      </c>
      <c r="P2680" s="116">
        <v>168.05</v>
      </c>
      <c r="Q2680" s="116">
        <v>170.3</v>
      </c>
      <c r="R2680">
        <v>107477254</v>
      </c>
    </row>
    <row r="2681" spans="1:18" x14ac:dyDescent="0.25">
      <c r="A2681" s="170">
        <v>45951</v>
      </c>
      <c r="B2681" s="116">
        <v>174.5</v>
      </c>
      <c r="C2681" s="116">
        <v>170.3</v>
      </c>
      <c r="D2681" s="116">
        <v>168.2</v>
      </c>
      <c r="E2681" s="116">
        <v>171.75</v>
      </c>
      <c r="F2681" s="116">
        <v>170.3</v>
      </c>
      <c r="G2681">
        <v>3000239</v>
      </c>
      <c r="H2681" s="116"/>
      <c r="I2681" s="116"/>
      <c r="L2681" s="170">
        <v>45951</v>
      </c>
      <c r="M2681" s="116">
        <v>170.78</v>
      </c>
      <c r="N2681" s="116">
        <v>174.39</v>
      </c>
      <c r="O2681" s="116">
        <v>168</v>
      </c>
      <c r="P2681" s="116">
        <v>171.5</v>
      </c>
      <c r="Q2681" s="116">
        <v>170.78</v>
      </c>
      <c r="R2681">
        <v>26425161</v>
      </c>
    </row>
    <row r="2682" spans="1:18" x14ac:dyDescent="0.25">
      <c r="A2682" s="170">
        <v>45953</v>
      </c>
      <c r="B2682" s="116">
        <v>172.25</v>
      </c>
      <c r="C2682" s="116">
        <v>165.3</v>
      </c>
      <c r="D2682" s="116">
        <v>164.25</v>
      </c>
      <c r="E2682" s="116">
        <v>171.2</v>
      </c>
      <c r="F2682" s="116">
        <v>165.3</v>
      </c>
      <c r="G2682">
        <v>3284353</v>
      </c>
      <c r="H2682" s="116"/>
      <c r="I2682" s="116"/>
      <c r="L2682" s="170">
        <v>45953</v>
      </c>
      <c r="M2682" s="116">
        <v>165.26</v>
      </c>
      <c r="N2682" s="116">
        <v>172.36</v>
      </c>
      <c r="O2682" s="116">
        <v>164.25</v>
      </c>
      <c r="P2682" s="116">
        <v>171.05</v>
      </c>
      <c r="Q2682" s="116">
        <v>165.26</v>
      </c>
      <c r="R2682">
        <v>55330926</v>
      </c>
    </row>
    <row r="2683" spans="1:18" x14ac:dyDescent="0.25">
      <c r="A2683" s="170">
        <v>45954</v>
      </c>
      <c r="B2683" s="116">
        <v>169.25</v>
      </c>
      <c r="C2683" s="116">
        <v>167.7</v>
      </c>
      <c r="D2683" s="116">
        <v>164.15</v>
      </c>
      <c r="E2683" s="116">
        <v>164.65</v>
      </c>
      <c r="F2683" s="116">
        <v>167.7</v>
      </c>
      <c r="G2683">
        <v>4364704</v>
      </c>
      <c r="H2683" s="116"/>
      <c r="I2683" s="116"/>
      <c r="L2683" s="170">
        <v>45954</v>
      </c>
      <c r="M2683" s="116">
        <v>167.72</v>
      </c>
      <c r="N2683" s="116">
        <v>169.18</v>
      </c>
      <c r="O2683" s="116">
        <v>164</v>
      </c>
      <c r="P2683" s="116">
        <v>164.45</v>
      </c>
      <c r="Q2683" s="116">
        <v>167.72</v>
      </c>
      <c r="R2683">
        <v>44515519</v>
      </c>
    </row>
    <row r="2684" spans="1:18" x14ac:dyDescent="0.25">
      <c r="A2684" s="170">
        <v>45957</v>
      </c>
      <c r="B2684" s="116">
        <v>169.85</v>
      </c>
      <c r="C2684" s="116">
        <v>163.05000000000001</v>
      </c>
      <c r="D2684" s="116">
        <v>162.55000000000001</v>
      </c>
      <c r="E2684" s="116">
        <v>168.4</v>
      </c>
      <c r="F2684" s="116">
        <v>163.05000000000001</v>
      </c>
      <c r="G2684">
        <v>2839638</v>
      </c>
      <c r="H2684" s="116"/>
      <c r="I2684" s="116"/>
      <c r="L2684" s="170">
        <v>45957</v>
      </c>
      <c r="M2684" s="116">
        <v>162.96</v>
      </c>
      <c r="N2684" s="116">
        <v>169.77</v>
      </c>
      <c r="O2684" s="116">
        <v>162</v>
      </c>
      <c r="P2684" s="116">
        <v>168.5</v>
      </c>
      <c r="Q2684" s="116">
        <v>162.96</v>
      </c>
      <c r="R2684">
        <v>51617783</v>
      </c>
    </row>
    <row r="2685" spans="1:18" x14ac:dyDescent="0.25">
      <c r="A2685" s="170">
        <v>45958</v>
      </c>
      <c r="B2685" s="116">
        <v>164.15</v>
      </c>
      <c r="C2685" s="116">
        <v>162.35</v>
      </c>
      <c r="D2685" s="116">
        <v>161.30000000000001</v>
      </c>
      <c r="E2685" s="116">
        <v>163.95</v>
      </c>
      <c r="F2685" s="116">
        <v>162.35</v>
      </c>
      <c r="G2685">
        <v>2919998</v>
      </c>
      <c r="H2685" s="116"/>
      <c r="I2685" s="116"/>
      <c r="L2685" s="170">
        <v>45958</v>
      </c>
      <c r="M2685" s="116">
        <v>162.33000000000001</v>
      </c>
      <c r="N2685" s="116">
        <v>164.22</v>
      </c>
      <c r="O2685" s="116">
        <v>161.1</v>
      </c>
      <c r="P2685" s="116">
        <v>163.69999999999999</v>
      </c>
      <c r="Q2685" s="116">
        <v>162.33000000000001</v>
      </c>
      <c r="R2685">
        <v>29992980</v>
      </c>
    </row>
    <row r="2686" spans="1:18" x14ac:dyDescent="0.25">
      <c r="A2686" s="170">
        <v>45959</v>
      </c>
      <c r="B2686" s="116">
        <v>168.4</v>
      </c>
      <c r="C2686" s="116">
        <v>162.1</v>
      </c>
      <c r="D2686" s="116">
        <v>161.80000000000001</v>
      </c>
      <c r="E2686" s="116">
        <v>162.80000000000001</v>
      </c>
      <c r="F2686" s="116">
        <v>162.1</v>
      </c>
      <c r="G2686">
        <v>6617827</v>
      </c>
      <c r="H2686" s="116"/>
      <c r="I2686" s="116"/>
      <c r="L2686" s="170">
        <v>45959</v>
      </c>
      <c r="M2686" s="116">
        <v>162.1</v>
      </c>
      <c r="N2686" s="116">
        <v>168.4</v>
      </c>
      <c r="O2686" s="116">
        <v>161.75</v>
      </c>
      <c r="P2686" s="116">
        <v>163.28</v>
      </c>
      <c r="Q2686" s="116">
        <v>162.1</v>
      </c>
      <c r="R2686">
        <v>67870076</v>
      </c>
    </row>
    <row r="2687" spans="1:18" x14ac:dyDescent="0.25">
      <c r="A2687" s="170">
        <v>45960</v>
      </c>
      <c r="B2687" s="116">
        <v>164.6</v>
      </c>
      <c r="C2687" s="116">
        <v>162.5</v>
      </c>
      <c r="D2687" s="116">
        <v>160.15</v>
      </c>
      <c r="E2687" s="116">
        <v>163.5</v>
      </c>
      <c r="F2687" s="116">
        <v>162.5</v>
      </c>
      <c r="G2687">
        <v>5983685</v>
      </c>
      <c r="H2687" s="116"/>
      <c r="I2687" s="116"/>
      <c r="L2687" s="170">
        <v>45960</v>
      </c>
      <c r="M2687" s="116">
        <v>162.57</v>
      </c>
      <c r="N2687" s="116">
        <v>164.7</v>
      </c>
      <c r="O2687" s="116">
        <v>160.19999999999999</v>
      </c>
      <c r="P2687" s="116">
        <v>163.69999999999999</v>
      </c>
      <c r="Q2687" s="116">
        <v>162.57</v>
      </c>
      <c r="R2687">
        <v>64990603</v>
      </c>
    </row>
    <row r="2688" spans="1:18" x14ac:dyDescent="0.25">
      <c r="A2688" s="170">
        <v>45961</v>
      </c>
      <c r="B2688" s="116">
        <v>161.80000000000001</v>
      </c>
      <c r="C2688" s="116">
        <v>157.9</v>
      </c>
      <c r="D2688" s="116">
        <v>157.5</v>
      </c>
      <c r="E2688" s="116">
        <v>161.6</v>
      </c>
      <c r="F2688" s="116">
        <v>157.9</v>
      </c>
      <c r="G2688">
        <v>2918305</v>
      </c>
      <c r="H2688" s="116"/>
      <c r="I2688" s="116"/>
      <c r="L2688" s="170">
        <v>45961</v>
      </c>
      <c r="M2688" s="116">
        <v>157.85</v>
      </c>
      <c r="N2688" s="116">
        <v>161.74</v>
      </c>
      <c r="O2688" s="116">
        <v>157.5</v>
      </c>
      <c r="P2688" s="116">
        <v>161.6</v>
      </c>
      <c r="Q2688" s="116">
        <v>157.85</v>
      </c>
      <c r="R2688">
        <v>44708746</v>
      </c>
    </row>
    <row r="2689" spans="1:18" x14ac:dyDescent="0.25">
      <c r="A2689" s="170">
        <v>45964</v>
      </c>
      <c r="B2689" s="116">
        <v>159</v>
      </c>
      <c r="C2689" s="116">
        <v>156.69999999999999</v>
      </c>
      <c r="D2689" s="116">
        <v>156.15</v>
      </c>
      <c r="E2689" s="116">
        <v>158.05000000000001</v>
      </c>
      <c r="F2689" s="116">
        <v>156.69999999999999</v>
      </c>
      <c r="G2689">
        <v>2346262</v>
      </c>
      <c r="H2689" s="116"/>
      <c r="I2689" s="116"/>
      <c r="L2689" s="170">
        <v>45964</v>
      </c>
      <c r="M2689" s="116">
        <v>156.72999999999999</v>
      </c>
      <c r="N2689" s="116">
        <v>158.99</v>
      </c>
      <c r="O2689" s="116">
        <v>156.1</v>
      </c>
      <c r="P2689" s="116">
        <v>158.99</v>
      </c>
      <c r="Q2689" s="116">
        <v>156.72999999999999</v>
      </c>
      <c r="R2689">
        <v>22320044</v>
      </c>
    </row>
    <row r="2690" spans="1:18" x14ac:dyDescent="0.25">
      <c r="A2690" s="170">
        <v>45965</v>
      </c>
      <c r="B2690" s="116">
        <v>159.6</v>
      </c>
      <c r="C2690" s="116">
        <v>158.44999999999999</v>
      </c>
      <c r="D2690" s="116">
        <v>153.30000000000001</v>
      </c>
      <c r="E2690" s="116">
        <v>156.35</v>
      </c>
      <c r="F2690" s="116">
        <v>158.44999999999999</v>
      </c>
      <c r="G2690">
        <v>2902537</v>
      </c>
      <c r="H2690" s="116"/>
      <c r="I2690" s="116"/>
      <c r="L2690" s="170">
        <v>45965</v>
      </c>
      <c r="M2690" s="116">
        <v>158.38999999999999</v>
      </c>
      <c r="N2690" s="116">
        <v>159.5</v>
      </c>
      <c r="O2690" s="116">
        <v>153.21</v>
      </c>
      <c r="P2690" s="116">
        <v>156</v>
      </c>
      <c r="Q2690" s="116">
        <v>158.38999999999999</v>
      </c>
      <c r="R2690">
        <v>41404679</v>
      </c>
    </row>
    <row r="2691" spans="1:18" x14ac:dyDescent="0.25">
      <c r="A2691" s="170">
        <v>45967</v>
      </c>
      <c r="B2691" s="116">
        <v>158.5</v>
      </c>
      <c r="C2691" s="116">
        <v>153.19999999999999</v>
      </c>
      <c r="D2691" s="116">
        <v>152.5</v>
      </c>
      <c r="E2691" s="116">
        <v>158.44999999999999</v>
      </c>
      <c r="F2691" s="116">
        <v>153.19999999999999</v>
      </c>
      <c r="G2691">
        <v>2423738</v>
      </c>
      <c r="H2691" s="116"/>
      <c r="I2691" s="116"/>
      <c r="L2691" s="170">
        <v>45967</v>
      </c>
      <c r="M2691" s="116">
        <v>153.16999999999999</v>
      </c>
      <c r="N2691" s="116">
        <v>158.38</v>
      </c>
      <c r="O2691" s="116">
        <v>152.33000000000001</v>
      </c>
      <c r="P2691" s="116">
        <v>158.36000000000001</v>
      </c>
      <c r="Q2691" s="116">
        <v>153.16999999999999</v>
      </c>
      <c r="R2691">
        <v>24262835</v>
      </c>
    </row>
    <row r="2692" spans="1:18" x14ac:dyDescent="0.25">
      <c r="A2692" s="170">
        <v>45968</v>
      </c>
      <c r="B2692" s="116">
        <v>154.75</v>
      </c>
      <c r="C2692" s="116">
        <v>151.5</v>
      </c>
      <c r="D2692" s="116">
        <v>151</v>
      </c>
      <c r="E2692" s="116">
        <v>152.15</v>
      </c>
      <c r="F2692" s="116">
        <v>151.5</v>
      </c>
      <c r="G2692">
        <v>3052124</v>
      </c>
      <c r="H2692" s="116"/>
      <c r="I2692" s="116"/>
      <c r="L2692" s="170">
        <v>45968</v>
      </c>
      <c r="M2692" s="116">
        <v>151.47999999999999</v>
      </c>
      <c r="N2692" s="116">
        <v>154.79</v>
      </c>
      <c r="O2692" s="116">
        <v>150.85</v>
      </c>
      <c r="P2692" s="116">
        <v>152.99</v>
      </c>
      <c r="Q2692" s="116">
        <v>151.47999999999999</v>
      </c>
      <c r="R2692">
        <v>36644118</v>
      </c>
    </row>
    <row r="2693" spans="1:18" x14ac:dyDescent="0.25">
      <c r="A2693" s="170">
        <v>45971</v>
      </c>
      <c r="B2693" s="116">
        <v>154.5</v>
      </c>
      <c r="C2693" s="116">
        <v>150.05000000000001</v>
      </c>
      <c r="D2693" s="116">
        <v>149.44999999999999</v>
      </c>
      <c r="E2693" s="116">
        <v>153.19999999999999</v>
      </c>
      <c r="F2693" s="116">
        <v>150.05000000000001</v>
      </c>
      <c r="G2693">
        <v>2136888</v>
      </c>
      <c r="H2693" s="116"/>
      <c r="I2693" s="116"/>
      <c r="L2693" s="170">
        <v>45971</v>
      </c>
      <c r="M2693" s="116">
        <v>150.06</v>
      </c>
      <c r="N2693" s="116">
        <v>154.47999999999999</v>
      </c>
      <c r="O2693" s="116">
        <v>149.5</v>
      </c>
      <c r="P2693" s="116">
        <v>152.75</v>
      </c>
      <c r="Q2693" s="116">
        <v>150.06</v>
      </c>
      <c r="R2693">
        <v>19497818</v>
      </c>
    </row>
    <row r="2694" spans="1:18" x14ac:dyDescent="0.25">
      <c r="A2694" s="170">
        <v>45972</v>
      </c>
      <c r="B2694" s="116">
        <v>151.9</v>
      </c>
      <c r="C2694" s="116">
        <v>151.15</v>
      </c>
      <c r="D2694" s="116">
        <v>146.75</v>
      </c>
      <c r="E2694" s="116">
        <v>150.80000000000001</v>
      </c>
      <c r="F2694" s="116">
        <v>151.15</v>
      </c>
      <c r="G2694">
        <v>2056869</v>
      </c>
      <c r="H2694" s="116"/>
      <c r="I2694" s="116"/>
      <c r="L2694" s="170">
        <v>45972</v>
      </c>
      <c r="M2694" s="116">
        <v>151.16999999999999</v>
      </c>
      <c r="N2694" s="116">
        <v>151.9</v>
      </c>
      <c r="O2694" s="116">
        <v>146.71</v>
      </c>
      <c r="P2694" s="116">
        <v>151.49</v>
      </c>
      <c r="Q2694" s="116">
        <v>151.16999999999999</v>
      </c>
      <c r="R2694">
        <v>42377702</v>
      </c>
    </row>
    <row r="2695" spans="1:18" x14ac:dyDescent="0.25">
      <c r="A2695" s="170">
        <v>45973</v>
      </c>
      <c r="B2695" s="116">
        <v>154.19999999999999</v>
      </c>
      <c r="C2695" s="116">
        <v>151.94999999999999</v>
      </c>
      <c r="D2695" s="116">
        <v>150.69999999999999</v>
      </c>
      <c r="E2695" s="116">
        <v>154.19999999999999</v>
      </c>
      <c r="F2695" s="116">
        <v>151.94999999999999</v>
      </c>
      <c r="G2695">
        <v>1389352</v>
      </c>
      <c r="H2695" s="116"/>
      <c r="I2695" s="116"/>
      <c r="L2695" s="170">
        <v>45973</v>
      </c>
      <c r="M2695" s="116">
        <v>151.97999999999999</v>
      </c>
      <c r="N2695" s="116">
        <v>153.78</v>
      </c>
      <c r="O2695" s="116">
        <v>150.66</v>
      </c>
      <c r="P2695" s="116">
        <v>152</v>
      </c>
      <c r="Q2695" s="116">
        <v>151.97999999999999</v>
      </c>
      <c r="R2695">
        <v>27328382</v>
      </c>
    </row>
    <row r="2696" spans="1:18" x14ac:dyDescent="0.25">
      <c r="A2696" s="170">
        <v>45974</v>
      </c>
      <c r="B2696" s="116">
        <v>154.15</v>
      </c>
      <c r="C2696" s="116">
        <v>151.9</v>
      </c>
      <c r="D2696" s="116">
        <v>151.5</v>
      </c>
      <c r="E2696" s="116">
        <v>152</v>
      </c>
      <c r="F2696" s="116">
        <v>151.9</v>
      </c>
      <c r="G2696">
        <v>1086301</v>
      </c>
      <c r="H2696" s="116"/>
      <c r="I2696" s="116"/>
      <c r="L2696" s="170">
        <v>45974</v>
      </c>
      <c r="M2696" s="116">
        <v>151.85</v>
      </c>
      <c r="N2696" s="116">
        <v>154.19999999999999</v>
      </c>
      <c r="O2696" s="116">
        <v>151.5</v>
      </c>
      <c r="P2696" s="116">
        <v>151.97999999999999</v>
      </c>
      <c r="Q2696" s="116">
        <v>151.85</v>
      </c>
      <c r="R2696">
        <v>20557325</v>
      </c>
    </row>
    <row r="2697" spans="1:18" x14ac:dyDescent="0.25">
      <c r="A2697" s="170">
        <v>45975</v>
      </c>
      <c r="B2697" s="116">
        <v>156</v>
      </c>
      <c r="C2697" s="116">
        <v>153.9</v>
      </c>
      <c r="D2697" s="116">
        <v>152.30000000000001</v>
      </c>
      <c r="E2697" s="116">
        <v>152.65</v>
      </c>
      <c r="F2697" s="116">
        <v>153.9</v>
      </c>
      <c r="G2697">
        <v>2554911</v>
      </c>
      <c r="H2697" s="116"/>
      <c r="I2697" s="116"/>
      <c r="L2697" s="170">
        <v>45975</v>
      </c>
      <c r="M2697" s="116">
        <v>153.91</v>
      </c>
      <c r="N2697" s="116">
        <v>155.99</v>
      </c>
      <c r="O2697" s="116">
        <v>152.19999999999999</v>
      </c>
      <c r="P2697" s="116">
        <v>152.46</v>
      </c>
      <c r="Q2697" s="116">
        <v>153.91</v>
      </c>
      <c r="R2697">
        <v>26821173</v>
      </c>
    </row>
    <row r="2698" spans="1:18" x14ac:dyDescent="0.25">
      <c r="A2698" s="170">
        <v>45978</v>
      </c>
      <c r="B2698" s="116">
        <v>155.55000000000001</v>
      </c>
      <c r="C2698" s="116">
        <v>153.35</v>
      </c>
      <c r="D2698" s="116">
        <v>153</v>
      </c>
      <c r="E2698" s="116">
        <v>155.55000000000001</v>
      </c>
      <c r="F2698" s="116">
        <v>153.35</v>
      </c>
      <c r="G2698">
        <v>816847</v>
      </c>
      <c r="H2698" s="116"/>
      <c r="I2698" s="116"/>
      <c r="L2698" s="170">
        <v>45978</v>
      </c>
      <c r="M2698" s="116">
        <v>153.28</v>
      </c>
      <c r="N2698" s="116">
        <v>155.35</v>
      </c>
      <c r="O2698" s="116">
        <v>153</v>
      </c>
      <c r="P2698" s="116">
        <v>155.35</v>
      </c>
      <c r="Q2698" s="116">
        <v>153.28</v>
      </c>
      <c r="R2698">
        <v>15162500</v>
      </c>
    </row>
    <row r="2699" spans="1:18" x14ac:dyDescent="0.25">
      <c r="A2699" s="170">
        <v>45979</v>
      </c>
      <c r="B2699" s="116">
        <v>153.9</v>
      </c>
      <c r="C2699" s="116">
        <v>149.6</v>
      </c>
      <c r="D2699" s="116">
        <v>149.19999999999999</v>
      </c>
      <c r="E2699" s="116">
        <v>153.19999999999999</v>
      </c>
      <c r="F2699" s="116">
        <v>149.6</v>
      </c>
      <c r="G2699">
        <v>1932918</v>
      </c>
      <c r="H2699" s="116"/>
      <c r="I2699" s="116"/>
      <c r="L2699" s="170">
        <v>45979</v>
      </c>
      <c r="M2699" s="116">
        <v>149.55000000000001</v>
      </c>
      <c r="N2699" s="116">
        <v>153.88</v>
      </c>
      <c r="O2699" s="116">
        <v>149.12</v>
      </c>
      <c r="P2699" s="116">
        <v>153.15</v>
      </c>
      <c r="Q2699" s="116">
        <v>149.55000000000001</v>
      </c>
      <c r="R2699">
        <v>22500220</v>
      </c>
    </row>
    <row r="2700" spans="1:18" x14ac:dyDescent="0.25">
      <c r="A2700" s="170">
        <v>45980</v>
      </c>
      <c r="B2700" s="116">
        <v>152.75</v>
      </c>
      <c r="C2700" s="116">
        <v>151.55000000000001</v>
      </c>
      <c r="D2700" s="116">
        <v>150.25</v>
      </c>
      <c r="E2700" s="116">
        <v>150.44999999999999</v>
      </c>
      <c r="F2700" s="116">
        <v>151.55000000000001</v>
      </c>
      <c r="G2700">
        <v>1061384</v>
      </c>
      <c r="H2700" s="116"/>
      <c r="I2700" s="116"/>
      <c r="L2700" s="170">
        <v>45980</v>
      </c>
      <c r="M2700" s="116">
        <v>151.61000000000001</v>
      </c>
      <c r="N2700" s="116">
        <v>152.66</v>
      </c>
      <c r="O2700" s="116">
        <v>150.09</v>
      </c>
      <c r="P2700" s="116">
        <v>150.30000000000001</v>
      </c>
      <c r="Q2700" s="116">
        <v>151.61000000000001</v>
      </c>
      <c r="R2700">
        <v>21355345</v>
      </c>
    </row>
    <row r="2701" spans="1:18" x14ac:dyDescent="0.25">
      <c r="A2701" s="170">
        <v>45981</v>
      </c>
      <c r="B2701" s="116">
        <v>153.44999999999999</v>
      </c>
      <c r="C2701" s="116">
        <v>151.44999999999999</v>
      </c>
      <c r="D2701" s="116">
        <v>151.05000000000001</v>
      </c>
      <c r="E2701" s="116">
        <v>152.44999999999999</v>
      </c>
      <c r="F2701" s="116">
        <v>151.44999999999999</v>
      </c>
      <c r="G2701">
        <v>707935</v>
      </c>
      <c r="H2701" s="116"/>
      <c r="I2701" s="116"/>
      <c r="L2701" s="170">
        <v>45981</v>
      </c>
      <c r="M2701" s="116">
        <v>151.46</v>
      </c>
      <c r="N2701" s="116">
        <v>153.4</v>
      </c>
      <c r="O2701" s="116">
        <v>151</v>
      </c>
      <c r="P2701" s="116">
        <v>152.29</v>
      </c>
      <c r="Q2701" s="116">
        <v>151.46</v>
      </c>
      <c r="R2701">
        <v>11439592</v>
      </c>
    </row>
    <row r="2702" spans="1:18" x14ac:dyDescent="0.25">
      <c r="A2702" s="170">
        <v>45982</v>
      </c>
      <c r="B2702" s="116">
        <v>151.5</v>
      </c>
      <c r="C2702" s="116">
        <v>149.15</v>
      </c>
      <c r="D2702" s="116">
        <v>148.80000000000001</v>
      </c>
      <c r="E2702" s="116">
        <v>151.5</v>
      </c>
      <c r="F2702" s="116">
        <v>149.15</v>
      </c>
      <c r="G2702">
        <v>588888</v>
      </c>
      <c r="H2702" s="116"/>
      <c r="I2702" s="116"/>
      <c r="L2702" s="170">
        <v>45982</v>
      </c>
      <c r="M2702" s="116">
        <v>149.12</v>
      </c>
      <c r="N2702" s="116">
        <v>151.19</v>
      </c>
      <c r="O2702" s="116">
        <v>148.9</v>
      </c>
      <c r="P2702" s="116">
        <v>151</v>
      </c>
      <c r="Q2702" s="116">
        <v>149.12</v>
      </c>
      <c r="R2702">
        <v>9642165</v>
      </c>
    </row>
    <row r="2703" spans="1:18" x14ac:dyDescent="0.25">
      <c r="A2703" s="170">
        <v>45985</v>
      </c>
      <c r="B2703" s="116">
        <v>150.4</v>
      </c>
      <c r="C2703" s="116">
        <v>145.5</v>
      </c>
      <c r="D2703" s="116">
        <v>144.94999999999999</v>
      </c>
      <c r="E2703" s="116">
        <v>149.65</v>
      </c>
      <c r="F2703" s="116">
        <v>145.5</v>
      </c>
      <c r="G2703">
        <v>1387609</v>
      </c>
      <c r="H2703" s="116"/>
      <c r="I2703" s="116"/>
      <c r="L2703" s="170">
        <v>45985</v>
      </c>
      <c r="M2703" s="116">
        <v>145.44</v>
      </c>
      <c r="N2703" s="116">
        <v>150.30000000000001</v>
      </c>
      <c r="O2703" s="116">
        <v>144.80000000000001</v>
      </c>
      <c r="P2703" s="116">
        <v>150</v>
      </c>
      <c r="Q2703" s="116">
        <v>145.44</v>
      </c>
      <c r="R2703">
        <v>13878210</v>
      </c>
    </row>
    <row r="2704" spans="1:18" x14ac:dyDescent="0.25">
      <c r="A2704" s="170">
        <v>45986</v>
      </c>
      <c r="B2704" s="116">
        <v>148.30000000000001</v>
      </c>
      <c r="C2704" s="116">
        <v>146.80000000000001</v>
      </c>
      <c r="D2704" s="116">
        <v>144.75</v>
      </c>
      <c r="E2704" s="116">
        <v>144.75</v>
      </c>
      <c r="F2704" s="116">
        <v>146.80000000000001</v>
      </c>
      <c r="G2704">
        <v>1286866</v>
      </c>
      <c r="H2704" s="116"/>
      <c r="I2704" s="116"/>
      <c r="L2704" s="170">
        <v>45986</v>
      </c>
      <c r="M2704" s="116">
        <v>146.84</v>
      </c>
      <c r="N2704" s="116">
        <v>148.26</v>
      </c>
      <c r="O2704" s="116">
        <v>145.12</v>
      </c>
      <c r="P2704" s="116">
        <v>145.44</v>
      </c>
      <c r="Q2704" s="116">
        <v>146.84</v>
      </c>
      <c r="R2704">
        <v>10803663</v>
      </c>
    </row>
    <row r="2705" spans="1:18" x14ac:dyDescent="0.25">
      <c r="A2705" s="170">
        <v>45987</v>
      </c>
      <c r="B2705" s="116">
        <v>148.9</v>
      </c>
      <c r="C2705" s="116">
        <v>148.6</v>
      </c>
      <c r="D2705" s="116">
        <v>146.4</v>
      </c>
      <c r="E2705" s="116">
        <v>147.44999999999999</v>
      </c>
      <c r="F2705" s="116">
        <v>148.6</v>
      </c>
      <c r="G2705">
        <v>686296</v>
      </c>
      <c r="H2705" s="116"/>
      <c r="I2705" s="116"/>
      <c r="L2705" s="170">
        <v>45987</v>
      </c>
      <c r="M2705" s="116">
        <v>148.62</v>
      </c>
      <c r="N2705" s="116">
        <v>148.9</v>
      </c>
      <c r="O2705" s="116">
        <v>146.35</v>
      </c>
      <c r="P2705" s="116">
        <v>147.19999999999999</v>
      </c>
      <c r="Q2705" s="116">
        <v>148.62</v>
      </c>
      <c r="R2705">
        <v>10550909</v>
      </c>
    </row>
    <row r="2706" spans="1:18" x14ac:dyDescent="0.25">
      <c r="A2706" s="170">
        <v>45988</v>
      </c>
      <c r="B2706" s="116">
        <v>150.75</v>
      </c>
      <c r="C2706" s="116">
        <v>148.25</v>
      </c>
      <c r="D2706" s="116">
        <v>147.5</v>
      </c>
      <c r="E2706" s="116">
        <v>149.05000000000001</v>
      </c>
      <c r="F2706" s="116">
        <v>148.25</v>
      </c>
      <c r="G2706">
        <v>737943</v>
      </c>
      <c r="H2706" s="116"/>
      <c r="I2706" s="116"/>
      <c r="L2706" s="170">
        <v>45988</v>
      </c>
      <c r="M2706" s="116">
        <v>148.13</v>
      </c>
      <c r="N2706" s="116">
        <v>150.63999999999999</v>
      </c>
      <c r="O2706" s="116">
        <v>147.4</v>
      </c>
      <c r="P2706" s="116">
        <v>149.15</v>
      </c>
      <c r="Q2706" s="116">
        <v>148.13</v>
      </c>
      <c r="R2706">
        <v>19409495</v>
      </c>
    </row>
    <row r="2707" spans="1:18" x14ac:dyDescent="0.25">
      <c r="A2707" s="170">
        <v>45989</v>
      </c>
      <c r="B2707" s="116">
        <v>149.05000000000001</v>
      </c>
      <c r="C2707" s="116">
        <v>147.5</v>
      </c>
      <c r="D2707" s="116">
        <v>147.15</v>
      </c>
      <c r="E2707" s="116">
        <v>148.44999999999999</v>
      </c>
      <c r="F2707" s="116">
        <v>147.5</v>
      </c>
      <c r="G2707">
        <v>1004668</v>
      </c>
      <c r="H2707" s="116"/>
      <c r="I2707" s="116"/>
      <c r="L2707" s="170">
        <v>45989</v>
      </c>
      <c r="M2707" s="116">
        <v>147.49</v>
      </c>
      <c r="N2707" s="116">
        <v>149.09</v>
      </c>
      <c r="O2707" s="116">
        <v>147.19999999999999</v>
      </c>
      <c r="P2707" s="116">
        <v>148.55000000000001</v>
      </c>
      <c r="Q2707" s="116">
        <v>147.49</v>
      </c>
      <c r="R2707">
        <v>10052836</v>
      </c>
    </row>
    <row r="2708" spans="1:18" x14ac:dyDescent="0.25">
      <c r="A2708" s="170">
        <v>45992</v>
      </c>
      <c r="B2708" s="116">
        <v>148.85</v>
      </c>
      <c r="C2708" s="116">
        <v>147.35</v>
      </c>
      <c r="D2708" s="116">
        <v>147</v>
      </c>
      <c r="E2708" s="116">
        <v>147.9</v>
      </c>
      <c r="F2708" s="116">
        <v>147.35</v>
      </c>
      <c r="G2708">
        <v>1047581</v>
      </c>
      <c r="H2708" s="116"/>
      <c r="I2708" s="116"/>
      <c r="L2708" s="170">
        <v>45992</v>
      </c>
      <c r="M2708" s="116">
        <v>147.34</v>
      </c>
      <c r="N2708" s="116">
        <v>148.82</v>
      </c>
      <c r="O2708" s="116">
        <v>147.01</v>
      </c>
      <c r="P2708" s="116">
        <v>148.21</v>
      </c>
      <c r="Q2708" s="116">
        <v>147.34</v>
      </c>
      <c r="R2708">
        <v>7759359</v>
      </c>
    </row>
    <row r="2709" spans="1:18" x14ac:dyDescent="0.25">
      <c r="A2709" s="170">
        <v>45993</v>
      </c>
      <c r="B2709">
        <v>148.19999999999999</v>
      </c>
      <c r="C2709">
        <v>146.75</v>
      </c>
      <c r="D2709">
        <v>146.05000000000001</v>
      </c>
      <c r="E2709">
        <v>147.15</v>
      </c>
      <c r="F2709">
        <v>146.75</v>
      </c>
      <c r="G2709">
        <v>1027299</v>
      </c>
      <c r="H2709" s="116"/>
      <c r="I2709" s="116"/>
      <c r="L2709" s="170">
        <v>45993</v>
      </c>
      <c r="M2709" s="116">
        <v>146.76</v>
      </c>
      <c r="N2709" s="116">
        <v>148.18</v>
      </c>
      <c r="O2709" s="116">
        <v>146.05000000000001</v>
      </c>
      <c r="P2709" s="116">
        <v>147.30000000000001</v>
      </c>
      <c r="Q2709" s="116">
        <v>146.76</v>
      </c>
      <c r="R2709">
        <v>6392786</v>
      </c>
    </row>
    <row r="2710" spans="1:18" x14ac:dyDescent="0.25">
      <c r="A2710" s="170">
        <v>45994</v>
      </c>
      <c r="B2710">
        <v>147.69999999999999</v>
      </c>
      <c r="C2710">
        <v>145.05000000000001</v>
      </c>
      <c r="D2710">
        <v>144.55000000000001</v>
      </c>
      <c r="E2710">
        <v>146.65</v>
      </c>
      <c r="F2710">
        <v>145.05000000000001</v>
      </c>
      <c r="G2710">
        <v>558705</v>
      </c>
      <c r="H2710" s="116"/>
      <c r="I2710" s="116"/>
      <c r="L2710" s="170">
        <v>45994</v>
      </c>
      <c r="M2710" s="116">
        <v>144.97</v>
      </c>
      <c r="N2710" s="116">
        <v>147.68</v>
      </c>
      <c r="O2710" s="116">
        <v>144.54</v>
      </c>
      <c r="P2710" s="116">
        <v>146.9</v>
      </c>
      <c r="Q2710" s="116">
        <v>144.97</v>
      </c>
      <c r="R2710">
        <v>10331583</v>
      </c>
    </row>
    <row r="2711" spans="1:18" x14ac:dyDescent="0.25">
      <c r="A2711" s="170">
        <v>45995</v>
      </c>
      <c r="B2711">
        <v>146.80000000000001</v>
      </c>
      <c r="C2711">
        <v>142.75</v>
      </c>
      <c r="D2711">
        <v>142.25</v>
      </c>
      <c r="E2711">
        <v>144.85</v>
      </c>
      <c r="F2711">
        <v>142.75</v>
      </c>
      <c r="G2711">
        <v>1220229</v>
      </c>
      <c r="H2711" s="116"/>
      <c r="I2711" s="116"/>
      <c r="L2711" s="170">
        <v>45995</v>
      </c>
      <c r="M2711" s="116">
        <v>142.72999999999999</v>
      </c>
      <c r="N2711" s="116">
        <v>146.84</v>
      </c>
      <c r="O2711" s="116">
        <v>142.31</v>
      </c>
      <c r="P2711" s="116">
        <v>145</v>
      </c>
      <c r="Q2711" s="116">
        <v>142.72999999999999</v>
      </c>
      <c r="R2711">
        <v>11150119</v>
      </c>
    </row>
    <row r="2712" spans="1:18" x14ac:dyDescent="0.25">
      <c r="A2712" s="170">
        <v>45996</v>
      </c>
      <c r="B2712">
        <v>144.15</v>
      </c>
      <c r="C2712">
        <v>143.75</v>
      </c>
      <c r="D2712">
        <v>142.4</v>
      </c>
      <c r="E2712">
        <v>142.75</v>
      </c>
      <c r="F2712">
        <v>143.75</v>
      </c>
      <c r="G2712">
        <v>1098112</v>
      </c>
      <c r="H2712" s="116"/>
      <c r="I2712" s="116"/>
      <c r="L2712" s="170">
        <v>45996</v>
      </c>
      <c r="M2712" s="116">
        <v>143.78</v>
      </c>
      <c r="N2712" s="116">
        <v>144.19999999999999</v>
      </c>
      <c r="O2712" s="116">
        <v>142.37</v>
      </c>
      <c r="P2712" s="116">
        <v>143</v>
      </c>
      <c r="Q2712" s="116">
        <v>143.78</v>
      </c>
      <c r="R2712">
        <v>7231083</v>
      </c>
    </row>
    <row r="2713" spans="1:18" x14ac:dyDescent="0.25">
      <c r="A2713" s="170">
        <v>45999</v>
      </c>
      <c r="B2713">
        <v>145</v>
      </c>
      <c r="C2713">
        <v>139.05000000000001</v>
      </c>
      <c r="D2713">
        <v>138.15</v>
      </c>
      <c r="E2713">
        <v>144.5</v>
      </c>
      <c r="F2713">
        <v>139.05000000000001</v>
      </c>
      <c r="G2713">
        <v>1032179</v>
      </c>
      <c r="H2713" s="116"/>
      <c r="I2713" s="116"/>
      <c r="L2713" s="170">
        <v>45999</v>
      </c>
      <c r="M2713" s="116">
        <v>139.04</v>
      </c>
      <c r="N2713" s="116">
        <v>145.16</v>
      </c>
      <c r="O2713" s="116">
        <v>138.21</v>
      </c>
      <c r="P2713" s="116">
        <v>144.25</v>
      </c>
      <c r="Q2713" s="116">
        <v>139.04</v>
      </c>
      <c r="R2713">
        <v>14985881</v>
      </c>
    </row>
    <row r="2714" spans="1:18" x14ac:dyDescent="0.25">
      <c r="A2714" s="170">
        <v>46000</v>
      </c>
      <c r="B2714">
        <v>142.9</v>
      </c>
      <c r="C2714">
        <v>142</v>
      </c>
      <c r="D2714">
        <v>135</v>
      </c>
      <c r="E2714">
        <v>139.55000000000001</v>
      </c>
      <c r="F2714">
        <v>142</v>
      </c>
      <c r="G2714">
        <v>2221319</v>
      </c>
      <c r="H2714" s="116"/>
      <c r="I2714" s="116"/>
      <c r="L2714" s="170">
        <v>46000</v>
      </c>
      <c r="M2714" s="116">
        <v>141.80000000000001</v>
      </c>
      <c r="N2714" s="116">
        <v>142.85</v>
      </c>
      <c r="O2714" s="116">
        <v>135</v>
      </c>
      <c r="P2714" s="116">
        <v>139.04</v>
      </c>
      <c r="Q2714" s="116">
        <v>141.80000000000001</v>
      </c>
      <c r="R2714">
        <v>20828393</v>
      </c>
    </row>
    <row r="2715" spans="1:18" x14ac:dyDescent="0.25">
      <c r="A2715" s="170">
        <v>46001</v>
      </c>
      <c r="B2715">
        <v>143.5</v>
      </c>
      <c r="C2715">
        <v>141.19999999999999</v>
      </c>
      <c r="D2715">
        <v>140.65</v>
      </c>
      <c r="E2715">
        <v>142.05000000000001</v>
      </c>
      <c r="F2715">
        <v>141.19999999999999</v>
      </c>
      <c r="G2715">
        <v>1029086</v>
      </c>
      <c r="H2715" s="116"/>
      <c r="I2715" s="116"/>
      <c r="L2715" s="170">
        <v>46001</v>
      </c>
      <c r="M2715" s="116">
        <v>141.18</v>
      </c>
      <c r="N2715" s="116">
        <v>143.5</v>
      </c>
      <c r="O2715" s="116">
        <v>140.69999999999999</v>
      </c>
      <c r="P2715" s="116">
        <v>142.19999999999999</v>
      </c>
      <c r="Q2715" s="116">
        <v>141.18</v>
      </c>
      <c r="R2715">
        <v>7793397</v>
      </c>
    </row>
    <row r="2716" spans="1:18" x14ac:dyDescent="0.25">
      <c r="A2716" s="170">
        <v>46002</v>
      </c>
      <c r="B2716">
        <v>142</v>
      </c>
      <c r="C2716">
        <v>140.55000000000001</v>
      </c>
      <c r="D2716">
        <v>139.25</v>
      </c>
      <c r="E2716">
        <v>141.19999999999999</v>
      </c>
      <c r="F2716">
        <v>140.55000000000001</v>
      </c>
      <c r="G2716">
        <v>990038</v>
      </c>
      <c r="H2716" s="116"/>
      <c r="I2716" s="116"/>
      <c r="L2716" s="170">
        <v>46002</v>
      </c>
      <c r="M2716" s="116">
        <v>140.58000000000001</v>
      </c>
      <c r="N2716" s="116">
        <v>142.1</v>
      </c>
      <c r="O2716" s="116">
        <v>139.25</v>
      </c>
      <c r="P2716" s="116">
        <v>141</v>
      </c>
      <c r="Q2716" s="116">
        <v>140.58000000000001</v>
      </c>
      <c r="R2716">
        <v>10479243</v>
      </c>
    </row>
    <row r="2717" spans="1:18" x14ac:dyDescent="0.25">
      <c r="A2717" s="170">
        <v>46003</v>
      </c>
      <c r="B2717">
        <v>145</v>
      </c>
      <c r="C2717">
        <v>144.44999999999999</v>
      </c>
      <c r="D2717">
        <v>141.4</v>
      </c>
      <c r="E2717">
        <v>141.44999999999999</v>
      </c>
      <c r="F2717">
        <v>144.44999999999999</v>
      </c>
      <c r="G2717">
        <v>767743</v>
      </c>
      <c r="H2717" s="116"/>
      <c r="I2717" s="116"/>
      <c r="L2717" s="170">
        <v>46003</v>
      </c>
      <c r="M2717" s="116">
        <v>144.49</v>
      </c>
      <c r="N2717" s="116">
        <v>145</v>
      </c>
      <c r="O2717" s="116">
        <v>141.38999999999999</v>
      </c>
      <c r="P2717" s="116">
        <v>141.38999999999999</v>
      </c>
      <c r="Q2717" s="116">
        <v>144.49</v>
      </c>
      <c r="R2717">
        <v>13450435</v>
      </c>
    </row>
    <row r="2718" spans="1:18" x14ac:dyDescent="0.25">
      <c r="A2718" s="170">
        <v>46006</v>
      </c>
      <c r="B2718">
        <v>145.35</v>
      </c>
      <c r="C2718">
        <v>144.4</v>
      </c>
      <c r="D2718">
        <v>142.35</v>
      </c>
      <c r="E2718">
        <v>144.65</v>
      </c>
      <c r="F2718">
        <v>144.4</v>
      </c>
      <c r="G2718">
        <v>600834</v>
      </c>
      <c r="H2718" s="116"/>
      <c r="I2718" s="116"/>
      <c r="L2718" s="170">
        <v>46006</v>
      </c>
      <c r="M2718" s="116">
        <v>144.38</v>
      </c>
      <c r="N2718" s="116">
        <v>145.44999999999999</v>
      </c>
      <c r="O2718" s="116">
        <v>142.29</v>
      </c>
      <c r="P2718" s="116">
        <v>144.49</v>
      </c>
      <c r="Q2718" s="116">
        <v>144.38</v>
      </c>
      <c r="R2718">
        <v>8949057</v>
      </c>
    </row>
    <row r="2719" spans="1:18" x14ac:dyDescent="0.25">
      <c r="A2719" s="170">
        <v>46007</v>
      </c>
      <c r="B2719">
        <v>145.85</v>
      </c>
      <c r="C2719">
        <v>145.30000000000001</v>
      </c>
      <c r="D2719">
        <v>143.9</v>
      </c>
      <c r="E2719">
        <v>144.44999999999999</v>
      </c>
      <c r="F2719">
        <v>145.30000000000001</v>
      </c>
      <c r="G2719">
        <v>1282540</v>
      </c>
      <c r="H2719" s="116"/>
      <c r="I2719" s="116"/>
      <c r="L2719" s="170">
        <v>46007</v>
      </c>
      <c r="M2719" s="116">
        <v>145.33000000000001</v>
      </c>
      <c r="N2719" s="116">
        <v>145.80000000000001</v>
      </c>
      <c r="O2719" s="116">
        <v>143.94</v>
      </c>
      <c r="P2719" s="116">
        <v>144.75</v>
      </c>
      <c r="Q2719" s="116">
        <v>145.33000000000001</v>
      </c>
      <c r="R2719">
        <v>12127744</v>
      </c>
    </row>
    <row r="2720" spans="1:18" x14ac:dyDescent="0.25">
      <c r="A2720" s="170">
        <v>46008</v>
      </c>
      <c r="B2720">
        <v>145.6</v>
      </c>
      <c r="C2720">
        <v>143.15</v>
      </c>
      <c r="D2720">
        <v>142.05000000000001</v>
      </c>
      <c r="E2720">
        <v>145.5</v>
      </c>
      <c r="F2720">
        <v>143.15</v>
      </c>
      <c r="G2720">
        <v>626432</v>
      </c>
      <c r="H2720" s="116"/>
      <c r="I2720" s="116"/>
      <c r="L2720" s="170">
        <v>46008</v>
      </c>
      <c r="M2720" s="116">
        <v>143</v>
      </c>
      <c r="N2720" s="116">
        <v>145.44999999999999</v>
      </c>
      <c r="O2720" s="116">
        <v>142.05000000000001</v>
      </c>
      <c r="P2720" s="116">
        <v>145.4</v>
      </c>
      <c r="Q2720" s="116">
        <v>143</v>
      </c>
      <c r="R2720">
        <v>9798422</v>
      </c>
    </row>
    <row r="2721" spans="1:18" x14ac:dyDescent="0.25">
      <c r="A2721" s="170">
        <v>46009</v>
      </c>
      <c r="B2721">
        <v>143</v>
      </c>
      <c r="C2721">
        <v>141.30000000000001</v>
      </c>
      <c r="D2721">
        <v>140.75</v>
      </c>
      <c r="E2721">
        <v>142.80000000000001</v>
      </c>
      <c r="F2721">
        <v>141.30000000000001</v>
      </c>
      <c r="G2721">
        <v>844331</v>
      </c>
      <c r="H2721" s="116"/>
      <c r="I2721" s="116"/>
      <c r="L2721" s="170">
        <v>46009</v>
      </c>
      <c r="M2721" s="116">
        <v>141.30000000000001</v>
      </c>
      <c r="N2721" s="116">
        <v>143</v>
      </c>
      <c r="O2721" s="116">
        <v>140.69999999999999</v>
      </c>
      <c r="P2721" s="116">
        <v>143</v>
      </c>
      <c r="Q2721" s="116">
        <v>141.30000000000001</v>
      </c>
      <c r="R2721">
        <v>6848190</v>
      </c>
    </row>
    <row r="2722" spans="1:18" x14ac:dyDescent="0.25">
      <c r="A2722" s="170">
        <v>46010</v>
      </c>
      <c r="B2722">
        <v>142.19999999999999</v>
      </c>
      <c r="C2722">
        <v>141.69999999999999</v>
      </c>
      <c r="D2722">
        <v>140.65</v>
      </c>
      <c r="E2722">
        <v>141.25</v>
      </c>
      <c r="F2722">
        <v>141.69999999999999</v>
      </c>
      <c r="G2722">
        <v>978441</v>
      </c>
      <c r="H2722" s="116"/>
      <c r="I2722" s="116"/>
      <c r="L2722" s="170">
        <v>46010</v>
      </c>
      <c r="M2722" s="116">
        <v>141.76</v>
      </c>
      <c r="N2722" s="116">
        <v>142.19999999999999</v>
      </c>
      <c r="O2722" s="116">
        <v>140.68</v>
      </c>
      <c r="P2722" s="116">
        <v>141.5</v>
      </c>
      <c r="Q2722" s="116">
        <v>141.76</v>
      </c>
      <c r="R2722">
        <v>7869675</v>
      </c>
    </row>
    <row r="2723" spans="1:18" x14ac:dyDescent="0.25">
      <c r="A2723" s="170">
        <v>46013</v>
      </c>
      <c r="B2723">
        <v>143.69999999999999</v>
      </c>
      <c r="C2723">
        <v>143.25</v>
      </c>
      <c r="D2723">
        <v>141.69999999999999</v>
      </c>
      <c r="E2723">
        <v>141.69999999999999</v>
      </c>
      <c r="F2723">
        <v>143.25</v>
      </c>
      <c r="G2723">
        <v>470911</v>
      </c>
      <c r="H2723" s="116"/>
      <c r="I2723" s="116"/>
      <c r="L2723" s="170">
        <v>46013</v>
      </c>
      <c r="M2723" s="116">
        <v>143.25</v>
      </c>
      <c r="N2723" s="116">
        <v>143.69999999999999</v>
      </c>
      <c r="O2723" s="116">
        <v>141.77000000000001</v>
      </c>
      <c r="P2723" s="116">
        <v>141.77000000000001</v>
      </c>
      <c r="Q2723" s="116">
        <v>143.25</v>
      </c>
      <c r="R2723">
        <v>9612058</v>
      </c>
    </row>
    <row r="2724" spans="1:18" x14ac:dyDescent="0.25">
      <c r="A2724" s="170">
        <v>46014</v>
      </c>
      <c r="B2724">
        <v>144.5</v>
      </c>
      <c r="C2724">
        <v>144.15</v>
      </c>
      <c r="D2724">
        <v>142.25</v>
      </c>
      <c r="E2724">
        <v>143.6</v>
      </c>
      <c r="F2724">
        <v>144.15</v>
      </c>
      <c r="G2724">
        <v>914431</v>
      </c>
      <c r="H2724" s="116"/>
      <c r="I2724" s="116"/>
      <c r="L2724" s="170">
        <v>46014</v>
      </c>
      <c r="M2724" s="116">
        <v>144.30000000000001</v>
      </c>
      <c r="N2724" s="116">
        <v>144.6</v>
      </c>
      <c r="O2724" s="116">
        <v>142.32</v>
      </c>
      <c r="P2724" s="116">
        <v>143.80000000000001</v>
      </c>
      <c r="Q2724" s="116">
        <v>144.30000000000001</v>
      </c>
      <c r="R2724">
        <v>7437606</v>
      </c>
    </row>
    <row r="2725" spans="1:18" x14ac:dyDescent="0.25">
      <c r="A2725" s="170">
        <v>46015</v>
      </c>
      <c r="B2725">
        <v>144.75</v>
      </c>
      <c r="C2725">
        <v>143.19999999999999</v>
      </c>
      <c r="D2725">
        <v>142.65</v>
      </c>
      <c r="E2725">
        <v>144.44999999999999</v>
      </c>
      <c r="F2725">
        <v>143.19999999999999</v>
      </c>
      <c r="G2725">
        <v>442296</v>
      </c>
      <c r="H2725" s="116"/>
      <c r="I2725" s="116"/>
      <c r="L2725" s="170">
        <v>46015</v>
      </c>
      <c r="M2725" s="116">
        <v>143.16</v>
      </c>
      <c r="N2725" s="116">
        <v>144.69999999999999</v>
      </c>
      <c r="O2725" s="116">
        <v>142.66999999999999</v>
      </c>
      <c r="P2725" s="116">
        <v>144.69999999999999</v>
      </c>
      <c r="Q2725" s="116">
        <v>143.16</v>
      </c>
      <c r="R2725">
        <v>7905799</v>
      </c>
    </row>
    <row r="2726" spans="1:18" x14ac:dyDescent="0.25">
      <c r="A2726" s="170">
        <v>46017</v>
      </c>
      <c r="B2726">
        <v>144.35</v>
      </c>
      <c r="C2726">
        <v>142.15</v>
      </c>
      <c r="D2726">
        <v>141.9</v>
      </c>
      <c r="E2726">
        <v>143</v>
      </c>
      <c r="F2726">
        <v>142.15</v>
      </c>
      <c r="G2726">
        <v>1228360</v>
      </c>
      <c r="H2726" s="116"/>
      <c r="I2726" s="116"/>
      <c r="L2726" s="170">
        <v>46017</v>
      </c>
      <c r="M2726" s="116">
        <v>142.19</v>
      </c>
      <c r="N2726" s="116">
        <v>144.37</v>
      </c>
      <c r="O2726" s="116">
        <v>141.9</v>
      </c>
      <c r="P2726" s="116">
        <v>143.15</v>
      </c>
      <c r="Q2726" s="116">
        <v>142.19</v>
      </c>
      <c r="R2726">
        <v>7682604</v>
      </c>
    </row>
    <row r="2727" spans="1:18" x14ac:dyDescent="0.25">
      <c r="A2727" s="170">
        <v>46020</v>
      </c>
      <c r="B2727">
        <v>142.5</v>
      </c>
      <c r="C2727">
        <v>140.65</v>
      </c>
      <c r="D2727">
        <v>140</v>
      </c>
      <c r="E2727">
        <v>142.5</v>
      </c>
      <c r="F2727">
        <v>140.65</v>
      </c>
      <c r="G2727">
        <v>583874</v>
      </c>
      <c r="H2727" s="116"/>
      <c r="I2727" s="116"/>
      <c r="L2727" s="170">
        <v>46020</v>
      </c>
      <c r="M2727" s="116">
        <v>140.44</v>
      </c>
      <c r="N2727" s="116">
        <v>142.49</v>
      </c>
      <c r="O2727" s="116">
        <v>140</v>
      </c>
      <c r="P2727" s="116">
        <v>142.19</v>
      </c>
      <c r="Q2727" s="116">
        <v>140.44</v>
      </c>
      <c r="R2727">
        <v>7527164</v>
      </c>
    </row>
    <row r="2728" spans="1:18" x14ac:dyDescent="0.25">
      <c r="A2728" s="170">
        <v>46021</v>
      </c>
      <c r="B2728">
        <v>145.19999999999999</v>
      </c>
      <c r="C2728">
        <v>144.69999999999999</v>
      </c>
      <c r="D2728">
        <v>139.6</v>
      </c>
      <c r="E2728">
        <v>140.30000000000001</v>
      </c>
      <c r="F2728">
        <v>144.69999999999999</v>
      </c>
      <c r="G2728">
        <v>1529970</v>
      </c>
      <c r="H2728" s="116"/>
      <c r="I2728" s="116"/>
      <c r="L2728" s="170">
        <v>46021</v>
      </c>
      <c r="M2728" s="116">
        <v>144.65</v>
      </c>
      <c r="N2728" s="116">
        <v>145.22999999999999</v>
      </c>
      <c r="O2728" s="116">
        <v>139.68</v>
      </c>
      <c r="P2728" s="116">
        <v>140.43</v>
      </c>
      <c r="Q2728" s="116">
        <v>144.65</v>
      </c>
      <c r="R2728">
        <v>15926892</v>
      </c>
    </row>
    <row r="2729" spans="1:18" x14ac:dyDescent="0.25">
      <c r="A2729" s="170">
        <v>46022</v>
      </c>
      <c r="B2729">
        <v>144.69999999999999</v>
      </c>
      <c r="C2729">
        <v>143</v>
      </c>
      <c r="D2729">
        <v>142.6</v>
      </c>
      <c r="E2729">
        <v>144.69999999999999</v>
      </c>
      <c r="F2729">
        <v>143</v>
      </c>
      <c r="G2729">
        <v>1022346</v>
      </c>
      <c r="H2729" s="116"/>
      <c r="I2729" s="116"/>
      <c r="L2729" s="170">
        <v>46022</v>
      </c>
      <c r="M2729" s="116">
        <v>142.99</v>
      </c>
      <c r="N2729" s="116">
        <v>144.65</v>
      </c>
      <c r="O2729" s="116">
        <v>142.5</v>
      </c>
      <c r="P2729" s="116">
        <v>144.55000000000001</v>
      </c>
      <c r="Q2729" s="116">
        <v>142.99</v>
      </c>
      <c r="R2729">
        <v>8469921</v>
      </c>
    </row>
    <row r="2730" spans="1:18" x14ac:dyDescent="0.25">
      <c r="A2730" s="170">
        <v>46023</v>
      </c>
      <c r="B2730">
        <v>153.19999999999999</v>
      </c>
      <c r="C2730">
        <v>148.85</v>
      </c>
      <c r="D2730">
        <v>142.75</v>
      </c>
      <c r="E2730">
        <v>143</v>
      </c>
      <c r="F2730">
        <v>148.85</v>
      </c>
      <c r="G2730">
        <v>6959067</v>
      </c>
      <c r="H2730" s="116"/>
      <c r="I2730" s="116"/>
      <c r="L2730" s="170">
        <v>46023</v>
      </c>
      <c r="M2730" s="116">
        <v>148.76</v>
      </c>
      <c r="N2730" s="116">
        <v>153.16</v>
      </c>
      <c r="O2730" s="116">
        <v>142.80000000000001</v>
      </c>
      <c r="P2730" s="116">
        <v>143.25</v>
      </c>
      <c r="Q2730" s="116">
        <v>148.76</v>
      </c>
      <c r="R2730">
        <v>64003449</v>
      </c>
    </row>
    <row r="2731" spans="1:18" x14ac:dyDescent="0.25">
      <c r="A2731" s="170">
        <v>46024</v>
      </c>
      <c r="B2731">
        <v>149.85</v>
      </c>
      <c r="C2731">
        <v>148.15</v>
      </c>
      <c r="D2731">
        <v>147.30000000000001</v>
      </c>
      <c r="E2731">
        <v>149</v>
      </c>
      <c r="F2731">
        <v>148.15</v>
      </c>
      <c r="G2731">
        <v>1611226</v>
      </c>
      <c r="H2731" s="116"/>
      <c r="I2731" s="116"/>
      <c r="L2731" s="170">
        <v>46024</v>
      </c>
      <c r="M2731" s="116">
        <v>148.16999999999999</v>
      </c>
      <c r="N2731" s="116">
        <v>149.9</v>
      </c>
      <c r="O2731" s="116">
        <v>147.30000000000001</v>
      </c>
      <c r="P2731" s="116">
        <v>149</v>
      </c>
      <c r="Q2731" s="116">
        <v>148.16999999999999</v>
      </c>
      <c r="R2731">
        <v>14413809</v>
      </c>
    </row>
    <row r="2732" spans="1:18" x14ac:dyDescent="0.25">
      <c r="A2732" s="170">
        <v>46027</v>
      </c>
      <c r="B2732">
        <v>148.44999999999999</v>
      </c>
      <c r="C2732">
        <v>146.19999999999999</v>
      </c>
      <c r="D2732">
        <v>144.44999999999999</v>
      </c>
      <c r="E2732">
        <v>148</v>
      </c>
      <c r="F2732">
        <v>146.19999999999999</v>
      </c>
      <c r="G2732">
        <v>1134316</v>
      </c>
      <c r="H2732" s="116"/>
      <c r="I2732" s="116"/>
      <c r="L2732" s="170">
        <v>46027</v>
      </c>
      <c r="M2732" s="116">
        <v>146.19999999999999</v>
      </c>
      <c r="N2732" s="116">
        <v>148.4</v>
      </c>
      <c r="O2732" s="116">
        <v>144.46</v>
      </c>
      <c r="P2732" s="116">
        <v>148</v>
      </c>
      <c r="Q2732" s="116">
        <v>146.19999999999999</v>
      </c>
      <c r="R2732">
        <v>15844789</v>
      </c>
    </row>
    <row r="2733" spans="1:18" x14ac:dyDescent="0.25">
      <c r="A2733" s="170">
        <v>46028</v>
      </c>
      <c r="B2733">
        <v>149.1</v>
      </c>
      <c r="C2733">
        <v>147.6</v>
      </c>
      <c r="D2733">
        <v>146.69999999999999</v>
      </c>
      <c r="E2733">
        <v>147.35</v>
      </c>
      <c r="F2733">
        <v>147.6</v>
      </c>
      <c r="G2733">
        <v>1827858</v>
      </c>
      <c r="H2733" s="116"/>
      <c r="I2733" s="116"/>
      <c r="L2733" s="170">
        <v>46028</v>
      </c>
      <c r="M2733" s="116">
        <v>147.55000000000001</v>
      </c>
      <c r="N2733" s="116">
        <v>149.16999999999999</v>
      </c>
      <c r="O2733" s="116">
        <v>146.80000000000001</v>
      </c>
      <c r="P2733" s="116">
        <v>147.5</v>
      </c>
      <c r="Q2733" s="116">
        <v>147.55000000000001</v>
      </c>
      <c r="R2733">
        <v>14511973</v>
      </c>
    </row>
    <row r="2734" spans="1:18" x14ac:dyDescent="0.25">
      <c r="A2734" s="170">
        <v>46029</v>
      </c>
      <c r="B2734">
        <v>148.44999999999999</v>
      </c>
      <c r="C2734">
        <v>146.35</v>
      </c>
      <c r="D2734">
        <v>145.80000000000001</v>
      </c>
      <c r="E2734">
        <v>147.1</v>
      </c>
      <c r="F2734">
        <v>146.35</v>
      </c>
      <c r="G2734">
        <v>920951</v>
      </c>
      <c r="H2734" s="116"/>
      <c r="I2734" s="116"/>
      <c r="L2734" s="170">
        <v>46029</v>
      </c>
      <c r="M2734" s="116">
        <v>146.37</v>
      </c>
      <c r="N2734" s="116">
        <v>148.4</v>
      </c>
      <c r="O2734" s="116">
        <v>145.80000000000001</v>
      </c>
      <c r="P2734" s="116">
        <v>147.55000000000001</v>
      </c>
      <c r="Q2734" s="116">
        <v>146.37</v>
      </c>
      <c r="R2734">
        <v>7285671</v>
      </c>
    </row>
    <row r="2735" spans="1:18" x14ac:dyDescent="0.25">
      <c r="A2735" s="170">
        <v>46030</v>
      </c>
      <c r="B2735">
        <v>147.55000000000001</v>
      </c>
      <c r="C2735">
        <v>142.94999999999999</v>
      </c>
      <c r="D2735">
        <v>142.15</v>
      </c>
      <c r="E2735">
        <v>146.4</v>
      </c>
      <c r="F2735">
        <v>142.94999999999999</v>
      </c>
      <c r="G2735">
        <v>927900</v>
      </c>
      <c r="H2735" s="116"/>
      <c r="I2735" s="116"/>
      <c r="L2735" s="170">
        <v>46030</v>
      </c>
      <c r="M2735" s="116">
        <v>142.88999999999999</v>
      </c>
      <c r="N2735" s="116">
        <v>147.55000000000001</v>
      </c>
      <c r="O2735" s="116">
        <v>142.1</v>
      </c>
      <c r="P2735" s="116">
        <v>146.37</v>
      </c>
      <c r="Q2735" s="116">
        <v>142.88999999999999</v>
      </c>
      <c r="R2735">
        <v>9862895</v>
      </c>
    </row>
    <row r="2736" spans="1:18" x14ac:dyDescent="0.25">
      <c r="A2736" s="170">
        <v>46031</v>
      </c>
      <c r="B2736">
        <v>143.94999999999999</v>
      </c>
      <c r="C2736">
        <v>141.85</v>
      </c>
      <c r="D2736">
        <v>140.5</v>
      </c>
      <c r="E2736">
        <v>142.85</v>
      </c>
      <c r="F2736">
        <v>141.85</v>
      </c>
      <c r="G2736">
        <v>1589121</v>
      </c>
      <c r="H2736" s="116"/>
      <c r="I2736" s="116"/>
      <c r="L2736" s="170">
        <v>46031</v>
      </c>
      <c r="M2736" s="116">
        <v>141.68</v>
      </c>
      <c r="N2736" s="116">
        <v>143.99</v>
      </c>
      <c r="O2736" s="116">
        <v>140.54</v>
      </c>
      <c r="P2736" s="116">
        <v>143.19999999999999</v>
      </c>
      <c r="Q2736" s="116">
        <v>141.68</v>
      </c>
      <c r="R2736">
        <v>11323782</v>
      </c>
    </row>
    <row r="2737" spans="1:18" x14ac:dyDescent="0.25">
      <c r="A2737" s="170">
        <v>46034</v>
      </c>
      <c r="B2737">
        <v>143.4</v>
      </c>
      <c r="C2737">
        <v>142.44999999999999</v>
      </c>
      <c r="D2737">
        <v>139.5</v>
      </c>
      <c r="E2737">
        <v>141.5</v>
      </c>
      <c r="F2737">
        <v>142.44999999999999</v>
      </c>
      <c r="G2737">
        <v>1530820</v>
      </c>
      <c r="H2737" s="116"/>
      <c r="I2737" s="116"/>
      <c r="L2737" s="170">
        <v>46034</v>
      </c>
      <c r="M2737" s="116">
        <v>142.54</v>
      </c>
      <c r="N2737" s="116">
        <v>143.36000000000001</v>
      </c>
      <c r="O2737" s="116">
        <v>139.53</v>
      </c>
      <c r="P2737" s="116">
        <v>141.65</v>
      </c>
      <c r="Q2737" s="116">
        <v>142.54</v>
      </c>
      <c r="R2737">
        <v>10353052</v>
      </c>
    </row>
    <row r="2738" spans="1:18" x14ac:dyDescent="0.25">
      <c r="A2738" s="170">
        <v>46035</v>
      </c>
      <c r="B2738">
        <v>144.30000000000001</v>
      </c>
      <c r="C2738">
        <v>143.35</v>
      </c>
      <c r="D2738">
        <v>142</v>
      </c>
      <c r="E2738">
        <v>142.9</v>
      </c>
      <c r="F2738">
        <v>143.35</v>
      </c>
      <c r="G2738">
        <v>732628</v>
      </c>
      <c r="H2738" s="116"/>
      <c r="I2738" s="116"/>
      <c r="L2738" s="170">
        <v>46035</v>
      </c>
      <c r="M2738" s="116">
        <v>143.38</v>
      </c>
      <c r="N2738" s="116">
        <v>144.06</v>
      </c>
      <c r="O2738" s="116">
        <v>142.01</v>
      </c>
      <c r="P2738" s="116">
        <v>143</v>
      </c>
      <c r="Q2738" s="116">
        <v>143.38</v>
      </c>
      <c r="R2738">
        <v>7267061</v>
      </c>
    </row>
    <row r="2739" spans="1:18" x14ac:dyDescent="0.25">
      <c r="A2739" s="170">
        <v>46036</v>
      </c>
      <c r="B2739">
        <v>143.4</v>
      </c>
      <c r="C2739">
        <v>142.69999999999999</v>
      </c>
      <c r="D2739">
        <v>141.55000000000001</v>
      </c>
      <c r="E2739">
        <v>143.15</v>
      </c>
      <c r="F2739">
        <v>142.69999999999999</v>
      </c>
      <c r="G2739">
        <v>449029</v>
      </c>
      <c r="H2739" s="116"/>
      <c r="I2739" s="116"/>
      <c r="L2739" s="170">
        <v>46036</v>
      </c>
      <c r="M2739" s="116">
        <v>142.77000000000001</v>
      </c>
      <c r="N2739" s="116">
        <v>143.37</v>
      </c>
      <c r="O2739" s="116">
        <v>141.61000000000001</v>
      </c>
      <c r="P2739" s="116">
        <v>143</v>
      </c>
      <c r="Q2739" s="116">
        <v>142.77000000000001</v>
      </c>
      <c r="R2739">
        <v>7290553</v>
      </c>
    </row>
    <row r="2740" spans="1:18" x14ac:dyDescent="0.25">
      <c r="A2740" s="170">
        <v>46038</v>
      </c>
      <c r="B2740">
        <v>144.44999999999999</v>
      </c>
      <c r="C2740">
        <v>142.69999999999999</v>
      </c>
      <c r="D2740">
        <v>142</v>
      </c>
      <c r="E2740">
        <v>142.6</v>
      </c>
      <c r="F2740">
        <v>142.69999999999999</v>
      </c>
      <c r="G2740">
        <v>742598</v>
      </c>
      <c r="H2740" s="116"/>
      <c r="I2740" s="116"/>
      <c r="L2740" s="170">
        <v>46038</v>
      </c>
      <c r="M2740" s="116">
        <v>142.63</v>
      </c>
      <c r="N2740" s="116">
        <v>144.5</v>
      </c>
      <c r="O2740" s="116">
        <v>141.5</v>
      </c>
      <c r="P2740" s="116">
        <v>142.6</v>
      </c>
      <c r="Q2740" s="116">
        <v>142.63</v>
      </c>
      <c r="R2740">
        <v>8651198</v>
      </c>
    </row>
    <row r="2741" spans="1:18" x14ac:dyDescent="0.25">
      <c r="A2741" s="170">
        <v>46041</v>
      </c>
      <c r="B2741">
        <v>142.4</v>
      </c>
      <c r="C2741">
        <v>140.65</v>
      </c>
      <c r="D2741">
        <v>140.05000000000001</v>
      </c>
      <c r="E2741">
        <v>141.69999999999999</v>
      </c>
      <c r="F2741">
        <v>140.65</v>
      </c>
      <c r="G2741">
        <v>1173333</v>
      </c>
      <c r="H2741" s="116"/>
      <c r="I2741" s="116"/>
      <c r="L2741" s="170">
        <v>46041</v>
      </c>
      <c r="M2741" s="116">
        <v>140.56</v>
      </c>
      <c r="N2741" s="116">
        <v>142.4</v>
      </c>
      <c r="O2741" s="116">
        <v>139.94999999999999</v>
      </c>
      <c r="P2741" s="116">
        <v>141.80000000000001</v>
      </c>
      <c r="Q2741" s="116">
        <v>140.56</v>
      </c>
      <c r="R2741">
        <v>8355757</v>
      </c>
    </row>
    <row r="2742" spans="1:18" x14ac:dyDescent="0.25">
      <c r="A2742" s="170">
        <v>46042</v>
      </c>
      <c r="B2742">
        <v>142.35</v>
      </c>
      <c r="C2742">
        <v>137.44999999999999</v>
      </c>
      <c r="D2742">
        <v>136.55000000000001</v>
      </c>
      <c r="E2742">
        <v>141.9</v>
      </c>
      <c r="F2742">
        <v>137.44999999999999</v>
      </c>
      <c r="G2742">
        <v>2009642</v>
      </c>
      <c r="H2742" s="116"/>
      <c r="I2742" s="116"/>
      <c r="L2742" s="170">
        <v>46042</v>
      </c>
      <c r="M2742" s="116">
        <v>137.47999999999999</v>
      </c>
      <c r="N2742" s="116">
        <v>142.4</v>
      </c>
      <c r="O2742" s="116">
        <v>136.5</v>
      </c>
      <c r="P2742" s="116">
        <v>141.5</v>
      </c>
      <c r="Q2742" s="116">
        <v>137.47999999999999</v>
      </c>
      <c r="R2742">
        <v>15689961</v>
      </c>
    </row>
    <row r="2743" spans="1:18" x14ac:dyDescent="0.25">
      <c r="A2743" s="170">
        <v>46043</v>
      </c>
      <c r="B2743">
        <v>139.6</v>
      </c>
      <c r="C2743">
        <v>137.65</v>
      </c>
      <c r="D2743">
        <v>134.80000000000001</v>
      </c>
      <c r="E2743">
        <v>137.35</v>
      </c>
      <c r="F2743">
        <v>137.65</v>
      </c>
      <c r="G2743">
        <v>1632847</v>
      </c>
      <c r="H2743" s="116"/>
      <c r="I2743" s="116"/>
      <c r="L2743" s="170">
        <v>46043</v>
      </c>
      <c r="M2743" s="116">
        <v>137.63</v>
      </c>
      <c r="N2743" s="116">
        <v>139.63999999999999</v>
      </c>
      <c r="O2743" s="116">
        <v>134.80000000000001</v>
      </c>
      <c r="P2743" s="116">
        <v>137.5</v>
      </c>
      <c r="Q2743" s="116">
        <v>137.63</v>
      </c>
      <c r="R2743">
        <v>19416781</v>
      </c>
    </row>
    <row r="2744" spans="1:18" x14ac:dyDescent="0.25">
      <c r="A2744" s="170">
        <v>46044</v>
      </c>
      <c r="B2744">
        <v>141.5</v>
      </c>
      <c r="C2744">
        <v>140.80000000000001</v>
      </c>
      <c r="D2744">
        <v>139</v>
      </c>
      <c r="E2744">
        <v>139.05000000000001</v>
      </c>
      <c r="F2744">
        <v>140.80000000000001</v>
      </c>
      <c r="G2744">
        <v>1391611</v>
      </c>
      <c r="H2744" s="116"/>
      <c r="I2744" s="116"/>
      <c r="L2744" s="170">
        <v>46044</v>
      </c>
      <c r="M2744" s="116">
        <v>140.91999999999999</v>
      </c>
      <c r="N2744" s="116">
        <v>141.55000000000001</v>
      </c>
      <c r="O2744" s="116">
        <v>139</v>
      </c>
      <c r="P2744" s="116">
        <v>139.88999999999999</v>
      </c>
      <c r="Q2744" s="116">
        <v>140.91999999999999</v>
      </c>
      <c r="R2744">
        <v>10758034</v>
      </c>
    </row>
    <row r="2745" spans="1:18" x14ac:dyDescent="0.25">
      <c r="A2745" s="170">
        <v>46045</v>
      </c>
      <c r="B2745">
        <v>142.9</v>
      </c>
      <c r="C2745">
        <v>133.05000000000001</v>
      </c>
      <c r="D2745">
        <v>128.35</v>
      </c>
      <c r="E2745">
        <v>141.30000000000001</v>
      </c>
      <c r="F2745">
        <v>133.05000000000001</v>
      </c>
      <c r="G2745">
        <v>4039214</v>
      </c>
      <c r="H2745" s="116"/>
      <c r="I2745" s="116"/>
      <c r="L2745" s="170">
        <v>46045</v>
      </c>
      <c r="M2745" s="116">
        <v>132.96</v>
      </c>
      <c r="N2745" s="116">
        <v>142.9</v>
      </c>
      <c r="O2745" s="116">
        <v>128.1</v>
      </c>
      <c r="P2745" s="116">
        <v>141</v>
      </c>
      <c r="Q2745" s="116">
        <v>132.96</v>
      </c>
      <c r="R2745">
        <v>52434571</v>
      </c>
    </row>
    <row r="2746" spans="1:18" x14ac:dyDescent="0.25">
      <c r="A2746" s="170">
        <v>46049</v>
      </c>
      <c r="B2746">
        <v>137.6</v>
      </c>
      <c r="C2746">
        <v>134.5</v>
      </c>
      <c r="D2746">
        <v>133</v>
      </c>
      <c r="E2746">
        <v>134.65</v>
      </c>
      <c r="F2746">
        <v>134.5</v>
      </c>
      <c r="G2746">
        <v>2986472</v>
      </c>
      <c r="H2746" s="116"/>
      <c r="I2746" s="116"/>
      <c r="L2746" s="170">
        <v>46049</v>
      </c>
      <c r="M2746" s="116">
        <v>134.5</v>
      </c>
      <c r="N2746" s="116">
        <v>137.5</v>
      </c>
      <c r="O2746" s="116">
        <v>132.96</v>
      </c>
      <c r="P2746" s="116">
        <v>135</v>
      </c>
      <c r="Q2746" s="116">
        <v>134.5</v>
      </c>
      <c r="R2746">
        <v>24095155</v>
      </c>
    </row>
    <row r="2747" spans="1:18" x14ac:dyDescent="0.25">
      <c r="A2747" s="170">
        <v>46050</v>
      </c>
      <c r="B2747">
        <v>136</v>
      </c>
      <c r="C2747">
        <v>134.85</v>
      </c>
      <c r="D2747">
        <v>133.55000000000001</v>
      </c>
      <c r="E2747">
        <v>135</v>
      </c>
      <c r="F2747">
        <v>134.85</v>
      </c>
      <c r="G2747">
        <v>1623314</v>
      </c>
      <c r="H2747" s="116"/>
      <c r="I2747" s="116"/>
      <c r="L2747" s="170">
        <v>46050</v>
      </c>
      <c r="M2747" s="116">
        <v>134.72</v>
      </c>
      <c r="N2747" s="116">
        <v>135.9</v>
      </c>
      <c r="O2747" s="116">
        <v>133.6</v>
      </c>
      <c r="P2747" s="116">
        <v>135.13999999999999</v>
      </c>
      <c r="Q2747" s="116">
        <v>134.72</v>
      </c>
      <c r="R2747">
        <v>14843718</v>
      </c>
    </row>
    <row r="2748" spans="1:18" x14ac:dyDescent="0.25">
      <c r="A2748" s="170">
        <v>46051</v>
      </c>
      <c r="B2748">
        <v>136.5</v>
      </c>
      <c r="C2748">
        <v>133.75</v>
      </c>
      <c r="D2748">
        <v>132.6</v>
      </c>
      <c r="E2748">
        <v>135.35</v>
      </c>
      <c r="F2748">
        <v>133.75</v>
      </c>
      <c r="G2748">
        <v>3222033</v>
      </c>
      <c r="H2748" s="116"/>
      <c r="I2748" s="116"/>
      <c r="L2748" s="170">
        <v>46051</v>
      </c>
      <c r="M2748" s="116">
        <v>133.88</v>
      </c>
      <c r="N2748" s="116">
        <v>136.49</v>
      </c>
      <c r="O2748" s="116">
        <v>132.63999999999999</v>
      </c>
      <c r="P2748" s="116">
        <v>135.5</v>
      </c>
      <c r="Q2748" s="116">
        <v>133.88</v>
      </c>
      <c r="R2748">
        <v>26866171</v>
      </c>
    </row>
    <row r="2749" spans="1:18" x14ac:dyDescent="0.25">
      <c r="A2749" s="170">
        <v>46052</v>
      </c>
      <c r="B2749">
        <v>136.4</v>
      </c>
      <c r="C2749">
        <v>135.19999999999999</v>
      </c>
      <c r="D2749">
        <v>131.94999999999999</v>
      </c>
      <c r="E2749">
        <v>132.75</v>
      </c>
      <c r="F2749">
        <v>135.19999999999999</v>
      </c>
      <c r="G2749">
        <v>1308740</v>
      </c>
      <c r="H2749" s="116"/>
      <c r="I2749" s="116"/>
      <c r="L2749" s="170">
        <v>46052</v>
      </c>
      <c r="M2749" s="116">
        <v>135.38</v>
      </c>
      <c r="N2749" s="116">
        <v>136.5</v>
      </c>
      <c r="O2749" s="116">
        <v>131.91</v>
      </c>
      <c r="P2749" s="116">
        <v>133</v>
      </c>
      <c r="Q2749" s="116">
        <v>135.38</v>
      </c>
      <c r="R2749">
        <v>15157606</v>
      </c>
    </row>
    <row r="2750" spans="1:18" x14ac:dyDescent="0.25">
      <c r="A2750" s="170">
        <v>46054</v>
      </c>
      <c r="B2750">
        <v>137.9</v>
      </c>
      <c r="C2750">
        <v>132.85</v>
      </c>
      <c r="D2750">
        <v>131.9</v>
      </c>
      <c r="E2750">
        <v>136.5</v>
      </c>
      <c r="F2750">
        <v>132.85</v>
      </c>
      <c r="G2750">
        <v>813323</v>
      </c>
      <c r="H2750" s="116"/>
      <c r="I2750" s="116"/>
      <c r="L2750" s="170">
        <v>46054</v>
      </c>
      <c r="M2750" s="116">
        <v>132.85</v>
      </c>
      <c r="N2750" s="116">
        <v>139.86000000000001</v>
      </c>
      <c r="O2750" s="116">
        <v>131.94999999999999</v>
      </c>
      <c r="P2750" s="116">
        <v>136.5</v>
      </c>
      <c r="Q2750" s="116">
        <v>132.85</v>
      </c>
      <c r="R2750">
        <v>10156494</v>
      </c>
    </row>
    <row r="2751" spans="1:18" x14ac:dyDescent="0.25">
      <c r="A2751" s="170">
        <v>46055</v>
      </c>
      <c r="B2751">
        <v>134.94999999999999</v>
      </c>
      <c r="C2751">
        <v>134.55000000000001</v>
      </c>
      <c r="D2751">
        <v>130.65</v>
      </c>
      <c r="E2751">
        <v>133.65</v>
      </c>
      <c r="F2751">
        <v>134.55000000000001</v>
      </c>
      <c r="G2751">
        <v>1848620</v>
      </c>
      <c r="H2751" s="116"/>
      <c r="I2751" s="116"/>
      <c r="L2751" s="170">
        <v>46055</v>
      </c>
      <c r="M2751" s="116">
        <v>134.6</v>
      </c>
      <c r="N2751" s="116">
        <v>135</v>
      </c>
      <c r="O2751" s="116">
        <v>130.63</v>
      </c>
      <c r="P2751" s="116">
        <v>133.47999999999999</v>
      </c>
      <c r="Q2751" s="116">
        <v>134.6</v>
      </c>
      <c r="R2751">
        <v>10586714</v>
      </c>
    </row>
    <row r="2752" spans="1:18" x14ac:dyDescent="0.25">
      <c r="A2752" s="170">
        <v>46056</v>
      </c>
      <c r="B2752">
        <v>149</v>
      </c>
      <c r="C2752">
        <v>143.65</v>
      </c>
      <c r="D2752">
        <v>140.6</v>
      </c>
      <c r="E2752">
        <v>145</v>
      </c>
      <c r="F2752">
        <v>143.65</v>
      </c>
      <c r="G2752">
        <v>4123539</v>
      </c>
      <c r="H2752" s="116"/>
      <c r="I2752" s="116"/>
      <c r="L2752" s="170">
        <v>46056</v>
      </c>
      <c r="M2752" s="116">
        <v>143.62</v>
      </c>
      <c r="N2752" s="116">
        <v>149.04</v>
      </c>
      <c r="O2752" s="116">
        <v>140.6</v>
      </c>
      <c r="P2752" s="116">
        <v>145</v>
      </c>
      <c r="Q2752" s="116">
        <v>143.62</v>
      </c>
      <c r="R2752">
        <v>54947535</v>
      </c>
    </row>
    <row r="2753" spans="1:18" x14ac:dyDescent="0.25">
      <c r="A2753" s="170">
        <v>46057</v>
      </c>
      <c r="B2753">
        <v>156</v>
      </c>
      <c r="C2753">
        <v>155.19999999999999</v>
      </c>
      <c r="D2753">
        <v>143.1</v>
      </c>
      <c r="E2753">
        <v>144.6</v>
      </c>
      <c r="F2753">
        <v>155.19999999999999</v>
      </c>
      <c r="G2753">
        <v>9210314</v>
      </c>
      <c r="H2753" s="116"/>
      <c r="I2753" s="116"/>
      <c r="L2753" s="170">
        <v>46057</v>
      </c>
      <c r="M2753" s="116">
        <v>155.29</v>
      </c>
      <c r="N2753" s="116">
        <v>156.09</v>
      </c>
      <c r="O2753" s="116">
        <v>143</v>
      </c>
      <c r="P2753" s="116">
        <v>145</v>
      </c>
      <c r="Q2753" s="116">
        <v>155.29</v>
      </c>
      <c r="R2753">
        <v>78428934</v>
      </c>
    </row>
    <row r="2754" spans="1:18" x14ac:dyDescent="0.25">
      <c r="A2754" s="170">
        <v>46058</v>
      </c>
      <c r="B2754">
        <v>156.9</v>
      </c>
      <c r="C2754">
        <v>153.4</v>
      </c>
      <c r="D2754">
        <v>151.1</v>
      </c>
      <c r="E2754">
        <v>156</v>
      </c>
      <c r="F2754">
        <v>153.4</v>
      </c>
      <c r="G2754">
        <v>2108363</v>
      </c>
      <c r="H2754" s="116"/>
      <c r="I2754" s="116"/>
      <c r="L2754" s="170">
        <v>46058</v>
      </c>
      <c r="M2754" s="116">
        <v>153.44999999999999</v>
      </c>
      <c r="N2754" s="116">
        <v>156.9</v>
      </c>
      <c r="O2754" s="116">
        <v>151.1</v>
      </c>
      <c r="P2754" s="116">
        <v>155.29</v>
      </c>
      <c r="Q2754" s="116">
        <v>153.44999999999999</v>
      </c>
      <c r="R2754">
        <v>26958184</v>
      </c>
    </row>
    <row r="2755" spans="1:18" x14ac:dyDescent="0.25">
      <c r="A2755" s="170">
        <v>46059</v>
      </c>
      <c r="B2755">
        <v>154.15</v>
      </c>
      <c r="C2755">
        <v>152.65</v>
      </c>
      <c r="D2755">
        <v>150</v>
      </c>
      <c r="E2755">
        <v>152</v>
      </c>
      <c r="F2755">
        <v>152.65</v>
      </c>
      <c r="G2755">
        <v>983684</v>
      </c>
      <c r="H2755" s="116"/>
      <c r="I2755" s="116"/>
      <c r="L2755" s="170">
        <v>46059</v>
      </c>
      <c r="M2755" s="116">
        <v>152.74</v>
      </c>
      <c r="N2755" s="116">
        <v>154.11000000000001</v>
      </c>
      <c r="O2755" s="116">
        <v>150</v>
      </c>
      <c r="P2755" s="116">
        <v>152</v>
      </c>
      <c r="Q2755" s="116">
        <v>152.74</v>
      </c>
      <c r="R2755">
        <v>17334858</v>
      </c>
    </row>
    <row r="2756" spans="1:18" x14ac:dyDescent="0.25">
      <c r="A2756" s="170">
        <v>46062</v>
      </c>
      <c r="B2756">
        <v>154.85</v>
      </c>
      <c r="C2756">
        <v>151.30000000000001</v>
      </c>
      <c r="D2756">
        <v>150.80000000000001</v>
      </c>
      <c r="E2756">
        <v>153.69999999999999</v>
      </c>
      <c r="F2756">
        <v>151.30000000000001</v>
      </c>
      <c r="G2756">
        <v>995979</v>
      </c>
      <c r="H2756" s="116"/>
      <c r="I2756" s="116"/>
      <c r="L2756" s="170">
        <v>46062</v>
      </c>
      <c r="M2756" s="116">
        <v>151.37</v>
      </c>
      <c r="N2756" s="116">
        <v>154.85</v>
      </c>
      <c r="O2756" s="116">
        <v>150.6</v>
      </c>
      <c r="P2756" s="116">
        <v>154</v>
      </c>
      <c r="Q2756" s="116">
        <v>151.37</v>
      </c>
      <c r="R2756">
        <v>13739514</v>
      </c>
    </row>
    <row r="2757" spans="1:18" x14ac:dyDescent="0.25">
      <c r="A2757" s="170">
        <v>46063</v>
      </c>
      <c r="B2757">
        <v>152.69999999999999</v>
      </c>
      <c r="C2757">
        <v>149.1</v>
      </c>
      <c r="D2757">
        <v>147.80000000000001</v>
      </c>
      <c r="E2757">
        <v>152.69999999999999</v>
      </c>
      <c r="F2757">
        <v>149.1</v>
      </c>
      <c r="G2757">
        <v>923945</v>
      </c>
      <c r="H2757" s="116"/>
      <c r="I2757" s="116"/>
      <c r="L2757" s="170">
        <v>46063</v>
      </c>
      <c r="M2757" s="116">
        <v>149.05000000000001</v>
      </c>
      <c r="N2757" s="116">
        <v>152</v>
      </c>
      <c r="O2757" s="116">
        <v>147.81</v>
      </c>
      <c r="P2757" s="116">
        <v>152</v>
      </c>
      <c r="Q2757" s="116">
        <v>149.05000000000001</v>
      </c>
      <c r="R2757">
        <v>17009549</v>
      </c>
    </row>
    <row r="2758" spans="1:18" x14ac:dyDescent="0.25">
      <c r="A2758" s="170">
        <v>46064</v>
      </c>
      <c r="B2758">
        <v>151.19999999999999</v>
      </c>
      <c r="C2758">
        <v>150.85</v>
      </c>
      <c r="D2758">
        <v>147.75</v>
      </c>
      <c r="E2758">
        <v>149.19999999999999</v>
      </c>
      <c r="F2758">
        <v>150.85</v>
      </c>
      <c r="G2758">
        <v>1319384</v>
      </c>
      <c r="H2758" s="116"/>
      <c r="I2758" s="116"/>
      <c r="L2758" s="170">
        <v>46064</v>
      </c>
      <c r="M2758" s="116">
        <v>150.91</v>
      </c>
      <c r="N2758" s="116">
        <v>151.33000000000001</v>
      </c>
      <c r="O2758" s="116">
        <v>147.80000000000001</v>
      </c>
      <c r="P2758" s="116">
        <v>149.59</v>
      </c>
      <c r="Q2758" s="116">
        <v>150.91</v>
      </c>
      <c r="R2758">
        <v>10695646</v>
      </c>
    </row>
    <row r="2759" spans="1:18" x14ac:dyDescent="0.25">
      <c r="A2759" s="170">
        <v>46065</v>
      </c>
      <c r="B2759">
        <v>150.85</v>
      </c>
      <c r="C2759">
        <v>149.80000000000001</v>
      </c>
      <c r="D2759">
        <v>148.75</v>
      </c>
      <c r="E2759">
        <v>150.85</v>
      </c>
      <c r="F2759">
        <v>149.80000000000001</v>
      </c>
      <c r="G2759">
        <v>450142</v>
      </c>
      <c r="H2759" s="116"/>
      <c r="I2759" s="116"/>
      <c r="L2759" s="170">
        <v>46065</v>
      </c>
      <c r="M2759" s="116">
        <v>149.79</v>
      </c>
      <c r="N2759" s="116">
        <v>150.75</v>
      </c>
      <c r="O2759" s="116">
        <v>148.75</v>
      </c>
      <c r="P2759" s="116">
        <v>150.47</v>
      </c>
      <c r="Q2759" s="116">
        <v>149.79</v>
      </c>
      <c r="R2759">
        <v>8553724</v>
      </c>
    </row>
    <row r="2760" spans="1:18" x14ac:dyDescent="0.25">
      <c r="A2760" s="170">
        <v>46066</v>
      </c>
      <c r="B2760">
        <v>149.1</v>
      </c>
      <c r="C2760">
        <v>139.9</v>
      </c>
      <c r="D2760">
        <v>139.19999999999999</v>
      </c>
      <c r="E2760">
        <v>149.05000000000001</v>
      </c>
      <c r="F2760">
        <v>139.9</v>
      </c>
      <c r="G2760">
        <v>2371442</v>
      </c>
      <c r="H2760" s="116"/>
      <c r="I2760" s="116"/>
      <c r="L2760" s="170">
        <v>46066</v>
      </c>
      <c r="M2760" s="116">
        <v>139.9</v>
      </c>
      <c r="N2760" s="116">
        <v>149.30000000000001</v>
      </c>
      <c r="O2760" s="116">
        <v>139.1</v>
      </c>
      <c r="P2760" s="116">
        <v>149.19999999999999</v>
      </c>
      <c r="Q2760" s="116">
        <v>139.9</v>
      </c>
      <c r="R2760">
        <v>38679559</v>
      </c>
    </row>
    <row r="2761" spans="1:18" x14ac:dyDescent="0.25">
      <c r="A2761" s="170">
        <v>46069</v>
      </c>
      <c r="B2761">
        <v>143.65</v>
      </c>
      <c r="C2761">
        <v>142.80000000000001</v>
      </c>
      <c r="D2761">
        <v>139.05000000000001</v>
      </c>
      <c r="E2761">
        <v>140.1</v>
      </c>
      <c r="F2761">
        <v>142.80000000000001</v>
      </c>
      <c r="G2761">
        <v>1257312</v>
      </c>
      <c r="H2761" s="116"/>
      <c r="I2761" s="116"/>
      <c r="L2761" s="170">
        <v>46069</v>
      </c>
      <c r="M2761" s="116">
        <v>142.77000000000001</v>
      </c>
      <c r="N2761" s="116">
        <v>143.65</v>
      </c>
      <c r="O2761" s="116">
        <v>139.01</v>
      </c>
      <c r="P2761" s="116">
        <v>140.5</v>
      </c>
      <c r="Q2761" s="116">
        <v>142.77000000000001</v>
      </c>
      <c r="R2761">
        <v>17314552</v>
      </c>
    </row>
    <row r="2762" spans="1:18" x14ac:dyDescent="0.25">
      <c r="A2762" s="170">
        <v>46070</v>
      </c>
      <c r="B2762">
        <v>144.94999999999999</v>
      </c>
      <c r="C2762">
        <v>144.35</v>
      </c>
      <c r="D2762">
        <v>141.6</v>
      </c>
      <c r="E2762">
        <v>142.1</v>
      </c>
      <c r="F2762">
        <v>144.35</v>
      </c>
      <c r="G2762">
        <v>1181293</v>
      </c>
      <c r="H2762" s="116"/>
      <c r="I2762" s="116"/>
      <c r="L2762" s="170">
        <v>46070</v>
      </c>
      <c r="M2762" s="116">
        <v>144.35</v>
      </c>
      <c r="N2762" s="116">
        <v>145</v>
      </c>
      <c r="O2762" s="116">
        <v>141.58000000000001</v>
      </c>
      <c r="P2762" s="116">
        <v>142.54</v>
      </c>
      <c r="Q2762" s="116">
        <v>144.35</v>
      </c>
      <c r="R2762">
        <v>11021261</v>
      </c>
    </row>
    <row r="2763" spans="1:18" x14ac:dyDescent="0.25">
      <c r="A2763" s="170">
        <v>46071</v>
      </c>
      <c r="B2763">
        <v>145.15</v>
      </c>
      <c r="C2763">
        <v>144.44999999999999</v>
      </c>
      <c r="D2763">
        <v>142.19999999999999</v>
      </c>
      <c r="E2763">
        <v>144.69999999999999</v>
      </c>
      <c r="F2763">
        <v>144.44999999999999</v>
      </c>
      <c r="G2763">
        <v>705047</v>
      </c>
      <c r="H2763" s="116"/>
      <c r="I2763" s="116"/>
      <c r="L2763" s="170">
        <v>46071</v>
      </c>
      <c r="M2763" s="116">
        <v>144.49</v>
      </c>
      <c r="N2763" s="116">
        <v>145.25</v>
      </c>
      <c r="O2763" s="116">
        <v>142.19999999999999</v>
      </c>
      <c r="P2763" s="116">
        <v>144.5</v>
      </c>
      <c r="Q2763" s="116">
        <v>144.49</v>
      </c>
      <c r="R2763">
        <v>10122491</v>
      </c>
    </row>
    <row r="2764" spans="1:18" x14ac:dyDescent="0.25">
      <c r="A2764" s="170">
        <v>46072</v>
      </c>
      <c r="B2764">
        <v>146.55000000000001</v>
      </c>
      <c r="C2764">
        <v>140.55000000000001</v>
      </c>
      <c r="D2764">
        <v>140.1</v>
      </c>
      <c r="E2764">
        <v>145.55000000000001</v>
      </c>
      <c r="F2764">
        <v>140.55000000000001</v>
      </c>
      <c r="G2764">
        <v>587337</v>
      </c>
      <c r="H2764" s="116"/>
      <c r="I2764" s="116"/>
      <c r="L2764" s="170">
        <v>46072</v>
      </c>
      <c r="M2764" s="116">
        <v>140.44999999999999</v>
      </c>
      <c r="N2764" s="116">
        <v>146.43</v>
      </c>
      <c r="O2764" s="116">
        <v>140</v>
      </c>
      <c r="P2764" s="116">
        <v>145.69999999999999</v>
      </c>
      <c r="Q2764" s="116">
        <v>140.44999999999999</v>
      </c>
      <c r="R2764">
        <v>14048153</v>
      </c>
    </row>
    <row r="2765" spans="1:18" x14ac:dyDescent="0.25">
      <c r="A2765" s="170">
        <v>46073</v>
      </c>
      <c r="B2765">
        <v>144.30000000000001</v>
      </c>
      <c r="C2765">
        <v>142.65</v>
      </c>
      <c r="D2765">
        <v>139.35</v>
      </c>
      <c r="E2765">
        <v>140.25</v>
      </c>
      <c r="F2765">
        <v>142.65</v>
      </c>
      <c r="G2765">
        <v>1188796</v>
      </c>
      <c r="H2765" s="116"/>
      <c r="I2765" s="116"/>
      <c r="L2765" s="170">
        <v>46073</v>
      </c>
      <c r="M2765" s="116">
        <v>142.69999999999999</v>
      </c>
      <c r="N2765" s="116">
        <v>144.33000000000001</v>
      </c>
      <c r="O2765" s="116">
        <v>139.69999999999999</v>
      </c>
      <c r="P2765" s="116">
        <v>140.44999999999999</v>
      </c>
      <c r="Q2765" s="116">
        <v>142.69999999999999</v>
      </c>
      <c r="R2765">
        <v>11915213</v>
      </c>
    </row>
    <row r="2766" spans="1:18" x14ac:dyDescent="0.25">
      <c r="A2766" s="170">
        <v>46076</v>
      </c>
      <c r="B2766">
        <v>145.75</v>
      </c>
      <c r="C2766">
        <v>144</v>
      </c>
      <c r="D2766">
        <v>142.69999999999999</v>
      </c>
      <c r="E2766">
        <v>145</v>
      </c>
      <c r="F2766">
        <v>144</v>
      </c>
      <c r="G2766">
        <v>526565</v>
      </c>
      <c r="H2766" s="116"/>
      <c r="I2766" s="116"/>
      <c r="L2766" s="170">
        <v>46076</v>
      </c>
      <c r="M2766" s="116">
        <v>144.05000000000001</v>
      </c>
      <c r="N2766" s="116">
        <v>145.69</v>
      </c>
      <c r="O2766" s="116">
        <v>142.69999999999999</v>
      </c>
      <c r="P2766" s="116">
        <v>145.15</v>
      </c>
      <c r="Q2766" s="116">
        <v>144.05000000000001</v>
      </c>
      <c r="R2766">
        <v>9098843</v>
      </c>
    </row>
    <row r="2767" spans="1:18" x14ac:dyDescent="0.25">
      <c r="A2767" s="170">
        <v>46077</v>
      </c>
      <c r="B2767">
        <v>144.69999999999999</v>
      </c>
      <c r="C2767">
        <v>144.19999999999999</v>
      </c>
      <c r="D2767">
        <v>142.4</v>
      </c>
      <c r="E2767">
        <v>143.65</v>
      </c>
      <c r="F2767">
        <v>144.19999999999999</v>
      </c>
      <c r="G2767">
        <v>414446</v>
      </c>
      <c r="H2767" s="116"/>
      <c r="I2767" s="116"/>
      <c r="L2767" s="170">
        <v>46077</v>
      </c>
      <c r="M2767" s="116">
        <v>144.31</v>
      </c>
      <c r="N2767" s="116">
        <v>144.72</v>
      </c>
      <c r="O2767" s="116">
        <v>142.24</v>
      </c>
      <c r="P2767" s="116">
        <v>143.5</v>
      </c>
      <c r="Q2767" s="116">
        <v>144.31</v>
      </c>
      <c r="R2767">
        <v>8248526</v>
      </c>
    </row>
    <row r="2768" spans="1:18" x14ac:dyDescent="0.25">
      <c r="A2768" s="170">
        <v>46078</v>
      </c>
      <c r="B2768">
        <v>145.5</v>
      </c>
      <c r="C2768">
        <v>140.5</v>
      </c>
      <c r="D2768">
        <v>139.80000000000001</v>
      </c>
      <c r="E2768">
        <v>145</v>
      </c>
      <c r="F2768">
        <v>140.5</v>
      </c>
      <c r="G2768">
        <v>977264</v>
      </c>
      <c r="H2768" s="116"/>
      <c r="I2768" s="116"/>
      <c r="L2768" s="170">
        <v>46078</v>
      </c>
      <c r="M2768" s="116">
        <v>140.54</v>
      </c>
      <c r="N2768" s="116">
        <v>145.6</v>
      </c>
      <c r="O2768" s="116">
        <v>139.81</v>
      </c>
      <c r="P2768" s="116">
        <v>144.69999999999999</v>
      </c>
      <c r="Q2768" s="116">
        <v>140.54</v>
      </c>
      <c r="R2768">
        <v>17864508</v>
      </c>
    </row>
    <row r="2769" spans="1:18" x14ac:dyDescent="0.25">
      <c r="A2769" s="170">
        <v>46079</v>
      </c>
      <c r="B2769">
        <v>142</v>
      </c>
      <c r="C2769">
        <v>141.4</v>
      </c>
      <c r="D2769">
        <v>140.5</v>
      </c>
      <c r="E2769">
        <v>140.6</v>
      </c>
      <c r="F2769">
        <v>141.4</v>
      </c>
      <c r="G2769">
        <v>388318</v>
      </c>
      <c r="H2769" s="116"/>
      <c r="I2769" s="116"/>
      <c r="L2769" s="170">
        <v>46079</v>
      </c>
      <c r="M2769" s="116">
        <v>141.34</v>
      </c>
      <c r="N2769" s="116">
        <v>142</v>
      </c>
      <c r="O2769" s="116">
        <v>140.5</v>
      </c>
      <c r="P2769" s="116">
        <v>141</v>
      </c>
      <c r="Q2769" s="116">
        <v>141.34</v>
      </c>
      <c r="R2769">
        <v>6526437</v>
      </c>
    </row>
    <row r="2770" spans="1:18" x14ac:dyDescent="0.25">
      <c r="A2770" s="170">
        <v>46080</v>
      </c>
      <c r="B2770">
        <v>141.65</v>
      </c>
      <c r="C2770">
        <v>140.1</v>
      </c>
      <c r="D2770">
        <v>139.65</v>
      </c>
      <c r="E2770">
        <v>140.15</v>
      </c>
      <c r="F2770">
        <v>140.1</v>
      </c>
      <c r="G2770">
        <v>690592</v>
      </c>
      <c r="H2770" s="116"/>
      <c r="I2770" s="116"/>
      <c r="L2770" s="170">
        <v>46080</v>
      </c>
      <c r="M2770" s="116">
        <v>140.11000000000001</v>
      </c>
      <c r="N2770" s="116">
        <v>141.66</v>
      </c>
      <c r="O2770" s="116">
        <v>139.80000000000001</v>
      </c>
      <c r="P2770" s="116">
        <v>141</v>
      </c>
      <c r="Q2770" s="116">
        <v>140.11000000000001</v>
      </c>
      <c r="R2770">
        <v>8054854</v>
      </c>
    </row>
    <row r="2771" spans="1:18" x14ac:dyDescent="0.25">
      <c r="A2771" s="170">
        <v>46083</v>
      </c>
      <c r="B2771">
        <v>138.65</v>
      </c>
      <c r="C2771">
        <v>137.94999999999999</v>
      </c>
      <c r="D2771">
        <v>130.15</v>
      </c>
      <c r="E2771">
        <v>130.15</v>
      </c>
      <c r="F2771">
        <v>137.94999999999999</v>
      </c>
      <c r="G2771">
        <v>1812060</v>
      </c>
      <c r="H2771" s="116"/>
      <c r="I2771" s="116"/>
      <c r="L2771" s="170">
        <v>46083</v>
      </c>
      <c r="M2771" s="116">
        <v>137.97</v>
      </c>
      <c r="N2771" s="116">
        <v>138.68</v>
      </c>
      <c r="O2771" s="116">
        <v>130.69999999999999</v>
      </c>
      <c r="P2771" s="116">
        <v>133</v>
      </c>
      <c r="Q2771" s="116">
        <v>137.97</v>
      </c>
      <c r="R2771">
        <v>26699798</v>
      </c>
    </row>
    <row r="2772" spans="1:18" x14ac:dyDescent="0.25">
      <c r="A2772" s="170">
        <v>46085</v>
      </c>
      <c r="B2772">
        <v>139.19999999999999</v>
      </c>
      <c r="C2772">
        <v>137.85</v>
      </c>
      <c r="D2772">
        <v>134</v>
      </c>
      <c r="E2772">
        <v>134</v>
      </c>
      <c r="F2772">
        <v>137.85</v>
      </c>
      <c r="G2772">
        <v>1079726</v>
      </c>
      <c r="H2772" s="116"/>
      <c r="I2772" s="116"/>
      <c r="L2772" s="170">
        <v>46085</v>
      </c>
      <c r="M2772" s="116">
        <v>137.82</v>
      </c>
      <c r="N2772" s="116">
        <v>139.30000000000001</v>
      </c>
      <c r="O2772" s="116">
        <v>134.41</v>
      </c>
      <c r="P2772" s="116">
        <v>135</v>
      </c>
      <c r="Q2772" s="116">
        <v>137.82</v>
      </c>
      <c r="R2772">
        <v>16666324</v>
      </c>
    </row>
    <row r="2773" spans="1:18" x14ac:dyDescent="0.25">
      <c r="A2773" s="170">
        <v>46086</v>
      </c>
      <c r="B2773">
        <v>140.5</v>
      </c>
      <c r="C2773">
        <v>140.05000000000001</v>
      </c>
      <c r="D2773">
        <v>138.15</v>
      </c>
      <c r="E2773">
        <v>139.25</v>
      </c>
      <c r="F2773">
        <v>140.05000000000001</v>
      </c>
      <c r="G2773">
        <v>864371</v>
      </c>
      <c r="H2773" s="116"/>
      <c r="I2773" s="116"/>
      <c r="L2773" s="170">
        <v>46086</v>
      </c>
      <c r="M2773" s="116">
        <v>140.11000000000001</v>
      </c>
      <c r="N2773" s="116">
        <v>140.55000000000001</v>
      </c>
      <c r="O2773" s="116">
        <v>138.11000000000001</v>
      </c>
      <c r="P2773" s="116">
        <v>139</v>
      </c>
      <c r="Q2773" s="116">
        <v>140.11000000000001</v>
      </c>
      <c r="R2773">
        <v>8274419</v>
      </c>
    </row>
    <row r="2774" spans="1:18" x14ac:dyDescent="0.25">
      <c r="A2774" s="170">
        <v>46087</v>
      </c>
      <c r="B2774">
        <v>142.6</v>
      </c>
      <c r="C2774">
        <v>138.9</v>
      </c>
      <c r="D2774">
        <v>138.44999999999999</v>
      </c>
      <c r="E2774">
        <v>140.05000000000001</v>
      </c>
      <c r="F2774">
        <v>138.9</v>
      </c>
      <c r="G2774">
        <v>674035</v>
      </c>
      <c r="H2774" s="116"/>
      <c r="I2774" s="116"/>
      <c r="L2774" s="170">
        <v>46087</v>
      </c>
      <c r="M2774" s="116">
        <v>138.99</v>
      </c>
      <c r="N2774" s="116">
        <v>142.59</v>
      </c>
      <c r="O2774" s="116">
        <v>138.5</v>
      </c>
      <c r="P2774" s="116">
        <v>139.6</v>
      </c>
      <c r="Q2774" s="116">
        <v>138.99</v>
      </c>
      <c r="R2774">
        <v>11769177</v>
      </c>
    </row>
    <row r="2775" spans="1:18" x14ac:dyDescent="0.25">
      <c r="A2775" s="170">
        <v>46090</v>
      </c>
      <c r="B2775">
        <v>139.75</v>
      </c>
      <c r="C2775">
        <v>139.19999999999999</v>
      </c>
      <c r="D2775">
        <v>135.15</v>
      </c>
      <c r="E2775">
        <v>136.80000000000001</v>
      </c>
      <c r="F2775">
        <v>139.19999999999999</v>
      </c>
      <c r="G2775">
        <v>718664</v>
      </c>
      <c r="H2775" s="116"/>
      <c r="I2775" s="116"/>
      <c r="L2775" s="170">
        <v>46090</v>
      </c>
      <c r="M2775" s="116">
        <v>139.11000000000001</v>
      </c>
      <c r="N2775" s="116">
        <v>139.83000000000001</v>
      </c>
      <c r="O2775" s="116">
        <v>134.86000000000001</v>
      </c>
      <c r="P2775" s="116">
        <v>136.5</v>
      </c>
      <c r="Q2775" s="116">
        <v>139.11000000000001</v>
      </c>
      <c r="R2775">
        <v>12009431</v>
      </c>
    </row>
    <row r="2776" spans="1:18" x14ac:dyDescent="0.25">
      <c r="A2776" s="170">
        <v>46091</v>
      </c>
      <c r="B2776">
        <v>142</v>
      </c>
      <c r="C2776">
        <v>138.94999999999999</v>
      </c>
      <c r="D2776">
        <v>138.65</v>
      </c>
      <c r="E2776">
        <v>141.5</v>
      </c>
      <c r="F2776">
        <v>138.94999999999999</v>
      </c>
      <c r="G2776">
        <v>743610</v>
      </c>
      <c r="H2776" s="116"/>
      <c r="I2776" s="116"/>
      <c r="L2776" s="170">
        <v>46091</v>
      </c>
      <c r="M2776" s="116">
        <v>138.94</v>
      </c>
      <c r="N2776" s="116">
        <v>141.5</v>
      </c>
      <c r="O2776" s="116">
        <v>138.61000000000001</v>
      </c>
      <c r="P2776" s="116">
        <v>141.5</v>
      </c>
      <c r="Q2776" s="116">
        <v>138.94</v>
      </c>
      <c r="R2776">
        <v>15123909</v>
      </c>
    </row>
    <row r="2777" spans="1:18" x14ac:dyDescent="0.25">
      <c r="A2777" s="170">
        <v>46092</v>
      </c>
      <c r="B2777">
        <v>142</v>
      </c>
      <c r="C2777">
        <v>138.85</v>
      </c>
      <c r="D2777">
        <v>138.65</v>
      </c>
      <c r="E2777">
        <v>139.35</v>
      </c>
      <c r="F2777">
        <v>138.85</v>
      </c>
      <c r="G2777">
        <v>1336217</v>
      </c>
      <c r="H2777" s="116"/>
      <c r="I2777" s="116"/>
      <c r="L2777" s="170">
        <v>46092</v>
      </c>
      <c r="M2777" s="116">
        <v>138.85</v>
      </c>
      <c r="N2777" s="116">
        <v>142.09</v>
      </c>
      <c r="O2777" s="116">
        <v>138.68</v>
      </c>
      <c r="P2777" s="116">
        <v>139.19999999999999</v>
      </c>
      <c r="Q2777" s="116">
        <v>138.85</v>
      </c>
      <c r="R2777">
        <v>15328343</v>
      </c>
    </row>
    <row r="2778" spans="1:18" x14ac:dyDescent="0.25">
      <c r="A2778" s="170">
        <v>46093</v>
      </c>
      <c r="B2778">
        <v>152</v>
      </c>
      <c r="C2778">
        <v>149.1</v>
      </c>
      <c r="D2778">
        <v>137.25</v>
      </c>
      <c r="E2778">
        <v>139</v>
      </c>
      <c r="F2778">
        <v>149.1</v>
      </c>
      <c r="G2778">
        <v>5299147</v>
      </c>
      <c r="H2778" s="116"/>
      <c r="I2778" s="116"/>
      <c r="L2778" s="170">
        <v>46093</v>
      </c>
      <c r="M2778" s="116">
        <v>149.11000000000001</v>
      </c>
      <c r="N2778" s="116">
        <v>151.97999999999999</v>
      </c>
      <c r="O2778" s="116">
        <v>137.51</v>
      </c>
      <c r="P2778" s="116">
        <v>138.84</v>
      </c>
      <c r="Q2778" s="116">
        <v>149.11000000000001</v>
      </c>
      <c r="R2778">
        <v>81276272</v>
      </c>
    </row>
    <row r="2779" spans="1:18" x14ac:dyDescent="0.25">
      <c r="A2779" s="170">
        <v>46094</v>
      </c>
      <c r="B2779">
        <v>153.85</v>
      </c>
      <c r="C2779">
        <v>146.69999999999999</v>
      </c>
      <c r="D2779">
        <v>145.35</v>
      </c>
      <c r="E2779">
        <v>150.9</v>
      </c>
      <c r="F2779">
        <v>146.69999999999999</v>
      </c>
      <c r="G2779">
        <v>2294271</v>
      </c>
      <c r="H2779" s="116"/>
      <c r="I2779" s="116"/>
      <c r="L2779" s="170">
        <v>46094</v>
      </c>
      <c r="M2779" s="116">
        <v>146.57</v>
      </c>
      <c r="N2779" s="116">
        <v>153.9</v>
      </c>
      <c r="O2779" s="116">
        <v>145.30000000000001</v>
      </c>
      <c r="P2779" s="116">
        <v>151</v>
      </c>
      <c r="Q2779" s="116">
        <v>146.57</v>
      </c>
      <c r="R2779">
        <v>54479845</v>
      </c>
    </row>
    <row r="2780" spans="1:18" x14ac:dyDescent="0.25">
      <c r="A2780" s="170">
        <v>46097</v>
      </c>
      <c r="B2780">
        <v>154.94999999999999</v>
      </c>
      <c r="C2780">
        <v>154.1</v>
      </c>
      <c r="D2780">
        <v>146.30000000000001</v>
      </c>
      <c r="E2780">
        <v>150</v>
      </c>
      <c r="F2780">
        <v>154.1</v>
      </c>
      <c r="G2780">
        <v>6233697</v>
      </c>
      <c r="H2780" s="116"/>
      <c r="I2780" s="116"/>
      <c r="L2780" s="170">
        <v>46097</v>
      </c>
      <c r="M2780" s="116">
        <v>154.06</v>
      </c>
      <c r="N2780" s="116">
        <v>155</v>
      </c>
      <c r="O2780" s="116">
        <v>146.4</v>
      </c>
      <c r="P2780" s="116">
        <v>149.9</v>
      </c>
      <c r="Q2780" s="116">
        <v>154.06</v>
      </c>
      <c r="R2780">
        <v>90227164</v>
      </c>
    </row>
    <row r="2781" spans="1:18" x14ac:dyDescent="0.25">
      <c r="A2781" s="170">
        <v>46098</v>
      </c>
      <c r="B2781">
        <v>157.5</v>
      </c>
      <c r="C2781">
        <v>155.5</v>
      </c>
      <c r="D2781">
        <v>153.65</v>
      </c>
      <c r="E2781">
        <v>155.80000000000001</v>
      </c>
      <c r="F2781">
        <v>155.5</v>
      </c>
      <c r="G2781">
        <v>2952136</v>
      </c>
      <c r="H2781" s="116"/>
      <c r="I2781" s="116"/>
      <c r="L2781" s="170">
        <v>46098</v>
      </c>
      <c r="M2781" s="116">
        <v>155.6</v>
      </c>
      <c r="N2781" s="116">
        <v>157.44</v>
      </c>
      <c r="O2781" s="116">
        <v>153.61000000000001</v>
      </c>
      <c r="P2781" s="116">
        <v>156</v>
      </c>
      <c r="Q2781" s="116">
        <v>155.6</v>
      </c>
      <c r="R2781">
        <v>41644726</v>
      </c>
    </row>
    <row r="2782" spans="1:18" x14ac:dyDescent="0.25">
      <c r="A2782" s="170">
        <v>46099</v>
      </c>
      <c r="B2782">
        <v>156.55000000000001</v>
      </c>
      <c r="C2782">
        <v>154.1</v>
      </c>
      <c r="D2782">
        <v>151.25</v>
      </c>
      <c r="E2782">
        <v>156</v>
      </c>
      <c r="F2782">
        <v>154.1</v>
      </c>
      <c r="G2782">
        <v>1296042</v>
      </c>
      <c r="H2782" s="116"/>
      <c r="I2782" s="116"/>
      <c r="L2782" s="170">
        <v>46099</v>
      </c>
      <c r="M2782" s="116">
        <v>154.07</v>
      </c>
      <c r="N2782" s="116">
        <v>156.5</v>
      </c>
      <c r="O2782" s="116">
        <v>151.30000000000001</v>
      </c>
      <c r="P2782" s="116">
        <v>156</v>
      </c>
      <c r="Q2782" s="116">
        <v>154.07</v>
      </c>
      <c r="R2782">
        <v>28773212</v>
      </c>
    </row>
    <row r="2783" spans="1:18" x14ac:dyDescent="0.25">
      <c r="A2783" s="170">
        <v>46100</v>
      </c>
      <c r="B2783">
        <v>155.44999999999999</v>
      </c>
      <c r="C2783">
        <v>151.05000000000001</v>
      </c>
      <c r="D2783">
        <v>150.35</v>
      </c>
      <c r="E2783">
        <v>151.25</v>
      </c>
      <c r="F2783">
        <v>151.05000000000001</v>
      </c>
      <c r="G2783">
        <v>2141234</v>
      </c>
      <c r="H2783" s="116"/>
      <c r="I2783" s="116"/>
      <c r="L2783" s="170">
        <v>46100</v>
      </c>
      <c r="M2783" s="116">
        <v>151.01</v>
      </c>
      <c r="N2783" s="116">
        <v>155.49</v>
      </c>
      <c r="O2783" s="116">
        <v>150.15</v>
      </c>
      <c r="P2783" s="116">
        <v>151</v>
      </c>
      <c r="Q2783" s="116">
        <v>151.01</v>
      </c>
      <c r="R2783">
        <v>17635762</v>
      </c>
    </row>
    <row r="2784" spans="1:18" x14ac:dyDescent="0.25">
      <c r="A2784" s="170">
        <v>46101</v>
      </c>
      <c r="B2784">
        <v>157</v>
      </c>
      <c r="C2784">
        <v>151.5</v>
      </c>
      <c r="D2784">
        <v>150.55000000000001</v>
      </c>
      <c r="E2784">
        <v>151.80000000000001</v>
      </c>
      <c r="F2784">
        <v>151.5</v>
      </c>
      <c r="G2784">
        <v>2645407</v>
      </c>
      <c r="H2784" s="116"/>
      <c r="I2784" s="116"/>
      <c r="L2784" s="170">
        <v>46101</v>
      </c>
      <c r="M2784" s="116">
        <v>151.54</v>
      </c>
      <c r="N2784" s="116">
        <v>157.19999999999999</v>
      </c>
      <c r="O2784" s="116">
        <v>150.52000000000001</v>
      </c>
      <c r="P2784" s="116">
        <v>152</v>
      </c>
      <c r="Q2784" s="116">
        <v>151.54</v>
      </c>
      <c r="R2784">
        <v>44265976</v>
      </c>
    </row>
    <row r="2785" spans="1:18" x14ac:dyDescent="0.25">
      <c r="A2785" s="170">
        <v>46104</v>
      </c>
      <c r="B2785">
        <v>152.94999999999999</v>
      </c>
      <c r="C2785">
        <v>148.05000000000001</v>
      </c>
      <c r="D2785">
        <v>144.69999999999999</v>
      </c>
      <c r="E2785">
        <v>152.94999999999999</v>
      </c>
      <c r="F2785">
        <v>148.05000000000001</v>
      </c>
      <c r="G2785">
        <v>1587006</v>
      </c>
      <c r="H2785" s="116"/>
      <c r="I2785" s="116"/>
      <c r="L2785" s="170">
        <v>46104</v>
      </c>
      <c r="M2785" s="116">
        <v>147.85</v>
      </c>
      <c r="N2785" s="116">
        <v>152.87</v>
      </c>
      <c r="O2785" s="116">
        <v>144.65</v>
      </c>
      <c r="P2785" s="116">
        <v>151.54</v>
      </c>
      <c r="Q2785" s="116">
        <v>147.85</v>
      </c>
      <c r="R2785">
        <v>25968931</v>
      </c>
    </row>
    <row r="2786" spans="1:18" x14ac:dyDescent="0.25">
      <c r="A2786" s="170">
        <v>46105</v>
      </c>
      <c r="B2786">
        <v>153.85</v>
      </c>
      <c r="C2786">
        <v>150.1</v>
      </c>
      <c r="D2786">
        <v>147.35</v>
      </c>
      <c r="E2786">
        <v>151.19999999999999</v>
      </c>
      <c r="F2786">
        <v>150.1</v>
      </c>
      <c r="G2786">
        <v>1751069</v>
      </c>
      <c r="H2786" s="116"/>
      <c r="I2786" s="116"/>
      <c r="L2786" s="170">
        <v>46105</v>
      </c>
      <c r="M2786" s="116">
        <v>150.11000000000001</v>
      </c>
      <c r="N2786" s="116">
        <v>153.9</v>
      </c>
      <c r="O2786" s="116">
        <v>147.35</v>
      </c>
      <c r="P2786" s="116">
        <v>151</v>
      </c>
      <c r="Q2786" s="116">
        <v>150.11000000000001</v>
      </c>
      <c r="R2786">
        <v>21762199</v>
      </c>
    </row>
    <row r="2787" spans="1:18" x14ac:dyDescent="0.25">
      <c r="A2787" s="170">
        <v>46106</v>
      </c>
      <c r="B2787">
        <v>158.1</v>
      </c>
      <c r="C2787">
        <v>153.65</v>
      </c>
      <c r="D2787">
        <v>152.15</v>
      </c>
      <c r="E2787">
        <v>153.19999999999999</v>
      </c>
      <c r="F2787">
        <v>153.65</v>
      </c>
      <c r="G2787">
        <v>1722581</v>
      </c>
      <c r="H2787" s="116"/>
      <c r="I2787" s="116"/>
      <c r="L2787" s="170">
        <v>46106</v>
      </c>
      <c r="M2787" s="116">
        <v>153.65</v>
      </c>
      <c r="N2787" s="116">
        <v>158.19999999999999</v>
      </c>
      <c r="O2787" s="116">
        <v>152.19999999999999</v>
      </c>
      <c r="P2787" s="116">
        <v>152.9</v>
      </c>
      <c r="Q2787" s="116">
        <v>153.65</v>
      </c>
      <c r="R2787">
        <v>33813515</v>
      </c>
    </row>
    <row r="2788" spans="1:18" x14ac:dyDescent="0.25">
      <c r="A2788" s="170">
        <v>46108</v>
      </c>
      <c r="B2788">
        <v>155.30000000000001</v>
      </c>
      <c r="C2788">
        <v>153.85</v>
      </c>
      <c r="D2788">
        <v>151.44999999999999</v>
      </c>
      <c r="E2788">
        <v>153.35</v>
      </c>
      <c r="F2788">
        <v>153.85</v>
      </c>
      <c r="G2788">
        <v>2771903</v>
      </c>
      <c r="H2788" s="116"/>
      <c r="I2788" s="116"/>
      <c r="L2788" s="170">
        <v>46108</v>
      </c>
      <c r="M2788" s="116">
        <v>153.91999999999999</v>
      </c>
      <c r="N2788" s="116">
        <v>155.28</v>
      </c>
      <c r="O2788" s="116">
        <v>151.56</v>
      </c>
      <c r="P2788" s="116">
        <v>153.5</v>
      </c>
      <c r="Q2788" s="116">
        <v>153.91999999999999</v>
      </c>
      <c r="R2788">
        <v>23958053</v>
      </c>
    </row>
    <row r="2789" spans="1:18" x14ac:dyDescent="0.25">
      <c r="A2789" s="170">
        <v>46111</v>
      </c>
      <c r="B2789">
        <v>156.4</v>
      </c>
      <c r="C2789">
        <v>150.5</v>
      </c>
      <c r="D2789">
        <v>149.85</v>
      </c>
      <c r="E2789">
        <v>152</v>
      </c>
      <c r="F2789">
        <v>150.5</v>
      </c>
      <c r="G2789">
        <v>1171897</v>
      </c>
      <c r="H2789" s="116"/>
      <c r="I2789" s="116"/>
      <c r="L2789" s="170">
        <v>46111</v>
      </c>
      <c r="M2789" s="116">
        <v>150.43</v>
      </c>
      <c r="N2789" s="116">
        <v>156.44999999999999</v>
      </c>
      <c r="O2789" s="116">
        <v>149.19999999999999</v>
      </c>
      <c r="P2789" s="116">
        <v>152.1</v>
      </c>
      <c r="Q2789" s="116">
        <v>150.43</v>
      </c>
      <c r="R2789">
        <v>21100984</v>
      </c>
    </row>
    <row r="2790" spans="1:18" x14ac:dyDescent="0.25">
      <c r="A2790" s="170">
        <v>46113</v>
      </c>
      <c r="B2790">
        <v>158.1</v>
      </c>
      <c r="C2790">
        <v>157.1</v>
      </c>
      <c r="D2790">
        <v>153.30000000000001</v>
      </c>
      <c r="E2790">
        <v>153.30000000000001</v>
      </c>
      <c r="F2790">
        <v>157.1</v>
      </c>
      <c r="G2790">
        <v>3345101</v>
      </c>
      <c r="H2790" s="116"/>
      <c r="I2790" s="116"/>
      <c r="L2790" s="170">
        <v>46113</v>
      </c>
      <c r="M2790" s="116">
        <v>157.11000000000001</v>
      </c>
      <c r="N2790" s="116">
        <v>158.15</v>
      </c>
      <c r="O2790" s="116">
        <v>153.44</v>
      </c>
      <c r="P2790" s="116">
        <v>155</v>
      </c>
      <c r="Q2790" s="116">
        <v>157.11000000000001</v>
      </c>
      <c r="R2790">
        <v>48215780</v>
      </c>
    </row>
    <row r="2791" spans="1:18" x14ac:dyDescent="0.25">
      <c r="A2791" s="170">
        <v>46114</v>
      </c>
      <c r="B2791">
        <v>160.25</v>
      </c>
      <c r="C2791">
        <v>159.9</v>
      </c>
      <c r="D2791">
        <v>150.65</v>
      </c>
      <c r="E2791">
        <v>154.69999999999999</v>
      </c>
      <c r="F2791">
        <v>159.9</v>
      </c>
      <c r="G2791">
        <v>1810217</v>
      </c>
      <c r="H2791" s="116"/>
      <c r="I2791" s="116"/>
      <c r="L2791" s="170">
        <v>46114</v>
      </c>
      <c r="M2791" s="116">
        <v>159.97</v>
      </c>
      <c r="N2791" s="116">
        <v>160.35</v>
      </c>
      <c r="O2791" s="116">
        <v>150.62</v>
      </c>
      <c r="P2791" s="116">
        <v>154.5</v>
      </c>
      <c r="Q2791" s="116">
        <v>159.97</v>
      </c>
      <c r="R2791">
        <v>59833120</v>
      </c>
    </row>
    <row r="2792" spans="1:18" x14ac:dyDescent="0.25">
      <c r="A2792" s="170">
        <v>46118</v>
      </c>
      <c r="B2792">
        <v>165</v>
      </c>
      <c r="C2792">
        <v>163.15</v>
      </c>
      <c r="D2792">
        <v>161</v>
      </c>
      <c r="E2792">
        <v>162.4</v>
      </c>
      <c r="F2792">
        <v>163.15</v>
      </c>
      <c r="G2792">
        <v>2285100</v>
      </c>
      <c r="H2792" s="116"/>
      <c r="I2792" s="116"/>
      <c r="L2792" s="170">
        <v>46118</v>
      </c>
      <c r="M2792" s="116">
        <v>163.26</v>
      </c>
      <c r="N2792" s="116">
        <v>165.1</v>
      </c>
      <c r="O2792" s="116">
        <v>161.05000000000001</v>
      </c>
      <c r="P2792" s="116">
        <v>162</v>
      </c>
      <c r="Q2792" s="116">
        <v>163.26</v>
      </c>
      <c r="R2792">
        <v>127464037</v>
      </c>
    </row>
    <row r="2793" spans="1:18" x14ac:dyDescent="0.25">
      <c r="A2793" s="170">
        <v>46119</v>
      </c>
      <c r="B2793">
        <v>165.7</v>
      </c>
      <c r="C2793">
        <v>163.4</v>
      </c>
      <c r="D2793">
        <v>161.5</v>
      </c>
      <c r="E2793">
        <v>163.44999999999999</v>
      </c>
      <c r="F2793">
        <v>163.4</v>
      </c>
      <c r="G2793">
        <v>1235720</v>
      </c>
      <c r="H2793" s="116"/>
      <c r="I2793" s="116"/>
      <c r="L2793" s="170">
        <v>46119</v>
      </c>
      <c r="M2793" s="116">
        <v>163.36000000000001</v>
      </c>
      <c r="N2793" s="116">
        <v>165.66</v>
      </c>
      <c r="O2793" s="116">
        <v>161.6</v>
      </c>
      <c r="P2793" s="116">
        <v>163</v>
      </c>
      <c r="Q2793" s="116">
        <v>163.36000000000001</v>
      </c>
      <c r="R2793">
        <v>34671421</v>
      </c>
    </row>
    <row r="2794" spans="1:18" x14ac:dyDescent="0.25">
      <c r="A2794" s="170">
        <v>46120</v>
      </c>
      <c r="B2794">
        <v>174.25</v>
      </c>
      <c r="C2794">
        <v>169.2</v>
      </c>
      <c r="D2794">
        <v>166.2</v>
      </c>
      <c r="E2794">
        <v>167.25</v>
      </c>
      <c r="F2794">
        <v>169.2</v>
      </c>
      <c r="G2794">
        <v>8464741</v>
      </c>
      <c r="H2794" s="116"/>
      <c r="I2794" s="116"/>
      <c r="L2794" s="170">
        <v>46120</v>
      </c>
      <c r="M2794" s="116">
        <v>169.31</v>
      </c>
      <c r="N2794" s="116">
        <v>174.35</v>
      </c>
      <c r="O2794" s="116">
        <v>166.21</v>
      </c>
      <c r="P2794" s="116">
        <v>168</v>
      </c>
      <c r="Q2794" s="116">
        <v>169.31</v>
      </c>
      <c r="R2794">
        <v>66318120</v>
      </c>
    </row>
    <row r="2795" spans="1:18" x14ac:dyDescent="0.25">
      <c r="A2795" s="170">
        <v>46121</v>
      </c>
      <c r="B2795">
        <v>173.5</v>
      </c>
      <c r="C2795">
        <v>172</v>
      </c>
      <c r="D2795">
        <v>167.55</v>
      </c>
      <c r="E2795">
        <v>169</v>
      </c>
      <c r="F2795">
        <v>172</v>
      </c>
      <c r="G2795">
        <v>3247498</v>
      </c>
      <c r="H2795" s="116"/>
      <c r="I2795" s="116"/>
      <c r="L2795" s="170">
        <v>46121</v>
      </c>
      <c r="M2795" s="116">
        <v>172.33</v>
      </c>
      <c r="N2795" s="116">
        <v>173.5</v>
      </c>
      <c r="O2795" s="116">
        <v>167.55</v>
      </c>
      <c r="P2795" s="116">
        <v>168.95</v>
      </c>
      <c r="Q2795" s="116">
        <v>172.33</v>
      </c>
      <c r="R2795">
        <v>42258124</v>
      </c>
    </row>
    <row r="2796" spans="1:18" x14ac:dyDescent="0.25">
      <c r="A2796" s="170">
        <v>46122</v>
      </c>
      <c r="B2796">
        <v>178.05</v>
      </c>
      <c r="C2796">
        <v>175.7</v>
      </c>
      <c r="D2796">
        <v>172.15</v>
      </c>
      <c r="E2796">
        <v>173.5</v>
      </c>
      <c r="F2796">
        <v>175.7</v>
      </c>
      <c r="G2796">
        <v>2381365</v>
      </c>
      <c r="H2796" s="116"/>
      <c r="I2796" s="116"/>
      <c r="L2796" s="170">
        <v>46122</v>
      </c>
      <c r="M2796" s="116">
        <v>175.81</v>
      </c>
      <c r="N2796" s="116">
        <v>178.1</v>
      </c>
      <c r="O2796" s="116">
        <v>172.11</v>
      </c>
      <c r="P2796" s="116">
        <v>173.6</v>
      </c>
      <c r="Q2796" s="116">
        <v>175.81</v>
      </c>
      <c r="R2796">
        <v>51959590</v>
      </c>
    </row>
    <row r="2797" spans="1:18" x14ac:dyDescent="0.25">
      <c r="A2797" s="170">
        <v>46125</v>
      </c>
      <c r="B2797">
        <v>184.4</v>
      </c>
      <c r="C2797">
        <v>181.4</v>
      </c>
      <c r="D2797">
        <v>170.4</v>
      </c>
      <c r="E2797">
        <v>172.2</v>
      </c>
      <c r="F2797">
        <v>181.4</v>
      </c>
      <c r="G2797">
        <v>4792101</v>
      </c>
      <c r="H2797" s="116"/>
      <c r="I2797" s="116"/>
      <c r="L2797" s="170">
        <v>46125</v>
      </c>
      <c r="M2797" s="116">
        <v>181.35</v>
      </c>
      <c r="N2797" s="116">
        <v>184.4</v>
      </c>
      <c r="O2797" s="116">
        <v>170.36</v>
      </c>
      <c r="P2797" s="116">
        <v>172</v>
      </c>
      <c r="Q2797" s="116">
        <v>181.35</v>
      </c>
      <c r="R2797">
        <v>91406261</v>
      </c>
    </row>
    <row r="2798" spans="1:18" x14ac:dyDescent="0.25">
      <c r="A2798" s="170">
        <v>46127</v>
      </c>
      <c r="B2798">
        <v>187.15</v>
      </c>
      <c r="C2798">
        <v>183.3</v>
      </c>
      <c r="D2798">
        <v>181.55</v>
      </c>
      <c r="E2798">
        <v>184.65</v>
      </c>
      <c r="F2798">
        <v>183.3</v>
      </c>
      <c r="G2798">
        <v>3803895</v>
      </c>
      <c r="H2798" s="116"/>
      <c r="I2798" s="116"/>
      <c r="L2798" s="170">
        <v>46127</v>
      </c>
      <c r="M2798" s="116">
        <v>183.43</v>
      </c>
      <c r="N2798" s="116">
        <v>187.07</v>
      </c>
      <c r="O2798" s="116">
        <v>181.55</v>
      </c>
      <c r="P2798" s="116">
        <v>185.27</v>
      </c>
      <c r="Q2798" s="116">
        <v>183.43</v>
      </c>
      <c r="R2798">
        <v>51497511</v>
      </c>
    </row>
    <row r="2799" spans="1:18" x14ac:dyDescent="0.25">
      <c r="A2799" s="170">
        <v>46128</v>
      </c>
      <c r="B2799">
        <v>194.3</v>
      </c>
      <c r="C2799">
        <v>193.1</v>
      </c>
      <c r="D2799">
        <v>183.35</v>
      </c>
      <c r="E2799">
        <v>184.2</v>
      </c>
      <c r="F2799">
        <v>193.1</v>
      </c>
      <c r="G2799">
        <v>3167268</v>
      </c>
      <c r="H2799" s="116"/>
      <c r="I2799" s="116"/>
      <c r="L2799" s="170">
        <v>46128</v>
      </c>
      <c r="M2799" s="116">
        <v>193.19</v>
      </c>
      <c r="N2799" s="116">
        <v>194.37</v>
      </c>
      <c r="O2799" s="116">
        <v>183.27</v>
      </c>
      <c r="P2799" s="116">
        <v>184</v>
      </c>
      <c r="Q2799" s="116">
        <v>193.19</v>
      </c>
      <c r="R2799">
        <v>69751834</v>
      </c>
    </row>
    <row r="2800" spans="1:18" x14ac:dyDescent="0.25">
      <c r="A2800" s="170">
        <v>46129</v>
      </c>
      <c r="B2800">
        <v>199.9</v>
      </c>
      <c r="C2800">
        <v>198.4</v>
      </c>
      <c r="D2800">
        <v>190.75</v>
      </c>
      <c r="E2800">
        <v>197</v>
      </c>
      <c r="F2800">
        <v>198.4</v>
      </c>
      <c r="G2800">
        <v>3896225</v>
      </c>
      <c r="H2800" s="116"/>
      <c r="I2800" s="116"/>
      <c r="L2800" s="170">
        <v>46129</v>
      </c>
      <c r="M2800" s="116">
        <v>198.5</v>
      </c>
      <c r="N2800" s="116">
        <v>200</v>
      </c>
      <c r="O2800" s="116">
        <v>190.66</v>
      </c>
      <c r="P2800" s="116">
        <v>196.45</v>
      </c>
      <c r="Q2800" s="116">
        <v>198.5</v>
      </c>
      <c r="R2800">
        <v>95051761</v>
      </c>
    </row>
    <row r="2801" spans="1:18" x14ac:dyDescent="0.25">
      <c r="A2801" s="170">
        <v>46132</v>
      </c>
      <c r="B2801">
        <v>207.4</v>
      </c>
      <c r="C2801">
        <v>200.8</v>
      </c>
      <c r="D2801">
        <v>197.4</v>
      </c>
      <c r="E2801">
        <v>199.15</v>
      </c>
      <c r="F2801">
        <v>200.8</v>
      </c>
      <c r="G2801">
        <v>3796933</v>
      </c>
      <c r="H2801" s="116"/>
      <c r="I2801" s="116"/>
      <c r="L2801" s="170">
        <v>46132</v>
      </c>
      <c r="M2801" s="116">
        <v>200.83</v>
      </c>
      <c r="N2801" s="116">
        <v>207.5</v>
      </c>
      <c r="O2801" s="116">
        <v>197.41</v>
      </c>
      <c r="P2801" s="116">
        <v>198.5</v>
      </c>
      <c r="Q2801" s="116">
        <v>200.83</v>
      </c>
      <c r="R2801">
        <v>81881887</v>
      </c>
    </row>
    <row r="2802" spans="1:18" x14ac:dyDescent="0.25">
      <c r="A2802" s="170">
        <v>46133</v>
      </c>
      <c r="B2802">
        <v>207.2</v>
      </c>
      <c r="C2802">
        <v>203.05</v>
      </c>
      <c r="D2802">
        <v>201.95</v>
      </c>
      <c r="E2802">
        <v>203.75</v>
      </c>
      <c r="F2802">
        <v>203.05</v>
      </c>
      <c r="G2802">
        <v>2858862</v>
      </c>
      <c r="H2802" s="116"/>
      <c r="I2802" s="116"/>
      <c r="L2802" s="170">
        <v>46133</v>
      </c>
      <c r="M2802" s="116">
        <v>202.98</v>
      </c>
      <c r="N2802" s="116">
        <v>207.3</v>
      </c>
      <c r="O2802" s="116">
        <v>201.87</v>
      </c>
      <c r="P2802" s="116">
        <v>203.3</v>
      </c>
      <c r="Q2802" s="116">
        <v>202.98</v>
      </c>
      <c r="R2802">
        <v>57973716</v>
      </c>
    </row>
    <row r="2803" spans="1:18" x14ac:dyDescent="0.25">
      <c r="A2803" s="170">
        <v>46134</v>
      </c>
      <c r="B2803">
        <v>216.4</v>
      </c>
      <c r="C2803">
        <v>215.45</v>
      </c>
      <c r="D2803">
        <v>203.4</v>
      </c>
      <c r="E2803">
        <v>203.6</v>
      </c>
      <c r="F2803">
        <v>215.45</v>
      </c>
      <c r="G2803">
        <v>7361379</v>
      </c>
      <c r="H2803" s="116"/>
      <c r="I2803" s="116"/>
      <c r="L2803" s="170">
        <v>46134</v>
      </c>
      <c r="M2803" s="116">
        <v>215.65</v>
      </c>
      <c r="N2803" s="116">
        <v>216.5</v>
      </c>
      <c r="O2803" s="116">
        <v>203.3</v>
      </c>
      <c r="P2803" s="116">
        <v>203.99</v>
      </c>
      <c r="Q2803" s="116">
        <v>215.65</v>
      </c>
      <c r="R2803">
        <v>117165796</v>
      </c>
    </row>
    <row r="2804" spans="1:18" x14ac:dyDescent="0.25">
      <c r="A2804" s="170">
        <v>46135</v>
      </c>
      <c r="B2804">
        <v>217.3</v>
      </c>
      <c r="C2804">
        <v>214.25</v>
      </c>
      <c r="D2804">
        <v>212.45</v>
      </c>
      <c r="E2804">
        <v>217</v>
      </c>
      <c r="F2804">
        <v>214.25</v>
      </c>
      <c r="G2804">
        <v>3186457</v>
      </c>
      <c r="H2804" s="116"/>
      <c r="I2804" s="116"/>
      <c r="L2804" s="170">
        <v>46135</v>
      </c>
      <c r="M2804" s="116">
        <v>214.18</v>
      </c>
      <c r="N2804" s="116">
        <v>217.25</v>
      </c>
      <c r="O2804" s="116">
        <v>212.53</v>
      </c>
      <c r="P2804" s="116">
        <v>216</v>
      </c>
      <c r="Q2804" s="116">
        <v>214.18</v>
      </c>
      <c r="R2804">
        <v>58947381</v>
      </c>
    </row>
    <row r="2805" spans="1:18" x14ac:dyDescent="0.25">
      <c r="A2805" s="170">
        <v>46136</v>
      </c>
      <c r="B2805">
        <v>217</v>
      </c>
      <c r="C2805">
        <v>213.05</v>
      </c>
      <c r="D2805">
        <v>207</v>
      </c>
      <c r="E2805">
        <v>215.3</v>
      </c>
      <c r="F2805">
        <v>213.05</v>
      </c>
      <c r="G2805">
        <v>4642926</v>
      </c>
      <c r="H2805" s="116"/>
      <c r="I2805" s="116"/>
      <c r="L2805" s="170">
        <v>46136</v>
      </c>
      <c r="M2805" s="116">
        <v>212.9</v>
      </c>
      <c r="N2805" s="116">
        <v>216.87</v>
      </c>
      <c r="O2805" s="116">
        <v>207</v>
      </c>
      <c r="P2805" s="116">
        <v>215.44</v>
      </c>
      <c r="Q2805" s="116">
        <v>212.9</v>
      </c>
      <c r="R2805">
        <v>61885765</v>
      </c>
    </row>
    <row r="2806" spans="1:18" x14ac:dyDescent="0.25">
      <c r="A2806" s="170">
        <v>46139</v>
      </c>
      <c r="B2806">
        <v>222.05</v>
      </c>
      <c r="C2806">
        <v>218.05</v>
      </c>
      <c r="D2806">
        <v>214.75</v>
      </c>
      <c r="E2806">
        <v>215.2</v>
      </c>
      <c r="F2806">
        <v>218.05</v>
      </c>
      <c r="G2806">
        <v>4638097</v>
      </c>
      <c r="H2806" s="116"/>
      <c r="I2806" s="116"/>
      <c r="L2806" s="170">
        <v>46139</v>
      </c>
      <c r="M2806" s="116">
        <v>218.05</v>
      </c>
      <c r="N2806" s="116">
        <v>222.16</v>
      </c>
      <c r="O2806" s="116">
        <v>214.6</v>
      </c>
      <c r="P2806" s="116">
        <v>214.6</v>
      </c>
      <c r="Q2806" s="116">
        <v>218.05</v>
      </c>
      <c r="R2806">
        <v>57532309</v>
      </c>
    </row>
    <row r="2807" spans="1:18" x14ac:dyDescent="0.25">
      <c r="A2807" s="170">
        <v>46140</v>
      </c>
      <c r="B2807">
        <v>224.65</v>
      </c>
      <c r="C2807">
        <v>223.55</v>
      </c>
      <c r="D2807">
        <v>219</v>
      </c>
      <c r="E2807">
        <v>219.5</v>
      </c>
      <c r="F2807">
        <v>223.55</v>
      </c>
      <c r="G2807">
        <v>2565312</v>
      </c>
      <c r="H2807" s="116"/>
      <c r="I2807" s="116"/>
      <c r="L2807" s="170">
        <v>46140</v>
      </c>
      <c r="M2807" s="116">
        <v>223.35</v>
      </c>
      <c r="N2807" s="116">
        <v>224.66</v>
      </c>
      <c r="O2807" s="116">
        <v>219.29</v>
      </c>
      <c r="P2807" s="116">
        <v>219.5</v>
      </c>
      <c r="Q2807" s="116">
        <v>223.35</v>
      </c>
      <c r="R2807">
        <v>46710708</v>
      </c>
    </row>
    <row r="2808" spans="1:18" x14ac:dyDescent="0.25">
      <c r="A2808" s="170">
        <v>46141</v>
      </c>
      <c r="B2808">
        <v>226.25</v>
      </c>
      <c r="C2808">
        <v>219.1</v>
      </c>
      <c r="D2808">
        <v>215.55</v>
      </c>
      <c r="E2808">
        <v>225.75</v>
      </c>
      <c r="F2808">
        <v>219.1</v>
      </c>
      <c r="G2808">
        <v>4089944</v>
      </c>
      <c r="H2808" s="116"/>
      <c r="I2808" s="116"/>
      <c r="L2808" s="170">
        <v>46141</v>
      </c>
      <c r="M2808" s="116">
        <v>219.28</v>
      </c>
      <c r="N2808" s="116">
        <v>226.24</v>
      </c>
      <c r="O2808" s="116">
        <v>215.35</v>
      </c>
      <c r="P2808" s="116">
        <v>225</v>
      </c>
      <c r="Q2808" s="116">
        <v>219.28</v>
      </c>
      <c r="R2808">
        <v>51932086</v>
      </c>
    </row>
    <row r="2809" spans="1:18" x14ac:dyDescent="0.25">
      <c r="A2809" s="170">
        <v>46142</v>
      </c>
      <c r="B2809">
        <v>223.5</v>
      </c>
      <c r="C2809">
        <v>222.05</v>
      </c>
      <c r="D2809">
        <v>214.2</v>
      </c>
      <c r="E2809">
        <v>217.85</v>
      </c>
      <c r="F2809">
        <v>222.05</v>
      </c>
      <c r="G2809">
        <v>2951457</v>
      </c>
      <c r="H2809" s="116"/>
      <c r="I2809" s="116"/>
      <c r="L2809" s="170">
        <v>46142</v>
      </c>
      <c r="M2809" s="116">
        <v>221.85</v>
      </c>
      <c r="N2809" s="116">
        <v>223.5</v>
      </c>
      <c r="O2809" s="116">
        <v>214.24</v>
      </c>
      <c r="P2809" s="116">
        <v>216.9</v>
      </c>
      <c r="Q2809" s="116">
        <v>221.85</v>
      </c>
      <c r="R2809">
        <v>67584204</v>
      </c>
    </row>
    <row r="2810" spans="1:18" x14ac:dyDescent="0.25">
      <c r="A2810" s="170">
        <v>46146</v>
      </c>
      <c r="B2810">
        <v>233.9</v>
      </c>
      <c r="C2810">
        <v>227.5</v>
      </c>
      <c r="D2810">
        <v>221.9</v>
      </c>
      <c r="E2810">
        <v>222.55</v>
      </c>
      <c r="F2810">
        <v>227.5</v>
      </c>
      <c r="G2810">
        <v>5753179</v>
      </c>
      <c r="H2810" s="116"/>
      <c r="I2810" s="116"/>
      <c r="L2810" s="170">
        <v>46146</v>
      </c>
      <c r="M2810" s="116">
        <v>227.3</v>
      </c>
      <c r="N2810" s="116">
        <v>234</v>
      </c>
      <c r="O2810" s="116">
        <v>221.9</v>
      </c>
      <c r="P2810" s="116">
        <v>223</v>
      </c>
      <c r="Q2810" s="116">
        <v>227.3</v>
      </c>
      <c r="R2810">
        <v>67200729</v>
      </c>
    </row>
    <row r="2811" spans="1:18" x14ac:dyDescent="0.25">
      <c r="A2811" s="170">
        <v>46147</v>
      </c>
      <c r="B2811">
        <v>234.35</v>
      </c>
      <c r="C2811">
        <v>229.9</v>
      </c>
      <c r="D2811">
        <v>227.4</v>
      </c>
      <c r="E2811">
        <v>227.75</v>
      </c>
      <c r="F2811">
        <v>229.9</v>
      </c>
      <c r="G2811">
        <v>3674959</v>
      </c>
      <c r="H2811" s="116"/>
      <c r="I2811" s="116"/>
      <c r="L2811" s="170">
        <v>46147</v>
      </c>
      <c r="M2811" s="116">
        <v>229.96</v>
      </c>
      <c r="N2811" s="116">
        <v>234.4</v>
      </c>
      <c r="O2811" s="116">
        <v>227.3</v>
      </c>
      <c r="P2811" s="116">
        <v>227.97</v>
      </c>
      <c r="Q2811" s="116">
        <v>229.96</v>
      </c>
      <c r="R2811">
        <v>43045308</v>
      </c>
    </row>
    <row r="2812" spans="1:18" x14ac:dyDescent="0.25">
      <c r="A2812" s="170">
        <v>46148</v>
      </c>
      <c r="B2812">
        <v>234.25</v>
      </c>
      <c r="C2812">
        <v>229.1</v>
      </c>
      <c r="D2812">
        <v>224.25</v>
      </c>
      <c r="E2812">
        <v>234.25</v>
      </c>
      <c r="F2812">
        <v>229.1</v>
      </c>
      <c r="G2812">
        <v>2183670</v>
      </c>
      <c r="H2812" s="116"/>
      <c r="I2812" s="116"/>
      <c r="L2812" s="170">
        <v>46148</v>
      </c>
      <c r="M2812" s="116">
        <v>229.12</v>
      </c>
      <c r="N2812" s="116">
        <v>232.39</v>
      </c>
      <c r="O2812" s="116">
        <v>224.24</v>
      </c>
      <c r="P2812" s="116">
        <v>232.39</v>
      </c>
      <c r="Q2812" s="116">
        <v>229.12</v>
      </c>
      <c r="R2812">
        <v>45243061</v>
      </c>
    </row>
    <row r="2813" spans="1:18" x14ac:dyDescent="0.25">
      <c r="A2813" s="170">
        <v>46149</v>
      </c>
      <c r="B2813">
        <v>233.45</v>
      </c>
      <c r="C2813">
        <v>230.15</v>
      </c>
      <c r="D2813">
        <v>229.55</v>
      </c>
      <c r="E2813">
        <v>230.25</v>
      </c>
      <c r="F2813">
        <v>230.15</v>
      </c>
      <c r="G2813">
        <v>1451907</v>
      </c>
      <c r="H2813" s="116"/>
      <c r="I2813" s="116"/>
      <c r="L2813" s="170">
        <v>46149</v>
      </c>
      <c r="M2813" s="116">
        <v>230.19</v>
      </c>
      <c r="N2813" s="116">
        <v>233.47</v>
      </c>
      <c r="O2813" s="116">
        <v>229.5</v>
      </c>
      <c r="P2813" s="116">
        <v>230</v>
      </c>
      <c r="Q2813" s="116">
        <v>230.19</v>
      </c>
      <c r="R2813">
        <v>37064595</v>
      </c>
    </row>
    <row r="2814" spans="1:18" x14ac:dyDescent="0.25">
      <c r="A2814" s="170">
        <v>46150</v>
      </c>
      <c r="B2814">
        <v>231.35</v>
      </c>
      <c r="C2814">
        <v>225.15</v>
      </c>
      <c r="D2814">
        <v>224.1</v>
      </c>
      <c r="E2814">
        <v>231.3</v>
      </c>
      <c r="F2814">
        <v>225.15</v>
      </c>
      <c r="G2814">
        <v>1261844</v>
      </c>
      <c r="H2814" s="116"/>
      <c r="I2814" s="116"/>
      <c r="L2814" s="170">
        <v>46150</v>
      </c>
      <c r="M2814" s="116">
        <v>225.33</v>
      </c>
      <c r="N2814" s="116">
        <v>231.43</v>
      </c>
      <c r="O2814" s="116">
        <v>224.03</v>
      </c>
      <c r="P2814" s="116">
        <v>231</v>
      </c>
      <c r="Q2814" s="116">
        <v>225.33</v>
      </c>
      <c r="R2814">
        <v>27156296</v>
      </c>
    </row>
    <row r="2815" spans="1:18" x14ac:dyDescent="0.25">
      <c r="A2815" s="170">
        <v>46153</v>
      </c>
      <c r="B2815">
        <v>225.1</v>
      </c>
      <c r="C2815">
        <v>222.1</v>
      </c>
      <c r="D2815">
        <v>217.85</v>
      </c>
      <c r="E2815">
        <v>225.1</v>
      </c>
      <c r="F2815">
        <v>222.1</v>
      </c>
      <c r="G2815">
        <v>1805161</v>
      </c>
      <c r="H2815" s="116"/>
      <c r="I2815" s="116"/>
      <c r="L2815" s="170">
        <v>46153</v>
      </c>
      <c r="M2815" s="116">
        <v>222.03</v>
      </c>
      <c r="N2815" s="116">
        <v>224.68</v>
      </c>
      <c r="O2815" s="116">
        <v>217.8</v>
      </c>
      <c r="P2815" s="116">
        <v>224.5</v>
      </c>
      <c r="Q2815" s="116">
        <v>222.03</v>
      </c>
      <c r="R2815">
        <v>30556141</v>
      </c>
    </row>
    <row r="2816" spans="1:18" x14ac:dyDescent="0.25">
      <c r="A2816" s="170">
        <v>46154</v>
      </c>
      <c r="B2816">
        <v>224.6</v>
      </c>
      <c r="C2816">
        <v>209.6</v>
      </c>
      <c r="D2816">
        <v>208</v>
      </c>
      <c r="E2816">
        <v>222.15</v>
      </c>
      <c r="F2816">
        <v>209.6</v>
      </c>
      <c r="G2816">
        <v>5184608</v>
      </c>
      <c r="H2816" s="116"/>
      <c r="I2816" s="116"/>
      <c r="L2816" s="170">
        <v>46154</v>
      </c>
      <c r="M2816" s="116">
        <v>209.63</v>
      </c>
      <c r="N2816" s="116">
        <v>224.63</v>
      </c>
      <c r="O2816" s="116">
        <v>208.03</v>
      </c>
      <c r="P2816" s="116">
        <v>222.77</v>
      </c>
      <c r="Q2816" s="116">
        <v>209.63</v>
      </c>
      <c r="R2816">
        <v>46023863</v>
      </c>
    </row>
    <row r="2817" spans="1:18" x14ac:dyDescent="0.25">
      <c r="A2817" s="170">
        <v>46155</v>
      </c>
      <c r="B2817">
        <v>217.8</v>
      </c>
      <c r="C2817">
        <v>213.9</v>
      </c>
      <c r="D2817">
        <v>208.7</v>
      </c>
      <c r="E2817">
        <v>209.55</v>
      </c>
      <c r="F2817">
        <v>213.9</v>
      </c>
      <c r="G2817">
        <v>2086110</v>
      </c>
      <c r="H2817" s="116"/>
      <c r="I2817" s="116"/>
      <c r="L2817" s="170">
        <v>46155</v>
      </c>
      <c r="M2817" s="116">
        <v>213.87</v>
      </c>
      <c r="N2817" s="116">
        <v>217.95</v>
      </c>
      <c r="O2817" s="116">
        <v>208.9</v>
      </c>
      <c r="P2817" s="116">
        <v>209</v>
      </c>
      <c r="Q2817" s="116">
        <v>213.87</v>
      </c>
      <c r="R2817">
        <v>49608338</v>
      </c>
    </row>
    <row r="2818" spans="1:18" x14ac:dyDescent="0.25">
      <c r="A2818" s="170">
        <v>46156</v>
      </c>
      <c r="B2818">
        <v>225.6</v>
      </c>
      <c r="C2818">
        <v>224.55</v>
      </c>
      <c r="D2818">
        <v>216</v>
      </c>
      <c r="E2818">
        <v>216.5</v>
      </c>
      <c r="F2818">
        <v>224.55</v>
      </c>
      <c r="G2818">
        <v>3851311</v>
      </c>
      <c r="H2818" s="116"/>
      <c r="I2818" s="116"/>
      <c r="L2818" s="170">
        <v>46156</v>
      </c>
      <c r="M2818" s="116">
        <v>224.49</v>
      </c>
      <c r="N2818" s="116">
        <v>225.7</v>
      </c>
      <c r="O2818" s="116">
        <v>215.87</v>
      </c>
      <c r="P2818" s="116">
        <v>216.4</v>
      </c>
      <c r="Q2818" s="116">
        <v>224.49</v>
      </c>
      <c r="R2818">
        <v>41896940</v>
      </c>
    </row>
    <row r="2819" spans="1:18" x14ac:dyDescent="0.25">
      <c r="A2819" s="170">
        <v>46157</v>
      </c>
      <c r="B2819">
        <v>229.7</v>
      </c>
      <c r="C2819">
        <v>221.25</v>
      </c>
      <c r="D2819">
        <v>213.95</v>
      </c>
      <c r="E2819">
        <v>229.7</v>
      </c>
      <c r="F2819">
        <v>221.25</v>
      </c>
      <c r="G2819">
        <v>4103588</v>
      </c>
      <c r="H2819" s="116"/>
      <c r="I2819" s="116"/>
      <c r="L2819" s="170">
        <v>46157</v>
      </c>
      <c r="M2819" s="116">
        <v>221.33</v>
      </c>
      <c r="N2819" s="116">
        <v>229</v>
      </c>
      <c r="O2819" s="116">
        <v>213.78</v>
      </c>
      <c r="P2819" s="116">
        <v>229</v>
      </c>
      <c r="Q2819" s="116">
        <v>221.33</v>
      </c>
      <c r="R2819">
        <v>60020608</v>
      </c>
    </row>
    <row r="2820" spans="1:18" x14ac:dyDescent="0.25">
      <c r="A2820" s="170">
        <v>46160</v>
      </c>
      <c r="B2820">
        <v>223.55</v>
      </c>
      <c r="C2820">
        <v>219.25</v>
      </c>
      <c r="D2820">
        <v>218.1</v>
      </c>
      <c r="E2820">
        <v>221.1</v>
      </c>
      <c r="F2820">
        <v>219.25</v>
      </c>
      <c r="G2820">
        <v>1683789</v>
      </c>
      <c r="H2820" s="116"/>
      <c r="I2820" s="116"/>
      <c r="L2820" s="170">
        <v>46160</v>
      </c>
      <c r="M2820" s="116">
        <v>219.3</v>
      </c>
      <c r="N2820" s="116">
        <v>223.5</v>
      </c>
      <c r="O2820" s="116">
        <v>218.03</v>
      </c>
      <c r="P2820" s="116">
        <v>221</v>
      </c>
      <c r="Q2820" s="116">
        <v>219.3</v>
      </c>
      <c r="R2820">
        <v>30197883</v>
      </c>
    </row>
    <row r="2821" spans="1:18" x14ac:dyDescent="0.25">
      <c r="A2821" s="170">
        <v>46161</v>
      </c>
      <c r="B2821">
        <v>224.7</v>
      </c>
      <c r="C2821">
        <v>219.1</v>
      </c>
      <c r="D2821">
        <v>218.3</v>
      </c>
      <c r="E2821">
        <v>223.8</v>
      </c>
      <c r="F2821">
        <v>219.1</v>
      </c>
      <c r="G2821">
        <v>1746772</v>
      </c>
      <c r="H2821" s="116"/>
      <c r="I2821" s="116"/>
      <c r="L2821" s="170">
        <v>46161</v>
      </c>
      <c r="M2821" s="116">
        <v>219.09</v>
      </c>
      <c r="N2821" s="116">
        <v>225</v>
      </c>
      <c r="O2821" s="116">
        <v>218.3</v>
      </c>
      <c r="P2821" s="116">
        <v>223.8</v>
      </c>
      <c r="Q2821" s="116">
        <v>219.09</v>
      </c>
      <c r="R2821">
        <v>35941457</v>
      </c>
    </row>
    <row r="2822" spans="1:18" x14ac:dyDescent="0.25">
      <c r="A2822" s="170">
        <v>46162</v>
      </c>
      <c r="B2822">
        <v>220.6</v>
      </c>
      <c r="C2822">
        <v>220.2</v>
      </c>
      <c r="D2822">
        <v>216.2</v>
      </c>
      <c r="E2822">
        <v>218.65</v>
      </c>
      <c r="F2822">
        <v>220.2</v>
      </c>
      <c r="G2822">
        <v>1665979</v>
      </c>
      <c r="H2822" s="116"/>
      <c r="I2822" s="116"/>
      <c r="L2822" s="170">
        <v>46162</v>
      </c>
      <c r="M2822" s="116">
        <v>220.24</v>
      </c>
      <c r="N2822" s="116">
        <v>220.6</v>
      </c>
      <c r="O2822" s="116">
        <v>216.19</v>
      </c>
      <c r="P2822" s="116">
        <v>218.9</v>
      </c>
      <c r="Q2822" s="116">
        <v>220.24</v>
      </c>
      <c r="R2822">
        <v>22506946</v>
      </c>
    </row>
    <row r="2823" spans="1:18" x14ac:dyDescent="0.25">
      <c r="A2823" s="170">
        <v>46163</v>
      </c>
      <c r="B2823">
        <v>226.4</v>
      </c>
      <c r="C2823">
        <v>219.4</v>
      </c>
      <c r="D2823">
        <v>218.7</v>
      </c>
      <c r="E2823">
        <v>223.35</v>
      </c>
      <c r="F2823">
        <v>219.4</v>
      </c>
      <c r="G2823">
        <v>1619250</v>
      </c>
      <c r="H2823" s="116"/>
      <c r="I2823" s="116"/>
      <c r="L2823" s="170">
        <v>46163</v>
      </c>
      <c r="M2823" s="116">
        <v>219.33</v>
      </c>
      <c r="N2823" s="116">
        <v>226.4</v>
      </c>
      <c r="O2823" s="116">
        <v>218.5</v>
      </c>
      <c r="P2823" s="116">
        <v>222.3</v>
      </c>
      <c r="Q2823" s="116">
        <v>219.33</v>
      </c>
      <c r="R2823">
        <v>34984894</v>
      </c>
    </row>
    <row r="2824" spans="1:18" x14ac:dyDescent="0.25">
      <c r="A2824" s="170">
        <v>46164</v>
      </c>
      <c r="B2824">
        <v>222.45</v>
      </c>
      <c r="C2824">
        <v>219.3</v>
      </c>
      <c r="D2824">
        <v>219</v>
      </c>
      <c r="E2824">
        <v>220.25</v>
      </c>
      <c r="F2824">
        <v>219.3</v>
      </c>
      <c r="G2824">
        <v>1524676</v>
      </c>
      <c r="H2824" s="116"/>
      <c r="I2824" s="116"/>
      <c r="L2824" s="170">
        <v>46164</v>
      </c>
      <c r="M2824" s="116">
        <v>219.32</v>
      </c>
      <c r="N2824" s="116">
        <v>222.47</v>
      </c>
      <c r="O2824" s="116">
        <v>219</v>
      </c>
      <c r="P2824" s="116">
        <v>220.5</v>
      </c>
      <c r="Q2824" s="116">
        <v>219.32</v>
      </c>
      <c r="R2824">
        <v>17090471</v>
      </c>
    </row>
    <row r="2825" spans="1:18" x14ac:dyDescent="0.25">
      <c r="A2825" s="170">
        <v>46167</v>
      </c>
      <c r="B2825">
        <v>234.5</v>
      </c>
      <c r="C2825">
        <v>233.5</v>
      </c>
      <c r="D2825">
        <v>220.35</v>
      </c>
      <c r="E2825">
        <v>221.65</v>
      </c>
      <c r="F2825">
        <v>233.5</v>
      </c>
      <c r="G2825">
        <v>3165560</v>
      </c>
      <c r="H2825" s="116"/>
      <c r="I2825" s="116"/>
      <c r="L2825" s="170">
        <v>46167</v>
      </c>
      <c r="M2825" s="116">
        <v>233.38</v>
      </c>
      <c r="N2825" s="116">
        <v>234.6</v>
      </c>
      <c r="O2825" s="116">
        <v>220.31</v>
      </c>
      <c r="P2825" s="116">
        <v>221</v>
      </c>
      <c r="Q2825" s="116">
        <v>233.38</v>
      </c>
      <c r="R2825">
        <v>73847208</v>
      </c>
    </row>
    <row r="2826" spans="1:18" x14ac:dyDescent="0.25">
      <c r="A2826" s="170">
        <v>46168</v>
      </c>
      <c r="B2826">
        <v>245.65</v>
      </c>
      <c r="C2826">
        <v>244.55</v>
      </c>
      <c r="D2826">
        <v>233.65</v>
      </c>
      <c r="E2826">
        <v>234.6</v>
      </c>
      <c r="F2826">
        <v>244.55</v>
      </c>
      <c r="G2826">
        <v>6361036</v>
      </c>
      <c r="H2826" s="116"/>
      <c r="I2826" s="116"/>
      <c r="L2826" s="170">
        <v>46168</v>
      </c>
      <c r="M2826" s="116">
        <v>244.53</v>
      </c>
      <c r="N2826" s="116">
        <v>245.7</v>
      </c>
      <c r="O2826" s="116">
        <v>233.77</v>
      </c>
      <c r="P2826" s="116">
        <v>234.25</v>
      </c>
      <c r="Q2826" s="116">
        <v>244.53</v>
      </c>
      <c r="R2826">
        <v>91664035</v>
      </c>
    </row>
    <row r="2827" spans="1:18" x14ac:dyDescent="0.25">
      <c r="A2827" s="170">
        <v>46169</v>
      </c>
      <c r="B2827">
        <v>252.6</v>
      </c>
      <c r="C2827">
        <v>248.75</v>
      </c>
      <c r="D2827">
        <v>245.45</v>
      </c>
      <c r="E2827">
        <v>246.8</v>
      </c>
      <c r="F2827">
        <v>248.75</v>
      </c>
      <c r="G2827">
        <v>6669500</v>
      </c>
      <c r="H2827" s="116"/>
      <c r="I2827" s="116"/>
      <c r="L2827" s="170">
        <v>46169</v>
      </c>
      <c r="M2827" s="116">
        <v>248.91</v>
      </c>
      <c r="N2827" s="116">
        <v>252.65</v>
      </c>
      <c r="O2827" s="116">
        <v>245.5</v>
      </c>
      <c r="P2827" s="116">
        <v>247.6</v>
      </c>
      <c r="Q2827" s="116">
        <v>248.91</v>
      </c>
      <c r="R2827">
        <v>85859567</v>
      </c>
    </row>
    <row r="2828" spans="1:18" x14ac:dyDescent="0.25">
      <c r="A2828" s="170">
        <v>46171</v>
      </c>
      <c r="B2828">
        <v>254.15</v>
      </c>
      <c r="C2828">
        <v>243.5</v>
      </c>
      <c r="D2828">
        <v>242.15</v>
      </c>
      <c r="E2828">
        <v>252.05</v>
      </c>
      <c r="F2828">
        <v>243.5</v>
      </c>
      <c r="G2828">
        <v>2982309</v>
      </c>
      <c r="H2828" s="116"/>
      <c r="I2828" s="116"/>
      <c r="L2828" s="170">
        <v>46171</v>
      </c>
      <c r="M2828" s="116">
        <v>243.37</v>
      </c>
      <c r="N2828" s="116">
        <v>254.2</v>
      </c>
      <c r="O2828" s="116">
        <v>242.19</v>
      </c>
      <c r="P2828" s="116">
        <v>250.9</v>
      </c>
      <c r="Q2828" s="116">
        <v>243.37</v>
      </c>
      <c r="R2828">
        <v>71856898</v>
      </c>
    </row>
    <row r="2829" spans="1:18" x14ac:dyDescent="0.25">
      <c r="A2829" s="170">
        <v>46174</v>
      </c>
      <c r="B2829">
        <v>245.8</v>
      </c>
      <c r="C2829">
        <v>232.25</v>
      </c>
      <c r="D2829">
        <v>231.7</v>
      </c>
      <c r="E2829">
        <v>244.25</v>
      </c>
      <c r="F2829">
        <v>232.25</v>
      </c>
      <c r="G2829">
        <v>3640877</v>
      </c>
      <c r="H2829" s="116"/>
      <c r="I2829" s="116"/>
      <c r="L2829" s="170">
        <v>46174</v>
      </c>
      <c r="M2829" s="116">
        <v>232.3</v>
      </c>
      <c r="N2829" s="116">
        <v>245.69</v>
      </c>
      <c r="O2829" s="116">
        <v>231.75</v>
      </c>
      <c r="P2829" s="116">
        <v>245</v>
      </c>
      <c r="Q2829" s="116">
        <v>232.3</v>
      </c>
      <c r="R2829">
        <v>46168552</v>
      </c>
    </row>
    <row r="2830" spans="1:18" x14ac:dyDescent="0.25">
      <c r="A2830" s="170">
        <v>46175</v>
      </c>
      <c r="B2830">
        <v>236.6</v>
      </c>
      <c r="C2830">
        <v>235.9</v>
      </c>
      <c r="D2830">
        <v>227.4</v>
      </c>
      <c r="E2830">
        <v>231.65</v>
      </c>
      <c r="F2830">
        <v>235.9</v>
      </c>
      <c r="G2830">
        <v>1841612</v>
      </c>
      <c r="H2830" s="116"/>
      <c r="I2830" s="116"/>
      <c r="L2830" s="170">
        <v>46175</v>
      </c>
      <c r="M2830" s="116">
        <v>235.93</v>
      </c>
      <c r="N2830" s="116">
        <v>236.67</v>
      </c>
      <c r="O2830" s="116">
        <v>227.41</v>
      </c>
      <c r="P2830" s="116">
        <v>230</v>
      </c>
      <c r="Q2830" s="116">
        <v>235.93</v>
      </c>
      <c r="R2830">
        <v>40494771</v>
      </c>
    </row>
    <row r="2831" spans="1:18" x14ac:dyDescent="0.25">
      <c r="A2831" s="170">
        <v>46176</v>
      </c>
      <c r="B2831">
        <v>237.5</v>
      </c>
      <c r="C2831">
        <v>232.5</v>
      </c>
      <c r="D2831">
        <v>229.45</v>
      </c>
      <c r="E2831">
        <v>237.5</v>
      </c>
      <c r="F2831">
        <v>232.5</v>
      </c>
      <c r="G2831">
        <v>1159028</v>
      </c>
      <c r="H2831" s="116"/>
      <c r="I2831" s="116"/>
      <c r="L2831" s="170">
        <v>46176</v>
      </c>
      <c r="M2831" s="116">
        <v>232.52</v>
      </c>
      <c r="N2831" s="116">
        <v>237.15</v>
      </c>
      <c r="O2831" s="116">
        <v>229.43</v>
      </c>
      <c r="P2831" s="116">
        <v>237</v>
      </c>
      <c r="Q2831" s="116">
        <v>232.52</v>
      </c>
      <c r="R2831">
        <v>22600806</v>
      </c>
    </row>
    <row r="2832" spans="1:18" x14ac:dyDescent="0.25">
      <c r="A2832" s="170">
        <v>46177</v>
      </c>
      <c r="B2832">
        <v>235.65</v>
      </c>
      <c r="C2832">
        <v>230.05</v>
      </c>
      <c r="D2832">
        <v>229.2</v>
      </c>
      <c r="E2832">
        <v>231.65</v>
      </c>
      <c r="F2832">
        <v>230.05</v>
      </c>
      <c r="G2832">
        <v>974602</v>
      </c>
      <c r="H2832" s="116"/>
      <c r="I2832" s="116"/>
      <c r="L2832" s="170">
        <v>46177</v>
      </c>
      <c r="M2832" s="116">
        <v>230.03</v>
      </c>
      <c r="N2832" s="116">
        <v>235.65</v>
      </c>
      <c r="O2832" s="116">
        <v>229.15</v>
      </c>
      <c r="P2832" s="116">
        <v>230.5</v>
      </c>
      <c r="Q2832" s="116">
        <v>230.03</v>
      </c>
      <c r="R2832">
        <v>23485301</v>
      </c>
    </row>
    <row r="2833" spans="1:18" x14ac:dyDescent="0.25">
      <c r="A2833" s="170">
        <v>46178</v>
      </c>
      <c r="B2833">
        <v>236.2</v>
      </c>
      <c r="C2833">
        <v>232.55</v>
      </c>
      <c r="D2833">
        <v>230.1</v>
      </c>
      <c r="E2833">
        <v>231.25</v>
      </c>
      <c r="F2833">
        <v>232.55</v>
      </c>
      <c r="G2833">
        <v>2357330</v>
      </c>
      <c r="H2833" s="116"/>
      <c r="I2833" s="116"/>
      <c r="L2833" s="170">
        <v>46178</v>
      </c>
      <c r="M2833" s="116">
        <v>232.6</v>
      </c>
      <c r="N2833" s="116">
        <v>236.25</v>
      </c>
      <c r="O2833" s="116">
        <v>230.1</v>
      </c>
      <c r="P2833" s="116">
        <v>231.68</v>
      </c>
      <c r="Q2833" s="116">
        <v>232.6</v>
      </c>
      <c r="R2833">
        <v>30846795</v>
      </c>
    </row>
    <row r="2834" spans="1:18" x14ac:dyDescent="0.25">
      <c r="A2834" s="170">
        <v>46181</v>
      </c>
      <c r="B2834">
        <v>234.4</v>
      </c>
      <c r="C2834">
        <v>225.85</v>
      </c>
      <c r="D2834">
        <v>224.05</v>
      </c>
      <c r="E2834">
        <v>231.4</v>
      </c>
      <c r="F2834">
        <v>225.85</v>
      </c>
      <c r="G2834">
        <v>1988449</v>
      </c>
      <c r="H2834" s="116"/>
      <c r="I2834" s="116"/>
      <c r="L2834" s="170">
        <v>46181</v>
      </c>
      <c r="M2834" s="116">
        <v>225.85</v>
      </c>
      <c r="N2834" s="116">
        <v>234.35</v>
      </c>
      <c r="O2834" s="116">
        <v>224.02</v>
      </c>
      <c r="P2834" s="116">
        <v>230.97</v>
      </c>
      <c r="Q2834" s="116">
        <v>225.85</v>
      </c>
      <c r="R2834">
        <v>34194584</v>
      </c>
    </row>
    <row r="2835" spans="1:18" x14ac:dyDescent="0.25">
      <c r="A2835" s="170">
        <v>46182</v>
      </c>
      <c r="B2835">
        <v>230</v>
      </c>
      <c r="C2835">
        <v>226.05</v>
      </c>
      <c r="D2835">
        <v>224.05</v>
      </c>
      <c r="E2835">
        <v>230</v>
      </c>
      <c r="F2835">
        <v>226.05</v>
      </c>
      <c r="G2835">
        <v>1661046</v>
      </c>
      <c r="H2835" s="116"/>
      <c r="I2835" s="116"/>
      <c r="L2835" s="170">
        <v>46182</v>
      </c>
      <c r="M2835" s="116">
        <v>226.14</v>
      </c>
      <c r="N2835" s="116">
        <v>229.88</v>
      </c>
      <c r="O2835" s="116">
        <v>224</v>
      </c>
      <c r="P2835" s="116">
        <v>229.77</v>
      </c>
      <c r="Q2835" s="116">
        <v>226.14</v>
      </c>
      <c r="R2835">
        <v>26466973</v>
      </c>
    </row>
    <row r="2836" spans="1:18" x14ac:dyDescent="0.25">
      <c r="A2836" s="170">
        <v>46183</v>
      </c>
      <c r="B2836">
        <v>227.55</v>
      </c>
      <c r="C2836">
        <v>220.55</v>
      </c>
      <c r="D2836">
        <v>220.1</v>
      </c>
      <c r="E2836">
        <v>227.55</v>
      </c>
      <c r="F2836">
        <v>220.55</v>
      </c>
      <c r="G2836">
        <v>1148609</v>
      </c>
      <c r="H2836" s="116"/>
      <c r="I2836" s="116"/>
      <c r="L2836" s="170">
        <v>46183</v>
      </c>
      <c r="M2836" s="116">
        <v>220.58</v>
      </c>
      <c r="N2836" s="116">
        <v>227.3</v>
      </c>
      <c r="O2836" s="116">
        <v>220.05</v>
      </c>
      <c r="P2836" s="116">
        <v>227.3</v>
      </c>
      <c r="Q2836" s="116">
        <v>220.58</v>
      </c>
      <c r="R2836">
        <v>21659105</v>
      </c>
    </row>
    <row r="2837" spans="1:18" x14ac:dyDescent="0.25">
      <c r="A2837" s="170">
        <v>46184</v>
      </c>
      <c r="B2837">
        <v>222.35</v>
      </c>
      <c r="C2837">
        <v>215.65</v>
      </c>
      <c r="D2837">
        <v>214.8</v>
      </c>
      <c r="E2837">
        <v>219.8</v>
      </c>
      <c r="F2837">
        <v>215.65</v>
      </c>
      <c r="G2837">
        <v>1334924</v>
      </c>
      <c r="H2837" s="116"/>
      <c r="I2837" s="116"/>
      <c r="L2837" s="170">
        <v>46184</v>
      </c>
      <c r="M2837" s="116">
        <v>215.51</v>
      </c>
      <c r="N2837" s="116">
        <v>222.34</v>
      </c>
      <c r="O2837" s="116">
        <v>214.8</v>
      </c>
      <c r="P2837" s="116">
        <v>219.24</v>
      </c>
      <c r="Q2837" s="116">
        <v>215.51</v>
      </c>
      <c r="R2837">
        <v>30938415</v>
      </c>
    </row>
    <row r="2838" spans="1:18" x14ac:dyDescent="0.25">
      <c r="A2838" s="170">
        <v>46185</v>
      </c>
      <c r="B2838">
        <v>223.85</v>
      </c>
      <c r="C2838">
        <v>222.9</v>
      </c>
      <c r="D2838">
        <v>216.4</v>
      </c>
      <c r="E2838">
        <v>217.95</v>
      </c>
      <c r="F2838">
        <v>222.9</v>
      </c>
      <c r="G2838">
        <v>2179316</v>
      </c>
      <c r="H2838" s="116"/>
      <c r="I2838" s="116"/>
      <c r="L2838" s="170">
        <v>46185</v>
      </c>
      <c r="M2838" s="116">
        <v>223.07</v>
      </c>
      <c r="N2838" s="116">
        <v>223.89</v>
      </c>
      <c r="O2838" s="116">
        <v>216.43</v>
      </c>
      <c r="P2838" s="116">
        <v>218.44</v>
      </c>
      <c r="Q2838" s="116">
        <v>223.07</v>
      </c>
      <c r="R2838">
        <v>27825184</v>
      </c>
    </row>
    <row r="2839" spans="1:18" x14ac:dyDescent="0.25">
      <c r="A2839" s="170">
        <v>46188</v>
      </c>
      <c r="B2839">
        <v>228.35</v>
      </c>
      <c r="C2839">
        <v>220.5</v>
      </c>
      <c r="D2839">
        <v>219.95</v>
      </c>
      <c r="E2839">
        <v>228.35</v>
      </c>
      <c r="F2839">
        <v>220.5</v>
      </c>
      <c r="G2839">
        <v>1973197</v>
      </c>
      <c r="H2839" s="116"/>
      <c r="I2839" s="116"/>
      <c r="L2839" s="170">
        <v>46188</v>
      </c>
      <c r="M2839" s="116">
        <v>220.52</v>
      </c>
      <c r="N2839" s="116">
        <v>227</v>
      </c>
      <c r="O2839" s="116">
        <v>220</v>
      </c>
      <c r="P2839" s="116">
        <v>226.95</v>
      </c>
      <c r="Q2839" s="116">
        <v>220.52</v>
      </c>
      <c r="R2839">
        <v>26726675</v>
      </c>
    </row>
    <row r="2840" spans="1:18" x14ac:dyDescent="0.25">
      <c r="A2840" s="170">
        <v>46189</v>
      </c>
      <c r="B2840">
        <v>224.7</v>
      </c>
      <c r="C2840">
        <v>222.6</v>
      </c>
      <c r="D2840">
        <v>218.65</v>
      </c>
      <c r="E2840">
        <v>222.15</v>
      </c>
      <c r="F2840">
        <v>222.6</v>
      </c>
      <c r="G2840">
        <v>1256740</v>
      </c>
      <c r="H2840" s="116"/>
      <c r="I2840" s="116"/>
      <c r="L2840" s="170">
        <v>46189</v>
      </c>
      <c r="M2840" s="116">
        <v>222.6</v>
      </c>
      <c r="N2840" s="116">
        <v>224.8</v>
      </c>
      <c r="O2840" s="116">
        <v>218.61</v>
      </c>
      <c r="P2840" s="116">
        <v>221.9</v>
      </c>
      <c r="Q2840" s="116">
        <v>222.6</v>
      </c>
      <c r="R2840">
        <v>29486320</v>
      </c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2026-06-17T09:49:43Z</dcterms:modified>
  <cp:category/>
  <cp:contentStatus/>
</cp:coreProperties>
</file>