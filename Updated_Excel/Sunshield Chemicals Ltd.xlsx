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A31F1B6-1F45-4C61-90E4-AAD4EE86306A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94" i="2"/>
  <c r="AC78" i="2"/>
  <c r="AB83" i="2"/>
  <c r="AC10" i="2"/>
  <c r="AD83" i="2"/>
  <c r="AE73" i="2"/>
  <c r="AD28" i="2"/>
  <c r="AF67" i="2"/>
  <c r="AC61" i="2"/>
  <c r="AE91" i="2"/>
  <c r="AC7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B78" i="2"/>
  <c r="AC24" i="2"/>
  <c r="AC106" i="2"/>
  <c r="AF46" i="2"/>
  <c r="AE34" i="2"/>
  <c r="AF24" i="2"/>
  <c r="AF43" i="2"/>
  <c r="AB75" i="2"/>
  <c r="AB99" i="2"/>
  <c r="AF30" i="2"/>
  <c r="AD67" i="2"/>
  <c r="AC88" i="2"/>
  <c r="AD12" i="2"/>
  <c r="AD55" i="2"/>
  <c r="AF91" i="2"/>
  <c r="AB6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B76" i="2"/>
  <c r="AE79" i="2"/>
  <c r="AE107" i="2"/>
  <c r="AB9" i="2"/>
  <c r="AE30" i="2"/>
  <c r="AE45" i="2"/>
  <c r="AE57" i="2"/>
  <c r="AB18" i="2"/>
  <c r="AB53" i="2"/>
  <c r="AD64" i="2"/>
  <c r="AD108" i="2"/>
  <c r="AB36" i="2"/>
  <c r="AC26" i="2"/>
  <c r="AE80" i="2"/>
  <c r="AE50" i="2"/>
  <c r="AF94" i="2"/>
  <c r="AC80" i="2"/>
  <c r="AC108" i="2"/>
  <c r="AD85" i="2"/>
  <c r="AD105" i="2"/>
  <c r="AE89" i="2"/>
  <c r="AE54" i="2"/>
  <c r="AE23" i="2"/>
  <c r="AC94" i="2"/>
  <c r="AF1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C44" i="2"/>
  <c r="AD17" i="2"/>
  <c r="AD33" i="2"/>
  <c r="AD52" i="2"/>
  <c r="AF63" i="2"/>
  <c r="AF71" i="2"/>
  <c r="AF107" i="2"/>
  <c r="AF34" i="2"/>
  <c r="AE25" i="2"/>
  <c r="AC67" i="2"/>
  <c r="AC91" i="2"/>
  <c r="AB16" i="2"/>
  <c r="AB51" i="2"/>
  <c r="AE19" i="2"/>
  <c r="AF68" i="2"/>
  <c r="AF84" i="2"/>
  <c r="AC62" i="2"/>
  <c r="AC86" i="2"/>
  <c r="AB17" i="2"/>
  <c r="AB25" i="2"/>
  <c r="AB44" i="2"/>
  <c r="AE6" i="2"/>
  <c r="AE18" i="2"/>
  <c r="AB34" i="2"/>
  <c r="AD72" i="2"/>
  <c r="AD80" i="2"/>
  <c r="AD88" i="2"/>
  <c r="AD96" i="2"/>
  <c r="AF6" i="2"/>
  <c r="AB64" i="2"/>
  <c r="AC53" i="2"/>
  <c r="AE68" i="2"/>
  <c r="AE92" i="2"/>
  <c r="AD54" i="2"/>
  <c r="AF78" i="2"/>
  <c r="AC32" i="2"/>
  <c r="AF98" i="2"/>
  <c r="AD73" i="2"/>
  <c r="AF11" i="2"/>
  <c r="AE10" i="2"/>
  <c r="AE49" i="2"/>
  <c r="AD15" i="2"/>
  <c r="AE72" i="2"/>
  <c r="AC99" i="2"/>
  <c r="AE61" i="2"/>
  <c r="AB74" i="2"/>
  <c r="AE97" i="2"/>
  <c r="AC23" i="2"/>
  <c r="AD44" i="2"/>
  <c r="AF53" i="2"/>
  <c r="AC73" i="2"/>
  <c r="AB84" i="2"/>
  <c r="AF76" i="2"/>
  <c r="AC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D32" i="2"/>
  <c r="AC17" i="2"/>
  <c r="AC29" i="2"/>
  <c r="AC56" i="2"/>
  <c r="AF79" i="2"/>
  <c r="AF87" i="2"/>
  <c r="AF95" i="2"/>
  <c r="AD63" i="2"/>
  <c r="AE52" i="2"/>
  <c r="AC79" i="2"/>
  <c r="AC47" i="2"/>
  <c r="AB92" i="2"/>
  <c r="AF104" i="2"/>
  <c r="AB33" i="2"/>
  <c r="AB52" i="2"/>
  <c r="AD19" i="2"/>
  <c r="AD69" i="2"/>
  <c r="AE65" i="2"/>
  <c r="AF82" i="2"/>
  <c r="AC70" i="2"/>
  <c r="AF35" i="2"/>
  <c r="AC11" i="2"/>
  <c r="AC50" i="2"/>
  <c r="AF75" i="2"/>
  <c r="AE96" i="2"/>
  <c r="AF64" i="2"/>
  <c r="AE42" i="2"/>
  <c r="AD8" i="2"/>
  <c r="AD16" i="2"/>
  <c r="AD24" i="2"/>
  <c r="AD43" i="2"/>
  <c r="AD51" i="2"/>
  <c r="AC5" i="2"/>
  <c r="AC113" i="2" s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F109" i="2"/>
  <c r="AF10" i="2"/>
  <c r="AF45" i="2"/>
  <c r="AC6" i="2"/>
  <c r="AB24" i="2"/>
  <c r="AC64" i="2"/>
  <c r="AC51" i="2"/>
  <c r="AC84" i="2"/>
  <c r="AC20" i="2"/>
  <c r="AF88" i="2"/>
  <c r="AF108" i="2"/>
  <c r="AF27" i="2"/>
  <c r="AF54" i="2"/>
  <c r="AE22" i="2"/>
  <c r="AF8" i="2"/>
  <c r="AB67" i="2"/>
  <c r="AB91" i="2"/>
  <c r="AC93" i="2"/>
  <c r="AC34" i="2"/>
  <c r="AC36" i="2"/>
  <c r="AB90" i="2"/>
  <c r="AD47" i="2"/>
  <c r="AD25" i="2"/>
  <c r="AF99" i="2"/>
  <c r="AF18" i="2"/>
  <c r="AE13" i="2"/>
  <c r="AC85" i="2"/>
  <c r="AE106" i="2"/>
  <c r="AF9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C30" i="2"/>
  <c r="AC57" i="2"/>
  <c r="AE70" i="2"/>
  <c r="AE82" i="2"/>
  <c r="AC95" i="2"/>
  <c r="AF60" i="2"/>
  <c r="AB80" i="2"/>
  <c r="AB96" i="2"/>
  <c r="AF72" i="2"/>
  <c r="AE69" i="2"/>
  <c r="AE93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B12" i="2"/>
  <c r="AB47" i="2"/>
  <c r="AE9" i="2"/>
  <c r="AE33" i="2"/>
  <c r="AC59" i="2"/>
  <c r="AC71" i="2"/>
  <c r="AC83" i="2"/>
  <c r="AE98" i="2"/>
  <c r="AD27" i="2"/>
  <c r="AD61" i="2"/>
  <c r="AF66" i="2"/>
  <c r="AE87" i="2"/>
  <c r="AD109" i="2"/>
  <c r="AB59" i="2"/>
  <c r="AD50" i="2"/>
  <c r="AE60" i="2"/>
  <c r="AE84" i="2"/>
  <c r="AD99" i="2"/>
  <c r="AD36" i="2"/>
  <c r="AF83" i="2"/>
  <c r="AE40" i="2"/>
  <c r="AB104" i="2"/>
  <c r="AC98" i="2"/>
  <c r="AD89" i="2"/>
  <c r="AB62" i="2"/>
  <c r="AB110" i="2"/>
  <c r="AD20" i="2"/>
  <c r="AC35" i="2"/>
  <c r="AD9" i="2"/>
  <c r="AF59" i="2"/>
  <c r="AB32" i="2"/>
  <c r="AE67" i="2"/>
  <c r="AA127" i="1" l="1"/>
  <c r="AA122" i="1"/>
  <c r="AA24" i="1"/>
  <c r="AA119" i="1"/>
  <c r="AA35" i="1"/>
  <c r="AA21" i="1"/>
  <c r="AA13" i="1"/>
  <c r="AA159" i="1"/>
  <c r="AA143" i="1"/>
  <c r="AA136" i="1"/>
  <c r="AA132" i="1"/>
  <c r="AA125" i="1"/>
  <c r="AA117" i="1"/>
  <c r="AA77" i="1"/>
  <c r="AA67" i="1"/>
  <c r="AA51" i="1"/>
  <c r="AA45" i="1"/>
  <c r="AA36" i="1"/>
  <c r="AA172" i="1"/>
  <c r="AA164" i="1"/>
  <c r="AA160" i="1"/>
  <c r="AA153" i="1"/>
  <c r="AA150" i="1"/>
  <c r="AA147" i="1"/>
  <c r="AA146" i="1"/>
  <c r="AA144" i="1"/>
  <c r="AA140" i="1"/>
  <c r="AA135" i="1"/>
  <c r="AA124" i="1"/>
  <c r="AA79" i="1"/>
  <c r="AA46" i="1"/>
  <c r="AA32" i="1"/>
  <c r="AA23" i="1"/>
  <c r="AA20" i="1"/>
  <c r="AA9" i="1"/>
  <c r="AA171" i="1"/>
  <c r="AA170" i="1"/>
  <c r="AA163" i="1"/>
  <c r="AA155" i="1"/>
  <c r="AA151" i="1"/>
  <c r="AA149" i="1"/>
  <c r="AA145" i="1"/>
  <c r="AA142" i="1"/>
  <c r="AA137" i="1"/>
  <c r="AA133" i="1"/>
  <c r="AA126" i="1"/>
  <c r="AA118" i="1"/>
  <c r="AA78" i="1"/>
  <c r="AA47" i="1"/>
  <c r="AA39" i="1"/>
  <c r="AA25" i="1"/>
  <c r="AA22" i="1"/>
  <c r="AA15" i="1"/>
  <c r="AA8" i="1"/>
  <c r="AA161" i="1"/>
  <c r="AA148" i="1"/>
  <c r="AA10" i="1"/>
  <c r="AA154" i="1"/>
  <c r="AA156" i="1" s="1"/>
  <c r="AA253" i="1"/>
  <c r="AA231" i="1"/>
  <c r="AA194" i="1"/>
  <c r="AA179" i="1"/>
  <c r="AA173" i="1"/>
  <c r="AA120" i="1"/>
  <c r="B1" i="9"/>
  <c r="AE111" i="2"/>
  <c r="AF113" i="2"/>
  <c r="AF112" i="2"/>
  <c r="AB112" i="2"/>
  <c r="AA73" i="1" s="1"/>
  <c r="AC112" i="2"/>
  <c r="AC111" i="2"/>
  <c r="AB111" i="2"/>
  <c r="L1" i="9"/>
  <c r="AF111" i="2"/>
  <c r="AD112" i="2"/>
  <c r="AD111" i="2"/>
  <c r="AD113" i="2"/>
  <c r="AE113" i="2"/>
  <c r="AB113" i="2"/>
  <c r="AA74" i="1" s="1"/>
  <c r="A1" i="9"/>
  <c r="AE112" i="2"/>
  <c r="AA131" i="1" l="1"/>
  <c r="AA134" i="1" s="1"/>
  <c r="AA138" i="1" s="1"/>
  <c r="AA128" i="1"/>
  <c r="AA26" i="1"/>
  <c r="AA27" i="1" s="1"/>
  <c r="AA252" i="1"/>
  <c r="AA183" i="1"/>
  <c r="AA180" i="1"/>
  <c r="AA33" i="1"/>
  <c r="AA248" i="1"/>
  <c r="AA246" i="1"/>
  <c r="AA182" i="1"/>
  <c r="AA157" i="1"/>
  <c r="AA244" i="1"/>
  <c r="AA16" i="1"/>
  <c r="AA98" i="1"/>
  <c r="AA185" i="1"/>
  <c r="AA175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168" i="1"/>
  <c r="AA109" i="1" s="1"/>
  <c r="AA184" i="1"/>
  <c r="AA165" i="1"/>
  <c r="AA166" i="1" s="1"/>
  <c r="AA181" i="1"/>
  <c r="AA186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34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FA6" i="4" a="1"/>
  <c r="FE12" i="4" a="1"/>
  <c r="FC5" i="4" a="1"/>
  <c r="FD11" i="4" a="1"/>
  <c r="FB5" i="4" a="1"/>
  <c r="EX8" i="4" a="1"/>
  <c r="EZ6" i="4" a="1"/>
  <c r="BJ5" i="3"/>
  <c r="BK15" i="3"/>
  <c r="BK31" i="3"/>
  <c r="BN22" i="3"/>
  <c r="BK45" i="3"/>
  <c r="AA110" i="2"/>
  <c r="Z89" i="2"/>
  <c r="Z9" i="2"/>
  <c r="BB9" i="3"/>
  <c r="BB22" i="3"/>
  <c r="BA19" i="3"/>
  <c r="Y6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EY5" i="4" a="1"/>
  <c r="BG30" i="3"/>
  <c r="BH22" i="3"/>
  <c r="BF39" i="3"/>
  <c r="Y60" i="2"/>
  <c r="Y26" i="2"/>
  <c r="AA90" i="2"/>
  <c r="BB20" i="3"/>
  <c r="Z11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P30" i="3"/>
  <c r="BN39" i="3"/>
  <c r="BR26" i="3"/>
  <c r="BR38" i="3"/>
  <c r="BO10" i="3"/>
  <c r="BO16" i="3"/>
  <c r="BO22" i="3"/>
  <c r="BO28" i="3"/>
  <c r="BP5" i="3"/>
  <c r="BI39" i="3"/>
  <c r="BI46" i="3"/>
  <c r="BP45" i="3"/>
  <c r="BM7" i="3"/>
  <c r="BG22" i="3"/>
  <c r="BJ13" i="3"/>
  <c r="BU7" i="3"/>
  <c r="BU13" i="3"/>
  <c r="BU19" i="3"/>
  <c r="BU25" i="3"/>
  <c r="BU31" i="3"/>
  <c r="BU37" i="3"/>
  <c r="BU45" i="3"/>
  <c r="BV8" i="3"/>
  <c r="BS36" i="3"/>
  <c r="BT23" i="3"/>
  <c r="BM41" i="3"/>
  <c r="BF21" i="3"/>
  <c r="CL22" i="1" s="1"/>
  <c r="BI22" i="3"/>
  <c r="BM42" i="3"/>
  <c r="BR14" i="3"/>
  <c r="BR20" i="3"/>
  <c r="BR32" i="3"/>
  <c r="BR46" i="3"/>
  <c r="BO34" i="3"/>
  <c r="BP22" i="3"/>
  <c r="BJ21" i="3"/>
  <c r="BL46" i="3"/>
  <c r="BE24" i="3"/>
  <c r="BL11" i="3"/>
  <c r="BP25" i="3"/>
  <c r="BK12" i="3"/>
  <c r="BI17" i="3"/>
  <c r="BE35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CL65" i="1" s="1"/>
  <c r="BK19" i="3"/>
  <c r="BK35" i="3"/>
  <c r="BJ40" i="3"/>
  <c r="Y13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Q8" i="3"/>
  <c r="BQ32" i="3"/>
  <c r="BS37" i="3"/>
  <c r="BL22" i="3"/>
  <c r="BV14" i="3"/>
  <c r="BV38" i="3"/>
  <c r="BS22" i="3"/>
  <c r="BT33" i="3"/>
  <c r="BF33" i="3"/>
  <c r="BN46" i="3"/>
  <c r="BE5" i="3"/>
  <c r="BI19" i="3"/>
  <c r="BN21" i="3"/>
  <c r="BE42" i="3"/>
  <c r="BH41" i="3"/>
  <c r="BT37" i="3"/>
  <c r="BF17" i="3"/>
  <c r="CL21" i="1" s="1"/>
  <c r="BI26" i="3"/>
  <c r="Y88" i="2"/>
  <c r="C4" i="2"/>
  <c r="Z13" i="2"/>
  <c r="BD18" i="3"/>
  <c r="BC12" i="3"/>
  <c r="AA66" i="2"/>
  <c r="Z53" i="2"/>
  <c r="AA76" i="2"/>
  <c r="BC13" i="3"/>
  <c r="BA42" i="3"/>
  <c r="Z73" i="2"/>
  <c r="Z92" i="2"/>
  <c r="Y45" i="2"/>
  <c r="Z99" i="2"/>
  <c r="BD46" i="3"/>
  <c r="Z83" i="2"/>
  <c r="BA21" i="3"/>
  <c r="BD24" i="3"/>
  <c r="BA25" i="3"/>
  <c r="BC35" i="3"/>
  <c r="Z69" i="2"/>
  <c r="FE5" i="4" a="1"/>
  <c r="EZ11" i="4" a="1"/>
  <c r="FD12" i="4" a="1"/>
  <c r="FE9" i="4" a="1"/>
  <c r="FB6" i="4" a="1"/>
  <c r="FC11" i="4" a="1"/>
  <c r="FE16" i="4" a="1"/>
  <c r="Y67" i="2"/>
  <c r="BC22" i="3"/>
  <c r="AA67" i="2"/>
  <c r="BB23" i="3"/>
  <c r="BD20" i="3"/>
  <c r="FF15" i="4" a="1"/>
  <c r="EX9" i="4" a="1"/>
  <c r="EX6" i="4" a="1"/>
  <c r="EZ5" i="4" a="1"/>
  <c r="Y53" i="2"/>
  <c r="BE14" i="3"/>
  <c r="BJ8" i="3"/>
  <c r="BB30" i="3"/>
  <c r="AA8" i="2"/>
  <c r="Y84" i="2"/>
  <c r="Y74" i="2"/>
  <c r="Y59" i="2"/>
  <c r="FE8" i="4" a="1"/>
  <c r="FF7" i="4" a="1"/>
  <c r="AA45" i="2"/>
  <c r="FB13" i="4" a="1"/>
  <c r="BV5" i="3"/>
  <c r="BJ9" i="3"/>
  <c r="BP15" i="3"/>
  <c r="BM10" i="3"/>
  <c r="BA16" i="3"/>
  <c r="Z29" i="2"/>
  <c r="BC5" i="3"/>
  <c r="FB9" i="4" a="1"/>
  <c r="BN34" i="3"/>
  <c r="AA71" i="2"/>
  <c r="FE13" i="4" a="1"/>
  <c r="BO19" i="3"/>
  <c r="BK18" i="3"/>
  <c r="BD23" i="3"/>
  <c r="BA37" i="3"/>
  <c r="AA96" i="2"/>
  <c r="Z42" i="2"/>
  <c r="FC6" i="4" a="1"/>
  <c r="BQ10" i="3"/>
  <c r="BQ34" i="3"/>
  <c r="BS41" i="3"/>
  <c r="BH28" i="3"/>
  <c r="BV16" i="3"/>
  <c r="BV40" i="3"/>
  <c r="BS24" i="3"/>
  <c r="BT39" i="3"/>
  <c r="BL34" i="3"/>
  <c r="BL5" i="3"/>
  <c r="BI5" i="3"/>
  <c r="BM19" i="3"/>
  <c r="BJ23" i="3"/>
  <c r="BN6" i="3"/>
  <c r="BN42" i="3"/>
  <c r="BT45" i="3"/>
  <c r="BL18" i="3"/>
  <c r="BE28" i="3"/>
  <c r="Z48" i="2"/>
  <c r="Z108" i="2"/>
  <c r="AA47" i="2"/>
  <c r="BB32" i="3"/>
  <c r="BB37" i="3"/>
  <c r="Y19" i="2"/>
  <c r="Z44" i="2"/>
  <c r="Z95" i="2"/>
  <c r="BB16" i="3"/>
  <c r="BA41" i="3"/>
  <c r="AA16" i="2"/>
  <c r="AA85" i="2"/>
  <c r="AA13" i="2"/>
  <c r="AA34" i="2"/>
  <c r="BA7" i="3"/>
  <c r="Z93" i="2"/>
  <c r="FC14" i="4" a="1"/>
  <c r="FA12" i="4" a="1"/>
  <c r="FA5" i="4" a="1"/>
  <c r="BI29" i="3"/>
  <c r="BI42" i="3"/>
  <c r="Y49" i="2"/>
  <c r="Z98" i="2"/>
  <c r="BC36" i="3"/>
  <c r="BI24" i="3"/>
  <c r="BS34" i="3"/>
  <c r="BP33" i="3"/>
  <c r="BN36" i="3"/>
  <c r="Y83" i="2"/>
  <c r="Y97" i="2"/>
  <c r="BU22" i="3"/>
  <c r="BR29" i="3"/>
  <c r="BS38" i="3"/>
  <c r="BI32" i="3"/>
  <c r="BG40" i="3"/>
  <c r="Y64" i="2"/>
  <c r="Z5" i="2"/>
  <c r="BC45" i="3"/>
  <c r="BC23" i="3"/>
  <c r="AA83" i="2"/>
  <c r="EX7" i="4" a="1"/>
  <c r="BB19" i="3"/>
  <c r="AA104" i="2"/>
  <c r="BB33" i="3"/>
  <c r="BV34" i="3"/>
  <c r="BJ11" i="3"/>
  <c r="Y78" i="2"/>
  <c r="Z56" i="2"/>
  <c r="BL10" i="3"/>
  <c r="BT21" i="3"/>
  <c r="BN30" i="3"/>
  <c r="BM38" i="3"/>
  <c r="BT25" i="3"/>
  <c r="BK23" i="3"/>
  <c r="Y32" i="2"/>
  <c r="Z49" i="2"/>
  <c r="BA15" i="3"/>
  <c r="Y47" i="2"/>
  <c r="Z8" i="2"/>
  <c r="FF8" i="4" a="1"/>
  <c r="BU10" i="3"/>
  <c r="BU34" i="3"/>
  <c r="BS42" i="3"/>
  <c r="BH30" i="3"/>
  <c r="BR17" i="3"/>
  <c r="BR41" i="3"/>
  <c r="BO25" i="3"/>
  <c r="BP32" i="3"/>
  <c r="BG5" i="3"/>
  <c r="BT12" i="3"/>
  <c r="BG8" i="3"/>
  <c r="BK22" i="3"/>
  <c r="BH34" i="3"/>
  <c r="BH15" i="3"/>
  <c r="BF32" i="3"/>
  <c r="BP20" i="3"/>
  <c r="BJ27" i="3"/>
  <c r="BG37" i="3"/>
  <c r="AA40" i="2"/>
  <c r="Y104" i="2"/>
  <c r="AA51" i="2"/>
  <c r="Y35" i="2"/>
  <c r="BD21" i="3"/>
  <c r="BD29" i="3"/>
  <c r="W6" i="2"/>
  <c r="Y62" i="2"/>
  <c r="Y50" i="2"/>
  <c r="BC17" i="3"/>
  <c r="BC42" i="3"/>
  <c r="Z57" i="2"/>
  <c r="Z85" i="2"/>
  <c r="AA99" i="2"/>
  <c r="AA21" i="2"/>
  <c r="BC21" i="3"/>
  <c r="Z88" i="2"/>
  <c r="BA10" i="3"/>
  <c r="Y69" i="2"/>
  <c r="BD15" i="3"/>
  <c r="Z43" i="2"/>
  <c r="BB40" i="3"/>
  <c r="FC12" i="4" a="1"/>
  <c r="EX16" i="4" a="1"/>
  <c r="FB7" i="4" a="1"/>
  <c r="FE14" i="4" a="1"/>
  <c r="FD16" i="4" a="1"/>
  <c r="EX12" i="4" a="1"/>
  <c r="BT28" i="3"/>
  <c r="BJ14" i="3"/>
  <c r="BM40" i="3"/>
  <c r="Y36" i="2"/>
  <c r="Z22" i="2"/>
  <c r="BC38" i="3"/>
  <c r="BC16" i="3"/>
  <c r="BC15" i="3"/>
  <c r="AA58" i="2"/>
  <c r="BA5" i="3"/>
  <c r="X6" i="2"/>
  <c r="Y52" i="2"/>
  <c r="BA38" i="3"/>
  <c r="FC16" i="4" a="1"/>
  <c r="EY12" i="4" a="1"/>
  <c r="FF5" i="4" a="1"/>
  <c r="BT32" i="3"/>
  <c r="BM25" i="3"/>
  <c r="AA77" i="2"/>
  <c r="Y72" i="2"/>
  <c r="AA35" i="2"/>
  <c r="BD6" i="3"/>
  <c r="AA33" i="2"/>
  <c r="AA15" i="2"/>
  <c r="FB15" i="4" a="1"/>
  <c r="BP38" i="3"/>
  <c r="BK36" i="3"/>
  <c r="BL15" i="3"/>
  <c r="BK5" i="3"/>
  <c r="Y28" i="2"/>
  <c r="AA87" i="2"/>
  <c r="Z59" i="2"/>
  <c r="Y66" i="2"/>
  <c r="AA49" i="2"/>
  <c r="FC8" i="4" a="1"/>
  <c r="EZ12" i="4" a="1"/>
  <c r="FC15" i="4" a="1"/>
  <c r="BM31" i="3"/>
  <c r="BK14" i="3"/>
  <c r="BN28" i="3"/>
  <c r="Z76" i="2"/>
  <c r="Y99" i="2"/>
  <c r="Y43" i="2"/>
  <c r="BD8" i="3"/>
  <c r="BA14" i="3"/>
  <c r="Z71" i="2"/>
  <c r="Y87" i="2"/>
  <c r="FF9" i="4" a="1"/>
  <c r="EX14" i="4" a="1"/>
  <c r="AA41" i="2"/>
  <c r="AA89" i="2"/>
  <c r="BD25" i="3"/>
  <c r="EY7" i="4" a="1"/>
  <c r="FA9" i="4" a="1"/>
  <c r="BF9" i="3"/>
  <c r="BG21" i="3"/>
  <c r="Z67" i="2"/>
  <c r="BD37" i="3"/>
  <c r="Z6" i="2"/>
  <c r="EY13" i="4" a="1"/>
  <c r="BV11" i="3"/>
  <c r="BP7" i="3"/>
  <c r="BB17" i="3"/>
  <c r="AA28" i="2"/>
  <c r="BD17" i="3"/>
  <c r="EZ8" i="4" a="1"/>
  <c r="BQ14" i="3"/>
  <c r="BQ38" i="3"/>
  <c r="BT29" i="3"/>
  <c r="BN41" i="3"/>
  <c r="BV20" i="3"/>
  <c r="BV46" i="3"/>
  <c r="BS28" i="3"/>
  <c r="BP42" i="3"/>
  <c r="BI8" i="3"/>
  <c r="BT20" i="3"/>
  <c r="BE9" i="3"/>
  <c r="BI23" i="3"/>
  <c r="BN37" i="3"/>
  <c r="BL29" i="3"/>
  <c r="BE46" i="3"/>
  <c r="BP28" i="3"/>
  <c r="BL30" i="3"/>
  <c r="BE40" i="3"/>
  <c r="Z66" i="2"/>
  <c r="Y51" i="2"/>
  <c r="AA7" i="2"/>
  <c r="Z72" i="2"/>
  <c r="BC41" i="3"/>
  <c r="BB38" i="3"/>
  <c r="Y108" i="2"/>
  <c r="AA50" i="2"/>
  <c r="Z19" i="2"/>
  <c r="BA6" i="3"/>
  <c r="BA28" i="3"/>
  <c r="Z23" i="2"/>
  <c r="Z10" i="2"/>
  <c r="AA65" i="2"/>
  <c r="AA82" i="2"/>
  <c r="BC9" i="3"/>
  <c r="Z58" i="2"/>
  <c r="BC6" i="3"/>
  <c r="Z26" i="2"/>
  <c r="BA46" i="3"/>
  <c r="Z82" i="2"/>
  <c r="AA57" i="2"/>
  <c r="FA8" i="4" a="1"/>
  <c r="EZ14" i="4" a="1"/>
  <c r="FA11" i="4" a="1"/>
  <c r="FB12" i="4" a="1"/>
  <c r="FD13" i="4" a="1"/>
  <c r="EZ9" i="4" a="1"/>
  <c r="BG24" i="3"/>
  <c r="BN33" i="3"/>
  <c r="AA81" i="2"/>
  <c r="AA20" i="2"/>
  <c r="Z46" i="2"/>
  <c r="BB8" i="3"/>
  <c r="BA23" i="3"/>
  <c r="Y54" i="2"/>
  <c r="BG10" i="3"/>
  <c r="BD33" i="3"/>
  <c r="Z25" i="2"/>
  <c r="AA42" i="2"/>
  <c r="BA34" i="3"/>
  <c r="AA107" i="2"/>
  <c r="FD7" i="4" a="1"/>
  <c r="FD6" i="4" a="1"/>
  <c r="BQ20" i="3"/>
  <c r="BS10" i="3"/>
  <c r="BE41" i="3"/>
  <c r="BK25" i="3"/>
  <c r="BE13" i="3"/>
  <c r="BM14" i="3"/>
  <c r="BK34" i="3"/>
  <c r="AA29" i="2"/>
  <c r="Z12" i="2"/>
  <c r="BA32" i="3"/>
  <c r="BD19" i="3"/>
  <c r="Z94" i="2"/>
  <c r="BD5" i="3"/>
  <c r="FC9" i="4" a="1"/>
  <c r="BM32" i="3"/>
  <c r="BK21" i="3"/>
  <c r="BL13" i="3"/>
  <c r="Y31" i="2"/>
  <c r="Z17" i="2"/>
  <c r="FC13" i="4" a="1"/>
  <c r="BQ28" i="3"/>
  <c r="BS18" i="3"/>
  <c r="BF23" i="3"/>
  <c r="CL35" i="1" s="1"/>
  <c r="BF18" i="3"/>
  <c r="CL25" i="1" s="1"/>
  <c r="BC39" i="3"/>
  <c r="Z35" i="2"/>
  <c r="BA11" i="3"/>
  <c r="EY15" i="4" a="1"/>
  <c r="BR35" i="3"/>
  <c r="BN13" i="3"/>
  <c r="Y10" i="2"/>
  <c r="AA26" i="2"/>
  <c r="FD14" i="4" a="1"/>
  <c r="EY6" i="4" a="1"/>
  <c r="BQ16" i="3"/>
  <c r="BQ40" i="3"/>
  <c r="BT6" i="3"/>
  <c r="BI10" i="3"/>
  <c r="BV22" i="3"/>
  <c r="BS6" i="3"/>
  <c r="BS30" i="3"/>
  <c r="BM27" i="3"/>
  <c r="BI12" i="3"/>
  <c r="BM9" i="3"/>
  <c r="BF41" i="3"/>
  <c r="BJ42" i="3"/>
  <c r="BP40" i="3"/>
  <c r="AA109" i="2"/>
  <c r="Y58" i="2"/>
  <c r="BD11" i="3"/>
  <c r="Y57" i="2"/>
  <c r="AA23" i="2"/>
  <c r="EY11" i="4" a="1"/>
  <c r="EY8" i="4" a="1"/>
  <c r="BK24" i="3"/>
  <c r="Y61" i="2"/>
  <c r="Z52" i="2"/>
  <c r="FF12" i="4" a="1"/>
  <c r="BV26" i="3"/>
  <c r="Z77" i="2"/>
  <c r="BB7" i="3"/>
  <c r="FA13" i="4" a="1"/>
  <c r="EZ7" i="4" a="1"/>
  <c r="FD5" i="4" a="1"/>
  <c r="BO13" i="3"/>
  <c r="BI45" i="3"/>
  <c r="BB45" i="3"/>
  <c r="Z79" i="2"/>
  <c r="Y18" i="2"/>
  <c r="EX11" i="4" a="1"/>
  <c r="AA12" i="2"/>
  <c r="FA15" i="4" a="1"/>
  <c r="BR11" i="3"/>
  <c r="BG35" i="3"/>
  <c r="Y20" i="2"/>
  <c r="AA92" i="2"/>
  <c r="Y7" i="2"/>
  <c r="Y29" i="2"/>
  <c r="FB14" i="4" a="1"/>
  <c r="AA19" i="2"/>
  <c r="AA97" i="2"/>
  <c r="FF14" i="4" a="1"/>
  <c r="BU16" i="3"/>
  <c r="BU40" i="3"/>
  <c r="BT14" i="3"/>
  <c r="BE12" i="3"/>
  <c r="BR23" i="3"/>
  <c r="BO7" i="3"/>
  <c r="BO31" i="3"/>
  <c r="BL42" i="3"/>
  <c r="BJ29" i="3"/>
  <c r="BN20" i="3"/>
  <c r="BF35" i="3"/>
  <c r="CL46" i="1" s="1"/>
  <c r="Y85" i="2"/>
  <c r="BB25" i="3"/>
  <c r="BD35" i="3"/>
  <c r="Z90" i="2"/>
  <c r="Y86" i="2"/>
  <c r="BD27" i="3"/>
  <c r="FB8" i="4" a="1"/>
  <c r="FE7" i="4" a="1"/>
  <c r="BQ46" i="3"/>
  <c r="BA45" i="3"/>
  <c r="Z41" i="2"/>
  <c r="EZ15" i="4" a="1"/>
  <c r="BF22" i="3"/>
  <c r="AA5" i="2"/>
  <c r="AA32" i="2"/>
  <c r="BC34" i="3"/>
  <c r="Y63" i="2"/>
  <c r="EX5" i="4" a="1"/>
  <c r="FE15" i="4" a="1"/>
  <c r="Z61" i="2"/>
  <c r="AA88" i="2"/>
  <c r="AA75" i="2"/>
  <c r="BT11" i="3"/>
  <c r="BP13" i="3"/>
  <c r="BM17" i="3"/>
  <c r="BT13" i="3"/>
  <c r="BH23" i="3"/>
  <c r="Z36" i="2"/>
  <c r="Y12" i="2"/>
  <c r="Y33" i="2"/>
  <c r="BD31" i="3"/>
  <c r="FE11" i="4" a="1"/>
  <c r="Y34" i="2"/>
  <c r="BD9" i="3"/>
  <c r="BA13" i="3"/>
  <c r="BD40" i="3"/>
  <c r="FE6" i="4" a="1"/>
  <c r="BQ22" i="3"/>
  <c r="BR5" i="3"/>
  <c r="BM29" i="3"/>
  <c r="BG31" i="3"/>
  <c r="BV28" i="3"/>
  <c r="BS12" i="3"/>
  <c r="BO36" i="3"/>
  <c r="BH6" i="3"/>
  <c r="BG29" i="3"/>
  <c r="BP21" i="3"/>
  <c r="BM13" i="3"/>
  <c r="BM39" i="3"/>
  <c r="BI18" i="3"/>
  <c r="BN18" i="3"/>
  <c r="BF16" i="3"/>
  <c r="CL20" i="1" s="1"/>
  <c r="BE37" i="3"/>
  <c r="BK7" i="3"/>
  <c r="BH45" i="3"/>
  <c r="Y94" i="2"/>
  <c r="AA14" i="2"/>
  <c r="AA78" i="2"/>
  <c r="BC37" i="3"/>
  <c r="BD39" i="3"/>
  <c r="Z20" i="2"/>
  <c r="AA30" i="2"/>
  <c r="AA6" i="2"/>
  <c r="Z21" i="2"/>
  <c r="BA36" i="3"/>
  <c r="BA35" i="3"/>
  <c r="Y109" i="2"/>
  <c r="Y5" i="2"/>
  <c r="Y81" i="2"/>
  <c r="BA12" i="3"/>
  <c r="BA24" i="3"/>
  <c r="BC33" i="3"/>
  <c r="AA43" i="2"/>
  <c r="Z33" i="2"/>
  <c r="BB28" i="3"/>
  <c r="Y41" i="2"/>
  <c r="EX13" i="4" a="1"/>
  <c r="Y80" i="2"/>
  <c r="AA27" i="2"/>
  <c r="Y107" i="2"/>
  <c r="BB34" i="3"/>
  <c r="FD9" i="4" a="1"/>
  <c r="BN38" i="3"/>
  <c r="BF15" i="3"/>
  <c r="CL24" i="1" s="1"/>
  <c r="Z60" i="2"/>
  <c r="BF46" i="3"/>
  <c r="CL64" i="1" s="1"/>
  <c r="BF29" i="3"/>
  <c r="CL39" i="1" s="1"/>
  <c r="BH18" i="3"/>
  <c r="BF38" i="3"/>
  <c r="BF28" i="3"/>
  <c r="CL32" i="1" s="1"/>
  <c r="Y44" i="2"/>
  <c r="BQ26" i="3"/>
  <c r="BR9" i="3"/>
  <c r="BK42" i="3"/>
  <c r="BF10" i="3"/>
  <c r="CL13" i="1" s="1"/>
  <c r="BV32" i="3"/>
  <c r="BS16" i="3"/>
  <c r="BS39" i="3"/>
  <c r="BF11" i="3"/>
  <c r="CL15" i="1" s="1"/>
  <c r="BM34" i="3"/>
  <c r="BP31" i="3"/>
  <c r="BE15" i="3"/>
  <c r="BK46" i="3"/>
  <c r="BG23" i="3"/>
  <c r="BL23" i="3"/>
  <c r="BH35" i="3"/>
  <c r="BI41" i="3"/>
  <c r="BG11" i="3"/>
  <c r="BN16" i="3"/>
  <c r="Y22" i="2"/>
  <c r="AA80" i="2"/>
  <c r="Z50" i="2"/>
  <c r="BA17" i="3"/>
  <c r="BA29" i="3"/>
  <c r="Y17" i="2"/>
  <c r="BA20" i="3"/>
  <c r="Z70" i="2"/>
  <c r="AV10" i="3"/>
  <c r="BC24" i="3"/>
  <c r="FA7" i="4" a="1"/>
  <c r="BU28" i="3"/>
  <c r="BK84" i="3"/>
  <c r="BK70" i="3" l="1"/>
  <c r="AA52" i="1"/>
  <c r="AA54" i="1"/>
  <c r="AA193" i="1"/>
  <c r="AA195" i="1" s="1"/>
  <c r="CL10" i="1"/>
  <c r="CL231" i="1"/>
  <c r="CL252" i="1"/>
  <c r="CL253" i="1"/>
  <c r="CL194" i="1"/>
  <c r="CL26" i="1"/>
  <c r="CL27" i="1" s="1"/>
  <c r="CK24" i="1"/>
  <c r="CK14" i="1"/>
  <c r="CK64" i="1"/>
  <c r="CK32" i="1"/>
  <c r="CK23" i="1"/>
  <c r="CK51" i="1"/>
  <c r="CK9" i="1"/>
  <c r="CK35" i="1"/>
  <c r="CK63" i="1"/>
  <c r="CK65" i="1" s="1"/>
  <c r="CK47" i="1"/>
  <c r="CK46" i="1"/>
  <c r="CK25" i="1"/>
  <c r="CK21" i="1"/>
  <c r="CK13" i="1"/>
  <c r="CK22" i="1"/>
  <c r="CK39" i="1"/>
  <c r="CK8" i="1"/>
  <c r="CK15" i="1"/>
  <c r="CK36" i="1"/>
  <c r="CK20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V48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T49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E85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U58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I94" i="3"/>
  <c r="BQ75" i="3"/>
  <c r="BT75" i="3"/>
  <c r="BO58" i="3"/>
  <c r="BS47" i="3"/>
  <c r="BU69" i="3"/>
  <c r="BR88" i="3"/>
  <c r="BR94" i="3"/>
  <c r="BV58" i="3"/>
  <c r="BT72" i="3"/>
  <c r="BT48" i="3"/>
  <c r="BN60" i="3"/>
  <c r="BP54" i="3"/>
  <c r="Y111" i="2"/>
  <c r="BS66" i="3"/>
  <c r="BG48" i="3"/>
  <c r="BE89" i="3"/>
  <c r="BI87" i="3"/>
  <c r="BF64" i="3"/>
  <c r="CL149" i="1" s="1"/>
  <c r="BJ72" i="3"/>
  <c r="BJ50" i="3"/>
  <c r="BK82" i="3"/>
  <c r="BK90" i="3"/>
  <c r="BK61" i="3"/>
  <c r="FN6" i="4" a="1"/>
  <c r="HH7" i="4" a="1"/>
  <c r="GQ13" i="4" a="1"/>
  <c r="GX7" i="4" a="1"/>
  <c r="GR7" i="4" a="1"/>
  <c r="HD14" i="4" a="1"/>
  <c r="HB6" i="4" a="1"/>
  <c r="FJ9" i="4" a="1"/>
  <c r="FO15" i="4" a="1"/>
  <c r="HE5" i="4" a="1"/>
  <c r="GF8" i="4" a="1"/>
  <c r="FX14" i="4" a="1"/>
  <c r="HC7" i="4" a="1"/>
  <c r="GL7" i="4" a="1"/>
  <c r="GN9" i="4" a="1"/>
  <c r="FW5" i="4" a="1"/>
  <c r="FJ8" i="4" a="1"/>
  <c r="HG8" i="4" a="1"/>
  <c r="GL13" i="4" a="1"/>
  <c r="FW11" i="4" a="1"/>
  <c r="FW12" i="4" a="1"/>
  <c r="FT13" i="4" a="1"/>
  <c r="FM8" i="4" a="1"/>
  <c r="FM12" i="4" a="1"/>
  <c r="FJ13" i="4" a="1"/>
  <c r="FI14" i="4" a="1"/>
  <c r="HH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Z112" i="2"/>
  <c r="HD8" i="4" a="1"/>
  <c r="GA8" i="4" a="1"/>
  <c r="GC9" i="4" a="1"/>
  <c r="GA11" i="4" a="1"/>
  <c r="FP12" i="4" a="1"/>
  <c r="FO13" i="4" a="1"/>
  <c r="FL14" i="4" a="1"/>
  <c r="FY7" i="4" a="1"/>
  <c r="GC15" i="4" a="1"/>
  <c r="GB16" i="4" a="1"/>
  <c r="GU9" i="4" a="1"/>
  <c r="GK15" i="4" a="1"/>
  <c r="FG16" i="4" a="1"/>
  <c r="HC16" i="4" a="1"/>
  <c r="BC83" i="3"/>
  <c r="BC74" i="3"/>
  <c r="BD72" i="3"/>
  <c r="BD67" i="3"/>
  <c r="BD90" i="3"/>
  <c r="GC8" i="4" a="1"/>
  <c r="FV6" i="4" a="1"/>
  <c r="FJ6" i="4" a="1"/>
  <c r="GD5" i="4" a="1"/>
  <c r="GV9" i="4" a="1"/>
  <c r="GE12" i="4" a="1"/>
  <c r="GB13" i="4" a="1"/>
  <c r="FP9" i="4" a="1"/>
  <c r="FT14" i="4" a="1"/>
  <c r="GF13" i="4" a="1"/>
  <c r="GS13" i="4" a="1"/>
  <c r="BI55" i="3"/>
  <c r="BU74" i="3"/>
  <c r="BT80" i="3"/>
  <c r="BO77" i="3"/>
  <c r="BS77" i="3"/>
  <c r="BU82" i="3"/>
  <c r="BR86" i="3"/>
  <c r="BR97" i="3"/>
  <c r="BV61" i="3"/>
  <c r="BT76" i="3"/>
  <c r="BT95" i="3"/>
  <c r="BN62" i="3"/>
  <c r="BP69" i="3"/>
  <c r="BO48" i="3"/>
  <c r="BS67" i="3"/>
  <c r="BG47" i="3"/>
  <c r="BE58" i="3"/>
  <c r="BI61" i="3"/>
  <c r="BF62" i="3"/>
  <c r="CL124" i="1" s="1"/>
  <c r="BJ78" i="3"/>
  <c r="BJ57" i="3"/>
  <c r="BK55" i="3"/>
  <c r="BK57" i="3"/>
  <c r="FK15" i="4" a="1"/>
  <c r="GL6" i="4" a="1"/>
  <c r="GZ8" i="4" a="1"/>
  <c r="FH14" i="4" a="1"/>
  <c r="FS6" i="4" a="1"/>
  <c r="FT8" i="4" a="1"/>
  <c r="GO7" i="4" a="1"/>
  <c r="FX7" i="4" a="1"/>
  <c r="GK9" i="4" a="1"/>
  <c r="FI7" i="4" a="1"/>
  <c r="GD6" i="4" a="1"/>
  <c r="GV14" i="4" a="1"/>
  <c r="GZ5" i="4" a="1"/>
  <c r="FO9" i="4" a="1"/>
  <c r="HC11" i="4" a="1"/>
  <c r="FR5" i="4" a="1"/>
  <c r="FM14" i="4" a="1"/>
  <c r="FZ12" i="4" a="1"/>
  <c r="FY13" i="4" a="1"/>
  <c r="FK9" i="4" a="1"/>
  <c r="FU13" i="4" a="1"/>
  <c r="HD15" i="4" a="1"/>
  <c r="HB16" i="4" a="1"/>
  <c r="GJ7" i="4" a="1"/>
  <c r="FX13" i="4" a="1"/>
  <c r="FX15" i="4" a="1"/>
  <c r="FR14" i="4" a="1"/>
  <c r="GE16" i="4" a="1"/>
  <c r="BC54" i="3"/>
  <c r="GX8" i="4" a="1"/>
  <c r="FJ11" i="4" a="1"/>
  <c r="GP8" i="4" a="1"/>
  <c r="HD7" i="4" a="1"/>
  <c r="GT9" i="4" a="1"/>
  <c r="FZ15" i="4" a="1"/>
  <c r="GZ12" i="4" a="1"/>
  <c r="GO8" i="4" a="1"/>
  <c r="GK14" i="4" a="1"/>
  <c r="FU12" i="4" a="1"/>
  <c r="FN8" i="4" a="1"/>
  <c r="GF15" i="4" a="1"/>
  <c r="HF15" i="4" a="1"/>
  <c r="GD16" i="4" a="1"/>
  <c r="HD16" i="4" a="1"/>
  <c r="FV8" i="4" a="1"/>
  <c r="BF71" i="3"/>
  <c r="BR62" i="3"/>
  <c r="BT90" i="3"/>
  <c r="BO79" i="3"/>
  <c r="BS96" i="3"/>
  <c r="BU86" i="3"/>
  <c r="BR78" i="3"/>
  <c r="BR83" i="3"/>
  <c r="BV82" i="3"/>
  <c r="BT96" i="3"/>
  <c r="BN57" i="3"/>
  <c r="BN71" i="3"/>
  <c r="BP90" i="3"/>
  <c r="BO69" i="3"/>
  <c r="BS76" i="3"/>
  <c r="BG84" i="3"/>
  <c r="BE59" i="3"/>
  <c r="BI50" i="3"/>
  <c r="BF72" i="3"/>
  <c r="CL135" i="1" s="1"/>
  <c r="BJ80" i="3"/>
  <c r="BJ65" i="3"/>
  <c r="BK88" i="3"/>
  <c r="BK56" i="3"/>
  <c r="GE15" i="4" a="1"/>
  <c r="GS7" i="4" a="1"/>
  <c r="FR9" i="4" a="1"/>
  <c r="FR15" i="4" a="1"/>
  <c r="GQ6" i="4" a="1"/>
  <c r="GP9" i="4" a="1"/>
  <c r="GE11" i="4" a="1"/>
  <c r="FR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F76" i="3"/>
  <c r="BR70" i="3"/>
  <c r="BT73" i="3"/>
  <c r="BO82" i="3"/>
  <c r="BS93" i="3"/>
  <c r="BU85" i="3"/>
  <c r="BR74" i="3"/>
  <c r="BV62" i="3"/>
  <c r="BV94" i="3"/>
  <c r="BT47" i="3"/>
  <c r="BN79" i="3"/>
  <c r="BN47" i="3"/>
  <c r="BP75" i="3"/>
  <c r="BO54" i="3"/>
  <c r="BS79" i="3"/>
  <c r="BG90" i="3"/>
  <c r="BE67" i="3"/>
  <c r="BM69" i="3"/>
  <c r="BF70" i="3"/>
  <c r="CL133" i="1" s="1"/>
  <c r="BJ96" i="3"/>
  <c r="BJ67" i="3"/>
  <c r="BK83" i="3"/>
  <c r="BK95" i="3"/>
  <c r="FM5" i="4" a="1"/>
  <c r="FO8" i="4" a="1"/>
  <c r="GH9" i="4" a="1"/>
  <c r="FT7" i="4" a="1"/>
  <c r="HG6" i="4" a="1"/>
  <c r="HB9" i="4" a="1"/>
  <c r="GS9" i="4" a="1"/>
  <c r="GM8" i="4" a="1"/>
  <c r="FV11" i="4" a="1"/>
  <c r="GO9" i="4" a="1"/>
  <c r="FU8" i="4" a="1"/>
  <c r="HF9" i="4" a="1"/>
  <c r="GZ7" i="4" a="1"/>
  <c r="GT6" i="4" a="1"/>
  <c r="FX8" i="4" a="1"/>
  <c r="FV13" i="4" a="1"/>
  <c r="GY5" i="4" a="1"/>
  <c r="HA8" i="4" a="1"/>
  <c r="FH11" i="4" a="1"/>
  <c r="FG15" i="4" a="1"/>
  <c r="GK11" i="4" a="1"/>
  <c r="GH12" i="4" a="1"/>
  <c r="GG13" i="4" a="1"/>
  <c r="GA9" i="4" a="1"/>
  <c r="FX12" i="4" a="1"/>
  <c r="FZ13" i="4" a="1"/>
  <c r="FY14" i="4" a="1"/>
  <c r="GT8" i="4" a="1"/>
  <c r="HA13" i="4" a="1"/>
  <c r="GH15" i="4" a="1"/>
  <c r="HH15" i="4" a="1"/>
  <c r="GF16" i="4" a="1"/>
  <c r="HF16" i="4" a="1"/>
  <c r="HB8" i="4" a="1"/>
  <c r="HH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D47" i="3"/>
  <c r="BT74" i="3"/>
  <c r="GC14" i="4" a="1"/>
  <c r="GW7" i="4" a="1"/>
  <c r="FP7" i="4" a="1"/>
  <c r="FS11" i="4" a="1"/>
  <c r="FR12" i="4" a="1"/>
  <c r="FV12" i="4" a="1"/>
  <c r="FP15" i="4" a="1"/>
  <c r="GX16" i="4" a="1"/>
  <c r="GG15" i="4" a="1"/>
  <c r="BC64" i="3"/>
  <c r="BD48" i="3"/>
  <c r="BD81" i="3"/>
  <c r="BA65" i="3"/>
  <c r="BF80" i="3"/>
  <c r="CL159" i="1" s="1"/>
  <c r="BR58" i="3"/>
  <c r="BO49" i="3"/>
  <c r="BO90" i="3"/>
  <c r="BS64" i="3"/>
  <c r="BU89" i="3"/>
  <c r="BR72" i="3"/>
  <c r="BV50" i="3"/>
  <c r="BV96" i="3"/>
  <c r="BT56" i="3"/>
  <c r="BN89" i="3"/>
  <c r="BN66" i="3"/>
  <c r="BP82" i="3"/>
  <c r="BO56" i="3"/>
  <c r="BS81" i="3"/>
  <c r="BH93" i="3"/>
  <c r="BE69" i="3"/>
  <c r="BM47" i="3"/>
  <c r="BF56" i="3"/>
  <c r="CL117" i="1" s="1"/>
  <c r="BJ89" i="3"/>
  <c r="BJ69" i="3"/>
  <c r="BK59" i="3"/>
  <c r="BK91" i="3"/>
  <c r="GC5" i="4" a="1"/>
  <c r="FY8" i="4" a="1"/>
  <c r="HH9" i="4" a="1"/>
  <c r="GH8" i="4" a="1"/>
  <c r="HA7" i="4" a="1"/>
  <c r="FL11" i="4" a="1"/>
  <c r="FU5" i="4" a="1"/>
  <c r="GY8" i="4" a="1"/>
  <c r="GS5" i="4" a="1"/>
  <c r="FI5" i="4" a="1"/>
  <c r="GG8" i="4" a="1"/>
  <c r="FP11" i="4" a="1"/>
  <c r="FI9" i="4" a="1"/>
  <c r="GF7" i="4" a="1"/>
  <c r="GV8" i="4" a="1"/>
  <c r="GT13" i="4" a="1"/>
  <c r="FU6" i="4" a="1"/>
  <c r="HF5" i="4" a="1"/>
  <c r="FT11" i="4" a="1"/>
  <c r="GV5" i="4" a="1"/>
  <c r="GN11" i="4" a="1"/>
  <c r="GM12" i="4" a="1"/>
  <c r="GJ13" i="4" a="1"/>
  <c r="GF9" i="4" a="1"/>
  <c r="GF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X15" i="4" a="1"/>
  <c r="GV13" i="4" a="1"/>
  <c r="FY16" i="4" a="1"/>
  <c r="GN13" i="4" a="1"/>
  <c r="BC63" i="3"/>
  <c r="BB93" i="3"/>
  <c r="BQ69" i="3"/>
  <c r="BV80" i="3"/>
  <c r="BN97" i="3"/>
  <c r="BO96" i="3"/>
  <c r="BG68" i="3"/>
  <c r="BI60" i="3"/>
  <c r="BJ92" i="3"/>
  <c r="HE12" i="4" a="1"/>
  <c r="BQ93" i="3"/>
  <c r="BR63" i="3"/>
  <c r="BO55" i="3"/>
  <c r="BO92" i="3"/>
  <c r="BS61" i="3"/>
  <c r="BU90" i="3"/>
  <c r="BR59" i="3"/>
  <c r="BV79" i="3"/>
  <c r="BV63" i="3"/>
  <c r="BT55" i="3"/>
  <c r="BN67" i="3"/>
  <c r="BN68" i="3"/>
  <c r="BF81" i="3"/>
  <c r="CL144" i="1" s="1"/>
  <c r="CL179" i="1" s="1"/>
  <c r="BO73" i="3"/>
  <c r="BS89" i="3"/>
  <c r="BH91" i="3"/>
  <c r="BE77" i="3"/>
  <c r="BM54" i="3"/>
  <c r="BJ49" i="3"/>
  <c r="BJ93" i="3"/>
  <c r="BJ73" i="3"/>
  <c r="BK67" i="3"/>
  <c r="BK49" i="3"/>
  <c r="FL5" i="4" a="1"/>
  <c r="GU8" i="4" a="1"/>
  <c r="FR11" i="4" a="1"/>
  <c r="HA9" i="4" a="1"/>
  <c r="FS8" i="4" a="1"/>
  <c r="GJ6" i="4" a="1"/>
  <c r="GG5" i="4" a="1"/>
  <c r="FQ6" i="4" a="1"/>
  <c r="GK5" i="4" a="1"/>
  <c r="FT5" i="4" a="1"/>
  <c r="GP5" i="4" a="1"/>
  <c r="FX11" i="4" a="1"/>
  <c r="FN5" i="4" a="1"/>
  <c r="FG8" i="4" a="1"/>
  <c r="FU9" i="4" a="1"/>
  <c r="FP14" i="4" a="1"/>
  <c r="GS6" i="4" a="1"/>
  <c r="GN5" i="4" a="1"/>
  <c r="GD11" i="4" a="1"/>
  <c r="FR8" i="4" a="1"/>
  <c r="GS11" i="4" a="1"/>
  <c r="GP12" i="4" a="1"/>
  <c r="GO13" i="4" a="1"/>
  <c r="GL11" i="4" a="1"/>
  <c r="GK12" i="4" a="1"/>
  <c r="GH13" i="4" a="1"/>
  <c r="GG14" i="4" a="1"/>
  <c r="GL9" i="4" a="1"/>
  <c r="FO14" i="4" a="1"/>
  <c r="GL15" i="4" a="1"/>
  <c r="FJ16" i="4" a="1"/>
  <c r="GJ16" i="4" a="1"/>
  <c r="HE7" i="4" a="1"/>
  <c r="GQ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FL13" i="4" a="1"/>
  <c r="FK12" i="4" a="1"/>
  <c r="GV16" i="4" a="1"/>
  <c r="GI12" i="4" a="1"/>
  <c r="BN48" i="3"/>
  <c r="GS14" i="4" a="1"/>
  <c r="FZ7" i="4" a="1"/>
  <c r="FK5" i="4" a="1"/>
  <c r="FQ13" i="4" a="1"/>
  <c r="HF13" i="4" a="1"/>
  <c r="FX16" i="4" a="1"/>
  <c r="HD13" i="4" a="1"/>
  <c r="FS14" i="4" a="1"/>
  <c r="BQ91" i="3"/>
  <c r="BV64" i="3"/>
  <c r="BO66" i="3"/>
  <c r="BS84" i="3"/>
  <c r="BS57" i="3"/>
  <c r="BU92" i="3"/>
  <c r="BR75" i="3"/>
  <c r="BV57" i="3"/>
  <c r="BV70" i="3"/>
  <c r="BT79" i="3"/>
  <c r="BN59" i="3"/>
  <c r="BN70" i="3"/>
  <c r="BF77" i="3"/>
  <c r="CL140" i="1" s="1"/>
  <c r="BO86" i="3"/>
  <c r="BS49" i="3"/>
  <c r="BL95" i="3"/>
  <c r="BE81" i="3"/>
  <c r="BM58" i="3"/>
  <c r="BJ74" i="3"/>
  <c r="BJ91" i="3"/>
  <c r="BJ75" i="3"/>
  <c r="BK85" i="3"/>
  <c r="BK65" i="3"/>
  <c r="GQ5" i="4" a="1"/>
  <c r="GM5" i="4" a="1"/>
  <c r="FZ6" i="4" a="1"/>
  <c r="FO5" i="4" a="1"/>
  <c r="HC8" i="4" a="1"/>
  <c r="GD7" i="4" a="1"/>
  <c r="FH6" i="4" a="1"/>
  <c r="GB6" i="4" a="1"/>
  <c r="FH8" i="4" a="1"/>
  <c r="GF5" i="4" a="1"/>
  <c r="FL6" i="4" a="1"/>
  <c r="HD5" i="4" a="1"/>
  <c r="FZ5" i="4" a="1"/>
  <c r="FW8" i="4" a="1"/>
  <c r="GR9" i="4" a="1"/>
  <c r="GN14" i="4" a="1"/>
  <c r="FR7" i="4" a="1"/>
  <c r="GW6" i="4" a="1"/>
  <c r="GO6" i="4" a="1"/>
  <c r="FN9" i="4" a="1"/>
  <c r="GV11" i="4" a="1"/>
  <c r="GU12" i="4" a="1"/>
  <c r="GW13" i="4" a="1"/>
  <c r="GQ11" i="4" a="1"/>
  <c r="GN12" i="4" a="1"/>
  <c r="GM13" i="4" a="1"/>
  <c r="GJ14" i="4" a="1"/>
  <c r="HC9" i="4" a="1"/>
  <c r="FZ14" i="4" a="1"/>
  <c r="GN15" i="4" a="1"/>
  <c r="FL16" i="4" a="1"/>
  <c r="GL16" i="4" a="1"/>
  <c r="GO11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FO11" i="4" a="1"/>
  <c r="GY14" i="4" a="1"/>
  <c r="HF6" i="4" a="1"/>
  <c r="BO57" i="3"/>
  <c r="BE79" i="3"/>
  <c r="BK69" i="3"/>
  <c r="BK76" i="3"/>
  <c r="FQ7" i="4" a="1"/>
  <c r="GE7" i="4" a="1"/>
  <c r="GJ9" i="4" a="1"/>
  <c r="FK6" i="4" a="1"/>
  <c r="GR6" i="4" a="1"/>
  <c r="GJ8" i="4" a="1"/>
  <c r="FG13" i="4" a="1"/>
  <c r="HE14" i="4" a="1"/>
  <c r="FV15" i="4" a="1"/>
  <c r="GD8" i="4" a="1"/>
  <c r="GA16" i="4" a="1"/>
  <c r="BQ76" i="3"/>
  <c r="BV71" i="3"/>
  <c r="BO68" i="3"/>
  <c r="BS85" i="3"/>
  <c r="BS50" i="3"/>
  <c r="BU93" i="3"/>
  <c r="BR47" i="3"/>
  <c r="BV95" i="3"/>
  <c r="BV69" i="3"/>
  <c r="BT81" i="3"/>
  <c r="BN80" i="3"/>
  <c r="BN63" i="3"/>
  <c r="BF73" i="3"/>
  <c r="BO64" i="3"/>
  <c r="BS54" i="3"/>
  <c r="BL85" i="3"/>
  <c r="BI63" i="3"/>
  <c r="BM83" i="3"/>
  <c r="BJ82" i="3"/>
  <c r="BJ54" i="3"/>
  <c r="BJ77" i="3"/>
  <c r="BK80" i="3"/>
  <c r="BK97" i="3"/>
  <c r="HG5" i="4" a="1"/>
  <c r="FI6" i="4" a="1"/>
  <c r="HE8" i="4" a="1"/>
  <c r="GA5" i="4" a="1"/>
  <c r="HC5" i="4" a="1"/>
  <c r="FX9" i="4" a="1"/>
  <c r="GF6" i="4" a="1"/>
  <c r="FV7" i="4" a="1"/>
  <c r="GH11" i="4" a="1"/>
  <c r="GT5" i="4" a="1"/>
  <c r="FR6" i="4" a="1"/>
  <c r="GU6" i="4" a="1"/>
  <c r="GJ5" i="4" a="1"/>
  <c r="GI8" i="4" a="1"/>
  <c r="HD9" i="4" a="1"/>
  <c r="FJ15" i="4" a="1"/>
  <c r="GM7" i="4" a="1"/>
  <c r="HB7" i="4" a="1"/>
  <c r="FS7" i="4" a="1"/>
  <c r="GW9" i="4" a="1"/>
  <c r="HA11" i="4" a="1"/>
  <c r="HC12" i="4" a="1"/>
  <c r="GZ13" i="4" a="1"/>
  <c r="GT11" i="4" a="1"/>
  <c r="GS12" i="4" a="1"/>
  <c r="GP13" i="4" a="1"/>
  <c r="GO14" i="4" a="1"/>
  <c r="FQ11" i="4" a="1"/>
  <c r="GE14" i="4" a="1"/>
  <c r="GP15" i="4" a="1"/>
  <c r="FN16" i="4" a="1"/>
  <c r="GN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FO12" i="4" a="1"/>
  <c r="HC13" i="4" a="1"/>
  <c r="GZ14" i="4" a="1"/>
  <c r="FV16" i="4" a="1"/>
  <c r="GB15" i="4" a="1"/>
  <c r="BD91" i="3"/>
  <c r="BS78" i="3"/>
  <c r="BF74" i="3"/>
  <c r="CL137" i="1" s="1"/>
  <c r="HF7" i="4" a="1"/>
  <c r="FI8" i="4" a="1"/>
  <c r="HB13" i="4" a="1"/>
  <c r="GY7" i="4" a="1"/>
  <c r="FN13" i="4" a="1"/>
  <c r="FH12" i="4" a="1"/>
  <c r="HE15" i="4" a="1"/>
  <c r="BD57" i="3"/>
  <c r="BQ97" i="3"/>
  <c r="BV65" i="3"/>
  <c r="BO88" i="3"/>
  <c r="BS73" i="3"/>
  <c r="BF95" i="3"/>
  <c r="CL164" i="1" s="1"/>
  <c r="BU97" i="3"/>
  <c r="BR66" i="3"/>
  <c r="BV93" i="3"/>
  <c r="BV87" i="3"/>
  <c r="BT83" i="3"/>
  <c r="BN93" i="3"/>
  <c r="BN69" i="3"/>
  <c r="BF69" i="3"/>
  <c r="BO83" i="3"/>
  <c r="BS58" i="3"/>
  <c r="BL73" i="3"/>
  <c r="BI71" i="3"/>
  <c r="BM63" i="3"/>
  <c r="BJ47" i="3"/>
  <c r="BJ48" i="3"/>
  <c r="BJ81" i="3"/>
  <c r="BK66" i="3"/>
  <c r="BK96" i="3"/>
  <c r="FX6" i="4" a="1"/>
  <c r="HH6" i="4" a="1"/>
  <c r="GI9" i="4" a="1"/>
  <c r="FV5" i="4" a="1"/>
  <c r="FY6" i="4" a="1"/>
  <c r="FQ12" i="4" a="1"/>
  <c r="HA6" i="4" a="1"/>
  <c r="HF8" i="4" a="1"/>
  <c r="GW12" i="4" a="1"/>
  <c r="GV6" i="4" a="1"/>
  <c r="FK7" i="4" a="1"/>
  <c r="FI12" i="4" a="1"/>
  <c r="FM6" i="4" a="1"/>
  <c r="GW8" i="4" a="1"/>
  <c r="FN11" i="4" a="1"/>
  <c r="GE6" i="4" a="1"/>
  <c r="FL8" i="4" a="1"/>
  <c r="FT9" i="4" a="1"/>
  <c r="FS9" i="4" a="1"/>
  <c r="HE9" i="4" a="1"/>
  <c r="FG12" i="4" a="1"/>
  <c r="HF12" i="4" a="1"/>
  <c r="HE6" i="4" a="1"/>
  <c r="GY11" i="4" a="1"/>
  <c r="GV12" i="4" a="1"/>
  <c r="GU13" i="4" a="1"/>
  <c r="GR14" i="4" a="1"/>
  <c r="GG11" i="4" a="1"/>
  <c r="GP14" i="4" a="1"/>
  <c r="GR15" i="4" a="1"/>
  <c r="FP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C48" i="3"/>
  <c r="GD14" i="4" a="1"/>
  <c r="HA15" i="4" a="1"/>
  <c r="FW16" i="4" a="1"/>
  <c r="GU16" i="4" a="1"/>
  <c r="GY12" i="4" a="1"/>
  <c r="Y113" i="2"/>
  <c r="FL7" i="4" a="1"/>
  <c r="HG11" i="4" a="1"/>
  <c r="HF14" i="4" a="1"/>
  <c r="FI15" i="4" a="1"/>
  <c r="GW16" i="4" a="1"/>
  <c r="BD68" i="3"/>
  <c r="BE48" i="3"/>
  <c r="BQ94" i="3"/>
  <c r="BV81" i="3"/>
  <c r="BO89" i="3"/>
  <c r="BS68" i="3"/>
  <c r="BU60" i="3"/>
  <c r="BU88" i="3"/>
  <c r="BR77" i="3"/>
  <c r="BV88" i="3"/>
  <c r="BT63" i="3"/>
  <c r="BT54" i="3"/>
  <c r="BN55" i="3"/>
  <c r="BN83" i="3"/>
  <c r="BF48" i="3"/>
  <c r="BO91" i="3"/>
  <c r="BP55" i="3"/>
  <c r="BE49" i="3"/>
  <c r="BI56" i="3"/>
  <c r="BM55" i="3"/>
  <c r="BJ58" i="3"/>
  <c r="BJ62" i="3"/>
  <c r="BJ83" i="3"/>
  <c r="BK87" i="3"/>
  <c r="BK63" i="3"/>
  <c r="FJ7" i="4" a="1"/>
  <c r="GQ7" i="4" a="1"/>
  <c r="FT12" i="4" a="1"/>
  <c r="GH5" i="4" a="1"/>
  <c r="GA7" i="4" a="1"/>
  <c r="GO12" i="4" a="1"/>
  <c r="GU7" i="4" a="1"/>
  <c r="GB9" i="4" a="1"/>
  <c r="FS13" i="4" a="1"/>
  <c r="FO7" i="4" a="1"/>
  <c r="HG7" i="4" a="1"/>
  <c r="GG12" i="4" a="1"/>
  <c r="GK6" i="4" a="1"/>
  <c r="GU5" i="4" a="1"/>
  <c r="GF11" i="4" a="1"/>
  <c r="FZ8" i="4" a="1"/>
  <c r="HH5" i="4" a="1"/>
  <c r="GM9" i="4" a="1"/>
  <c r="GP11" i="4" a="1"/>
  <c r="FK11" i="4" a="1"/>
  <c r="FJ12" i="4" a="1"/>
  <c r="FI13" i="4" a="1"/>
  <c r="FN7" i="4" a="1"/>
  <c r="HB11" i="4" a="1"/>
  <c r="HA12" i="4" a="1"/>
  <c r="GX13" i="4" a="1"/>
  <c r="GW14" i="4" a="1"/>
  <c r="GR11" i="4" a="1"/>
  <c r="GU14" i="4" a="1"/>
  <c r="GT15" i="4" a="1"/>
  <c r="FT16" i="4" a="1"/>
  <c r="GT16" i="4" a="1"/>
  <c r="FN12" i="4" a="1"/>
  <c r="HG14" i="4" a="1"/>
  <c r="FY15" i="4" a="1"/>
  <c r="GK13" i="4" a="1"/>
  <c r="FU15" i="4" a="1"/>
  <c r="BC73" i="3"/>
  <c r="BC89" i="3"/>
  <c r="BC80" i="3"/>
  <c r="BD64" i="3"/>
  <c r="BD69" i="3"/>
  <c r="GR12" i="4" a="1"/>
  <c r="GI7" i="4" a="1"/>
  <c r="HD12" i="4" a="1"/>
  <c r="HC15" i="4" a="1"/>
  <c r="BC86" i="3"/>
  <c r="BU71" i="3"/>
  <c r="BU70" i="3"/>
  <c r="BR96" i="3"/>
  <c r="BT59" i="3"/>
  <c r="BT62" i="3"/>
  <c r="AA113" i="2"/>
  <c r="BJ70" i="3"/>
  <c r="BK93" i="3"/>
  <c r="GN8" i="4" a="1"/>
  <c r="GT7" i="4" a="1"/>
  <c r="GZ15" i="4" a="1"/>
  <c r="GT12" i="4" a="1"/>
  <c r="FM15" i="4" a="1"/>
  <c r="GY16" i="4" a="1"/>
  <c r="BC79" i="3"/>
  <c r="BE78" i="3"/>
  <c r="BQ80" i="3"/>
  <c r="BV85" i="3"/>
  <c r="BO94" i="3"/>
  <c r="BS90" i="3"/>
  <c r="BU62" i="3"/>
  <c r="BU64" i="3"/>
  <c r="BR69" i="3"/>
  <c r="BV84" i="3"/>
  <c r="BT58" i="3"/>
  <c r="BT60" i="3"/>
  <c r="BN90" i="3"/>
  <c r="BN87" i="3"/>
  <c r="BF75" i="3"/>
  <c r="BO93" i="3"/>
  <c r="BG82" i="3"/>
  <c r="BE47" i="3"/>
  <c r="BI77" i="3"/>
  <c r="BF68" i="3"/>
  <c r="CL134" i="1" s="1"/>
  <c r="BJ68" i="3"/>
  <c r="BJ64" i="3"/>
  <c r="BK81" i="3"/>
  <c r="BK62" i="3"/>
  <c r="BK89" i="3"/>
  <c r="GH7" i="4" a="1"/>
  <c r="GH6" i="4" a="1"/>
  <c r="GJ12" i="4" a="1"/>
  <c r="HD6" i="4" a="1"/>
  <c r="FL9" i="4" a="1"/>
  <c r="HG13" i="4" a="1"/>
  <c r="GO5" i="4" a="1"/>
  <c r="GM6" i="4" a="1"/>
  <c r="GY13" i="4" a="1"/>
  <c r="GP7" i="4" a="1"/>
  <c r="FW9" i="4" a="1"/>
  <c r="HH12" i="4" a="1"/>
  <c r="FG7" i="4" a="1"/>
  <c r="FT6" i="4" a="1"/>
  <c r="GZ6" i="4" a="1"/>
  <c r="GD9" i="4" a="1"/>
  <c r="GA6" i="4" a="1"/>
  <c r="CH140" i="1" l="1"/>
  <c r="CI140" i="1" s="1"/>
  <c r="AA202" i="1"/>
  <c r="CL156" i="1"/>
  <c r="CL185" i="1" s="1"/>
  <c r="CL184" i="1" s="1"/>
  <c r="CL128" i="1"/>
  <c r="CL120" i="1"/>
  <c r="CL98" i="1"/>
  <c r="CL99" i="1" s="1"/>
  <c r="CL16" i="1"/>
  <c r="CL129" i="1"/>
  <c r="CL161" i="1"/>
  <c r="CL168" i="1" s="1"/>
  <c r="CL109" i="1" s="1"/>
  <c r="CL92" i="1"/>
  <c r="CL138" i="1"/>
  <c r="CL148" i="1"/>
  <c r="CK26" i="1"/>
  <c r="CO20" i="1"/>
  <c r="CS20" i="1" s="1"/>
  <c r="CW20" i="1" s="1"/>
  <c r="DA20" i="1" s="1"/>
  <c r="JX9" i="4" s="1"/>
  <c r="JR9" i="4" s="1"/>
  <c r="KE16" i="4" s="1"/>
  <c r="Z74" i="1"/>
  <c r="CJ149" i="1"/>
  <c r="KA9" i="4" s="1"/>
  <c r="CK73" i="1"/>
  <c r="CJ134" i="1"/>
  <c r="CK134" i="1" s="1"/>
  <c r="CJ159" i="1"/>
  <c r="CJ150" i="1"/>
  <c r="KC16" i="4" s="1"/>
  <c r="JU16" i="4" s="1"/>
  <c r="KG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54" i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V9" i="4" s="1"/>
  <c r="JW16" i="4" s="1"/>
  <c r="JZ9" i="4" s="1"/>
  <c r="CJ151" i="1"/>
  <c r="KE9" i="4" s="1"/>
  <c r="KG14" i="4" s="1"/>
  <c r="JR16" i="4" s="1"/>
  <c r="JU14" i="4" s="1"/>
  <c r="JV16" i="4" s="1"/>
  <c r="KD16" i="4" s="1"/>
  <c r="CJ152" i="1"/>
  <c r="KH16" i="4" s="1"/>
  <c r="JQ9" i="4" s="1"/>
  <c r="KH9" i="4" s="1"/>
  <c r="CJ144" i="1"/>
  <c r="CJ179" i="1" s="1"/>
  <c r="CK179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B15" i="4" s="1"/>
  <c r="JZ14" i="4" s="1"/>
  <c r="KD8" i="4" s="1"/>
  <c r="JW14" i="4" s="1"/>
  <c r="JW9" i="4" s="1"/>
  <c r="JW21" i="4" s="1"/>
  <c r="JU8" i="4" s="1"/>
  <c r="KC9" i="4" s="1"/>
  <c r="KF9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Q21" i="4" s="1"/>
  <c r="CK77" i="1" s="1"/>
  <c r="KB9" i="4" s="1"/>
  <c r="JT9" i="4" s="1"/>
  <c r="JX16" i="4" s="1"/>
  <c r="KF16" i="4" s="1"/>
  <c r="JS9" i="4" s="1"/>
  <c r="KD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R14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H15" i="4" s="1"/>
  <c r="JQ14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X73" i="1"/>
  <c r="CJ153" i="1"/>
  <c r="CJ183" i="1" s="1"/>
  <c r="CK183" i="1" s="1"/>
  <c r="JV14" i="4" s="1"/>
  <c r="KB16" i="4" s="1"/>
  <c r="JT16" i="4" s="1"/>
  <c r="JT14" i="4" s="1"/>
  <c r="CJ147" i="1"/>
  <c r="Y74" i="1"/>
  <c r="CI74" i="1"/>
  <c r="JY8" i="4" s="1"/>
  <c r="Z73" i="1"/>
  <c r="CJ160" i="1"/>
  <c r="CK74" i="1"/>
  <c r="CJ142" i="1"/>
  <c r="CH73" i="1"/>
  <c r="CJ74" i="1"/>
  <c r="CJ155" i="1"/>
  <c r="CJ124" i="1"/>
  <c r="CK124" i="1" s="1"/>
  <c r="CM124" i="1" s="1"/>
  <c r="CG73" i="1"/>
  <c r="CJ73" i="1"/>
  <c r="CG74" i="1"/>
  <c r="CJ133" i="1"/>
  <c r="CK133" i="1" s="1"/>
  <c r="CM133" i="1" s="1"/>
  <c r="CN133" i="1" s="1"/>
  <c r="CO133" i="1" s="1"/>
  <c r="CP133" i="1" s="1"/>
  <c r="CI73" i="1"/>
  <c r="CK10" i="1"/>
  <c r="CK98" i="1"/>
  <c r="CK99" i="1" s="1"/>
  <c r="Y252" i="1"/>
  <c r="CJ137" i="1"/>
  <c r="CJ143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X33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KD21" i="4"/>
  <c r="JY9" i="4" s="1"/>
  <c r="KA16" i="4" s="1"/>
  <c r="JS16" i="4" s="1"/>
  <c r="JZ16" i="4" s="1"/>
  <c r="JU9" i="4" s="1"/>
  <c r="JQ8" i="4" s="1"/>
  <c r="AA188" i="1"/>
  <c r="AA11" i="1"/>
  <c r="AA206" i="1"/>
  <c r="AA205" i="1" s="1"/>
  <c r="AA249" i="1"/>
  <c r="KF21" i="4"/>
  <c r="CJ120" i="1"/>
  <c r="CJ180" i="1"/>
  <c r="CK180" i="1" s="1"/>
  <c r="CJ202" i="1"/>
  <c r="CK140" i="1"/>
  <c r="JX21" i="4"/>
  <c r="JR21" i="4"/>
  <c r="CL77" i="1" s="1"/>
  <c r="KE21" i="4"/>
  <c r="KD14" i="4"/>
  <c r="KE14" i="4"/>
  <c r="JX14" i="4"/>
  <c r="CJ161" i="1"/>
  <c r="KC21" i="4"/>
  <c r="KC15" i="4"/>
  <c r="JR8" i="4"/>
  <c r="CL28" i="1"/>
  <c r="CL17" i="1"/>
  <c r="CL246" i="1"/>
  <c r="CL248" i="1"/>
  <c r="CL182" i="1"/>
  <c r="CL157" i="1"/>
  <c r="CL165" i="1" s="1"/>
  <c r="CL166" i="1" s="1"/>
  <c r="KH7" i="4"/>
  <c r="KE15" i="4"/>
  <c r="JY14" i="4"/>
  <c r="KB14" i="4"/>
  <c r="JV21" i="4"/>
  <c r="JY7" i="4"/>
  <c r="JY19" i="4" s="1"/>
  <c r="KD15" i="4"/>
  <c r="KD20" i="4" s="1"/>
  <c r="JV8" i="4"/>
  <c r="JU15" i="4"/>
  <c r="JU20" i="4" s="1"/>
  <c r="KF15" i="4"/>
  <c r="KH14" i="4"/>
  <c r="JQ15" i="4"/>
  <c r="JQ20" i="4" s="1"/>
  <c r="CK79" i="1" s="1"/>
  <c r="JZ21" i="4"/>
  <c r="KA15" i="4"/>
  <c r="CJ156" i="1"/>
  <c r="CJ185" i="1" s="1"/>
  <c r="CJ184" i="1" s="1"/>
  <c r="CK184" i="1" s="1"/>
  <c r="KA8" i="4"/>
  <c r="KH21" i="4"/>
  <c r="JT7" i="4"/>
  <c r="JT19" i="4" s="1"/>
  <c r="KB21" i="4"/>
  <c r="JT15" i="4"/>
  <c r="JY15" i="4"/>
  <c r="JY20" i="4" s="1"/>
  <c r="KA14" i="4"/>
  <c r="JZ7" i="4"/>
  <c r="JZ19" i="4" s="1"/>
  <c r="KG15" i="4"/>
  <c r="KF8" i="4"/>
  <c r="JW7" i="4"/>
  <c r="JW19" i="4" s="1"/>
  <c r="JW8" i="4"/>
  <c r="KH8" i="4"/>
  <c r="KH20" i="4" s="1"/>
  <c r="JR7" i="4"/>
  <c r="JS8" i="4"/>
  <c r="KG7" i="4"/>
  <c r="KG19" i="4" s="1"/>
  <c r="JV15" i="4"/>
  <c r="JS7" i="4"/>
  <c r="KC8" i="4"/>
  <c r="KF14" i="4"/>
  <c r="JQ7" i="4"/>
  <c r="JQ19" i="4" s="1"/>
  <c r="CK78" i="1" s="1"/>
  <c r="CJ148" i="1"/>
  <c r="CK27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K16" i="1"/>
  <c r="CK28" i="1" s="1"/>
  <c r="CL12" i="1"/>
  <c r="CI16" i="1"/>
  <c r="CL225" i="1"/>
  <c r="CL188" i="1"/>
  <c r="CL11" i="1"/>
  <c r="CK12" i="1"/>
  <c r="CL244" i="1"/>
  <c r="CJ131" i="1"/>
  <c r="CK33" i="1"/>
  <c r="JR15" i="4"/>
  <c r="JT8" i="4"/>
  <c r="KB7" i="4"/>
  <c r="JS14" i="4"/>
  <c r="JS19" i="4" s="1"/>
  <c r="KE8" i="4"/>
  <c r="JU7" i="4"/>
  <c r="JU19" i="4" s="1"/>
  <c r="KG8" i="4"/>
  <c r="JV7" i="4"/>
  <c r="JV19" i="4" s="1"/>
  <c r="KC7" i="4"/>
  <c r="KA7" i="4"/>
  <c r="JZ15" i="4"/>
  <c r="CJ128" i="1"/>
  <c r="JX8" i="4"/>
  <c r="JW15" i="4"/>
  <c r="JY21" i="4"/>
  <c r="KE7" i="4"/>
  <c r="JZ8" i="4"/>
  <c r="JS21" i="4"/>
  <c r="JX15" i="4"/>
  <c r="KC14" i="4"/>
  <c r="KD7" i="4"/>
  <c r="X138" i="1"/>
  <c r="JX7" i="4"/>
  <c r="JT21" i="4"/>
  <c r="KG21" i="4"/>
  <c r="KF7" i="4"/>
  <c r="JS15" i="4"/>
  <c r="JS20" i="4" s="1"/>
  <c r="JU21" i="4"/>
  <c r="KB8" i="4"/>
  <c r="KB20" i="4" s="1"/>
  <c r="CK125" i="1"/>
  <c r="CK102" i="1"/>
  <c r="CG16" i="1"/>
  <c r="CK11" i="1"/>
  <c r="X27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Y182" i="1"/>
  <c r="Y186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R19" i="4"/>
  <c r="CL78" i="1" s="1"/>
  <c r="Y249" i="1"/>
  <c r="Y206" i="1"/>
  <c r="Y168" i="1"/>
  <c r="Y109" i="1" s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A21" i="4" l="1"/>
  <c r="KF20" i="4"/>
  <c r="KH19" i="4"/>
  <c r="JT20" i="4"/>
  <c r="KG20" i="4"/>
  <c r="JW20" i="4"/>
  <c r="CJ92" i="1"/>
  <c r="CJ94" i="1" s="1"/>
  <c r="Y246" i="1"/>
  <c r="Y244" i="1"/>
  <c r="KA20" i="4"/>
  <c r="JV20" i="4"/>
  <c r="KC20" i="4"/>
  <c r="CL102" i="1"/>
  <c r="CL94" i="1"/>
  <c r="JR20" i="4"/>
  <c r="CL79" i="1" s="1"/>
  <c r="KB19" i="4"/>
  <c r="KE20" i="4"/>
  <c r="CJ129" i="1"/>
  <c r="KE19" i="4"/>
  <c r="JX19" i="4"/>
  <c r="KD19" i="4"/>
  <c r="CL202" i="1"/>
  <c r="CK202" i="1"/>
  <c r="KA19" i="4"/>
  <c r="CK19" i="1"/>
  <c r="KF19" i="4"/>
  <c r="JZ20" i="4"/>
  <c r="CK209" i="1"/>
  <c r="CJ248" i="1"/>
  <c r="CJ182" i="1"/>
  <c r="CJ157" i="1"/>
  <c r="CK29" i="1"/>
  <c r="CK34" i="1"/>
  <c r="CK38" i="1" s="1"/>
  <c r="CL31" i="1"/>
  <c r="CI28" i="1"/>
  <c r="CI17" i="1"/>
  <c r="CL250" i="1"/>
  <c r="CL232" i="1"/>
  <c r="CL233" i="1" s="1"/>
  <c r="CL34" i="1"/>
  <c r="CL38" i="1" s="1"/>
  <c r="CL29" i="1"/>
  <c r="CL181" i="1"/>
  <c r="CL186" i="1"/>
  <c r="CL19" i="1"/>
  <c r="CK17" i="1"/>
  <c r="JX20" i="4"/>
  <c r="KC19" i="4"/>
  <c r="Y203" i="1"/>
  <c r="Y201" i="1" s="1"/>
  <c r="X244" i="1"/>
  <c r="X246" i="1"/>
  <c r="CK18" i="1"/>
  <c r="CG17" i="1"/>
  <c r="CL103" i="1"/>
  <c r="CL107" i="1"/>
  <c r="CL110" i="1" s="1"/>
  <c r="CL95" i="1"/>
  <c r="CK128" i="1"/>
  <c r="Y181" i="1"/>
  <c r="X165" i="1"/>
  <c r="X166" i="1" s="1"/>
  <c r="CG28" i="1"/>
  <c r="CK30" i="1" s="1"/>
  <c r="CK40" i="1"/>
  <c r="CK41" i="1"/>
  <c r="CK104" i="1"/>
  <c r="CK108" i="1"/>
  <c r="CK107" i="1"/>
  <c r="CK103" i="1"/>
  <c r="CM27" i="1"/>
  <c r="Y165" i="1"/>
  <c r="Y166" i="1" s="1"/>
  <c r="CK185" i="1"/>
  <c r="CJ244" i="1"/>
  <c r="CJ246" i="1"/>
  <c r="CU133" i="1"/>
  <c r="CV133" i="1" s="1"/>
  <c r="CW133" i="1" s="1"/>
  <c r="CX133" i="1" s="1"/>
  <c r="AC133" i="1"/>
  <c r="Z17" i="1"/>
  <c r="Z28" i="1"/>
  <c r="Y198" i="1"/>
  <c r="Z18" i="1"/>
  <c r="Y28" i="1"/>
  <c r="Y17" i="1"/>
  <c r="CH92" i="1"/>
  <c r="CH96" i="1" s="1"/>
  <c r="CH248" i="1"/>
  <c r="CH182" i="1"/>
  <c r="CH157" i="1"/>
  <c r="Z138" i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M140" i="1"/>
  <c r="CI19" i="1"/>
  <c r="CH17" i="1"/>
  <c r="X184" i="1"/>
  <c r="X186" i="1"/>
  <c r="Y189" i="1" s="1"/>
  <c r="Y190" i="1" s="1"/>
  <c r="CM125" i="1"/>
  <c r="CJ19" i="1"/>
  <c r="CJ28" i="1"/>
  <c r="CJ17" i="1"/>
  <c r="CH28" i="1"/>
  <c r="CL30" i="1" s="1"/>
  <c r="CH19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J96" i="1" l="1"/>
  <c r="CL104" i="1"/>
  <c r="CL96" i="1"/>
  <c r="CL108" i="1"/>
  <c r="CL111" i="1" s="1"/>
  <c r="CJ95" i="1"/>
  <c r="CJ165" i="1"/>
  <c r="CJ166" i="1" s="1"/>
  <c r="AA250" i="1"/>
  <c r="AA251" i="1" s="1"/>
  <c r="AA30" i="1"/>
  <c r="Z203" i="1"/>
  <c r="Z201" i="1" s="1"/>
  <c r="AA203" i="1"/>
  <c r="AA201" i="1" s="1"/>
  <c r="CJ186" i="1"/>
  <c r="CJ181" i="1"/>
  <c r="CK181" i="1" s="1"/>
  <c r="CK182" i="1" s="1"/>
  <c r="CK186" i="1" s="1"/>
  <c r="CI34" i="1"/>
  <c r="CI232" i="1"/>
  <c r="CI233" i="1" s="1"/>
  <c r="CI29" i="1"/>
  <c r="CK206" i="1"/>
  <c r="CK249" i="1"/>
  <c r="CL40" i="1"/>
  <c r="CL41" i="1"/>
  <c r="CL206" i="1"/>
  <c r="CL249" i="1"/>
  <c r="CL251" i="1" s="1"/>
  <c r="CL112" i="1"/>
  <c r="CL226" i="1"/>
  <c r="CG29" i="1"/>
  <c r="CG232" i="1"/>
  <c r="CG233" i="1" s="1"/>
  <c r="CG34" i="1"/>
  <c r="CG38" i="1" s="1"/>
  <c r="CK42" i="1"/>
  <c r="CK48" i="1"/>
  <c r="CJ232" i="1"/>
  <c r="CJ233" i="1" s="1"/>
  <c r="CK31" i="1"/>
  <c r="CI250" i="1"/>
  <c r="CI251" i="1" s="1"/>
  <c r="CK112" i="1"/>
  <c r="Z165" i="1"/>
  <c r="Z166" i="1" s="1"/>
  <c r="CM17" i="1"/>
  <c r="CJ33" i="1"/>
  <c r="CI138" i="1"/>
  <c r="CJ203" i="1" s="1"/>
  <c r="CJ201" i="1" s="1"/>
  <c r="CM184" i="1"/>
  <c r="CY133" i="1"/>
  <c r="CZ133" i="1" s="1"/>
  <c r="DA133" i="1" s="1"/>
  <c r="DB133" i="1" s="1"/>
  <c r="AE133" i="1" s="1"/>
  <c r="AD133" i="1"/>
  <c r="Z250" i="1"/>
  <c r="Z251" i="1" s="1"/>
  <c r="Z34" i="1"/>
  <c r="Z112" i="1"/>
  <c r="Z29" i="1"/>
  <c r="Z232" i="1"/>
  <c r="Z233" i="1" s="1"/>
  <c r="Y250" i="1"/>
  <c r="Y251" i="1" s="1"/>
  <c r="Y112" i="1"/>
  <c r="Y34" i="1"/>
  <c r="Y29" i="1"/>
  <c r="Y232" i="1"/>
  <c r="Y233" i="1" s="1"/>
  <c r="Z30" i="1"/>
  <c r="Z246" i="1"/>
  <c r="Z244" i="1"/>
  <c r="CI33" i="1"/>
  <c r="CH138" i="1"/>
  <c r="CI37" i="1"/>
  <c r="CH109" i="1"/>
  <c r="Z186" i="1"/>
  <c r="Z184" i="1"/>
  <c r="X232" i="1"/>
  <c r="X233" i="1" s="1"/>
  <c r="X34" i="1"/>
  <c r="X112" i="1"/>
  <c r="X29" i="1"/>
  <c r="Y30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AA213" i="1"/>
  <c r="AA210" i="1"/>
  <c r="AA211" i="1" s="1"/>
  <c r="Z189" i="1"/>
  <c r="Z190" i="1" s="1"/>
  <c r="AA189" i="1"/>
  <c r="AA190" i="1" s="1"/>
  <c r="CI41" i="1"/>
  <c r="CI40" i="1"/>
  <c r="CL44" i="1"/>
  <c r="CL48" i="1"/>
  <c r="CL42" i="1"/>
  <c r="CL245" i="1" s="1"/>
  <c r="CL234" i="1"/>
  <c r="CL113" i="1"/>
  <c r="CL114" i="1"/>
  <c r="CG41" i="1"/>
  <c r="CG40" i="1"/>
  <c r="CJ38" i="1"/>
  <c r="CL55" i="1"/>
  <c r="CK52" i="1"/>
  <c r="CK66" i="1"/>
  <c r="Y55" i="1"/>
  <c r="Y38" i="1"/>
  <c r="Y41" i="1" s="1"/>
  <c r="Z38" i="1"/>
  <c r="Z55" i="1"/>
  <c r="CI203" i="1"/>
  <c r="CI201" i="1" s="1"/>
  <c r="CH246" i="1"/>
  <c r="CH165" i="1"/>
  <c r="CH166" i="1" s="1"/>
  <c r="CH111" i="1"/>
  <c r="CH110" i="1"/>
  <c r="X38" i="1"/>
  <c r="X55" i="1"/>
  <c r="CM185" i="1"/>
  <c r="CN184" i="1"/>
  <c r="CM181" i="1"/>
  <c r="CI146" i="1"/>
  <c r="CI182" i="1"/>
  <c r="CH41" i="1"/>
  <c r="CH40" i="1"/>
  <c r="CN202" i="1"/>
  <c r="CO140" i="1"/>
  <c r="CO202" i="1" s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L227" i="1" s="1"/>
  <c r="CJ40" i="1"/>
  <c r="Y40" i="1"/>
  <c r="CI42" i="1"/>
  <c r="CI245" i="1" s="1"/>
  <c r="CI234" i="1"/>
  <c r="CI48" i="1"/>
  <c r="CL193" i="1"/>
  <c r="CL195" i="1" s="1"/>
  <c r="CL66" i="1"/>
  <c r="CL52" i="1"/>
  <c r="CK43" i="1"/>
  <c r="CG42" i="1"/>
  <c r="CG245" i="1" s="1"/>
  <c r="CG234" i="1"/>
  <c r="CG48" i="1"/>
  <c r="CH44" i="1"/>
  <c r="CL43" i="1"/>
  <c r="CI119" i="1"/>
  <c r="CP140" i="1"/>
  <c r="CP202" i="1" s="1"/>
  <c r="CM40" i="1"/>
  <c r="CN40" i="1" s="1"/>
  <c r="CN181" i="1"/>
  <c r="CO181" i="1" s="1"/>
  <c r="CM182" i="1"/>
  <c r="CM186" i="1" s="1"/>
  <c r="CH48" i="1"/>
  <c r="CH66" i="1" s="1"/>
  <c r="CH42" i="1"/>
  <c r="CH245" i="1" s="1"/>
  <c r="CH234" i="1"/>
  <c r="CJ48" i="1"/>
  <c r="CL54" i="1" s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94" i="1"/>
  <c r="CK132" i="1"/>
  <c r="CK203" i="1"/>
  <c r="CK201" i="1" s="1"/>
  <c r="Z40" i="1"/>
  <c r="Z41" i="1"/>
  <c r="X41" i="1"/>
  <c r="X40" i="1"/>
  <c r="CO184" i="1"/>
  <c r="CN185" i="1"/>
  <c r="CJ227" i="1"/>
  <c r="CI44" i="1"/>
  <c r="CJ44" i="1"/>
  <c r="CJ42" i="1"/>
  <c r="CJ245" i="1" s="1"/>
  <c r="CJ234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H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V17" i="3"/>
  <c r="AW19" i="3"/>
  <c r="AW32" i="3"/>
  <c r="AV6" i="6" a="1"/>
  <c r="AS10" i="3"/>
  <c r="EQ15" i="4" a="1"/>
  <c r="EW15" i="4" a="1"/>
  <c r="ER8" i="4" a="1"/>
  <c r="ER5" i="4" a="1"/>
  <c r="EL9" i="4" a="1"/>
  <c r="EN11" i="4" a="1"/>
  <c r="EV8" i="4" a="1"/>
  <c r="EV12" i="4" a="1"/>
  <c r="AS35" i="3"/>
  <c r="AX29" i="3"/>
  <c r="AV39" i="3"/>
  <c r="AY5" i="3"/>
  <c r="N6" i="6" a="1"/>
  <c r="AW42" i="3"/>
  <c r="AU14" i="3"/>
  <c r="AV19" i="3"/>
  <c r="AW24" i="3"/>
  <c r="AZ13" i="3"/>
  <c r="EW16" i="4" a="1"/>
  <c r="EL8" i="4" a="1"/>
  <c r="ER15" i="4" a="1"/>
  <c r="EV14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L5" i="4" a="1"/>
  <c r="ET13" i="4" a="1"/>
  <c r="AT15" i="3"/>
  <c r="V6" i="6" a="1"/>
  <c r="AS6" i="6" a="1"/>
  <c r="U5" i="6" a="1"/>
  <c r="AQ5" i="6" a="1"/>
  <c r="AW26" i="3"/>
  <c r="EQ11" i="4" a="1"/>
  <c r="AF35" i="3"/>
  <c r="AU9" i="3"/>
  <c r="AG6" i="6" a="1"/>
  <c r="AT21" i="3"/>
  <c r="V5" i="6" a="1"/>
  <c r="AS26" i="3"/>
  <c r="AF7" i="3"/>
  <c r="AS30" i="3"/>
  <c r="AY38" i="3"/>
  <c r="AV31" i="3"/>
  <c r="AC5" i="6" a="1"/>
  <c r="AT36" i="3"/>
  <c r="EP13" i="4" a="1"/>
  <c r="EM12" i="4" a="1"/>
  <c r="ER9" i="4" a="1"/>
  <c r="AV5" i="6" a="1"/>
  <c r="AK5" i="6" a="1"/>
  <c r="AX36" i="3"/>
  <c r="AV30" i="3"/>
  <c r="AY9" i="3"/>
  <c r="AL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AT41" i="3"/>
  <c r="AU33" i="3"/>
  <c r="AU32" i="3"/>
  <c r="AZ40" i="3"/>
  <c r="EQ13" i="4" a="1"/>
  <c r="EL16" i="4" a="1"/>
  <c r="EO5" i="4" a="1"/>
  <c r="EN15" i="4" a="1"/>
  <c r="AZ6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F8" i="3"/>
  <c r="AX15" i="3"/>
  <c r="AV37" i="3"/>
  <c r="AS14" i="3"/>
  <c r="AU31" i="3"/>
  <c r="EP8" i="4" a="1"/>
  <c r="EU8" i="4" a="1"/>
  <c r="EN8" i="4" a="1"/>
  <c r="EW13" i="4" a="1"/>
  <c r="ET7" i="4" a="1"/>
  <c r="EL15" i="4" a="1"/>
  <c r="AU18" i="3"/>
  <c r="AZ18" i="3"/>
  <c r="AZ36" i="3"/>
  <c r="AY26" i="3"/>
  <c r="AX16" i="3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F6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T42" i="3"/>
  <c r="AX12" i="3"/>
  <c r="EU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12" i="3"/>
  <c r="AY15" i="3"/>
  <c r="AU7" i="3"/>
  <c r="ER11" i="4" a="1"/>
  <c r="EN7" i="4" a="1"/>
  <c r="EV13" i="4" a="1"/>
  <c r="EQ8" i="4" a="1"/>
  <c r="AV38" i="3"/>
  <c r="AZ31" i="3"/>
  <c r="EO16" i="4" a="1"/>
  <c r="AZ14" i="3"/>
  <c r="AS40" i="3"/>
  <c r="AE5" i="6" a="1"/>
  <c r="AS33" i="3"/>
  <c r="AD5" i="6" a="1"/>
  <c r="T6" i="6" a="1"/>
  <c r="AX37" i="3"/>
  <c r="EP6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X13" i="3"/>
  <c r="ES5" i="4" a="1"/>
  <c r="EO12" i="4" a="1"/>
  <c r="EL6" i="4" a="1"/>
  <c r="EP11" i="4" a="1"/>
  <c r="EU7" i="4" a="1"/>
  <c r="ER7" i="4" a="1"/>
  <c r="ER6" i="4" a="1"/>
  <c r="ES12" i="4" a="1"/>
  <c r="EL12" i="4" a="1"/>
  <c r="EV11" i="4" a="1"/>
  <c r="AZ24" i="3"/>
  <c r="J6" i="6" a="1"/>
  <c r="AX42" i="3"/>
  <c r="AZ46" i="3"/>
  <c r="AX46" i="3"/>
  <c r="AY37" i="3"/>
  <c r="ET12" i="4" a="1"/>
  <c r="ET15" i="4" a="1"/>
  <c r="EO6" i="4" a="1"/>
  <c r="EW9" i="4" a="1"/>
  <c r="AF26" i="3"/>
  <c r="AT31" i="3"/>
  <c r="AW6" i="3"/>
  <c r="AV25" i="3"/>
  <c r="AW45" i="3"/>
  <c r="AX38" i="3"/>
  <c r="AV29" i="3"/>
  <c r="F45" i="3"/>
  <c r="AW46" i="3"/>
  <c r="AU23" i="3"/>
  <c r="AI5" i="6" a="1"/>
  <c r="AT27" i="3"/>
  <c r="AY13" i="3"/>
  <c r="AV20" i="3"/>
  <c r="AS34" i="3"/>
  <c r="AX45" i="3"/>
  <c r="AV23" i="3"/>
  <c r="AY8" i="3"/>
  <c r="AZ33" i="3"/>
  <c r="AF31" i="3"/>
  <c r="ET11" i="4" a="1"/>
  <c r="EM7" i="4" a="1"/>
  <c r="EW5" i="4" a="1"/>
  <c r="EP16" i="4" a="1"/>
  <c r="AT12" i="3"/>
  <c r="M5" i="6" a="1"/>
  <c r="EU11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T33" i="3"/>
  <c r="EM6" i="4" a="1"/>
  <c r="AT35" i="3"/>
  <c r="AX9" i="3"/>
  <c r="AY42" i="3"/>
  <c r="EM5" i="4" a="1"/>
  <c r="EL13" i="4" a="1"/>
  <c r="ES13" i="4" a="1"/>
  <c r="F5" i="6" a="1"/>
  <c r="AE6" i="6" a="1"/>
  <c r="AY35" i="3"/>
  <c r="AV45" i="3"/>
  <c r="AS25" i="3"/>
  <c r="AF16" i="3"/>
  <c r="AX27" i="3"/>
  <c r="AF39" i="3"/>
  <c r="AZ19" i="3"/>
  <c r="AU37" i="3"/>
  <c r="EV15" i="4" a="1"/>
  <c r="ER12" i="4" a="1"/>
  <c r="ES8" i="4" a="1"/>
  <c r="ET9" i="4" a="1"/>
  <c r="AS17" i="3"/>
  <c r="AX25" i="3"/>
  <c r="C6" i="6" a="1"/>
  <c r="AV9" i="3"/>
  <c r="AW18" i="3"/>
  <c r="AX14" i="3"/>
  <c r="AS21" i="3"/>
  <c r="AR5" i="6" a="1"/>
  <c r="EN13" i="4" a="1"/>
  <c r="EW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F25" i="3"/>
  <c r="E5" i="6" a="1"/>
  <c r="AX30" i="3"/>
  <c r="AW13" i="3"/>
  <c r="AU6" i="6" a="1"/>
  <c r="AZ23" i="3"/>
  <c r="D6" i="6" a="1"/>
  <c r="EM9" i="4" a="1"/>
  <c r="ET14" i="4" a="1"/>
  <c r="AX22" i="3"/>
  <c r="AT40" i="3"/>
  <c r="AT14" i="3"/>
  <c r="AF18" i="3"/>
  <c r="AS38" i="3"/>
  <c r="F6" i="6" a="1"/>
  <c r="C6" i="4" a="1"/>
  <c r="EW11" i="4" a="1"/>
  <c r="CN182" i="1" l="1"/>
  <c r="Z48" i="1"/>
  <c r="AA43" i="1"/>
  <c r="CK69" i="1"/>
  <c r="CL69" i="1"/>
  <c r="CK131" i="1"/>
  <c r="CL132" i="1"/>
  <c r="CL131" i="1" s="1"/>
  <c r="CJ54" i="1"/>
  <c r="CH193" i="1"/>
  <c r="CH195" i="1" s="1"/>
  <c r="CN186" i="1"/>
  <c r="Z43" i="1"/>
  <c r="Z42" i="1"/>
  <c r="Z245" i="1" s="1"/>
  <c r="Z234" i="1"/>
  <c r="CK85" i="1"/>
  <c r="CK86" i="1"/>
  <c r="CK87" i="1"/>
  <c r="CO185" i="1"/>
  <c r="CP184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U63" i="3"/>
  <c r="AF60" i="3"/>
  <c r="AT86" i="3"/>
  <c r="AV87" i="3"/>
  <c r="AX62" i="3"/>
  <c r="AY75" i="3"/>
  <c r="AT63" i="3"/>
  <c r="AT79" i="3"/>
  <c r="AZ58" i="3"/>
  <c r="AT64" i="3"/>
  <c r="AV69" i="3"/>
  <c r="AY69" i="3"/>
  <c r="AZ96" i="3"/>
  <c r="AV68" i="3"/>
  <c r="AU55" i="3"/>
  <c r="AT90" i="3"/>
  <c r="AY95" i="3"/>
  <c r="AF63" i="3"/>
  <c r="AU75" i="3"/>
  <c r="AF89" i="3"/>
  <c r="AT61" i="3"/>
  <c r="AY54" i="3"/>
  <c r="AF62" i="3"/>
  <c r="AT54" i="3"/>
  <c r="AX87" i="3"/>
  <c r="AY60" i="3"/>
  <c r="AX78" i="3"/>
  <c r="AY91" i="3"/>
  <c r="AY64" i="3"/>
  <c r="AS91" i="3"/>
  <c r="C82" i="3"/>
  <c r="AZ86" i="3"/>
  <c r="AS72" i="3"/>
  <c r="AW85" i="3"/>
  <c r="AS87" i="3"/>
  <c r="AF91" i="3"/>
  <c r="AW60" i="3"/>
  <c r="AT96" i="3"/>
  <c r="AW63" i="3"/>
  <c r="AX73" i="3"/>
  <c r="AF72" i="3"/>
  <c r="AT70" i="3"/>
  <c r="AW48" i="3"/>
  <c r="AZ73" i="3"/>
  <c r="AU73" i="3"/>
  <c r="AV81" i="3"/>
  <c r="AF9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Z55" i="3"/>
  <c r="AU68" i="3"/>
  <c r="C79" i="3"/>
  <c r="AW90" i="3"/>
  <c r="C50" i="3"/>
  <c r="AF67" i="3"/>
  <c r="AU78" i="3"/>
  <c r="AV9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C75" i="3"/>
  <c r="AV72" i="3"/>
  <c r="AF97" i="3"/>
  <c r="AV48" i="3"/>
  <c r="AW68" i="3"/>
  <c r="C83" i="3"/>
  <c r="AV49" i="3"/>
  <c r="AV90" i="3"/>
  <c r="C73" i="3"/>
  <c r="AZ77" i="3"/>
  <c r="C80" i="3"/>
  <c r="AZ60" i="3"/>
  <c r="AW95" i="3"/>
  <c r="AT85" i="3"/>
  <c r="AY77" i="3"/>
  <c r="C63" i="3"/>
  <c r="AX59" i="3"/>
  <c r="AU49" i="3"/>
  <c r="AU86" i="3"/>
  <c r="AF87" i="3"/>
  <c r="AY83" i="3"/>
  <c r="AY79" i="3"/>
  <c r="AV73" i="3"/>
  <c r="AY97" i="3"/>
  <c r="AT97" i="3"/>
  <c r="AU96" i="3"/>
  <c r="AV74" i="3"/>
  <c r="AV59" i="3"/>
  <c r="AU60" i="3"/>
  <c r="AT89" i="3"/>
  <c r="AV88" i="3"/>
  <c r="AV77" i="3"/>
  <c r="AW49" i="3"/>
  <c r="AV75" i="3"/>
  <c r="AU82" i="3"/>
  <c r="AX54" i="3"/>
  <c r="AY66" i="3"/>
  <c r="AX48" i="3"/>
  <c r="C91" i="3"/>
  <c r="AU54" i="3"/>
  <c r="AZ69" i="3"/>
  <c r="AY82" i="3"/>
  <c r="AX50" i="3"/>
  <c r="AS76" i="3"/>
  <c r="AV93" i="3"/>
  <c r="AS54" i="3"/>
  <c r="AZ72" i="3"/>
  <c r="AF7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U74" i="3"/>
  <c r="AT81" i="3"/>
  <c r="AW79" i="3"/>
  <c r="AW84" i="3"/>
  <c r="AS95" i="3"/>
  <c r="AX86" i="3"/>
  <c r="AV79" i="3"/>
  <c r="AT58" i="3"/>
  <c r="AW57" i="3"/>
  <c r="AS68" i="3"/>
  <c r="AW78" i="3"/>
  <c r="AU56" i="3"/>
  <c r="AS67" i="3"/>
  <c r="AX74" i="3"/>
  <c r="AX66" i="3"/>
  <c r="AF49" i="3"/>
  <c r="AY61" i="3"/>
  <c r="AX55" i="3"/>
  <c r="AZ92" i="3"/>
  <c r="C60" i="3"/>
  <c r="AX68" i="3"/>
  <c r="AT69" i="3"/>
  <c r="AZ8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S88" i="3"/>
  <c r="AS71" i="3"/>
  <c r="AY90" i="3"/>
  <c r="AV56" i="3"/>
  <c r="AY80" i="3"/>
  <c r="AU67" i="3"/>
  <c r="AV62" i="3"/>
  <c r="AZ56" i="3"/>
  <c r="AS81" i="3"/>
  <c r="AZ48" i="3"/>
  <c r="AU64" i="3"/>
  <c r="AF70" i="3"/>
  <c r="C87" i="3"/>
  <c r="AS61" i="3"/>
  <c r="AY86" i="3"/>
  <c r="AZ95" i="3"/>
  <c r="AT95" i="3"/>
  <c r="C58" i="3"/>
  <c r="AW80" i="3"/>
  <c r="AU83" i="3"/>
  <c r="AZ80" i="3"/>
  <c r="AU97" i="3"/>
  <c r="AT74" i="3"/>
  <c r="AX80" i="3"/>
  <c r="AU59" i="3"/>
  <c r="AY65" i="3"/>
  <c r="AZ70" i="3"/>
  <c r="AY78" i="3"/>
  <c r="AX84" i="3"/>
  <c r="AU95" i="3"/>
  <c r="AT59" i="3"/>
  <c r="AZ84" i="3"/>
  <c r="AZ94" i="3"/>
  <c r="C76" i="3"/>
  <c r="AS60" i="3"/>
  <c r="AX64" i="3"/>
  <c r="AX91" i="3"/>
  <c r="AS83" i="3"/>
  <c r="AW96" i="3"/>
  <c r="AW89" i="3"/>
  <c r="AV57" i="3"/>
  <c r="AW5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V60" i="3"/>
  <c r="AX65" i="3"/>
  <c r="AS82" i="3"/>
  <c r="AW56" i="3"/>
  <c r="AX90" i="3"/>
  <c r="AZ83" i="3"/>
  <c r="AT48" i="3"/>
  <c r="AV54" i="3"/>
  <c r="AY70" i="3"/>
  <c r="AX77" i="3"/>
  <c r="AW91" i="3"/>
  <c r="AV78" i="3"/>
  <c r="AS79" i="3"/>
  <c r="AX71" i="3"/>
  <c r="C85" i="3"/>
  <c r="AY76" i="3"/>
  <c r="AY94" i="3"/>
  <c r="AF86" i="3"/>
  <c r="AY55" i="3"/>
  <c r="AU72" i="3"/>
  <c r="AY71" i="3"/>
  <c r="AX89" i="3"/>
  <c r="AW94" i="3"/>
  <c r="AT77" i="3"/>
  <c r="AS85" i="3"/>
  <c r="AV83" i="3"/>
  <c r="AW97" i="3"/>
  <c r="AW86" i="3"/>
  <c r="AT80" i="3"/>
  <c r="AV6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Y7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W75" i="3"/>
  <c r="AW76" i="3"/>
  <c r="AS73" i="3"/>
  <c r="AT71" i="3"/>
  <c r="CL85" i="1" l="1"/>
  <c r="CL86" i="1"/>
  <c r="CL87" i="1"/>
  <c r="CO186" i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P186" i="1" l="1"/>
  <c r="CR184" i="1"/>
  <c r="CQ185" i="1"/>
  <c r="CQ182" i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Q186" i="1"/>
  <c r="CR185" i="1"/>
  <c r="CS184" i="1"/>
  <c r="CG249" i="1"/>
  <c r="CM11" i="1"/>
  <c r="CN11" i="1" s="1"/>
  <c r="CH202" i="1"/>
  <c r="CG202" i="1"/>
  <c r="CS181" i="1"/>
  <c r="CR182" i="1"/>
  <c r="CR186" i="1" s="1"/>
  <c r="CO11" i="1"/>
  <c r="CP11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T184" i="1" l="1"/>
  <c r="CS185" i="1"/>
  <c r="CG25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U181" i="1"/>
  <c r="CT182" i="1"/>
  <c r="CT186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U182" i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U186" i="1" l="1"/>
  <c r="CW184" i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81" i="1"/>
  <c r="CZ182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4" i="1"/>
  <c r="DB185" i="1" s="1"/>
  <c r="DA185" i="1"/>
  <c r="DB181" i="1"/>
  <c r="DB182" i="1" s="1"/>
  <c r="DA182" i="1"/>
  <c r="DA206" i="1"/>
  <c r="DA249" i="1"/>
  <c r="DB206" i="1"/>
  <c r="DB249" i="1"/>
  <c r="CX11" i="1"/>
  <c r="CY11" i="1" s="1"/>
  <c r="CZ11" i="1" s="1"/>
  <c r="AD20" i="1"/>
  <c r="BY234" i="1"/>
  <c r="DA186" i="1" l="1"/>
  <c r="DB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M14" i="2"/>
  <c r="D8" i="2"/>
  <c r="R21" i="2"/>
  <c r="N31" i="2"/>
  <c r="P16" i="2"/>
  <c r="Q26" i="2"/>
  <c r="P29" i="2"/>
  <c r="C29" i="2"/>
  <c r="J29" i="2"/>
  <c r="S14" i="2"/>
  <c r="I11" i="2"/>
  <c r="E22" i="2"/>
  <c r="AF48" i="3"/>
  <c r="G11" i="3"/>
  <c r="AR21" i="3"/>
  <c r="D17" i="3"/>
  <c r="E22" i="3"/>
  <c r="C46" i="3"/>
  <c r="AQ45" i="3"/>
  <c r="D45" i="3"/>
  <c r="G28" i="3"/>
  <c r="E30" i="3"/>
  <c r="E15" i="3"/>
  <c r="AM45" i="3"/>
  <c r="F28" i="3"/>
  <c r="CX7" i="4" a="1"/>
  <c r="EC15" i="4" a="1"/>
  <c r="AM11" i="4" a="1"/>
  <c r="AI16" i="4" a="1"/>
  <c r="S11" i="4" a="1"/>
  <c r="BS6" i="4" a="1"/>
  <c r="DP14" i="4" a="1"/>
  <c r="CQ14" i="4" a="1"/>
  <c r="S15" i="4" a="1"/>
  <c r="BY13" i="4" a="1"/>
  <c r="AK13" i="4" a="1"/>
  <c r="BL12" i="4" a="1"/>
  <c r="DY16" i="4" a="1"/>
  <c r="P14" i="4" a="1"/>
  <c r="CN14" i="4" a="1"/>
  <c r="AG9" i="4" a="1"/>
  <c r="BO12" i="4" a="1"/>
  <c r="AD7" i="4" a="1"/>
  <c r="DL11" i="4" a="1"/>
  <c r="EA13" i="4" a="1"/>
  <c r="AP16" i="4" a="1"/>
  <c r="AH15" i="4" a="1"/>
  <c r="EA15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Q69" i="2"/>
  <c r="O15" i="2"/>
  <c r="N16" i="2"/>
  <c r="L15" i="2"/>
  <c r="M12" i="2"/>
  <c r="C35" i="2"/>
  <c r="O10" i="2"/>
  <c r="L11" i="2"/>
  <c r="AR68" i="3"/>
  <c r="Q34" i="2"/>
  <c r="P21" i="2"/>
  <c r="U9" i="2"/>
  <c r="G7" i="3"/>
  <c r="E11" i="3"/>
  <c r="AR9" i="3"/>
  <c r="AP45" i="3"/>
  <c r="T45" i="3"/>
  <c r="AD45" i="3"/>
  <c r="G21" i="3"/>
  <c r="AD7" i="3"/>
  <c r="G24" i="3"/>
  <c r="E12" i="3"/>
  <c r="AR29" i="3"/>
  <c r="D14" i="3"/>
  <c r="G25" i="3"/>
  <c r="AB12" i="4" a="1"/>
  <c r="BU6" i="4" a="1"/>
  <c r="CZ16" i="4" a="1"/>
  <c r="AI14" i="4" a="1"/>
  <c r="CR8" i="4" a="1"/>
  <c r="BZ15" i="4" a="1"/>
  <c r="D6" i="4" a="1"/>
  <c r="CS14" i="4" a="1"/>
  <c r="DM12" i="4" a="1"/>
  <c r="CW14" i="4" a="1"/>
  <c r="J5" i="4" a="1"/>
  <c r="P7" i="4" a="1"/>
  <c r="V12" i="4" a="1"/>
  <c r="AE7" i="4" a="1"/>
  <c r="BR5" i="4" a="1"/>
  <c r="BI6" i="4" a="1"/>
  <c r="CW7" i="4" a="1"/>
  <c r="BI16" i="4" a="1"/>
  <c r="BH14" i="4" a="1"/>
  <c r="CM6" i="4" a="1"/>
  <c r="BE6" i="4" a="1"/>
  <c r="CS15" i="4" a="1"/>
  <c r="Y6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T26" i="2"/>
  <c r="R29" i="2"/>
  <c r="R23" i="2"/>
  <c r="K16" i="2"/>
  <c r="L18" i="2"/>
  <c r="P35" i="2"/>
  <c r="J20" i="2"/>
  <c r="R17" i="2"/>
  <c r="F26" i="2"/>
  <c r="M30" i="2"/>
  <c r="E13" i="2"/>
  <c r="P10" i="2"/>
  <c r="AA46" i="3"/>
  <c r="D19" i="3"/>
  <c r="F29" i="3"/>
  <c r="AE45" i="3"/>
  <c r="AB45" i="3"/>
  <c r="U45" i="3"/>
  <c r="G18" i="3"/>
  <c r="E13" i="3"/>
  <c r="AR39" i="3"/>
  <c r="G19" i="3"/>
  <c r="AR10" i="3"/>
  <c r="K45" i="3"/>
  <c r="AD9" i="4" a="1"/>
  <c r="DO14" i="4" a="1"/>
  <c r="BK8" i="4" a="1"/>
  <c r="DH14" i="4" a="1"/>
  <c r="AX11" i="4" a="1"/>
  <c r="BV5" i="4" a="1"/>
  <c r="DF15" i="4" a="1"/>
  <c r="K7" i="4" a="1"/>
  <c r="EI14" i="4" a="1"/>
  <c r="DI14" i="4" a="1"/>
  <c r="CA15" i="4" a="1"/>
  <c r="U16" i="4" a="1"/>
  <c r="AC14" i="4" a="1"/>
  <c r="AQ13" i="4" a="1"/>
  <c r="CV6" i="4" a="1"/>
  <c r="CV12" i="4" a="1"/>
  <c r="BY5" i="4" a="1"/>
  <c r="DX6" i="4" a="1"/>
  <c r="F16" i="4" a="1"/>
  <c r="CF14" i="4" a="1"/>
  <c r="BK12" i="4" a="1"/>
  <c r="AK5" i="4" a="1"/>
  <c r="EE12" i="4" a="1"/>
  <c r="CM7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K26" i="2"/>
  <c r="V28" i="2"/>
  <c r="L9" i="2"/>
  <c r="O36" i="2"/>
  <c r="L24" i="2"/>
  <c r="T28" i="2"/>
  <c r="I33" i="2"/>
  <c r="N23" i="2"/>
  <c r="N12" i="2"/>
  <c r="S29" i="2"/>
  <c r="C15" i="2"/>
  <c r="V25" i="2"/>
  <c r="E40" i="3"/>
  <c r="AE46" i="3"/>
  <c r="AA45" i="3"/>
  <c r="D29" i="3"/>
  <c r="E23" i="3"/>
  <c r="F13" i="3"/>
  <c r="D42" i="3"/>
  <c r="AC45" i="3"/>
  <c r="M45" i="3"/>
  <c r="F23" i="3"/>
  <c r="G20" i="3"/>
  <c r="J45" i="3"/>
  <c r="N9" i="4" a="1"/>
  <c r="AX8" i="4" a="1"/>
  <c r="BM8" i="4" a="1"/>
  <c r="AV9" i="4" a="1"/>
  <c r="CR13" i="4" a="1"/>
  <c r="DT12" i="4" a="1"/>
  <c r="BQ7" i="4" a="1"/>
  <c r="AB13" i="4" a="1"/>
  <c r="DC9" i="4" a="1"/>
  <c r="DR5" i="4" a="1"/>
  <c r="CQ13" i="4" a="1"/>
  <c r="DH8" i="4" a="1"/>
  <c r="DQ13" i="4" a="1"/>
  <c r="DC12" i="4" a="1"/>
  <c r="DA7" i="4" a="1"/>
  <c r="CU6" i="4" a="1"/>
  <c r="Y8" i="4" a="1"/>
  <c r="AK7" i="4" a="1"/>
  <c r="AK6" i="4" a="1"/>
  <c r="O6" i="4" a="1"/>
  <c r="DB16" i="4" a="1"/>
  <c r="EI6" i="4" a="1"/>
  <c r="Q5" i="4" a="1"/>
  <c r="AR12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G23" i="2"/>
  <c r="D20" i="2"/>
  <c r="G32" i="2"/>
  <c r="V36" i="2"/>
  <c r="M20" i="2"/>
  <c r="J28" i="2"/>
  <c r="AR89" i="3"/>
  <c r="O24" i="2"/>
  <c r="U24" i="2"/>
  <c r="AR84" i="3"/>
  <c r="I34" i="2"/>
  <c r="L27" i="2"/>
  <c r="E9" i="3"/>
  <c r="AR12" i="3"/>
  <c r="D26" i="3"/>
  <c r="AN45" i="3"/>
  <c r="G14" i="3"/>
  <c r="F31" i="3"/>
  <c r="O46" i="3"/>
  <c r="G10" i="3"/>
  <c r="D38" i="3"/>
  <c r="Q6" i="2"/>
  <c r="V24" i="2"/>
  <c r="T7" i="2"/>
  <c r="S28" i="2"/>
  <c r="T19" i="2"/>
  <c r="X21" i="2"/>
  <c r="I25" i="2"/>
  <c r="Q59" i="2"/>
  <c r="W70" i="2"/>
  <c r="AR54" i="3"/>
  <c r="N20" i="2"/>
  <c r="J34" i="2"/>
  <c r="F32" i="3"/>
  <c r="D24" i="3"/>
  <c r="G26" i="3"/>
  <c r="F14" i="3"/>
  <c r="AH46" i="3"/>
  <c r="E35" i="3"/>
  <c r="AP46" i="3"/>
  <c r="AN46" i="3"/>
  <c r="Z46" i="3"/>
  <c r="E7" i="3"/>
  <c r="AD6" i="3"/>
  <c r="G22" i="3"/>
  <c r="ED16" i="4" a="1"/>
  <c r="BY7" i="4" a="1"/>
  <c r="AJ12" i="4" a="1"/>
  <c r="EI16" i="4" a="1"/>
  <c r="D14" i="4" a="1"/>
  <c r="BT7" i="4" a="1"/>
  <c r="C15" i="4" a="1"/>
  <c r="AF16" i="4" a="1"/>
  <c r="DQ16" i="4" a="1"/>
  <c r="BN11" i="4" a="1"/>
  <c r="AR11" i="4" a="1"/>
  <c r="AD11" i="4" a="1"/>
  <c r="CV9" i="4" a="1"/>
  <c r="CO9" i="4" a="1"/>
  <c r="CZ15" i="4" a="1"/>
  <c r="DG11" i="4" a="1"/>
  <c r="AY7" i="4" a="1"/>
  <c r="CU8" i="4" a="1"/>
  <c r="BR13" i="4" a="1"/>
  <c r="BD5" i="4" a="1"/>
  <c r="DF13" i="4" a="1"/>
  <c r="DF11" i="4" a="1"/>
  <c r="DP12" i="4" a="1"/>
  <c r="B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I14" i="2"/>
  <c r="K10" i="2"/>
  <c r="J19" i="2"/>
  <c r="V18" i="2"/>
  <c r="L28" i="2"/>
  <c r="Q15" i="2"/>
  <c r="S5" i="2"/>
  <c r="T23" i="2"/>
  <c r="E16" i="2"/>
  <c r="AR63" i="3"/>
  <c r="R30" i="2"/>
  <c r="AR59" i="3"/>
  <c r="J46" i="3"/>
  <c r="S45" i="3"/>
  <c r="X45" i="3"/>
  <c r="E6" i="3"/>
  <c r="AR30" i="3"/>
  <c r="E37" i="3"/>
  <c r="AL45" i="3"/>
  <c r="AD5" i="3"/>
  <c r="AR14" i="3"/>
  <c r="E34" i="3"/>
  <c r="D18" i="3"/>
  <c r="L45" i="3"/>
  <c r="DV16" i="4" a="1"/>
  <c r="DL9" i="4" a="1"/>
  <c r="BJ11" i="4" a="1"/>
  <c r="CF7" i="4" a="1"/>
  <c r="DL15" i="4" a="1"/>
  <c r="BF7" i="4" a="1"/>
  <c r="W11" i="4" a="1"/>
  <c r="EC7" i="4" a="1"/>
  <c r="BB13" i="4" a="1"/>
  <c r="DE14" i="4" a="1"/>
  <c r="EA5" i="4" a="1"/>
  <c r="AE6" i="4" a="1"/>
  <c r="AE16" i="4" a="1"/>
  <c r="V14" i="4" a="1"/>
  <c r="P16" i="4" a="1"/>
  <c r="AI13" i="4" a="1"/>
  <c r="X5" i="4" a="1"/>
  <c r="W13" i="4" a="1"/>
  <c r="DD9" i="4" a="1"/>
  <c r="EC11" i="4" a="1"/>
  <c r="CP13" i="4" a="1"/>
  <c r="DK13" i="4" a="1"/>
  <c r="CF12" i="4" a="1"/>
  <c r="AU13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F75" i="2"/>
  <c r="O12" i="2"/>
  <c r="E29" i="2"/>
  <c r="K24" i="2"/>
  <c r="W33" i="2"/>
  <c r="C25" i="2"/>
  <c r="T31" i="2"/>
  <c r="AR90" i="3"/>
  <c r="K22" i="2"/>
  <c r="AS47" i="3"/>
  <c r="E9" i="2"/>
  <c r="AR96" i="3"/>
  <c r="W45" i="3"/>
  <c r="E28" i="3"/>
  <c r="D34" i="3"/>
  <c r="AR42" i="3"/>
  <c r="D23" i="3"/>
  <c r="F6" i="3"/>
  <c r="D8" i="3"/>
  <c r="G13" i="3"/>
  <c r="G16" i="3"/>
  <c r="G30" i="3"/>
  <c r="AB46" i="3"/>
  <c r="D5" i="3"/>
  <c r="DO5" i="4" a="1"/>
  <c r="CI7" i="4" a="1"/>
  <c r="J8" i="4" a="1"/>
  <c r="AT14" i="4" a="1"/>
  <c r="DE11" i="4" a="1"/>
  <c r="CZ12" i="4" a="1"/>
  <c r="AI7" i="4" a="1"/>
  <c r="Q12" i="4" a="1"/>
  <c r="AZ7" i="4" a="1"/>
  <c r="EK15" i="4" a="1"/>
  <c r="AQ12" i="4" a="1"/>
  <c r="DF7" i="4" a="1"/>
  <c r="BS7" i="4" a="1"/>
  <c r="I11" i="4" a="1"/>
  <c r="BT9" i="4" a="1"/>
  <c r="CC8" i="4" a="1"/>
  <c r="CB9" i="4" a="1"/>
  <c r="CI13" i="4" a="1"/>
  <c r="CU9" i="4" a="1"/>
  <c r="ED9" i="4" a="1"/>
  <c r="BI7" i="4" a="1"/>
  <c r="DG5" i="4" a="1"/>
  <c r="CR5" i="4" a="1"/>
  <c r="DJ14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L17" i="2"/>
  <c r="I20" i="2"/>
  <c r="C59" i="2"/>
  <c r="G27" i="2"/>
  <c r="M32" i="2"/>
  <c r="S8" i="2"/>
  <c r="U5" i="2"/>
  <c r="AR69" i="3"/>
  <c r="E5" i="2"/>
  <c r="V19" i="2"/>
  <c r="H35" i="2"/>
  <c r="O14" i="2"/>
  <c r="F10" i="3"/>
  <c r="AR24" i="3"/>
  <c r="E14" i="3"/>
  <c r="D21" i="3"/>
  <c r="AR17" i="3"/>
  <c r="AK46" i="3"/>
  <c r="D27" i="3"/>
  <c r="E24" i="3"/>
  <c r="AR20" i="3"/>
  <c r="F15" i="3"/>
  <c r="D31" i="3"/>
  <c r="AK45" i="3"/>
  <c r="BB8" i="4" a="1"/>
  <c r="CY6" i="4" a="1"/>
  <c r="BL13" i="4" a="1"/>
  <c r="BR12" i="4" a="1"/>
  <c r="EG12" i="4" a="1"/>
  <c r="BH5" i="4" a="1"/>
  <c r="I14" i="4" a="1"/>
  <c r="AM7" i="4" a="1"/>
  <c r="DH12" i="4" a="1"/>
  <c r="DG15" i="4" a="1"/>
  <c r="BA9" i="4" a="1"/>
  <c r="CX6" i="4" a="1"/>
  <c r="DO12" i="4" a="1"/>
  <c r="DI8" i="4" a="1"/>
  <c r="CJ9" i="4" a="1"/>
  <c r="CA8" i="4" a="1"/>
  <c r="AC12" i="4" a="1"/>
  <c r="AD5" i="4" a="1"/>
  <c r="C7" i="4" a="1"/>
  <c r="DP11" i="4" a="1"/>
  <c r="BO5" i="4" a="1"/>
  <c r="EE11" i="4" a="1"/>
  <c r="DQ14" i="4" a="1"/>
  <c r="AY6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P7" i="2"/>
  <c r="O17" i="2"/>
  <c r="D7" i="2"/>
  <c r="N19" i="2"/>
  <c r="J36" i="2"/>
  <c r="L22" i="2"/>
  <c r="X92" i="2"/>
  <c r="H28" i="2"/>
  <c r="AR50" i="3"/>
  <c r="X32" i="2"/>
  <c r="AR67" i="3"/>
  <c r="F30" i="2"/>
  <c r="F18" i="2"/>
  <c r="F8" i="3"/>
  <c r="G5" i="3"/>
  <c r="G95" i="3" s="1"/>
  <c r="AD18" i="3"/>
  <c r="AR40" i="3"/>
  <c r="K46" i="3"/>
  <c r="AL46" i="3"/>
  <c r="H46" i="3"/>
  <c r="G23" i="3"/>
  <c r="AR8" i="3"/>
  <c r="E45" i="3"/>
  <c r="AR23" i="3"/>
  <c r="AD11" i="3"/>
  <c r="AZ14" i="4" a="1"/>
  <c r="CK15" i="4" a="1"/>
  <c r="CM12" i="4" a="1"/>
  <c r="DG12" i="4" a="1"/>
  <c r="DM6" i="4" a="1"/>
  <c r="AD8" i="4" a="1"/>
  <c r="BL9" i="4" a="1"/>
  <c r="BC12" i="4" a="1"/>
  <c r="T16" i="4" a="1"/>
  <c r="K15" i="4" a="1"/>
  <c r="M7" i="4" a="1"/>
  <c r="BK6" i="4" a="1"/>
  <c r="CJ5" i="4" a="1"/>
  <c r="R11" i="4" a="1"/>
  <c r="CH7" i="4" a="1"/>
  <c r="BE8" i="4" a="1"/>
  <c r="BI5" i="4" a="1"/>
  <c r="AL5" i="4" a="1"/>
  <c r="DW6" i="4" a="1"/>
  <c r="K32" i="2"/>
  <c r="J32" i="2"/>
  <c r="F22" i="3"/>
  <c r="E38" i="3"/>
  <c r="F41" i="3"/>
  <c r="J16" i="4" a="1"/>
  <c r="CQ6" i="4" a="1"/>
  <c r="W5" i="4" a="1"/>
  <c r="DQ8" i="4" a="1"/>
  <c r="AB9" i="4" a="1"/>
  <c r="AZ8" i="4" a="1"/>
  <c r="AM6" i="4" a="1"/>
  <c r="DU11" i="4" a="1"/>
  <c r="AL15" i="4" a="1"/>
  <c r="I16" i="4" a="1"/>
  <c r="DX7" i="4" a="1"/>
  <c r="G14" i="4" a="1"/>
  <c r="AR5" i="4" a="1"/>
  <c r="E6" i="4" a="1"/>
  <c r="EH7" i="4" a="1"/>
  <c r="M16" i="4" a="1"/>
  <c r="CL11" i="4" a="1"/>
  <c r="CV13" i="4" a="1"/>
  <c r="EK12" i="4" a="1"/>
  <c r="CD12" i="4" a="1"/>
  <c r="W15" i="4" a="1"/>
  <c r="BY11" i="4" a="1"/>
  <c r="X14" i="4" a="1"/>
  <c r="BQ16" i="4" a="1"/>
  <c r="DN8" i="4" a="1"/>
  <c r="DA13" i="4" a="1"/>
  <c r="AK16" i="4" a="1"/>
  <c r="EE13" i="4" a="1"/>
  <c r="BD14" i="4" a="1"/>
  <c r="D24" i="2"/>
  <c r="AR62" i="3"/>
  <c r="F19" i="3"/>
  <c r="AD12" i="3"/>
  <c r="AR35" i="3"/>
  <c r="AN7" i="4" a="1"/>
  <c r="DP9" i="4" a="1"/>
  <c r="CN8" i="4" a="1"/>
  <c r="CK14" i="4" a="1"/>
  <c r="CM13" i="4" a="1"/>
  <c r="EA8" i="4" a="1"/>
  <c r="P8" i="4" a="1"/>
  <c r="CJ11" i="4" a="1"/>
  <c r="AU16" i="4" a="1"/>
  <c r="AR8" i="4" a="1"/>
  <c r="DW5" i="4" a="1"/>
  <c r="AS9" i="4" a="1"/>
  <c r="BW7" i="4" a="1"/>
  <c r="DF6" i="4" a="1"/>
  <c r="CE7" i="4" a="1"/>
  <c r="CB15" i="4" a="1"/>
  <c r="DR6" i="4" a="1"/>
  <c r="AX9" i="4" a="1"/>
  <c r="U8" i="4" a="1"/>
  <c r="I8" i="4" a="1"/>
  <c r="BM6" i="4" a="1"/>
  <c r="BK9" i="4" a="1"/>
  <c r="CT9" i="4" a="1"/>
  <c r="AS11" i="4" a="1"/>
  <c r="AA8" i="4" a="1"/>
  <c r="CW13" i="4" a="1"/>
  <c r="CY13" i="4" a="1"/>
  <c r="DU6" i="4" a="1"/>
  <c r="EF11" i="4" a="1"/>
  <c r="BD16" i="4" a="1"/>
  <c r="DQ6" i="4" a="1"/>
  <c r="CA5" i="4" a="1"/>
  <c r="DC5" i="4" a="1"/>
  <c r="AW9" i="4" a="1"/>
  <c r="CG9" i="4" a="1"/>
  <c r="V7" i="4" a="1"/>
  <c r="Z6" i="4" a="1"/>
  <c r="DH9" i="4" a="1"/>
  <c r="AZ16" i="4" a="1"/>
  <c r="CW6" i="4" a="1"/>
  <c r="CT16" i="4" a="1"/>
  <c r="BF16" i="4" a="1"/>
  <c r="AF14" i="4" a="1"/>
  <c r="BU11" i="4" a="1"/>
  <c r="BN5" i="4" a="1"/>
  <c r="DU14" i="4" a="1"/>
  <c r="DW9" i="4" a="1"/>
  <c r="AO8" i="4" a="1"/>
  <c r="BA12" i="4" a="1"/>
  <c r="BS8" i="4" a="1"/>
  <c r="EB13" i="4" a="1"/>
  <c r="DB15" i="4" a="1"/>
  <c r="G16" i="4" a="1"/>
  <c r="L12" i="4" a="1"/>
  <c r="Y13" i="4" a="1"/>
  <c r="EK13" i="4" a="1"/>
  <c r="AV7" i="4" a="1"/>
  <c r="BF6" i="4" a="1"/>
  <c r="BW5" i="4" a="1"/>
  <c r="AW16" i="4" a="1"/>
  <c r="G5" i="4" a="1"/>
  <c r="BM7" i="4" a="1"/>
  <c r="DY13" i="4" a="1"/>
  <c r="CO12" i="4" a="1"/>
  <c r="AQ6" i="4" a="1"/>
  <c r="T11" i="4" a="1"/>
  <c r="Q7" i="4" a="1"/>
  <c r="AB8" i="4" a="1"/>
  <c r="I6" i="4" a="1"/>
  <c r="CZ6" i="4" a="1"/>
  <c r="EG13" i="4" a="1"/>
  <c r="DL8" i="4" a="1"/>
  <c r="CH9" i="4" a="1"/>
  <c r="AH14" i="4" a="1"/>
  <c r="DK15" i="4" a="1"/>
  <c r="BQ13" i="4" a="1"/>
  <c r="BT6" i="4" a="1"/>
  <c r="CJ6" i="4" a="1"/>
  <c r="BG13" i="4" a="1"/>
  <c r="EH15" i="4" a="1"/>
  <c r="W31" i="2"/>
  <c r="T8" i="2"/>
  <c r="AQ46" i="3"/>
  <c r="N46" i="3"/>
  <c r="R16" i="4" a="1"/>
  <c r="BE15" i="4" a="1"/>
  <c r="CM8" i="4" a="1"/>
  <c r="M5" i="4" a="1"/>
  <c r="AM5" i="4" a="1"/>
  <c r="EK8" i="4" a="1"/>
  <c r="CQ8" i="4" a="1"/>
  <c r="BS15" i="4" a="1"/>
  <c r="BJ5" i="4" a="1"/>
  <c r="CL16" i="4" a="1"/>
  <c r="DK16" i="4" a="1"/>
  <c r="Q13" i="4" a="1"/>
  <c r="EA16" i="4" a="1"/>
  <c r="BQ15" i="4" a="1"/>
  <c r="F7" i="4" a="1"/>
  <c r="CF11" i="4" a="1"/>
  <c r="CQ15" i="4" a="1"/>
  <c r="N7" i="4" a="1"/>
  <c r="DS13" i="4" a="1"/>
  <c r="DH13" i="4" a="1"/>
  <c r="I12" i="4" a="1"/>
  <c r="ED5" i="4" a="1"/>
  <c r="BE9" i="4" a="1"/>
  <c r="CO14" i="4" a="1"/>
  <c r="H5" i="4" a="1"/>
  <c r="CY9" i="4" a="1"/>
  <c r="CD14" i="4" a="1"/>
  <c r="CG5" i="4" a="1"/>
  <c r="P5" i="4" a="1"/>
  <c r="DS16" i="4" a="1"/>
  <c r="W7" i="4" a="1"/>
  <c r="CD7" i="4" a="1"/>
  <c r="CX5" i="4" a="1"/>
  <c r="EC5" i="4" a="1"/>
  <c r="BZ12" i="4" a="1"/>
  <c r="H16" i="4" a="1"/>
  <c r="AI6" i="4" a="1"/>
  <c r="EG9" i="4" a="1"/>
  <c r="CK8" i="4" a="1"/>
  <c r="DH7" i="4" a="1"/>
  <c r="AB7" i="4" a="1"/>
  <c r="AC13" i="4" a="1"/>
  <c r="CP5" i="4" a="1"/>
  <c r="BH13" i="4" a="1"/>
  <c r="DE6" i="4" a="1"/>
  <c r="DY9" i="4" a="1"/>
  <c r="EG11" i="4" a="1"/>
  <c r="H11" i="4" a="1"/>
  <c r="AH16" i="4" a="1"/>
  <c r="CL8" i="4" a="1"/>
  <c r="BG14" i="4" a="1"/>
  <c r="CX13" i="4" a="1"/>
  <c r="CC9" i="4" a="1"/>
  <c r="CI9" i="4" a="1"/>
  <c r="DJ15" i="4" a="1"/>
  <c r="BG9" i="4" a="1"/>
  <c r="DE5" i="4" a="1"/>
  <c r="AL16" i="4" a="1"/>
  <c r="DW8" i="4" a="1"/>
  <c r="N16" i="4" a="1"/>
  <c r="CM5" i="4" a="1"/>
  <c r="BK14" i="4" a="1"/>
  <c r="CI6" i="4" a="1"/>
  <c r="DA6" i="4" a="1"/>
  <c r="CO11" i="4" a="1"/>
  <c r="BA16" i="4" a="1"/>
  <c r="CS9" i="4" a="1"/>
  <c r="DH16" i="4" a="1"/>
  <c r="AN6" i="4" a="1"/>
  <c r="CA14" i="4" a="1"/>
  <c r="CW8" i="4" a="1"/>
  <c r="DJ12" i="4" a="1"/>
  <c r="N5" i="4" a="1"/>
  <c r="DI6" i="4" a="1"/>
  <c r="ED12" i="4" a="1"/>
  <c r="Z11" i="4" a="1"/>
  <c r="DF8" i="4" a="1"/>
  <c r="CQ9" i="4" a="1"/>
  <c r="DN7" i="4" a="1"/>
  <c r="DJ11" i="4" a="1"/>
  <c r="S14" i="4" a="1"/>
  <c r="AQ14" i="4" a="1"/>
  <c r="O5" i="4" a="1"/>
  <c r="CV16" i="4" a="1"/>
  <c r="DZ15" i="4" a="1"/>
  <c r="CC15" i="4" a="1"/>
  <c r="DV9" i="4" a="1"/>
  <c r="AO6" i="4" a="1"/>
  <c r="J6" i="4" a="1"/>
  <c r="DK12" i="4" a="1"/>
  <c r="EE7" i="4" a="1"/>
  <c r="BF15" i="4" a="1"/>
  <c r="DR13" i="4" a="1"/>
  <c r="BC6" i="4" a="1"/>
  <c r="AT12" i="4" a="1"/>
  <c r="AO15" i="4" a="1"/>
  <c r="BS9" i="4" a="1"/>
  <c r="CG15" i="4" a="1"/>
  <c r="DS11" i="4" a="1"/>
  <c r="DS14" i="4" a="1"/>
  <c r="DT15" i="4" a="1"/>
  <c r="V9" i="4" a="1"/>
  <c r="DM14" i="4" a="1"/>
  <c r="CP16" i="4" a="1"/>
  <c r="DM9" i="4" a="1"/>
  <c r="CL14" i="4" a="1"/>
  <c r="AM9" i="4" a="1"/>
  <c r="BT11" i="4" a="1"/>
  <c r="BY12" i="4" a="1"/>
  <c r="BH11" i="4" a="1"/>
  <c r="DK11" i="4" a="1"/>
  <c r="BH9" i="4" a="1"/>
  <c r="BM12" i="4" a="1"/>
  <c r="CF5" i="4" a="1"/>
  <c r="CO8" i="4" a="1"/>
  <c r="CR14" i="4" a="1"/>
  <c r="J12" i="2"/>
  <c r="V30" i="2"/>
  <c r="AR33" i="3"/>
  <c r="AO45" i="3"/>
  <c r="E16" i="4" a="1"/>
  <c r="AH13" i="4" a="1"/>
  <c r="CB13" i="4" a="1"/>
  <c r="DU8" i="4" a="1"/>
  <c r="J7" i="4" a="1"/>
  <c r="AU11" i="4" a="1"/>
  <c r="CG8" i="4" a="1"/>
  <c r="CT12" i="4" a="1"/>
  <c r="CC13" i="4" a="1"/>
  <c r="DP7" i="4" a="1"/>
  <c r="CW9" i="4" a="1"/>
  <c r="O11" i="4" a="1"/>
  <c r="CI16" i="4" a="1"/>
  <c r="F9" i="4" a="1"/>
  <c r="EC8" i="4" a="1"/>
  <c r="BN9" i="4" a="1"/>
  <c r="T9" i="4" a="1"/>
  <c r="AJ7" i="4" a="1"/>
  <c r="BO9" i="4" a="1"/>
  <c r="AE11" i="4" a="1"/>
  <c r="AZ13" i="4" a="1"/>
  <c r="DA12" i="4" a="1"/>
  <c r="BX13" i="4" a="1"/>
  <c r="CQ12" i="4" a="1"/>
  <c r="DU16" i="4" a="1"/>
  <c r="CC6" i="4" a="1"/>
  <c r="DF9" i="4" a="1"/>
  <c r="EH9" i="4" a="1"/>
  <c r="DK9" i="4" a="1"/>
  <c r="EE8" i="4" a="1"/>
  <c r="EJ6" i="4" a="1"/>
  <c r="S7" i="4" a="1"/>
  <c r="BL14" i="4" a="1"/>
  <c r="Y9" i="4" a="1"/>
  <c r="AG13" i="4" a="1"/>
  <c r="Y14" i="4" a="1"/>
  <c r="DZ8" i="4" a="1"/>
  <c r="EK9" i="4" a="1"/>
  <c r="BN12" i="4" a="1"/>
  <c r="CA7" i="4" a="1"/>
  <c r="DQ12" i="4" a="1"/>
  <c r="M15" i="4" a="1"/>
  <c r="AM12" i="4" a="1"/>
  <c r="AN5" i="4" a="1"/>
  <c r="CU12" i="4" a="1"/>
  <c r="DW11" i="4" a="1"/>
  <c r="E5" i="4" a="1"/>
  <c r="EH11" i="4" a="1"/>
  <c r="DD14" i="4" a="1"/>
  <c r="DE13" i="4" a="1"/>
  <c r="K5" i="4" a="1"/>
  <c r="AE8" i="4" a="1"/>
  <c r="DN16" i="4" a="1"/>
  <c r="AT7" i="4" a="1"/>
  <c r="W14" i="4" a="1"/>
  <c r="DP13" i="4" a="1"/>
  <c r="R7" i="4" a="1"/>
  <c r="DV12" i="4" a="1"/>
  <c r="EI8" i="4" a="1"/>
  <c r="CG11" i="4" a="1"/>
  <c r="CX9" i="4" a="1"/>
  <c r="DO7" i="4" a="1"/>
  <c r="N15" i="4" a="1"/>
  <c r="AV6" i="4" a="1"/>
  <c r="CS11" i="4" a="1"/>
  <c r="AE14" i="4" a="1"/>
  <c r="H8" i="4" a="1"/>
  <c r="AT11" i="4" a="1"/>
  <c r="CU15" i="4" a="1"/>
  <c r="Z12" i="4" a="1"/>
  <c r="AQ11" i="4" a="1"/>
  <c r="CQ16" i="4" a="1"/>
  <c r="AJ6" i="4" a="1"/>
  <c r="BH8" i="4" a="1"/>
  <c r="BE16" i="4" a="1"/>
  <c r="CW15" i="4" a="1"/>
  <c r="DN11" i="4" a="1"/>
  <c r="AI12" i="4" a="1"/>
  <c r="BX11" i="4" a="1"/>
  <c r="Q11" i="4" a="1"/>
  <c r="BL6" i="4" a="1"/>
  <c r="DV13" i="4" a="1"/>
  <c r="BW13" i="4" a="1"/>
  <c r="BE13" i="4" a="1"/>
  <c r="AF5" i="4" a="1"/>
  <c r="EH12" i="4" a="1"/>
  <c r="BD9" i="4" a="1"/>
  <c r="BC7" i="4" a="1"/>
  <c r="DS9" i="4" a="1"/>
  <c r="CB16" i="4" a="1"/>
  <c r="EB7" i="4" a="1"/>
  <c r="CE12" i="4" a="1"/>
  <c r="O28" i="2"/>
  <c r="R11" i="2"/>
  <c r="E10" i="3"/>
  <c r="AR18" i="3"/>
  <c r="X13" i="4" a="1"/>
  <c r="D8" i="4" a="1"/>
  <c r="EH16" i="4" a="1"/>
  <c r="CS8" i="4" a="1"/>
  <c r="C8" i="4" a="1"/>
  <c r="DQ11" i="4" a="1"/>
  <c r="DI13" i="4" a="1"/>
  <c r="W8" i="4" a="1"/>
  <c r="BV16" i="4" a="1"/>
  <c r="BB14" i="4" a="1"/>
  <c r="Z16" i="4" a="1"/>
  <c r="AO14" i="4" a="1"/>
  <c r="AL8" i="4" a="1"/>
  <c r="BI14" i="4" a="1"/>
  <c r="DB12" i="4" a="1"/>
  <c r="L7" i="4" a="1"/>
  <c r="DX12" i="4" a="1"/>
  <c r="CP15" i="4" a="1"/>
  <c r="EK16" i="4" a="1"/>
  <c r="T15" i="4" a="1"/>
  <c r="CO15" i="4" a="1"/>
  <c r="AP14" i="4" a="1"/>
  <c r="DJ9" i="4" a="1"/>
  <c r="AQ9" i="4" a="1"/>
  <c r="J13" i="4" a="1"/>
  <c r="BR15" i="4" a="1"/>
  <c r="F6" i="4" a="1"/>
  <c r="CO16" i="4" a="1"/>
  <c r="CI5" i="4" a="1"/>
  <c r="CW5" i="4" a="1"/>
  <c r="CX16" i="4" a="1"/>
  <c r="W9" i="4" a="1"/>
  <c r="DD8" i="4" a="1"/>
  <c r="BF5" i="4" a="1"/>
  <c r="T5" i="4" a="1"/>
  <c r="DB9" i="4" a="1"/>
  <c r="O15" i="4" a="1"/>
  <c r="CX11" i="4" a="1"/>
  <c r="CP11" i="4" a="1"/>
  <c r="AM15" i="4" a="1"/>
  <c r="E11" i="4" a="1"/>
  <c r="DD16" i="4" a="1"/>
  <c r="DM7" i="4" a="1"/>
  <c r="AS12" i="4" a="1"/>
  <c r="DT8" i="4" a="1"/>
  <c r="DJ5" i="4" a="1"/>
  <c r="DU13" i="4" a="1"/>
  <c r="CW12" i="4" a="1"/>
  <c r="AV13" i="4" a="1"/>
  <c r="AQ8" i="4" a="1"/>
  <c r="CH11" i="4" a="1"/>
  <c r="BB7" i="4" a="1"/>
  <c r="BM11" i="4" a="1"/>
  <c r="DN5" i="4" a="1"/>
  <c r="EA12" i="4" a="1"/>
  <c r="CZ14" i="4" a="1"/>
  <c r="BO11" i="4" a="1"/>
  <c r="U13" i="4" a="1"/>
  <c r="DW16" i="4" a="1"/>
  <c r="AN14" i="4" a="1"/>
  <c r="Q9" i="4" a="1"/>
  <c r="AC5" i="4" a="1"/>
  <c r="AM16" i="4" a="1"/>
  <c r="BQ5" i="4" a="1"/>
  <c r="K30" i="2"/>
  <c r="N8" i="2"/>
  <c r="V45" i="3"/>
  <c r="AR26" i="3"/>
  <c r="BY8" i="4" a="1"/>
  <c r="DL14" i="4" a="1"/>
  <c r="CG12" i="4" a="1"/>
  <c r="AO11" i="4" a="1"/>
  <c r="DQ9" i="4" a="1"/>
  <c r="DN12" i="4" a="1"/>
  <c r="CA9" i="4" a="1"/>
  <c r="BJ9" i="4" a="1"/>
  <c r="EJ13" i="4" a="1"/>
  <c r="DO9" i="4" a="1"/>
  <c r="DM13" i="4" a="1"/>
  <c r="AB15" i="4" a="1"/>
  <c r="DW14" i="4" a="1"/>
  <c r="CD9" i="4" a="1"/>
  <c r="DM11" i="4" a="1"/>
  <c r="AS13" i="4" a="1"/>
  <c r="CD16" i="4" a="1"/>
  <c r="DO8" i="4" a="1"/>
  <c r="DL16" i="4" a="1"/>
  <c r="CF15" i="4" a="1"/>
  <c r="H14" i="4" a="1"/>
  <c r="BB5" i="4" a="1"/>
  <c r="DN14" i="4" a="1"/>
  <c r="BZ7" i="4" a="1"/>
  <c r="DR7" i="4" a="1"/>
  <c r="DZ7" i="4" a="1"/>
  <c r="H12" i="4" a="1"/>
  <c r="E13" i="4" a="1"/>
  <c r="DK6" i="4" a="1"/>
  <c r="AY14" i="4" a="1"/>
  <c r="AW13" i="4" a="1"/>
  <c r="EC13" i="4" a="1"/>
  <c r="AH6" i="4" a="1"/>
  <c r="C14" i="4" a="1"/>
  <c r="DI15" i="4" a="1"/>
  <c r="T13" i="4" a="1"/>
  <c r="DO13" i="4" a="1"/>
  <c r="AA15" i="4" a="1"/>
  <c r="J11" i="4" a="1"/>
  <c r="AF15" i="4" a="1"/>
  <c r="AD14" i="4" a="1"/>
  <c r="S6" i="4" a="1"/>
  <c r="D5" i="4" a="1"/>
  <c r="AR15" i="4" a="1"/>
  <c r="BT12" i="4" a="1"/>
  <c r="L8" i="4" a="1"/>
  <c r="AO16" i="4" a="1"/>
  <c r="DB11" i="4" a="1"/>
  <c r="DW7" i="4" a="1"/>
  <c r="DT5" i="4" a="1"/>
  <c r="CA16" i="4" a="1"/>
  <c r="EB12" i="4" a="1"/>
  <c r="Z14" i="4" a="1"/>
  <c r="DU12" i="4" a="1"/>
  <c r="CA13" i="4" a="1"/>
  <c r="BF8" i="4" a="1"/>
  <c r="CV15" i="4" a="1"/>
  <c r="AA14" i="4" a="1"/>
  <c r="CX8" i="4" a="1"/>
  <c r="EK7" i="4" a="1"/>
  <c r="EF12" i="4" a="1"/>
  <c r="BC11" i="4" a="1"/>
  <c r="E10" i="2"/>
  <c r="AR47" i="3"/>
  <c r="E17" i="3"/>
  <c r="G29" i="3"/>
  <c r="DM5" i="4" a="1"/>
  <c r="BD15" i="4" a="1"/>
  <c r="BN16" i="4" a="1"/>
  <c r="DC7" i="4" a="1"/>
  <c r="DL13" i="4" a="1"/>
  <c r="DR11" i="4" a="1"/>
  <c r="BS16" i="4" a="1"/>
  <c r="N13" i="4" a="1"/>
  <c r="DQ15" i="4" a="1"/>
  <c r="CB5" i="4" a="1"/>
  <c r="CT5" i="4" a="1"/>
  <c r="EF14" i="4" a="1"/>
  <c r="CZ9" i="4" a="1"/>
  <c r="AG11" i="4" a="1"/>
  <c r="DD12" i="4" a="1"/>
  <c r="CR6" i="4" a="1"/>
  <c r="BT15" i="4" a="1"/>
  <c r="BT5" i="4" a="1"/>
  <c r="CN12" i="4" a="1"/>
  <c r="AH9" i="4" a="1"/>
  <c r="EC12" i="4" a="1"/>
  <c r="DC16" i="4" a="1"/>
  <c r="V11" i="4" a="1"/>
  <c r="CU5" i="4" a="1"/>
  <c r="DJ7" i="4" a="1"/>
  <c r="ED7" i="4" a="1"/>
  <c r="DM8" i="4" a="1"/>
  <c r="DB6" i="4" a="1"/>
  <c r="Q8" i="4" a="1"/>
  <c r="X11" i="4" a="1"/>
  <c r="M12" i="4" a="1"/>
  <c r="DL7" i="4" a="1"/>
  <c r="CX12" i="4" a="1"/>
  <c r="CE14" i="4" a="1"/>
  <c r="CK9" i="4" a="1"/>
  <c r="AP6" i="4" a="1"/>
  <c r="G15" i="4" a="1"/>
  <c r="EK14" i="4" a="1"/>
  <c r="AU9" i="4" a="1"/>
  <c r="AU6" i="4" a="1"/>
  <c r="AH11" i="4" a="1"/>
  <c r="DH5" i="4" a="1"/>
  <c r="CS16" i="4" a="1"/>
  <c r="S8" i="4" a="1"/>
  <c r="O29" i="2"/>
  <c r="H5" i="2"/>
  <c r="AR25" i="3"/>
  <c r="AH45" i="3"/>
  <c r="CI15" i="4" a="1"/>
  <c r="BU7" i="4" a="1"/>
  <c r="BZ5" i="4" a="1"/>
  <c r="BP11" i="4" a="1"/>
  <c r="DP16" i="4" a="1"/>
  <c r="V5" i="4" a="1"/>
  <c r="DA8" i="4" a="1"/>
  <c r="AI5" i="4" a="1"/>
  <c r="CS7" i="4" a="1"/>
  <c r="AV8" i="4" a="1"/>
  <c r="BJ6" i="4" a="1"/>
  <c r="I7" i="4" a="1"/>
  <c r="DB7" i="4" a="1"/>
  <c r="CE13" i="4" a="1"/>
  <c r="DF14" i="4" a="1"/>
  <c r="DQ7" i="4" a="1"/>
  <c r="AZ9" i="4" a="1"/>
  <c r="AI15" i="4" a="1"/>
  <c r="C13" i="4" a="1"/>
  <c r="AQ16" i="4" a="1"/>
  <c r="L13" i="4" a="1"/>
  <c r="CI11" i="4" a="1"/>
  <c r="CG6" i="4" a="1"/>
  <c r="DO11" i="4" a="1"/>
  <c r="BB9" i="4" a="1"/>
  <c r="BK5" i="4" a="1"/>
  <c r="I9" i="4" a="1"/>
  <c r="K8" i="4" a="1"/>
  <c r="CL15" i="4" a="1"/>
  <c r="U15" i="4" a="1"/>
  <c r="DD5" i="4" a="1"/>
  <c r="BY9" i="4" a="1"/>
  <c r="U7" i="4" a="1"/>
  <c r="CY12" i="4" a="1"/>
  <c r="BZ16" i="4" a="1"/>
  <c r="AW8" i="4" a="1"/>
  <c r="V13" i="4" a="1"/>
  <c r="CJ7" i="4" a="1"/>
  <c r="CR7" i="4" a="1"/>
  <c r="BU9" i="4" a="1"/>
  <c r="AG8" i="4" a="1"/>
  <c r="Z13" i="4" a="1"/>
  <c r="Q15" i="4" a="1"/>
  <c r="CR15" i="4" a="1"/>
  <c r="DJ13" i="4" a="1"/>
  <c r="O16" i="4" a="1"/>
  <c r="AM14" i="4" a="1"/>
  <c r="H9" i="4" a="1"/>
  <c r="BA13" i="4" a="1"/>
  <c r="BQ12" i="4" a="1"/>
  <c r="CU13" i="4" a="1"/>
  <c r="R15" i="4" a="1"/>
  <c r="CG13" i="4" a="1"/>
  <c r="BW14" i="4" a="1"/>
  <c r="BW9" i="4" a="1"/>
  <c r="EJ9" i="4" a="1"/>
  <c r="H13" i="4" a="1"/>
  <c r="BD7" i="4" a="1"/>
  <c r="AJ15" i="4" a="1"/>
  <c r="AC7" i="4" a="1"/>
  <c r="BK16" i="4" a="1"/>
  <c r="BU5" i="4" a="1"/>
  <c r="BN14" i="4" a="1"/>
  <c r="DW12" i="4" a="1"/>
  <c r="AX5" i="4" a="1"/>
  <c r="DK8" i="4" a="1"/>
  <c r="BP13" i="4" a="1"/>
  <c r="Q16" i="4" a="1"/>
  <c r="AR78" i="3"/>
  <c r="BY15" i="4" a="1"/>
  <c r="AV15" i="4" a="1"/>
  <c r="DT6" i="4" a="1"/>
  <c r="CJ12" i="4" a="1"/>
  <c r="CK7" i="4" a="1"/>
  <c r="EE5" i="4" a="1"/>
  <c r="BI8" i="4" a="1"/>
  <c r="CM11" i="4" a="1"/>
  <c r="CD13" i="4" a="1"/>
  <c r="AS16" i="4" a="1"/>
  <c r="AF6" i="4" a="1"/>
  <c r="EJ8" i="4" a="1"/>
  <c r="E7" i="4" a="1"/>
  <c r="DA16" i="4" a="1"/>
  <c r="DD15" i="4" a="1"/>
  <c r="K59" i="2"/>
  <c r="T17" i="2"/>
  <c r="AR15" i="3"/>
  <c r="Y45" i="3"/>
  <c r="AK11" i="4" a="1"/>
  <c r="BD6" i="4" a="1"/>
  <c r="AB11" i="4" a="1"/>
  <c r="CO13" i="4" a="1"/>
  <c r="BQ9" i="4" a="1"/>
  <c r="EJ7" i="4" a="1"/>
  <c r="CN15" i="4" a="1"/>
  <c r="AP11" i="4" a="1"/>
  <c r="DT9" i="4" a="1"/>
  <c r="Z7" i="4" a="1"/>
  <c r="AW7" i="4" a="1"/>
  <c r="BV8" i="4" a="1"/>
  <c r="AJ16" i="4" a="1"/>
  <c r="N14" i="4" a="1"/>
  <c r="DC14" i="4" a="1"/>
  <c r="BP15" i="4" a="1"/>
  <c r="O8" i="4" a="1"/>
  <c r="CN9" i="4" a="1"/>
  <c r="AX14" i="4" a="1"/>
  <c r="AQ7" i="4" a="1"/>
  <c r="DZ9" i="4" a="1"/>
  <c r="EE15" i="4" a="1"/>
  <c r="CY14" i="4" a="1"/>
  <c r="CP7" i="4" a="1"/>
  <c r="CT6" i="4" a="1"/>
  <c r="CJ14" i="4" a="1"/>
  <c r="EA14" i="4" a="1"/>
  <c r="Z9" i="4" a="1"/>
  <c r="CU14" i="4" a="1"/>
  <c r="N6" i="4" a="1"/>
  <c r="DT14" i="4" a="1"/>
  <c r="CR12" i="4" a="1"/>
  <c r="J15" i="4" a="1"/>
  <c r="BV6" i="4" a="1"/>
  <c r="DR9" i="4" a="1"/>
  <c r="BG16" i="4" a="1"/>
  <c r="E15" i="4" a="1"/>
  <c r="AX12" i="4" a="1"/>
  <c r="CN6" i="4" a="1"/>
  <c r="BR8" i="4" a="1"/>
  <c r="ED15" i="4" a="1"/>
  <c r="F5" i="4" a="1"/>
  <c r="EE9" i="4" a="1"/>
  <c r="AR6" i="4" a="1"/>
  <c r="CB6" i="4" a="1"/>
  <c r="AU14" i="4" a="1"/>
  <c r="BR16" i="4" a="1"/>
  <c r="DU15" i="4" a="1"/>
  <c r="DS7" i="4" a="1"/>
  <c r="BX15" i="4" a="1"/>
  <c r="BD8" i="4" a="1"/>
  <c r="EK6" i="4" a="1"/>
  <c r="CE16" i="4" a="1"/>
  <c r="Q6" i="4" a="1"/>
  <c r="BI11" i="4" a="1"/>
  <c r="CE15" i="4" a="1"/>
  <c r="AL14" i="4" a="1"/>
  <c r="CJ15" i="4" a="1"/>
  <c r="BO6" i="4" a="1"/>
  <c r="EB9" i="4" a="1"/>
  <c r="DA5" i="4" a="1"/>
  <c r="BK7" i="4" a="1"/>
  <c r="AW6" i="4" a="1"/>
  <c r="DE9" i="4" a="1"/>
  <c r="N8" i="4" a="1"/>
  <c r="BV12" i="4" a="1"/>
  <c r="AM13" i="4" a="1"/>
  <c r="DD7" i="4" a="1"/>
  <c r="DI11" i="4" a="1"/>
  <c r="ED13" i="4" a="1"/>
  <c r="BQ6" i="4" a="1"/>
  <c r="BI12" i="4" a="1"/>
  <c r="AC8" i="4" a="1"/>
  <c r="EB14" i="4" a="1"/>
  <c r="W16" i="4" a="1"/>
  <c r="DH11" i="4" a="1"/>
  <c r="EG15" i="4" a="1"/>
  <c r="CN5" i="4" a="1"/>
  <c r="Q45" i="3"/>
  <c r="BC9" i="4" a="1"/>
  <c r="ED14" i="4" a="1"/>
  <c r="X8" i="4" a="1"/>
  <c r="BV15" i="4" a="1"/>
  <c r="K16" i="4" a="1"/>
  <c r="DB8" i="4" a="1"/>
  <c r="AA9" i="4" a="1"/>
  <c r="BF14" i="4" a="1"/>
  <c r="BA15" i="4" a="1"/>
  <c r="EI5" i="4" a="1"/>
  <c r="BS11" i="4" a="1"/>
  <c r="DB13" i="4" a="1"/>
  <c r="DT13" i="4" a="1"/>
  <c r="CN13" i="4" a="1"/>
  <c r="AB14" i="4" a="1"/>
  <c r="DU9" i="4" a="1"/>
  <c r="CH16" i="4" a="1"/>
  <c r="AO13" i="4" a="1"/>
  <c r="EG8" i="4" a="1"/>
  <c r="DR15" i="4" a="1"/>
  <c r="BX7" i="4" a="1"/>
  <c r="O14" i="4" a="1"/>
  <c r="AZ11" i="4" a="1"/>
  <c r="CY5" i="4" a="1"/>
  <c r="CY11" i="4" a="1"/>
  <c r="EJ15" i="4" a="1"/>
  <c r="EC6" i="4" a="1"/>
  <c r="S13" i="4" a="1"/>
  <c r="DV14" i="4" a="1"/>
  <c r="D16" i="4" a="1"/>
  <c r="M11" i="4" a="1"/>
  <c r="EF8" i="4" a="1"/>
  <c r="W28" i="2"/>
  <c r="E45" i="2"/>
  <c r="G9" i="3"/>
  <c r="D7" i="3"/>
  <c r="AK9" i="4" a="1"/>
  <c r="DS12" i="4" a="1"/>
  <c r="BE12" i="4" a="1"/>
  <c r="CD8" i="4" a="1"/>
  <c r="BF12" i="4" a="1"/>
  <c r="G12" i="4" a="1"/>
  <c r="AY12" i="4" a="1"/>
  <c r="BZ11" i="4" a="1"/>
  <c r="AK12" i="4" a="1"/>
  <c r="CK6" i="4" a="1"/>
  <c r="DP8" i="4" a="1"/>
  <c r="U11" i="4" a="1"/>
  <c r="EC9" i="4" a="1"/>
  <c r="AS5" i="4" a="1"/>
  <c r="BG15" i="4" a="1"/>
  <c r="BJ7" i="4" a="1"/>
  <c r="CR16" i="4" a="1"/>
  <c r="EA6" i="4" a="1"/>
  <c r="CT13" i="4" a="1"/>
  <c r="E12" i="4" a="1"/>
  <c r="BN6" i="4" a="1"/>
  <c r="E8" i="4" a="1"/>
  <c r="BZ6" i="4" a="1"/>
  <c r="DO15" i="4" a="1"/>
  <c r="BL11" i="4" a="1"/>
  <c r="H15" i="4" a="1"/>
  <c r="O9" i="4" a="1"/>
  <c r="DX14" i="4" a="1"/>
  <c r="CW11" i="4" a="1"/>
  <c r="AP5" i="4" a="1"/>
  <c r="DX15" i="4" a="1"/>
  <c r="DD11" i="4" a="1"/>
  <c r="EA11" i="4" a="1"/>
  <c r="CV11" i="4" a="1"/>
  <c r="AT16" i="4" a="1"/>
  <c r="CB8" i="4" a="1"/>
  <c r="AW11" i="4" a="1"/>
  <c r="DY6" i="4" a="1"/>
  <c r="BJ13" i="4" a="1"/>
  <c r="AD13" i="4" a="1"/>
  <c r="CR11" i="4" a="1"/>
  <c r="R12" i="4" a="1"/>
  <c r="AR14" i="4" a="1"/>
  <c r="CE9" i="4" a="1"/>
  <c r="BL5" i="4" a="1"/>
  <c r="S16" i="4" a="1"/>
  <c r="DI12" i="4" a="1"/>
  <c r="K11" i="4" a="1"/>
  <c r="EK11" i="4" a="1"/>
  <c r="CK12" i="4" a="1"/>
  <c r="C12" i="4" a="1"/>
  <c r="EI15" i="4" a="1"/>
  <c r="H15" i="2"/>
  <c r="E19" i="3"/>
  <c r="CN11" i="4" a="1"/>
  <c r="AQ15" i="4" a="1"/>
  <c r="AG16" i="4" a="1"/>
  <c r="AY5" i="4" a="1"/>
  <c r="AC9" i="4" a="1"/>
  <c r="AU12" i="4" a="1"/>
  <c r="AN12" i="4" a="1"/>
  <c r="AS14" i="4" a="1"/>
  <c r="BT8" i="4" a="1"/>
  <c r="AD6" i="4" a="1"/>
  <c r="C11" i="4" a="1"/>
  <c r="P11" i="4" a="1"/>
  <c r="CS13" i="4" a="1"/>
  <c r="AW15" i="4" a="1"/>
  <c r="CU16" i="4" a="1"/>
  <c r="AU8" i="4" a="1"/>
  <c r="AY15" i="4" a="1"/>
  <c r="BA8" i="4" a="1"/>
  <c r="L15" i="4" a="1"/>
  <c r="BP6" i="4" a="1"/>
  <c r="T14" i="4" a="1"/>
  <c r="K13" i="4" a="1"/>
  <c r="AP12" i="4" a="1"/>
  <c r="ED8" i="4" a="1"/>
  <c r="AE5" i="4" a="1"/>
  <c r="DE7" i="4" a="1"/>
  <c r="AP8" i="4" a="1"/>
  <c r="L14" i="4" a="1"/>
  <c r="BO7" i="4" a="1"/>
  <c r="CY7" i="4" a="1"/>
  <c r="CU11" i="4" a="1"/>
  <c r="EH14" i="4" a="1"/>
  <c r="O13" i="4" a="1"/>
  <c r="X17" i="2"/>
  <c r="F17" i="3"/>
  <c r="F11" i="3"/>
  <c r="E8" i="3"/>
  <c r="BX9" i="4" a="1"/>
  <c r="C9" i="4" a="1"/>
  <c r="DG13" i="4" a="1"/>
  <c r="DE12" i="4" a="1"/>
  <c r="BE7" i="4" a="1"/>
  <c r="AI8" i="4" a="1"/>
  <c r="CE6" i="4" a="1"/>
  <c r="EJ12" i="4" a="1"/>
  <c r="EE16" i="4" a="1"/>
  <c r="CL12" i="4" a="1"/>
  <c r="BQ11" i="4" a="1"/>
  <c r="BP16" i="4" a="1"/>
  <c r="AN15" i="4" a="1"/>
  <c r="CP9" i="4" a="1"/>
  <c r="CH13" i="4" a="1"/>
  <c r="CA6" i="4" a="1"/>
  <c r="AZ5" i="4" a="1"/>
  <c r="DG9" i="4" a="1"/>
  <c r="AT5" i="4" a="1"/>
  <c r="DJ8" i="4" a="1"/>
  <c r="DR8" i="4" a="1"/>
  <c r="DZ5" i="4" a="1"/>
  <c r="AL9" i="4" a="1"/>
  <c r="BW8" i="4" a="1"/>
  <c r="DS15" i="4" a="1"/>
  <c r="AN16" i="4" a="1"/>
  <c r="EJ11" i="4" a="1"/>
  <c r="AG6" i="4" a="1"/>
  <c r="DY15" i="4" a="1"/>
  <c r="E95" i="3"/>
  <c r="D94" i="3"/>
  <c r="E57" i="3"/>
  <c r="D73" i="3"/>
  <c r="AD65" i="3"/>
  <c r="E89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AD86" i="3"/>
  <c r="E58" i="3"/>
  <c r="G79" i="3"/>
  <c r="E86" i="3"/>
  <c r="D74" i="3"/>
  <c r="F81" i="3"/>
  <c r="G91" i="3"/>
  <c r="E92" i="3"/>
  <c r="E64" i="3"/>
  <c r="D77" i="3"/>
  <c r="E87" i="3"/>
  <c r="D57" i="3"/>
  <c r="AD89" i="3"/>
  <c r="AD97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G59" i="3"/>
  <c r="D90" i="3"/>
  <c r="F93" i="3"/>
  <c r="AD83" i="3"/>
  <c r="D80" i="3"/>
  <c r="E71" i="3"/>
  <c r="AD57" i="3"/>
  <c r="F73" i="3"/>
  <c r="G93" i="3"/>
  <c r="F87" i="3"/>
  <c r="G85" i="3"/>
  <c r="E72" i="3"/>
  <c r="E79" i="3"/>
  <c r="AD92" i="3"/>
  <c r="F48" i="3"/>
  <c r="G84" i="3"/>
  <c r="F50" i="3"/>
  <c r="F92" i="3"/>
  <c r="F56" i="3"/>
  <c r="F70" i="3"/>
  <c r="F75" i="3"/>
  <c r="F97" i="3"/>
  <c r="E70" i="3"/>
  <c r="F57" i="3"/>
  <c r="F90" i="3"/>
  <c r="AD84" i="3"/>
  <c r="G75" i="3"/>
  <c r="E68" i="3"/>
  <c r="F47" i="3"/>
  <c r="E94" i="3"/>
  <c r="AD85" i="3"/>
  <c r="F68" i="3"/>
  <c r="G62" i="3"/>
  <c r="E85" i="3"/>
  <c r="AD78" i="3"/>
  <c r="F71" i="3"/>
  <c r="D61" i="3"/>
  <c r="E60" i="3"/>
  <c r="G92" i="3"/>
  <c r="E90" i="3"/>
  <c r="D72" i="3"/>
  <c r="G55" i="3"/>
  <c r="E55" i="3"/>
  <c r="D93" i="3"/>
  <c r="F89" i="3"/>
  <c r="G54" i="3"/>
  <c r="F66" i="3"/>
  <c r="E84" i="3"/>
  <c r="E74" i="3"/>
  <c r="AD79" i="3"/>
  <c r="E82" i="3"/>
  <c r="G63" i="3"/>
  <c r="E62" i="3"/>
  <c r="E80" i="3"/>
  <c r="F88" i="3"/>
  <c r="E69" i="3"/>
  <c r="E77" i="3"/>
  <c r="AD80" i="3"/>
  <c r="F94" i="3"/>
  <c r="E56" i="3"/>
  <c r="E76" i="3"/>
  <c r="F58" i="3"/>
  <c r="E91" i="3"/>
  <c r="G71" i="3"/>
  <c r="AD71" i="3"/>
  <c r="G87" i="3"/>
  <c r="E67" i="3"/>
  <c r="D65" i="3"/>
  <c r="AD75" i="3"/>
  <c r="E93" i="3"/>
  <c r="E54" i="3"/>
  <c r="F83" i="3"/>
  <c r="E81" i="3"/>
  <c r="D87" i="3"/>
  <c r="AD61" i="3"/>
  <c r="G70" i="3"/>
  <c r="AD74" i="3"/>
  <c r="E83" i="3"/>
  <c r="E65" i="3"/>
  <c r="D68" i="3"/>
  <c r="F69" i="3"/>
  <c r="F91" i="3"/>
  <c r="E96" i="3"/>
  <c r="F74" i="3"/>
  <c r="F64" i="3"/>
  <c r="E73" i="3"/>
  <c r="D63" i="3"/>
  <c r="D71" i="3"/>
  <c r="G81" i="3"/>
  <c r="G67" i="3"/>
  <c r="AD70" i="3"/>
  <c r="F62" i="3"/>
  <c r="AD90" i="3"/>
  <c r="AD82" i="3"/>
  <c r="E63" i="3"/>
  <c r="AD73" i="3"/>
  <c r="AD76" i="3"/>
  <c r="AD81" i="3"/>
  <c r="AD66" i="3"/>
  <c r="E61" i="3"/>
  <c r="G68" i="3"/>
  <c r="E75" i="3"/>
  <c r="AD60" i="3"/>
  <c r="F86" i="3"/>
  <c r="F76" i="3"/>
  <c r="D86" i="3"/>
  <c r="D67" i="3"/>
  <c r="D55" i="3"/>
  <c r="D62" i="3"/>
  <c r="D89" i="3"/>
  <c r="G82" i="3"/>
  <c r="AD77" i="3"/>
  <c r="D58" i="3"/>
  <c r="G76" i="3"/>
  <c r="AD93" i="3"/>
  <c r="E78" i="3"/>
  <c r="D96" i="3"/>
  <c r="D83" i="3"/>
  <c r="F67" i="3"/>
  <c r="D91" i="3"/>
  <c r="F49" i="3"/>
  <c r="AD55" i="3"/>
  <c r="IY9" i="4" s="1"/>
  <c r="JG16" i="4" s="1"/>
  <c r="CP77" i="1"/>
  <c r="CN63" i="1"/>
  <c r="CM65" i="1"/>
  <c r="D54" i="3" l="1"/>
  <c r="F96" i="3"/>
  <c r="AL163" i="1" s="1"/>
  <c r="AM163" i="1" s="1"/>
  <c r="D60" i="3"/>
  <c r="AJ122" i="1" s="1"/>
  <c r="AK122" i="1" s="1"/>
  <c r="G90" i="3"/>
  <c r="F85" i="3"/>
  <c r="AL147" i="1" s="1"/>
  <c r="AM147" i="1" s="1"/>
  <c r="F84" i="3"/>
  <c r="AL146" i="1" s="1"/>
  <c r="AM146" i="1" s="1"/>
  <c r="F72" i="3"/>
  <c r="AL135" i="1" s="1"/>
  <c r="AM135" i="1" s="1"/>
  <c r="F78" i="3"/>
  <c r="AL142" i="1" s="1"/>
  <c r="AM142" i="1" s="1"/>
  <c r="F79" i="3"/>
  <c r="AL143" i="1" s="1"/>
  <c r="AD72" i="3"/>
  <c r="BJ135" i="1" s="1"/>
  <c r="BK135" i="1" s="1"/>
  <c r="D66" i="3"/>
  <c r="AJ151" i="1" s="1"/>
  <c r="AK151" i="1" s="1"/>
  <c r="D88" i="3"/>
  <c r="AJ127" i="1" s="1"/>
  <c r="AK127" i="1" s="1"/>
  <c r="F61" i="3"/>
  <c r="G83" i="3"/>
  <c r="G66" i="3"/>
  <c r="F82" i="3"/>
  <c r="AL145" i="1" s="1"/>
  <c r="D75" i="3"/>
  <c r="AD56" i="3"/>
  <c r="BJ117" i="1" s="1"/>
  <c r="D97" i="3"/>
  <c r="F63" i="3"/>
  <c r="AL125" i="1" s="1"/>
  <c r="AM125" i="1" s="1"/>
  <c r="AD67" i="3"/>
  <c r="AD58" i="3"/>
  <c r="BJ119" i="1" s="1"/>
  <c r="G80" i="3"/>
  <c r="F65" i="3"/>
  <c r="AL150" i="1" s="1"/>
  <c r="AM150" i="1" s="1"/>
  <c r="G58" i="3"/>
  <c r="F77" i="3"/>
  <c r="AL140" i="1" s="1"/>
  <c r="AM140" i="1" s="1"/>
  <c r="AM202" i="1" s="1"/>
  <c r="D79" i="3"/>
  <c r="AJ143" i="1" s="1"/>
  <c r="AK143" i="1" s="1"/>
  <c r="G60" i="3"/>
  <c r="AD54" i="3"/>
  <c r="D92" i="3"/>
  <c r="AJ155" i="1" s="1"/>
  <c r="AK155" i="1" s="1"/>
  <c r="D70" i="3"/>
  <c r="AJ133" i="1" s="1"/>
  <c r="AD94" i="3"/>
  <c r="AD88" i="3"/>
  <c r="BJ127" i="1" s="1"/>
  <c r="BK127" i="1" s="1"/>
  <c r="D69" i="3"/>
  <c r="AJ132" i="1" s="1"/>
  <c r="AD69" i="3"/>
  <c r="BJ132" i="1" s="1"/>
  <c r="G65" i="3"/>
  <c r="D95" i="3"/>
  <c r="AJ164" i="1" s="1"/>
  <c r="AK164" i="1" s="1"/>
  <c r="D78" i="3"/>
  <c r="AJ142" i="1" s="1"/>
  <c r="AK142" i="1" s="1"/>
  <c r="G88" i="3"/>
  <c r="G77" i="3"/>
  <c r="AD63" i="3"/>
  <c r="BJ125" i="1" s="1"/>
  <c r="BK125" i="1" s="1"/>
  <c r="G89" i="3"/>
  <c r="G94" i="3"/>
  <c r="G74" i="3"/>
  <c r="G72" i="3"/>
  <c r="D84" i="3"/>
  <c r="AJ146" i="1" s="1"/>
  <c r="AK146" i="1" s="1"/>
  <c r="D76" i="3"/>
  <c r="G78" i="3"/>
  <c r="G86" i="3"/>
  <c r="AD87" i="3"/>
  <c r="BJ152" i="1" s="1"/>
  <c r="BK152" i="1" s="1"/>
  <c r="D85" i="3"/>
  <c r="AJ147" i="1" s="1"/>
  <c r="AK147" i="1" s="1"/>
  <c r="G23" i="1"/>
  <c r="HS9" i="4" s="1"/>
  <c r="IT16" i="4" s="1"/>
  <c r="BX47" i="1"/>
  <c r="U39" i="1"/>
  <c r="J45" i="1"/>
  <c r="AM35" i="1"/>
  <c r="E39" i="1"/>
  <c r="M22" i="1"/>
  <c r="O9" i="1"/>
  <c r="AJ22" i="1"/>
  <c r="N20" i="1"/>
  <c r="L45" i="1"/>
  <c r="K21" i="1"/>
  <c r="HR16" i="4" s="1"/>
  <c r="AJ45" i="1"/>
  <c r="BX126" i="1"/>
  <c r="BY126" i="1" s="1"/>
  <c r="N15" i="1"/>
  <c r="BX23" i="1"/>
  <c r="S35" i="1"/>
  <c r="I22" i="1"/>
  <c r="BJ8" i="1"/>
  <c r="BJ231" i="1" s="1"/>
  <c r="S22" i="1"/>
  <c r="AM23" i="1"/>
  <c r="K32" i="1"/>
  <c r="K194" i="1" s="1"/>
  <c r="F35" i="1"/>
  <c r="HT9" i="4" s="1"/>
  <c r="AL35" i="1"/>
  <c r="AJ39" i="1"/>
  <c r="M35" i="1"/>
  <c r="BX13" i="1"/>
  <c r="K25" i="1"/>
  <c r="AJ23" i="1"/>
  <c r="AK15" i="1"/>
  <c r="K23" i="1"/>
  <c r="AK24" i="1"/>
  <c r="AM15" i="1"/>
  <c r="L20" i="1"/>
  <c r="HR9" i="4" s="1"/>
  <c r="BX32" i="1"/>
  <c r="BX194" i="1" s="1"/>
  <c r="W47" i="1"/>
  <c r="D35" i="1"/>
  <c r="G13" i="1"/>
  <c r="W132" i="1"/>
  <c r="J21" i="1"/>
  <c r="Q46" i="1"/>
  <c r="F21" i="1"/>
  <c r="Q9" i="1"/>
  <c r="C13" i="1"/>
  <c r="B25" i="1"/>
  <c r="S20" i="1"/>
  <c r="S39" i="1"/>
  <c r="P39" i="1"/>
  <c r="AL14" i="1"/>
  <c r="W15" i="1"/>
  <c r="BX159" i="1"/>
  <c r="S47" i="1"/>
  <c r="N36" i="1"/>
  <c r="J13" i="1"/>
  <c r="E24" i="1"/>
  <c r="IP9" i="4" s="1"/>
  <c r="BJ24" i="1"/>
  <c r="J32" i="1"/>
  <c r="T46" i="1"/>
  <c r="U13" i="1"/>
  <c r="W39" i="1"/>
  <c r="H51" i="1"/>
  <c r="U35" i="1"/>
  <c r="C47" i="1"/>
  <c r="T39" i="1"/>
  <c r="W21" i="1"/>
  <c r="IU16" i="4" s="1"/>
  <c r="AM39" i="1"/>
  <c r="AK13" i="1"/>
  <c r="BX124" i="1"/>
  <c r="BY124" i="1" s="1"/>
  <c r="JB8" i="4" s="1"/>
  <c r="IK16" i="4" s="1"/>
  <c r="BX35" i="1"/>
  <c r="E25" i="1"/>
  <c r="BX74" i="1"/>
  <c r="BX9" i="1"/>
  <c r="AK23" i="1"/>
  <c r="BX132" i="1"/>
  <c r="AM20" i="1"/>
  <c r="BX51" i="1"/>
  <c r="B36" i="1"/>
  <c r="E159" i="1"/>
  <c r="IY7" i="4" s="1"/>
  <c r="IF7" i="4" s="1"/>
  <c r="IX9" i="4" s="1"/>
  <c r="JD16" i="4" s="1"/>
  <c r="BX125" i="1"/>
  <c r="BY125" i="1" s="1"/>
  <c r="H20" i="1"/>
  <c r="IV8" i="4" s="1"/>
  <c r="HW15" i="4" s="1"/>
  <c r="HV16" i="4" s="1"/>
  <c r="H36" i="1"/>
  <c r="P8" i="1"/>
  <c r="AJ47" i="1"/>
  <c r="F45" i="1"/>
  <c r="AJ51" i="1"/>
  <c r="R47" i="1"/>
  <c r="H46" i="1"/>
  <c r="IM16" i="4" s="1"/>
  <c r="D24" i="1"/>
  <c r="Q21" i="1"/>
  <c r="Q47" i="1"/>
  <c r="IE16" i="4" s="1"/>
  <c r="BX39" i="1"/>
  <c r="K13" i="1"/>
  <c r="AL32" i="1"/>
  <c r="AL194" i="1" s="1"/>
  <c r="H13" i="1"/>
  <c r="O47" i="1"/>
  <c r="AJ46" i="1"/>
  <c r="AK47" i="1"/>
  <c r="BX164" i="1"/>
  <c r="BY164" i="1" s="1"/>
  <c r="K8" i="1"/>
  <c r="C46" i="1"/>
  <c r="I9" i="1"/>
  <c r="O35" i="1"/>
  <c r="J46" i="1"/>
  <c r="C22" i="1"/>
  <c r="BX73" i="1"/>
  <c r="W32" i="1"/>
  <c r="W253" i="1" s="1"/>
  <c r="K45" i="1"/>
  <c r="F46" i="1"/>
  <c r="L25" i="1"/>
  <c r="BJ13" i="1"/>
  <c r="V22" i="1"/>
  <c r="BY73" i="1"/>
  <c r="L9" i="1"/>
  <c r="V39" i="1"/>
  <c r="S23" i="1"/>
  <c r="U51" i="1"/>
  <c r="T22" i="1"/>
  <c r="AJ9" i="1"/>
  <c r="AL9" i="1"/>
  <c r="Q22" i="1"/>
  <c r="BX122" i="1"/>
  <c r="BY122" i="1" s="1"/>
  <c r="E47" i="1"/>
  <c r="F51" i="1"/>
  <c r="P20" i="1"/>
  <c r="R15" i="1"/>
  <c r="D122" i="1"/>
  <c r="HW9" i="4" s="1"/>
  <c r="JF9" i="4" s="1"/>
  <c r="JG9" i="4" s="1"/>
  <c r="JG21" i="4" s="1"/>
  <c r="CA77" i="1" s="1"/>
  <c r="HZ16" i="4" s="1"/>
  <c r="J39" i="1"/>
  <c r="IA16" i="4" s="1"/>
  <c r="I15" i="1"/>
  <c r="IH9" i="4" s="1"/>
  <c r="IA9" i="4" s="1"/>
  <c r="JA9" i="4" s="1"/>
  <c r="JD9" i="4" s="1"/>
  <c r="IC14" i="4" s="1"/>
  <c r="IQ9" i="4" s="1"/>
  <c r="IO9" i="4" s="1"/>
  <c r="JE9" i="4" s="1"/>
  <c r="JC16" i="4" s="1"/>
  <c r="I45" i="1"/>
  <c r="BX8" i="1"/>
  <c r="BX231" i="1" s="1"/>
  <c r="C9" i="1"/>
  <c r="AL24" i="1"/>
  <c r="AL13" i="1"/>
  <c r="U22" i="1"/>
  <c r="AL8" i="1"/>
  <c r="AL231" i="1" s="1"/>
  <c r="AK32" i="1"/>
  <c r="AK194" i="1" s="1"/>
  <c r="D47" i="1"/>
  <c r="AK45" i="1"/>
  <c r="Q39" i="1"/>
  <c r="P23" i="1"/>
  <c r="AK46" i="1"/>
  <c r="AM13" i="1"/>
  <c r="BX14" i="1"/>
  <c r="BX153" i="1"/>
  <c r="AK35" i="1"/>
  <c r="B23" i="1"/>
  <c r="AM25" i="1"/>
  <c r="O51" i="1"/>
  <c r="AM36" i="1"/>
  <c r="BX131" i="1"/>
  <c r="N23" i="1"/>
  <c r="HW16" i="4" s="1"/>
  <c r="AJ21" i="1"/>
  <c r="I47" i="1"/>
  <c r="AJ8" i="1"/>
  <c r="AK9" i="1"/>
  <c r="O36" i="1"/>
  <c r="O45" i="1"/>
  <c r="T24" i="1"/>
  <c r="M51" i="1"/>
  <c r="T13" i="1"/>
  <c r="E8" i="1"/>
  <c r="M13" i="1"/>
  <c r="BX154" i="1"/>
  <c r="BY154" i="1" s="1"/>
  <c r="I21" i="1"/>
  <c r="M9" i="1"/>
  <c r="G8" i="1"/>
  <c r="E51" i="1"/>
  <c r="T15" i="1"/>
  <c r="M23" i="1"/>
  <c r="P153" i="1"/>
  <c r="J25" i="1"/>
  <c r="D21" i="1"/>
  <c r="F20" i="1"/>
  <c r="M32" i="1"/>
  <c r="M194" i="1" s="1"/>
  <c r="N8" i="1"/>
  <c r="N231" i="1" s="1"/>
  <c r="BJ20" i="1"/>
  <c r="C20" i="1"/>
  <c r="Q32" i="1"/>
  <c r="H21" i="1"/>
  <c r="J9" i="1"/>
  <c r="J24" i="1"/>
  <c r="AL15" i="1"/>
  <c r="BX142" i="1"/>
  <c r="BY142" i="1" s="1"/>
  <c r="II16" i="4" s="1"/>
  <c r="IM9" i="4" s="1"/>
  <c r="HS16" i="4" s="1"/>
  <c r="N47" i="1"/>
  <c r="IJ16" i="4" s="1"/>
  <c r="Q13" i="1"/>
  <c r="JC9" i="4" s="1"/>
  <c r="IG16" i="4" s="1"/>
  <c r="BJ14" i="1"/>
  <c r="BJ15" i="1"/>
  <c r="BJ25" i="1"/>
  <c r="W45" i="1"/>
  <c r="N21" i="1"/>
  <c r="BX21" i="1"/>
  <c r="G51" i="1"/>
  <c r="F32" i="1"/>
  <c r="F194" i="1" s="1"/>
  <c r="AJ35" i="1"/>
  <c r="BX163" i="1"/>
  <c r="BY163" i="1" s="1"/>
  <c r="V46" i="1"/>
  <c r="AJ25" i="1"/>
  <c r="AK8" i="1"/>
  <c r="U25" i="1"/>
  <c r="AL23" i="1"/>
  <c r="S9" i="1"/>
  <c r="BX146" i="1"/>
  <c r="BY146" i="1" s="1"/>
  <c r="AM9" i="1"/>
  <c r="U36" i="1"/>
  <c r="U252" i="1" s="1"/>
  <c r="M15" i="1"/>
  <c r="AL39" i="1"/>
  <c r="L39" i="1"/>
  <c r="Q35" i="1"/>
  <c r="AK14" i="1"/>
  <c r="B51" i="1"/>
  <c r="BX22" i="1"/>
  <c r="B47" i="1"/>
  <c r="AL47" i="1"/>
  <c r="AK51" i="1"/>
  <c r="AK36" i="1"/>
  <c r="S13" i="1"/>
  <c r="F13" i="1"/>
  <c r="G32" i="1"/>
  <c r="M20" i="1"/>
  <c r="H22" i="1"/>
  <c r="T36" i="1"/>
  <c r="P127" i="1"/>
  <c r="W22" i="1"/>
  <c r="I35" i="1"/>
  <c r="S8" i="1"/>
  <c r="V23" i="1"/>
  <c r="O8" i="1"/>
  <c r="I23" i="1"/>
  <c r="K15" i="1"/>
  <c r="AL36" i="1"/>
  <c r="C36" i="1"/>
  <c r="G46" i="1"/>
  <c r="D9" i="1"/>
  <c r="O24" i="1"/>
  <c r="M46" i="1"/>
  <c r="N22" i="1"/>
  <c r="P25" i="1"/>
  <c r="AM24" i="1"/>
  <c r="J23" i="1"/>
  <c r="E45" i="1"/>
  <c r="D15" i="1"/>
  <c r="Q20" i="1"/>
  <c r="R22" i="1"/>
  <c r="V51" i="1"/>
  <c r="K46" i="1"/>
  <c r="B8" i="1"/>
  <c r="B231" i="1" s="1"/>
  <c r="W13" i="1"/>
  <c r="K35" i="1"/>
  <c r="P160" i="1"/>
  <c r="N45" i="1"/>
  <c r="T47" i="1"/>
  <c r="T32" i="1"/>
  <c r="T194" i="1" s="1"/>
  <c r="E35" i="1"/>
  <c r="HU9" i="4" s="1"/>
  <c r="ID16" i="4" s="1"/>
  <c r="AL20" i="1"/>
  <c r="AL45" i="1"/>
  <c r="BX15" i="1"/>
  <c r="AJ14" i="1"/>
  <c r="AJ20" i="1"/>
  <c r="F25" i="1"/>
  <c r="B15" i="1"/>
  <c r="L8" i="1"/>
  <c r="E20" i="1"/>
  <c r="D32" i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W188" i="1" s="1"/>
  <c r="IR9" i="4" s="1"/>
  <c r="IY16" i="4" s="1"/>
  <c r="IE9" i="4" s="1"/>
  <c r="IN9" i="4" s="1"/>
  <c r="IP16" i="4" s="1"/>
  <c r="IP21" i="4" s="1"/>
  <c r="BJ77" i="1" s="1"/>
  <c r="AJ36" i="1"/>
  <c r="BJ23" i="1"/>
  <c r="AJ15" i="1"/>
  <c r="AK25" i="1"/>
  <c r="BJ21" i="1"/>
  <c r="BX144" i="1"/>
  <c r="G36" i="1"/>
  <c r="B13" i="1"/>
  <c r="O15" i="1"/>
  <c r="BX160" i="1"/>
  <c r="BX161" i="1" s="1"/>
  <c r="BY209" i="1" s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AL25" i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15" i="4" s="1"/>
  <c r="JE8" i="4" s="1"/>
  <c r="HT14" i="4" s="1"/>
  <c r="IB9" i="4" s="1"/>
  <c r="AJ32" i="1"/>
  <c r="AJ194" i="1" s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59" i="1"/>
  <c r="AL131" i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BJ155" i="1"/>
  <c r="BK155" i="1" s="1"/>
  <c r="AJ149" i="1"/>
  <c r="AK149" i="1" s="1"/>
  <c r="BJ124" i="1"/>
  <c r="BK124" i="1" s="1"/>
  <c r="AL133" i="1"/>
  <c r="BJ131" i="1"/>
  <c r="BJ145" i="1"/>
  <c r="BJ164" i="1"/>
  <c r="AJ152" i="1"/>
  <c r="AK152" i="1" s="1"/>
  <c r="AJ154" i="1"/>
  <c r="AK154" i="1" s="1"/>
  <c r="AL151" i="1"/>
  <c r="AM151" i="1" s="1"/>
  <c r="AL122" i="1"/>
  <c r="AM122" i="1" s="1"/>
  <c r="BJ126" i="1"/>
  <c r="BK126" i="1" s="1"/>
  <c r="AL153" i="1"/>
  <c r="AL152" i="1"/>
  <c r="AM152" i="1" s="1"/>
  <c r="AL159" i="1"/>
  <c r="AL144" i="1"/>
  <c r="BJ140" i="1"/>
  <c r="BK140" i="1" s="1"/>
  <c r="BL202" i="1" s="1"/>
  <c r="BJ142" i="1"/>
  <c r="BK142" i="1" s="1"/>
  <c r="AJ144" i="1"/>
  <c r="AJ145" i="1"/>
  <c r="AJ160" i="1"/>
  <c r="AJ119" i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BJ118" i="1"/>
  <c r="BK118" i="1" s="1"/>
  <c r="BJ153" i="1"/>
  <c r="BJ150" i="1"/>
  <c r="BK150" i="1" s="1"/>
  <c r="BJ133" i="1"/>
  <c r="BJ151" i="1"/>
  <c r="BK151" i="1" s="1"/>
  <c r="AJ126" i="1"/>
  <c r="AK126" i="1" s="1"/>
  <c r="AJ118" i="1"/>
  <c r="AK118" i="1" s="1"/>
  <c r="AJ140" i="1"/>
  <c r="AK140" i="1" s="1"/>
  <c r="BJ122" i="1"/>
  <c r="BK122" i="1" s="1"/>
  <c r="AJ131" i="1"/>
  <c r="AJ135" i="1"/>
  <c r="AK135" i="1" s="1"/>
  <c r="AL137" i="1"/>
  <c r="AM137" i="1" s="1"/>
  <c r="BJ137" i="1"/>
  <c r="BK137" i="1" s="1"/>
  <c r="BJ143" i="1"/>
  <c r="IL15" i="4"/>
  <c r="JE15" i="4"/>
  <c r="IX7" i="4"/>
  <c r="JG15" i="4"/>
  <c r="HQ8" i="4"/>
  <c r="IL8" i="4"/>
  <c r="ID15" i="4"/>
  <c r="HP15" i="4"/>
  <c r="HV14" i="4"/>
  <c r="JH7" i="4"/>
  <c r="IZ7" i="4"/>
  <c r="JF15" i="4"/>
  <c r="IC15" i="4"/>
  <c r="IW14" i="4"/>
  <c r="IX15" i="4"/>
  <c r="IH15" i="4"/>
  <c r="HP8" i="4"/>
  <c r="IK8" i="4"/>
  <c r="HT8" i="4"/>
  <c r="HX7" i="4"/>
  <c r="IW8" i="4"/>
  <c r="JA7" i="4"/>
  <c r="II15" i="4"/>
  <c r="IE7" i="4"/>
  <c r="IP15" i="4"/>
  <c r="IQ8" i="4"/>
  <c r="HU8" i="4"/>
  <c r="IM7" i="4"/>
  <c r="IB7" i="4"/>
  <c r="JA14" i="4"/>
  <c r="HX14" i="4"/>
  <c r="JF7" i="4"/>
  <c r="HT7" i="4"/>
  <c r="IR7" i="4"/>
  <c r="HX8" i="4"/>
  <c r="HQ14" i="4"/>
  <c r="HR7" i="4"/>
  <c r="HZ7" i="4"/>
  <c r="JI8" i="4"/>
  <c r="JD14" i="4"/>
  <c r="HY14" i="4"/>
  <c r="IE8" i="4"/>
  <c r="HZ15" i="4"/>
  <c r="IT15" i="4"/>
  <c r="IZ8" i="4"/>
  <c r="IO7" i="4"/>
  <c r="IJ8" i="4"/>
  <c r="IG14" i="4"/>
  <c r="HY15" i="4"/>
  <c r="IY8" i="4"/>
  <c r="IH8" i="4"/>
  <c r="JE7" i="4"/>
  <c r="IJ15" i="4"/>
  <c r="II14" i="4"/>
  <c r="IJ14" i="4"/>
  <c r="IA7" i="4"/>
  <c r="ID14" i="4"/>
  <c r="IE15" i="4"/>
  <c r="JG8" i="4"/>
  <c r="JC14" i="4"/>
  <c r="HP7" i="4"/>
  <c r="ID7" i="4"/>
  <c r="HQ15" i="4"/>
  <c r="IC7" i="4"/>
  <c r="HU15" i="4"/>
  <c r="IX8" i="4"/>
  <c r="JB7" i="4"/>
  <c r="IT8" i="4"/>
  <c r="IM8" i="4"/>
  <c r="IQ14" i="4"/>
  <c r="IU7" i="4"/>
  <c r="IS8" i="4"/>
  <c r="IP14" i="4"/>
  <c r="IH7" i="4"/>
  <c r="IP7" i="4"/>
  <c r="HV8" i="4"/>
  <c r="IM15" i="4"/>
  <c r="HS8" i="4"/>
  <c r="JH14" i="4"/>
  <c r="AL21" i="1"/>
  <c r="BX24" i="1"/>
  <c r="S21" i="1"/>
  <c r="IW16" i="4" s="1"/>
  <c r="BX36" i="1"/>
  <c r="AK21" i="1"/>
  <c r="BX25" i="1"/>
  <c r="BX46" i="1"/>
  <c r="AM22" i="1"/>
  <c r="L15" i="1"/>
  <c r="AM32" i="1"/>
  <c r="AM194" i="1" s="1"/>
  <c r="R20" i="1"/>
  <c r="AL46" i="1"/>
  <c r="AK39" i="1"/>
  <c r="AJ24" i="1"/>
  <c r="B39" i="1"/>
  <c r="B20" i="1"/>
  <c r="E22" i="1"/>
  <c r="F36" i="1"/>
  <c r="R23" i="1"/>
  <c r="V15" i="1"/>
  <c r="S15" i="1"/>
  <c r="C45" i="1"/>
  <c r="S51" i="1"/>
  <c r="B35" i="1"/>
  <c r="M8" i="1"/>
  <c r="N13" i="1"/>
  <c r="I36" i="1"/>
  <c r="J35" i="1"/>
  <c r="R36" i="1"/>
  <c r="BX45" i="1"/>
  <c r="P155" i="1"/>
  <c r="L13" i="1"/>
  <c r="G35" i="1"/>
  <c r="Q24" i="1"/>
  <c r="V21" i="1"/>
  <c r="N9" i="1"/>
  <c r="BX20" i="1"/>
  <c r="U23" i="1"/>
  <c r="J20" i="1"/>
  <c r="I13" i="1"/>
  <c r="N35" i="1"/>
  <c r="L24" i="1"/>
  <c r="P32" i="1"/>
  <c r="P194" i="1" s="1"/>
  <c r="K22" i="1"/>
  <c r="R21" i="1"/>
  <c r="D22" i="1"/>
  <c r="IG7" i="4"/>
  <c r="ID8" i="4"/>
  <c r="IF14" i="4"/>
  <c r="IQ7" i="4"/>
  <c r="IG8" i="4"/>
  <c r="IS15" i="4"/>
  <c r="JE14" i="4"/>
  <c r="IY14" i="4"/>
  <c r="IY19" i="4" s="1"/>
  <c r="BS78" i="1" s="1"/>
  <c r="BS107" i="1" s="1"/>
  <c r="IS14" i="4"/>
  <c r="HU7" i="4"/>
  <c r="HV15" i="4"/>
  <c r="IB8" i="4"/>
  <c r="HV7" i="4"/>
  <c r="IV14" i="4"/>
  <c r="HX15" i="4"/>
  <c r="JG14" i="4"/>
  <c r="HS14" i="4"/>
  <c r="HS19" i="4" s="1"/>
  <c r="AM78" i="1" s="1"/>
  <c r="HY7" i="4"/>
  <c r="IT14" i="4"/>
  <c r="HZ8" i="4"/>
  <c r="IW7" i="4"/>
  <c r="IF8" i="4"/>
  <c r="IO8" i="4"/>
  <c r="JH8" i="4"/>
  <c r="IN7" i="4"/>
  <c r="JC15" i="4"/>
  <c r="IF15" i="4"/>
  <c r="IF20" i="4" s="1"/>
  <c r="AZ79" i="1" s="1"/>
  <c r="AZ108" i="1" s="1"/>
  <c r="IH14" i="4"/>
  <c r="IN15" i="4"/>
  <c r="IR14" i="4"/>
  <c r="IX14" i="4"/>
  <c r="II8" i="4"/>
  <c r="HT15" i="4"/>
  <c r="HR8" i="4"/>
  <c r="JC7" i="4"/>
  <c r="JA8" i="4"/>
  <c r="JG7" i="4"/>
  <c r="HP14" i="4"/>
  <c r="HS15" i="4"/>
  <c r="IA8" i="4"/>
  <c r="HW14" i="4"/>
  <c r="IQ15" i="4"/>
  <c r="IO15" i="4"/>
  <c r="IO20" i="4" s="1"/>
  <c r="BI79" i="1" s="1"/>
  <c r="BI108" i="1" s="1"/>
  <c r="HU14" i="4"/>
  <c r="IO14" i="4"/>
  <c r="IR8" i="4"/>
  <c r="IK15" i="4"/>
  <c r="IK20" i="4" s="1"/>
  <c r="BE79" i="1" s="1"/>
  <c r="BE108" i="1" s="1"/>
  <c r="IL7" i="4"/>
  <c r="HS7" i="4"/>
  <c r="HR15" i="4"/>
  <c r="IU15" i="4"/>
  <c r="IY15" i="4"/>
  <c r="IY20" i="4" s="1"/>
  <c r="BS79" i="1" s="1"/>
  <c r="BS108" i="1" s="1"/>
  <c r="IN14" i="4"/>
  <c r="IN19" i="4" s="1"/>
  <c r="BH78" i="1" s="1"/>
  <c r="BH107" i="1" s="1"/>
  <c r="JA15" i="4"/>
  <c r="JA20" i="4" s="1"/>
  <c r="BU79" i="1" s="1"/>
  <c r="BU108" i="1" s="1"/>
  <c r="IJ7" i="4"/>
  <c r="IK7" i="4"/>
  <c r="HW7" i="4"/>
  <c r="JH15" i="4"/>
  <c r="JH20" i="4" s="1"/>
  <c r="CB79" i="1" s="1"/>
  <c r="JD15" i="4"/>
  <c r="IZ14" i="4"/>
  <c r="IZ19" i="4" s="1"/>
  <c r="BT78" i="1" s="1"/>
  <c r="BT107" i="1" s="1"/>
  <c r="JI14" i="4"/>
  <c r="JI7" i="4"/>
  <c r="JC8" i="4"/>
  <c r="HQ7" i="4"/>
  <c r="IA15" i="4"/>
  <c r="IV7" i="4"/>
  <c r="IM14" i="4"/>
  <c r="IM19" i="4" s="1"/>
  <c r="BG78" i="1" s="1"/>
  <c r="BG107" i="1" s="1"/>
  <c r="HW8" i="4"/>
  <c r="HR14" i="4"/>
  <c r="HR19" i="4" s="1"/>
  <c r="AL78" i="1" s="1"/>
  <c r="IA14" i="4"/>
  <c r="IU14" i="4"/>
  <c r="IU19" i="4" s="1"/>
  <c r="BO78" i="1" s="1"/>
  <c r="BO107" i="1" s="1"/>
  <c r="HZ14" i="4"/>
  <c r="HZ19" i="4" s="1"/>
  <c r="AT78" i="1" s="1"/>
  <c r="AT107" i="1" s="1"/>
  <c r="IW15" i="4"/>
  <c r="IU8" i="4"/>
  <c r="JF14" i="4"/>
  <c r="JF19" i="4" s="1"/>
  <c r="BZ78" i="1" s="1"/>
  <c r="IG15" i="4"/>
  <c r="IG20" i="4" s="1"/>
  <c r="BA79" i="1" s="1"/>
  <c r="BA108" i="1" s="1"/>
  <c r="IK14" i="4"/>
  <c r="IK19" i="4" s="1"/>
  <c r="BE78" i="1" s="1"/>
  <c r="BE107" i="1" s="1"/>
  <c r="IE14" i="4"/>
  <c r="IE19" i="4" s="1"/>
  <c r="AY78" i="1" s="1"/>
  <c r="AY107" i="1" s="1"/>
  <c r="IL14" i="4"/>
  <c r="IL19" i="4" s="1"/>
  <c r="BF78" i="1" s="1"/>
  <c r="BF107" i="1" s="1"/>
  <c r="JB15" i="4"/>
  <c r="JB20" i="4" s="1"/>
  <c r="BV79" i="1" s="1"/>
  <c r="BV108" i="1" s="1"/>
  <c r="JD8" i="4"/>
  <c r="HY8" i="4"/>
  <c r="IV15" i="4"/>
  <c r="IV20" i="4" s="1"/>
  <c r="BP79" i="1" s="1"/>
  <c r="BP108" i="1" s="1"/>
  <c r="JB14" i="4"/>
  <c r="JB19" i="4" s="1"/>
  <c r="BV78" i="1" s="1"/>
  <c r="BV107" i="1" s="1"/>
  <c r="IZ15" i="4"/>
  <c r="IZ20" i="4" s="1"/>
  <c r="BT79" i="1" s="1"/>
  <c r="BT108" i="1" s="1"/>
  <c r="IP8" i="4"/>
  <c r="II7" i="4"/>
  <c r="IN8" i="4"/>
  <c r="IB14" i="4"/>
  <c r="P231" i="1"/>
  <c r="P253" i="1"/>
  <c r="W194" i="1"/>
  <c r="CM32" i="1"/>
  <c r="AB77" i="1"/>
  <c r="CQ77" i="1"/>
  <c r="AC140" i="1"/>
  <c r="CN65" i="1"/>
  <c r="CO63" i="1"/>
  <c r="IP20" i="4" l="1"/>
  <c r="BJ79" i="1" s="1"/>
  <c r="BJ108" i="1" s="1"/>
  <c r="AL180" i="1"/>
  <c r="AM180" i="1" s="1"/>
  <c r="F10" i="1"/>
  <c r="BJ183" i="1"/>
  <c r="BK183" i="1" s="1"/>
  <c r="N10" i="1"/>
  <c r="AL10" i="1"/>
  <c r="D194" i="1"/>
  <c r="AL252" i="1"/>
  <c r="N252" i="1"/>
  <c r="M253" i="1"/>
  <c r="G252" i="1"/>
  <c r="G183" i="1"/>
  <c r="K252" i="1"/>
  <c r="L252" i="1"/>
  <c r="AL183" i="1"/>
  <c r="AM183" i="1" s="1"/>
  <c r="B252" i="1"/>
  <c r="S231" i="1"/>
  <c r="S10" i="1"/>
  <c r="L231" i="1"/>
  <c r="IY21" i="4"/>
  <c r="BS77" i="1" s="1"/>
  <c r="HZ20" i="4"/>
  <c r="AT79" i="1" s="1"/>
  <c r="AT108" i="1" s="1"/>
  <c r="IJ19" i="4"/>
  <c r="BD78" i="1" s="1"/>
  <c r="BD107" i="1" s="1"/>
  <c r="HQ19" i="4"/>
  <c r="AK78" i="1" s="1"/>
  <c r="AL253" i="1"/>
  <c r="P183" i="1"/>
  <c r="E26" i="1"/>
  <c r="BX26" i="1"/>
  <c r="W26" i="1"/>
  <c r="W27" i="1" s="1"/>
  <c r="Q252" i="1"/>
  <c r="BJ180" i="1"/>
  <c r="BK180" i="1" s="1"/>
  <c r="AM26" i="1"/>
  <c r="P252" i="1"/>
  <c r="F252" i="1"/>
  <c r="Q10" i="1"/>
  <c r="B253" i="1"/>
  <c r="B26" i="1"/>
  <c r="B27" i="1" s="1"/>
  <c r="G26" i="1"/>
  <c r="U26" i="1"/>
  <c r="K26" i="1"/>
  <c r="BJ179" i="1"/>
  <c r="BK179" i="1" s="1"/>
  <c r="AJ183" i="1"/>
  <c r="AJ179" i="1"/>
  <c r="Q194" i="1"/>
  <c r="Q253" i="1"/>
  <c r="L10" i="1"/>
  <c r="V98" i="1"/>
  <c r="V188" i="1"/>
  <c r="F231" i="1"/>
  <c r="F253" i="1"/>
  <c r="J231" i="1"/>
  <c r="J10" i="1"/>
  <c r="J252" i="1"/>
  <c r="H194" i="1"/>
  <c r="H253" i="1"/>
  <c r="V194" i="1"/>
  <c r="V253" i="1"/>
  <c r="L253" i="1"/>
  <c r="L194" i="1"/>
  <c r="AM231" i="1"/>
  <c r="AM253" i="1"/>
  <c r="AM252" i="1"/>
  <c r="AJ26" i="1"/>
  <c r="CA98" i="1"/>
  <c r="CA99" i="1" s="1"/>
  <c r="CA102" i="1" s="1"/>
  <c r="BX183" i="1"/>
  <c r="BY183" i="1" s="1"/>
  <c r="W16" i="1"/>
  <c r="AJ33" i="1"/>
  <c r="R253" i="1"/>
  <c r="T10" i="1"/>
  <c r="U11" i="1" s="1"/>
  <c r="T26" i="1"/>
  <c r="D252" i="1"/>
  <c r="O26" i="1"/>
  <c r="AJ37" i="1"/>
  <c r="AM10" i="1"/>
  <c r="AM16" i="1" s="1"/>
  <c r="N26" i="1"/>
  <c r="V26" i="1"/>
  <c r="HW20" i="4"/>
  <c r="AQ79" i="1" s="1"/>
  <c r="AQ108" i="1" s="1"/>
  <c r="H26" i="1"/>
  <c r="R26" i="1"/>
  <c r="J26" i="1"/>
  <c r="AL26" i="1"/>
  <c r="D253" i="1"/>
  <c r="S26" i="1"/>
  <c r="AK26" i="1"/>
  <c r="V16" i="1"/>
  <c r="Q183" i="1"/>
  <c r="BY120" i="1"/>
  <c r="I26" i="1"/>
  <c r="N253" i="1"/>
  <c r="B16" i="1"/>
  <c r="D26" i="1"/>
  <c r="F26" i="1"/>
  <c r="BX134" i="1"/>
  <c r="BY134" i="1" s="1"/>
  <c r="M26" i="1"/>
  <c r="BY128" i="1"/>
  <c r="C26" i="1"/>
  <c r="I253" i="1"/>
  <c r="AM98" i="1"/>
  <c r="AM99" i="1" s="1"/>
  <c r="S253" i="1"/>
  <c r="Q26" i="1"/>
  <c r="L26" i="1"/>
  <c r="R10" i="1"/>
  <c r="P26" i="1"/>
  <c r="BX252" i="1"/>
  <c r="BX179" i="1"/>
  <c r="BY179" i="1" s="1"/>
  <c r="O253" i="1"/>
  <c r="W98" i="1"/>
  <c r="W11" i="1"/>
  <c r="T253" i="1"/>
  <c r="X11" i="1"/>
  <c r="BX156" i="1"/>
  <c r="BX185" i="1" s="1"/>
  <c r="HR21" i="4"/>
  <c r="AL77" i="1" s="1"/>
  <c r="IL16" i="4"/>
  <c r="IU9" i="4" s="1"/>
  <c r="IL9" i="4" s="1"/>
  <c r="IL21" i="4" s="1"/>
  <c r="BF77" i="1" s="1"/>
  <c r="JI15" i="4" s="1"/>
  <c r="JI20" i="4" s="1"/>
  <c r="CC79" i="1" s="1"/>
  <c r="J253" i="1"/>
  <c r="J194" i="1"/>
  <c r="IU21" i="4"/>
  <c r="BO77" i="1" s="1"/>
  <c r="HY16" i="4"/>
  <c r="HQ16" i="4"/>
  <c r="IM21" i="4"/>
  <c r="BG77" i="1" s="1"/>
  <c r="HV9" i="4"/>
  <c r="IE21" i="4"/>
  <c r="AY77" i="1" s="1"/>
  <c r="IO16" i="4"/>
  <c r="IO21" i="4" s="1"/>
  <c r="BI77" i="1" s="1"/>
  <c r="K10" i="1"/>
  <c r="K231" i="1"/>
  <c r="IK9" i="4"/>
  <c r="IA21" i="4"/>
  <c r="AU77" i="1" s="1"/>
  <c r="IX16" i="4"/>
  <c r="JC21" i="4"/>
  <c r="BW77" i="1" s="1"/>
  <c r="IG9" i="4"/>
  <c r="IR16" i="4" s="1"/>
  <c r="IR21" i="4" s="1"/>
  <c r="BL77" i="1" s="1"/>
  <c r="BL94" i="1" s="1"/>
  <c r="HT16" i="4" s="1"/>
  <c r="HW21" i="4"/>
  <c r="AQ77" i="1" s="1"/>
  <c r="IZ16" i="4"/>
  <c r="AJ10" i="1"/>
  <c r="AJ231" i="1"/>
  <c r="E10" i="1"/>
  <c r="E231" i="1"/>
  <c r="G10" i="1"/>
  <c r="G231" i="1"/>
  <c r="HS21" i="4"/>
  <c r="AM77" i="1" s="1"/>
  <c r="AM102" i="1" s="1"/>
  <c r="IN16" i="4"/>
  <c r="IG21" i="4"/>
  <c r="BA77" i="1" s="1"/>
  <c r="IV9" i="4"/>
  <c r="JI9" i="4" s="1"/>
  <c r="JH9" i="4" s="1"/>
  <c r="AK231" i="1"/>
  <c r="AK10" i="1"/>
  <c r="G253" i="1"/>
  <c r="G194" i="1"/>
  <c r="O231" i="1"/>
  <c r="O10" i="1"/>
  <c r="U98" i="1"/>
  <c r="U16" i="1"/>
  <c r="U17" i="1" s="1"/>
  <c r="V11" i="1"/>
  <c r="U194" i="1"/>
  <c r="U253" i="1"/>
  <c r="D10" i="1"/>
  <c r="D231" i="1"/>
  <c r="H10" i="1"/>
  <c r="H231" i="1"/>
  <c r="C253" i="1"/>
  <c r="C194" i="1"/>
  <c r="C10" i="1"/>
  <c r="C231" i="1"/>
  <c r="IC16" i="4"/>
  <c r="M10" i="1"/>
  <c r="M231" i="1"/>
  <c r="JD21" i="4"/>
  <c r="BX77" i="1" s="1"/>
  <c r="O252" i="1"/>
  <c r="C252" i="1"/>
  <c r="M252" i="1"/>
  <c r="IW19" i="4"/>
  <c r="BQ78" i="1" s="1"/>
  <c r="BQ107" i="1" s="1"/>
  <c r="IH19" i="4"/>
  <c r="BB78" i="1" s="1"/>
  <c r="BB107" i="1" s="1"/>
  <c r="IN20" i="4"/>
  <c r="BH79" i="1" s="1"/>
  <c r="BH108" i="1" s="1"/>
  <c r="IR19" i="4"/>
  <c r="BL78" i="1" s="1"/>
  <c r="HT20" i="4"/>
  <c r="AN79" i="1" s="1"/>
  <c r="AN108" i="1" s="1"/>
  <c r="JG19" i="4"/>
  <c r="CA78" i="1" s="1"/>
  <c r="HP19" i="4"/>
  <c r="AJ78" i="1" s="1"/>
  <c r="HS20" i="4"/>
  <c r="AM79" i="1" s="1"/>
  <c r="HW19" i="4"/>
  <c r="AQ78" i="1" s="1"/>
  <c r="AQ107" i="1" s="1"/>
  <c r="IQ20" i="4"/>
  <c r="BK79" i="1" s="1"/>
  <c r="BK108" i="1" s="1"/>
  <c r="HU19" i="4"/>
  <c r="AO78" i="1" s="1"/>
  <c r="AO107" i="1" s="1"/>
  <c r="IO19" i="4"/>
  <c r="BI78" i="1" s="1"/>
  <c r="BI107" i="1" s="1"/>
  <c r="JD20" i="4"/>
  <c r="BX79" i="1" s="1"/>
  <c r="BX108" i="1" s="1"/>
  <c r="JI19" i="4"/>
  <c r="CC78" i="1" s="1"/>
  <c r="BX128" i="1"/>
  <c r="BX168" i="1" s="1"/>
  <c r="T252" i="1"/>
  <c r="X188" i="1"/>
  <c r="BX180" i="1"/>
  <c r="BY180" i="1" s="1"/>
  <c r="AL179" i="1"/>
  <c r="AM179" i="1" s="1"/>
  <c r="BX10" i="1"/>
  <c r="BX120" i="1"/>
  <c r="I252" i="1"/>
  <c r="I10" i="1"/>
  <c r="I98" i="1" s="1"/>
  <c r="BX253" i="1"/>
  <c r="R252" i="1"/>
  <c r="K253" i="1"/>
  <c r="BX148" i="1"/>
  <c r="BJ161" i="1"/>
  <c r="BK209" i="1" s="1"/>
  <c r="BJ134" i="1"/>
  <c r="BK128" i="1"/>
  <c r="BL249" i="1" s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HP20" i="4"/>
  <c r="AJ79" i="1" s="1"/>
  <c r="IU20" i="4"/>
  <c r="BO79" i="1" s="1"/>
  <c r="BO108" i="1" s="1"/>
  <c r="ID20" i="4"/>
  <c r="AX79" i="1" s="1"/>
  <c r="AX10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IB19" i="4"/>
  <c r="AV78" i="1" s="1"/>
  <c r="AV107" i="1" s="1"/>
  <c r="JA19" i="4"/>
  <c r="BU78" i="1" s="1"/>
  <c r="BU107" i="1" s="1"/>
  <c r="HX19" i="4"/>
  <c r="AR78" i="1" s="1"/>
  <c r="AR107" i="1" s="1"/>
  <c r="JE20" i="4"/>
  <c r="BY79" i="1" s="1"/>
  <c r="BY108" i="1" s="1"/>
  <c r="IW20" i="4"/>
  <c r="BQ79" i="1" s="1"/>
  <c r="BQ108" i="1" s="1"/>
  <c r="II19" i="4"/>
  <c r="BC78" i="1" s="1"/>
  <c r="BC107" i="1" s="1"/>
  <c r="JC20" i="4"/>
  <c r="BW79" i="1" s="1"/>
  <c r="BW108" i="1" s="1"/>
  <c r="IA19" i="4"/>
  <c r="AU78" i="1" s="1"/>
  <c r="AU107" i="1" s="1"/>
  <c r="JC19" i="4"/>
  <c r="BW78" i="1" s="1"/>
  <c r="BW107" i="1" s="1"/>
  <c r="II20" i="4"/>
  <c r="BC79" i="1" s="1"/>
  <c r="BC108" i="1" s="1"/>
  <c r="IC19" i="4"/>
  <c r="AW78" i="1" s="1"/>
  <c r="AW107" i="1" s="1"/>
  <c r="IS20" i="4"/>
  <c r="BM79" i="1" s="1"/>
  <c r="BM108" i="1" s="1"/>
  <c r="IH20" i="4"/>
  <c r="BB79" i="1" s="1"/>
  <c r="BB108" i="1" s="1"/>
  <c r="JG20" i="4"/>
  <c r="CA79" i="1" s="1"/>
  <c r="HQ20" i="4"/>
  <c r="AK79" i="1" s="1"/>
  <c r="HV20" i="4"/>
  <c r="AP79" i="1" s="1"/>
  <c r="AP108" i="1" s="1"/>
  <c r="JH19" i="4"/>
  <c r="CB78" i="1" s="1"/>
  <c r="CA94" i="1"/>
  <c r="HY20" i="4"/>
  <c r="AS79" i="1" s="1"/>
  <c r="AS108" i="1" s="1"/>
  <c r="IM20" i="4"/>
  <c r="BG79" i="1" s="1"/>
  <c r="BG108" i="1" s="1"/>
  <c r="IV19" i="4"/>
  <c r="BP78" i="1" s="1"/>
  <c r="BP107" i="1" s="1"/>
  <c r="IX20" i="4"/>
  <c r="BR79" i="1" s="1"/>
  <c r="BR108" i="1" s="1"/>
  <c r="HT19" i="4"/>
  <c r="AN78" i="1" s="1"/>
  <c r="AN107" i="1" s="1"/>
  <c r="IJ20" i="4"/>
  <c r="BD79" i="1" s="1"/>
  <c r="BD108" i="1" s="1"/>
  <c r="HV19" i="4"/>
  <c r="AP78" i="1" s="1"/>
  <c r="AP107" i="1" s="1"/>
  <c r="HU20" i="4"/>
  <c r="AO79" i="1" s="1"/>
  <c r="AO108" i="1" s="1"/>
  <c r="ID19" i="4"/>
  <c r="AX78" i="1" s="1"/>
  <c r="AX107" i="1" s="1"/>
  <c r="IG19" i="4"/>
  <c r="BA78" i="1" s="1"/>
  <c r="BA107" i="1" s="1"/>
  <c r="IP19" i="4"/>
  <c r="BJ78" i="1" s="1"/>
  <c r="BJ107" i="1" s="1"/>
  <c r="IE20" i="4"/>
  <c r="AY79" i="1" s="1"/>
  <c r="AY108" i="1" s="1"/>
  <c r="IT20" i="4"/>
  <c r="BN79" i="1" s="1"/>
  <c r="BN108" i="1" s="1"/>
  <c r="IQ19" i="4"/>
  <c r="BK78" i="1" s="1"/>
  <c r="BK107" i="1" s="1"/>
  <c r="HY19" i="4"/>
  <c r="AS78" i="1" s="1"/>
  <c r="AS107" i="1" s="1"/>
  <c r="IB20" i="4"/>
  <c r="AV79" i="1" s="1"/>
  <c r="AV108" i="1" s="1"/>
  <c r="JE19" i="4"/>
  <c r="BY78" i="1" s="1"/>
  <c r="AL202" i="1"/>
  <c r="AK202" i="1"/>
  <c r="BK202" i="1"/>
  <c r="BY202" i="1"/>
  <c r="H252" i="1"/>
  <c r="P10" i="1"/>
  <c r="AJ137" i="1"/>
  <c r="AK137" i="1" s="1"/>
  <c r="IA20" i="4"/>
  <c r="AU79" i="1" s="1"/>
  <c r="AU108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M107" i="1"/>
  <c r="BZ95" i="1"/>
  <c r="BZ89" i="1"/>
  <c r="BZ107" i="1"/>
  <c r="BZ110" i="1" s="1"/>
  <c r="AL107" i="1"/>
  <c r="CB96" i="1"/>
  <c r="CB108" i="1"/>
  <c r="CB111" i="1" s="1"/>
  <c r="CB114" i="1" s="1"/>
  <c r="CB104" i="1"/>
  <c r="CB87" i="1"/>
  <c r="CM194" i="1"/>
  <c r="CM132" i="1"/>
  <c r="CR77" i="1"/>
  <c r="AC202" i="1"/>
  <c r="AB149" i="1"/>
  <c r="AB117" i="1"/>
  <c r="CO65" i="1"/>
  <c r="CP63" i="1"/>
  <c r="V27" i="1" l="1"/>
  <c r="V28" i="1"/>
  <c r="BX184" i="1"/>
  <c r="AM27" i="1"/>
  <c r="BX27" i="1"/>
  <c r="N98" i="1"/>
  <c r="N16" i="1"/>
  <c r="F98" i="1"/>
  <c r="F16" i="1"/>
  <c r="F17" i="1" s="1"/>
  <c r="Q16" i="1"/>
  <c r="Q17" i="1" s="1"/>
  <c r="Q98" i="1"/>
  <c r="R11" i="1"/>
  <c r="S11" i="1"/>
  <c r="S188" i="1"/>
  <c r="AL16" i="1"/>
  <c r="AL17" i="1" s="1"/>
  <c r="B17" i="1"/>
  <c r="B28" i="1"/>
  <c r="B29" i="1" s="1"/>
  <c r="BY129" i="1"/>
  <c r="BZ249" i="1"/>
  <c r="BZ251" i="1" s="1"/>
  <c r="BZ206" i="1"/>
  <c r="AM12" i="1"/>
  <c r="R98" i="1"/>
  <c r="R16" i="1"/>
  <c r="R18" i="1" s="1"/>
  <c r="R188" i="1"/>
  <c r="W17" i="1"/>
  <c r="X18" i="1"/>
  <c r="BY12" i="1"/>
  <c r="CB11" i="1"/>
  <c r="CC188" i="1"/>
  <c r="BX16" i="1"/>
  <c r="S98" i="1"/>
  <c r="S16" i="1"/>
  <c r="L16" i="1"/>
  <c r="L98" i="1"/>
  <c r="J16" i="1"/>
  <c r="J17" i="1" s="1"/>
  <c r="J98" i="1"/>
  <c r="T98" i="1"/>
  <c r="T16" i="1"/>
  <c r="U188" i="1"/>
  <c r="T11" i="1"/>
  <c r="T188" i="1"/>
  <c r="W28" i="1"/>
  <c r="W112" i="1" s="1"/>
  <c r="AL108" i="1"/>
  <c r="BX92" i="1"/>
  <c r="BX94" i="1" s="1"/>
  <c r="BX248" i="1"/>
  <c r="J11" i="1"/>
  <c r="K188" i="1"/>
  <c r="AL27" i="1"/>
  <c r="V17" i="1"/>
  <c r="W18" i="1"/>
  <c r="BY92" i="1"/>
  <c r="BZ207" i="1"/>
  <c r="BZ33" i="1"/>
  <c r="BY138" i="1"/>
  <c r="BZ203" i="1" s="1"/>
  <c r="BZ201" i="1" s="1"/>
  <c r="AM17" i="1"/>
  <c r="AM28" i="1"/>
  <c r="BY33" i="1"/>
  <c r="BX138" i="1"/>
  <c r="AM103" i="1"/>
  <c r="HV21" i="4"/>
  <c r="AP77" i="1" s="1"/>
  <c r="IS7" i="4" s="1"/>
  <c r="HP16" i="4"/>
  <c r="K16" i="1"/>
  <c r="K98" i="1"/>
  <c r="K11" i="1"/>
  <c r="IX21" i="4"/>
  <c r="BR77" i="1" s="1"/>
  <c r="IV16" i="4"/>
  <c r="HT21" i="4"/>
  <c r="AN77" i="1" s="1"/>
  <c r="IW9" i="4" s="1"/>
  <c r="II9" i="4"/>
  <c r="II21" i="4" s="1"/>
  <c r="BC77" i="1" s="1"/>
  <c r="IC9" i="4" s="1"/>
  <c r="HZ9" i="4"/>
  <c r="AK12" i="1"/>
  <c r="AJ27" i="1"/>
  <c r="AJ16" i="1"/>
  <c r="E16" i="1"/>
  <c r="E11" i="1"/>
  <c r="E98" i="1"/>
  <c r="E188" i="1"/>
  <c r="E27" i="1"/>
  <c r="G11" i="1"/>
  <c r="G188" i="1"/>
  <c r="G16" i="1"/>
  <c r="G98" i="1"/>
  <c r="IN21" i="4"/>
  <c r="BH77" i="1" s="1"/>
  <c r="IR15" i="4"/>
  <c r="AK16" i="1"/>
  <c r="AK27" i="1"/>
  <c r="O188" i="1"/>
  <c r="O11" i="1"/>
  <c r="O98" i="1"/>
  <c r="O16" i="1"/>
  <c r="D27" i="1"/>
  <c r="D16" i="1"/>
  <c r="D11" i="1"/>
  <c r="D188" i="1"/>
  <c r="H188" i="1"/>
  <c r="H11" i="1"/>
  <c r="H98" i="1"/>
  <c r="H16" i="1"/>
  <c r="C11" i="1"/>
  <c r="C188" i="1"/>
  <c r="C16" i="1"/>
  <c r="C27" i="1"/>
  <c r="M98" i="1"/>
  <c r="M11" i="1"/>
  <c r="M16" i="1"/>
  <c r="P11" i="1"/>
  <c r="P16" i="1"/>
  <c r="P98" i="1"/>
  <c r="P188" i="1"/>
  <c r="N11" i="1"/>
  <c r="N188" i="1"/>
  <c r="F188" i="1"/>
  <c r="F11" i="1"/>
  <c r="L188" i="1"/>
  <c r="Q188" i="1"/>
  <c r="Q11" i="1"/>
  <c r="L11" i="1"/>
  <c r="AM225" i="1"/>
  <c r="AL12" i="1"/>
  <c r="M188" i="1"/>
  <c r="V18" i="1"/>
  <c r="J188" i="1"/>
  <c r="I188" i="1"/>
  <c r="BX182" i="1"/>
  <c r="BX157" i="1"/>
  <c r="AM249" i="1"/>
  <c r="BY207" i="1"/>
  <c r="I16" i="1"/>
  <c r="BX129" i="1"/>
  <c r="BY249" i="1"/>
  <c r="BY206" i="1"/>
  <c r="I11" i="1"/>
  <c r="BK249" i="1"/>
  <c r="BJ248" i="1"/>
  <c r="BL206" i="1"/>
  <c r="AK206" i="1"/>
  <c r="AJ129" i="1"/>
  <c r="BK134" i="1"/>
  <c r="BJ138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BJ246" i="1"/>
  <c r="AJ196" i="1"/>
  <c r="AJ182" i="1"/>
  <c r="BJ182" i="1"/>
  <c r="BJ157" i="1"/>
  <c r="AL182" i="1"/>
  <c r="AL157" i="1"/>
  <c r="AM108" i="1"/>
  <c r="AM104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V34" i="1"/>
  <c r="V38" i="1" s="1"/>
  <c r="V112" i="1"/>
  <c r="V232" i="1"/>
  <c r="V233" i="1" s="1"/>
  <c r="BJ95" i="1"/>
  <c r="CC87" i="1"/>
  <c r="V29" i="1"/>
  <c r="BJ96" i="1"/>
  <c r="CA103" i="1"/>
  <c r="CA107" i="1"/>
  <c r="CA95" i="1"/>
  <c r="BY107" i="1"/>
  <c r="BY89" i="1"/>
  <c r="BX109" i="1"/>
  <c r="BY37" i="1"/>
  <c r="CA225" i="1"/>
  <c r="IK21" i="4"/>
  <c r="BE77" i="1" s="1"/>
  <c r="CM138" i="1"/>
  <c r="CM203" i="1" s="1"/>
  <c r="CM201" i="1" s="1"/>
  <c r="CM1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8" i="1" l="1"/>
  <c r="AM19" i="1"/>
  <c r="L17" i="1"/>
  <c r="K18" i="1"/>
  <c r="N17" i="1"/>
  <c r="B112" i="1"/>
  <c r="R17" i="1"/>
  <c r="BZ205" i="1"/>
  <c r="BX17" i="1"/>
  <c r="BX96" i="1"/>
  <c r="CB18" i="1"/>
  <c r="BY19" i="1"/>
  <c r="BX28" i="1"/>
  <c r="S17" i="1"/>
  <c r="S18" i="1"/>
  <c r="T18" i="1"/>
  <c r="AL232" i="1"/>
  <c r="AL233" i="1" s="1"/>
  <c r="AM31" i="1"/>
  <c r="AL34" i="1"/>
  <c r="AL38" i="1" s="1"/>
  <c r="AL29" i="1"/>
  <c r="BY95" i="1"/>
  <c r="BY96" i="1"/>
  <c r="AM34" i="1"/>
  <c r="AM38" i="1" s="1"/>
  <c r="AM250" i="1"/>
  <c r="AM29" i="1"/>
  <c r="AM232" i="1"/>
  <c r="AM233" i="1" s="1"/>
  <c r="BX246" i="1"/>
  <c r="BY203" i="1"/>
  <c r="BY201" i="1" s="1"/>
  <c r="W29" i="1"/>
  <c r="W30" i="1"/>
  <c r="W34" i="1"/>
  <c r="W38" i="1" s="1"/>
  <c r="X30" i="1"/>
  <c r="X250" i="1"/>
  <c r="W250" i="1"/>
  <c r="W232" i="1"/>
  <c r="W233" i="1" s="1"/>
  <c r="M18" i="1"/>
  <c r="U18" i="1"/>
  <c r="T17" i="1"/>
  <c r="O18" i="1"/>
  <c r="G18" i="1"/>
  <c r="BX165" i="1"/>
  <c r="BX166" i="1" s="1"/>
  <c r="BY205" i="1"/>
  <c r="BX186" i="1"/>
  <c r="CB189" i="1" s="1"/>
  <c r="BX181" i="1"/>
  <c r="IS19" i="4"/>
  <c r="BM78" i="1" s="1"/>
  <c r="BM107" i="1" s="1"/>
  <c r="JF16" i="4"/>
  <c r="HU16" i="4"/>
  <c r="L18" i="1"/>
  <c r="K17" i="1"/>
  <c r="IV21" i="4"/>
  <c r="BP77" i="1" s="1"/>
  <c r="IS16" i="4"/>
  <c r="IW21" i="4"/>
  <c r="BQ77" i="1" s="1"/>
  <c r="IT7" i="4"/>
  <c r="IC21" i="4"/>
  <c r="AW77" i="1" s="1"/>
  <c r="IC8" i="4"/>
  <c r="HZ21" i="4"/>
  <c r="AT77" i="1" s="1"/>
  <c r="IT9" i="4"/>
  <c r="AK19" i="1"/>
  <c r="AJ28" i="1"/>
  <c r="AJ17" i="1"/>
  <c r="E17" i="1"/>
  <c r="F18" i="1"/>
  <c r="E28" i="1"/>
  <c r="E29" i="1" s="1"/>
  <c r="H18" i="1"/>
  <c r="G17" i="1"/>
  <c r="IR20" i="4"/>
  <c r="BL79" i="1" s="1"/>
  <c r="HQ9" i="4"/>
  <c r="AK17" i="1"/>
  <c r="AK28" i="1"/>
  <c r="AL19" i="1"/>
  <c r="P18" i="1"/>
  <c r="O17" i="1"/>
  <c r="E18" i="1"/>
  <c r="D28" i="1"/>
  <c r="D17" i="1"/>
  <c r="I18" i="1"/>
  <c r="H17" i="1"/>
  <c r="C17" i="1"/>
  <c r="D18" i="1"/>
  <c r="C28" i="1"/>
  <c r="C18" i="1"/>
  <c r="N18" i="1"/>
  <c r="M17" i="1"/>
  <c r="P17" i="1"/>
  <c r="Q18" i="1"/>
  <c r="J18" i="1"/>
  <c r="I17" i="1"/>
  <c r="BL33" i="1"/>
  <c r="BK138" i="1"/>
  <c r="BL203" i="1" s="1"/>
  <c r="BL201" i="1" s="1"/>
  <c r="AL246" i="1"/>
  <c r="AM203" i="1"/>
  <c r="AM201" i="1" s="1"/>
  <c r="AL109" i="1"/>
  <c r="AM37" i="1"/>
  <c r="AJ165" i="1"/>
  <c r="AJ166" i="1" s="1"/>
  <c r="AJ198" i="1"/>
  <c r="AL165" i="1"/>
  <c r="AL166" i="1" s="1"/>
  <c r="BJ111" i="1"/>
  <c r="BJ110" i="1"/>
  <c r="AL94" i="1"/>
  <c r="AL95" i="1"/>
  <c r="AK138" i="1"/>
  <c r="AL33" i="1"/>
  <c r="AJ203" i="1"/>
  <c r="AJ201" i="1" s="1"/>
  <c r="BJ186" i="1"/>
  <c r="BJ181" i="1"/>
  <c r="AL181" i="1"/>
  <c r="AL186" i="1"/>
  <c r="CE90" i="1"/>
  <c r="V41" i="1"/>
  <c r="V40" i="1"/>
  <c r="BX111" i="1"/>
  <c r="AL111" i="1"/>
  <c r="AL11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W41" i="1" l="1"/>
  <c r="W40" i="1"/>
  <c r="AM251" i="1"/>
  <c r="CB30" i="1"/>
  <c r="BX232" i="1"/>
  <c r="BX233" i="1" s="1"/>
  <c r="BY31" i="1"/>
  <c r="BY250" i="1"/>
  <c r="BY251" i="1" s="1"/>
  <c r="AL41" i="1"/>
  <c r="AL40" i="1"/>
  <c r="AM40" i="1"/>
  <c r="BX29" i="1"/>
  <c r="CA112" i="1"/>
  <c r="BX34" i="1"/>
  <c r="AM41" i="1"/>
  <c r="AM42" i="1" s="1"/>
  <c r="AM245" i="1" s="1"/>
  <c r="AL203" i="1"/>
  <c r="AL201" i="1" s="1"/>
  <c r="AK203" i="1"/>
  <c r="AK201" i="1" s="1"/>
  <c r="V42" i="1"/>
  <c r="V245" i="1" s="1"/>
  <c r="V48" i="1"/>
  <c r="CA55" i="1"/>
  <c r="IH16" i="4"/>
  <c r="IH21" i="4" s="1"/>
  <c r="BB77" i="1" s="1"/>
  <c r="IF16" i="4" s="1"/>
  <c r="JF21" i="4"/>
  <c r="BZ77" i="1" s="1"/>
  <c r="BZ94" i="1" s="1"/>
  <c r="HU21" i="4"/>
  <c r="AO77" i="1" s="1"/>
  <c r="HX9" i="4"/>
  <c r="IZ9" i="4"/>
  <c r="IT19" i="4"/>
  <c r="BN78" i="1" s="1"/>
  <c r="BN107" i="1" s="1"/>
  <c r="JA16" i="4"/>
  <c r="IC20" i="4"/>
  <c r="AW79" i="1" s="1"/>
  <c r="AW108" i="1" s="1"/>
  <c r="JF8" i="4"/>
  <c r="IT21" i="4"/>
  <c r="BN77" i="1" s="1"/>
  <c r="IB16" i="4"/>
  <c r="AK31" i="1"/>
  <c r="AM112" i="1"/>
  <c r="AM226" i="1"/>
  <c r="AJ34" i="1"/>
  <c r="AJ38" i="1" s="1"/>
  <c r="AJ232" i="1"/>
  <c r="AJ233" i="1" s="1"/>
  <c r="AJ29" i="1"/>
  <c r="BL108" i="1"/>
  <c r="BL111" i="1" s="1"/>
  <c r="BL96" i="1"/>
  <c r="HQ21" i="4"/>
  <c r="AK77" i="1" s="1"/>
  <c r="IF9" i="4"/>
  <c r="JB16" i="4" s="1"/>
  <c r="AK34" i="1"/>
  <c r="AK38" i="1" s="1"/>
  <c r="AK29" i="1"/>
  <c r="AL31" i="1"/>
  <c r="AK232" i="1"/>
  <c r="AK233" i="1" s="1"/>
  <c r="AL250" i="1"/>
  <c r="AL251" i="1" s="1"/>
  <c r="D112" i="1"/>
  <c r="E30" i="1"/>
  <c r="D250" i="1"/>
  <c r="D232" i="1"/>
  <c r="D233" i="1" s="1"/>
  <c r="D34" i="1"/>
  <c r="D38" i="1" s="1"/>
  <c r="D29" i="1"/>
  <c r="C30" i="1"/>
  <c r="D30" i="1"/>
  <c r="C29" i="1"/>
  <c r="C250" i="1"/>
  <c r="W48" i="1"/>
  <c r="W52" i="1" s="1"/>
  <c r="W234" i="1"/>
  <c r="W42" i="1"/>
  <c r="W245" i="1" s="1"/>
  <c r="W43" i="1"/>
  <c r="X43" i="1"/>
  <c r="CO32" i="1"/>
  <c r="CN13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38" i="1" l="1"/>
  <c r="AL234" i="1"/>
  <c r="AM44" i="1"/>
  <c r="AL48" i="1"/>
  <c r="AL42" i="1"/>
  <c r="AL245" i="1" s="1"/>
  <c r="BX40" i="1"/>
  <c r="BX41" i="1"/>
  <c r="AM234" i="1"/>
  <c r="IZ21" i="4"/>
  <c r="BT77" i="1" s="1"/>
  <c r="JI16" i="4"/>
  <c r="JA21" i="4"/>
  <c r="BU77" i="1" s="1"/>
  <c r="HX16" i="4"/>
  <c r="HX21" i="4" s="1"/>
  <c r="AR77" i="1" s="1"/>
  <c r="ID9" i="4" s="1"/>
  <c r="ID21" i="4" s="1"/>
  <c r="AX77" i="1" s="1"/>
  <c r="JF20" i="4"/>
  <c r="BZ79" i="1" s="1"/>
  <c r="JB9" i="4"/>
  <c r="JB21" i="4" s="1"/>
  <c r="BV77" i="1" s="1"/>
  <c r="IB21" i="4"/>
  <c r="AV77" i="1" s="1"/>
  <c r="JD7" i="4" s="1"/>
  <c r="JD19" i="4" s="1"/>
  <c r="BX78" i="1" s="1"/>
  <c r="HY9" i="4"/>
  <c r="HY21" i="4" s="1"/>
  <c r="AS77" i="1" s="1"/>
  <c r="JE16" i="4" s="1"/>
  <c r="JE21" i="4" s="1"/>
  <c r="BY77" i="1" s="1"/>
  <c r="BY94" i="1" s="1"/>
  <c r="AJ40" i="1"/>
  <c r="AJ41" i="1"/>
  <c r="AK40" i="1"/>
  <c r="AK41" i="1"/>
  <c r="D41" i="1"/>
  <c r="D40" i="1"/>
  <c r="IF21" i="4"/>
  <c r="AZ77" i="1" s="1"/>
  <c r="IS9" i="4" s="1"/>
  <c r="IS21" i="4" s="1"/>
  <c r="BM77" i="1" s="1"/>
  <c r="AL193" i="1"/>
  <c r="AL195" i="1" s="1"/>
  <c r="AL66" i="1"/>
  <c r="AL52" i="1"/>
  <c r="CO194" i="1"/>
  <c r="CO132" i="1"/>
  <c r="CO131" i="1" s="1"/>
  <c r="T250" i="1"/>
  <c r="P250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JI21" i="4" l="1"/>
  <c r="CC77" i="1" s="1"/>
  <c r="JH16" i="4"/>
  <c r="JH21" i="4" s="1"/>
  <c r="CB77" i="1" s="1"/>
  <c r="BZ96" i="1"/>
  <c r="BZ108" i="1"/>
  <c r="BZ111" i="1" s="1"/>
  <c r="BX107" i="1"/>
  <c r="BX110" i="1" s="1"/>
  <c r="BX89" i="1"/>
  <c r="BX95" i="1"/>
  <c r="AJ234" i="1"/>
  <c r="AJ42" i="1"/>
  <c r="AM227" i="1"/>
  <c r="AK44" i="1"/>
  <c r="AJ48" i="1"/>
  <c r="AL44" i="1"/>
  <c r="AK42" i="1"/>
  <c r="AK48" i="1"/>
  <c r="AK234" i="1"/>
  <c r="D48" i="1"/>
  <c r="D42" i="1"/>
  <c r="D234" i="1"/>
  <c r="CA54" i="1"/>
  <c r="BX66" i="1"/>
  <c r="CA69" i="1" s="1"/>
  <c r="BX193" i="1"/>
  <c r="BX195" i="1" s="1"/>
  <c r="BX5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C94" i="1" l="1"/>
  <c r="CC102" i="1"/>
  <c r="CC85" i="1"/>
  <c r="IJ9" i="4"/>
  <c r="CB94" i="1"/>
  <c r="CB102" i="1"/>
  <c r="CB85" i="1"/>
  <c r="AJ52" i="1"/>
  <c r="AJ207" i="1"/>
  <c r="AJ205" i="1" s="1"/>
  <c r="AJ193" i="1"/>
  <c r="AJ195" i="1" s="1"/>
  <c r="AJ199" i="1" s="1"/>
  <c r="AJ213" i="1" s="1"/>
  <c r="AJ66" i="1"/>
  <c r="AK52" i="1"/>
  <c r="AK66" i="1"/>
  <c r="AK193" i="1"/>
  <c r="AK195" i="1" s="1"/>
  <c r="AK119" i="1"/>
  <c r="AK120" i="1" s="1"/>
  <c r="D52" i="1"/>
  <c r="D193" i="1"/>
  <c r="D195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J21" i="4" l="1"/>
  <c r="BD77" i="1" s="1"/>
  <c r="HP9" i="4"/>
  <c r="AL207" i="1"/>
  <c r="AL205" i="1" s="1"/>
  <c r="AK207" i="1"/>
  <c r="AK205" i="1" s="1"/>
  <c r="AK129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P21" i="4" l="1"/>
  <c r="AJ77" i="1" s="1"/>
  <c r="IQ16" i="4"/>
  <c r="IQ21" i="4" s="1"/>
  <c r="BK77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E84" i="2"/>
  <c r="K76" i="2"/>
  <c r="O82" i="2"/>
  <c r="U53" i="2"/>
  <c r="S53" i="2"/>
  <c r="T66" i="2"/>
  <c r="O106" i="2"/>
  <c r="J94" i="2"/>
  <c r="T94" i="2"/>
  <c r="R63" i="2"/>
  <c r="L94" i="2"/>
  <c r="X96" i="2"/>
  <c r="T79" i="2"/>
  <c r="F86" i="2"/>
  <c r="K110" i="2"/>
  <c r="W61" i="2"/>
  <c r="N73" i="2"/>
  <c r="R111" i="2"/>
  <c r="H98" i="2"/>
  <c r="R83" i="2"/>
  <c r="I112" i="2"/>
  <c r="J40" i="2"/>
  <c r="I46" i="2"/>
  <c r="G88" i="2"/>
  <c r="N83" i="2"/>
  <c r="U89" i="2"/>
  <c r="M107" i="2"/>
  <c r="O55" i="2"/>
  <c r="E44" i="2"/>
  <c r="D60" i="2"/>
  <c r="J86" i="2"/>
  <c r="Q42" i="2"/>
  <c r="M74" i="2"/>
  <c r="C104" i="2"/>
  <c r="Q111" i="2"/>
  <c r="G80" i="2"/>
  <c r="Q60" i="2"/>
  <c r="C80" i="2"/>
  <c r="I105" i="2"/>
  <c r="N110" i="2"/>
  <c r="J88" i="2"/>
  <c r="F66" i="2"/>
  <c r="G86" i="2"/>
  <c r="C66" i="2"/>
  <c r="G79" i="2"/>
  <c r="D113" i="2"/>
  <c r="F62" i="2"/>
  <c r="L67" i="2"/>
  <c r="G60" i="2"/>
  <c r="M111" i="2"/>
  <c r="V83" i="2"/>
  <c r="E96" i="2"/>
  <c r="F93" i="2"/>
  <c r="AB61" i="3"/>
  <c r="W48" i="2"/>
  <c r="U74" i="2"/>
  <c r="J50" i="2"/>
  <c r="S86" i="2"/>
  <c r="R56" i="2"/>
  <c r="G89" i="2"/>
  <c r="D110" i="2"/>
  <c r="M45" i="2"/>
  <c r="C42" i="2"/>
  <c r="M78" i="2"/>
  <c r="P47" i="2"/>
  <c r="R51" i="2"/>
  <c r="L45" i="2"/>
  <c r="W54" i="2"/>
  <c r="W111" i="2"/>
  <c r="F90" i="2"/>
  <c r="E51" i="2"/>
  <c r="E57" i="2"/>
  <c r="G52" i="2"/>
  <c r="S76" i="2"/>
  <c r="P82" i="2"/>
  <c r="L49" i="2"/>
  <c r="P43" i="2"/>
  <c r="F91" i="2"/>
  <c r="O44" i="2"/>
  <c r="O80" i="2"/>
  <c r="J58" i="2"/>
  <c r="C68" i="2"/>
  <c r="N99" i="2"/>
  <c r="R96" i="2"/>
  <c r="K89" i="2"/>
  <c r="M90" i="2"/>
  <c r="I55" i="2"/>
  <c r="K55" i="2"/>
  <c r="R43" i="2"/>
  <c r="D73" i="2"/>
  <c r="P60" i="2"/>
  <c r="E113" i="2"/>
  <c r="W64" i="2"/>
  <c r="O67" i="2"/>
  <c r="X97" i="2"/>
  <c r="M64" i="2"/>
  <c r="R104" i="2"/>
  <c r="X78" i="2"/>
  <c r="E87" i="2"/>
  <c r="R99" i="2"/>
  <c r="Q73" i="2"/>
  <c r="G62" i="2"/>
  <c r="S66" i="2"/>
  <c r="E78" i="2"/>
  <c r="C108" i="2"/>
  <c r="F82" i="2"/>
  <c r="L40" i="2"/>
  <c r="V79" i="2"/>
  <c r="AB68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U57" i="2"/>
  <c r="L95" i="2"/>
  <c r="V74" i="2"/>
  <c r="R48" i="2"/>
  <c r="C71" i="2"/>
  <c r="J47" i="2"/>
  <c r="H70" i="2"/>
  <c r="M99" i="2"/>
  <c r="S108" i="2"/>
  <c r="E67" i="2"/>
  <c r="X113" i="2"/>
  <c r="E99" i="2"/>
  <c r="F68" i="2"/>
  <c r="Q88" i="2"/>
  <c r="U63" i="2"/>
  <c r="C57" i="2"/>
  <c r="H79" i="2"/>
  <c r="G93" i="2"/>
  <c r="J89" i="2"/>
  <c r="J84" i="2"/>
  <c r="W67" i="2"/>
  <c r="N111" i="2"/>
  <c r="T41" i="2"/>
  <c r="C105" i="2"/>
  <c r="F43" i="2"/>
  <c r="J113" i="2"/>
  <c r="G105" i="2"/>
  <c r="K68" i="2"/>
  <c r="X107" i="2"/>
  <c r="D95" i="2"/>
  <c r="Q61" i="2"/>
  <c r="W82" i="2"/>
  <c r="C90" i="2"/>
  <c r="V70" i="2"/>
  <c r="X87" i="2"/>
  <c r="W110" i="2"/>
  <c r="W45" i="2"/>
  <c r="V59" i="2"/>
  <c r="W86" i="2"/>
  <c r="U43" i="2"/>
  <c r="N71" i="2"/>
  <c r="G42" i="2"/>
  <c r="W104" i="2"/>
  <c r="K83" i="2"/>
  <c r="H45" i="2"/>
  <c r="N44" i="2"/>
  <c r="J98" i="2"/>
  <c r="X112" i="2"/>
  <c r="S54" i="2"/>
  <c r="R50" i="2"/>
  <c r="N57" i="2"/>
  <c r="L105" i="2"/>
  <c r="M59" i="2"/>
  <c r="N77" i="2"/>
  <c r="AB60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T45" i="2"/>
  <c r="T88" i="2"/>
  <c r="R95" i="2"/>
  <c r="Q66" i="2"/>
  <c r="I92" i="2"/>
  <c r="S73" i="2"/>
  <c r="H86" i="2"/>
  <c r="D81" i="2"/>
  <c r="V92" i="2"/>
  <c r="D97" i="2"/>
  <c r="U45" i="2"/>
  <c r="T46" i="2"/>
  <c r="C43" i="2"/>
  <c r="Q93" i="2"/>
  <c r="U87" i="2"/>
  <c r="I86" i="2"/>
  <c r="K66" i="2"/>
  <c r="S88" i="2"/>
  <c r="V69" i="2"/>
  <c r="J68" i="2"/>
  <c r="W51" i="2"/>
  <c r="O110" i="2"/>
  <c r="U95" i="2"/>
  <c r="J42" i="2"/>
  <c r="O92" i="2"/>
  <c r="J111" i="2"/>
  <c r="C54" i="2"/>
  <c r="X105" i="2"/>
  <c r="O112" i="2"/>
  <c r="F79" i="2"/>
  <c r="M70" i="2"/>
  <c r="T56" i="2"/>
  <c r="U93" i="2"/>
  <c r="G87" i="2"/>
  <c r="T91" i="2"/>
  <c r="P58" i="2"/>
  <c r="H106" i="2"/>
  <c r="K85" i="2"/>
  <c r="J96" i="2"/>
  <c r="T52" i="2"/>
  <c r="D106" i="2"/>
  <c r="N54" i="2"/>
  <c r="T74" i="2"/>
  <c r="P48" i="2"/>
  <c r="L61" i="2"/>
  <c r="P56" i="2"/>
  <c r="O66" i="2"/>
  <c r="H97" i="2"/>
  <c r="P92" i="2"/>
  <c r="C95" i="2"/>
  <c r="W112" i="2"/>
  <c r="T63" i="2"/>
  <c r="G83" i="2"/>
  <c r="N47" i="2"/>
  <c r="AB89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S69" i="2"/>
  <c r="X73" i="2"/>
  <c r="X50" i="2"/>
  <c r="P42" i="2"/>
  <c r="U92" i="2"/>
  <c r="W88" i="2"/>
  <c r="P70" i="2"/>
  <c r="F106" i="2"/>
  <c r="P41" i="2"/>
  <c r="F49" i="2"/>
  <c r="K105" i="2"/>
  <c r="O90" i="2"/>
  <c r="R98" i="2"/>
  <c r="W66" i="2"/>
  <c r="M94" i="2"/>
  <c r="F51" i="2"/>
  <c r="I59" i="2"/>
  <c r="C60" i="2"/>
  <c r="S50" i="2"/>
  <c r="R113" i="2"/>
  <c r="V84" i="2"/>
  <c r="S72" i="2"/>
  <c r="H96" i="2"/>
  <c r="L98" i="2"/>
  <c r="H92" i="2"/>
  <c r="X76" i="2"/>
  <c r="H52" i="2"/>
  <c r="H69" i="2"/>
  <c r="D77" i="2"/>
  <c r="C52" i="2"/>
  <c r="S75" i="2"/>
  <c r="U106" i="2"/>
  <c r="Q80" i="2"/>
  <c r="P93" i="2"/>
  <c r="O97" i="2"/>
  <c r="V46" i="2"/>
  <c r="M68" i="2"/>
  <c r="C110" i="2"/>
  <c r="I110" i="2"/>
  <c r="E97" i="2"/>
  <c r="V44" i="2"/>
  <c r="G94" i="2"/>
  <c r="S111" i="2"/>
  <c r="J45" i="2"/>
  <c r="N46" i="2"/>
  <c r="T70" i="2"/>
  <c r="P77" i="2"/>
  <c r="V45" i="2"/>
  <c r="H76" i="2"/>
  <c r="S95" i="2"/>
  <c r="D107" i="2"/>
  <c r="K111" i="2"/>
  <c r="F69" i="2"/>
  <c r="L83" i="2"/>
  <c r="AP84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P88" i="2"/>
  <c r="N88" i="2"/>
  <c r="O54" i="2"/>
  <c r="I76" i="2"/>
  <c r="X98" i="2"/>
  <c r="X62" i="2"/>
  <c r="V73" i="2"/>
  <c r="N105" i="2"/>
  <c r="K88" i="2"/>
  <c r="I61" i="2"/>
  <c r="N40" i="2"/>
  <c r="R105" i="2"/>
  <c r="V71" i="2"/>
  <c r="G95" i="2"/>
  <c r="R49" i="2"/>
  <c r="D54" i="2"/>
  <c r="O45" i="2"/>
  <c r="K51" i="2"/>
  <c r="Q105" i="2"/>
  <c r="W106" i="2"/>
  <c r="Q64" i="2"/>
  <c r="E54" i="2"/>
  <c r="Q112" i="2"/>
  <c r="G50" i="2"/>
  <c r="P61" i="2"/>
  <c r="O53" i="2"/>
  <c r="W58" i="2"/>
  <c r="K40" i="2"/>
  <c r="J85" i="2"/>
  <c r="Q107" i="2"/>
  <c r="V82" i="2"/>
  <c r="N91" i="2"/>
  <c r="K65" i="2"/>
  <c r="S47" i="2"/>
  <c r="C97" i="2"/>
  <c r="I81" i="2"/>
  <c r="C44" i="2"/>
  <c r="H58" i="2"/>
  <c r="H63" i="2"/>
  <c r="L106" i="2"/>
  <c r="P57" i="2"/>
  <c r="H88" i="2"/>
  <c r="K73" i="2"/>
  <c r="X74" i="2"/>
  <c r="R59" i="2"/>
  <c r="G76" i="2"/>
  <c r="I40" i="2"/>
  <c r="N55" i="2"/>
  <c r="X54" i="2"/>
  <c r="W96" i="2"/>
  <c r="I73" i="2"/>
  <c r="O47" i="2"/>
  <c r="L97" i="2"/>
  <c r="E42" i="2"/>
  <c r="AP70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M48" i="2"/>
  <c r="T84" i="2"/>
  <c r="D50" i="2"/>
  <c r="Q91" i="2"/>
  <c r="K82" i="2"/>
  <c r="J57" i="2"/>
  <c r="Q68" i="2"/>
  <c r="O105" i="2"/>
  <c r="H41" i="2"/>
  <c r="F109" i="2"/>
  <c r="D76" i="2"/>
  <c r="S84" i="2"/>
  <c r="E89" i="2"/>
  <c r="C99" i="2"/>
  <c r="F60" i="2"/>
  <c r="V94" i="2"/>
  <c r="S48" i="2"/>
  <c r="X51" i="2"/>
  <c r="Q90" i="2"/>
  <c r="Q79" i="2"/>
  <c r="N74" i="2"/>
  <c r="U90" i="2"/>
  <c r="O51" i="2"/>
  <c r="J70" i="2"/>
  <c r="D55" i="2"/>
  <c r="L96" i="2"/>
  <c r="V66" i="2"/>
  <c r="X56" i="2"/>
  <c r="P53" i="2"/>
  <c r="E56" i="2"/>
  <c r="L66" i="2"/>
  <c r="D104" i="2"/>
  <c r="D58" i="2"/>
  <c r="S83" i="2"/>
  <c r="X43" i="2"/>
  <c r="T96" i="2"/>
  <c r="T61" i="2"/>
  <c r="T112" i="2"/>
  <c r="R45" i="2"/>
  <c r="E73" i="2"/>
  <c r="P52" i="2"/>
  <c r="J90" i="2"/>
  <c r="L42" i="2"/>
  <c r="S58" i="2"/>
  <c r="Q44" i="2"/>
  <c r="E48" i="2"/>
  <c r="H77" i="2"/>
  <c r="R97" i="2"/>
  <c r="I79" i="2"/>
  <c r="H59" i="2"/>
  <c r="S64" i="2"/>
  <c r="O108" i="2"/>
  <c r="H55" i="2"/>
  <c r="V95" i="2"/>
  <c r="AB8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I108" i="2"/>
  <c r="V107" i="2"/>
  <c r="H112" i="2"/>
  <c r="J80" i="2"/>
  <c r="O57" i="2"/>
  <c r="U71" i="2"/>
  <c r="R57" i="2"/>
  <c r="S46" i="2"/>
  <c r="N82" i="2"/>
  <c r="M44" i="2"/>
  <c r="G57" i="2"/>
  <c r="W49" i="2"/>
  <c r="M60" i="2"/>
  <c r="D86" i="2"/>
  <c r="R112" i="2"/>
  <c r="O46" i="2"/>
  <c r="D96" i="2"/>
  <c r="I97" i="2"/>
  <c r="X42" i="2"/>
  <c r="X67" i="2"/>
  <c r="L79" i="2"/>
  <c r="C86" i="2"/>
  <c r="E83" i="2"/>
  <c r="X55" i="2"/>
  <c r="V56" i="2"/>
  <c r="V112" i="2"/>
  <c r="M43" i="2"/>
  <c r="O93" i="2"/>
  <c r="M84" i="2"/>
  <c r="U46" i="2"/>
  <c r="L99" i="2"/>
  <c r="E74" i="2"/>
  <c r="O104" i="2"/>
  <c r="S52" i="2"/>
  <c r="J77" i="2"/>
  <c r="X53" i="2"/>
  <c r="P49" i="2"/>
  <c r="K46" i="2"/>
  <c r="R107" i="2"/>
  <c r="H57" i="2"/>
  <c r="X104" i="2"/>
  <c r="I75" i="2"/>
  <c r="S42" i="2"/>
  <c r="C61" i="2"/>
  <c r="M67" i="2"/>
  <c r="G55" i="2"/>
  <c r="N70" i="2"/>
  <c r="K106" i="2"/>
  <c r="F81" i="2"/>
  <c r="U65" i="2"/>
  <c r="O109" i="2"/>
  <c r="U40" i="2"/>
  <c r="C91" i="2"/>
  <c r="C87" i="2"/>
  <c r="AB58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L84" i="2"/>
  <c r="F105" i="2"/>
  <c r="G96" i="2"/>
  <c r="L48" i="2"/>
  <c r="I77" i="2"/>
  <c r="F42" i="2"/>
  <c r="S79" i="2"/>
  <c r="L41" i="2"/>
  <c r="R87" i="2"/>
  <c r="C47" i="2"/>
  <c r="P62" i="2"/>
  <c r="W42" i="2"/>
  <c r="Q82" i="2"/>
  <c r="J79" i="2"/>
  <c r="E71" i="2"/>
  <c r="N94" i="2"/>
  <c r="O86" i="2"/>
  <c r="M98" i="2"/>
  <c r="W80" i="2"/>
  <c r="Q41" i="2"/>
  <c r="J73" i="2"/>
  <c r="M73" i="2"/>
  <c r="H71" i="2"/>
  <c r="X58" i="2"/>
  <c r="O60" i="2"/>
  <c r="J64" i="2"/>
  <c r="R72" i="2"/>
  <c r="P89" i="2"/>
  <c r="M72" i="2"/>
  <c r="T60" i="2"/>
  <c r="L64" i="2"/>
  <c r="C75" i="2"/>
  <c r="J48" i="2"/>
  <c r="O111" i="2"/>
  <c r="K112" i="2"/>
  <c r="F98" i="2"/>
  <c r="O52" i="2"/>
  <c r="C78" i="2"/>
  <c r="U86" i="2"/>
  <c r="D56" i="2"/>
  <c r="G67" i="2"/>
  <c r="O70" i="2"/>
  <c r="R65" i="2"/>
  <c r="U70" i="2"/>
  <c r="G64" i="2"/>
  <c r="J95" i="2"/>
  <c r="I44" i="2"/>
  <c r="G69" i="2"/>
  <c r="K64" i="2"/>
  <c r="P45" i="2"/>
  <c r="N92" i="2"/>
  <c r="F67" i="2"/>
  <c r="U51" i="2"/>
  <c r="F88" i="2"/>
  <c r="AB73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E46" i="2"/>
  <c r="M110" i="2"/>
  <c r="J65" i="2"/>
  <c r="F71" i="2"/>
  <c r="I82" i="2"/>
  <c r="L50" i="2"/>
  <c r="V80" i="2"/>
  <c r="E79" i="2"/>
  <c r="W44" i="2"/>
  <c r="C74" i="2"/>
  <c r="W92" i="2"/>
  <c r="H85" i="2"/>
  <c r="R64" i="2"/>
  <c r="V62" i="2"/>
  <c r="D91" i="2"/>
  <c r="L76" i="2"/>
  <c r="L108" i="2"/>
  <c r="X88" i="2"/>
  <c r="H89" i="2"/>
  <c r="R47" i="2"/>
  <c r="C62" i="2"/>
  <c r="L73" i="2"/>
  <c r="U61" i="2"/>
  <c r="G104" i="2"/>
  <c r="E107" i="2"/>
  <c r="V104" i="2"/>
  <c r="H62" i="2"/>
  <c r="D64" i="2"/>
  <c r="V93" i="2"/>
  <c r="N75" i="2"/>
  <c r="K71" i="2"/>
  <c r="N109" i="2"/>
  <c r="S113" i="2"/>
  <c r="V109" i="2"/>
  <c r="S59" i="2"/>
  <c r="W76" i="2"/>
  <c r="M63" i="2"/>
  <c r="D40" i="2"/>
  <c r="G85" i="2"/>
  <c r="U110" i="2"/>
  <c r="V97" i="2"/>
  <c r="X80" i="2"/>
  <c r="J60" i="2"/>
  <c r="T105" i="2"/>
  <c r="N67" i="2"/>
  <c r="N63" i="2"/>
  <c r="C79" i="2"/>
  <c r="H109" i="2"/>
  <c r="J67" i="2"/>
  <c r="E77" i="2"/>
  <c r="U64" i="2"/>
  <c r="D42" i="2"/>
  <c r="S98" i="2"/>
  <c r="AB65" i="3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M93" i="2"/>
  <c r="N84" i="2"/>
  <c r="I83" i="2"/>
  <c r="S43" i="2"/>
  <c r="R55" i="2"/>
  <c r="P87" i="2"/>
  <c r="H95" i="2"/>
  <c r="I107" i="2"/>
  <c r="F72" i="2"/>
  <c r="U78" i="2"/>
  <c r="U55" i="2"/>
  <c r="L62" i="2"/>
  <c r="I47" i="2"/>
  <c r="K67" i="2"/>
  <c r="U83" i="2"/>
  <c r="U73" i="2"/>
  <c r="Q94" i="2"/>
  <c r="L53" i="2"/>
  <c r="X89" i="2"/>
  <c r="R93" i="2"/>
  <c r="K84" i="2"/>
  <c r="T47" i="2"/>
  <c r="U77" i="2"/>
  <c r="R70" i="2"/>
  <c r="I43" i="2"/>
  <c r="G59" i="2"/>
  <c r="O65" i="2"/>
  <c r="N86" i="2"/>
  <c r="J69" i="2"/>
  <c r="F64" i="2"/>
  <c r="U59" i="2"/>
  <c r="I111" i="2"/>
  <c r="N79" i="2"/>
  <c r="G54" i="2"/>
  <c r="X111" i="2"/>
  <c r="D43" i="2"/>
  <c r="Q86" i="2"/>
  <c r="S56" i="2"/>
  <c r="V91" i="2"/>
  <c r="I69" i="2"/>
  <c r="F45" i="2"/>
  <c r="I93" i="2"/>
  <c r="P74" i="2"/>
  <c r="T58" i="2"/>
  <c r="C51" i="2"/>
  <c r="U107" i="2"/>
  <c r="K58" i="2"/>
  <c r="H93" i="2"/>
  <c r="X81" i="2"/>
  <c r="C56" i="2"/>
  <c r="O62" i="2"/>
  <c r="L109" i="2"/>
  <c r="R60" i="2"/>
  <c r="AB83" i="3"/>
  <c r="S105" i="2"/>
  <c r="P44" i="2"/>
  <c r="H108" i="2"/>
  <c r="Q51" i="2"/>
  <c r="AB47" i="3"/>
  <c r="AB86" i="3"/>
  <c r="AJ38" i="3"/>
  <c r="AN22" i="3"/>
  <c r="S36" i="3"/>
  <c r="L37" i="3"/>
  <c r="P25" i="3"/>
  <c r="W34" i="3"/>
  <c r="H27" i="3"/>
  <c r="M32" i="3"/>
  <c r="H40" i="3"/>
  <c r="P20" i="3"/>
  <c r="S9" i="3"/>
  <c r="AP14" i="3"/>
  <c r="M26" i="3"/>
  <c r="I25" i="3"/>
  <c r="AJ20" i="3"/>
  <c r="AJ8" i="3"/>
  <c r="AH35" i="3"/>
  <c r="AN14" i="3"/>
  <c r="AO31" i="3"/>
  <c r="O7" i="3"/>
  <c r="U33" i="3"/>
  <c r="AH29" i="3"/>
  <c r="D50" i="3"/>
  <c r="AK7" i="3"/>
  <c r="N29" i="3"/>
  <c r="AI27" i="3"/>
  <c r="AO38" i="3"/>
  <c r="AI36" i="3"/>
  <c r="AE28" i="3"/>
  <c r="D84" i="2"/>
  <c r="W41" i="2"/>
  <c r="C40" i="2"/>
  <c r="O50" i="2"/>
  <c r="AP48" i="3"/>
  <c r="AP50" i="3"/>
  <c r="AI12" i="3"/>
  <c r="O29" i="3"/>
  <c r="S12" i="3"/>
  <c r="AP19" i="3"/>
  <c r="AP36" i="3"/>
  <c r="AM8" i="3"/>
  <c r="AM14" i="3"/>
  <c r="AM39" i="3"/>
  <c r="O42" i="3"/>
  <c r="AC13" i="3"/>
  <c r="AN23" i="3"/>
  <c r="J8" i="3"/>
  <c r="Z9" i="3"/>
  <c r="AE18" i="3"/>
  <c r="L23" i="3"/>
  <c r="U28" i="3"/>
  <c r="AQ12" i="3"/>
  <c r="X5" i="3"/>
  <c r="P16" i="3"/>
  <c r="AQ21" i="3"/>
  <c r="L18" i="3"/>
  <c r="Y24" i="3"/>
  <c r="AA41" i="3"/>
  <c r="Y37" i="3"/>
  <c r="AL8" i="3"/>
  <c r="AE20" i="3"/>
  <c r="AA10" i="3"/>
  <c r="R10" i="3"/>
  <c r="R9" i="3"/>
  <c r="AA33" i="3"/>
  <c r="Y33" i="3"/>
  <c r="AM37" i="3"/>
  <c r="U25" i="3"/>
  <c r="G38" i="3"/>
  <c r="T19" i="3"/>
  <c r="L42" i="3"/>
  <c r="AL6" i="3"/>
  <c r="L17" i="3"/>
  <c r="AN10" i="3"/>
  <c r="AJ26" i="3"/>
  <c r="T37" i="3"/>
  <c r="U10" i="3"/>
  <c r="Z18" i="3"/>
  <c r="AK6" i="3"/>
  <c r="U5" i="3"/>
  <c r="AQ5" i="3"/>
  <c r="Q42" i="3"/>
  <c r="AL32" i="3"/>
  <c r="K27" i="3"/>
  <c r="T39" i="3"/>
  <c r="P26" i="3"/>
  <c r="AL5" i="3"/>
  <c r="AH5" i="3"/>
  <c r="AI13" i="3"/>
  <c r="Z16" i="3"/>
  <c r="H8" i="3"/>
  <c r="AN36" i="3"/>
  <c r="K28" i="3"/>
  <c r="G34" i="3"/>
  <c r="I17" i="3"/>
  <c r="X18" i="3"/>
  <c r="AN13" i="3"/>
  <c r="J35" i="3"/>
  <c r="P9" i="3"/>
  <c r="V40" i="3"/>
  <c r="AA24" i="3"/>
  <c r="T5" i="3"/>
  <c r="L10" i="3"/>
  <c r="AA37" i="3"/>
  <c r="AK28" i="3"/>
  <c r="S37" i="3"/>
  <c r="T31" i="3"/>
  <c r="L35" i="3"/>
  <c r="Z40" i="3"/>
  <c r="AB35" i="3"/>
  <c r="AK35" i="3"/>
  <c r="AO18" i="3"/>
  <c r="L15" i="3"/>
  <c r="AI8" i="3"/>
  <c r="AA29" i="3"/>
  <c r="V21" i="3"/>
  <c r="AK38" i="3"/>
  <c r="AC35" i="3"/>
  <c r="N37" i="3"/>
  <c r="AK23" i="3"/>
  <c r="AH20" i="3"/>
  <c r="K16" i="3"/>
  <c r="R109" i="2"/>
  <c r="J99" i="2"/>
  <c r="V41" i="2"/>
  <c r="D67" i="2"/>
  <c r="K63" i="2"/>
  <c r="AP78" i="3"/>
  <c r="AB66" i="3"/>
  <c r="C23" i="3"/>
  <c r="X31" i="3"/>
  <c r="G41" i="3"/>
  <c r="AH17" i="3"/>
  <c r="AJ24" i="3"/>
  <c r="AC22" i="3"/>
  <c r="AH22" i="3"/>
  <c r="G35" i="3"/>
  <c r="AE11" i="3"/>
  <c r="P27" i="3"/>
  <c r="Y28" i="3"/>
  <c r="T28" i="3"/>
  <c r="O20" i="3"/>
  <c r="V25" i="3"/>
  <c r="C42" i="3"/>
  <c r="W16" i="3"/>
  <c r="P21" i="3"/>
  <c r="L22" i="3"/>
  <c r="AH10" i="3"/>
  <c r="AJ34" i="3"/>
  <c r="E48" i="3"/>
  <c r="AQ14" i="3"/>
  <c r="Q9" i="3"/>
  <c r="AE6" i="3"/>
  <c r="K18" i="3"/>
  <c r="Z26" i="3"/>
  <c r="AK10" i="3"/>
  <c r="AH32" i="3"/>
  <c r="Q41" i="3"/>
  <c r="U26" i="3"/>
  <c r="H15" i="3"/>
  <c r="AH28" i="3"/>
  <c r="O25" i="3"/>
  <c r="L13" i="3"/>
  <c r="AB28" i="3"/>
  <c r="W23" i="3"/>
  <c r="AC21" i="3"/>
  <c r="Y29" i="3"/>
  <c r="C29" i="3"/>
  <c r="J39" i="3"/>
  <c r="AI17" i="3"/>
  <c r="U8" i="3"/>
  <c r="K22" i="3"/>
  <c r="AD29" i="3"/>
  <c r="N18" i="3"/>
  <c r="J19" i="3"/>
  <c r="AO13" i="3"/>
  <c r="O41" i="2"/>
  <c r="R82" i="2"/>
  <c r="E93" i="2"/>
  <c r="F85" i="2"/>
  <c r="J81" i="2"/>
  <c r="C47" i="3"/>
  <c r="AP49" i="3"/>
  <c r="AQ13" i="3"/>
  <c r="AH21" i="3"/>
  <c r="W37" i="3"/>
  <c r="Y6" i="3"/>
  <c r="O5" i="3"/>
  <c r="I39" i="3"/>
  <c r="Z35" i="3"/>
  <c r="AN35" i="3"/>
  <c r="AA42" i="3"/>
  <c r="K23" i="3"/>
  <c r="N21" i="3"/>
  <c r="AN34" i="3"/>
  <c r="AC19" i="3"/>
  <c r="AC6" i="3"/>
  <c r="L28" i="3"/>
  <c r="AQ19" i="3"/>
  <c r="L26" i="3"/>
  <c r="AB24" i="3"/>
  <c r="AB6" i="3"/>
  <c r="K15" i="3"/>
  <c r="I35" i="3"/>
  <c r="AB13" i="3"/>
  <c r="W31" i="3"/>
  <c r="M30" i="3"/>
  <c r="AG36" i="3"/>
  <c r="AJ32" i="3"/>
  <c r="M5" i="3"/>
  <c r="L27" i="3"/>
  <c r="S19" i="3"/>
  <c r="AB27" i="3"/>
  <c r="AO17" i="3"/>
  <c r="M8" i="3"/>
  <c r="AN40" i="3"/>
  <c r="AL36" i="3"/>
  <c r="AL29" i="3"/>
  <c r="AD26" i="3"/>
  <c r="Q30" i="3"/>
  <c r="I20" i="3"/>
  <c r="AA7" i="3"/>
  <c r="O32" i="3"/>
  <c r="S6" i="3"/>
  <c r="AG20" i="3"/>
  <c r="U29" i="3"/>
  <c r="W17" i="3"/>
  <c r="AE35" i="3"/>
  <c r="K14" i="3"/>
  <c r="N31" i="3"/>
  <c r="AI7" i="3"/>
  <c r="AD42" i="3"/>
  <c r="AN39" i="3"/>
  <c r="D49" i="3"/>
  <c r="AK26" i="3"/>
  <c r="T38" i="3"/>
  <c r="O12" i="3"/>
  <c r="AJ37" i="3"/>
  <c r="AM18" i="3"/>
  <c r="AA15" i="3"/>
  <c r="G47" i="3"/>
  <c r="H29" i="3"/>
  <c r="T36" i="3"/>
  <c r="AB9" i="3"/>
  <c r="P14" i="3"/>
  <c r="S14" i="3"/>
  <c r="AG25" i="3"/>
  <c r="Q17" i="3"/>
  <c r="J10" i="3"/>
  <c r="T13" i="3"/>
  <c r="Y21" i="3"/>
  <c r="V20" i="3"/>
  <c r="AO26" i="3"/>
  <c r="AP21" i="3"/>
  <c r="AA27" i="3"/>
  <c r="AA35" i="3"/>
  <c r="Q39" i="3"/>
  <c r="M40" i="3"/>
  <c r="AK15" i="3"/>
  <c r="C26" i="3"/>
  <c r="S13" i="3"/>
  <c r="C11" i="3"/>
  <c r="AO36" i="3"/>
  <c r="AJ7" i="3"/>
  <c r="N25" i="3"/>
  <c r="AH25" i="3"/>
  <c r="AG19" i="3"/>
  <c r="AM31" i="3"/>
  <c r="K11" i="3"/>
  <c r="H26" i="3"/>
  <c r="K7" i="3"/>
  <c r="R19" i="3"/>
  <c r="AE40" i="3"/>
  <c r="AB31" i="3"/>
  <c r="W73" i="2"/>
  <c r="G91" i="2"/>
  <c r="E72" i="2"/>
  <c r="Q50" i="2"/>
  <c r="X68" i="2"/>
  <c r="AB79" i="3"/>
  <c r="AP64" i="3"/>
  <c r="U21" i="3"/>
  <c r="AL27" i="3"/>
  <c r="H28" i="3"/>
  <c r="Z25" i="3"/>
  <c r="X14" i="3"/>
  <c r="S42" i="3"/>
  <c r="Y25" i="3"/>
  <c r="C12" i="3"/>
  <c r="M25" i="3"/>
  <c r="T30" i="3"/>
  <c r="AI38" i="3"/>
  <c r="AB10" i="3"/>
  <c r="L14" i="3"/>
  <c r="AO34" i="3"/>
  <c r="J15" i="3"/>
  <c r="AP15" i="3"/>
  <c r="U22" i="3"/>
  <c r="K21" i="3"/>
  <c r="AG6" i="3"/>
  <c r="Z31" i="3"/>
  <c r="W11" i="3"/>
  <c r="O30" i="3"/>
  <c r="AL34" i="3"/>
  <c r="W27" i="3"/>
  <c r="AP18" i="3"/>
  <c r="W41" i="3"/>
  <c r="M38" i="3"/>
  <c r="C39" i="3"/>
  <c r="U23" i="3"/>
  <c r="C6" i="3"/>
  <c r="AL12" i="3"/>
  <c r="N9" i="3"/>
  <c r="AP39" i="3"/>
  <c r="AD47" i="3"/>
  <c r="AJ18" i="3"/>
  <c r="AN28" i="3"/>
  <c r="Q15" i="3"/>
  <c r="Q6" i="3"/>
  <c r="U34" i="3"/>
  <c r="R27" i="3"/>
  <c r="N13" i="3"/>
  <c r="AL28" i="3"/>
  <c r="AD27" i="3"/>
  <c r="S5" i="3"/>
  <c r="V26" i="3"/>
  <c r="P7" i="3"/>
  <c r="K12" i="3"/>
  <c r="U7" i="3"/>
  <c r="T29" i="3"/>
  <c r="AL24" i="3"/>
  <c r="AJ19" i="3"/>
  <c r="AC38" i="3"/>
  <c r="O31" i="3"/>
  <c r="V42" i="3"/>
  <c r="AP35" i="3"/>
  <c r="T40" i="3"/>
  <c r="AJ40" i="3"/>
  <c r="AB17" i="3"/>
  <c r="K33" i="3"/>
  <c r="R16" i="3"/>
  <c r="AK25" i="3"/>
  <c r="AG22" i="3"/>
  <c r="AK18" i="3"/>
  <c r="W14" i="3"/>
  <c r="Q18" i="3"/>
  <c r="AQ28" i="3"/>
  <c r="Z33" i="3"/>
  <c r="AA26" i="3"/>
  <c r="T6" i="3"/>
  <c r="AO5" i="3"/>
  <c r="AC24" i="3"/>
  <c r="AG11" i="3"/>
  <c r="AD39" i="3"/>
  <c r="AH39" i="3"/>
  <c r="K5" i="3"/>
  <c r="C72" i="2"/>
  <c r="S97" i="2"/>
  <c r="M95" i="2"/>
  <c r="F77" i="2"/>
  <c r="M42" i="2"/>
  <c r="AP91" i="3"/>
  <c r="T23" i="3"/>
  <c r="M17" i="3"/>
  <c r="W22" i="3"/>
  <c r="X27" i="3"/>
  <c r="V31" i="3"/>
  <c r="I8" i="3"/>
  <c r="AE39" i="3"/>
  <c r="K35" i="3"/>
  <c r="Z28" i="3"/>
  <c r="Q26" i="3"/>
  <c r="V29" i="3"/>
  <c r="T41" i="3"/>
  <c r="AM13" i="3"/>
  <c r="U12" i="3"/>
  <c r="L16" i="3"/>
  <c r="AG21" i="3"/>
  <c r="P35" i="3"/>
  <c r="R14" i="3"/>
  <c r="AK41" i="3"/>
  <c r="AC9" i="3"/>
  <c r="AJ11" i="3"/>
  <c r="H18" i="3"/>
  <c r="W9" i="3"/>
  <c r="AM30" i="3"/>
  <c r="AH41" i="3"/>
  <c r="AI42" i="3"/>
  <c r="AD19" i="3"/>
  <c r="N42" i="3"/>
  <c r="U36" i="3"/>
  <c r="AC31" i="3"/>
  <c r="I30" i="3"/>
  <c r="AO9" i="3"/>
  <c r="O10" i="3"/>
  <c r="S39" i="3"/>
  <c r="AN38" i="3"/>
  <c r="AL17" i="3"/>
  <c r="AO12" i="3"/>
  <c r="AB7" i="3"/>
  <c r="C14" i="3"/>
  <c r="C20" i="3"/>
  <c r="W38" i="3"/>
  <c r="AI37" i="3"/>
  <c r="N38" i="3"/>
  <c r="AA20" i="3"/>
  <c r="Y35" i="3"/>
  <c r="Q21" i="3"/>
  <c r="X37" i="3"/>
  <c r="J33" i="3"/>
  <c r="W20" i="3"/>
  <c r="AG12" i="3"/>
  <c r="AM19" i="3"/>
  <c r="AG16" i="3"/>
  <c r="V28" i="3"/>
  <c r="AG24" i="3"/>
  <c r="AB40" i="3"/>
  <c r="L34" i="3"/>
  <c r="AO19" i="3"/>
  <c r="U42" i="3"/>
  <c r="AQ16" i="3"/>
  <c r="C16" i="3"/>
  <c r="V36" i="3"/>
  <c r="AJ21" i="3"/>
  <c r="Q32" i="3"/>
  <c r="AE22" i="3"/>
  <c r="E43" i="2"/>
  <c r="E111" i="2"/>
  <c r="N42" i="2"/>
  <c r="P110" i="2"/>
  <c r="X45" i="2"/>
  <c r="AP58" i="3"/>
  <c r="C28" i="3"/>
  <c r="T17" i="3"/>
  <c r="Q36" i="3"/>
  <c r="I37" i="3"/>
  <c r="M11" i="3"/>
  <c r="AA30" i="3"/>
  <c r="AP23" i="3"/>
  <c r="AJ30" i="3"/>
  <c r="X16" i="3"/>
  <c r="AQ36" i="3"/>
  <c r="G32" i="3"/>
  <c r="S17" i="3"/>
  <c r="Q19" i="3"/>
  <c r="AC8" i="3"/>
  <c r="AO11" i="3"/>
  <c r="Q5" i="3"/>
  <c r="AN17" i="3"/>
  <c r="AG38" i="3"/>
  <c r="I29" i="3"/>
  <c r="C9" i="3"/>
  <c r="AO10" i="3"/>
  <c r="H37" i="3"/>
  <c r="AG18" i="3"/>
  <c r="AB33" i="3"/>
  <c r="G39" i="3"/>
  <c r="N8" i="3"/>
  <c r="AE38" i="3"/>
  <c r="X21" i="3"/>
  <c r="V13" i="3"/>
  <c r="AA13" i="3"/>
  <c r="P24" i="3"/>
  <c r="Z7" i="3"/>
  <c r="AC26" i="3"/>
  <c r="I24" i="3"/>
  <c r="AO28" i="3"/>
  <c r="AL40" i="3"/>
  <c r="P31" i="3"/>
  <c r="V6" i="3"/>
  <c r="AI25" i="3"/>
  <c r="J6" i="3"/>
  <c r="T20" i="3"/>
  <c r="X17" i="3"/>
  <c r="U18" i="3"/>
  <c r="I27" i="3"/>
  <c r="Q24" i="3"/>
  <c r="AG33" i="3"/>
  <c r="AH38" i="3"/>
  <c r="K31" i="3"/>
  <c r="AN18" i="3"/>
  <c r="N16" i="3"/>
  <c r="Y15" i="3"/>
  <c r="V35" i="3"/>
  <c r="R8" i="3"/>
  <c r="AC10" i="3"/>
  <c r="U32" i="3"/>
  <c r="S15" i="3"/>
  <c r="S25" i="3"/>
  <c r="AE13" i="3"/>
  <c r="K32" i="3"/>
  <c r="AN26" i="3"/>
  <c r="Z17" i="3"/>
  <c r="R12" i="3"/>
  <c r="O33" i="3"/>
  <c r="AL19" i="3"/>
  <c r="AP38" i="3"/>
  <c r="J26" i="3"/>
  <c r="AQ7" i="3"/>
  <c r="AL11" i="3"/>
  <c r="U16" i="3"/>
  <c r="AQ17" i="3"/>
  <c r="AG35" i="3"/>
  <c r="AA19" i="3"/>
  <c r="AC15" i="3"/>
  <c r="AD31" i="3"/>
  <c r="AK42" i="3"/>
  <c r="AM35" i="3"/>
  <c r="Q13" i="3"/>
  <c r="X8" i="3"/>
  <c r="AI40" i="3"/>
  <c r="AO42" i="3"/>
  <c r="W30" i="3"/>
  <c r="AH12" i="3"/>
  <c r="AJ29" i="3"/>
  <c r="X6" i="3"/>
  <c r="G49" i="3"/>
  <c r="AI35" i="3"/>
  <c r="T7" i="3"/>
  <c r="AQ25" i="3"/>
  <c r="H30" i="3"/>
  <c r="N12" i="3"/>
  <c r="R5" i="3"/>
  <c r="Q99" i="2"/>
  <c r="H56" i="2"/>
  <c r="I87" i="2"/>
  <c r="F59" i="2"/>
  <c r="AP68" i="3"/>
  <c r="AB75" i="3"/>
  <c r="H34" i="3"/>
  <c r="O23" i="3"/>
  <c r="AB19" i="3"/>
  <c r="AA34" i="3"/>
  <c r="G37" i="3"/>
  <c r="M15" i="3"/>
  <c r="W15" i="3"/>
  <c r="AG7" i="3"/>
  <c r="H19" i="3"/>
  <c r="O8" i="3"/>
  <c r="J18" i="3"/>
  <c r="I15" i="3"/>
  <c r="AN6" i="3"/>
  <c r="AK9" i="3"/>
  <c r="M31" i="3"/>
  <c r="R26" i="3"/>
  <c r="AJ5" i="3"/>
  <c r="AG23" i="3"/>
  <c r="AI19" i="3"/>
  <c r="T10" i="3"/>
  <c r="AM20" i="3"/>
  <c r="AN24" i="3"/>
  <c r="J21" i="3"/>
  <c r="AP22" i="3"/>
  <c r="AC14" i="3"/>
  <c r="Z36" i="3"/>
  <c r="P19" i="3"/>
  <c r="R37" i="3"/>
  <c r="AH34" i="3"/>
  <c r="Z23" i="3"/>
  <c r="K10" i="3"/>
  <c r="AA14" i="3"/>
  <c r="M27" i="3"/>
  <c r="H23" i="3"/>
  <c r="H16" i="3"/>
  <c r="P15" i="3"/>
  <c r="U35" i="3"/>
  <c r="AM17" i="3"/>
  <c r="AL26" i="3"/>
  <c r="AH19" i="3"/>
  <c r="P37" i="3"/>
  <c r="AL18" i="3"/>
  <c r="S29" i="3"/>
  <c r="T9" i="3"/>
  <c r="K30" i="3"/>
  <c r="M42" i="3"/>
  <c r="AK32" i="3"/>
  <c r="Z5" i="3"/>
  <c r="J28" i="3"/>
  <c r="V5" i="3"/>
  <c r="S22" i="3"/>
  <c r="AK8" i="3"/>
  <c r="N11" i="3"/>
  <c r="N17" i="3"/>
  <c r="O40" i="3"/>
  <c r="N33" i="3"/>
  <c r="AH30" i="3"/>
  <c r="X11" i="3"/>
  <c r="I32" i="3"/>
  <c r="O34" i="3"/>
  <c r="AB16" i="3"/>
  <c r="AD23" i="3"/>
  <c r="AC41" i="3"/>
  <c r="K41" i="3"/>
  <c r="P36" i="3"/>
  <c r="K8" i="3"/>
  <c r="L41" i="3"/>
  <c r="K26" i="3"/>
  <c r="AQ20" i="3"/>
  <c r="M41" i="3"/>
  <c r="J14" i="3"/>
  <c r="X42" i="3"/>
  <c r="U13" i="3"/>
  <c r="AN30" i="3"/>
  <c r="N23" i="3"/>
  <c r="Q8" i="3"/>
  <c r="T27" i="3"/>
  <c r="M16" i="3"/>
  <c r="AE27" i="3"/>
  <c r="K37" i="3"/>
  <c r="Y41" i="3"/>
  <c r="AO8" i="3"/>
  <c r="AI14" i="3"/>
  <c r="C35" i="3"/>
  <c r="Q11" i="3"/>
  <c r="P33" i="3"/>
  <c r="AE15" i="3"/>
  <c r="V15" i="3"/>
  <c r="AM28" i="3"/>
  <c r="AA18" i="3"/>
  <c r="AG41" i="3"/>
  <c r="AC40" i="3"/>
  <c r="I5" i="3"/>
  <c r="W32" i="3"/>
  <c r="AH8" i="3"/>
  <c r="Q7" i="3"/>
  <c r="I12" i="3"/>
  <c r="S8" i="3"/>
  <c r="AI29" i="3"/>
  <c r="R11" i="3"/>
  <c r="AM38" i="3"/>
  <c r="S10" i="3"/>
  <c r="R7" i="3"/>
  <c r="X20" i="3"/>
  <c r="AI33" i="3"/>
  <c r="AG29" i="3"/>
  <c r="M18" i="3"/>
  <c r="AJ28" i="3"/>
  <c r="AN16" i="3"/>
  <c r="AC32" i="3"/>
  <c r="AG40" i="3"/>
  <c r="J31" i="3"/>
  <c r="AO27" i="3"/>
  <c r="U38" i="3"/>
  <c r="N22" i="3"/>
  <c r="P72" i="2"/>
  <c r="C107" i="2"/>
  <c r="E59" i="2"/>
  <c r="E112" i="2"/>
  <c r="AP75" i="3"/>
  <c r="AB87" i="3"/>
  <c r="AI6" i="3"/>
  <c r="X30" i="3"/>
  <c r="AD24" i="3"/>
  <c r="G42" i="3"/>
  <c r="P30" i="3"/>
  <c r="AP37" i="3"/>
  <c r="R15" i="3"/>
  <c r="AN20" i="3"/>
  <c r="P22" i="3"/>
  <c r="AB18" i="3"/>
  <c r="V34" i="3"/>
  <c r="AQ32" i="3"/>
  <c r="AL10" i="3"/>
  <c r="J17" i="3"/>
  <c r="AB12" i="3"/>
  <c r="AC33" i="3"/>
  <c r="T16" i="3"/>
  <c r="AI23" i="3"/>
  <c r="AO25" i="3"/>
  <c r="R42" i="3"/>
  <c r="M6" i="3"/>
  <c r="AA5" i="3"/>
  <c r="I14" i="3"/>
  <c r="U6" i="3"/>
  <c r="S41" i="3"/>
  <c r="Y7" i="3"/>
  <c r="AA23" i="3"/>
  <c r="N28" i="3"/>
  <c r="AK39" i="3"/>
  <c r="AJ12" i="3"/>
  <c r="M12" i="3"/>
  <c r="R39" i="3"/>
  <c r="AI18" i="3"/>
  <c r="L9" i="3"/>
  <c r="V30" i="3"/>
  <c r="Z38" i="3"/>
  <c r="Z13" i="3"/>
  <c r="Z22" i="3"/>
  <c r="AH26" i="3"/>
  <c r="AE37" i="3"/>
  <c r="Q12" i="3"/>
  <c r="N6" i="3"/>
  <c r="AI39" i="3"/>
  <c r="R34" i="3"/>
  <c r="AH27" i="3"/>
  <c r="AA22" i="3"/>
  <c r="O14" i="3"/>
  <c r="L7" i="3"/>
  <c r="AC30" i="3"/>
  <c r="AQ35" i="3"/>
  <c r="X39" i="3"/>
  <c r="T42" i="3"/>
  <c r="D48" i="3"/>
  <c r="M24" i="3"/>
  <c r="AD22" i="3"/>
  <c r="V14" i="3"/>
  <c r="K9" i="3"/>
  <c r="H39" i="3"/>
  <c r="K20" i="3"/>
  <c r="K17" i="3"/>
  <c r="R22" i="3"/>
  <c r="Z39" i="3"/>
  <c r="AJ42" i="3"/>
  <c r="AC11" i="3"/>
  <c r="AE16" i="3"/>
  <c r="Y27" i="3"/>
  <c r="AB32" i="3"/>
  <c r="AM15" i="3"/>
  <c r="AL35" i="3"/>
  <c r="AH18" i="3"/>
  <c r="AC34" i="3"/>
  <c r="H12" i="3"/>
  <c r="AG13" i="3"/>
  <c r="N27" i="3"/>
  <c r="AD49" i="3"/>
  <c r="S18" i="3"/>
  <c r="H33" i="3"/>
  <c r="V39" i="3"/>
  <c r="AA16" i="3"/>
  <c r="AC12" i="3"/>
  <c r="AN11" i="3"/>
  <c r="Y9" i="3"/>
  <c r="J24" i="3"/>
  <c r="W25" i="3"/>
  <c r="L21" i="3"/>
  <c r="R66" i="2"/>
  <c r="N108" i="2"/>
  <c r="T71" i="2"/>
  <c r="D41" i="2"/>
  <c r="AB59" i="3"/>
  <c r="AB54" i="3"/>
  <c r="AG39" i="3"/>
  <c r="M10" i="3"/>
  <c r="AE31" i="3"/>
  <c r="AA9" i="3"/>
  <c r="X34" i="3"/>
  <c r="AL37" i="3"/>
  <c r="R32" i="3"/>
  <c r="AC42" i="3"/>
  <c r="AL9" i="3"/>
  <c r="AO14" i="3"/>
  <c r="AJ23" i="3"/>
  <c r="AJ14" i="3"/>
  <c r="P6" i="3"/>
  <c r="AO32" i="3"/>
  <c r="K42" i="3"/>
  <c r="N36" i="3"/>
  <c r="AE8" i="3"/>
  <c r="T26" i="3"/>
  <c r="AK34" i="3"/>
  <c r="AL42" i="3"/>
  <c r="AB26" i="3"/>
  <c r="AP33" i="3"/>
  <c r="AQ37" i="3"/>
  <c r="W10" i="3"/>
  <c r="H7" i="3"/>
  <c r="AK13" i="3"/>
  <c r="AE41" i="3"/>
  <c r="P29" i="3"/>
  <c r="P23" i="3"/>
  <c r="Y23" i="3"/>
  <c r="V32" i="3"/>
  <c r="AD33" i="3"/>
  <c r="J20" i="3"/>
  <c r="AE23" i="3"/>
  <c r="U14" i="3"/>
  <c r="I33" i="3"/>
  <c r="AI22" i="3"/>
  <c r="J5" i="3"/>
  <c r="AK33" i="3"/>
  <c r="AQ26" i="3"/>
  <c r="X33" i="3"/>
  <c r="C31" i="3"/>
  <c r="V22" i="3"/>
  <c r="AG5" i="3"/>
  <c r="AK40" i="3"/>
  <c r="AO37" i="3"/>
  <c r="AJ39" i="3"/>
  <c r="AE12" i="3"/>
  <c r="AM42" i="3"/>
  <c r="U40" i="3"/>
  <c r="Q25" i="3"/>
  <c r="AP32" i="3"/>
  <c r="AD41" i="3"/>
  <c r="AN5" i="3"/>
  <c r="J9" i="3"/>
  <c r="P42" i="3"/>
  <c r="AJ10" i="3"/>
  <c r="I31" i="3"/>
  <c r="X19" i="3"/>
  <c r="K25" i="3"/>
  <c r="C36" i="3"/>
  <c r="AJ27" i="3"/>
  <c r="V23" i="3"/>
  <c r="P81" i="2"/>
  <c r="F44" i="2"/>
  <c r="E40" i="2"/>
  <c r="G70" i="2"/>
  <c r="AP93" i="3"/>
  <c r="AB82" i="3"/>
  <c r="AN8" i="3"/>
  <c r="W28" i="3"/>
  <c r="AC39" i="3"/>
  <c r="J12" i="3"/>
  <c r="T33" i="3"/>
  <c r="AG37" i="3"/>
  <c r="M23" i="3"/>
  <c r="AE7" i="3"/>
  <c r="N10" i="3"/>
  <c r="R30" i="3"/>
  <c r="N35" i="3"/>
  <c r="AG26" i="3"/>
  <c r="T22" i="3"/>
  <c r="Z24" i="3"/>
  <c r="C30" i="3"/>
  <c r="Y31" i="3"/>
  <c r="K19" i="3"/>
  <c r="V38" i="3"/>
  <c r="AE33" i="3"/>
  <c r="O19" i="3"/>
  <c r="AI32" i="3"/>
  <c r="Q22" i="3"/>
  <c r="I42" i="3"/>
  <c r="I34" i="3"/>
  <c r="AO41" i="3"/>
  <c r="O27" i="3"/>
  <c r="S21" i="3"/>
  <c r="AE29" i="3"/>
  <c r="AM29" i="3"/>
  <c r="AO30" i="3"/>
  <c r="P11" i="3"/>
  <c r="AB25" i="3"/>
  <c r="AM23" i="3"/>
  <c r="S26" i="3"/>
  <c r="AQ15" i="3"/>
  <c r="AB36" i="3"/>
  <c r="AC28" i="3"/>
  <c r="AM7" i="3"/>
  <c r="M19" i="3"/>
  <c r="AG9" i="3"/>
  <c r="O13" i="3"/>
  <c r="AA39" i="3"/>
  <c r="W8" i="3"/>
  <c r="J11" i="3"/>
  <c r="AB15" i="3"/>
  <c r="W42" i="3"/>
  <c r="J30" i="3"/>
  <c r="K34" i="3"/>
  <c r="AM6" i="3"/>
  <c r="P38" i="3"/>
  <c r="U20" i="3"/>
  <c r="Q10" i="3"/>
  <c r="H22" i="3"/>
  <c r="AL23" i="3"/>
  <c r="X47" i="2"/>
  <c r="K48" i="2"/>
  <c r="E80" i="2"/>
  <c r="L46" i="2"/>
  <c r="AB72" i="3"/>
  <c r="C49" i="3"/>
  <c r="M35" i="3"/>
  <c r="AD50" i="3"/>
  <c r="AI24" i="3"/>
  <c r="R35" i="3"/>
  <c r="Y13" i="3"/>
  <c r="AI15" i="3"/>
  <c r="AB23" i="3"/>
  <c r="AG27" i="3"/>
  <c r="AH37" i="3"/>
  <c r="S11" i="3"/>
  <c r="N20" i="3"/>
  <c r="J27" i="3"/>
  <c r="AP9" i="3"/>
  <c r="O9" i="3"/>
  <c r="M7" i="3"/>
  <c r="AQ23" i="3"/>
  <c r="G50" i="3"/>
  <c r="H35" i="3"/>
  <c r="H25" i="3"/>
  <c r="W36" i="3"/>
  <c r="AB29" i="3"/>
  <c r="AQ33" i="3"/>
  <c r="AC16" i="3"/>
  <c r="AO29" i="3"/>
  <c r="AD48" i="3"/>
  <c r="S23" i="3"/>
  <c r="Y36" i="3"/>
  <c r="J29" i="3"/>
  <c r="O26" i="3"/>
  <c r="Q28" i="3"/>
  <c r="AI20" i="3"/>
  <c r="AD30" i="3"/>
  <c r="J13" i="3"/>
  <c r="U9" i="3"/>
  <c r="U39" i="3"/>
  <c r="X40" i="3"/>
  <c r="AD36" i="3"/>
  <c r="AK14" i="3"/>
  <c r="Z21" i="3"/>
  <c r="U27" i="3"/>
  <c r="Y26" i="3"/>
  <c r="AN21" i="3"/>
  <c r="G33" i="3"/>
  <c r="AN42" i="3"/>
  <c r="M28" i="3"/>
  <c r="Y5" i="3"/>
  <c r="L40" i="3"/>
  <c r="K39" i="3"/>
  <c r="I11" i="3"/>
  <c r="Y42" i="3"/>
  <c r="T18" i="3"/>
  <c r="H31" i="3"/>
  <c r="AQ10" i="3"/>
  <c r="AG14" i="3"/>
  <c r="D47" i="3"/>
  <c r="Z14" i="3"/>
  <c r="AQ34" i="3"/>
  <c r="T15" i="3"/>
  <c r="AA28" i="3"/>
  <c r="S20" i="3"/>
  <c r="P12" i="3"/>
  <c r="AN15" i="3"/>
  <c r="S28" i="3"/>
  <c r="AA38" i="3"/>
  <c r="AK19" i="3"/>
  <c r="AL13" i="3"/>
  <c r="R13" i="3"/>
  <c r="N7" i="3"/>
  <c r="AM27" i="3"/>
  <c r="M21" i="3"/>
  <c r="AO22" i="3"/>
  <c r="AH6" i="3"/>
  <c r="AB8" i="3"/>
  <c r="AE26" i="3"/>
  <c r="AN41" i="3"/>
  <c r="L24" i="3"/>
  <c r="Z27" i="3"/>
  <c r="AQ11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H56" i="3"/>
  <c r="J63" i="3"/>
  <c r="AC62" i="3"/>
  <c r="R57" i="3"/>
  <c r="AQ68" i="3"/>
  <c r="U70" i="3"/>
  <c r="AH93" i="3"/>
  <c r="AC77" i="3"/>
  <c r="X67" i="3"/>
  <c r="AL60" i="3"/>
  <c r="AQ56" i="3"/>
  <c r="J89" i="3"/>
  <c r="AO64" i="3"/>
  <c r="V70" i="3"/>
  <c r="AG65" i="3"/>
  <c r="W71" i="3"/>
  <c r="AM90" i="3"/>
  <c r="J64" i="3"/>
  <c r="K84" i="3"/>
  <c r="Q79" i="3"/>
  <c r="K6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AA67" i="3"/>
  <c r="R81" i="3"/>
  <c r="AJ92" i="3"/>
  <c r="AG76" i="3"/>
  <c r="S66" i="3"/>
  <c r="U64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8" i="3"/>
  <c r="L50" i="3"/>
  <c r="M62" i="3"/>
  <c r="AQ54" i="3"/>
  <c r="AA47" i="3"/>
  <c r="AC72" i="3"/>
  <c r="X77" i="3"/>
  <c r="U81" i="3"/>
  <c r="AC54" i="3"/>
  <c r="AH82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K97" i="3"/>
  <c r="AK54" i="3"/>
  <c r="AI94" i="3"/>
  <c r="L62" i="3"/>
  <c r="Q88" i="3"/>
  <c r="AJ69" i="3"/>
  <c r="M7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Q73" i="3"/>
  <c r="L78" i="3"/>
  <c r="M57" i="3"/>
  <c r="AO78" i="3"/>
  <c r="Q94" i="3"/>
  <c r="AH69" i="3"/>
  <c r="I58" i="3"/>
  <c r="S70" i="3"/>
  <c r="O58" i="3"/>
  <c r="AM89" i="3"/>
  <c r="O76" i="3"/>
  <c r="H60" i="3"/>
  <c r="AO88" i="3"/>
  <c r="AM58" i="3"/>
  <c r="AJ5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K61" i="3"/>
  <c r="AO67" i="3"/>
  <c r="K59" i="3"/>
  <c r="Y58" i="3"/>
  <c r="AE50" i="3"/>
  <c r="H71" i="3"/>
  <c r="L47" i="3"/>
  <c r="L65" i="3"/>
  <c r="O59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AE92" i="3"/>
  <c r="AO79" i="3"/>
  <c r="X70" i="3"/>
  <c r="AQ80" i="3"/>
  <c r="X88" i="3"/>
  <c r="H86" i="3"/>
  <c r="W64" i="3"/>
  <c r="Z81" i="3"/>
  <c r="AQ84" i="3"/>
  <c r="AM69" i="3"/>
  <c r="AK81" i="3"/>
  <c r="L97" i="3"/>
  <c r="AI80" i="3"/>
  <c r="AE81" i="3"/>
  <c r="J4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V56" i="3"/>
  <c r="AO48" i="3"/>
  <c r="U61" i="3"/>
  <c r="H61" i="3"/>
  <c r="W68" i="3"/>
  <c r="U76" i="3"/>
  <c r="X84" i="3"/>
  <c r="AA64" i="3"/>
  <c r="V48" i="3"/>
  <c r="N57" i="3"/>
  <c r="AK72" i="3"/>
  <c r="AJ80" i="3"/>
  <c r="J93" i="3"/>
  <c r="W49" i="3"/>
  <c r="Y57" i="3"/>
  <c r="AK63" i="3"/>
  <c r="AI91" i="3"/>
  <c r="S77" i="3"/>
  <c r="AQ91" i="3"/>
  <c r="AH88" i="3"/>
  <c r="O93" i="3"/>
  <c r="AG79" i="3"/>
  <c r="H94" i="3"/>
  <c r="N75" i="3"/>
  <c r="U90" i="3"/>
  <c r="AM77" i="3"/>
  <c r="AG62" i="3"/>
  <c r="S55" i="3"/>
  <c r="N87" i="3"/>
  <c r="L86" i="3"/>
  <c r="N88" i="3"/>
  <c r="U87" i="3"/>
  <c r="Z61" i="3"/>
  <c r="Q78" i="3"/>
  <c r="AL59" i="3"/>
  <c r="M85" i="3"/>
  <c r="AK92" i="3"/>
  <c r="P74" i="3"/>
  <c r="J65" i="3"/>
  <c r="AM54" i="3"/>
  <c r="R65" i="3"/>
  <c r="P65" i="3"/>
  <c r="AN97" i="3"/>
  <c r="U89" i="3"/>
  <c r="Z57" i="3"/>
  <c r="R67" i="3"/>
  <c r="AA49" i="3"/>
  <c r="AE63" i="3"/>
  <c r="AN47" i="3"/>
  <c r="AK76" i="3"/>
  <c r="Y71" i="3"/>
  <c r="M79" i="3"/>
  <c r="AO91" i="3"/>
  <c r="T89" i="3"/>
  <c r="AH97" i="3"/>
  <c r="I83" i="3"/>
  <c r="Q95" i="3"/>
  <c r="K65" i="3"/>
  <c r="R77" i="3"/>
  <c r="P97" i="3"/>
  <c r="AE76" i="3"/>
  <c r="K92" i="3"/>
  <c r="V69" i="3"/>
  <c r="Y60" i="3"/>
  <c r="M67" i="3"/>
  <c r="Y97" i="3"/>
  <c r="AQ95" i="3"/>
  <c r="AE58" i="3"/>
  <c r="AA93" i="3"/>
  <c r="AH83" i="3"/>
  <c r="AG75" i="3"/>
  <c r="L73" i="3"/>
  <c r="M49" i="3"/>
  <c r="Y81" i="3"/>
  <c r="T61" i="3"/>
  <c r="V91" i="3"/>
  <c r="AH54" i="3"/>
  <c r="L55" i="3"/>
  <c r="N64" i="3"/>
  <c r="AN67" i="3"/>
  <c r="X90" i="3"/>
  <c r="AJ82" i="3"/>
  <c r="AL66" i="3"/>
  <c r="AA81" i="3"/>
  <c r="X97" i="3"/>
  <c r="Y83" i="3"/>
  <c r="M84" i="3"/>
  <c r="V75" i="3"/>
  <c r="Q49" i="3"/>
  <c r="M81" i="3"/>
  <c r="AC64" i="3"/>
  <c r="AJ56" i="3"/>
  <c r="AL84" i="3"/>
  <c r="P48" i="3"/>
  <c r="R79" i="3"/>
  <c r="O80" i="3"/>
  <c r="S63" i="3"/>
  <c r="Y67" i="3"/>
  <c r="V72" i="3"/>
  <c r="K93" i="3"/>
  <c r="K85" i="3"/>
  <c r="N86" i="3"/>
  <c r="AC60" i="3"/>
  <c r="AG77" i="3"/>
  <c r="AO85" i="3"/>
  <c r="AL75" i="3"/>
  <c r="I55" i="3"/>
  <c r="AO80" i="3"/>
  <c r="S60" i="3"/>
  <c r="I78" i="3"/>
  <c r="AI79" i="3"/>
  <c r="Y48" i="3"/>
  <c r="AI89" i="3"/>
  <c r="T55" i="3"/>
  <c r="Y62" i="3"/>
  <c r="AC94" i="3"/>
  <c r="AJ87" i="3"/>
  <c r="V60" i="3"/>
  <c r="AQ61" i="3"/>
  <c r="K82" i="3"/>
  <c r="AC70" i="3"/>
  <c r="AQ77" i="3"/>
  <c r="P89" i="3"/>
  <c r="P70" i="3"/>
  <c r="I89" i="3"/>
  <c r="AH63" i="3"/>
  <c r="O64" i="3"/>
  <c r="AG82" i="3"/>
  <c r="J96" i="3"/>
  <c r="O72" i="3"/>
  <c r="Y77" i="3"/>
  <c r="W58" i="3"/>
  <c r="AJ81" i="3"/>
  <c r="I86" i="3"/>
  <c r="N94" i="3"/>
  <c r="Z92" i="3"/>
  <c r="I64" i="3"/>
  <c r="Y85" i="3"/>
  <c r="AJ63" i="3"/>
  <c r="AG64" i="3"/>
  <c r="AQ79" i="3"/>
  <c r="K56" i="3"/>
  <c r="AO47" i="3"/>
  <c r="AQ65" i="3"/>
  <c r="L81" i="3"/>
  <c r="L83" i="3"/>
  <c r="L91" i="3"/>
  <c r="AQ83" i="3"/>
  <c r="AG69" i="3"/>
  <c r="J58" i="3"/>
  <c r="AA73" i="3"/>
  <c r="W88" i="3"/>
  <c r="M73" i="3"/>
  <c r="AA84" i="3"/>
  <c r="AH87" i="3"/>
  <c r="Q90" i="3"/>
  <c r="AQ60" i="3"/>
  <c r="P72" i="3"/>
  <c r="AG91" i="3"/>
  <c r="AH58" i="3"/>
  <c r="S83" i="3"/>
  <c r="AM63" i="3"/>
  <c r="P63" i="3"/>
  <c r="V58" i="3"/>
  <c r="AK73" i="3"/>
  <c r="AN59" i="3"/>
  <c r="AA92" i="3"/>
  <c r="AM49" i="3"/>
  <c r="V83" i="3"/>
  <c r="T72" i="3"/>
  <c r="AK88" i="3"/>
  <c r="J74" i="3"/>
  <c r="AH84" i="3"/>
  <c r="AC79" i="3"/>
  <c r="S56" i="3"/>
  <c r="K57" i="3"/>
  <c r="AM59" i="3"/>
  <c r="Y54" i="3"/>
  <c r="S81" i="3"/>
  <c r="AN69" i="3"/>
  <c r="AJ93" i="3"/>
  <c r="AG66" i="3"/>
  <c r="R64" i="3"/>
  <c r="U71" i="3"/>
  <c r="Z94" i="3"/>
  <c r="W83" i="3"/>
  <c r="AJ73" i="3"/>
  <c r="V68" i="3"/>
  <c r="AH78" i="3"/>
  <c r="U50" i="3"/>
  <c r="P77" i="3"/>
  <c r="S68" i="3"/>
  <c r="U95" i="3"/>
  <c r="Z96" i="3"/>
  <c r="R50" i="3"/>
  <c r="Q66" i="3"/>
  <c r="AG83" i="3"/>
  <c r="Q64" i="3"/>
  <c r="Y90" i="3"/>
  <c r="H66" i="3"/>
  <c r="L61" i="3"/>
  <c r="N78" i="3"/>
  <c r="AJ83" i="3"/>
  <c r="AQ96" i="3"/>
  <c r="O91" i="3"/>
  <c r="X82" i="3"/>
  <c r="I69" i="3"/>
  <c r="T92" i="3"/>
  <c r="N90" i="3"/>
  <c r="AN73" i="3"/>
  <c r="J70" i="3"/>
  <c r="L84" i="3"/>
  <c r="H67" i="3"/>
  <c r="AO76" i="3"/>
  <c r="AN89" i="3"/>
  <c r="Z54" i="3"/>
  <c r="H55" i="3"/>
  <c r="Q93" i="3"/>
  <c r="X75" i="3"/>
  <c r="O92" i="3"/>
  <c r="R94" i="3"/>
  <c r="Z62" i="3"/>
  <c r="I72" i="3"/>
  <c r="X85" i="3"/>
  <c r="V93" i="3"/>
  <c r="T71" i="3"/>
  <c r="AL74" i="3"/>
  <c r="AN68" i="3"/>
  <c r="V47" i="3"/>
  <c r="AO94" i="3"/>
  <c r="X71" i="3"/>
  <c r="Q77" i="3"/>
  <c r="V73" i="3"/>
  <c r="T91" i="3"/>
  <c r="AL72" i="3"/>
  <c r="AQ74" i="3"/>
  <c r="AH79" i="3"/>
  <c r="V94" i="3"/>
  <c r="I67" i="3"/>
  <c r="K69" i="3"/>
  <c r="S84" i="3"/>
  <c r="Z63" i="3"/>
  <c r="AE80" i="3"/>
  <c r="AM60" i="3"/>
  <c r="V95" i="3"/>
  <c r="H78" i="3"/>
  <c r="AJ84" i="3"/>
  <c r="X55" i="3"/>
  <c r="W70" i="3"/>
  <c r="T70" i="3"/>
  <c r="N72" i="3"/>
  <c r="Z83" i="3"/>
  <c r="L49" i="3"/>
  <c r="O79" i="3"/>
  <c r="J78" i="3"/>
  <c r="AN80" i="3"/>
  <c r="AO90" i="3"/>
  <c r="S86" i="3"/>
  <c r="AI86" i="3"/>
  <c r="AL49" i="3"/>
  <c r="AE86" i="3"/>
  <c r="W73" i="3"/>
  <c r="AC92" i="3"/>
  <c r="I73" i="3"/>
  <c r="AA66" i="3"/>
  <c r="T73" i="3"/>
  <c r="AJ85" i="3"/>
  <c r="R68" i="3"/>
  <c r="AA94" i="3"/>
  <c r="M64" i="3"/>
  <c r="J68" i="3"/>
  <c r="AN70" i="3"/>
  <c r="Z88" i="3"/>
  <c r="P78" i="3"/>
  <c r="Q63" i="3"/>
  <c r="AL78" i="3"/>
  <c r="AL76" i="3"/>
  <c r="V74" i="3"/>
  <c r="AM82" i="3"/>
  <c r="AO57" i="3"/>
  <c r="Z91" i="3"/>
  <c r="AC49" i="3"/>
  <c r="K58" i="3"/>
  <c r="P55" i="3"/>
  <c r="AQ63" i="3"/>
  <c r="Q48" i="3"/>
  <c r="AM65" i="3"/>
  <c r="O56" i="3"/>
  <c r="W94" i="3"/>
  <c r="L70" i="3"/>
  <c r="AG93" i="3"/>
  <c r="AQ86" i="3"/>
  <c r="AM50" i="3"/>
  <c r="X78" i="3"/>
  <c r="AL73" i="3"/>
  <c r="AQ64" i="3"/>
  <c r="R71" i="3"/>
  <c r="AG54" i="3"/>
  <c r="AQ55" i="3"/>
  <c r="AI48" i="3"/>
  <c r="AA78" i="3"/>
  <c r="T77" i="3"/>
  <c r="X66" i="3"/>
  <c r="S50" i="3"/>
  <c r="Y50" i="3"/>
  <c r="AE60" i="3"/>
  <c r="AC89" i="3"/>
  <c r="V62" i="3"/>
  <c r="W95" i="3"/>
  <c r="X83" i="3"/>
  <c r="AJ88" i="3"/>
  <c r="AK65" i="3"/>
  <c r="L95" i="3"/>
  <c r="J84" i="3"/>
  <c r="AO74" i="3"/>
  <c r="AO61" i="3"/>
  <c r="AG71" i="3"/>
  <c r="U82" i="3"/>
  <c r="AO66" i="3"/>
  <c r="U47" i="3"/>
  <c r="AA80" i="3"/>
  <c r="AK61" i="3"/>
  <c r="M83" i="3"/>
  <c r="S49" i="3"/>
  <c r="R76" i="3"/>
  <c r="R72" i="3"/>
  <c r="AG97" i="3"/>
  <c r="R96" i="3"/>
  <c r="AI96" i="3"/>
  <c r="P47" i="3"/>
  <c r="P56" i="3"/>
  <c r="Y74" i="3"/>
  <c r="AI68" i="3"/>
  <c r="AO92" i="3"/>
  <c r="J55" i="3"/>
  <c r="AK79" i="3"/>
  <c r="I161" i="1" l="1"/>
  <c r="J209" i="1" s="1"/>
  <c r="L120" i="1"/>
  <c r="F134" i="1"/>
  <c r="R134" i="1"/>
  <c r="R138" i="1" s="1"/>
  <c r="C120" i="1"/>
  <c r="D207" i="1" s="1"/>
  <c r="U161" i="1"/>
  <c r="V209" i="1" s="1"/>
  <c r="S202" i="1"/>
  <c r="N134" i="1"/>
  <c r="N138" i="1" s="1"/>
  <c r="B65" i="1"/>
  <c r="S173" i="1"/>
  <c r="O161" i="1"/>
  <c r="T202" i="1"/>
  <c r="R128" i="1"/>
  <c r="R37" i="1" s="1"/>
  <c r="L134" i="1"/>
  <c r="L33" i="1" s="1"/>
  <c r="V128" i="1"/>
  <c r="V37" i="1" s="1"/>
  <c r="D128" i="1"/>
  <c r="Q202" i="1"/>
  <c r="V202" i="1"/>
  <c r="T120" i="1"/>
  <c r="O120" i="1"/>
  <c r="O54" i="1" s="1"/>
  <c r="E120" i="1"/>
  <c r="M161" i="1"/>
  <c r="N209" i="1" s="1"/>
  <c r="U148" i="1"/>
  <c r="U182" i="1" s="1"/>
  <c r="U181" i="1" s="1"/>
  <c r="T161" i="1"/>
  <c r="U209" i="1" s="1"/>
  <c r="B173" i="1"/>
  <c r="F128" i="1"/>
  <c r="F37" i="1" s="1"/>
  <c r="C134" i="1"/>
  <c r="C138" i="1" s="1"/>
  <c r="Q173" i="1"/>
  <c r="H173" i="1"/>
  <c r="H120" i="1"/>
  <c r="H54" i="1" s="1"/>
  <c r="C173" i="1"/>
  <c r="I120" i="1"/>
  <c r="I248" i="1" s="1"/>
  <c r="I148" i="1"/>
  <c r="S161" i="1"/>
  <c r="T209" i="1" s="1"/>
  <c r="M120" i="1"/>
  <c r="M175" i="1" s="1"/>
  <c r="V161" i="1"/>
  <c r="W209" i="1" s="1"/>
  <c r="S148" i="1"/>
  <c r="S182" i="1" s="1"/>
  <c r="S181" i="1" s="1"/>
  <c r="C202" i="1"/>
  <c r="C128" i="1"/>
  <c r="C37" i="1" s="1"/>
  <c r="J134" i="1"/>
  <c r="J33" i="1" s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C148" i="1"/>
  <c r="K161" i="1"/>
  <c r="D161" i="1"/>
  <c r="F161" i="1"/>
  <c r="M202" i="1"/>
  <c r="F120" i="1"/>
  <c r="F129" i="1" s="1"/>
  <c r="F55" i="1" s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R168" i="1" s="1"/>
  <c r="R109" i="1" s="1"/>
  <c r="I173" i="1"/>
  <c r="R120" i="1"/>
  <c r="R207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34" i="1" s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D168" i="1"/>
  <c r="D109" i="1" s="1"/>
  <c r="F138" i="1"/>
  <c r="F33" i="1"/>
  <c r="N175" i="1"/>
  <c r="N54" i="1"/>
  <c r="N248" i="1"/>
  <c r="N207" i="1"/>
  <c r="E175" i="1"/>
  <c r="E207" i="1"/>
  <c r="J138" i="1"/>
  <c r="R33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T175" i="1"/>
  <c r="BJ27" i="1"/>
  <c r="BV10" i="1"/>
  <c r="BV16" i="1" s="1"/>
  <c r="T168" i="1"/>
  <c r="T109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F168" i="1"/>
  <c r="F109" i="1" s="1"/>
  <c r="V168" i="1"/>
  <c r="V109" i="1" s="1"/>
  <c r="BI202" i="1"/>
  <c r="T54" i="1"/>
  <c r="T248" i="1"/>
  <c r="BW202" i="1"/>
  <c r="BJ28" i="1"/>
  <c r="BJ17" i="1"/>
  <c r="DB77" i="1"/>
  <c r="CY65" i="1"/>
  <c r="CZ63" i="1"/>
  <c r="C249" i="1" l="1"/>
  <c r="C251" i="1" s="1"/>
  <c r="D249" i="1"/>
  <c r="D251" i="1" s="1"/>
  <c r="D206" i="1"/>
  <c r="C33" i="1"/>
  <c r="M207" i="1"/>
  <c r="M248" i="1"/>
  <c r="C54" i="1"/>
  <c r="L138" i="1"/>
  <c r="S249" i="1"/>
  <c r="S251" i="1" s="1"/>
  <c r="C129" i="1"/>
  <c r="C55" i="1" s="1"/>
  <c r="M54" i="1"/>
  <c r="C175" i="1"/>
  <c r="C207" i="1"/>
  <c r="T206" i="1"/>
  <c r="H175" i="1"/>
  <c r="T138" i="1"/>
  <c r="O248" i="1"/>
  <c r="O175" i="1"/>
  <c r="S37" i="1"/>
  <c r="R54" i="1"/>
  <c r="I175" i="1"/>
  <c r="S168" i="1"/>
  <c r="S109" i="1" s="1"/>
  <c r="I207" i="1"/>
  <c r="O207" i="1"/>
  <c r="N33" i="1"/>
  <c r="I54" i="1"/>
  <c r="S206" i="1"/>
  <c r="H248" i="1"/>
  <c r="C107" i="1"/>
  <c r="C66" i="1"/>
  <c r="C68" i="1" s="1"/>
  <c r="C108" i="1"/>
  <c r="P196" i="1"/>
  <c r="G209" i="1"/>
  <c r="F248" i="1"/>
  <c r="F207" i="1"/>
  <c r="F175" i="1"/>
  <c r="F54" i="1"/>
  <c r="U196" i="1"/>
  <c r="E206" i="1"/>
  <c r="Q248" i="1"/>
  <c r="T207" i="1"/>
  <c r="T205" i="1" s="1"/>
  <c r="Q168" i="1"/>
  <c r="Q109" i="1" s="1"/>
  <c r="H197" i="1"/>
  <c r="U207" i="1"/>
  <c r="U54" i="1"/>
  <c r="S197" i="1"/>
  <c r="E196" i="1"/>
  <c r="S33" i="1"/>
  <c r="S138" i="1"/>
  <c r="T203" i="1" s="1"/>
  <c r="T201" i="1" s="1"/>
  <c r="B138" i="1"/>
  <c r="C203" i="1" s="1"/>
  <c r="C201" i="1" s="1"/>
  <c r="B33" i="1"/>
  <c r="S185" i="1"/>
  <c r="S157" i="1"/>
  <c r="S165" i="1" s="1"/>
  <c r="H138" i="1"/>
  <c r="H33" i="1"/>
  <c r="U33" i="1"/>
  <c r="U138" i="1"/>
  <c r="E209" i="1"/>
  <c r="D248" i="1"/>
  <c r="O129" i="1"/>
  <c r="O55" i="1" s="1"/>
  <c r="O206" i="1"/>
  <c r="O205" i="1" s="1"/>
  <c r="F182" i="1"/>
  <c r="G196" i="1"/>
  <c r="F157" i="1"/>
  <c r="F165" i="1" s="1"/>
  <c r="F166" i="1" s="1"/>
  <c r="K209" i="1"/>
  <c r="J248" i="1"/>
  <c r="G207" i="1"/>
  <c r="G175" i="1"/>
  <c r="H207" i="1"/>
  <c r="G54" i="1"/>
  <c r="J37" i="1"/>
  <c r="J129" i="1"/>
  <c r="J55" i="1" s="1"/>
  <c r="J168" i="1"/>
  <c r="J109" i="1" s="1"/>
  <c r="J249" i="1"/>
  <c r="J251" i="1" s="1"/>
  <c r="D197" i="1"/>
  <c r="C157" i="1"/>
  <c r="C165" i="1" s="1"/>
  <c r="J182" i="1"/>
  <c r="J181" i="1" s="1"/>
  <c r="K196" i="1"/>
  <c r="J196" i="1"/>
  <c r="H129" i="1"/>
  <c r="H55" i="1" s="1"/>
  <c r="H37" i="1"/>
  <c r="H168" i="1"/>
  <c r="H109" i="1" s="1"/>
  <c r="H206" i="1"/>
  <c r="H205" i="1" s="1"/>
  <c r="E182" i="1"/>
  <c r="E181" i="1" s="1"/>
  <c r="F196" i="1"/>
  <c r="P138" i="1"/>
  <c r="P33" i="1"/>
  <c r="V249" i="1"/>
  <c r="V251" i="1" s="1"/>
  <c r="U249" i="1"/>
  <c r="U251" i="1" s="1"/>
  <c r="R129" i="1"/>
  <c r="R55" i="1" s="1"/>
  <c r="R175" i="1"/>
  <c r="T185" i="1"/>
  <c r="T184" i="1" s="1"/>
  <c r="T197" i="1"/>
  <c r="U197" i="1"/>
  <c r="K207" i="1"/>
  <c r="S246" i="1"/>
  <c r="G138" i="1"/>
  <c r="G203" i="1" s="1"/>
  <c r="G201" i="1" s="1"/>
  <c r="G33" i="1"/>
  <c r="I33" i="1"/>
  <c r="I138" i="1"/>
  <c r="J203" i="1" s="1"/>
  <c r="J201" i="1" s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05" i="1" s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D198" i="1" s="1"/>
  <c r="D199" i="1" s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D111" i="1" s="1"/>
  <c r="D114" i="1" s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R205" i="1" s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R13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110" i="1"/>
  <c r="D113" i="1" s="1"/>
  <c r="AI27" i="1"/>
  <c r="BA19" i="1"/>
  <c r="BH27" i="1"/>
  <c r="AS134" i="1"/>
  <c r="AS33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T165" i="1" l="1"/>
  <c r="T246" i="1"/>
  <c r="F205" i="1"/>
  <c r="L244" i="1"/>
  <c r="L246" i="1"/>
  <c r="D205" i="1"/>
  <c r="E205" i="1"/>
  <c r="P198" i="1"/>
  <c r="P199" i="1" s="1"/>
  <c r="S205" i="1"/>
  <c r="M205" i="1"/>
  <c r="S198" i="1"/>
  <c r="S199" i="1" s="1"/>
  <c r="U205" i="1"/>
  <c r="U203" i="1"/>
  <c r="U201" i="1" s="1"/>
  <c r="C205" i="1"/>
  <c r="F198" i="1"/>
  <c r="F199" i="1" s="1"/>
  <c r="U244" i="1"/>
  <c r="U246" i="1"/>
  <c r="S244" i="1"/>
  <c r="S203" i="1"/>
  <c r="S201" i="1" s="1"/>
  <c r="AW202" i="1"/>
  <c r="B165" i="1"/>
  <c r="B244" i="1" s="1"/>
  <c r="C69" i="1"/>
  <c r="U198" i="1"/>
  <c r="U199" i="1" s="1"/>
  <c r="U213" i="1" s="1"/>
  <c r="V205" i="1"/>
  <c r="BU202" i="1"/>
  <c r="I205" i="1"/>
  <c r="BR249" i="1"/>
  <c r="H165" i="1"/>
  <c r="H166" i="1" s="1"/>
  <c r="J166" i="1"/>
  <c r="G198" i="1"/>
  <c r="G199" i="1" s="1"/>
  <c r="H198" i="1"/>
  <c r="H199" i="1" s="1"/>
  <c r="T198" i="1"/>
  <c r="T199" i="1" s="1"/>
  <c r="G165" i="1"/>
  <c r="G166" i="1" s="1"/>
  <c r="K205" i="1"/>
  <c r="I165" i="1"/>
  <c r="I166" i="1" s="1"/>
  <c r="J198" i="1"/>
  <c r="J199" i="1" s="1"/>
  <c r="J213" i="1" s="1"/>
  <c r="U165" i="1"/>
  <c r="U166" i="1" s="1"/>
  <c r="Q198" i="1"/>
  <c r="Q199" i="1" s="1"/>
  <c r="T166" i="1"/>
  <c r="R166" i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W203" i="1"/>
  <c r="W201" i="1" s="1"/>
  <c r="V198" i="1"/>
  <c r="V199" i="1" s="1"/>
  <c r="I203" i="1"/>
  <c r="I201" i="1" s="1"/>
  <c r="I244" i="1"/>
  <c r="I246" i="1"/>
  <c r="V165" i="1"/>
  <c r="V166" i="1" s="1"/>
  <c r="E198" i="1"/>
  <c r="E199" i="1" s="1"/>
  <c r="K198" i="1"/>
  <c r="K199" i="1" s="1"/>
  <c r="P165" i="1"/>
  <c r="P166" i="1" s="1"/>
  <c r="H246" i="1"/>
  <c r="H244" i="1"/>
  <c r="F181" i="1"/>
  <c r="F186" i="1"/>
  <c r="P244" i="1"/>
  <c r="P246" i="1"/>
  <c r="G244" i="1"/>
  <c r="G246" i="1"/>
  <c r="H203" i="1"/>
  <c r="H201" i="1" s="1"/>
  <c r="N203" i="1"/>
  <c r="N201" i="1" s="1"/>
  <c r="M203" i="1"/>
  <c r="M201" i="1" s="1"/>
  <c r="M244" i="1"/>
  <c r="M246" i="1"/>
  <c r="S186" i="1"/>
  <c r="S184" i="1"/>
  <c r="L203" i="1"/>
  <c r="L201" i="1" s="1"/>
  <c r="K203" i="1"/>
  <c r="K201" i="1" s="1"/>
  <c r="D165" i="1"/>
  <c r="J205" i="1"/>
  <c r="L205" i="1"/>
  <c r="E165" i="1"/>
  <c r="E166" i="1" s="1"/>
  <c r="K165" i="1"/>
  <c r="K166" i="1" s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D70" i="1" l="1"/>
  <c r="S213" i="1"/>
  <c r="S210" i="1"/>
  <c r="S211" i="1" s="1"/>
  <c r="C87" i="1"/>
  <c r="C70" i="1"/>
  <c r="C86" i="1"/>
  <c r="B89" i="1"/>
  <c r="B166" i="1"/>
  <c r="U210" i="1"/>
  <c r="U211" i="1" s="1"/>
  <c r="C85" i="1"/>
  <c r="G210" i="1"/>
  <c r="G211" i="1" s="1"/>
  <c r="G213" i="1"/>
  <c r="T213" i="1"/>
  <c r="T210" i="1"/>
  <c r="T211" i="1" s="1"/>
  <c r="Q210" i="1"/>
  <c r="Q211" i="1" s="1"/>
  <c r="I189" i="1"/>
  <c r="I190" i="1" s="1"/>
  <c r="J210" i="1"/>
  <c r="J211" i="1" s="1"/>
  <c r="E210" i="1"/>
  <c r="E211" i="1" s="1"/>
  <c r="Q213" i="1"/>
  <c r="F210" i="1"/>
  <c r="F211" i="1" s="1"/>
  <c r="F213" i="1"/>
  <c r="H213" i="1"/>
  <c r="H210" i="1"/>
  <c r="H211" i="1" s="1"/>
  <c r="AV109" i="1"/>
  <c r="AW37" i="1"/>
  <c r="E213" i="1"/>
  <c r="K210" i="1"/>
  <c r="K211" i="1" s="1"/>
  <c r="K213" i="1"/>
  <c r="C210" i="1"/>
  <c r="C211" i="1" s="1"/>
  <c r="C213" i="1"/>
  <c r="D244" i="1"/>
  <c r="D166" i="1"/>
  <c r="I210" i="1"/>
  <c r="I211" i="1" s="1"/>
  <c r="I213" i="1"/>
  <c r="BS138" i="1"/>
  <c r="BT33" i="1"/>
  <c r="BR246" i="1"/>
  <c r="BR244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E142" i="1"/>
  <c r="AC124" i="1"/>
  <c r="BT203" i="1" l="1"/>
  <c r="BT201" i="1" s="1"/>
  <c r="BS203" i="1"/>
  <c r="BS201" i="1" s="1"/>
  <c r="AV110" i="1"/>
  <c r="AV113" i="1" s="1"/>
  <c r="AV111" i="1"/>
  <c r="AV114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Y8" i="1"/>
  <c r="CY253" i="1" s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Y10" i="1"/>
  <c r="CY231" i="1"/>
  <c r="CU15" i="1"/>
  <c r="CU18" i="1"/>
  <c r="CU148" i="1"/>
  <c r="CU156" i="1"/>
  <c r="CU157" i="1" s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" i="1" s="1"/>
  <c r="CY153" i="1"/>
  <c r="CY146" i="1"/>
  <c r="CY152" i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Y18" i="1"/>
  <c r="CY28" i="1"/>
  <c r="CY14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6" i="1"/>
  <c r="AA108" i="1"/>
  <c r="AA111" i="1"/>
  <c r="AA107" i="1"/>
  <c r="AA110" i="1"/>
  <c r="AA113" i="1"/>
  <c r="AA85" i="1"/>
  <c r="AA87" i="1"/>
  <c r="AA114" i="1"/>
  <c r="AA92" i="1"/>
  <c r="AA99" i="1"/>
  <c r="AA103" i="1"/>
  <c r="AA102" i="1"/>
  <c r="AA104" i="1"/>
  <c r="AA96" i="1"/>
  <c r="AA94" i="1"/>
  <c r="AA9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Y63" i="1"/>
  <c r="Z65" i="1"/>
  <c r="Z107" i="1"/>
  <c r="Z110" i="1"/>
  <c r="Z113" i="1"/>
  <c r="Y65" i="1"/>
  <c r="AC65" i="1"/>
  <c r="AD63" i="1"/>
  <c r="Z108" i="1"/>
  <c r="Z111" i="1"/>
  <c r="Z114" i="1"/>
  <c r="Z99" i="1"/>
  <c r="Z92" i="1"/>
  <c r="Z66" i="1"/>
  <c r="X6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Z68" i="1"/>
  <c r="Z94" i="1"/>
  <c r="Z104" i="1"/>
  <c r="Z103" i="1"/>
  <c r="AD65" i="1"/>
  <c r="Y108" i="1"/>
  <c r="Y107" i="1"/>
  <c r="Y69" i="1"/>
  <c r="AD108" i="1"/>
  <c r="Y103" i="1"/>
  <c r="X65" i="1"/>
  <c r="X92" i="1"/>
  <c r="X96" i="1"/>
  <c r="AC66" i="1"/>
  <c r="AC92" i="1"/>
  <c r="I63" i="1"/>
  <c r="H63" i="1"/>
  <c r="G63" i="1"/>
  <c r="F63" i="1"/>
  <c r="O65" i="1"/>
  <c r="O108" i="1"/>
  <c r="AC68" i="1"/>
  <c r="Y70" i="1"/>
  <c r="K65" i="1"/>
  <c r="Z89" i="1"/>
  <c r="AB99" i="1"/>
  <c r="AD66" i="1"/>
  <c r="AD107" i="1"/>
  <c r="Q65" i="1"/>
  <c r="Q99" i="1"/>
  <c r="Q104" i="1"/>
  <c r="O92" i="1"/>
  <c r="E63" i="1"/>
  <c r="E65" i="1"/>
  <c r="E92" i="1"/>
  <c r="E94" i="1"/>
  <c r="AE63" i="1"/>
  <c r="AE65" i="1"/>
  <c r="AE66" i="1"/>
  <c r="AE69" i="1"/>
  <c r="AE85" i="1"/>
  <c r="G65" i="1"/>
  <c r="G92" i="1"/>
  <c r="G94" i="1"/>
  <c r="O107" i="1"/>
  <c r="O110" i="1"/>
  <c r="O113" i="1"/>
  <c r="AC94" i="1"/>
  <c r="Z102" i="1"/>
  <c r="E96" i="1"/>
  <c r="Y104" i="1"/>
  <c r="X66" i="1"/>
  <c r="Y102" i="1"/>
  <c r="Y95" i="1"/>
  <c r="Y96" i="1"/>
  <c r="H65" i="1"/>
  <c r="H108" i="1"/>
  <c r="H111" i="1"/>
  <c r="R65" i="1"/>
  <c r="R92" i="1"/>
  <c r="R94" i="1"/>
  <c r="H114" i="1"/>
  <c r="J65" i="1"/>
  <c r="J108" i="1"/>
  <c r="J111" i="1"/>
  <c r="M65" i="1"/>
  <c r="M107" i="1"/>
  <c r="M110" i="1"/>
  <c r="AC99" i="1"/>
  <c r="AD99" i="1"/>
  <c r="AB66" i="1"/>
  <c r="M66" i="1"/>
  <c r="M69" i="1"/>
  <c r="W65" i="1"/>
  <c r="W99" i="1"/>
  <c r="P65" i="1"/>
  <c r="P66" i="1"/>
  <c r="P69" i="1"/>
  <c r="L65" i="1"/>
  <c r="L107" i="1"/>
  <c r="L110" i="1"/>
  <c r="L113" i="1"/>
  <c r="W66" i="1"/>
  <c r="M68" i="1"/>
  <c r="L66" i="1"/>
  <c r="L68" i="1"/>
  <c r="H66" i="1"/>
  <c r="H69" i="1"/>
  <c r="H86" i="1"/>
  <c r="M99" i="1"/>
  <c r="M103" i="1"/>
  <c r="V65" i="1"/>
  <c r="V66" i="1"/>
  <c r="V69" i="1"/>
  <c r="U89" i="1"/>
  <c r="V87" i="1"/>
  <c r="S65" i="1"/>
  <c r="S66" i="1"/>
  <c r="S69" i="1"/>
  <c r="S70" i="1"/>
  <c r="I65" i="1"/>
  <c r="I66" i="1"/>
  <c r="I69" i="1"/>
  <c r="I87" i="1"/>
  <c r="H89" i="1"/>
  <c r="W104" i="1"/>
  <c r="P85" i="1"/>
  <c r="G89" i="1"/>
  <c r="W107" i="1"/>
  <c r="M87" i="1"/>
  <c r="O89" i="1"/>
  <c r="R107" i="1"/>
  <c r="R110" i="1"/>
  <c r="R113" i="1"/>
  <c r="R108" i="1"/>
  <c r="R111" i="1"/>
  <c r="R114" i="1"/>
  <c r="N65" i="1"/>
  <c r="N92" i="1"/>
  <c r="N96" i="1"/>
  <c r="N94" i="1"/>
  <c r="T65" i="1"/>
  <c r="T107" i="1"/>
  <c r="T110" i="1"/>
  <c r="T113" i="1"/>
  <c r="T108" i="1"/>
  <c r="T111" i="1"/>
  <c r="T114" i="1"/>
  <c r="I107" i="1"/>
  <c r="I110" i="1"/>
  <c r="I113" i="1"/>
  <c r="X107" i="1"/>
  <c r="X110" i="1"/>
  <c r="S107" i="1"/>
  <c r="Q92" i="1"/>
  <c r="Q96" i="1"/>
  <c r="AB68" i="1"/>
  <c r="AC103" i="1"/>
  <c r="Y68" i="1"/>
  <c r="X95" i="1"/>
  <c r="X94" i="1"/>
  <c r="AC69" i="1"/>
  <c r="P92" i="1"/>
  <c r="P94" i="1"/>
  <c r="AB107" i="1"/>
  <c r="AB110" i="1"/>
  <c r="AC107" i="1"/>
  <c r="V108" i="1"/>
  <c r="AD69" i="1"/>
  <c r="AD92" i="1"/>
  <c r="AE92" i="1"/>
  <c r="AB69" i="1"/>
  <c r="M86" i="1"/>
  <c r="L69" i="1"/>
  <c r="G96" i="1"/>
  <c r="P86" i="1"/>
  <c r="N108" i="1"/>
  <c r="K89" i="1"/>
  <c r="N111" i="1"/>
  <c r="F65" i="1"/>
  <c r="F99" i="1"/>
  <c r="F102" i="1"/>
  <c r="O95" i="1"/>
  <c r="O96" i="1"/>
  <c r="F103" i="1"/>
  <c r="AB87" i="1"/>
  <c r="AB103" i="1"/>
  <c r="AE107" i="1"/>
  <c r="AE110" i="1"/>
  <c r="AE113" i="1"/>
  <c r="AA89" i="1"/>
  <c r="AB113" i="1"/>
  <c r="Z69" i="1"/>
  <c r="AE94" i="1"/>
  <c r="X108" i="1"/>
  <c r="X111" i="1"/>
  <c r="X114" i="1"/>
  <c r="Y89" i="1"/>
  <c r="X69" i="1"/>
  <c r="W89" i="1"/>
  <c r="M108" i="1"/>
  <c r="M111" i="1"/>
  <c r="M114" i="1"/>
  <c r="X70" i="1"/>
  <c r="P99" i="1"/>
  <c r="I86" i="1"/>
  <c r="AD86" i="1"/>
  <c r="AD85" i="1"/>
  <c r="W110" i="1"/>
  <c r="L108" i="1"/>
  <c r="Z96" i="1"/>
  <c r="Y111" i="1"/>
  <c r="P96" i="1"/>
  <c r="H87" i="1"/>
  <c r="AC87" i="1"/>
  <c r="AD87" i="1"/>
  <c r="AD111" i="1"/>
  <c r="W68" i="1"/>
  <c r="I92" i="1"/>
  <c r="T92" i="1"/>
  <c r="AC70" i="1"/>
  <c r="P70" i="1"/>
  <c r="AD68" i="1"/>
  <c r="Q95" i="1"/>
  <c r="O111" i="1"/>
  <c r="AC102" i="1"/>
  <c r="Q94" i="1"/>
  <c r="K107" i="1"/>
  <c r="K110" i="1"/>
  <c r="K113" i="1"/>
  <c r="AB108" i="1"/>
  <c r="AB111" i="1"/>
  <c r="AB114" i="1"/>
  <c r="I108" i="1"/>
  <c r="L89" i="1"/>
  <c r="I111" i="1"/>
  <c r="I114" i="1"/>
  <c r="AE68" i="1"/>
  <c r="P107" i="1"/>
  <c r="P110" i="1"/>
  <c r="V86" i="1"/>
  <c r="AC95" i="1"/>
  <c r="O66" i="1"/>
  <c r="O69" i="1"/>
  <c r="O87" i="1"/>
  <c r="I85" i="1"/>
  <c r="E99" i="1"/>
  <c r="H99" i="1"/>
  <c r="V99" i="1"/>
  <c r="G66" i="1"/>
  <c r="G69" i="1"/>
  <c r="I99" i="1"/>
  <c r="U65" i="1"/>
  <c r="U99" i="1"/>
  <c r="R99" i="1"/>
  <c r="N66" i="1"/>
  <c r="N69" i="1"/>
  <c r="R66" i="1"/>
  <c r="R69" i="1"/>
  <c r="L99" i="1"/>
  <c r="S99" i="1"/>
  <c r="N99" i="1"/>
  <c r="U66" i="1"/>
  <c r="U69" i="1"/>
  <c r="E66" i="1"/>
  <c r="T66" i="1"/>
  <c r="T69" i="1"/>
  <c r="O99" i="1"/>
  <c r="K66" i="1"/>
  <c r="J66" i="1"/>
  <c r="J69" i="1"/>
  <c r="K99" i="1"/>
  <c r="T99" i="1"/>
  <c r="G99" i="1"/>
  <c r="J99" i="1"/>
  <c r="F66" i="1"/>
  <c r="F69" i="1"/>
  <c r="J102" i="1"/>
  <c r="V68" i="1"/>
  <c r="F68" i="1"/>
  <c r="N85" i="1"/>
  <c r="V92" i="1"/>
  <c r="E107" i="1"/>
  <c r="E110" i="1"/>
  <c r="G68" i="1"/>
  <c r="W102" i="1"/>
  <c r="S68" i="1"/>
  <c r="K69" i="1"/>
  <c r="Q66" i="1"/>
  <c r="Q69" i="1"/>
  <c r="G70" i="1"/>
  <c r="W108" i="1"/>
  <c r="Q103" i="1"/>
  <c r="I104" i="1"/>
  <c r="E69" i="1"/>
  <c r="E87" i="1"/>
  <c r="Y86" i="1"/>
  <c r="M104" i="1"/>
  <c r="Y110" i="1"/>
  <c r="E102" i="1"/>
  <c r="AD104" i="1"/>
  <c r="H104" i="1"/>
  <c r="M113" i="1"/>
  <c r="AB70" i="1"/>
  <c r="Q107" i="1"/>
  <c r="Q110" i="1"/>
  <c r="Q113" i="1"/>
  <c r="O68" i="1"/>
  <c r="T68" i="1"/>
  <c r="L85" i="1"/>
  <c r="O94" i="1"/>
  <c r="O70" i="1"/>
  <c r="AB102" i="1"/>
  <c r="W113" i="1"/>
  <c r="AD114" i="1"/>
  <c r="M92" i="1"/>
  <c r="F89" i="1"/>
  <c r="M95" i="1"/>
  <c r="I89" i="1"/>
  <c r="V111" i="1"/>
  <c r="L111" i="1"/>
  <c r="H107" i="1"/>
  <c r="H110" i="1"/>
  <c r="H113" i="1"/>
  <c r="L87" i="1"/>
  <c r="T95" i="1"/>
  <c r="AB104" i="1"/>
  <c r="K103" i="1"/>
  <c r="G104" i="1"/>
  <c r="J104" i="1"/>
  <c r="V114" i="1"/>
  <c r="P95" i="1"/>
  <c r="K92" i="1"/>
  <c r="F92" i="1"/>
  <c r="X113" i="1"/>
  <c r="G85" i="1"/>
  <c r="O85" i="1"/>
  <c r="R103" i="1"/>
  <c r="K104" i="1"/>
  <c r="Y114" i="1"/>
  <c r="F95" i="1"/>
  <c r="X86" i="1"/>
  <c r="K102" i="1"/>
  <c r="K96" i="1"/>
  <c r="K94" i="1"/>
  <c r="Z85" i="1"/>
  <c r="T102" i="1"/>
  <c r="W103" i="1"/>
  <c r="E89" i="1"/>
  <c r="E104" i="1"/>
  <c r="P103" i="1"/>
  <c r="R70" i="1"/>
  <c r="G103" i="1"/>
  <c r="F86" i="1"/>
  <c r="AD89" i="1"/>
  <c r="R104" i="1"/>
  <c r="Z95" i="1"/>
  <c r="Y87" i="1"/>
  <c r="L103" i="1"/>
  <c r="K68" i="1"/>
  <c r="X68" i="1"/>
  <c r="Q102" i="1"/>
  <c r="V70" i="1"/>
  <c r="AE70" i="1"/>
  <c r="AC110" i="1"/>
  <c r="AD70" i="1"/>
  <c r="J70" i="1"/>
  <c r="O102" i="1"/>
  <c r="L86" i="1"/>
  <c r="P89" i="1"/>
  <c r="AD110" i="1"/>
  <c r="AB85" i="1"/>
  <c r="Q85" i="1"/>
  <c r="E103" i="1"/>
  <c r="S110" i="1"/>
  <c r="T96" i="1"/>
  <c r="X99" i="1"/>
  <c r="U68" i="1"/>
  <c r="K108" i="1"/>
  <c r="K111" i="1"/>
  <c r="K114" i="1"/>
  <c r="G108" i="1"/>
  <c r="P108" i="1"/>
  <c r="W69" i="1"/>
  <c r="J114" i="1"/>
  <c r="U102" i="1"/>
  <c r="AD94" i="1"/>
  <c r="P113" i="1"/>
  <c r="M70" i="1"/>
  <c r="AD113" i="1"/>
  <c r="G111" i="1"/>
  <c r="G114" i="1"/>
  <c r="W85" i="1"/>
  <c r="R68" i="1"/>
  <c r="J103" i="1"/>
  <c r="P104" i="1"/>
  <c r="AB86" i="1"/>
  <c r="Y85" i="1"/>
  <c r="S108" i="1"/>
  <c r="S111" i="1"/>
  <c r="S114" i="1"/>
  <c r="F107" i="1"/>
  <c r="F110" i="1"/>
  <c r="F113" i="1"/>
  <c r="F108" i="1"/>
  <c r="F111" i="1"/>
  <c r="F114" i="1"/>
  <c r="V107" i="1"/>
  <c r="V110" i="1"/>
  <c r="V113" i="1"/>
  <c r="M85" i="1"/>
  <c r="AE108" i="1"/>
  <c r="W111" i="1"/>
  <c r="AE87" i="1"/>
  <c r="V94" i="1"/>
  <c r="X89" i="1"/>
  <c r="AD102" i="1"/>
  <c r="AD103" i="1"/>
  <c r="J92" i="1"/>
  <c r="J94" i="1"/>
  <c r="Q108" i="1"/>
  <c r="Q111" i="1"/>
  <c r="Q114" i="1"/>
  <c r="N107" i="1"/>
  <c r="N110" i="1"/>
  <c r="N113" i="1"/>
  <c r="W92" i="1"/>
  <c r="W95" i="1"/>
  <c r="AB92" i="1"/>
  <c r="Y94" i="1"/>
  <c r="T87" i="1"/>
  <c r="U87" i="1"/>
  <c r="J68" i="1"/>
  <c r="K87" i="1"/>
  <c r="M102" i="1"/>
  <c r="R89" i="1"/>
  <c r="T86" i="1"/>
  <c r="H92" i="1"/>
  <c r="S92" i="1"/>
  <c r="O103" i="1"/>
  <c r="G95" i="1"/>
  <c r="E108" i="1"/>
  <c r="H94" i="1"/>
  <c r="H68" i="1"/>
  <c r="N95" i="1"/>
  <c r="H85" i="1"/>
  <c r="S86" i="1"/>
  <c r="L92" i="1"/>
  <c r="G107" i="1"/>
  <c r="G110" i="1"/>
  <c r="U107" i="1"/>
  <c r="U110" i="1"/>
  <c r="AB96" i="1"/>
  <c r="H70" i="1"/>
  <c r="G102" i="1"/>
  <c r="S94" i="1"/>
  <c r="V102" i="1"/>
  <c r="H103" i="1"/>
  <c r="H96" i="1"/>
  <c r="J107" i="1"/>
  <c r="J110" i="1"/>
  <c r="J113" i="1"/>
  <c r="E111" i="1"/>
  <c r="E114" i="1"/>
  <c r="T103" i="1"/>
  <c r="I102" i="1"/>
  <c r="P68" i="1"/>
  <c r="E85" i="1"/>
  <c r="E86" i="1"/>
  <c r="I70" i="1"/>
  <c r="S87" i="1"/>
  <c r="P102" i="1"/>
  <c r="U104" i="1"/>
  <c r="R86" i="1"/>
  <c r="N86" i="1"/>
  <c r="P87" i="1"/>
  <c r="V96" i="1"/>
  <c r="S96" i="1"/>
  <c r="AC108" i="1"/>
  <c r="AD95" i="1"/>
  <c r="AD96" i="1"/>
  <c r="AE86" i="1"/>
  <c r="AE95" i="1"/>
  <c r="R95" i="1"/>
  <c r="E113" i="1"/>
  <c r="AE99" i="1"/>
  <c r="W86" i="1"/>
  <c r="X85" i="1"/>
  <c r="S85" i="1"/>
  <c r="U92" i="1"/>
  <c r="R102" i="1"/>
  <c r="F104" i="1"/>
  <c r="X103" i="1"/>
  <c r="T70" i="1"/>
  <c r="U95" i="1"/>
  <c r="E70" i="1"/>
  <c r="H102" i="1"/>
  <c r="E95" i="1"/>
  <c r="M94" i="1"/>
  <c r="R85" i="1"/>
  <c r="P111" i="1"/>
  <c r="AC96" i="1"/>
  <c r="D89" i="1"/>
  <c r="L114" i="1"/>
  <c r="AB89" i="1"/>
  <c r="J87" i="1"/>
  <c r="V95" i="1"/>
  <c r="Q68" i="1"/>
  <c r="V89" i="1"/>
  <c r="U108" i="1"/>
  <c r="U111" i="1"/>
  <c r="AE102" i="1"/>
  <c r="AC86" i="1"/>
  <c r="W96" i="1"/>
  <c r="I68" i="1"/>
  <c r="J86" i="1"/>
  <c r="R96" i="1"/>
  <c r="F85" i="1"/>
  <c r="AB94" i="1"/>
  <c r="L70" i="1"/>
  <c r="Z70" i="1"/>
  <c r="Y113" i="1"/>
  <c r="S95" i="1"/>
  <c r="X87" i="1"/>
  <c r="K95" i="1"/>
  <c r="AE111" i="1"/>
  <c r="AE114" i="1"/>
  <c r="F94" i="1"/>
  <c r="AC89" i="1"/>
  <c r="AE96" i="1"/>
  <c r="V85" i="1"/>
  <c r="N70" i="1"/>
  <c r="N102" i="1"/>
  <c r="K85" i="1"/>
  <c r="U85" i="1"/>
  <c r="L95" i="1"/>
  <c r="AC85" i="1"/>
  <c r="V104" i="1"/>
  <c r="F87" i="1"/>
  <c r="U103" i="1"/>
  <c r="X104" i="1"/>
  <c r="J96" i="1"/>
  <c r="J95" i="1"/>
  <c r="X102" i="1"/>
  <c r="N114" i="1"/>
  <c r="U94" i="1"/>
  <c r="M96" i="1"/>
  <c r="AC104" i="1"/>
  <c r="E68" i="1"/>
  <c r="N104" i="1"/>
  <c r="I96" i="1"/>
  <c r="AC111" i="1"/>
  <c r="AC114" i="1"/>
  <c r="I103" i="1"/>
  <c r="J85" i="1"/>
  <c r="J89" i="1"/>
  <c r="AE104" i="1"/>
  <c r="L94" i="1"/>
  <c r="N68" i="1"/>
  <c r="Q70" i="1"/>
  <c r="W94" i="1"/>
  <c r="Z87" i="1"/>
  <c r="I95" i="1"/>
  <c r="S102" i="1"/>
  <c r="N103" i="1"/>
  <c r="AB95" i="1"/>
  <c r="Z86" i="1"/>
  <c r="F96" i="1"/>
  <c r="U70" i="1"/>
  <c r="S89" i="1"/>
  <c r="L104" i="1"/>
  <c r="R87" i="1"/>
  <c r="Q86" i="1"/>
  <c r="Q89" i="1"/>
  <c r="W70" i="1"/>
  <c r="O114" i="1"/>
  <c r="U86" i="1"/>
  <c r="U96" i="1"/>
  <c r="T89" i="1"/>
  <c r="G86" i="1"/>
  <c r="S104" i="1"/>
  <c r="N89" i="1"/>
  <c r="U113" i="1"/>
  <c r="S113" i="1"/>
  <c r="T94" i="1"/>
  <c r="F70" i="1"/>
  <c r="I94" i="1"/>
  <c r="V103" i="1"/>
  <c r="L102" i="1"/>
  <c r="T85" i="1"/>
  <c r="N87" i="1"/>
  <c r="O86" i="1"/>
  <c r="T104" i="1"/>
  <c r="Q87" i="1"/>
  <c r="P114" i="1"/>
  <c r="U114" i="1"/>
  <c r="M89" i="1"/>
  <c r="K70" i="1"/>
  <c r="AC113" i="1"/>
  <c r="K86" i="1"/>
  <c r="G87" i="1"/>
  <c r="L96" i="1"/>
  <c r="O104" i="1"/>
  <c r="S103" i="1"/>
  <c r="H95" i="1"/>
  <c r="W114" i="1"/>
  <c r="AE103" i="1"/>
  <c r="W87" i="1"/>
  <c r="G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<sst xmlns="http://schemas.openxmlformats.org/spreadsheetml/2006/main" count="663" uniqueCount="524">
  <si>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</si>
  <si>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</si>
  <si>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</si>
  <si>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</si>
  <si>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</si>
  <si>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</si>
  <si>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</si>
  <si>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</si>
  <si>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</si>
  <si>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</si>
  <si>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</si>
  <si>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</si>
  <si>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</si>
  <si>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</si>
  <si>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</si>
  <si>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</si>
  <si>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</si>
  <si>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</si>
  <si>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</si>
  <si>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</si>
  <si>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</si>
  <si>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</si>
  <si>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</si>
  <si>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</si>
  <si>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</si>
  <si>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</si>
  <si>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</si>
  <si>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</si>
  <si>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</si>
  <si>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</si>
  <si>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</si>
  <si>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</si>
  <si>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</si>
  <si>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</si>
  <si>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</si>
  <si>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</si>
  <si>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</si>
  <si>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</si>
  <si>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</si>
  <si>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</si>
  <si>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</si>
  <si>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</si>
  <si>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</si>
  <si>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</si>
  <si>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</si>
  <si>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</si>
  <si>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</si>
  <si>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</si>
  <si>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</si>
  <si>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</si>
  <si>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</si>
  <si>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</si>
  <si>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</si>
  <si>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</si>
  <si>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</si>
  <si>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</si>
  <si>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</si>
  <si>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</si>
  <si>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</si>
  <si>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</si>
  <si>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</si>
  <si>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</si>
  <si>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</si>
  <si>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</si>
  <si>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</si>
  <si>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</si>
  <si>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</si>
  <si>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</si>
  <si>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</si>
  <si>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</si>
  <si>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</si>
  <si>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</si>
  <si>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</si>
  <si>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</si>
  <si>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</si>
  <si>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</si>
  <si>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</si>
  <si>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</si>
  <si>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</si>
  <si>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</si>
  <si>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</si>
  <si>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</si>
  <si>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</si>
  <si>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</si>
  <si>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</si>
  <si>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</si>
  <si>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</si>
  <si>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</si>
  <si>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</si>
  <si>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</si>
  <si>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</si>
  <si>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</si>
  <si>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</si>
  <si>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</si>
  <si>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</si>
  <si>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</si>
  <si>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</si>
  <si>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</si>
  <si>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</si>
  <si>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</si>
  <si>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</si>
  <si>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</si>
  <si>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</si>
  <si>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</si>
  <si>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</si>
  <si>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</si>
  <si>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</si>
  <si>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</si>
  <si>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</si>
  <si>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</si>
  <si>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</si>
  <si>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</si>
  <si>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</si>
  <si>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</si>
  <si>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</si>
  <si>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</si>
  <si>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</si>
  <si>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</si>
  <si>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</si>
  <si>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</si>
  <si>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</si>
  <si>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</si>
  <si>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</si>
  <si>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</si>
  <si>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</si>
  <si>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</si>
  <si>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</si>
  <si>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</si>
  <si>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</si>
  <si>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</si>
  <si>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</si>
  <si>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</si>
  <si>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</si>
  <si>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</si>
  <si>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</si>
  <si>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</si>
  <si>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</si>
  <si>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</si>
  <si>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</si>
  <si>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</si>
  <si>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</si>
  <si>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</si>
  <si>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</si>
  <si>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</si>
  <si>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</si>
  <si>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</si>
  <si>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</si>
  <si>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</si>
  <si>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</si>
  <si>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</si>
  <si>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</si>
  <si>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</si>
  <si>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</si>
  <si>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</si>
  <si>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</si>
  <si>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</si>
  <si>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</si>
  <si>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</si>
  <si>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</si>
  <si>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</si>
  <si>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</si>
  <si>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</si>
  <si>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</si>
  <si>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</si>
  <si>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</si>
  <si>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</si>
  <si>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</si>
  <si>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</si>
  <si>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</si>
  <si>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</si>
  <si>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</si>
  <si>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</si>
  <si>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</si>
  <si>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</si>
  <si>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</si>
  <si>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</si>
  <si>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</si>
  <si>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</si>
  <si>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</si>
  <si>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</si>
  <si>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</si>
  <si>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</si>
  <si>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</si>
  <si>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</si>
  <si>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</si>
  <si>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</si>
  <si>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</si>
  <si>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</si>
  <si>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</si>
  <si>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</si>
  <si>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</si>
  <si>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</si>
  <si>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</si>
  <si>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</si>
  <si>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</si>
  <si>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</si>
  <si>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</si>
  <si>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</si>
  <si>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</si>
  <si>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</si>
  <si>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</si>
  <si>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</si>
  <si>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</si>
  <si>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</si>
  <si>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</si>
  <si>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</si>
  <si>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</si>
  <si>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</si>
  <si>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</si>
  <si>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</si>
  <si>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</si>
  <si>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</si>
  <si>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</si>
  <si>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</si>
  <si>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</si>
  <si>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</si>
  <si>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</si>
  <si>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</si>
  <si>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</si>
  <si>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</si>
  <si>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</si>
  <si>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</si>
  <si>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</si>
  <si>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</si>
  <si>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</si>
  <si>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</si>
  <si>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</si>
  <si>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</si>
  <si>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</si>
  <si>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</si>
  <si>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</si>
  <si>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</si>
  <si>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</si>
  <si>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</si>
  <si>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</si>
  <si>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</si>
  <si>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</si>
  <si>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</si>
  <si>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</si>
  <si>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</si>
  <si>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</si>
  <si>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</si>
  <si>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</si>
  <si>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</si>
  <si>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</si>
  <si>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</si>
  <si>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</si>
  <si>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</si>
  <si>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</si>
  <si>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</si>
  <si>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</si>
  <si>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</si>
  <si>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</si>
  <si>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</si>
  <si>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</si>
  <si>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</si>
  <si>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</si>
  <si>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</si>
  <si>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</si>
  <si>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</si>
  <si>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</si>
  <si>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</si>
  <si>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</si>
  <si>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</si>
  <si>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</si>
  <si>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</si>
  <si>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</si>
  <si>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</si>
  <si>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</si>
  <si>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</si>
  <si>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</si>
  <si>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</si>
  <si>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</si>
  <si>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</si>
  <si>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</si>
  <si>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</si>
  <si>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</si>
  <si>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</si>
  <si>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</si>
  <si>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</si>
  <si>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</si>
  <si>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</si>
  <si>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</si>
  <si>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</si>
  <si>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</si>
  <si>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</si>
  <si>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</si>
  <si>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</si>
  <si>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</si>
  <si>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</si>
  <si>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</si>
  <si>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</si>
  <si>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</si>
  <si>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</si>
  <si>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</si>
  <si>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</si>
  <si>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</si>
  <si>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</si>
  <si>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</si>
  <si>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</si>
  <si>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</si>
  <si>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</si>
  <si>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</si>
  <si>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</si>
  <si>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</si>
  <si>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</si>
  <si>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</si>
  <si>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</si>
  <si>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</si>
  <si>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</si>
  <si>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</si>
  <si>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</si>
  <si>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</si>
  <si>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</si>
  <si>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</si>
  <si>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</si>
  <si>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</si>
  <si>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</si>
  <si>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</si>
  <si>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</si>
  <si>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</si>
  <si>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</si>
  <si>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</si>
  <si>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</si>
  <si>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</si>
  <si>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</si>
  <si>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</si>
  <si>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</si>
  <si>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</si>
  <si>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</si>
  <si>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</si>
  <si>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</si>
  <si>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</si>
  <si>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</si>
  <si>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</si>
  <si>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</si>
  <si>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</si>
  <si>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</si>
  <si>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</si>
  <si>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</si>
  <si>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</si>
  <si>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</si>
  <si>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</si>
  <si>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</si>
  <si>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</si>
  <si>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</si>
  <si>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</si>
  <si>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</si>
  <si>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</si>
  <si>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</si>
  <si>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</si>
  <si>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</si>
  <si>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</si>
  <si>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</si>
  <si>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</si>
  <si>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</si>
  <si>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</si>
  <si>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</si>
  <si>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</si>
  <si>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</si>
  <si>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</si>
  <si>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</si>
  <si>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</si>
  <si>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</si>
  <si>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</si>
  <si>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</si>
  <si>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</si>
  <si>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</si>
  <si>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</si>
  <si>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</si>
  <si>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</si>
  <si>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</si>
  <si>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</si>
  <si>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</si>
  <si>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</si>
  <si>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</si>
  <si>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</si>
  <si>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</si>
  <si>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</si>
  <si>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</si>
  <si>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</si>
  <si>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</si>
  <si>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</si>
  <si>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</si>
  <si>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</si>
  <si>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</si>
  <si>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</si>
  <si>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</si>
  <si>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</si>
  <si>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</si>
  <si>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</si>
  <si>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</si>
  <si>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</si>
  <si>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</si>
  <si>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</si>
  <si>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</si>
  <si>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</si>
  <si>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</si>
  <si>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</si>
  <si>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</si>
  <si>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</si>
  <si>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</si>
  <si>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</si>
  <si>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</si>
  <si>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</si>
  <si>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</si>
  <si>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</si>
  <si>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</si>
  <si>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</si>
  <si>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</si>
  <si>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</si>
  <si>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</si>
  <si>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</si>
  <si>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</si>
  <si>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</si>
  <si>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</si>
  <si>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</si>
  <si>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</si>
  <si>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</si>
  <si>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</si>
  <si>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</si>
  <si>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</si>
  <si>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</si>
  <si>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</si>
  <si>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</si>
  <si>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</si>
  <si>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</si>
  <si>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</si>
  <si>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</si>
  <si>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</si>
  <si>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</si>
  <si>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</si>
  <si>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</si>
  <si>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</si>
  <si>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</si>
  <si>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</si>
  <si>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</si>
  <si>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</si>
  <si>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</si>
  <si>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</si>
  <si>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</si>
  <si>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</si>
  <si>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</si>
  <si>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</si>
  <si>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</si>
  <si>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</si>
  <si>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</si>
  <si>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</si>
  <si>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</si>
  <si>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</si>
  <si>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</si>
  <si>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</si>
  <si>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</si>
  <si>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</si>
  <si>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</si>
  <si>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</si>
  <si>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</si>
  <si>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</si>
  <si>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</si>
  <si>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</si>
  <si>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</si>
  <si>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</si>
  <si>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</si>
  <si>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</si>
  <si>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</si>
  <si>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</si>
  <si>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</si>
  <si>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</si>
  <si>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</si>
  <si>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</si>
  <si>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</si>
  <si>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</si>
  <si>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</si>
  <si>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</si>
  <si>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</si>
  <si>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</si>
  <si>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</si>
  <si>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</si>
  <si>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</si>
  <si>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</si>
  <si>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</si>
  <si>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</si>
  <si>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</si>
  <si>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</si>
  <si>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</si>
  <si>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</si>
  <si>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</si>
  <si>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</si>
  <si>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</si>
  <si>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</si>
  <si>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</si>
  <si>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</si>
  <si>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</si>
  <si>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</si>
  <si>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</si>
  <si>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</si>
  <si>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</si>
  <si>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</si>
  <si>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</si>
  <si>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</si>
  <si>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</si>
  <si>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</si>
  <si>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</si>
  <si>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</si>
  <si>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</si>
  <si>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</si>
  <si>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</si>
  <si>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</si>
  <si>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</si>
  <si>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</si>
  <si>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</si>
  <si>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</si>
  <si>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</si>
  <si>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</si>
  <si>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</si>
  <si>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Sunshield Chemicals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</si>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</sst>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Sunshield Chemicals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23.998149600000001</v>
      </c>
      <c r="F8" s="25">
        <f>'Annual Raw'!G6</f>
        <v>20.047816999999998</v>
      </c>
      <c r="G8" s="25">
        <f>'Annual Raw'!H6</f>
        <v>30.721513099999999</v>
      </c>
      <c r="H8" s="25">
        <f>'Annual Raw'!I6</f>
        <v>37.309899999999999</v>
      </c>
      <c r="I8" s="25">
        <f>'Annual Raw'!J6</f>
        <v>47.388800000000003</v>
      </c>
      <c r="J8" s="25">
        <f>'Annual Raw'!K6</f>
        <v>68.460300000000004</v>
      </c>
      <c r="K8" s="25">
        <f>'Annual Raw'!L6</f>
        <v>68.002499999999998</v>
      </c>
      <c r="L8" s="25">
        <f>'Annual Raw'!M6</f>
        <v>84.923199999999994</v>
      </c>
      <c r="M8" s="25">
        <f>'Annual Raw'!N6</f>
        <v>100.68049999999999</v>
      </c>
      <c r="N8" s="25">
        <f>'Annual Raw'!O6</f>
        <v>111.8464</v>
      </c>
      <c r="O8" s="25">
        <f>'Annual Raw'!P6</f>
        <v>140.5702</v>
      </c>
      <c r="P8" s="25">
        <f>'Annual Raw'!Q6</f>
        <v>127.3836</v>
      </c>
      <c r="Q8" s="25">
        <f>'Annual Raw'!R6</f>
        <v>158.5318</v>
      </c>
      <c r="R8" s="25">
        <f>'Annual Raw'!S6</f>
        <v>175.08770000000001</v>
      </c>
      <c r="S8" s="25">
        <f>'Annual Raw'!T6</f>
        <v>185.2637</v>
      </c>
      <c r="T8" s="25">
        <f>'Annual Raw'!U6</f>
        <v>189.68899999999999</v>
      </c>
      <c r="U8" s="25">
        <f>'Annual Raw'!V6</f>
        <v>181.07740000000001</v>
      </c>
      <c r="V8" s="25">
        <f>'Annual Raw'!W6</f>
        <v>198.65309999999999</v>
      </c>
      <c r="W8" s="25">
        <f>'Annual Raw'!X6</f>
        <v>244.0042</v>
      </c>
      <c r="X8" s="25">
        <f>'Annual Raw'!Y6</f>
        <v>244.76</v>
      </c>
      <c r="Y8" s="25">
        <f>'Annual Raw'!Z6</f>
        <v>283.37540000000001</v>
      </c>
      <c r="Z8" s="25">
        <f>'Annual Raw'!AA6</f>
        <v>365.79480000000001</v>
      </c>
      <c r="AA8" s="25">
        <f>'Annual Raw'!AB6</f>
        <v>440.91289999999998</v>
      </c>
      <c r="AB8" s="17">
        <f>+SUM(CM8:CP8)</f>
        <v>512.4224392746795</v>
      </c>
      <c r="AC8" s="17">
        <f>+SUM(CQ8:CT8)</f>
        <v>587.93769570335598</v>
      </c>
      <c r="AD8" s="17">
        <f>+SUM(CU8:CX8)</f>
        <v>672.86386980102475</v>
      </c>
      <c r="AE8" s="17">
        <f>+SUM(CY8:DB8)</f>
        <v>769.75108757247187</v>
      </c>
      <c r="AI8" s="25">
        <f>'QTR Raw'!C6+'QTR Raw'!C8</f>
        <v>26.707000000000001</v>
      </c>
      <c r="AJ8" s="25">
        <f>'QTR Raw'!D6+'QTR Raw'!D8</f>
        <v>26.55</v>
      </c>
      <c r="AK8" s="25">
        <f>'QTR Raw'!E6+'QTR Raw'!E8</f>
        <v>24.169999999999998</v>
      </c>
      <c r="AL8" s="25">
        <f>'QTR Raw'!F6+'QTR Raw'!F8</f>
        <v>27.852</v>
      </c>
      <c r="AM8" s="25">
        <f>'QTR Raw'!G6+'QTR Raw'!G8</f>
        <v>27.959</v>
      </c>
      <c r="AN8" s="25">
        <f>'QTR Raw'!H6+'QTR Raw'!H8</f>
        <v>34.19</v>
      </c>
      <c r="AO8" s="25">
        <f>'QTR Raw'!I6+'QTR Raw'!I8</f>
        <v>34.89</v>
      </c>
      <c r="AP8" s="25">
        <f>'QTR Raw'!J6+'QTR Raw'!J8</f>
        <v>36.58</v>
      </c>
      <c r="AQ8" s="25">
        <f>'QTR Raw'!K6+'QTR Raw'!K8</f>
        <v>30.77</v>
      </c>
      <c r="AR8" s="25">
        <f>'QTR Raw'!L6+'QTR Raw'!L8</f>
        <v>33.049999999999997</v>
      </c>
      <c r="AS8" s="25">
        <f>'QTR Raw'!M6+'QTR Raw'!M8</f>
        <v>27.56</v>
      </c>
      <c r="AT8" s="25">
        <f>'QTR Raw'!N6+'QTR Raw'!N8</f>
        <v>27.63</v>
      </c>
      <c r="AU8" s="25">
        <f>'QTR Raw'!O6+'QTR Raw'!O8</f>
        <v>35.090000000000003</v>
      </c>
      <c r="AV8" s="25">
        <f>'QTR Raw'!P6+'QTR Raw'!P8</f>
        <v>40.61</v>
      </c>
      <c r="AW8" s="25">
        <f>'QTR Raw'!Q6+'QTR Raw'!Q8</f>
        <v>35.89</v>
      </c>
      <c r="AX8" s="25">
        <f>'QTR Raw'!R6+'QTR Raw'!R8</f>
        <v>41.44</v>
      </c>
      <c r="AY8" s="25">
        <f>'QTR Raw'!S6+'QTR Raw'!S8</f>
        <v>46.6</v>
      </c>
      <c r="AZ8" s="25">
        <f>'QTR Raw'!T6+'QTR Raw'!T8</f>
        <v>39.159999999999997</v>
      </c>
      <c r="BA8" s="25">
        <f>'QTR Raw'!U6+'QTR Raw'!U8</f>
        <v>42.64</v>
      </c>
      <c r="BB8" s="25">
        <f>'QTR Raw'!V6+'QTR Raw'!V8</f>
        <v>48.95</v>
      </c>
      <c r="BC8" s="25">
        <f>'QTR Raw'!W6+'QTR Raw'!W8</f>
        <v>47.74</v>
      </c>
      <c r="BD8" s="25">
        <f>'QTR Raw'!X6+'QTR Raw'!X8</f>
        <v>41.63</v>
      </c>
      <c r="BE8" s="25">
        <f>'QTR Raw'!Y6+'QTR Raw'!Y8</f>
        <v>45.23</v>
      </c>
      <c r="BF8" s="25">
        <f>'QTR Raw'!Z6+'QTR Raw'!Z8</f>
        <v>50.66</v>
      </c>
      <c r="BG8" s="25">
        <f>'QTR Raw'!AA6+'QTR Raw'!AA8</f>
        <v>49.48</v>
      </c>
      <c r="BH8" s="25">
        <f>'QTR Raw'!AB6+'QTR Raw'!AB8</f>
        <v>53.44</v>
      </c>
      <c r="BI8" s="25">
        <f>'QTR Raw'!AC6+'QTR Raw'!AC8</f>
        <v>38.78</v>
      </c>
      <c r="BJ8" s="25">
        <f>'QTR Raw'!AD6+'QTR Raw'!AD8</f>
        <v>47.99</v>
      </c>
      <c r="BK8" s="25">
        <f>'QTR Raw'!AE6+'QTR Raw'!AE8</f>
        <v>47.59</v>
      </c>
      <c r="BL8" s="25">
        <f>'QTR Raw'!AF6+'QTR Raw'!AF8</f>
        <v>46.93</v>
      </c>
      <c r="BM8" s="25">
        <f>'QTR Raw'!AG6+'QTR Raw'!AG8</f>
        <v>41.77</v>
      </c>
      <c r="BN8" s="25">
        <f>'QTR Raw'!AH6+'QTR Raw'!AH8</f>
        <v>44.79</v>
      </c>
      <c r="BO8" s="25">
        <f>'QTR Raw'!AI6+'QTR Raw'!AI8</f>
        <v>38.9</v>
      </c>
      <c r="BP8" s="25">
        <f>'QTR Raw'!AJ6+'QTR Raw'!AJ8</f>
        <v>54.08</v>
      </c>
      <c r="BQ8" s="25">
        <f>'QTR Raw'!AK6+'QTR Raw'!AK8</f>
        <v>53.97</v>
      </c>
      <c r="BR8" s="25">
        <f>'QTR Raw'!AL6+'QTR Raw'!AL8</f>
        <v>51.7</v>
      </c>
      <c r="BS8" s="25">
        <f>'QTR Raw'!AM6+'QTR Raw'!AM8</f>
        <v>60.62</v>
      </c>
      <c r="BT8" s="25">
        <f>'QTR Raw'!AN6+'QTR Raw'!AN8</f>
        <v>58.66</v>
      </c>
      <c r="BU8" s="25">
        <f>'QTR Raw'!AO6+'QTR Raw'!AO8</f>
        <v>57.99</v>
      </c>
      <c r="BV8" s="25">
        <f>'QTR Raw'!AP6+'QTR Raw'!AP8</f>
        <v>66.739999999999995</v>
      </c>
      <c r="BW8" s="25">
        <f>'QTR Raw'!AQ6+'QTR Raw'!AQ8</f>
        <v>62.69</v>
      </c>
      <c r="BX8" s="25">
        <f>'QTR Raw'!AR6+'QTR Raw'!AR8</f>
        <v>64.37</v>
      </c>
      <c r="BY8" s="25">
        <f>'QTR Raw'!AS6+'QTR Raw'!AS8</f>
        <v>51.24</v>
      </c>
      <c r="BZ8" s="25">
        <f>'QTR Raw'!AT6+'QTR Raw'!AT8</f>
        <v>66.459999999999994</v>
      </c>
      <c r="CA8" s="25">
        <f>'QTR Raw'!AU6+'QTR Raw'!AU8</f>
        <v>66.680000000000007</v>
      </c>
      <c r="CB8" s="25">
        <f>'QTR Raw'!AV6+'QTR Raw'!AV8</f>
        <v>65.98</v>
      </c>
      <c r="CC8" s="25">
        <f>'QTR Raw'!AW6+'QTR Raw'!AW8</f>
        <v>65.19</v>
      </c>
      <c r="CD8" s="25">
        <f>'QTR Raw'!AX6+'QTR Raw'!AX8</f>
        <v>85.53</v>
      </c>
      <c r="CE8" s="25">
        <f>'QTR Raw'!AY6+'QTR Raw'!AY8</f>
        <v>77.959999999999994</v>
      </c>
      <c r="CF8" s="25">
        <f>'QTR Raw'!AZ6+'QTR Raw'!AZ8</f>
        <v>92.91</v>
      </c>
      <c r="CG8" s="25">
        <f>'QTR Raw'!BA6+'QTR Raw'!BA8</f>
        <v>84.61</v>
      </c>
      <c r="CH8" s="25">
        <f>'QTR Raw'!BB6+'QTR Raw'!BB8</f>
        <v>110.31</v>
      </c>
      <c r="CI8" s="25">
        <f>'QTR Raw'!BC6+'QTR Raw'!BC8</f>
        <v>113.88</v>
      </c>
      <c r="CJ8" s="25">
        <f>'QTR Raw'!BD6+'QTR Raw'!BD8</f>
        <v>122.4</v>
      </c>
      <c r="CK8" s="25">
        <f>'QTR Raw'!BE6+'QTR Raw'!BE8</f>
        <v>94.96</v>
      </c>
      <c r="CL8" s="25">
        <f>'QTR Raw'!BF6+'QTR Raw'!BF8</f>
        <v>109.67</v>
      </c>
      <c r="CM8" s="17">
        <f t="shared" ref="CM8:DB8" si="33">+CI10+(CM11*CI10)</f>
        <v>139.35145921195459</v>
      </c>
      <c r="CN8" s="17">
        <f t="shared" si="33"/>
        <v>142.52247947272241</v>
      </c>
      <c r="CO8" s="17">
        <f t="shared" si="33"/>
        <v>106.93903238807276</v>
      </c>
      <c r="CP8" s="17">
        <f t="shared" si="33"/>
        <v>123.60946820192976</v>
      </c>
      <c r="CQ8" s="17">
        <f t="shared" si="33"/>
        <v>161.69369881907392</v>
      </c>
      <c r="CR8" s="17">
        <f t="shared" si="33"/>
        <v>163.11631605862232</v>
      </c>
      <c r="CS8" s="17">
        <f t="shared" si="33"/>
        <v>121.85909785533116</v>
      </c>
      <c r="CT8" s="17">
        <f t="shared" si="33"/>
        <v>141.26858297032851</v>
      </c>
      <c r="CU8" s="17">
        <f t="shared" si="33"/>
        <v>185.43061741452885</v>
      </c>
      <c r="CV8" s="17">
        <f t="shared" si="33"/>
        <v>186.51040204996758</v>
      </c>
      <c r="CW8" s="17">
        <f t="shared" si="33"/>
        <v>139.30331680523994</v>
      </c>
      <c r="CX8" s="17">
        <f t="shared" si="33"/>
        <v>161.61953353128831</v>
      </c>
      <c r="CY8" s="17">
        <f t="shared" si="33"/>
        <v>212.19895091613296</v>
      </c>
      <c r="CZ8" s="17">
        <f t="shared" si="33"/>
        <v>213.32064939190519</v>
      </c>
      <c r="DA8" s="17">
        <f t="shared" si="33"/>
        <v>159.3390914893177</v>
      </c>
      <c r="DB8" s="17">
        <f t="shared" si="33"/>
        <v>184.892395775116</v>
      </c>
      <c r="DE8" s="119"/>
      <c r="DF8" s="25">
        <v>143.13279322381476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3.0718337</v>
      </c>
      <c r="F9" s="92">
        <f>'Annual Raw'!G7+'Annual Raw'!G8+'Annual Raw'!G9</f>
        <v>2.6034313999999998</v>
      </c>
      <c r="G9" s="92">
        <f>'Annual Raw'!H7+'Annual Raw'!H8+'Annual Raw'!H9</f>
        <v>3.3897031000000002</v>
      </c>
      <c r="H9" s="92">
        <f>'Annual Raw'!I7+'Annual Raw'!I8+'Annual Raw'!I9</f>
        <v>3.8563999999999998</v>
      </c>
      <c r="I9" s="92">
        <f>'Annual Raw'!J7+'Annual Raw'!J8+'Annual Raw'!J9</f>
        <v>5.4038000000000004</v>
      </c>
      <c r="J9" s="92">
        <f>'Annual Raw'!K7+'Annual Raw'!K8+'Annual Raw'!K9</f>
        <v>5.4203000000000001</v>
      </c>
      <c r="K9" s="92">
        <f>'Annual Raw'!L7+'Annual Raw'!L8+'Annual Raw'!L9</f>
        <v>3.4994000000000001</v>
      </c>
      <c r="L9" s="92">
        <f>'Annual Raw'!M7+'Annual Raw'!M8+'Annual Raw'!M9</f>
        <v>5.7808999999999999</v>
      </c>
      <c r="M9" s="92">
        <f>'Annual Raw'!N7+'Annual Raw'!N8+'Annual Raw'!N9</f>
        <v>6.4020000000000001</v>
      </c>
      <c r="N9" s="92">
        <f>'Annual Raw'!O7+'Annual Raw'!O8+'Annual Raw'!O9</f>
        <v>6.5456000000000003</v>
      </c>
      <c r="O9" s="92">
        <f>'Annual Raw'!P7+'Annual Raw'!P8+'Annual Raw'!P9</f>
        <v>6.9177</v>
      </c>
      <c r="P9" s="92">
        <f>'Annual Raw'!Q7+'Annual Raw'!Q8+'Annual Raw'!Q9</f>
        <v>8.3780999999999999</v>
      </c>
      <c r="Q9" s="92">
        <f>'Annual Raw'!R7+'Annual Raw'!R8+'Annual Raw'!R9</f>
        <v>8.3039000000000005</v>
      </c>
      <c r="R9" s="92">
        <f>'Annual Raw'!S7+'Annual Raw'!S8+'Annual Raw'!S9</f>
        <v>9.3657000000000004</v>
      </c>
      <c r="S9" s="92">
        <f>'Annual Raw'!T7+'Annual Raw'!T8+'Annual Raw'!T9</f>
        <v>1.8957999999999999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2.8</v>
      </c>
      <c r="AY9" s="92">
        <f>+'QTR Raw'!S20+'QTR Raw'!S19+'QTR Raw'!S13+'QTR Raw'!S7</f>
        <v>2.83</v>
      </c>
      <c r="AZ9" s="92">
        <f>+'QTR Raw'!T20+'QTR Raw'!T19+'QTR Raw'!T13+'QTR Raw'!T7</f>
        <v>3</v>
      </c>
      <c r="BA9" s="92">
        <f>+'QTR Raw'!U20+'QTR Raw'!U19+'QTR Raw'!U13+'QTR Raw'!U7</f>
        <v>0.82</v>
      </c>
      <c r="BB9" s="92">
        <f>+'QTR Raw'!V20+'QTR Raw'!V19+'QTR Raw'!V13+'QTR Raw'!V7</f>
        <v>5.48</v>
      </c>
      <c r="BC9" s="92">
        <f>+'QTR Raw'!W20+'QTR Raw'!W19+'QTR Raw'!W13+'QTR Raw'!W7</f>
        <v>2.68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20.926315900000002</v>
      </c>
      <c r="F10" s="26">
        <f t="shared" si="34"/>
        <v>17.444385599999997</v>
      </c>
      <c r="G10" s="26">
        <f t="shared" si="34"/>
        <v>27.331809999999997</v>
      </c>
      <c r="H10" s="26">
        <f t="shared" si="34"/>
        <v>33.453499999999998</v>
      </c>
      <c r="I10" s="26">
        <f t="shared" si="34"/>
        <v>41.984999999999999</v>
      </c>
      <c r="J10" s="26">
        <f t="shared" si="34"/>
        <v>63.040000000000006</v>
      </c>
      <c r="K10" s="26">
        <f t="shared" si="34"/>
        <v>64.503100000000003</v>
      </c>
      <c r="L10" s="26">
        <f t="shared" si="34"/>
        <v>79.142299999999992</v>
      </c>
      <c r="M10" s="26">
        <f t="shared" si="34"/>
        <v>94.278499999999994</v>
      </c>
      <c r="N10" s="26">
        <f t="shared" si="34"/>
        <v>105.30080000000001</v>
      </c>
      <c r="O10" s="26">
        <f t="shared" si="34"/>
        <v>133.6525</v>
      </c>
      <c r="P10" s="26">
        <f t="shared" si="34"/>
        <v>119.0055</v>
      </c>
      <c r="Q10" s="26">
        <f t="shared" si="34"/>
        <v>150.22790000000001</v>
      </c>
      <c r="R10" s="26">
        <f t="shared" si="34"/>
        <v>165.72200000000001</v>
      </c>
      <c r="S10" s="26">
        <f t="shared" si="34"/>
        <v>183.36789999999999</v>
      </c>
      <c r="T10" s="26">
        <f t="shared" si="34"/>
        <v>189.68899999999999</v>
      </c>
      <c r="U10" s="26">
        <f t="shared" si="34"/>
        <v>181.07740000000001</v>
      </c>
      <c r="V10" s="26">
        <f>+V8-V9</f>
        <v>198.65309999999999</v>
      </c>
      <c r="W10" s="26">
        <f>+W8-W9</f>
        <v>244.0042</v>
      </c>
      <c r="X10" s="26">
        <f>+X8-X9</f>
        <v>244.76</v>
      </c>
      <c r="Y10" s="26">
        <f>+Y8-Y9</f>
        <v>283.37540000000001</v>
      </c>
      <c r="Z10" s="26">
        <f>+Z8-Z9</f>
        <v>365.79480000000001</v>
      </c>
      <c r="AA10" s="26">
        <f>+AA8-AA9</f>
        <v>440.91289999999998</v>
      </c>
      <c r="AB10" s="27">
        <f t="shared" ref="AB10:AD10" si="35">+AB8-AB9</f>
        <v>512.4224392746795</v>
      </c>
      <c r="AC10" s="27">
        <f t="shared" si="35"/>
        <v>587.93769570335598</v>
      </c>
      <c r="AD10" s="27">
        <f t="shared" si="35"/>
        <v>672.86386980102475</v>
      </c>
      <c r="AE10" s="27">
        <f t="shared" ref="AE10" si="36">+AE8-AE9</f>
        <v>769.75108757247187</v>
      </c>
      <c r="AI10" s="26">
        <f t="shared" ref="AI10" si="37">+AI8-AI9</f>
        <v>26.707000000000001</v>
      </c>
      <c r="AJ10" s="26">
        <f t="shared" ref="AJ10" si="38">+AJ8-AJ9</f>
        <v>26.55</v>
      </c>
      <c r="AK10" s="26">
        <f t="shared" ref="AK10:AM10" si="39">+AK8-AK9</f>
        <v>24.169999999999998</v>
      </c>
      <c r="AL10" s="26">
        <f t="shared" si="39"/>
        <v>27.852</v>
      </c>
      <c r="AM10" s="26">
        <f t="shared" si="39"/>
        <v>27.959</v>
      </c>
      <c r="AN10" s="26">
        <f t="shared" ref="AN10:AO10" si="40">+AN8-AN9</f>
        <v>34.19</v>
      </c>
      <c r="AO10" s="26">
        <f t="shared" si="40"/>
        <v>34.89</v>
      </c>
      <c r="AP10" s="26">
        <f t="shared" ref="AP10:AW10" si="41">+AP8-AP9</f>
        <v>36.58</v>
      </c>
      <c r="AQ10" s="26">
        <f t="shared" si="41"/>
        <v>30.77</v>
      </c>
      <c r="AR10" s="26">
        <f t="shared" si="41"/>
        <v>33.049999999999997</v>
      </c>
      <c r="AS10" s="26">
        <f t="shared" si="41"/>
        <v>27.56</v>
      </c>
      <c r="AT10" s="26">
        <f t="shared" si="41"/>
        <v>27.63</v>
      </c>
      <c r="AU10" s="26">
        <f t="shared" si="41"/>
        <v>35.090000000000003</v>
      </c>
      <c r="AV10" s="26">
        <f t="shared" si="41"/>
        <v>40.61</v>
      </c>
      <c r="AW10" s="26">
        <f t="shared" si="41"/>
        <v>35.89</v>
      </c>
      <c r="AX10" s="26">
        <f t="shared" ref="AX10:CF10" si="42">+AX8-AX9</f>
        <v>38.64</v>
      </c>
      <c r="AY10" s="26">
        <f t="shared" si="42"/>
        <v>43.77</v>
      </c>
      <c r="AZ10" s="26">
        <f t="shared" si="42"/>
        <v>36.159999999999997</v>
      </c>
      <c r="BA10" s="26">
        <f t="shared" si="42"/>
        <v>41.82</v>
      </c>
      <c r="BB10" s="26">
        <f t="shared" si="42"/>
        <v>43.47</v>
      </c>
      <c r="BC10" s="26">
        <f t="shared" si="42"/>
        <v>45.06</v>
      </c>
      <c r="BD10" s="26">
        <f t="shared" si="42"/>
        <v>41.63</v>
      </c>
      <c r="BE10" s="26">
        <f t="shared" si="42"/>
        <v>45.23</v>
      </c>
      <c r="BF10" s="26">
        <f t="shared" si="42"/>
        <v>50.66</v>
      </c>
      <c r="BG10" s="26">
        <f t="shared" si="42"/>
        <v>49.48</v>
      </c>
      <c r="BH10" s="26">
        <f t="shared" si="42"/>
        <v>53.44</v>
      </c>
      <c r="BI10" s="26">
        <f t="shared" si="42"/>
        <v>38.78</v>
      </c>
      <c r="BJ10" s="26">
        <f t="shared" si="42"/>
        <v>47.99</v>
      </c>
      <c r="BK10" s="26">
        <f t="shared" si="42"/>
        <v>47.59</v>
      </c>
      <c r="BL10" s="26">
        <f t="shared" si="42"/>
        <v>46.93</v>
      </c>
      <c r="BM10" s="26">
        <f t="shared" si="42"/>
        <v>41.77</v>
      </c>
      <c r="BN10" s="26">
        <f t="shared" si="42"/>
        <v>44.79</v>
      </c>
      <c r="BO10" s="26">
        <f t="shared" si="42"/>
        <v>38.9</v>
      </c>
      <c r="BP10" s="26">
        <f t="shared" si="42"/>
        <v>54.08</v>
      </c>
      <c r="BQ10" s="26">
        <f t="shared" si="42"/>
        <v>53.97</v>
      </c>
      <c r="BR10" s="26">
        <f t="shared" si="42"/>
        <v>51.7</v>
      </c>
      <c r="BS10" s="26">
        <f t="shared" si="42"/>
        <v>60.62</v>
      </c>
      <c r="BT10" s="26">
        <f t="shared" si="42"/>
        <v>58.66</v>
      </c>
      <c r="BU10" s="26">
        <f t="shared" si="42"/>
        <v>57.99</v>
      </c>
      <c r="BV10" s="26">
        <f t="shared" si="42"/>
        <v>66.739999999999995</v>
      </c>
      <c r="BW10" s="26">
        <f t="shared" si="42"/>
        <v>62.69</v>
      </c>
      <c r="BX10" s="26">
        <f t="shared" si="42"/>
        <v>64.37</v>
      </c>
      <c r="BY10" s="26">
        <f t="shared" si="42"/>
        <v>51.24</v>
      </c>
      <c r="BZ10" s="26">
        <f t="shared" si="42"/>
        <v>66.459999999999994</v>
      </c>
      <c r="CA10" s="26">
        <f t="shared" si="42"/>
        <v>66.680000000000007</v>
      </c>
      <c r="CB10" s="26">
        <f t="shared" si="42"/>
        <v>65.98</v>
      </c>
      <c r="CC10" s="26">
        <f t="shared" si="42"/>
        <v>65.19</v>
      </c>
      <c r="CD10" s="26">
        <f t="shared" si="42"/>
        <v>85.53</v>
      </c>
      <c r="CE10" s="26">
        <f t="shared" si="42"/>
        <v>77.959999999999994</v>
      </c>
      <c r="CF10" s="26">
        <f t="shared" si="42"/>
        <v>92.91</v>
      </c>
      <c r="CG10" s="26">
        <f t="shared" ref="CG10:CH10" si="43">+CG8-CG9</f>
        <v>84.61</v>
      </c>
      <c r="CH10" s="26">
        <f t="shared" si="43"/>
        <v>110.31</v>
      </c>
      <c r="CI10" s="26">
        <f t="shared" ref="CI10:CJ10" si="44">+CI8-CI9</f>
        <v>113.88</v>
      </c>
      <c r="CJ10" s="26">
        <f t="shared" si="44"/>
        <v>122.4</v>
      </c>
      <c r="CK10" s="26">
        <f t="shared" ref="CK10:CL10" si="45">+CK8-CK9</f>
        <v>94.96</v>
      </c>
      <c r="CL10" s="26">
        <f t="shared" si="45"/>
        <v>109.67</v>
      </c>
      <c r="CM10" s="27">
        <f t="shared" ref="CM10:DB10" si="46">+CM8-CM9</f>
        <v>139.35145921195459</v>
      </c>
      <c r="CN10" s="27">
        <f t="shared" si="46"/>
        <v>142.52247947272241</v>
      </c>
      <c r="CO10" s="27">
        <f t="shared" si="46"/>
        <v>106.93903238807276</v>
      </c>
      <c r="CP10" s="27">
        <f t="shared" si="46"/>
        <v>123.60946820192976</v>
      </c>
      <c r="CQ10" s="27">
        <f t="shared" si="46"/>
        <v>161.69369881907392</v>
      </c>
      <c r="CR10" s="27">
        <f t="shared" si="46"/>
        <v>163.11631605862232</v>
      </c>
      <c r="CS10" s="27">
        <f t="shared" si="46"/>
        <v>121.85909785533116</v>
      </c>
      <c r="CT10" s="27">
        <f t="shared" si="46"/>
        <v>141.26858297032851</v>
      </c>
      <c r="CU10" s="27">
        <f t="shared" si="46"/>
        <v>185.43061741452885</v>
      </c>
      <c r="CV10" s="27">
        <f t="shared" si="46"/>
        <v>186.51040204996758</v>
      </c>
      <c r="CW10" s="27">
        <f t="shared" si="46"/>
        <v>139.30331680523994</v>
      </c>
      <c r="CX10" s="27">
        <f t="shared" si="46"/>
        <v>161.61953353128831</v>
      </c>
      <c r="CY10" s="27">
        <f t="shared" si="46"/>
        <v>212.19895091613296</v>
      </c>
      <c r="CZ10" s="27">
        <f t="shared" si="46"/>
        <v>213.32064939190519</v>
      </c>
      <c r="DA10" s="27">
        <f t="shared" si="46"/>
        <v>159.3390914893177</v>
      </c>
      <c r="DB10" s="27">
        <f t="shared" si="46"/>
        <v>184.892395775116</v>
      </c>
      <c r="DE10" s="121"/>
      <c r="DF10" s="26">
        <v>143.13279322381476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>
        <f t="shared" ref="F11:R11" si="50">F10/E10-1</f>
        <v>-0.16639002854773899</v>
      </c>
      <c r="G11" s="39">
        <f t="shared" si="50"/>
        <v>0.5667969412462428</v>
      </c>
      <c r="H11" s="39">
        <f t="shared" si="50"/>
        <v>0.22397675089940994</v>
      </c>
      <c r="I11" s="39">
        <f t="shared" si="50"/>
        <v>0.25502563259449684</v>
      </c>
      <c r="J11" s="39">
        <f t="shared" si="50"/>
        <v>0.50148862689055629</v>
      </c>
      <c r="K11" s="39">
        <f>K10/J10-1</f>
        <v>2.3209073604060881E-2</v>
      </c>
      <c r="L11" s="39">
        <f t="shared" si="50"/>
        <v>0.22695343324584383</v>
      </c>
      <c r="M11" s="39">
        <f t="shared" si="50"/>
        <v>0.19125297091441618</v>
      </c>
      <c r="N11" s="39">
        <f t="shared" si="50"/>
        <v>0.11691212736732148</v>
      </c>
      <c r="O11" s="39">
        <f t="shared" si="50"/>
        <v>0.26924486803519043</v>
      </c>
      <c r="P11" s="39">
        <f t="shared" si="50"/>
        <v>-0.10959016853407155</v>
      </c>
      <c r="Q11" s="39">
        <f t="shared" si="50"/>
        <v>0.2623609833158973</v>
      </c>
      <c r="R11" s="39">
        <f t="shared" si="50"/>
        <v>0.10313730006210564</v>
      </c>
      <c r="S11" s="39">
        <f t="shared" ref="S11:AA11" si="51">S10/R10-1</f>
        <v>0.10647892253291658</v>
      </c>
      <c r="T11" s="39">
        <f t="shared" si="51"/>
        <v>3.4472227690888202E-2</v>
      </c>
      <c r="U11" s="39">
        <f t="shared" si="51"/>
        <v>-4.5398520736574022E-2</v>
      </c>
      <c r="V11" s="39">
        <f t="shared" si="51"/>
        <v>9.7061808928115667E-2</v>
      </c>
      <c r="W11" s="39">
        <f t="shared" si="51"/>
        <v>0.22829293879632395</v>
      </c>
      <c r="X11" s="39">
        <f t="shared" si="51"/>
        <v>3.0974876661957751E-3</v>
      </c>
      <c r="Y11" s="39">
        <f t="shared" si="51"/>
        <v>0.15776842621343357</v>
      </c>
      <c r="Z11" s="39">
        <f t="shared" si="51"/>
        <v>0.29084881750497749</v>
      </c>
      <c r="AA11" s="39">
        <f t="shared" si="51"/>
        <v>0.20535584431489995</v>
      </c>
      <c r="AB11" s="40">
        <f t="shared" ref="AB11" si="52">AB10/AA10-1</f>
        <v>0.16218518277573546</v>
      </c>
      <c r="AC11" s="40">
        <f t="shared" ref="AC11" si="53">AC10/AB10-1</f>
        <v>0.14736914436371351</v>
      </c>
      <c r="AD11" s="40">
        <f t="shared" ref="AD11" si="54">AD10/AC10-1</f>
        <v>0.14444757449353651</v>
      </c>
      <c r="AE11" s="40">
        <f t="shared" ref="AE11" si="55">AE10/AD10-1</f>
        <v>0.14399230233612936</v>
      </c>
      <c r="AM11" s="39">
        <f t="shared" ref="AM11:CI11" si="56">+IF(AI10&lt;0,1-AM10/AI10,AM10/AI10-1)</f>
        <v>4.6879095368255408E-2</v>
      </c>
      <c r="AN11" s="39">
        <f t="shared" si="56"/>
        <v>0.28775894538606384</v>
      </c>
      <c r="AO11" s="39">
        <f t="shared" si="56"/>
        <v>0.4435250310302028</v>
      </c>
      <c r="AP11" s="39">
        <f t="shared" si="56"/>
        <v>0.31337067356024684</v>
      </c>
      <c r="AQ11" s="39">
        <f t="shared" si="56"/>
        <v>0.10054007654064878</v>
      </c>
      <c r="AR11" s="39">
        <f t="shared" si="56"/>
        <v>-3.3343082772740562E-2</v>
      </c>
      <c r="AS11" s="39">
        <f t="shared" si="56"/>
        <v>-0.21008885067354544</v>
      </c>
      <c r="AT11" s="39">
        <f t="shared" si="56"/>
        <v>-0.2446692181519956</v>
      </c>
      <c r="AU11" s="39">
        <f t="shared" si="56"/>
        <v>0.1403964900877479</v>
      </c>
      <c r="AV11" s="39">
        <f t="shared" si="56"/>
        <v>0.2287443267776097</v>
      </c>
      <c r="AW11" s="39">
        <f t="shared" si="56"/>
        <v>0.30224963715529762</v>
      </c>
      <c r="AX11" s="39">
        <f t="shared" si="56"/>
        <v>0.39847991313789377</v>
      </c>
      <c r="AY11" s="39">
        <f t="shared" si="56"/>
        <v>0.24736392134511243</v>
      </c>
      <c r="AZ11" s="39">
        <f t="shared" si="56"/>
        <v>-0.10957892144791925</v>
      </c>
      <c r="BA11" s="39">
        <f t="shared" si="56"/>
        <v>0.16522708275285591</v>
      </c>
      <c r="BB11" s="39">
        <f t="shared" si="56"/>
        <v>0.125</v>
      </c>
      <c r="BC11" s="39">
        <f t="shared" si="56"/>
        <v>2.9472241261137677E-2</v>
      </c>
      <c r="BD11" s="39">
        <f t="shared" si="56"/>
        <v>0.15127212389380551</v>
      </c>
      <c r="BE11" s="39">
        <f t="shared" si="56"/>
        <v>8.153993304638929E-2</v>
      </c>
      <c r="BF11" s="39">
        <f t="shared" si="56"/>
        <v>0.16540142627099153</v>
      </c>
      <c r="BG11" s="39">
        <f t="shared" si="56"/>
        <v>9.8091433644030168E-2</v>
      </c>
      <c r="BH11" s="39">
        <f t="shared" si="56"/>
        <v>0.28368964688926246</v>
      </c>
      <c r="BI11" s="39">
        <f t="shared" si="56"/>
        <v>-0.14260446606234789</v>
      </c>
      <c r="BJ11" s="39">
        <f t="shared" si="56"/>
        <v>-5.2704303197789071E-2</v>
      </c>
      <c r="BK11" s="39">
        <f t="shared" si="56"/>
        <v>-3.8197251414712863E-2</v>
      </c>
      <c r="BL11" s="39">
        <f t="shared" si="56"/>
        <v>-0.12181886227544902</v>
      </c>
      <c r="BM11" s="39">
        <f t="shared" si="56"/>
        <v>7.7101598762248535E-2</v>
      </c>
      <c r="BN11" s="39">
        <f t="shared" si="56"/>
        <v>-6.6680558449677019E-2</v>
      </c>
      <c r="BO11" s="39">
        <f t="shared" si="56"/>
        <v>-0.18260138684597615</v>
      </c>
      <c r="BP11" s="39">
        <f t="shared" si="56"/>
        <v>0.15235457063711899</v>
      </c>
      <c r="BQ11" s="39">
        <f t="shared" si="56"/>
        <v>0.29207565238209221</v>
      </c>
      <c r="BR11" s="39">
        <f t="shared" si="56"/>
        <v>0.15427550792587641</v>
      </c>
      <c r="BS11" s="39">
        <f t="shared" si="56"/>
        <v>0.5583547557840618</v>
      </c>
      <c r="BT11" s="39">
        <f t="shared" si="56"/>
        <v>8.4689349112426093E-2</v>
      </c>
      <c r="BU11" s="39">
        <f t="shared" si="56"/>
        <v>7.4485825458588062E-2</v>
      </c>
      <c r="BV11" s="39">
        <f t="shared" si="56"/>
        <v>0.29090909090909078</v>
      </c>
      <c r="BW11" s="39">
        <f t="shared" si="56"/>
        <v>3.4147146156384034E-2</v>
      </c>
      <c r="BX11" s="39">
        <f t="shared" si="56"/>
        <v>9.7340606887146297E-2</v>
      </c>
      <c r="BY11" s="39">
        <f t="shared" si="56"/>
        <v>-0.11639937920331089</v>
      </c>
      <c r="BZ11" s="39">
        <f t="shared" si="56"/>
        <v>-4.1953850764159251E-3</v>
      </c>
      <c r="CA11" s="39">
        <f t="shared" si="56"/>
        <v>6.3646514595629533E-2</v>
      </c>
      <c r="CB11" s="39">
        <f t="shared" si="56"/>
        <v>2.5011651390399292E-2</v>
      </c>
      <c r="CC11" s="39">
        <f t="shared" si="56"/>
        <v>0.27224824355971888</v>
      </c>
      <c r="CD11" s="39">
        <f t="shared" si="56"/>
        <v>0.28693951248871508</v>
      </c>
      <c r="CE11" s="39">
        <f t="shared" si="56"/>
        <v>0.16916616676664642</v>
      </c>
      <c r="CF11" s="39">
        <f t="shared" si="56"/>
        <v>0.40815398605638054</v>
      </c>
      <c r="CG11" s="39">
        <f t="shared" si="56"/>
        <v>0.29789845068262011</v>
      </c>
      <c r="CH11" s="39">
        <f t="shared" si="56"/>
        <v>0.28972290424412495</v>
      </c>
      <c r="CI11" s="39">
        <f t="shared" si="56"/>
        <v>0.46074910210364295</v>
      </c>
      <c r="CJ11" s="39">
        <f>+IF(CF10&lt;0,1-CJ10/CF10,CJ10/CF10-1)</f>
        <v>0.31740393929609301</v>
      </c>
      <c r="CK11" s="39">
        <f>+IF(CG10&lt;0,1-CK10/CG10,CK10/CG10-1)</f>
        <v>0.12232596619784886</v>
      </c>
      <c r="CL11" s="39">
        <f>+IF(CH10&lt;0,1-CL10/CH10,CL10/CH10-1)</f>
        <v>-5.8018312029733954E-3</v>
      </c>
      <c r="CM11" s="40">
        <f t="shared" ref="CM11" si="57">+AVERAGE(CI11:CL11)</f>
        <v>0.22366929409865285</v>
      </c>
      <c r="CN11" s="40">
        <f t="shared" ref="CN11" si="58">+AVERAGE(CJ11:CM11)</f>
        <v>0.16439934209740534</v>
      </c>
      <c r="CO11" s="40">
        <f t="shared" ref="CO11" si="59">+AVERAGE(CK11:CN11)</f>
        <v>0.12614819279773343</v>
      </c>
      <c r="CP11" s="40">
        <f t="shared" ref="CP11" si="60">+AVERAGE(CL11:CO11)</f>
        <v>0.12710374944770456</v>
      </c>
      <c r="CQ11" s="40">
        <f t="shared" ref="CQ11" si="61">+AVERAGE(CM11:CP11)</f>
        <v>0.16033014461037404</v>
      </c>
      <c r="CR11" s="40">
        <f t="shared" ref="CR11" si="62">+AVERAGE(CN11:CQ11)</f>
        <v>0.14449535723830431</v>
      </c>
      <c r="CS11" s="40">
        <f t="shared" ref="CS11" si="63">+AVERAGE(CO11:CR11)</f>
        <v>0.13951936102352908</v>
      </c>
      <c r="CT11" s="40">
        <f t="shared" ref="CT11" si="64">+AVERAGE(CP11:CS11)</f>
        <v>0.14286215307997802</v>
      </c>
      <c r="CU11" s="40">
        <f t="shared" ref="CU11" si="65">+AVERAGE(CQ11:CT11)</f>
        <v>0.14680175398804635</v>
      </c>
      <c r="CV11" s="40">
        <f t="shared" ref="CV11" si="66">+AVERAGE(CR11:CU11)</f>
        <v>0.14341965633246445</v>
      </c>
      <c r="CW11" s="40">
        <f t="shared" ref="CW11" si="67">+AVERAGE(CS11:CV11)</f>
        <v>0.14315073110600446</v>
      </c>
      <c r="CX11" s="40">
        <f t="shared" ref="CX11" si="68">+AVERAGE(CT11:CW11)</f>
        <v>0.14405857362662333</v>
      </c>
      <c r="CY11" s="40">
        <f t="shared" ref="CY11" si="69">+AVERAGE(CU11:CX11)</f>
        <v>0.14435767876328465</v>
      </c>
      <c r="CZ11" s="40">
        <f t="shared" ref="CZ11" si="70">+AVERAGE(CV11:CY11)</f>
        <v>0.14374665995709424</v>
      </c>
      <c r="DA11" s="40">
        <f t="shared" ref="DA11" si="71">+AVERAGE(CW11:CZ11)</f>
        <v>0.14382841086325165</v>
      </c>
      <c r="DB11" s="40">
        <f t="shared" ref="DB11" si="72">+AVERAGE(CX11:DA11)</f>
        <v>0.14399783080256345</v>
      </c>
      <c r="DE11" s="122"/>
      <c r="DF11" s="39">
        <v>0.29755047796042744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-5.8786086044857466E-3</v>
      </c>
      <c r="AK12" s="39">
        <f t="shared" si="73"/>
        <v>-8.9642184557438886E-2</v>
      </c>
      <c r="AL12" s="39">
        <f t="shared" si="73"/>
        <v>0.15233760860570955</v>
      </c>
      <c r="AM12" s="39">
        <f t="shared" ref="AM12:CI12" si="74">+IF(AL10&lt;0,1-AM10/AL10,AM10/AL10-1)</f>
        <v>3.841734884388881E-3</v>
      </c>
      <c r="AN12" s="39">
        <f t="shared" si="74"/>
        <v>0.22286204799885545</v>
      </c>
      <c r="AO12" s="39">
        <f t="shared" si="74"/>
        <v>2.0473822755191717E-2</v>
      </c>
      <c r="AP12" s="39">
        <f t="shared" si="74"/>
        <v>4.843794783605615E-2</v>
      </c>
      <c r="AQ12" s="39">
        <f t="shared" si="74"/>
        <v>-0.15882996172772001</v>
      </c>
      <c r="AR12" s="39">
        <f t="shared" si="74"/>
        <v>7.4098147546311166E-2</v>
      </c>
      <c r="AS12" s="39">
        <f t="shared" si="74"/>
        <v>-0.16611195158850223</v>
      </c>
      <c r="AT12" s="39">
        <f t="shared" si="74"/>
        <v>2.539912917271403E-3</v>
      </c>
      <c r="AU12" s="39">
        <f t="shared" si="74"/>
        <v>0.26999638074556653</v>
      </c>
      <c r="AV12" s="39">
        <f t="shared" si="74"/>
        <v>0.15730977486463371</v>
      </c>
      <c r="AW12" s="39">
        <f t="shared" si="74"/>
        <v>-0.11622753016498399</v>
      </c>
      <c r="AX12" s="39">
        <f t="shared" si="74"/>
        <v>7.6623014767344566E-2</v>
      </c>
      <c r="AY12" s="39">
        <f t="shared" si="74"/>
        <v>0.1327639751552796</v>
      </c>
      <c r="AZ12" s="39">
        <f t="shared" si="74"/>
        <v>-0.17386337674206087</v>
      </c>
      <c r="BA12" s="39">
        <f t="shared" si="74"/>
        <v>0.15652654867256643</v>
      </c>
      <c r="BB12" s="39">
        <f t="shared" si="74"/>
        <v>3.9454806312768875E-2</v>
      </c>
      <c r="BC12" s="39">
        <f t="shared" si="74"/>
        <v>3.6576949620428012E-2</v>
      </c>
      <c r="BD12" s="39">
        <f t="shared" si="74"/>
        <v>-7.6120727918331132E-2</v>
      </c>
      <c r="BE12" s="39">
        <f t="shared" si="74"/>
        <v>8.6476098967090964E-2</v>
      </c>
      <c r="BF12" s="39">
        <f t="shared" si="74"/>
        <v>0.12005306212690692</v>
      </c>
      <c r="BG12" s="39">
        <f t="shared" si="74"/>
        <v>-2.3292538491906822E-2</v>
      </c>
      <c r="BH12" s="39">
        <f t="shared" si="74"/>
        <v>8.0032336297493956E-2</v>
      </c>
      <c r="BI12" s="39">
        <f t="shared" si="74"/>
        <v>-0.27432634730538918</v>
      </c>
      <c r="BJ12" s="39">
        <f t="shared" si="74"/>
        <v>0.23749355337803002</v>
      </c>
      <c r="BK12" s="39">
        <f t="shared" si="74"/>
        <v>-8.3350698062095718E-3</v>
      </c>
      <c r="BL12" s="39">
        <f t="shared" si="74"/>
        <v>-1.3868459760453922E-2</v>
      </c>
      <c r="BM12" s="39">
        <f t="shared" si="74"/>
        <v>-0.10995099083741733</v>
      </c>
      <c r="BN12" s="39">
        <f t="shared" si="74"/>
        <v>7.2300694278190081E-2</v>
      </c>
      <c r="BO12" s="39">
        <f t="shared" si="74"/>
        <v>-0.13150256753739675</v>
      </c>
      <c r="BP12" s="39">
        <f t="shared" si="74"/>
        <v>0.39023136246786638</v>
      </c>
      <c r="BQ12" s="39">
        <f t="shared" si="74"/>
        <v>-2.0340236686390289E-3</v>
      </c>
      <c r="BR12" s="39">
        <f t="shared" si="74"/>
        <v>-4.206040392810817E-2</v>
      </c>
      <c r="BS12" s="39">
        <f t="shared" si="74"/>
        <v>0.1725338491295938</v>
      </c>
      <c r="BT12" s="39">
        <f t="shared" si="74"/>
        <v>-3.2332563510392598E-2</v>
      </c>
      <c r="BU12" s="39">
        <f t="shared" si="74"/>
        <v>-1.1421752471871716E-2</v>
      </c>
      <c r="BV12" s="39">
        <f t="shared" si="74"/>
        <v>0.15088808415244004</v>
      </c>
      <c r="BW12" s="39">
        <f t="shared" si="74"/>
        <v>-6.0683248426730563E-2</v>
      </c>
      <c r="BX12" s="39">
        <f t="shared" si="74"/>
        <v>2.6798532461317803E-2</v>
      </c>
      <c r="BY12" s="39">
        <f t="shared" si="74"/>
        <v>-0.20397700792294549</v>
      </c>
      <c r="BZ12" s="39">
        <f t="shared" si="74"/>
        <v>0.29703356752537058</v>
      </c>
      <c r="CA12" s="39">
        <f t="shared" si="74"/>
        <v>3.3102618116163107E-3</v>
      </c>
      <c r="CB12" s="39">
        <f t="shared" si="74"/>
        <v>-1.0497900419916051E-2</v>
      </c>
      <c r="CC12" s="39">
        <f t="shared" si="74"/>
        <v>-1.1973325250075884E-2</v>
      </c>
      <c r="CD12" s="39">
        <f t="shared" si="74"/>
        <v>0.31201104463874829</v>
      </c>
      <c r="CE12" s="39">
        <f t="shared" si="74"/>
        <v>-8.8506956623407129E-2</v>
      </c>
      <c r="CF12" s="39">
        <f t="shared" si="74"/>
        <v>0.19176500769625449</v>
      </c>
      <c r="CG12" s="39">
        <f t="shared" si="74"/>
        <v>-8.9333763857496473E-2</v>
      </c>
      <c r="CH12" s="39">
        <f t="shared" si="74"/>
        <v>0.30374660205649451</v>
      </c>
      <c r="CI12" s="39">
        <f t="shared" si="74"/>
        <v>3.2363339679086112E-2</v>
      </c>
      <c r="CJ12" s="39">
        <f>+IF(CI10&lt;0,1-CJ10/CI10,CJ10/CI10-1)</f>
        <v>7.4815595363540766E-2</v>
      </c>
      <c r="CK12" s="39">
        <f>+IF(CJ10&lt;0,1-CK10/CJ10,CK10/CJ10-1)</f>
        <v>-0.2241830065359478</v>
      </c>
      <c r="CL12" s="39">
        <f>+IF(CK10&lt;0,1-CL10/CK10,CL10/CK10-1)</f>
        <v>0.15490732940185348</v>
      </c>
      <c r="CM12" s="40">
        <f t="shared" ref="CM12" si="75">+CM10/CL10-1</f>
        <v>0.27064337751394718</v>
      </c>
      <c r="CN12" s="40">
        <f t="shared" ref="CN12" si="76">+CN10/CM10-1</f>
        <v>2.2755558346502003E-2</v>
      </c>
      <c r="CO12" s="40">
        <f t="shared" ref="CO12" si="77">+CO10/CN10-1</f>
        <v>-0.24966901513567907</v>
      </c>
      <c r="CP12" s="40">
        <f t="shared" ref="CP12" si="78">+CP10/CO10-1</f>
        <v>0.15588728868764568</v>
      </c>
      <c r="CQ12" s="40">
        <f t="shared" ref="CQ12" si="79">+CQ10/CP10-1</f>
        <v>0.30810124152406626</v>
      </c>
      <c r="CR12" s="40">
        <f t="shared" ref="CR12" si="80">+CR10/CQ10-1</f>
        <v>8.7982231214849271E-3</v>
      </c>
      <c r="CS12" s="40">
        <f t="shared" ref="CS12" si="81">+CS10/CR10-1</f>
        <v>-0.25293127750913491</v>
      </c>
      <c r="CT12" s="40">
        <f t="shared" ref="CT12" si="82">+CT10/CS10-1</f>
        <v>0.15927809623242029</v>
      </c>
      <c r="CU12" s="40">
        <f t="shared" ref="CU12" si="83">+CU10/CT10-1</f>
        <v>0.31261044399005522</v>
      </c>
      <c r="CV12" s="40">
        <f t="shared" ref="CV12" si="84">+CV10/CU10-1</f>
        <v>5.8231194529481112E-3</v>
      </c>
      <c r="CW12" s="40">
        <f t="shared" ref="CW12" si="85">+CW10/CV10-1</f>
        <v>-0.25310698344900084</v>
      </c>
      <c r="CX12" s="40">
        <f t="shared" ref="CX12" si="86">+CX10/CW10-1</f>
        <v>0.16019874643220944</v>
      </c>
      <c r="CY12" s="40">
        <f t="shared" ref="CY12" si="87">+CY10/CX10-1</f>
        <v>0.31295361569059876</v>
      </c>
      <c r="CZ12" s="40">
        <f t="shared" ref="CZ12" si="88">+CZ10/CY10-1</f>
        <v>5.2860698459133992E-3</v>
      </c>
      <c r="DA12" s="40">
        <f t="shared" ref="DA12" si="89">+DA10/CZ10-1</f>
        <v>-0.25305359821690054</v>
      </c>
      <c r="DB12" s="40">
        <f t="shared" ref="DB12" si="90">+DB10/DA10-1</f>
        <v>0.16037059108945306</v>
      </c>
      <c r="DE12" s="122"/>
      <c r="DF12" s="39">
        <v>0.50729563209577466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-0.41429579999999999</v>
      </c>
      <c r="F13" s="23">
        <f>'Annual Raw'!G11</f>
        <v>-0.16014880000000001</v>
      </c>
      <c r="G13" s="23">
        <f>'Annual Raw'!H11</f>
        <v>-0.49128559999999999</v>
      </c>
      <c r="H13" s="23">
        <f>'Annual Raw'!I11</f>
        <v>0.51910000000000001</v>
      </c>
      <c r="I13" s="23">
        <f>'Annual Raw'!J11</f>
        <v>-0.84660000000000002</v>
      </c>
      <c r="J13" s="23">
        <f>'Annual Raw'!K11</f>
        <v>1.0105</v>
      </c>
      <c r="K13" s="23">
        <f>'Annual Raw'!L11</f>
        <v>-0.6371</v>
      </c>
      <c r="L13" s="23">
        <f>'Annual Raw'!M11</f>
        <v>-0.439</v>
      </c>
      <c r="M13" s="23">
        <f>'Annual Raw'!N11</f>
        <v>-1.34</v>
      </c>
      <c r="N13" s="23">
        <f>'Annual Raw'!O11</f>
        <v>-0.85680000000000001</v>
      </c>
      <c r="O13" s="23">
        <f>'Annual Raw'!P11</f>
        <v>-2.7054</v>
      </c>
      <c r="P13" s="23">
        <f>'Annual Raw'!Q11</f>
        <v>-4.0087000000000002</v>
      </c>
      <c r="Q13" s="23">
        <f>'Annual Raw'!R11</f>
        <v>-4.6985999999999999</v>
      </c>
      <c r="R13" s="23">
        <f>'Annual Raw'!S11</f>
        <v>4.2583000000000002</v>
      </c>
      <c r="S13" s="23">
        <f>'Annual Raw'!T11</f>
        <v>-1.3980999999999999</v>
      </c>
      <c r="T13" s="23">
        <f>'Annual Raw'!U11</f>
        <v>2.5979000000000001</v>
      </c>
      <c r="U13" s="23">
        <f>'Annual Raw'!V11</f>
        <v>-1.7359</v>
      </c>
      <c r="V13" s="23">
        <f>'Annual Raw'!W11</f>
        <v>1.7138</v>
      </c>
      <c r="W13" s="23">
        <f>'Annual Raw'!X11</f>
        <v>-3.2787999999999999</v>
      </c>
      <c r="X13" s="23">
        <f>'Annual Raw'!Y11</f>
        <v>-3.6006999999999998</v>
      </c>
      <c r="Y13" s="23">
        <f>'Annual Raw'!Z11</f>
        <v>-0.1237</v>
      </c>
      <c r="Z13" s="23">
        <f>'Annual Raw'!AA11</f>
        <v>-3.1736</v>
      </c>
      <c r="AA13" s="23">
        <f>'Annual Raw'!AB11</f>
        <v>-7.0941000000000001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-0.27</v>
      </c>
      <c r="AJ13" s="23">
        <f>'QTR Raw'!D10</f>
        <v>0.81</v>
      </c>
      <c r="AK13" s="23">
        <f>'QTR Raw'!E10</f>
        <v>-0.96</v>
      </c>
      <c r="AL13" s="23">
        <f>'QTR Raw'!F10</f>
        <v>-0.44</v>
      </c>
      <c r="AM13" s="23">
        <f>'QTR Raw'!G10</f>
        <v>-1.92</v>
      </c>
      <c r="AN13" s="23">
        <f>'QTR Raw'!H10</f>
        <v>-1.17</v>
      </c>
      <c r="AO13" s="23">
        <f>'QTR Raw'!I10</f>
        <v>1.29</v>
      </c>
      <c r="AP13" s="23">
        <f>'QTR Raw'!J10</f>
        <v>-0.995</v>
      </c>
      <c r="AQ13" s="23">
        <f>'QTR Raw'!K10</f>
        <v>-1.1299999999999999</v>
      </c>
      <c r="AR13" s="23">
        <f>'QTR Raw'!L10</f>
        <v>-7.82</v>
      </c>
      <c r="AS13" s="23">
        <f>'QTR Raw'!M10</f>
        <v>-7.21</v>
      </c>
      <c r="AT13" s="23">
        <f>'QTR Raw'!N10</f>
        <v>11.95</v>
      </c>
      <c r="AU13" s="23">
        <f>'QTR Raw'!O10</f>
        <v>-7.27</v>
      </c>
      <c r="AV13" s="23">
        <f>'QTR Raw'!P10</f>
        <v>-2.7</v>
      </c>
      <c r="AW13" s="23">
        <f>'QTR Raw'!Q10</f>
        <v>9.01</v>
      </c>
      <c r="AX13" s="23">
        <f>'QTR Raw'!R10</f>
        <v>-4.25</v>
      </c>
      <c r="AY13" s="23">
        <f>'QTR Raw'!S10</f>
        <v>0.31</v>
      </c>
      <c r="AZ13" s="23">
        <f>'QTR Raw'!T10</f>
        <v>-3.19</v>
      </c>
      <c r="BA13" s="23">
        <f>'QTR Raw'!U10</f>
        <v>1.21</v>
      </c>
      <c r="BB13" s="23">
        <f>'QTR Raw'!V10</f>
        <v>5.92</v>
      </c>
      <c r="BC13" s="23">
        <f>'QTR Raw'!W10</f>
        <v>-2.16</v>
      </c>
      <c r="BD13" s="23">
        <f>'QTR Raw'!X10</f>
        <v>-0.54</v>
      </c>
      <c r="BE13" s="23">
        <f>'QTR Raw'!Y10</f>
        <v>-1.64</v>
      </c>
      <c r="BF13" s="23">
        <f>'QTR Raw'!Z10</f>
        <v>2.94</v>
      </c>
      <c r="BG13" s="23">
        <f>'QTR Raw'!AA10</f>
        <v>-0.76</v>
      </c>
      <c r="BH13" s="23">
        <f>'QTR Raw'!AB10</f>
        <v>3.25</v>
      </c>
      <c r="BI13" s="23">
        <f>'QTR Raw'!AC10</f>
        <v>-2.2599999999999998</v>
      </c>
      <c r="BJ13" s="23">
        <f>'QTR Raw'!AD10</f>
        <v>2.0299999999999998</v>
      </c>
      <c r="BK13" s="23">
        <f>'QTR Raw'!AE10</f>
        <v>-0.61</v>
      </c>
      <c r="BL13" s="23">
        <f>'QTR Raw'!AF10</f>
        <v>0.13</v>
      </c>
      <c r="BM13" s="23">
        <f>'QTR Raw'!AG10</f>
        <v>1.77</v>
      </c>
      <c r="BN13" s="23">
        <f>'QTR Raw'!AH10</f>
        <v>-3.02</v>
      </c>
      <c r="BO13" s="23">
        <f>'QTR Raw'!AI10</f>
        <v>-1.31</v>
      </c>
      <c r="BP13" s="23">
        <f>'QTR Raw'!AJ10</f>
        <v>0.47</v>
      </c>
      <c r="BQ13" s="23">
        <f>'QTR Raw'!AK10</f>
        <v>4.53</v>
      </c>
      <c r="BR13" s="23">
        <f>'QTR Raw'!AL10</f>
        <v>-1.98</v>
      </c>
      <c r="BS13" s="23">
        <f>'QTR Raw'!AM10</f>
        <v>0.73</v>
      </c>
      <c r="BT13" s="23">
        <f>'QTR Raw'!AN10</f>
        <v>-0.36</v>
      </c>
      <c r="BU13" s="23">
        <f>'QTR Raw'!AO10</f>
        <v>-2.2200000000000002</v>
      </c>
      <c r="BV13" s="23">
        <f>'QTR Raw'!AP10</f>
        <v>-1.43</v>
      </c>
      <c r="BW13" s="23">
        <f>'QTR Raw'!AQ10</f>
        <v>-1.08</v>
      </c>
      <c r="BX13" s="23">
        <f>'QTR Raw'!AR10</f>
        <v>-0.9</v>
      </c>
      <c r="BY13" s="23">
        <f>'QTR Raw'!AS10</f>
        <v>-4.67</v>
      </c>
      <c r="BZ13" s="23">
        <f>'QTR Raw'!AT10</f>
        <v>3.05</v>
      </c>
      <c r="CA13" s="23">
        <f>'QTR Raw'!AU10</f>
        <v>0.87</v>
      </c>
      <c r="CB13" s="23">
        <f>'QTR Raw'!AV10</f>
        <v>3.8</v>
      </c>
      <c r="CC13" s="23">
        <f>'QTR Raw'!AW10</f>
        <v>-0.14000000000000001</v>
      </c>
      <c r="CD13" s="23">
        <f>'QTR Raw'!AX10</f>
        <v>-4.6500000000000004</v>
      </c>
      <c r="CE13" s="23">
        <f>'QTR Raw'!AY10</f>
        <v>-0.49</v>
      </c>
      <c r="CF13" s="23">
        <f>'QTR Raw'!AZ10</f>
        <v>-1.06</v>
      </c>
      <c r="CG13" s="23">
        <f>'QTR Raw'!BA10</f>
        <v>-5</v>
      </c>
      <c r="CH13" s="23">
        <f>'QTR Raw'!BB10</f>
        <v>3.38</v>
      </c>
      <c r="CI13" s="23">
        <f>'QTR Raw'!BC10</f>
        <v>-3.56</v>
      </c>
      <c r="CJ13" s="23">
        <f>'QTR Raw'!BD10</f>
        <v>3.77</v>
      </c>
      <c r="CK13" s="23">
        <f>'QTR Raw'!BE10</f>
        <v>-1.76</v>
      </c>
      <c r="CL13" s="23">
        <f>'QTR Raw'!BF10</f>
        <v>-5.54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-7.09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0.02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5.37</v>
      </c>
      <c r="CE14" s="23">
        <f>'QTR Raw'!AY12</f>
        <v>3.27</v>
      </c>
      <c r="CF14" s="23">
        <f>'QTR Raw'!AZ12</f>
        <v>1.1499999999999999</v>
      </c>
      <c r="CG14" s="23">
        <f>'QTR Raw'!BA12</f>
        <v>2.29</v>
      </c>
      <c r="CH14" s="23">
        <f>'QTR Raw'!BB12</f>
        <v>1.1599999999999999</v>
      </c>
      <c r="CI14" s="23">
        <f>'QTR Raw'!BC12</f>
        <v>0.72</v>
      </c>
      <c r="CJ14" s="23">
        <f>'QTR Raw'!BD12</f>
        <v>0.09</v>
      </c>
      <c r="CK14" s="23">
        <f>'QTR Raw'!BE12</f>
        <v>3.97</v>
      </c>
      <c r="CL14" s="23">
        <f>'QTR Raw'!BF12</f>
        <v>11.26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16.04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12.539143299999999</v>
      </c>
      <c r="F15" s="23">
        <f>'Annual Raw'!G12</f>
        <v>10.8748377</v>
      </c>
      <c r="G15" s="23">
        <f>'Annual Raw'!H12</f>
        <v>17.937481399999999</v>
      </c>
      <c r="H15" s="23">
        <f>'Annual Raw'!I12</f>
        <v>22.513100000000001</v>
      </c>
      <c r="I15" s="23">
        <f>'Annual Raw'!J12</f>
        <v>29.917400000000001</v>
      </c>
      <c r="J15" s="23">
        <f>'Annual Raw'!K12</f>
        <v>41.804099999999998</v>
      </c>
      <c r="K15" s="23">
        <f>'Annual Raw'!L12</f>
        <v>41.289900000000003</v>
      </c>
      <c r="L15" s="23">
        <f>'Annual Raw'!M12</f>
        <v>53.604500000000002</v>
      </c>
      <c r="M15" s="23">
        <f>'Annual Raw'!N12</f>
        <v>67.347499999999997</v>
      </c>
      <c r="N15" s="23">
        <f>'Annual Raw'!O12</f>
        <v>74.074600000000004</v>
      </c>
      <c r="O15" s="23">
        <f>'Annual Raw'!P12</f>
        <v>95.480599999999995</v>
      </c>
      <c r="P15" s="23">
        <f>'Annual Raw'!Q12</f>
        <v>86.789900000000003</v>
      </c>
      <c r="Q15" s="23">
        <f>'Annual Raw'!R12</f>
        <v>101.1649</v>
      </c>
      <c r="R15" s="23">
        <f>'Annual Raw'!S12</f>
        <v>103.3691</v>
      </c>
      <c r="S15" s="23">
        <f>'Annual Raw'!T12</f>
        <v>119.5565</v>
      </c>
      <c r="T15" s="23">
        <f>'Annual Raw'!U12</f>
        <v>121.9567</v>
      </c>
      <c r="U15" s="23">
        <f>'Annual Raw'!V12</f>
        <v>115.6481</v>
      </c>
      <c r="V15" s="23">
        <f>'Annual Raw'!W12</f>
        <v>118.6801</v>
      </c>
      <c r="W15" s="23">
        <f>'Annual Raw'!X12</f>
        <v>166.85640000000001</v>
      </c>
      <c r="X15" s="23">
        <f>'Annual Raw'!Y12</f>
        <v>163.89230000000001</v>
      </c>
      <c r="Y15" s="23">
        <f>'Annual Raw'!Z12</f>
        <v>187.23949999999999</v>
      </c>
      <c r="Z15" s="23">
        <f>'Annual Raw'!AA12</f>
        <v>266.70319999999998</v>
      </c>
      <c r="AA15" s="23">
        <f>'Annual Raw'!AB12</f>
        <v>326.43700000000001</v>
      </c>
      <c r="AB15" s="24">
        <f>+SUM(CM15:CP15)</f>
        <v>376.30379341726746</v>
      </c>
      <c r="AC15" s="24">
        <f>+SUM(CQ15:CT15)</f>
        <v>430.96881793712822</v>
      </c>
      <c r="AD15" s="24">
        <f>+SUM(CU15:CX15)</f>
        <v>493.01144633438679</v>
      </c>
      <c r="AE15" s="24">
        <f>+SUM(CY15:DB15)</f>
        <v>563.95674778859291</v>
      </c>
      <c r="AI15" s="23">
        <f>'QTR Raw'!C11</f>
        <v>19.355</v>
      </c>
      <c r="AJ15" s="23">
        <f>'QTR Raw'!D11</f>
        <v>18.12</v>
      </c>
      <c r="AK15" s="23">
        <f>'QTR Raw'!E11</f>
        <v>18.59</v>
      </c>
      <c r="AL15" s="23">
        <f>'QTR Raw'!F11</f>
        <v>20.388999999999999</v>
      </c>
      <c r="AM15" s="23">
        <f>'QTR Raw'!G11</f>
        <v>22.081</v>
      </c>
      <c r="AN15" s="23">
        <f>'QTR Raw'!H11</f>
        <v>24.49</v>
      </c>
      <c r="AO15" s="23">
        <f>'QTR Raw'!I11</f>
        <v>24.73</v>
      </c>
      <c r="AP15" s="23">
        <f>'QTR Raw'!J11</f>
        <v>27.5</v>
      </c>
      <c r="AQ15" s="23">
        <f>'QTR Raw'!K11</f>
        <v>23.48</v>
      </c>
      <c r="AR15" s="23">
        <f>'QTR Raw'!L11</f>
        <v>29.85</v>
      </c>
      <c r="AS15" s="23">
        <f>'QTR Raw'!M11</f>
        <v>26.89</v>
      </c>
      <c r="AT15" s="23">
        <f>'QTR Raw'!N11</f>
        <v>10.26</v>
      </c>
      <c r="AU15" s="23">
        <f>'QTR Raw'!O11</f>
        <v>29.1</v>
      </c>
      <c r="AV15" s="23">
        <f>'QTR Raw'!P11</f>
        <v>28.73</v>
      </c>
      <c r="AW15" s="23">
        <f>'QTR Raw'!Q11</f>
        <v>17.96</v>
      </c>
      <c r="AX15" s="23">
        <f>'QTR Raw'!R11</f>
        <v>29.99</v>
      </c>
      <c r="AY15" s="23">
        <f>'QTR Raw'!S11</f>
        <v>30.54</v>
      </c>
      <c r="AZ15" s="23">
        <f>'QTR Raw'!T11</f>
        <v>27.22</v>
      </c>
      <c r="BA15" s="23">
        <f>'QTR Raw'!U11</f>
        <v>28.05</v>
      </c>
      <c r="BB15" s="23">
        <f>'QTR Raw'!V11</f>
        <v>23.51</v>
      </c>
      <c r="BC15" s="23">
        <f>'QTR Raw'!W11</f>
        <v>33.76</v>
      </c>
      <c r="BD15" s="23">
        <f>'QTR Raw'!X11</f>
        <v>28.36</v>
      </c>
      <c r="BE15" s="23">
        <f>'QTR Raw'!Y11</f>
        <v>32.28</v>
      </c>
      <c r="BF15" s="23">
        <f>'QTR Raw'!Z11</f>
        <v>32.86</v>
      </c>
      <c r="BG15" s="23">
        <f>'QTR Raw'!AA11</f>
        <v>35.06</v>
      </c>
      <c r="BH15" s="23">
        <f>'QTR Raw'!AB11</f>
        <v>35.89</v>
      </c>
      <c r="BI15" s="23">
        <f>'QTR Raw'!AC11</f>
        <v>28.8</v>
      </c>
      <c r="BJ15" s="23">
        <f>'QTR Raw'!AD11</f>
        <v>29.85</v>
      </c>
      <c r="BK15" s="23">
        <f>'QTR Raw'!AE11</f>
        <v>32.96</v>
      </c>
      <c r="BL15" s="23">
        <f>'QTR Raw'!AF11</f>
        <v>31.42</v>
      </c>
      <c r="BM15" s="23">
        <f>'QTR Raw'!AG11</f>
        <v>26.65</v>
      </c>
      <c r="BN15" s="23">
        <f>'QTR Raw'!AH11</f>
        <v>31.95</v>
      </c>
      <c r="BO15" s="23">
        <f>'QTR Raw'!AI11</f>
        <v>25.72</v>
      </c>
      <c r="BP15" s="23">
        <f>'QTR Raw'!AJ11</f>
        <v>33.56</v>
      </c>
      <c r="BQ15" s="23">
        <f>'QTR Raw'!AK11</f>
        <v>30.34</v>
      </c>
      <c r="BR15" s="23">
        <f>'QTR Raw'!AL11</f>
        <v>35.119999999999997</v>
      </c>
      <c r="BS15" s="23">
        <f>'QTR Raw'!AM11</f>
        <v>41.3</v>
      </c>
      <c r="BT15" s="23">
        <f>'QTR Raw'!AN11</f>
        <v>39.549999999999997</v>
      </c>
      <c r="BU15" s="23">
        <f>'QTR Raw'!AO11</f>
        <v>42.3</v>
      </c>
      <c r="BV15" s="23">
        <f>'QTR Raw'!AP11</f>
        <v>49.51</v>
      </c>
      <c r="BW15" s="23">
        <f>'QTR Raw'!AQ11</f>
        <v>44.63</v>
      </c>
      <c r="BX15" s="23">
        <f>'QTR Raw'!AR11</f>
        <v>42.97</v>
      </c>
      <c r="BY15" s="23">
        <f>'QTR Raw'!AS11</f>
        <v>39.159999999999997</v>
      </c>
      <c r="BZ15" s="23">
        <f>'QTR Raw'!AT11</f>
        <v>43.05</v>
      </c>
      <c r="CA15" s="23">
        <f>'QTR Raw'!AU11</f>
        <v>44.99</v>
      </c>
      <c r="CB15" s="23">
        <f>'QTR Raw'!AV11</f>
        <v>41.93</v>
      </c>
      <c r="CC15" s="23">
        <f>'QTR Raw'!AW11</f>
        <v>42.51</v>
      </c>
      <c r="CD15" s="23">
        <f>'QTR Raw'!AX11</f>
        <v>58.09</v>
      </c>
      <c r="CE15" s="23">
        <f>'QTR Raw'!AY11</f>
        <v>53.4</v>
      </c>
      <c r="CF15" s="23">
        <f>'QTR Raw'!AZ11</f>
        <v>68.95</v>
      </c>
      <c r="CG15" s="23">
        <f>'QTR Raw'!BA11</f>
        <v>64.27</v>
      </c>
      <c r="CH15" s="23">
        <f>'QTR Raw'!BB11</f>
        <v>79.319999999999993</v>
      </c>
      <c r="CI15" s="23">
        <f>'QTR Raw'!BC11</f>
        <v>86.99</v>
      </c>
      <c r="CJ15" s="23">
        <f>'QTR Raw'!BD11</f>
        <v>89.13</v>
      </c>
      <c r="CK15" s="23">
        <f>'QTR Raw'!BE11</f>
        <v>67.87</v>
      </c>
      <c r="CL15" s="23">
        <f>'QTR Raw'!BF11</f>
        <v>72.53</v>
      </c>
      <c r="CM15" s="24">
        <f t="shared" ref="CM15:DB15" si="91">+CM10-CM16</f>
        <v>102.77717204038453</v>
      </c>
      <c r="CN15" s="24">
        <f t="shared" si="91"/>
        <v>105.06616715837896</v>
      </c>
      <c r="CO15" s="24">
        <f t="shared" si="91"/>
        <v>78.232011017792104</v>
      </c>
      <c r="CP15" s="24">
        <f t="shared" si="91"/>
        <v>90.228443200711894</v>
      </c>
      <c r="CQ15" s="24">
        <f t="shared" si="91"/>
        <v>118.69264197858001</v>
      </c>
      <c r="CR15" s="24">
        <f t="shared" si="91"/>
        <v>119.59498616655679</v>
      </c>
      <c r="CS15" s="24">
        <f t="shared" si="91"/>
        <v>89.223760442354433</v>
      </c>
      <c r="CT15" s="24">
        <f t="shared" si="91"/>
        <v>103.457429349637</v>
      </c>
      <c r="CU15" s="24">
        <f t="shared" si="91"/>
        <v>135.91046609748491</v>
      </c>
      <c r="CV15" s="24">
        <f t="shared" si="91"/>
        <v>136.64997243321869</v>
      </c>
      <c r="CW15" s="24">
        <f t="shared" si="91"/>
        <v>102.04474464807387</v>
      </c>
      <c r="CX15" s="24">
        <f t="shared" si="91"/>
        <v>118.40626315560934</v>
      </c>
      <c r="CY15" s="24">
        <f t="shared" si="91"/>
        <v>155.47667058159806</v>
      </c>
      <c r="CZ15" s="24">
        <f t="shared" si="91"/>
        <v>156.28508167046047</v>
      </c>
      <c r="DA15" s="24">
        <f t="shared" si="91"/>
        <v>116.73511018435514</v>
      </c>
      <c r="DB15" s="24">
        <f t="shared" si="91"/>
        <v>135.4598853521793</v>
      </c>
      <c r="DE15" s="123"/>
      <c r="DF15" s="23">
        <v>107.23773964894329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8.8014684000000045</v>
      </c>
      <c r="F16" s="31">
        <f t="shared" si="92"/>
        <v>6.7296966999999981</v>
      </c>
      <c r="G16" s="31">
        <f t="shared" si="92"/>
        <v>9.8856141999999991</v>
      </c>
      <c r="H16" s="31">
        <f t="shared" si="92"/>
        <v>10.421299999999995</v>
      </c>
      <c r="I16" s="31">
        <f t="shared" si="92"/>
        <v>12.914200000000001</v>
      </c>
      <c r="J16" s="31">
        <f t="shared" si="92"/>
        <v>20.225400000000008</v>
      </c>
      <c r="K16" s="31">
        <f t="shared" si="92"/>
        <v>23.850300000000004</v>
      </c>
      <c r="L16" s="31">
        <f t="shared" si="92"/>
        <v>25.976799999999983</v>
      </c>
      <c r="M16" s="31">
        <f t="shared" si="92"/>
        <v>28.271000000000001</v>
      </c>
      <c r="N16" s="31">
        <f t="shared" si="92"/>
        <v>32.083000000000013</v>
      </c>
      <c r="O16" s="31">
        <f t="shared" si="92"/>
        <v>40.877300000000005</v>
      </c>
      <c r="P16" s="31">
        <f t="shared" si="92"/>
        <v>36.224299999999999</v>
      </c>
      <c r="Q16" s="31">
        <f t="shared" si="92"/>
        <v>53.761600000000001</v>
      </c>
      <c r="R16" s="31">
        <f t="shared" si="92"/>
        <v>58.094600000000014</v>
      </c>
      <c r="S16" s="31">
        <f t="shared" si="92"/>
        <v>65.209499999999991</v>
      </c>
      <c r="T16" s="31">
        <f t="shared" si="92"/>
        <v>65.134399999999985</v>
      </c>
      <c r="U16" s="31">
        <f t="shared" ref="U16:Z16" si="93">U10-U13-U15-U14</f>
        <v>67.165199999999999</v>
      </c>
      <c r="V16" s="31">
        <f t="shared" si="93"/>
        <v>78.259200000000007</v>
      </c>
      <c r="W16" s="31">
        <f t="shared" si="93"/>
        <v>80.426599999999979</v>
      </c>
      <c r="X16" s="31">
        <f t="shared" si="93"/>
        <v>84.468399999999974</v>
      </c>
      <c r="Y16" s="31">
        <f t="shared" si="93"/>
        <v>96.259600000000006</v>
      </c>
      <c r="Z16" s="31">
        <f t="shared" si="93"/>
        <v>102.26520000000005</v>
      </c>
      <c r="AA16" s="31">
        <f t="shared" ref="AA16" si="94">AA10-AA13-AA15-AA14</f>
        <v>121.57</v>
      </c>
      <c r="AB16" s="32">
        <f t="shared" ref="AA16:AD16" si="95">AB10-AB13-AB15-AB14</f>
        <v>136.11864585741205</v>
      </c>
      <c r="AC16" s="32">
        <f t="shared" si="95"/>
        <v>156.96887776622776</v>
      </c>
      <c r="AD16" s="32">
        <f t="shared" si="95"/>
        <v>179.85242346663796</v>
      </c>
      <c r="AE16" s="32">
        <f t="shared" ref="AE16" si="96">AE10-AE13-AE15-AE14</f>
        <v>205.79433978387897</v>
      </c>
      <c r="AI16" s="31">
        <f t="shared" ref="AI16" si="97">AI10-AI13-AI15-AI14</f>
        <v>7.6219999999999999</v>
      </c>
      <c r="AJ16" s="31">
        <f t="shared" ref="AJ16" si="98">AJ10-AJ13-AJ15-AJ14</f>
        <v>7.620000000000001</v>
      </c>
      <c r="AK16" s="31">
        <f t="shared" ref="AK16:AM16" si="99">AK10-AK13-AK15-AK14</f>
        <v>6.5399999999999991</v>
      </c>
      <c r="AL16" s="31">
        <f t="shared" si="99"/>
        <v>7.9030000000000022</v>
      </c>
      <c r="AM16" s="31">
        <f t="shared" si="99"/>
        <v>7.7979999999999983</v>
      </c>
      <c r="AN16" s="31">
        <f t="shared" ref="AN16:AO16" si="100">AN10-AN13-AN15-AN14</f>
        <v>10.870000000000001</v>
      </c>
      <c r="AO16" s="31">
        <f t="shared" si="100"/>
        <v>8.870000000000001</v>
      </c>
      <c r="AP16" s="31">
        <f t="shared" ref="AP16:CD16" si="101">AP10-AP13-AP15-AP14</f>
        <v>10.074999999999996</v>
      </c>
      <c r="AQ16" s="31">
        <f t="shared" si="101"/>
        <v>8.4199999999999982</v>
      </c>
      <c r="AR16" s="31">
        <f t="shared" si="101"/>
        <v>11.019999999999996</v>
      </c>
      <c r="AS16" s="31">
        <f t="shared" si="101"/>
        <v>7.8799999999999955</v>
      </c>
      <c r="AT16" s="31">
        <f t="shared" si="101"/>
        <v>5.42</v>
      </c>
      <c r="AU16" s="31">
        <f t="shared" si="101"/>
        <v>13.259999999999998</v>
      </c>
      <c r="AV16" s="31">
        <f t="shared" si="101"/>
        <v>14.580000000000002</v>
      </c>
      <c r="AW16" s="31">
        <f t="shared" si="101"/>
        <v>8.9200000000000017</v>
      </c>
      <c r="AX16" s="31">
        <f t="shared" si="101"/>
        <v>12.880000000000003</v>
      </c>
      <c r="AY16" s="31">
        <f t="shared" si="101"/>
        <v>12.920000000000002</v>
      </c>
      <c r="AZ16" s="31">
        <f t="shared" si="101"/>
        <v>12.129999999999995</v>
      </c>
      <c r="BA16" s="31">
        <f t="shared" si="101"/>
        <v>12.559999999999999</v>
      </c>
      <c r="BB16" s="31">
        <f t="shared" si="101"/>
        <v>14.039999999999996</v>
      </c>
      <c r="BC16" s="31">
        <f t="shared" si="101"/>
        <v>13.46</v>
      </c>
      <c r="BD16" s="31">
        <f t="shared" si="101"/>
        <v>13.810000000000002</v>
      </c>
      <c r="BE16" s="31">
        <f t="shared" si="101"/>
        <v>14.589999999999996</v>
      </c>
      <c r="BF16" s="31">
        <f t="shared" si="101"/>
        <v>14.86</v>
      </c>
      <c r="BG16" s="31">
        <f t="shared" si="101"/>
        <v>15.179999999999993</v>
      </c>
      <c r="BH16" s="31">
        <f t="shared" si="101"/>
        <v>14.299999999999997</v>
      </c>
      <c r="BI16" s="31">
        <f t="shared" si="101"/>
        <v>12.239999999999998</v>
      </c>
      <c r="BJ16" s="31">
        <f t="shared" si="101"/>
        <v>16.11</v>
      </c>
      <c r="BK16" s="31">
        <f t="shared" si="101"/>
        <v>15.240000000000002</v>
      </c>
      <c r="BL16" s="31">
        <f t="shared" si="101"/>
        <v>15.379999999999995</v>
      </c>
      <c r="BM16" s="31">
        <f t="shared" si="101"/>
        <v>13.350000000000001</v>
      </c>
      <c r="BN16" s="31">
        <f t="shared" si="101"/>
        <v>15.860000000000003</v>
      </c>
      <c r="BO16" s="31">
        <f t="shared" si="101"/>
        <v>14.490000000000002</v>
      </c>
      <c r="BP16" s="31">
        <f t="shared" si="101"/>
        <v>20.049999999999997</v>
      </c>
      <c r="BQ16" s="31">
        <f t="shared" si="101"/>
        <v>19.099999999999998</v>
      </c>
      <c r="BR16" s="31">
        <f t="shared" si="101"/>
        <v>18.560000000000002</v>
      </c>
      <c r="BS16" s="31">
        <f t="shared" si="101"/>
        <v>18.590000000000003</v>
      </c>
      <c r="BT16" s="31">
        <f t="shared" si="101"/>
        <v>19.47</v>
      </c>
      <c r="BU16" s="31">
        <f t="shared" si="101"/>
        <v>17.910000000000004</v>
      </c>
      <c r="BV16" s="31">
        <f t="shared" si="101"/>
        <v>18.660000000000004</v>
      </c>
      <c r="BW16" s="31">
        <f t="shared" si="101"/>
        <v>19.139999999999993</v>
      </c>
      <c r="BX16" s="31">
        <f t="shared" si="101"/>
        <v>22.300000000000011</v>
      </c>
      <c r="BY16" s="31">
        <f t="shared" si="101"/>
        <v>16.750000000000007</v>
      </c>
      <c r="BZ16" s="31">
        <f t="shared" si="101"/>
        <v>20.36</v>
      </c>
      <c r="CA16" s="31">
        <f t="shared" si="101"/>
        <v>20.82</v>
      </c>
      <c r="CB16" s="31">
        <f t="shared" si="101"/>
        <v>20.250000000000007</v>
      </c>
      <c r="CC16" s="31">
        <f t="shared" si="101"/>
        <v>22.82</v>
      </c>
      <c r="CD16" s="31">
        <f t="shared" si="101"/>
        <v>26.720000000000002</v>
      </c>
      <c r="CE16" s="31">
        <f t="shared" ref="CE16:CF16" si="102">CE10-CE13-CE15-CE14</f>
        <v>21.77999999999999</v>
      </c>
      <c r="CF16" s="31">
        <f t="shared" si="102"/>
        <v>23.869999999999997</v>
      </c>
      <c r="CG16" s="31">
        <f t="shared" ref="CG16:CH16" si="103">CG10-CG13-CG15-CG14</f>
        <v>23.050000000000004</v>
      </c>
      <c r="CH16" s="31">
        <f t="shared" si="103"/>
        <v>26.450000000000014</v>
      </c>
      <c r="CI16" s="31">
        <f t="shared" ref="CI16:CJ16" si="104">CI10-CI13-CI15-CI14</f>
        <v>29.730000000000004</v>
      </c>
      <c r="CJ16" s="31">
        <f t="shared" si="104"/>
        <v>29.410000000000014</v>
      </c>
      <c r="CK16" s="31">
        <f t="shared" ref="CK16:CL16" si="105">CK10-CK13-CK15-CK14</f>
        <v>24.879999999999995</v>
      </c>
      <c r="CL16" s="31">
        <f t="shared" si="105"/>
        <v>31.420000000000009</v>
      </c>
      <c r="CM16" s="32">
        <f t="shared" ref="CM16:DB16" si="106">+CM17*CM10</f>
        <v>36.574287171570063</v>
      </c>
      <c r="CN16" s="32">
        <f t="shared" si="106"/>
        <v>37.456312314343442</v>
      </c>
      <c r="CO16" s="32">
        <f t="shared" si="106"/>
        <v>28.70702137028065</v>
      </c>
      <c r="CP16" s="32">
        <f t="shared" si="106"/>
        <v>33.381025001217864</v>
      </c>
      <c r="CQ16" s="32">
        <f t="shared" si="106"/>
        <v>43.001056840493895</v>
      </c>
      <c r="CR16" s="32">
        <f t="shared" si="106"/>
        <v>43.521329892065516</v>
      </c>
      <c r="CS16" s="32">
        <f t="shared" si="106"/>
        <v>32.635337412976718</v>
      </c>
      <c r="CT16" s="32">
        <f t="shared" si="106"/>
        <v>37.811153620691513</v>
      </c>
      <c r="CU16" s="32">
        <f t="shared" si="106"/>
        <v>49.520151317043954</v>
      </c>
      <c r="CV16" s="32">
        <f t="shared" si="106"/>
        <v>49.860429616748888</v>
      </c>
      <c r="CW16" s="32">
        <f t="shared" si="106"/>
        <v>37.258572157166071</v>
      </c>
      <c r="CX16" s="32">
        <f t="shared" si="106"/>
        <v>43.213270375678967</v>
      </c>
      <c r="CY16" s="32">
        <f t="shared" si="106"/>
        <v>56.722280334534908</v>
      </c>
      <c r="CZ16" s="32">
        <f t="shared" si="106"/>
        <v>57.035567721444728</v>
      </c>
      <c r="DA16" s="32">
        <f t="shared" si="106"/>
        <v>42.603981304962559</v>
      </c>
      <c r="DB16" s="32">
        <f t="shared" si="106"/>
        <v>49.432510422936708</v>
      </c>
      <c r="DE16" s="124"/>
      <c r="DF16" s="31">
        <v>35.895053574871476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>
        <f t="shared" si="107"/>
        <v>0.42059330663167538</v>
      </c>
      <c r="F17" s="41">
        <f t="shared" si="107"/>
        <v>0.38578009305182975</v>
      </c>
      <c r="G17" s="41">
        <f t="shared" si="107"/>
        <v>0.36168896973892328</v>
      </c>
      <c r="H17" s="41">
        <f t="shared" si="107"/>
        <v>0.3115159848745272</v>
      </c>
      <c r="I17" s="41">
        <f t="shared" si="107"/>
        <v>0.30759080624032398</v>
      </c>
      <c r="J17" s="41">
        <f t="shared" si="107"/>
        <v>0.32083439086294424</v>
      </c>
      <c r="K17" s="41">
        <f t="shared" si="107"/>
        <v>0.36975432188530477</v>
      </c>
      <c r="L17" s="41">
        <f t="shared" si="107"/>
        <v>0.32822902543898758</v>
      </c>
      <c r="M17" s="41">
        <f t="shared" si="107"/>
        <v>0.29986688375398424</v>
      </c>
      <c r="N17" s="41">
        <f t="shared" si="107"/>
        <v>0.30467954659413804</v>
      </c>
      <c r="O17" s="41">
        <f t="shared" si="107"/>
        <v>0.30584762724228881</v>
      </c>
      <c r="P17" s="41">
        <f t="shared" si="107"/>
        <v>0.30439181382373082</v>
      </c>
      <c r="Q17" s="41">
        <f t="shared" si="107"/>
        <v>0.3578669474844553</v>
      </c>
      <c r="R17" s="41">
        <f t="shared" si="107"/>
        <v>0.35055454315057755</v>
      </c>
      <c r="S17" s="41">
        <f t="shared" si="107"/>
        <v>0.35562113107037813</v>
      </c>
      <c r="T17" s="41">
        <f t="shared" si="107"/>
        <v>0.34337468171586116</v>
      </c>
      <c r="U17" s="41">
        <f t="shared" si="107"/>
        <v>0.37091983869881051</v>
      </c>
      <c r="V17" s="41">
        <f>V16/V10</f>
        <v>0.39394904987639262</v>
      </c>
      <c r="W17" s="41">
        <f>W16/W10</f>
        <v>0.3296115394735008</v>
      </c>
      <c r="X17" s="41">
        <f>X16/X10</f>
        <v>0.34510704363458072</v>
      </c>
      <c r="Y17" s="41">
        <f>Y16/Y10</f>
        <v>0.33968933083111663</v>
      </c>
      <c r="Z17" s="41">
        <f>Z16/Z10</f>
        <v>0.27956985719862626</v>
      </c>
      <c r="AA17" s="41">
        <f>AA16/AA10</f>
        <v>0.27572339117317729</v>
      </c>
      <c r="AB17" s="42">
        <f t="shared" ref="AA17:AD17" si="108">AB16/AB10</f>
        <v>0.26563755882760404</v>
      </c>
      <c r="AC17" s="42">
        <f t="shared" si="108"/>
        <v>0.26698216309883699</v>
      </c>
      <c r="AD17" s="42">
        <f t="shared" si="108"/>
        <v>0.26729392309297695</v>
      </c>
      <c r="AE17" s="42">
        <f t="shared" ref="AE17" si="109">AE16/AE10</f>
        <v>0.26735180125939539</v>
      </c>
      <c r="AI17" s="41">
        <f t="shared" ref="AI17" si="110">AI16/AI10</f>
        <v>0.28539334256936383</v>
      </c>
      <c r="AJ17" s="41">
        <f t="shared" ref="AJ17" si="111">AJ16/AJ10</f>
        <v>0.28700564971751413</v>
      </c>
      <c r="AK17" s="41">
        <f t="shared" ref="AK17:AM17" si="112">AK16/AK10</f>
        <v>0.27058336781133635</v>
      </c>
      <c r="AL17" s="41">
        <f t="shared" si="112"/>
        <v>0.28374982047967839</v>
      </c>
      <c r="AM17" s="41">
        <f t="shared" si="112"/>
        <v>0.27890840158803959</v>
      </c>
      <c r="AN17" s="41">
        <f t="shared" ref="AN17:AO17" si="113">AN16/AN10</f>
        <v>0.31792921906990351</v>
      </c>
      <c r="AO17" s="41">
        <f t="shared" si="113"/>
        <v>0.25422757237030669</v>
      </c>
      <c r="AP17" s="41">
        <f t="shared" ref="AP17:CD17" si="114">AP16/AP10</f>
        <v>0.2754237288135592</v>
      </c>
      <c r="AQ17" s="41">
        <f t="shared" si="114"/>
        <v>0.27364315892102692</v>
      </c>
      <c r="AR17" s="41">
        <f t="shared" si="114"/>
        <v>0.33343419062027224</v>
      </c>
      <c r="AS17" s="41">
        <f t="shared" si="114"/>
        <v>0.28592162554426692</v>
      </c>
      <c r="AT17" s="41">
        <f t="shared" si="114"/>
        <v>0.19616359030039812</v>
      </c>
      <c r="AU17" s="41">
        <f t="shared" si="114"/>
        <v>0.37788543744656589</v>
      </c>
      <c r="AV17" s="41">
        <f t="shared" si="114"/>
        <v>0.35902487072149719</v>
      </c>
      <c r="AW17" s="41">
        <f t="shared" si="114"/>
        <v>0.24853719699080529</v>
      </c>
      <c r="AX17" s="41">
        <f t="shared" si="114"/>
        <v>0.33333333333333337</v>
      </c>
      <c r="AY17" s="41">
        <f t="shared" si="114"/>
        <v>0.29517934658441858</v>
      </c>
      <c r="AZ17" s="41">
        <f t="shared" si="114"/>
        <v>0.33545353982300874</v>
      </c>
      <c r="BA17" s="41">
        <f t="shared" si="114"/>
        <v>0.30033476805356285</v>
      </c>
      <c r="BB17" s="41">
        <f t="shared" si="114"/>
        <v>0.32298136645962722</v>
      </c>
      <c r="BC17" s="41">
        <f t="shared" si="114"/>
        <v>0.29871282734132271</v>
      </c>
      <c r="BD17" s="41">
        <f t="shared" si="114"/>
        <v>0.33173192409320207</v>
      </c>
      <c r="BE17" s="41">
        <f t="shared" si="114"/>
        <v>0.32257351315498556</v>
      </c>
      <c r="BF17" s="41">
        <f t="shared" si="114"/>
        <v>0.29332806948282669</v>
      </c>
      <c r="BG17" s="41">
        <f t="shared" si="114"/>
        <v>0.30679062247372663</v>
      </c>
      <c r="BH17" s="41">
        <f t="shared" si="114"/>
        <v>0.26758982035928142</v>
      </c>
      <c r="BI17" s="41">
        <f t="shared" si="114"/>
        <v>0.31562661165549249</v>
      </c>
      <c r="BJ17" s="41">
        <f t="shared" si="114"/>
        <v>0.33569493644509268</v>
      </c>
      <c r="BK17" s="41">
        <f t="shared" si="114"/>
        <v>0.32023534355957134</v>
      </c>
      <c r="BL17" s="41">
        <f t="shared" si="114"/>
        <v>0.32772213935648831</v>
      </c>
      <c r="BM17" s="41">
        <f t="shared" si="114"/>
        <v>0.31960737371319131</v>
      </c>
      <c r="BN17" s="41">
        <f t="shared" si="114"/>
        <v>0.35409689662871185</v>
      </c>
      <c r="BO17" s="41">
        <f t="shared" si="114"/>
        <v>0.37249357326478155</v>
      </c>
      <c r="BP17" s="41">
        <f t="shared" si="114"/>
        <v>0.37074704142011833</v>
      </c>
      <c r="BQ17" s="41">
        <f t="shared" si="114"/>
        <v>0.35390031498980912</v>
      </c>
      <c r="BR17" s="41">
        <f t="shared" si="114"/>
        <v>0.35899419729206966</v>
      </c>
      <c r="BS17" s="41">
        <f t="shared" si="114"/>
        <v>0.30666446717255036</v>
      </c>
      <c r="BT17" s="41">
        <f t="shared" si="114"/>
        <v>0.33191271735424482</v>
      </c>
      <c r="BU17" s="41">
        <f t="shared" si="114"/>
        <v>0.30884635281945166</v>
      </c>
      <c r="BV17" s="41">
        <f t="shared" si="114"/>
        <v>0.27959244830686253</v>
      </c>
      <c r="BW17" s="41">
        <f t="shared" si="114"/>
        <v>0.30531185197001109</v>
      </c>
      <c r="BX17" s="41">
        <f t="shared" si="114"/>
        <v>0.34643467453782834</v>
      </c>
      <c r="BY17" s="41">
        <f t="shared" si="114"/>
        <v>0.32689305230288851</v>
      </c>
      <c r="BZ17" s="41">
        <f t="shared" si="114"/>
        <v>0.30634968402046348</v>
      </c>
      <c r="CA17" s="41">
        <f t="shared" si="114"/>
        <v>0.31223755248950208</v>
      </c>
      <c r="CB17" s="41">
        <f t="shared" si="114"/>
        <v>0.30691118520763877</v>
      </c>
      <c r="CC17" s="41">
        <f t="shared" si="114"/>
        <v>0.35005368921613744</v>
      </c>
      <c r="CD17" s="41">
        <f t="shared" si="114"/>
        <v>0.31240500409213146</v>
      </c>
      <c r="CE17" s="41">
        <f t="shared" ref="CE17:CF17" si="115">CE16/CE10</f>
        <v>0.27937403796818872</v>
      </c>
      <c r="CF17" s="41">
        <f t="shared" si="115"/>
        <v>0.25691529437089655</v>
      </c>
      <c r="CG17" s="41">
        <f t="shared" ref="CG17:CH17" si="116">CG16/CG10</f>
        <v>0.27242642713627235</v>
      </c>
      <c r="CH17" s="41">
        <f t="shared" si="116"/>
        <v>0.23977880518538675</v>
      </c>
      <c r="CI17" s="41">
        <f t="shared" ref="CI17:CJ17" si="117">CI16/CI10</f>
        <v>0.26106427818756589</v>
      </c>
      <c r="CJ17" s="41">
        <f t="shared" si="117"/>
        <v>0.2402777777777779</v>
      </c>
      <c r="CK17" s="41">
        <f t="shared" ref="CK17:CL17" si="118">CK16/CK10</f>
        <v>0.26200505475989888</v>
      </c>
      <c r="CL17" s="41">
        <f t="shared" si="118"/>
        <v>0.28649585118993354</v>
      </c>
      <c r="CM17" s="42">
        <f t="shared" ref="CM17:DB17" si="119">AVERAGE(CI17:CL17)</f>
        <v>0.26246074047879403</v>
      </c>
      <c r="CN17" s="42">
        <f t="shared" si="119"/>
        <v>0.26280985605160107</v>
      </c>
      <c r="CO17" s="42">
        <f t="shared" si="119"/>
        <v>0.26844287562005686</v>
      </c>
      <c r="CP17" s="42">
        <f t="shared" si="119"/>
        <v>0.27005233083509639</v>
      </c>
      <c r="CQ17" s="42">
        <f t="shared" si="119"/>
        <v>0.26594145074638709</v>
      </c>
      <c r="CR17" s="42">
        <f t="shared" si="119"/>
        <v>0.26681162831328536</v>
      </c>
      <c r="CS17" s="42">
        <f t="shared" si="119"/>
        <v>0.26781207137870644</v>
      </c>
      <c r="CT17" s="42">
        <f t="shared" si="119"/>
        <v>0.26765437031836881</v>
      </c>
      <c r="CU17" s="42">
        <f t="shared" si="119"/>
        <v>0.26705488018918688</v>
      </c>
      <c r="CV17" s="42">
        <f t="shared" si="119"/>
        <v>0.26733323754988686</v>
      </c>
      <c r="CW17" s="42">
        <f t="shared" si="119"/>
        <v>0.26746363985903726</v>
      </c>
      <c r="CX17" s="42">
        <f t="shared" si="119"/>
        <v>0.26737653197911998</v>
      </c>
      <c r="CY17" s="42">
        <f t="shared" si="119"/>
        <v>0.26730707239430773</v>
      </c>
      <c r="CZ17" s="42">
        <f t="shared" si="119"/>
        <v>0.26737012044558794</v>
      </c>
      <c r="DA17" s="42">
        <f t="shared" si="119"/>
        <v>0.26737934116951323</v>
      </c>
      <c r="DB17" s="42">
        <f t="shared" si="119"/>
        <v>0.26735826649713224</v>
      </c>
      <c r="DE17" s="125"/>
      <c r="DF17" s="41">
        <v>0.25078147897765735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>
        <f t="shared" si="120"/>
        <v>-0.23538932435410498</v>
      </c>
      <c r="G18" s="39">
        <f t="shared" si="120"/>
        <v>0.4689538980263408</v>
      </c>
      <c r="H18" s="39">
        <f t="shared" si="120"/>
        <v>5.4188418560780605E-2</v>
      </c>
      <c r="I18" s="39">
        <f t="shared" si="120"/>
        <v>0.23921199850306651</v>
      </c>
      <c r="J18" s="39">
        <f t="shared" si="120"/>
        <v>0.56613650090598</v>
      </c>
      <c r="K18" s="39">
        <f t="shared" si="120"/>
        <v>0.17922513275386365</v>
      </c>
      <c r="L18" s="39">
        <f t="shared" si="120"/>
        <v>8.9160304063260254E-2</v>
      </c>
      <c r="M18" s="39">
        <f t="shared" si="120"/>
        <v>8.8317267715808612E-2</v>
      </c>
      <c r="N18" s="39">
        <f t="shared" si="120"/>
        <v>0.1348378196738711</v>
      </c>
      <c r="O18" s="39">
        <f t="shared" si="120"/>
        <v>0.27411089985350467</v>
      </c>
      <c r="P18" s="39">
        <f t="shared" si="120"/>
        <v>-0.1138284573589744</v>
      </c>
      <c r="Q18" s="39">
        <f t="shared" si="120"/>
        <v>0.48413081826287874</v>
      </c>
      <c r="R18" s="39">
        <f t="shared" si="120"/>
        <v>8.0596559626201936E-2</v>
      </c>
      <c r="S18" s="39">
        <f t="shared" si="120"/>
        <v>0.12247093533650255</v>
      </c>
      <c r="T18" s="39">
        <f t="shared" si="120"/>
        <v>-1.1516726857283555E-3</v>
      </c>
      <c r="U18" s="39">
        <f t="shared" si="120"/>
        <v>3.1178609152767489E-2</v>
      </c>
      <c r="V18" s="39">
        <f t="shared" si="120"/>
        <v>0.16517482267602879</v>
      </c>
      <c r="W18" s="39">
        <f t="shared" si="120"/>
        <v>2.769514638534476E-2</v>
      </c>
      <c r="X18" s="39">
        <f t="shared" si="120"/>
        <v>5.0254517783917318E-2</v>
      </c>
      <c r="Y18" s="39">
        <f t="shared" si="120"/>
        <v>0.13959303124008549</v>
      </c>
      <c r="Z18" s="39">
        <f t="shared" si="120"/>
        <v>6.2389621398801109E-2</v>
      </c>
      <c r="AA18" s="39">
        <f t="shared" si="120"/>
        <v>0.18877193805908488</v>
      </c>
      <c r="AB18" s="40">
        <f t="shared" si="120"/>
        <v>0.1196729938094272</v>
      </c>
      <c r="AC18" s="40">
        <f t="shared" si="120"/>
        <v>0.15317689782674515</v>
      </c>
      <c r="AD18" s="40">
        <f t="shared" si="120"/>
        <v>0.14578396702619245</v>
      </c>
      <c r="AE18" s="40">
        <f t="shared" si="120"/>
        <v>0.14424001532597175</v>
      </c>
      <c r="AM18" s="39">
        <f>+IF(AI16&lt;0,1-AM16/AI16,AM16/AI16-1)</f>
        <v>2.3091052217265595E-2</v>
      </c>
      <c r="AN18" s="39">
        <f t="shared" ref="AN18" si="121">+IF(AJ16&lt;0,1-AN16/AJ16,AN16/AJ16-1)</f>
        <v>0.42650918635170587</v>
      </c>
      <c r="AO18" s="39">
        <f t="shared" ref="AO18" si="122">+IF(AK16&lt;0,1-AO16/AK16,AO16/AK16-1)</f>
        <v>0.35626911314984744</v>
      </c>
      <c r="AP18" s="39">
        <f t="shared" ref="AP18" si="123">+IF(AL16&lt;0,1-AP16/AL16,AP16/AL16-1)</f>
        <v>0.27483234214855035</v>
      </c>
      <c r="AQ18" s="39">
        <f t="shared" ref="AQ18" si="124">+IF(AM16&lt;0,1-AQ16/AM16,AQ16/AM16-1)</f>
        <v>7.9764042062067109E-2</v>
      </c>
      <c r="AR18" s="39">
        <f t="shared" ref="AR18" si="125">+IF(AN16&lt;0,1-AR16/AN16,AR16/AN16-1)</f>
        <v>1.3799448022078664E-2</v>
      </c>
      <c r="AS18" s="39">
        <f t="shared" ref="AS18" si="126">+IF(AO16&lt;0,1-AS16/AO16,AS16/AO16-1)</f>
        <v>-0.11161217587373229</v>
      </c>
      <c r="AT18" s="39">
        <f t="shared" ref="AT18" si="127">+IF(AP16&lt;0,1-AT16/AP16,AT16/AP16-1)</f>
        <v>-0.46203473945409412</v>
      </c>
      <c r="AU18" s="39">
        <f t="shared" ref="AU18" si="128">+IF(AQ16&lt;0,1-AU16/AQ16,AU16/AQ16-1)</f>
        <v>0.57482185273159159</v>
      </c>
      <c r="AV18" s="39">
        <f t="shared" ref="AV18" si="129">+IF(AR16&lt;0,1-AV16/AR16,AV16/AR16-1)</f>
        <v>0.32304900181488261</v>
      </c>
      <c r="AW18" s="39">
        <f t="shared" ref="AW18" si="130">+IF(AS16&lt;0,1-AW16/AS16,AW16/AS16-1)</f>
        <v>0.13197969543147292</v>
      </c>
      <c r="AX18" s="39">
        <f t="shared" ref="AX18" si="131">+IF(AT16&lt;0,1-AX16/AT16,AX16/AT16-1)</f>
        <v>1.3763837638376391</v>
      </c>
      <c r="AY18" s="39">
        <f t="shared" ref="AY18" si="132">+IF(AU16&lt;0,1-AY16/AU16,AY16/AU16-1)</f>
        <v>-2.5641025641025328E-2</v>
      </c>
      <c r="AZ18" s="39">
        <f t="shared" ref="AZ18" si="133">+IF(AV16&lt;0,1-AZ16/AV16,AZ16/AV16-1)</f>
        <v>-0.16803840877914988</v>
      </c>
      <c r="BA18" s="39">
        <f t="shared" ref="BA18" si="134">+IF(AW16&lt;0,1-BA16/AW16,BA16/AW16-1)</f>
        <v>0.40807174887892339</v>
      </c>
      <c r="BB18" s="39">
        <f t="shared" ref="BB18" si="135">+IF(AX16&lt;0,1-BB16/AX16,BB16/AX16-1)</f>
        <v>9.0062111801241684E-2</v>
      </c>
      <c r="BC18" s="39">
        <f t="shared" ref="BC18" si="136">+IF(AY16&lt;0,1-BC16/AY16,BC16/AY16-1)</f>
        <v>4.1795665634674961E-2</v>
      </c>
      <c r="BD18" s="39">
        <f t="shared" ref="BD18" si="137">+IF(AZ16&lt;0,1-BD16/AZ16,BD16/AZ16-1)</f>
        <v>0.13849958779884641</v>
      </c>
      <c r="BE18" s="39">
        <f t="shared" ref="BE18" si="138">+IF(BA16&lt;0,1-BE16/BA16,BE16/BA16-1)</f>
        <v>0.16162420382165577</v>
      </c>
      <c r="BF18" s="39">
        <f t="shared" ref="BF18" si="139">+IF(BB16&lt;0,1-BF16/BB16,BF16/BB16-1)</f>
        <v>5.8404558404558715E-2</v>
      </c>
      <c r="BG18" s="39">
        <f t="shared" ref="BG18" si="140">+IF(BC16&lt;0,1-BG16/BC16,BG16/BC16-1)</f>
        <v>0.12778603268944955</v>
      </c>
      <c r="BH18" s="39">
        <f t="shared" ref="BH18" si="141">+IF(BD16&lt;0,1-BH16/BD16,BH16/BD16-1)</f>
        <v>3.5481535119478158E-2</v>
      </c>
      <c r="BI18" s="39">
        <f t="shared" ref="BI18" si="142">+IF(BE16&lt;0,1-BI16/BE16,BI16/BE16-1)</f>
        <v>-0.1610692254969156</v>
      </c>
      <c r="BJ18" s="39">
        <f t="shared" ref="BJ18" si="143">+IF(BF16&lt;0,1-BJ16/BF16,BJ16/BF16-1)</f>
        <v>8.4118438761776604E-2</v>
      </c>
      <c r="BK18" s="39">
        <f t="shared" ref="BK18" si="144">+IF(BG16&lt;0,1-BK16/BG16,BK16/BG16-1)</f>
        <v>3.9525691699611176E-3</v>
      </c>
      <c r="BL18" s="39">
        <f t="shared" ref="BL18" si="145">+IF(BH16&lt;0,1-BL16/BH16,BL16/BH16-1)</f>
        <v>7.5524475524475498E-2</v>
      </c>
      <c r="BM18" s="39">
        <f t="shared" ref="BM18" si="146">+IF(BI16&lt;0,1-BM16/BI16,BM16/BI16-1)</f>
        <v>9.0686274509804266E-2</v>
      </c>
      <c r="BN18" s="39">
        <f t="shared" ref="BN18" si="147">+IF(BJ16&lt;0,1-BN16/BJ16,BN16/BJ16-1)</f>
        <v>-1.55183116076969E-2</v>
      </c>
      <c r="BO18" s="39">
        <f t="shared" ref="BO18" si="148">+IF(BK16&lt;0,1-BO16/BK16,BO16/BK16-1)</f>
        <v>-4.9212598425196874E-2</v>
      </c>
      <c r="BP18" s="39">
        <f t="shared" ref="BP18" si="149">+IF(BL16&lt;0,1-BP16/BL16,BP16/BL16-1)</f>
        <v>0.30364109232769843</v>
      </c>
      <c r="BQ18" s="39">
        <f t="shared" ref="BQ18" si="150">+IF(BM16&lt;0,1-BQ16/BM16,BQ16/BM16-1)</f>
        <v>0.43071161048689111</v>
      </c>
      <c r="BR18" s="39">
        <f t="shared" ref="BR18" si="151">+IF(BN16&lt;0,1-BR16/BN16,BR16/BN16-1)</f>
        <v>0.17023959646910458</v>
      </c>
      <c r="BS18" s="39">
        <f t="shared" ref="BS18" si="152">+IF(BO16&lt;0,1-BS16/BO16,BS16/BO16-1)</f>
        <v>0.28295376121463089</v>
      </c>
      <c r="BT18" s="39">
        <f t="shared" ref="BT18" si="153">+IF(BP16&lt;0,1-BT16/BP16,BT16/BP16-1)</f>
        <v>-2.8927680798004896E-2</v>
      </c>
      <c r="BU18" s="39">
        <f t="shared" ref="BU18" si="154">+IF(BQ16&lt;0,1-BU16/BQ16,BU16/BQ16-1)</f>
        <v>-6.2303664921465662E-2</v>
      </c>
      <c r="BV18" s="39">
        <f t="shared" ref="BV18" si="155">+IF(BR16&lt;0,1-BV16/BR16,BV16/BR16-1)</f>
        <v>5.3879310344828735E-3</v>
      </c>
      <c r="BW18" s="39">
        <f t="shared" ref="BW18" si="156">+IF(BS16&lt;0,1-BW16/BS16,BW16/BS16-1)</f>
        <v>2.9585798816567532E-2</v>
      </c>
      <c r="BX18" s="39">
        <f t="shared" ref="BX18" si="157">+IF(BT16&lt;0,1-BX16/BT16,BX16/BT16-1)</f>
        <v>0.14535182331792562</v>
      </c>
      <c r="BY18" s="39">
        <f t="shared" ref="BY18" si="158">+IF(BU16&lt;0,1-BY16/BU16,BY16/BU16-1)</f>
        <v>-6.4768285873813336E-2</v>
      </c>
      <c r="BZ18" s="39">
        <f t="shared" ref="BZ18" si="159">+IF(BV16&lt;0,1-BZ16/BV16,BZ16/BV16-1)</f>
        <v>9.1103965702036271E-2</v>
      </c>
      <c r="CA18" s="39">
        <f t="shared" ref="CA18" si="160">+IF(BW16&lt;0,1-CA16/BW16,CA16/BW16-1)</f>
        <v>8.7774294670846853E-2</v>
      </c>
      <c r="CB18" s="39">
        <f t="shared" ref="CB18" si="161">+IF(BX16&lt;0,1-CB16/BX16,CB16/BX16-1)</f>
        <v>-9.1928251121076388E-2</v>
      </c>
      <c r="CC18" s="39">
        <f t="shared" ref="CC18" si="162">+IF(BY16&lt;0,1-CC16/BY16,CC16/BY16-1)</f>
        <v>0.3623880597014919</v>
      </c>
      <c r="CD18" s="39">
        <f t="shared" ref="CD18" si="163">+IF(BZ16&lt;0,1-CD16/BZ16,CD16/BZ16-1)</f>
        <v>0.3123772102161102</v>
      </c>
      <c r="CE18" s="39">
        <f t="shared" ref="CE18" si="164">+IF(CA16&lt;0,1-CE16/CA16,CE16/CA16-1)</f>
        <v>4.6109510086454808E-2</v>
      </c>
      <c r="CF18" s="39">
        <f t="shared" ref="CF18" si="165">+IF(CB16&lt;0,1-CF16/CB16,CF16/CB16-1)</f>
        <v>0.17876543209876483</v>
      </c>
      <c r="CG18" s="39">
        <f t="shared" ref="CG18" si="166">+IF(CC16&lt;0,1-CG16/CC16,CG16/CC16-1)</f>
        <v>1.0078878177037787E-2</v>
      </c>
      <c r="CH18" s="39">
        <f t="shared" ref="CH18:CL18" si="167">+IF(CD16&lt;0,1-CH16/CD16,CH16/CD16-1)</f>
        <v>-1.0104790419161236E-2</v>
      </c>
      <c r="CI18" s="39">
        <f t="shared" si="167"/>
        <v>0.36501377410468394</v>
      </c>
      <c r="CJ18" s="39">
        <f t="shared" si="167"/>
        <v>0.23209049015500693</v>
      </c>
      <c r="CK18" s="39">
        <f t="shared" si="167"/>
        <v>7.9392624728849892E-2</v>
      </c>
      <c r="CL18" s="39">
        <f t="shared" si="167"/>
        <v>0.18790170132325112</v>
      </c>
      <c r="CM18" s="40">
        <f t="shared" ref="CM18" si="168">+CM16/CI16-1</f>
        <v>0.23021483927245412</v>
      </c>
      <c r="CN18" s="40">
        <f t="shared" ref="CN18" si="169">+CN16/CJ16-1</f>
        <v>0.27359103414972541</v>
      </c>
      <c r="CO18" s="40">
        <f t="shared" ref="CO18" si="170">+CO16/CK16-1</f>
        <v>0.15381918690838647</v>
      </c>
      <c r="CP18" s="40">
        <f t="shared" ref="CP18" si="171">+CP16/CL16-1</f>
        <v>6.2413271840160878E-2</v>
      </c>
      <c r="CQ18" s="40">
        <f t="shared" ref="CQ18" si="172">+CQ16/CM16-1</f>
        <v>0.17571824814454606</v>
      </c>
      <c r="CR18" s="40">
        <f t="shared" ref="CR18" si="173">+CR16/CN16-1</f>
        <v>0.1619224425197765</v>
      </c>
      <c r="CS18" s="40">
        <f t="shared" ref="CS18" si="174">+CS16/CO16-1</f>
        <v>0.13684164553424938</v>
      </c>
      <c r="CT18" s="40">
        <f t="shared" ref="CT18" si="175">+CT16/CP16-1</f>
        <v>0.13271397805525798</v>
      </c>
      <c r="CU18" s="40">
        <f t="shared" ref="CU18" si="176">+CU16/CQ16-1</f>
        <v>0.15160312223794126</v>
      </c>
      <c r="CV18" s="40">
        <f t="shared" ref="CV18" si="177">+CV16/CR16-1</f>
        <v>0.14565500963331246</v>
      </c>
      <c r="CW18" s="40">
        <f t="shared" ref="CW18" si="178">+CW16/CS16-1</f>
        <v>0.14166345779379097</v>
      </c>
      <c r="CX18" s="40">
        <f t="shared" ref="CX18" si="179">+CX16/CT16-1</f>
        <v>0.1428709848205012</v>
      </c>
      <c r="CY18" s="40">
        <f t="shared" ref="CY18" si="180">+CY16/CU16-1</f>
        <v>0.14543834834794023</v>
      </c>
      <c r="CZ18" s="40">
        <f t="shared" ref="CZ18" si="181">+CZ16/CV16-1</f>
        <v>0.1439044581012916</v>
      </c>
      <c r="DA18" s="40">
        <f t="shared" ref="DA18" si="182">+DA16/CW16-1</f>
        <v>0.14346790116508501</v>
      </c>
      <c r="DB18" s="40">
        <f t="shared" ref="DB18" si="183">+DB16/CX16-1</f>
        <v>0.1439196800702689</v>
      </c>
      <c r="DE18" s="122"/>
      <c r="DF18" s="39">
        <v>0.35709087239589632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-2.6239832065055868E-4</v>
      </c>
      <c r="AK19" s="39">
        <f t="shared" ref="AK19" si="184">+IF(AJ16&lt;0,1-AK16/AJ16,AK16/AJ16-1)</f>
        <v>-0.14173228346456712</v>
      </c>
      <c r="AL19" s="39">
        <f t="shared" ref="AL19" si="185">+IF(AK16&lt;0,1-AL16/AK16,AL16/AK16-1)</f>
        <v>0.2084097859327223</v>
      </c>
      <c r="AM19" s="39">
        <f t="shared" ref="AM19" si="186">+IF(AL16&lt;0,1-AM16/AL16,AM16/AL16-1)</f>
        <v>-1.3286093888397299E-2</v>
      </c>
      <c r="AN19" s="39">
        <f t="shared" ref="AN19" si="187">+IF(AM16&lt;0,1-AN16/AM16,AN16/AM16-1)</f>
        <v>0.39394716593998513</v>
      </c>
      <c r="AO19" s="39">
        <f t="shared" ref="AO19" si="188">+IF(AN16&lt;0,1-AO16/AN16,AO16/AN16-1)</f>
        <v>-0.18399264029438822</v>
      </c>
      <c r="AP19" s="39">
        <f t="shared" ref="AP19" si="189">+IF(AO16&lt;0,1-AP16/AO16,AP16/AO16-1)</f>
        <v>0.13585118376550098</v>
      </c>
      <c r="AQ19" s="39">
        <f t="shared" ref="AQ19" si="190">+IF(AP16&lt;0,1-AQ16/AP16,AQ16/AP16-1)</f>
        <v>-0.16426799007444148</v>
      </c>
      <c r="AR19" s="39">
        <f t="shared" ref="AR19" si="191">+IF(AQ16&lt;0,1-AR16/AQ16,AR16/AQ16-1)</f>
        <v>0.30878859857482177</v>
      </c>
      <c r="AS19" s="39">
        <f t="shared" ref="AS19" si="192">+IF(AR16&lt;0,1-AS16/AR16,AS16/AR16-1)</f>
        <v>-0.28493647912885678</v>
      </c>
      <c r="AT19" s="39">
        <f t="shared" ref="AT19" si="193">+IF(AS16&lt;0,1-AT16/AS16,AT16/AS16-1)</f>
        <v>-0.31218274111675093</v>
      </c>
      <c r="AU19" s="39">
        <f t="shared" ref="AU19" si="194">+IF(AT16&lt;0,1-AU16/AT16,AU16/AT16-1)</f>
        <v>1.4464944649446489</v>
      </c>
      <c r="AV19" s="39">
        <f t="shared" ref="AV19" si="195">+IF(AU16&lt;0,1-AV16/AU16,AV16/AU16-1)</f>
        <v>9.9547511312217507E-2</v>
      </c>
      <c r="AW19" s="39">
        <f t="shared" ref="AW19" si="196">+IF(AV16&lt;0,1-AW16/AV16,AW16/AV16-1)</f>
        <v>-0.38820301783264743</v>
      </c>
      <c r="AX19" s="39">
        <f t="shared" ref="AX19" si="197">+IF(AW16&lt;0,1-AX16/AW16,AX16/AW16-1)</f>
        <v>0.44394618834080712</v>
      </c>
      <c r="AY19" s="39">
        <f t="shared" ref="AY19" si="198">+IF(AX16&lt;0,1-AY16/AX16,AY16/AX16-1)</f>
        <v>3.1055900621117516E-3</v>
      </c>
      <c r="AZ19" s="39">
        <f t="shared" ref="AZ19" si="199">+IF(AY16&lt;0,1-AZ16/AY16,AZ16/AY16-1)</f>
        <v>-6.1145510835913797E-2</v>
      </c>
      <c r="BA19" s="39">
        <f t="shared" ref="BA19" si="200">+IF(AZ16&lt;0,1-BA16/AZ16,BA16/AZ16-1)</f>
        <v>3.5449299258038192E-2</v>
      </c>
      <c r="BB19" s="39">
        <f t="shared" ref="BB19" si="201">+IF(BA16&lt;0,1-BB16/BA16,BB16/BA16-1)</f>
        <v>0.11783439490445846</v>
      </c>
      <c r="BC19" s="39">
        <f t="shared" ref="BC19" si="202">+IF(BB16&lt;0,1-BC16/BB16,BC16/BB16-1)</f>
        <v>-4.1310541310540905E-2</v>
      </c>
      <c r="BD19" s="39">
        <f t="shared" ref="BD19" si="203">+IF(BC16&lt;0,1-BD16/BC16,BD16/BC16-1)</f>
        <v>2.600297176820221E-2</v>
      </c>
      <c r="BE19" s="39">
        <f t="shared" ref="BE19" si="204">+IF(BD16&lt;0,1-BE16/BD16,BE16/BD16-1)</f>
        <v>5.6480811006516474E-2</v>
      </c>
      <c r="BF19" s="39">
        <f t="shared" ref="BF19" si="205">+IF(BE16&lt;0,1-BF16/BE16,BF16/BE16-1)</f>
        <v>1.8505825908156526E-2</v>
      </c>
      <c r="BG19" s="39">
        <f t="shared" ref="BG19" si="206">+IF(BF16&lt;0,1-BG16/BF16,BG16/BF16-1)</f>
        <v>2.1534320323014278E-2</v>
      </c>
      <c r="BH19" s="39">
        <f t="shared" ref="BH19" si="207">+IF(BG16&lt;0,1-BH16/BG16,BH16/BG16-1)</f>
        <v>-5.7971014492753326E-2</v>
      </c>
      <c r="BI19" s="39">
        <f t="shared" ref="BI19" si="208">+IF(BH16&lt;0,1-BI16/BH16,BI16/BH16-1)</f>
        <v>-0.14405594405594402</v>
      </c>
      <c r="BJ19" s="39">
        <f t="shared" ref="BJ19" si="209">+IF(BI16&lt;0,1-BJ16/BI16,BJ16/BI16-1)</f>
        <v>0.3161764705882355</v>
      </c>
      <c r="BK19" s="39">
        <f t="shared" ref="BK19" si="210">+IF(BJ16&lt;0,1-BK16/BJ16,BK16/BJ16-1)</f>
        <v>-5.4003724394785735E-2</v>
      </c>
      <c r="BL19" s="39">
        <f t="shared" ref="BL19" si="211">+IF(BK16&lt;0,1-BL16/BK16,BL16/BK16-1)</f>
        <v>9.186351706036211E-3</v>
      </c>
      <c r="BM19" s="39">
        <f t="shared" ref="BM19" si="212">+IF(BL16&lt;0,1-BM16/BL16,BM16/BL16-1)</f>
        <v>-0.13198959687906342</v>
      </c>
      <c r="BN19" s="39">
        <f t="shared" ref="BN19" si="213">+IF(BM16&lt;0,1-BN16/BM16,BN16/BM16-1)</f>
        <v>0.18801498127340843</v>
      </c>
      <c r="BO19" s="39">
        <f t="shared" ref="BO19" si="214">+IF(BN16&lt;0,1-BO16/BN16,BO16/BN16-1)</f>
        <v>-8.638083228247162E-2</v>
      </c>
      <c r="BP19" s="39">
        <f t="shared" ref="BP19" si="215">+IF(BO16&lt;0,1-BP16/BO16,BP16/BO16-1)</f>
        <v>0.3837129054520354</v>
      </c>
      <c r="BQ19" s="39">
        <f t="shared" ref="BQ19" si="216">+IF(BP16&lt;0,1-BQ16/BP16,BQ16/BP16-1)</f>
        <v>-4.7381546134663277E-2</v>
      </c>
      <c r="BR19" s="39">
        <f t="shared" ref="BR19" si="217">+IF(BQ16&lt;0,1-BR16/BQ16,BR16/BQ16-1)</f>
        <v>-2.827225130890032E-2</v>
      </c>
      <c r="BS19" s="39">
        <f t="shared" ref="BS19" si="218">+IF(BR16&lt;0,1-BS16/BR16,BS16/BR16-1)</f>
        <v>1.6163793103449731E-3</v>
      </c>
      <c r="BT19" s="39">
        <f t="shared" ref="BT19" si="219">+IF(BS16&lt;0,1-BT16/BS16,BT16/BS16-1)</f>
        <v>4.7337278106508673E-2</v>
      </c>
      <c r="BU19" s="39">
        <f t="shared" ref="BU19" si="220">+IF(BT16&lt;0,1-BU16/BT16,BU16/BT16-1)</f>
        <v>-8.0123266563944306E-2</v>
      </c>
      <c r="BV19" s="39">
        <f t="shared" ref="BV19" si="221">+IF(BU16&lt;0,1-BV16/BU16,BV16/BU16-1)</f>
        <v>4.1876046901172526E-2</v>
      </c>
      <c r="BW19" s="39">
        <f t="shared" ref="BW19" si="222">+IF(BV16&lt;0,1-BW16/BV16,BW16/BV16-1)</f>
        <v>2.572347266880981E-2</v>
      </c>
      <c r="BX19" s="39">
        <f t="shared" ref="BX19" si="223">+IF(BW16&lt;0,1-BX16/BW16,BX16/BW16-1)</f>
        <v>0.16509926854754542</v>
      </c>
      <c r="BY19" s="39">
        <f t="shared" ref="BY19" si="224">+IF(BX16&lt;0,1-BY16/BX16,BY16/BX16-1)</f>
        <v>-0.2488789237668162</v>
      </c>
      <c r="BZ19" s="39">
        <f t="shared" ref="BZ19" si="225">+IF(BY16&lt;0,1-BZ16/BY16,BZ16/BY16-1)</f>
        <v>0.21552238805970103</v>
      </c>
      <c r="CA19" s="39">
        <f t="shared" ref="CA19" si="226">+IF(BZ16&lt;0,1-CA16/BZ16,CA16/BZ16-1)</f>
        <v>2.2593320235756442E-2</v>
      </c>
      <c r="CB19" s="39">
        <f t="shared" ref="CB19" si="227">+IF(CA16&lt;0,1-CB16/CA16,CB16/CA16-1)</f>
        <v>-2.7377521613832556E-2</v>
      </c>
      <c r="CC19" s="39">
        <f t="shared" ref="CC19" si="228">+IF(CB16&lt;0,1-CC16/CB16,CC16/CB16-1)</f>
        <v>0.12691358024691324</v>
      </c>
      <c r="CD19" s="39">
        <f t="shared" ref="CD19" si="229">+IF(CC16&lt;0,1-CD16/CC16,CD16/CC16-1)</f>
        <v>0.17090271691498704</v>
      </c>
      <c r="CE19" s="39">
        <f t="shared" ref="CE19" si="230">+IF(CD16&lt;0,1-CE16/CD16,CE16/CD16-1)</f>
        <v>-0.18488023952095856</v>
      </c>
      <c r="CF19" s="39">
        <f t="shared" ref="CF19" si="231">+IF(CE16&lt;0,1-CF16/CE16,CF16/CE16-1)</f>
        <v>9.5959595959596244E-2</v>
      </c>
      <c r="CG19" s="39">
        <f t="shared" ref="CG19" si="232">+IF(CF16&lt;0,1-CG16/CF16,CG16/CF16-1)</f>
        <v>-3.4352744030163085E-2</v>
      </c>
      <c r="CH19" s="39">
        <f t="shared" ref="CH19:CL19" si="233">+IF(CG16&lt;0,1-CH16/CG16,CH16/CG16-1)</f>
        <v>0.14750542299349267</v>
      </c>
      <c r="CI19" s="39">
        <f t="shared" si="233"/>
        <v>0.12400756143667246</v>
      </c>
      <c r="CJ19" s="39">
        <f t="shared" si="233"/>
        <v>-1.0763538513285931E-2</v>
      </c>
      <c r="CK19" s="39">
        <f t="shared" si="233"/>
        <v>-0.15402924175450583</v>
      </c>
      <c r="CL19" s="39">
        <f t="shared" si="233"/>
        <v>0.26286173633440568</v>
      </c>
      <c r="CM19" s="40">
        <f t="shared" ref="CM19" si="234">+CM16/CL16-1</f>
        <v>0.16404478585518945</v>
      </c>
      <c r="CN19" s="40">
        <f t="shared" ref="CN19" si="235">+CN16/CM16-1</f>
        <v>2.4115989975028063E-2</v>
      </c>
      <c r="CO19" s="40">
        <f t="shared" ref="CO19" si="236">+CO16/CN16-1</f>
        <v>-0.23358655466764566</v>
      </c>
      <c r="CP19" s="40">
        <f t="shared" ref="CP19" si="237">+CP16/CO16-1</f>
        <v>0.16281743656539871</v>
      </c>
      <c r="CQ19" s="40">
        <f t="shared" ref="CQ19" si="238">+CQ16/CP16-1</f>
        <v>0.28818862928640021</v>
      </c>
      <c r="CR19" s="40">
        <f t="shared" ref="CR19" si="239">+CR16/CQ16-1</f>
        <v>1.209907592507542E-2</v>
      </c>
      <c r="CS19" s="40">
        <f t="shared" ref="CS19" si="240">+CS16/CR16-1</f>
        <v>-0.25013005131245891</v>
      </c>
      <c r="CT19" s="40">
        <f t="shared" ref="CT19" si="241">+CT16/CS16-1</f>
        <v>0.15859545566263233</v>
      </c>
      <c r="CU19" s="40">
        <f t="shared" ref="CU19" si="242">+CU16/CT16-1</f>
        <v>0.30967046956073019</v>
      </c>
      <c r="CV19" s="40">
        <f t="shared" ref="CV19" si="243">+CV16/CU16-1</f>
        <v>6.8715117109874324E-3</v>
      </c>
      <c r="CW19" s="40">
        <f t="shared" ref="CW19" si="244">+CW16/CV16-1</f>
        <v>-0.25274265698163301</v>
      </c>
      <c r="CX19" s="40">
        <f t="shared" ref="CX19" si="245">+CX16/CW16-1</f>
        <v>0.15982089150905932</v>
      </c>
      <c r="CY19" s="40">
        <f t="shared" ref="CY19" si="246">+CY16/CX16-1</f>
        <v>0.31261253409922429</v>
      </c>
      <c r="CZ19" s="40">
        <f t="shared" ref="CZ19" si="247">+CZ16/CY16-1</f>
        <v>5.5231803986390826E-3</v>
      </c>
      <c r="DA19" s="40">
        <f t="shared" ref="DA19" si="248">+DA16/CZ16-1</f>
        <v>-0.25302783847027532</v>
      </c>
      <c r="DB19" s="40">
        <f t="shared" ref="DB19" si="249">+DB16/DA16-1</f>
        <v>0.16027913140546679</v>
      </c>
      <c r="DE19" s="122"/>
      <c r="DF19" s="39">
        <v>0.44272723371669942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1.9350156999999999</v>
      </c>
      <c r="F20" s="23">
        <f>'Annual Raw'!G14</f>
        <v>1.5550622000000001</v>
      </c>
      <c r="G20" s="23">
        <f>'Annual Raw'!H14</f>
        <v>1.8951016000000001</v>
      </c>
      <c r="H20" s="23">
        <f>'Annual Raw'!I14</f>
        <v>2.2549000000000001</v>
      </c>
      <c r="I20" s="23">
        <f>'Annual Raw'!J14</f>
        <v>1.8588</v>
      </c>
      <c r="J20" s="23">
        <f>'Annual Raw'!K14</f>
        <v>2.2301000000000002</v>
      </c>
      <c r="K20" s="23">
        <f>'Annual Raw'!L14</f>
        <v>2.3887</v>
      </c>
      <c r="L20" s="23">
        <f>'Annual Raw'!M14</f>
        <v>3.2669999999999999</v>
      </c>
      <c r="M20" s="23">
        <f>'Annual Raw'!N14</f>
        <v>3.9043000000000001</v>
      </c>
      <c r="N20" s="23">
        <f>'Annual Raw'!O14</f>
        <v>4.6836000000000002</v>
      </c>
      <c r="O20" s="23">
        <f>'Annual Raw'!P14</f>
        <v>4.9858000000000002</v>
      </c>
      <c r="P20" s="23">
        <f>'Annual Raw'!Q14</f>
        <v>6.2949999999999999</v>
      </c>
      <c r="Q20" s="23">
        <f>'Annual Raw'!R14</f>
        <v>6.6744000000000003</v>
      </c>
      <c r="R20" s="23">
        <f>'Annual Raw'!S14</f>
        <v>6.6059999999999999</v>
      </c>
      <c r="S20" s="23">
        <f>'Annual Raw'!T14</f>
        <v>7.0368000000000004</v>
      </c>
      <c r="T20" s="23">
        <f>'Annual Raw'!U14</f>
        <v>6.4565999999999999</v>
      </c>
      <c r="U20" s="23">
        <f>'Annual Raw'!V14</f>
        <v>6.5926999999999998</v>
      </c>
      <c r="V20" s="23">
        <f>'Annual Raw'!W14</f>
        <v>7.5575999999999999</v>
      </c>
      <c r="W20" s="23">
        <f>'Annual Raw'!X14</f>
        <v>9.2277000000000005</v>
      </c>
      <c r="X20" s="23">
        <f>'Annual Raw'!Y14</f>
        <v>13.137600000000001</v>
      </c>
      <c r="Y20" s="23">
        <f>'Annual Raw'!Z14</f>
        <v>16.385899999999999</v>
      </c>
      <c r="Z20" s="23">
        <f>'Annual Raw'!AA14</f>
        <v>19.0794</v>
      </c>
      <c r="AA20" s="23">
        <f>'Annual Raw'!AB14</f>
        <v>19.665900000000001</v>
      </c>
      <c r="AB20" s="76">
        <f t="shared" ref="AB20:AB25" si="250">+SUM(CM20:CP20)</f>
        <v>21.046900000000004</v>
      </c>
      <c r="AC20" s="76">
        <f t="shared" ref="AC20:AC25" si="251">+SUM(CQ20:CT20)</f>
        <v>22.520183000000003</v>
      </c>
      <c r="AD20" s="76">
        <f t="shared" ref="AD20:AD25" si="252">+SUM(CU20:CX20)</f>
        <v>24.096595810000004</v>
      </c>
      <c r="AE20" s="76">
        <f t="shared" ref="AE20:AE25" si="253">+SUM(CY20:DB20)</f>
        <v>25.783357516700004</v>
      </c>
      <c r="AI20" s="23">
        <f>'QTR Raw'!C16</f>
        <v>1.0920000000000001</v>
      </c>
      <c r="AJ20" s="23">
        <f>'QTR Raw'!D16</f>
        <v>1.1200000000000001</v>
      </c>
      <c r="AK20" s="23">
        <f>'QTR Raw'!E16</f>
        <v>1.1399999999999999</v>
      </c>
      <c r="AL20" s="23">
        <f>'QTR Raw'!F16</f>
        <v>1.33</v>
      </c>
      <c r="AM20" s="23">
        <f>'QTR Raw'!G16</f>
        <v>1.1259999999999999</v>
      </c>
      <c r="AN20" s="23">
        <f>'QTR Raw'!H16</f>
        <v>1.2</v>
      </c>
      <c r="AO20" s="23">
        <f>'QTR Raw'!I16</f>
        <v>1.24</v>
      </c>
      <c r="AP20" s="23">
        <f>'QTR Raw'!J16</f>
        <v>1.42</v>
      </c>
      <c r="AQ20" s="23">
        <f>'QTR Raw'!K16</f>
        <v>1.63</v>
      </c>
      <c r="AR20" s="23">
        <f>'QTR Raw'!L16</f>
        <v>1.61</v>
      </c>
      <c r="AS20" s="23">
        <f>'QTR Raw'!M16</f>
        <v>1.94</v>
      </c>
      <c r="AT20" s="23">
        <f>'QTR Raw'!N16</f>
        <v>1.1100000000000001</v>
      </c>
      <c r="AU20" s="23">
        <f>'QTR Raw'!O16</f>
        <v>2.0099999999999998</v>
      </c>
      <c r="AV20" s="23">
        <f>'QTR Raw'!P16</f>
        <v>1.49</v>
      </c>
      <c r="AW20" s="23">
        <f>'QTR Raw'!Q16</f>
        <v>1.36</v>
      </c>
      <c r="AX20" s="23">
        <f>'QTR Raw'!R16</f>
        <v>1.82</v>
      </c>
      <c r="AY20" s="23">
        <f>'QTR Raw'!S16</f>
        <v>1.77</v>
      </c>
      <c r="AZ20" s="23">
        <f>'QTR Raw'!T16</f>
        <v>1.7</v>
      </c>
      <c r="BA20" s="23">
        <f>'QTR Raw'!U16</f>
        <v>1.62</v>
      </c>
      <c r="BB20" s="23">
        <f>'QTR Raw'!V16</f>
        <v>1.53</v>
      </c>
      <c r="BC20" s="23">
        <f>'QTR Raw'!W16</f>
        <v>1.74</v>
      </c>
      <c r="BD20" s="23">
        <f>'QTR Raw'!X16</f>
        <v>1.73</v>
      </c>
      <c r="BE20" s="23">
        <f>'QTR Raw'!Y16</f>
        <v>1.99</v>
      </c>
      <c r="BF20" s="23">
        <f>'QTR Raw'!Z16</f>
        <v>1.58</v>
      </c>
      <c r="BG20" s="23">
        <f>'QTR Raw'!AA16</f>
        <v>1.72</v>
      </c>
      <c r="BH20" s="23">
        <f>'QTR Raw'!AB16</f>
        <v>1.52</v>
      </c>
      <c r="BI20" s="23">
        <f>'QTR Raw'!AC16</f>
        <v>1.78</v>
      </c>
      <c r="BJ20" s="23">
        <f>'QTR Raw'!AD16</f>
        <v>1.41</v>
      </c>
      <c r="BK20" s="23">
        <f>'QTR Raw'!AE16</f>
        <v>1.55</v>
      </c>
      <c r="BL20" s="23">
        <f>'QTR Raw'!AF16</f>
        <v>1.69</v>
      </c>
      <c r="BM20" s="23">
        <f>'QTR Raw'!AG16</f>
        <v>1.62</v>
      </c>
      <c r="BN20" s="23">
        <f>'QTR Raw'!AH16</f>
        <v>1.73</v>
      </c>
      <c r="BO20" s="23">
        <f>'QTR Raw'!AI16</f>
        <v>1.81</v>
      </c>
      <c r="BP20" s="23">
        <f>'QTR Raw'!AJ16</f>
        <v>1.82</v>
      </c>
      <c r="BQ20" s="23">
        <f>'QTR Raw'!AK16</f>
        <v>1.95</v>
      </c>
      <c r="BR20" s="23">
        <f>'QTR Raw'!AL16</f>
        <v>1.98</v>
      </c>
      <c r="BS20" s="23">
        <f>'QTR Raw'!AM16</f>
        <v>2.77</v>
      </c>
      <c r="BT20" s="23">
        <f>'QTR Raw'!AN16</f>
        <v>2.21</v>
      </c>
      <c r="BU20" s="23">
        <f>'QTR Raw'!AO16</f>
        <v>2.14</v>
      </c>
      <c r="BV20" s="23">
        <f>'QTR Raw'!AP16</f>
        <v>2.12</v>
      </c>
      <c r="BW20" s="23">
        <f>'QTR Raw'!AQ16</f>
        <v>3.14</v>
      </c>
      <c r="BX20" s="23">
        <f>'QTR Raw'!AR16</f>
        <v>2.38</v>
      </c>
      <c r="BY20" s="23">
        <f>'QTR Raw'!AS16</f>
        <v>3.39</v>
      </c>
      <c r="BZ20" s="23">
        <f>'QTR Raw'!AT16</f>
        <v>4.2300000000000004</v>
      </c>
      <c r="CA20" s="23">
        <f>'QTR Raw'!AU16</f>
        <v>4.6500000000000004</v>
      </c>
      <c r="CB20" s="23">
        <f>'QTR Raw'!AV16</f>
        <v>3.28</v>
      </c>
      <c r="CC20" s="23">
        <f>'QTR Raw'!AW16</f>
        <v>3.77</v>
      </c>
      <c r="CD20" s="23">
        <f>'QTR Raw'!AX16</f>
        <v>4.6900000000000004</v>
      </c>
      <c r="CE20" s="23">
        <f>'QTR Raw'!AY16</f>
        <v>4.68</v>
      </c>
      <c r="CF20" s="23">
        <f>'QTR Raw'!AZ16</f>
        <v>4.3600000000000003</v>
      </c>
      <c r="CG20" s="23">
        <f>'QTR Raw'!BA16</f>
        <v>4.8499999999999996</v>
      </c>
      <c r="CH20" s="23">
        <f>'QTR Raw'!BB16</f>
        <v>5.19</v>
      </c>
      <c r="CI20" s="23">
        <f>'QTR Raw'!BC16</f>
        <v>5.64</v>
      </c>
      <c r="CJ20" s="23">
        <f>'QTR Raw'!BD16</f>
        <v>4.66</v>
      </c>
      <c r="CK20" s="23">
        <f>'QTR Raw'!BE16</f>
        <v>4.91</v>
      </c>
      <c r="CL20" s="23">
        <f>'QTR Raw'!BF16</f>
        <v>4.46</v>
      </c>
      <c r="CM20" s="24">
        <f t="shared" ref="CM20:DB20" si="254">CI20*107%</f>
        <v>6.0347999999999997</v>
      </c>
      <c r="CN20" s="24">
        <f t="shared" si="254"/>
        <v>4.9862000000000002</v>
      </c>
      <c r="CO20" s="24">
        <f t="shared" si="254"/>
        <v>5.2537000000000003</v>
      </c>
      <c r="CP20" s="24">
        <f t="shared" si="254"/>
        <v>4.7722000000000007</v>
      </c>
      <c r="CQ20" s="24">
        <f t="shared" si="254"/>
        <v>6.457236</v>
      </c>
      <c r="CR20" s="24">
        <f t="shared" si="254"/>
        <v>5.3352340000000007</v>
      </c>
      <c r="CS20" s="24">
        <f t="shared" si="254"/>
        <v>5.6214590000000006</v>
      </c>
      <c r="CT20" s="24">
        <f t="shared" si="254"/>
        <v>5.1062540000000007</v>
      </c>
      <c r="CU20" s="24">
        <f t="shared" si="254"/>
        <v>6.9092425200000003</v>
      </c>
      <c r="CV20" s="24">
        <f t="shared" si="254"/>
        <v>5.7087003800000007</v>
      </c>
      <c r="CW20" s="24">
        <f t="shared" si="254"/>
        <v>6.0149611300000014</v>
      </c>
      <c r="CX20" s="24">
        <f t="shared" si="254"/>
        <v>5.4636917800000013</v>
      </c>
      <c r="CY20" s="24">
        <f t="shared" si="254"/>
        <v>7.3928894964000005</v>
      </c>
      <c r="CZ20" s="24">
        <f t="shared" si="254"/>
        <v>6.108309406600001</v>
      </c>
      <c r="DA20" s="24">
        <f t="shared" si="254"/>
        <v>6.436008409100002</v>
      </c>
      <c r="DB20" s="24">
        <f t="shared" si="254"/>
        <v>5.8461502046000016</v>
      </c>
      <c r="DE20" s="123"/>
      <c r="DF20" s="23">
        <v>5.553300000000001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2.3041901</v>
      </c>
      <c r="F21" s="23">
        <f>'Annual Raw'!G17</f>
        <v>1.1672779</v>
      </c>
      <c r="G21" s="23">
        <f>'Annual Raw'!H17</f>
        <v>1.2541154000000001</v>
      </c>
      <c r="H21" s="23">
        <f>'Annual Raw'!I17</f>
        <v>1.8586</v>
      </c>
      <c r="I21" s="23">
        <f>'Annual Raw'!J17</f>
        <v>1.5913999999999999</v>
      </c>
      <c r="J21" s="23">
        <f>'Annual Raw'!K17</f>
        <v>1.6786000000000001</v>
      </c>
      <c r="K21" s="23">
        <f>'Annual Raw'!L17</f>
        <v>2.0880000000000001</v>
      </c>
      <c r="L21" s="23">
        <f>'Annual Raw'!M17</f>
        <v>1.2178</v>
      </c>
      <c r="M21" s="23">
        <f>'Annual Raw'!N17</f>
        <v>0.7732</v>
      </c>
      <c r="N21" s="23">
        <f>'Annual Raw'!O17</f>
        <v>1.0752999999999999</v>
      </c>
      <c r="O21" s="23">
        <f>'Annual Raw'!P17</f>
        <v>3.9891000000000001</v>
      </c>
      <c r="P21" s="23">
        <f>'Annual Raw'!Q17</f>
        <v>5.2836999999999996</v>
      </c>
      <c r="Q21" s="23">
        <f>'Annual Raw'!R17</f>
        <v>10.422800000000001</v>
      </c>
      <c r="R21" s="23">
        <f>'Annual Raw'!S17</f>
        <v>11.974</v>
      </c>
      <c r="S21" s="23">
        <f>'Annual Raw'!T17</f>
        <v>9.6842000000000006</v>
      </c>
      <c r="T21" s="23">
        <f>'Annual Raw'!U17</f>
        <v>10.759499999999999</v>
      </c>
      <c r="U21" s="23">
        <f>'Annual Raw'!V17</f>
        <v>11.327500000000001</v>
      </c>
      <c r="V21" s="23">
        <f>'Annual Raw'!W17</f>
        <v>8.2562999999999995</v>
      </c>
      <c r="W21" s="23">
        <f>'Annual Raw'!X17</f>
        <v>8.8507999999999996</v>
      </c>
      <c r="X21" s="23">
        <f>'Annual Raw'!Y17</f>
        <v>4.6866000000000003</v>
      </c>
      <c r="Y21" s="23">
        <f>'Annual Raw'!Z17</f>
        <v>4.6946000000000003</v>
      </c>
      <c r="Z21" s="23">
        <f>'Annual Raw'!AA17</f>
        <v>6.4637000000000002</v>
      </c>
      <c r="AA21" s="23">
        <f>'Annual Raw'!AB17</f>
        <v>6.6300999999999997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0.29468640000000001</v>
      </c>
      <c r="F22" s="23">
        <f>'Annual Raw'!G19-'Annual Raw'!G20</f>
        <v>0.22261139999999999</v>
      </c>
      <c r="G22" s="23">
        <f>'Annual Raw'!H19-'Annual Raw'!H20</f>
        <v>0.14358650000000001</v>
      </c>
      <c r="H22" s="23">
        <f>'Annual Raw'!I19-'Annual Raw'!I20</f>
        <v>0.14699999999999999</v>
      </c>
      <c r="I22" s="23">
        <f>'Annual Raw'!J19-'Annual Raw'!J20</f>
        <v>0</v>
      </c>
      <c r="J22" s="23">
        <f>'Annual Raw'!K19-'Annual Raw'!K20</f>
        <v>0.21299999999999999</v>
      </c>
      <c r="K22" s="23">
        <f>'Annual Raw'!L19-'Annual Raw'!L20</f>
        <v>0.20519999999999999</v>
      </c>
      <c r="L22" s="23">
        <f>'Annual Raw'!M19-'Annual Raw'!M20</f>
        <v>3.0042</v>
      </c>
      <c r="M22" s="23">
        <f>'Annual Raw'!N19-'Annual Raw'!N20</f>
        <v>1.5963000000000001</v>
      </c>
      <c r="N22" s="23">
        <f>'Annual Raw'!O19-'Annual Raw'!O20</f>
        <v>1.9639</v>
      </c>
      <c r="O22" s="23">
        <f>'Annual Raw'!P19-'Annual Raw'!P20</f>
        <v>3.5623</v>
      </c>
      <c r="P22" s="23">
        <f>'Annual Raw'!Q19-'Annual Raw'!Q20</f>
        <v>4.141</v>
      </c>
      <c r="Q22" s="23">
        <f>'Annual Raw'!R19-'Annual Raw'!R20</f>
        <v>4.3255999999999997</v>
      </c>
      <c r="R22" s="23">
        <f>'Annual Raw'!S19-'Annual Raw'!S20</f>
        <v>5.2762000000000002</v>
      </c>
      <c r="S22" s="23">
        <f>'Annual Raw'!T19-'Annual Raw'!T20</f>
        <v>2.2625999999999999</v>
      </c>
      <c r="T22" s="23">
        <f>'Annual Raw'!U19-'Annual Raw'!U20</f>
        <v>2.2416999999999998</v>
      </c>
      <c r="U22" s="23">
        <f>'Annual Raw'!V19-'Annual Raw'!V20</f>
        <v>2.073</v>
      </c>
      <c r="V22" s="23">
        <f>'Annual Raw'!W19-'Annual Raw'!W20</f>
        <v>3.2353999999999998</v>
      </c>
      <c r="W22" s="23">
        <f>'Annual Raw'!X19-'Annual Raw'!X20</f>
        <v>1.5246</v>
      </c>
      <c r="X22" s="23">
        <f>'Annual Raw'!Y19-'Annual Raw'!Y20</f>
        <v>1.7899</v>
      </c>
      <c r="Y22" s="23">
        <f>'Annual Raw'!Z19-'Annual Raw'!Z20</f>
        <v>1.8185</v>
      </c>
      <c r="Z22" s="23">
        <f>'Annual Raw'!AA19-'Annual Raw'!AA20</f>
        <v>3.4672000000000001</v>
      </c>
      <c r="AA22" s="23">
        <f>'Annual Raw'!AB19-'Annual Raw'!AB20</f>
        <v>1.6342000000000001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1.9593659999999999</v>
      </c>
      <c r="F23" s="23">
        <f>'Annual Raw'!G15+'Annual Raw'!G16</f>
        <v>1.7245815</v>
      </c>
      <c r="G23" s="23">
        <f>'Annual Raw'!H15+'Annual Raw'!H16</f>
        <v>2.0439587000000001</v>
      </c>
      <c r="H23" s="23">
        <f>'Annual Raw'!I15+'Annual Raw'!I16</f>
        <v>2.6217000000000001</v>
      </c>
      <c r="I23" s="23">
        <f>'Annual Raw'!J15+'Annual Raw'!J16</f>
        <v>3.048</v>
      </c>
      <c r="J23" s="23">
        <f>'Annual Raw'!K15+'Annual Raw'!K16</f>
        <v>4.7130000000000001</v>
      </c>
      <c r="K23" s="23">
        <f>'Annual Raw'!L15+'Annual Raw'!L16</f>
        <v>5.8556999999999997</v>
      </c>
      <c r="L23" s="23">
        <f>'Annual Raw'!M15+'Annual Raw'!M16</f>
        <v>6.2161</v>
      </c>
      <c r="M23" s="23">
        <f>'Annual Raw'!N15+'Annual Raw'!N16</f>
        <v>7.2141999999999999</v>
      </c>
      <c r="N23" s="23">
        <f>'Annual Raw'!O15+'Annual Raw'!O16</f>
        <v>7.8061999999999996</v>
      </c>
      <c r="O23" s="23">
        <f>'Annual Raw'!P15+'Annual Raw'!P16</f>
        <v>8.0792000000000002</v>
      </c>
      <c r="P23" s="23">
        <f>'Annual Raw'!Q15+'Annual Raw'!Q16</f>
        <v>10.2407</v>
      </c>
      <c r="Q23" s="23">
        <f>'Annual Raw'!R15+'Annual Raw'!R16</f>
        <v>11.369199999999999</v>
      </c>
      <c r="R23" s="23">
        <f>'Annual Raw'!S15+'Annual Raw'!S16</f>
        <v>15.113</v>
      </c>
      <c r="S23" s="23">
        <f>'Annual Raw'!T15+'Annual Raw'!T16</f>
        <v>18.381499999999999</v>
      </c>
      <c r="T23" s="23">
        <f>'Annual Raw'!U15+'Annual Raw'!U16</f>
        <v>16.940799999999999</v>
      </c>
      <c r="U23" s="23">
        <f>'Annual Raw'!V15+'Annual Raw'!V16</f>
        <v>16.824200000000001</v>
      </c>
      <c r="V23" s="23">
        <f>'Annual Raw'!W15+'Annual Raw'!W16</f>
        <v>15.7555</v>
      </c>
      <c r="W23" s="23">
        <f>'Annual Raw'!X15+'Annual Raw'!X16</f>
        <v>14.965299999999999</v>
      </c>
      <c r="X23" s="23">
        <f>'Annual Raw'!Y15+'Annual Raw'!Y16</f>
        <v>15.2783</v>
      </c>
      <c r="Y23" s="23">
        <f>'Annual Raw'!Z15+'Annual Raw'!Z16</f>
        <v>14.9656</v>
      </c>
      <c r="Z23" s="23">
        <f>'Annual Raw'!AA15+'Annual Raw'!AA16</f>
        <v>17.115500000000001</v>
      </c>
      <c r="AA23" s="23">
        <f>'Annual Raw'!AB15+'Annual Raw'!AB16</f>
        <v>16.8169</v>
      </c>
      <c r="AB23" s="76">
        <f t="shared" si="250"/>
        <v>52.948835249806024</v>
      </c>
      <c r="AC23" s="76">
        <f t="shared" si="251"/>
        <v>62.454323496577267</v>
      </c>
      <c r="AD23" s="76">
        <f t="shared" si="252"/>
        <v>73.144949925079857</v>
      </c>
      <c r="AE23" s="76">
        <f t="shared" si="253"/>
        <v>85.452693646894957</v>
      </c>
      <c r="AI23" s="23">
        <f>'QTR Raw'!C14</f>
        <v>4.0030000000000001</v>
      </c>
      <c r="AJ23" s="23">
        <f>'QTR Raw'!D14</f>
        <v>4.5</v>
      </c>
      <c r="AK23" s="23">
        <f>'QTR Raw'!E14</f>
        <v>4.41</v>
      </c>
      <c r="AL23" s="23">
        <f>'QTR Raw'!F14</f>
        <v>4.2080000000000002</v>
      </c>
      <c r="AM23" s="23">
        <f>'QTR Raw'!G14</f>
        <v>5.1890000000000001</v>
      </c>
      <c r="AN23" s="23">
        <f>'QTR Raw'!H14</f>
        <v>6.81</v>
      </c>
      <c r="AO23" s="23">
        <f>'QTR Raw'!I14</f>
        <v>3.16</v>
      </c>
      <c r="AP23" s="23">
        <f>'QTR Raw'!J14</f>
        <v>6.48</v>
      </c>
      <c r="AQ23" s="23">
        <f>'QTR Raw'!K14</f>
        <v>5.17</v>
      </c>
      <c r="AR23" s="23">
        <f>'QTR Raw'!L14</f>
        <v>7.98</v>
      </c>
      <c r="AS23" s="23">
        <f>'QTR Raw'!M14</f>
        <v>7.13</v>
      </c>
      <c r="AT23" s="23">
        <f>'QTR Raw'!N14</f>
        <v>4</v>
      </c>
      <c r="AU23" s="23">
        <f>'QTR Raw'!O14</f>
        <v>7.22</v>
      </c>
      <c r="AV23" s="23">
        <f>'QTR Raw'!P14</f>
        <v>8.35</v>
      </c>
      <c r="AW23" s="23">
        <f>'QTR Raw'!Q14</f>
        <v>6.14</v>
      </c>
      <c r="AX23" s="23">
        <f>'QTR Raw'!R14</f>
        <v>11.44</v>
      </c>
      <c r="AY23" s="23">
        <f>'QTR Raw'!S14</f>
        <v>9.65</v>
      </c>
      <c r="AZ23" s="23">
        <f>'QTR Raw'!T14</f>
        <v>6.9</v>
      </c>
      <c r="BA23" s="23">
        <f>'QTR Raw'!U14</f>
        <v>10.91</v>
      </c>
      <c r="BB23" s="23">
        <f>'QTR Raw'!V14</f>
        <v>11.75</v>
      </c>
      <c r="BC23" s="23">
        <f>'QTR Raw'!W14</f>
        <v>9.4</v>
      </c>
      <c r="BD23" s="23">
        <f>'QTR Raw'!X14</f>
        <v>7.82</v>
      </c>
      <c r="BE23" s="23">
        <f>'QTR Raw'!Y14</f>
        <v>8.9499999999999993</v>
      </c>
      <c r="BF23" s="23">
        <f>'QTR Raw'!Z14</f>
        <v>8.17</v>
      </c>
      <c r="BG23" s="23">
        <f>'QTR Raw'!AA14</f>
        <v>8.92</v>
      </c>
      <c r="BH23" s="23">
        <f>'QTR Raw'!AB14</f>
        <v>8.9</v>
      </c>
      <c r="BI23" s="23">
        <f>'QTR Raw'!AC14</f>
        <v>9.34</v>
      </c>
      <c r="BJ23" s="23">
        <f>'QTR Raw'!AD14</f>
        <v>7.96</v>
      </c>
      <c r="BK23" s="23">
        <f>'QTR Raw'!AE14</f>
        <v>10.27</v>
      </c>
      <c r="BL23" s="23">
        <f>'QTR Raw'!AF14</f>
        <v>8.7100000000000009</v>
      </c>
      <c r="BM23" s="23">
        <f>'QTR Raw'!AG14</f>
        <v>8.39</v>
      </c>
      <c r="BN23" s="23">
        <f>'QTR Raw'!AH14</f>
        <v>9.01</v>
      </c>
      <c r="BO23" s="23">
        <f>'QTR Raw'!AI14</f>
        <v>8.06</v>
      </c>
      <c r="BP23" s="23">
        <f>'QTR Raw'!AJ14</f>
        <v>9.42</v>
      </c>
      <c r="BQ23" s="23">
        <f>'QTR Raw'!AK14</f>
        <v>8.5399999999999991</v>
      </c>
      <c r="BR23" s="23">
        <f>'QTR Raw'!AL14</f>
        <v>9.1999999999999993</v>
      </c>
      <c r="BS23" s="23">
        <f>'QTR Raw'!AM14</f>
        <v>8.5399999999999991</v>
      </c>
      <c r="BT23" s="23">
        <f>'QTR Raw'!AN14</f>
        <v>8.31</v>
      </c>
      <c r="BU23" s="23">
        <f>'QTR Raw'!AO14</f>
        <v>7.63</v>
      </c>
      <c r="BV23" s="23">
        <f>'QTR Raw'!AP14</f>
        <v>9.61</v>
      </c>
      <c r="BW23" s="23">
        <f>'QTR Raw'!AQ14</f>
        <v>7.53</v>
      </c>
      <c r="BX23" s="23">
        <f>'QTR Raw'!AR14</f>
        <v>9.15</v>
      </c>
      <c r="BY23" s="23">
        <f>'QTR Raw'!AS14</f>
        <v>8.77</v>
      </c>
      <c r="BZ23" s="23">
        <f>'QTR Raw'!AT14</f>
        <v>8.81</v>
      </c>
      <c r="CA23" s="23">
        <f>'QTR Raw'!AU14</f>
        <v>7.5</v>
      </c>
      <c r="CB23" s="23">
        <f>'QTR Raw'!AV14</f>
        <v>8.0399999999999991</v>
      </c>
      <c r="CC23" s="23">
        <f>'QTR Raw'!AW14</f>
        <v>8.3800000000000008</v>
      </c>
      <c r="CD23" s="23">
        <f>'QTR Raw'!AX14</f>
        <v>9.8699999999999992</v>
      </c>
      <c r="CE23" s="23">
        <f>'QTR Raw'!AY14</f>
        <v>9.4</v>
      </c>
      <c r="CF23" s="23">
        <f>'QTR Raw'!AZ14</f>
        <v>11.76</v>
      </c>
      <c r="CG23" s="23">
        <f>'QTR Raw'!BA14</f>
        <v>11.41</v>
      </c>
      <c r="CH23" s="23">
        <f>'QTR Raw'!BB14</f>
        <v>9.74</v>
      </c>
      <c r="CI23" s="23">
        <f>'QTR Raw'!BC14</f>
        <v>11.47</v>
      </c>
      <c r="CJ23" s="23">
        <f>'QTR Raw'!BD14</f>
        <v>10.73</v>
      </c>
      <c r="CK23" s="23">
        <f>'QTR Raw'!BE14</f>
        <v>10.89</v>
      </c>
      <c r="CL23" s="23">
        <f>'QTR Raw'!BF14</f>
        <v>10.46</v>
      </c>
      <c r="CM23" s="24">
        <f t="shared" ref="CM23:DB23" si="255">CM26-CM20-CM21-CM22-CM24-CM25</f>
        <v>14.115822012568408</v>
      </c>
      <c r="CN23" s="24">
        <f t="shared" si="255"/>
        <v>15.421897252135235</v>
      </c>
      <c r="CO23" s="24">
        <f t="shared" si="255"/>
        <v>10.525831965509111</v>
      </c>
      <c r="CP23" s="24">
        <f t="shared" si="255"/>
        <v>12.885284019593268</v>
      </c>
      <c r="CQ23" s="24">
        <f t="shared" si="255"/>
        <v>16.915600474135083</v>
      </c>
      <c r="CR23" s="24">
        <f t="shared" si="255"/>
        <v>18.241088705389423</v>
      </c>
      <c r="CS23" s="24">
        <f t="shared" si="255"/>
        <v>12.032641693679544</v>
      </c>
      <c r="CT23" s="24">
        <f t="shared" si="255"/>
        <v>15.264992623373217</v>
      </c>
      <c r="CU23" s="24">
        <f t="shared" si="255"/>
        <v>19.893003595915904</v>
      </c>
      <c r="CV23" s="24">
        <f t="shared" si="255"/>
        <v>21.249174911952441</v>
      </c>
      <c r="CW23" s="24">
        <f t="shared" si="255"/>
        <v>14.119733317940467</v>
      </c>
      <c r="CX23" s="24">
        <f t="shared" si="255"/>
        <v>17.883038099271044</v>
      </c>
      <c r="CY23" s="24">
        <f t="shared" si="255"/>
        <v>23.273686059280855</v>
      </c>
      <c r="CZ23" s="24">
        <f t="shared" si="255"/>
        <v>24.71917034297044</v>
      </c>
      <c r="DA23" s="24">
        <f t="shared" si="255"/>
        <v>16.589439600549152</v>
      </c>
      <c r="DB23" s="24">
        <f t="shared" si="255"/>
        <v>20.870397644094506</v>
      </c>
      <c r="DE23" s="123"/>
      <c r="DF23" s="23">
        <v>15.119113732027788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0.65497249999999996</v>
      </c>
      <c r="F24" s="23">
        <f>'Annual Raw'!G13</f>
        <v>0.55076049999999999</v>
      </c>
      <c r="G24" s="23">
        <f>'Annual Raw'!H13</f>
        <v>0.94766729999999999</v>
      </c>
      <c r="H24" s="23">
        <f>'Annual Raw'!I13</f>
        <v>1.625</v>
      </c>
      <c r="I24" s="23">
        <f>'Annual Raw'!J13</f>
        <v>1.9214</v>
      </c>
      <c r="J24" s="23">
        <f>'Annual Raw'!K13</f>
        <v>2.9159999999999999</v>
      </c>
      <c r="K24" s="23">
        <f>'Annual Raw'!L13</f>
        <v>2.0366</v>
      </c>
      <c r="L24" s="23">
        <f>'Annual Raw'!M13</f>
        <v>2.9782999999999999</v>
      </c>
      <c r="M24" s="23">
        <f>'Annual Raw'!N13</f>
        <v>4.0167000000000002</v>
      </c>
      <c r="N24" s="23">
        <f>'Annual Raw'!O13</f>
        <v>4.7451999999999996</v>
      </c>
      <c r="O24" s="23">
        <f>'Annual Raw'!P13</f>
        <v>6.1790000000000003</v>
      </c>
      <c r="P24" s="23">
        <f>'Annual Raw'!Q13</f>
        <v>4.8044000000000002</v>
      </c>
      <c r="Q24" s="23">
        <f>'Annual Raw'!R13</f>
        <v>7.4230999999999998</v>
      </c>
      <c r="R24" s="23">
        <f>'Annual Raw'!S13</f>
        <v>7.2927</v>
      </c>
      <c r="S24" s="23">
        <f>'Annual Raw'!T13</f>
        <v>7.1856999999999998</v>
      </c>
      <c r="T24" s="23">
        <f>'Annual Raw'!U13</f>
        <v>7.9980000000000002</v>
      </c>
      <c r="U24" s="23">
        <f>'Annual Raw'!V13</f>
        <v>9.1530000000000005</v>
      </c>
      <c r="V24" s="23">
        <f>'Annual Raw'!W13</f>
        <v>8.8986000000000001</v>
      </c>
      <c r="W24" s="23">
        <f>'Annual Raw'!X13</f>
        <v>9.9750999999999994</v>
      </c>
      <c r="X24" s="23">
        <f>'Annual Raw'!Y13</f>
        <v>11.892300000000001</v>
      </c>
      <c r="Y24" s="23">
        <f>'Annual Raw'!Z13</f>
        <v>12.3553</v>
      </c>
      <c r="Z24" s="23">
        <f>'Annual Raw'!AA13</f>
        <v>15.027100000000001</v>
      </c>
      <c r="AA24" s="23">
        <f>'Annual Raw'!AB13</f>
        <v>17.300999999999998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0.51481849999999996</v>
      </c>
      <c r="F25" s="23">
        <f>'Annual Raw'!G18</f>
        <v>0.41033999999999998</v>
      </c>
      <c r="G25" s="23">
        <f>'Annual Raw'!H18</f>
        <v>0.78456879999999996</v>
      </c>
      <c r="H25" s="23">
        <f>'Annual Raw'!I18</f>
        <v>1.0629999999999999</v>
      </c>
      <c r="I25" s="23">
        <f>'Annual Raw'!J18</f>
        <v>1.2605999999999999</v>
      </c>
      <c r="J25" s="23">
        <f>'Annual Raw'!K18</f>
        <v>1.9462999999999999</v>
      </c>
      <c r="K25" s="23">
        <f>'Annual Raw'!L18</f>
        <v>2.3433000000000002</v>
      </c>
      <c r="L25" s="23">
        <f>'Annual Raw'!M18</f>
        <v>1.2697000000000001</v>
      </c>
      <c r="M25" s="23">
        <f>'Annual Raw'!N18</f>
        <v>3.1221000000000001</v>
      </c>
      <c r="N25" s="23">
        <f>'Annual Raw'!O18</f>
        <v>3.3999000000000001</v>
      </c>
      <c r="O25" s="23">
        <f>'Annual Raw'!P18</f>
        <v>3.1972999999999998</v>
      </c>
      <c r="P25" s="23">
        <f>'Annual Raw'!Q18</f>
        <v>3.3022</v>
      </c>
      <c r="Q25" s="23">
        <f>'Annual Raw'!R18</f>
        <v>3.7391999999999999</v>
      </c>
      <c r="R25" s="23">
        <f>'Annual Raw'!S18</f>
        <v>4.6771000000000003</v>
      </c>
      <c r="S25" s="23">
        <f>'Annual Raw'!T18</f>
        <v>5.1429999999999998</v>
      </c>
      <c r="T25" s="23">
        <f>'Annual Raw'!U18</f>
        <v>4.4939</v>
      </c>
      <c r="U25" s="23">
        <f>'Annual Raw'!V18</f>
        <v>4.1158999999999999</v>
      </c>
      <c r="V25" s="23">
        <f>'Annual Raw'!W18</f>
        <v>5.0223000000000004</v>
      </c>
      <c r="W25" s="23">
        <f>'Annual Raw'!X18</f>
        <v>4.6436000000000002</v>
      </c>
      <c r="X25" s="23">
        <f>'Annual Raw'!Y18</f>
        <v>6.5258000000000003</v>
      </c>
      <c r="Y25" s="23">
        <f>'Annual Raw'!Z18</f>
        <v>5.6058000000000003</v>
      </c>
      <c r="Z25" s="23">
        <f>'Annual Raw'!AA18</f>
        <v>7.3369999999999997</v>
      </c>
      <c r="AA25" s="23">
        <f>'Annual Raw'!AB18</f>
        <v>7.2820999999999998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7.6630491999999988</v>
      </c>
      <c r="F26" s="22">
        <f t="shared" ref="F26:AE26" si="257">+SUM(F20:F25)</f>
        <v>5.6306335000000001</v>
      </c>
      <c r="G26" s="22">
        <f t="shared" si="257"/>
        <v>7.0689983000000005</v>
      </c>
      <c r="H26" s="22">
        <f t="shared" si="257"/>
        <v>9.5702000000000016</v>
      </c>
      <c r="I26" s="22">
        <f t="shared" si="257"/>
        <v>9.6801999999999992</v>
      </c>
      <c r="J26" s="22">
        <f t="shared" si="257"/>
        <v>13.697000000000003</v>
      </c>
      <c r="K26" s="22">
        <f t="shared" si="257"/>
        <v>14.9175</v>
      </c>
      <c r="L26" s="22">
        <f t="shared" si="257"/>
        <v>17.953099999999999</v>
      </c>
      <c r="M26" s="22">
        <f t="shared" si="257"/>
        <v>20.626799999999999</v>
      </c>
      <c r="N26" s="22">
        <f t="shared" si="257"/>
        <v>23.674099999999999</v>
      </c>
      <c r="O26" s="22">
        <f t="shared" si="257"/>
        <v>29.992699999999999</v>
      </c>
      <c r="P26" s="22">
        <f t="shared" si="257"/>
        <v>34.067</v>
      </c>
      <c r="Q26" s="22">
        <f t="shared" si="257"/>
        <v>43.954299999999996</v>
      </c>
      <c r="R26" s="22">
        <f t="shared" si="257"/>
        <v>50.939</v>
      </c>
      <c r="S26" s="22">
        <f t="shared" si="257"/>
        <v>49.693799999999996</v>
      </c>
      <c r="T26" s="22">
        <f t="shared" si="257"/>
        <v>48.890500000000003</v>
      </c>
      <c r="U26" s="22">
        <f t="shared" si="257"/>
        <v>50.086300000000008</v>
      </c>
      <c r="V26" s="22">
        <f t="shared" si="257"/>
        <v>48.725700000000003</v>
      </c>
      <c r="W26" s="22">
        <f t="shared" si="257"/>
        <v>49.187099999999994</v>
      </c>
      <c r="X26" s="22">
        <f t="shared" si="257"/>
        <v>53.310500000000005</v>
      </c>
      <c r="Y26" s="22">
        <f t="shared" si="257"/>
        <v>55.825700000000005</v>
      </c>
      <c r="Z26" s="22">
        <f t="shared" ref="Z26:AA26" si="258">+SUM(Z20:Z25)</f>
        <v>68.489900000000006</v>
      </c>
      <c r="AA26" s="22">
        <f t="shared" si="258"/>
        <v>69.330200000000005</v>
      </c>
      <c r="AB26" s="21">
        <f t="shared" si="257"/>
        <v>73.995735249806032</v>
      </c>
      <c r="AC26" s="21">
        <f t="shared" si="257"/>
        <v>84.974506496577277</v>
      </c>
      <c r="AD26" s="21">
        <f t="shared" si="257"/>
        <v>97.241545735079853</v>
      </c>
      <c r="AE26" s="21">
        <f t="shared" si="257"/>
        <v>111.23605116359496</v>
      </c>
      <c r="AI26" s="22">
        <f t="shared" ref="AI26:BN26" si="259">+SUM(AI20:AI25)</f>
        <v>5.0950000000000006</v>
      </c>
      <c r="AJ26" s="22">
        <f t="shared" si="259"/>
        <v>5.62</v>
      </c>
      <c r="AK26" s="22">
        <f t="shared" si="259"/>
        <v>5.55</v>
      </c>
      <c r="AL26" s="22">
        <f t="shared" si="259"/>
        <v>5.5380000000000003</v>
      </c>
      <c r="AM26" s="22">
        <f t="shared" si="259"/>
        <v>6.3149999999999995</v>
      </c>
      <c r="AN26" s="22">
        <f t="shared" si="259"/>
        <v>8.01</v>
      </c>
      <c r="AO26" s="22">
        <f t="shared" si="259"/>
        <v>4.4000000000000004</v>
      </c>
      <c r="AP26" s="22">
        <f t="shared" si="259"/>
        <v>7.9</v>
      </c>
      <c r="AQ26" s="22">
        <f t="shared" si="259"/>
        <v>6.8</v>
      </c>
      <c r="AR26" s="22">
        <f t="shared" si="259"/>
        <v>9.59</v>
      </c>
      <c r="AS26" s="22">
        <f t="shared" si="259"/>
        <v>9.07</v>
      </c>
      <c r="AT26" s="22">
        <f t="shared" si="259"/>
        <v>5.1100000000000003</v>
      </c>
      <c r="AU26" s="22">
        <f t="shared" si="259"/>
        <v>9.23</v>
      </c>
      <c r="AV26" s="22">
        <f t="shared" si="259"/>
        <v>9.84</v>
      </c>
      <c r="AW26" s="22">
        <f t="shared" si="259"/>
        <v>7.5</v>
      </c>
      <c r="AX26" s="22">
        <f t="shared" si="259"/>
        <v>13.26</v>
      </c>
      <c r="AY26" s="22">
        <f t="shared" si="259"/>
        <v>11.42</v>
      </c>
      <c r="AZ26" s="22">
        <f t="shared" si="259"/>
        <v>8.6</v>
      </c>
      <c r="BA26" s="22">
        <f t="shared" si="259"/>
        <v>12.530000000000001</v>
      </c>
      <c r="BB26" s="22">
        <f t="shared" si="259"/>
        <v>13.28</v>
      </c>
      <c r="BC26" s="22">
        <f t="shared" si="259"/>
        <v>11.14</v>
      </c>
      <c r="BD26" s="22">
        <f t="shared" si="259"/>
        <v>9.5500000000000007</v>
      </c>
      <c r="BE26" s="22">
        <f t="shared" si="259"/>
        <v>10.94</v>
      </c>
      <c r="BF26" s="22">
        <f t="shared" si="259"/>
        <v>9.75</v>
      </c>
      <c r="BG26" s="22">
        <f t="shared" si="259"/>
        <v>10.64</v>
      </c>
      <c r="BH26" s="22">
        <f t="shared" si="259"/>
        <v>10.42</v>
      </c>
      <c r="BI26" s="22">
        <f t="shared" si="259"/>
        <v>11.12</v>
      </c>
      <c r="BJ26" s="22">
        <f t="shared" si="259"/>
        <v>9.3699999999999992</v>
      </c>
      <c r="BK26" s="22">
        <f t="shared" si="259"/>
        <v>11.82</v>
      </c>
      <c r="BL26" s="22">
        <f t="shared" si="259"/>
        <v>10.4</v>
      </c>
      <c r="BM26" s="22">
        <f t="shared" si="259"/>
        <v>10.010000000000002</v>
      </c>
      <c r="BN26" s="22">
        <f t="shared" si="259"/>
        <v>10.74</v>
      </c>
      <c r="BO26" s="22">
        <f t="shared" ref="BO26:CH26" si="260">+SUM(BO20:BO25)</f>
        <v>9.870000000000001</v>
      </c>
      <c r="BP26" s="22">
        <f t="shared" si="260"/>
        <v>11.24</v>
      </c>
      <c r="BQ26" s="22">
        <f t="shared" si="260"/>
        <v>10.489999999999998</v>
      </c>
      <c r="BR26" s="22">
        <f t="shared" si="260"/>
        <v>11.18</v>
      </c>
      <c r="BS26" s="22">
        <f t="shared" si="260"/>
        <v>11.309999999999999</v>
      </c>
      <c r="BT26" s="22">
        <f t="shared" si="260"/>
        <v>10.52</v>
      </c>
      <c r="BU26" s="22">
        <f t="shared" si="260"/>
        <v>9.77</v>
      </c>
      <c r="BV26" s="22">
        <f t="shared" si="260"/>
        <v>11.73</v>
      </c>
      <c r="BW26" s="22">
        <f t="shared" si="260"/>
        <v>10.67</v>
      </c>
      <c r="BX26" s="22">
        <f t="shared" si="260"/>
        <v>11.530000000000001</v>
      </c>
      <c r="BY26" s="22">
        <f t="shared" si="260"/>
        <v>12.16</v>
      </c>
      <c r="BZ26" s="22">
        <f t="shared" si="260"/>
        <v>13.040000000000001</v>
      </c>
      <c r="CA26" s="22">
        <f t="shared" si="260"/>
        <v>12.15</v>
      </c>
      <c r="CB26" s="22">
        <f t="shared" si="260"/>
        <v>11.319999999999999</v>
      </c>
      <c r="CC26" s="22">
        <f t="shared" si="260"/>
        <v>12.15</v>
      </c>
      <c r="CD26" s="22">
        <f t="shared" si="260"/>
        <v>14.559999999999999</v>
      </c>
      <c r="CE26" s="22">
        <f t="shared" si="260"/>
        <v>14.08</v>
      </c>
      <c r="CF26" s="22">
        <f t="shared" si="260"/>
        <v>16.12</v>
      </c>
      <c r="CG26" s="22">
        <f t="shared" si="260"/>
        <v>16.259999999999998</v>
      </c>
      <c r="CH26" s="22">
        <f t="shared" si="260"/>
        <v>14.93</v>
      </c>
      <c r="CI26" s="22">
        <f t="shared" ref="CI26:CJ26" si="261">+SUM(CI20:CI25)</f>
        <v>17.11</v>
      </c>
      <c r="CJ26" s="22">
        <f t="shared" si="261"/>
        <v>15.39</v>
      </c>
      <c r="CK26" s="22">
        <f t="shared" ref="CK26:CL26" si="262">+SUM(CK20:CK25)</f>
        <v>15.8</v>
      </c>
      <c r="CL26" s="22">
        <f t="shared" si="262"/>
        <v>14.920000000000002</v>
      </c>
      <c r="CM26" s="21">
        <f t="shared" ref="CM26:DB26" si="263">CM27*CM10</f>
        <v>20.150622012568409</v>
      </c>
      <c r="CN26" s="21">
        <f t="shared" si="263"/>
        <v>20.408097252135235</v>
      </c>
      <c r="CO26" s="21">
        <f t="shared" si="263"/>
        <v>15.779531965509111</v>
      </c>
      <c r="CP26" s="21">
        <f t="shared" si="263"/>
        <v>17.657484019593269</v>
      </c>
      <c r="CQ26" s="21">
        <f t="shared" si="263"/>
        <v>23.372836474135084</v>
      </c>
      <c r="CR26" s="21">
        <f t="shared" si="263"/>
        <v>23.576322705389423</v>
      </c>
      <c r="CS26" s="21">
        <f t="shared" si="263"/>
        <v>17.654100693679545</v>
      </c>
      <c r="CT26" s="21">
        <f t="shared" si="263"/>
        <v>20.371246623373217</v>
      </c>
      <c r="CU26" s="21">
        <f t="shared" si="263"/>
        <v>26.802246115915903</v>
      </c>
      <c r="CV26" s="21">
        <f t="shared" si="263"/>
        <v>26.95787529195244</v>
      </c>
      <c r="CW26" s="21">
        <f t="shared" si="263"/>
        <v>20.134694447940468</v>
      </c>
      <c r="CX26" s="21">
        <f t="shared" si="263"/>
        <v>23.346729879271045</v>
      </c>
      <c r="CY26" s="21">
        <f t="shared" si="263"/>
        <v>30.666575555680858</v>
      </c>
      <c r="CZ26" s="21">
        <f t="shared" si="263"/>
        <v>30.82747974957044</v>
      </c>
      <c r="DA26" s="21">
        <f t="shared" si="263"/>
        <v>23.025448009649153</v>
      </c>
      <c r="DB26" s="21">
        <f t="shared" si="263"/>
        <v>26.716547848694507</v>
      </c>
      <c r="DE26" s="126"/>
      <c r="DF26" s="22">
        <v>20.672413732027788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>
        <f t="shared" si="264"/>
        <v>0.36619198699948891</v>
      </c>
      <c r="F27" s="44">
        <f t="shared" ref="F27:AE27" si="265">F26/F10</f>
        <v>0.32277625759430595</v>
      </c>
      <c r="G27" s="44">
        <f t="shared" si="265"/>
        <v>0.25863630326714554</v>
      </c>
      <c r="H27" s="44">
        <f t="shared" si="265"/>
        <v>0.28607470070396229</v>
      </c>
      <c r="I27" s="44">
        <f t="shared" si="265"/>
        <v>0.23056329641538642</v>
      </c>
      <c r="J27" s="44">
        <f t="shared" si="265"/>
        <v>0.21727474619289341</v>
      </c>
      <c r="K27" s="44">
        <f t="shared" si="265"/>
        <v>0.23126795456342408</v>
      </c>
      <c r="L27" s="44">
        <f t="shared" si="265"/>
        <v>0.22684582075577789</v>
      </c>
      <c r="M27" s="44">
        <f t="shared" si="265"/>
        <v>0.21878583134012528</v>
      </c>
      <c r="N27" s="44">
        <f t="shared" si="265"/>
        <v>0.22482355309741234</v>
      </c>
      <c r="O27" s="44">
        <f t="shared" si="265"/>
        <v>0.22440807317483771</v>
      </c>
      <c r="P27" s="44">
        <f t="shared" si="265"/>
        <v>0.28626408023158595</v>
      </c>
      <c r="Q27" s="44">
        <f t="shared" si="265"/>
        <v>0.29258413383932008</v>
      </c>
      <c r="R27" s="44">
        <f t="shared" si="265"/>
        <v>0.30737620834892165</v>
      </c>
      <c r="S27" s="44">
        <f t="shared" si="265"/>
        <v>0.27100599396077502</v>
      </c>
      <c r="T27" s="44">
        <f t="shared" si="265"/>
        <v>0.25774030122990793</v>
      </c>
      <c r="U27" s="44">
        <f t="shared" si="265"/>
        <v>0.27660160793119409</v>
      </c>
      <c r="V27" s="44">
        <f t="shared" si="265"/>
        <v>0.24528034045277927</v>
      </c>
      <c r="W27" s="44">
        <f t="shared" si="265"/>
        <v>0.20158300553842923</v>
      </c>
      <c r="X27" s="44">
        <f t="shared" si="265"/>
        <v>0.21780723974505642</v>
      </c>
      <c r="Y27" s="44">
        <f t="shared" si="265"/>
        <v>0.19700263325609774</v>
      </c>
      <c r="Z27" s="44">
        <f t="shared" ref="Z27:AA27" si="266">Z26/Z10</f>
        <v>0.18723584917008115</v>
      </c>
      <c r="AA27" s="44">
        <f t="shared" si="266"/>
        <v>0.15724239413271876</v>
      </c>
      <c r="AB27" s="52">
        <f t="shared" si="265"/>
        <v>0.1444037762174214</v>
      </c>
      <c r="AC27" s="52">
        <f t="shared" si="265"/>
        <v>0.1445297811614569</v>
      </c>
      <c r="AD27" s="52">
        <f t="shared" si="265"/>
        <v>0.14451889914052829</v>
      </c>
      <c r="AE27" s="52">
        <f t="shared" si="265"/>
        <v>0.14450911854427503</v>
      </c>
      <c r="AI27" s="44">
        <f t="shared" ref="AI27:BN27" si="267">AI26/AI10</f>
        <v>0.19077395439397912</v>
      </c>
      <c r="AJ27" s="44">
        <f t="shared" si="267"/>
        <v>0.21167608286252354</v>
      </c>
      <c r="AK27" s="44">
        <f t="shared" si="267"/>
        <v>0.22962350020686803</v>
      </c>
      <c r="AL27" s="44">
        <f t="shared" si="267"/>
        <v>0.19883670831538131</v>
      </c>
      <c r="AM27" s="44">
        <f t="shared" si="267"/>
        <v>0.22586644729782895</v>
      </c>
      <c r="AN27" s="44">
        <f t="shared" si="267"/>
        <v>0.23427902895583505</v>
      </c>
      <c r="AO27" s="44">
        <f t="shared" si="267"/>
        <v>0.12611063341931786</v>
      </c>
      <c r="AP27" s="44">
        <f t="shared" si="267"/>
        <v>0.21596500820120287</v>
      </c>
      <c r="AQ27" s="44">
        <f t="shared" si="267"/>
        <v>0.22099447513812154</v>
      </c>
      <c r="AR27" s="44">
        <f t="shared" si="267"/>
        <v>0.29016641452344932</v>
      </c>
      <c r="AS27" s="44">
        <f t="shared" si="267"/>
        <v>0.32910014513788099</v>
      </c>
      <c r="AT27" s="44">
        <f t="shared" si="267"/>
        <v>0.18494390155627943</v>
      </c>
      <c r="AU27" s="44">
        <f t="shared" si="267"/>
        <v>0.26303790253633513</v>
      </c>
      <c r="AV27" s="44">
        <f t="shared" si="267"/>
        <v>0.24230485102191579</v>
      </c>
      <c r="AW27" s="44">
        <f t="shared" si="267"/>
        <v>0.20897185845639454</v>
      </c>
      <c r="AX27" s="44">
        <f t="shared" si="267"/>
        <v>0.34316770186335405</v>
      </c>
      <c r="AY27" s="44">
        <f t="shared" si="267"/>
        <v>0.26090929860635137</v>
      </c>
      <c r="AZ27" s="44">
        <f t="shared" si="267"/>
        <v>0.23783185840707965</v>
      </c>
      <c r="BA27" s="44">
        <f t="shared" si="267"/>
        <v>0.29961740793878527</v>
      </c>
      <c r="BB27" s="44">
        <f t="shared" si="267"/>
        <v>0.3054980446284794</v>
      </c>
      <c r="BC27" s="44">
        <f t="shared" si="267"/>
        <v>0.24722592099422991</v>
      </c>
      <c r="BD27" s="44">
        <f t="shared" si="267"/>
        <v>0.22940187364881096</v>
      </c>
      <c r="BE27" s="44">
        <f t="shared" si="267"/>
        <v>0.24187486181737786</v>
      </c>
      <c r="BF27" s="44">
        <f t="shared" si="267"/>
        <v>0.19245953414923017</v>
      </c>
      <c r="BG27" s="44">
        <f t="shared" si="267"/>
        <v>0.2150363783346807</v>
      </c>
      <c r="BH27" s="44">
        <f t="shared" si="267"/>
        <v>0.19498502994011976</v>
      </c>
      <c r="BI27" s="44">
        <f t="shared" si="267"/>
        <v>0.28674574522949969</v>
      </c>
      <c r="BJ27" s="44">
        <f t="shared" si="267"/>
        <v>0.19524901021046048</v>
      </c>
      <c r="BK27" s="44">
        <f t="shared" si="267"/>
        <v>0.24837150661903759</v>
      </c>
      <c r="BL27" s="44">
        <f t="shared" si="267"/>
        <v>0.221606648199446</v>
      </c>
      <c r="BM27" s="44">
        <f t="shared" si="267"/>
        <v>0.23964567871678241</v>
      </c>
      <c r="BN27" s="44">
        <f t="shared" si="267"/>
        <v>0.23978566644340255</v>
      </c>
      <c r="BO27" s="44">
        <f t="shared" ref="BO27:CH27" si="268">BO26/BO10</f>
        <v>0.25372750642673525</v>
      </c>
      <c r="BP27" s="44">
        <f t="shared" si="268"/>
        <v>0.20784023668639054</v>
      </c>
      <c r="BQ27" s="44">
        <f t="shared" si="268"/>
        <v>0.19436724105984804</v>
      </c>
      <c r="BR27" s="44">
        <f t="shared" si="268"/>
        <v>0.21624758220502899</v>
      </c>
      <c r="BS27" s="44">
        <f t="shared" si="268"/>
        <v>0.18657208841966347</v>
      </c>
      <c r="BT27" s="44">
        <f t="shared" si="268"/>
        <v>0.17933856120013639</v>
      </c>
      <c r="BU27" s="44">
        <f t="shared" si="268"/>
        <v>0.16847732367649593</v>
      </c>
      <c r="BV27" s="44">
        <f t="shared" si="268"/>
        <v>0.17575666766556788</v>
      </c>
      <c r="BW27" s="44">
        <f t="shared" si="268"/>
        <v>0.17020258414420164</v>
      </c>
      <c r="BX27" s="44">
        <f t="shared" si="268"/>
        <v>0.17912070840453628</v>
      </c>
      <c r="BY27" s="44">
        <f t="shared" si="268"/>
        <v>0.23731459797033566</v>
      </c>
      <c r="BZ27" s="44">
        <f t="shared" si="268"/>
        <v>0.19620824556123986</v>
      </c>
      <c r="CA27" s="44">
        <f t="shared" si="268"/>
        <v>0.18221355728854227</v>
      </c>
      <c r="CB27" s="44">
        <f t="shared" si="268"/>
        <v>0.17156714155804786</v>
      </c>
      <c r="CC27" s="44">
        <f t="shared" si="268"/>
        <v>0.18637827887712841</v>
      </c>
      <c r="CD27" s="44">
        <f t="shared" si="268"/>
        <v>0.17023266690050273</v>
      </c>
      <c r="CE27" s="44">
        <f t="shared" si="268"/>
        <v>0.18060543868650591</v>
      </c>
      <c r="CF27" s="44">
        <f t="shared" si="268"/>
        <v>0.17350123775696913</v>
      </c>
      <c r="CG27" s="44">
        <f t="shared" si="268"/>
        <v>0.19217586573691051</v>
      </c>
      <c r="CH27" s="44">
        <f t="shared" si="268"/>
        <v>0.13534584353186474</v>
      </c>
      <c r="CI27" s="44">
        <f t="shared" ref="CI27:CJ27" si="269">CI26/CI10</f>
        <v>0.15024587284861257</v>
      </c>
      <c r="CJ27" s="44">
        <f t="shared" si="269"/>
        <v>0.12573529411764706</v>
      </c>
      <c r="CK27" s="44">
        <f t="shared" ref="CK27:CL27" si="270">CK26/CK10</f>
        <v>0.16638584667228309</v>
      </c>
      <c r="CL27" s="44">
        <f t="shared" si="270"/>
        <v>0.13604449712774688</v>
      </c>
      <c r="CM27" s="52">
        <f t="shared" ref="CM27:DB27" si="271">AVERAGE(CI27:CL27)</f>
        <v>0.1446028776915724</v>
      </c>
      <c r="CN27" s="52">
        <f t="shared" si="271"/>
        <v>0.14319212890231237</v>
      </c>
      <c r="CO27" s="52">
        <f t="shared" si="271"/>
        <v>0.14755633759847869</v>
      </c>
      <c r="CP27" s="52">
        <f t="shared" si="271"/>
        <v>0.14284896033002759</v>
      </c>
      <c r="CQ27" s="52">
        <f t="shared" si="271"/>
        <v>0.14455007613059778</v>
      </c>
      <c r="CR27" s="52">
        <f t="shared" si="271"/>
        <v>0.14453687574035412</v>
      </c>
      <c r="CS27" s="52">
        <f t="shared" si="271"/>
        <v>0.14487306244986453</v>
      </c>
      <c r="CT27" s="52">
        <f t="shared" si="271"/>
        <v>0.144202243662711</v>
      </c>
      <c r="CU27" s="52">
        <f t="shared" si="271"/>
        <v>0.14454056449588187</v>
      </c>
      <c r="CV27" s="52">
        <f t="shared" si="271"/>
        <v>0.14453818658720288</v>
      </c>
      <c r="CW27" s="52">
        <f t="shared" si="271"/>
        <v>0.14453851429891507</v>
      </c>
      <c r="CX27" s="52">
        <f t="shared" si="271"/>
        <v>0.1444548772611777</v>
      </c>
      <c r="CY27" s="52">
        <f t="shared" si="271"/>
        <v>0.14451803566079438</v>
      </c>
      <c r="CZ27" s="52">
        <f t="shared" si="271"/>
        <v>0.14451240345202249</v>
      </c>
      <c r="DA27" s="52">
        <f t="shared" si="271"/>
        <v>0.14450595766822738</v>
      </c>
      <c r="DB27" s="52">
        <f t="shared" si="271"/>
        <v>0.14449781851055549</v>
      </c>
      <c r="DE27" s="128"/>
      <c r="DF27" s="44">
        <v>0.14442821429260186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1.1384192000000057</v>
      </c>
      <c r="F28" s="26">
        <f t="shared" ref="F28:AE28" si="273">F16-F26</f>
        <v>1.099063199999998</v>
      </c>
      <c r="G28" s="26">
        <f t="shared" si="273"/>
        <v>2.8166158999999986</v>
      </c>
      <c r="H28" s="26">
        <f t="shared" si="273"/>
        <v>0.85109999999999353</v>
      </c>
      <c r="I28" s="26">
        <f t="shared" si="273"/>
        <v>3.2340000000000018</v>
      </c>
      <c r="J28" s="26">
        <f t="shared" si="273"/>
        <v>6.5284000000000049</v>
      </c>
      <c r="K28" s="26">
        <f t="shared" si="273"/>
        <v>8.9328000000000038</v>
      </c>
      <c r="L28" s="26">
        <f t="shared" si="273"/>
        <v>8.0236999999999838</v>
      </c>
      <c r="M28" s="26">
        <f t="shared" si="273"/>
        <v>7.6442000000000014</v>
      </c>
      <c r="N28" s="26">
        <f t="shared" si="273"/>
        <v>8.4089000000000134</v>
      </c>
      <c r="O28" s="26">
        <f t="shared" si="273"/>
        <v>10.884600000000006</v>
      </c>
      <c r="P28" s="26">
        <f t="shared" si="273"/>
        <v>2.1572999999999993</v>
      </c>
      <c r="Q28" s="26">
        <f t="shared" si="273"/>
        <v>9.807300000000005</v>
      </c>
      <c r="R28" s="26">
        <f t="shared" si="273"/>
        <v>7.1556000000000139</v>
      </c>
      <c r="S28" s="26">
        <f t="shared" si="273"/>
        <v>15.515699999999995</v>
      </c>
      <c r="T28" s="26">
        <f t="shared" si="273"/>
        <v>16.243899999999982</v>
      </c>
      <c r="U28" s="26">
        <f t="shared" si="273"/>
        <v>17.07889999999999</v>
      </c>
      <c r="V28" s="26">
        <f t="shared" si="273"/>
        <v>29.533500000000004</v>
      </c>
      <c r="W28" s="26">
        <f t="shared" si="273"/>
        <v>31.239499999999985</v>
      </c>
      <c r="X28" s="26">
        <f t="shared" si="273"/>
        <v>31.15789999999997</v>
      </c>
      <c r="Y28" s="26">
        <f t="shared" si="273"/>
        <v>40.433900000000001</v>
      </c>
      <c r="Z28" s="26">
        <f t="shared" ref="Z28:AA28" si="274">Z16-Z26</f>
        <v>33.775300000000044</v>
      </c>
      <c r="AA28" s="26">
        <f t="shared" si="274"/>
        <v>52.239799999999988</v>
      </c>
      <c r="AB28" s="27">
        <f t="shared" si="273"/>
        <v>62.122910607606016</v>
      </c>
      <c r="AC28" s="27">
        <f t="shared" si="273"/>
        <v>71.994371269650486</v>
      </c>
      <c r="AD28" s="27">
        <f t="shared" si="273"/>
        <v>82.610877731558105</v>
      </c>
      <c r="AE28" s="27">
        <f t="shared" si="273"/>
        <v>94.558288620284003</v>
      </c>
      <c r="AI28" s="26">
        <f t="shared" ref="AI28:BN28" si="275">AI16-AI26</f>
        <v>2.5269999999999992</v>
      </c>
      <c r="AJ28" s="26">
        <f t="shared" si="275"/>
        <v>2.0000000000000009</v>
      </c>
      <c r="AK28" s="26">
        <f t="shared" si="275"/>
        <v>0.98999999999999932</v>
      </c>
      <c r="AL28" s="26">
        <f t="shared" si="275"/>
        <v>2.365000000000002</v>
      </c>
      <c r="AM28" s="26">
        <f t="shared" si="275"/>
        <v>1.4829999999999988</v>
      </c>
      <c r="AN28" s="26">
        <f t="shared" si="275"/>
        <v>2.8600000000000012</v>
      </c>
      <c r="AO28" s="26">
        <f t="shared" si="275"/>
        <v>4.4700000000000006</v>
      </c>
      <c r="AP28" s="26">
        <f t="shared" si="275"/>
        <v>2.1749999999999954</v>
      </c>
      <c r="AQ28" s="26">
        <f t="shared" si="275"/>
        <v>1.6199999999999983</v>
      </c>
      <c r="AR28" s="26">
        <f t="shared" si="275"/>
        <v>1.4299999999999962</v>
      </c>
      <c r="AS28" s="26">
        <f t="shared" si="275"/>
        <v>-1.1900000000000048</v>
      </c>
      <c r="AT28" s="26">
        <f t="shared" si="275"/>
        <v>0.30999999999999961</v>
      </c>
      <c r="AU28" s="26">
        <f t="shared" si="275"/>
        <v>4.0299999999999976</v>
      </c>
      <c r="AV28" s="26">
        <f t="shared" si="275"/>
        <v>4.740000000000002</v>
      </c>
      <c r="AW28" s="26">
        <f t="shared" si="275"/>
        <v>1.4200000000000017</v>
      </c>
      <c r="AX28" s="26">
        <f t="shared" si="275"/>
        <v>-0.37999999999999723</v>
      </c>
      <c r="AY28" s="26">
        <f t="shared" si="275"/>
        <v>1.5000000000000018</v>
      </c>
      <c r="AZ28" s="26">
        <f t="shared" si="275"/>
        <v>3.5299999999999958</v>
      </c>
      <c r="BA28" s="26">
        <f t="shared" si="275"/>
        <v>2.9999999999997584E-2</v>
      </c>
      <c r="BB28" s="26">
        <f t="shared" si="275"/>
        <v>0.75999999999999623</v>
      </c>
      <c r="BC28" s="26">
        <f t="shared" si="275"/>
        <v>2.3200000000000003</v>
      </c>
      <c r="BD28" s="26">
        <f t="shared" si="275"/>
        <v>4.2600000000000016</v>
      </c>
      <c r="BE28" s="26">
        <f t="shared" si="275"/>
        <v>3.6499999999999968</v>
      </c>
      <c r="BF28" s="26">
        <f t="shared" si="275"/>
        <v>5.1099999999999994</v>
      </c>
      <c r="BG28" s="26">
        <f t="shared" si="275"/>
        <v>4.539999999999992</v>
      </c>
      <c r="BH28" s="26">
        <f t="shared" si="275"/>
        <v>3.8799999999999972</v>
      </c>
      <c r="BI28" s="26">
        <f t="shared" si="275"/>
        <v>1.1199999999999992</v>
      </c>
      <c r="BJ28" s="26">
        <f t="shared" si="275"/>
        <v>6.74</v>
      </c>
      <c r="BK28" s="26">
        <f t="shared" si="275"/>
        <v>3.4200000000000017</v>
      </c>
      <c r="BL28" s="26">
        <f t="shared" si="275"/>
        <v>4.9799999999999951</v>
      </c>
      <c r="BM28" s="26">
        <f t="shared" si="275"/>
        <v>3.34</v>
      </c>
      <c r="BN28" s="26">
        <f t="shared" si="275"/>
        <v>5.1200000000000028</v>
      </c>
      <c r="BO28" s="26">
        <f t="shared" ref="BO28:CT28" si="276">BO16-BO26</f>
        <v>4.620000000000001</v>
      </c>
      <c r="BP28" s="26">
        <f t="shared" si="276"/>
        <v>8.8099999999999969</v>
      </c>
      <c r="BQ28" s="26">
        <f t="shared" si="276"/>
        <v>8.61</v>
      </c>
      <c r="BR28" s="26">
        <f t="shared" si="276"/>
        <v>7.3800000000000026</v>
      </c>
      <c r="BS28" s="26">
        <f t="shared" si="276"/>
        <v>7.2800000000000047</v>
      </c>
      <c r="BT28" s="26">
        <f t="shared" si="276"/>
        <v>8.9499999999999993</v>
      </c>
      <c r="BU28" s="26">
        <f t="shared" si="276"/>
        <v>8.1400000000000041</v>
      </c>
      <c r="BV28" s="26">
        <f t="shared" si="276"/>
        <v>6.9300000000000033</v>
      </c>
      <c r="BW28" s="26">
        <f t="shared" si="276"/>
        <v>8.4699999999999935</v>
      </c>
      <c r="BX28" s="26">
        <f t="shared" si="276"/>
        <v>10.77000000000001</v>
      </c>
      <c r="BY28" s="26">
        <f t="shared" si="276"/>
        <v>4.590000000000007</v>
      </c>
      <c r="BZ28" s="26">
        <f t="shared" si="276"/>
        <v>7.3199999999999985</v>
      </c>
      <c r="CA28" s="26">
        <f t="shared" si="276"/>
        <v>8.67</v>
      </c>
      <c r="CB28" s="26">
        <f t="shared" si="276"/>
        <v>8.9300000000000086</v>
      </c>
      <c r="CC28" s="26">
        <f t="shared" si="276"/>
        <v>10.67</v>
      </c>
      <c r="CD28" s="26">
        <f t="shared" si="276"/>
        <v>12.160000000000004</v>
      </c>
      <c r="CE28" s="26">
        <f t="shared" si="276"/>
        <v>7.6999999999999904</v>
      </c>
      <c r="CF28" s="26">
        <f t="shared" si="276"/>
        <v>7.7499999999999964</v>
      </c>
      <c r="CG28" s="26">
        <f t="shared" si="276"/>
        <v>6.7900000000000063</v>
      </c>
      <c r="CH28" s="26">
        <f t="shared" si="276"/>
        <v>11.520000000000014</v>
      </c>
      <c r="CI28" s="26">
        <f t="shared" ref="CI28:CJ28" si="277">CI16-CI26</f>
        <v>12.620000000000005</v>
      </c>
      <c r="CJ28" s="26">
        <f t="shared" si="277"/>
        <v>14.020000000000014</v>
      </c>
      <c r="CK28" s="26">
        <f t="shared" ref="CK28:CL28" si="278">CK16-CK26</f>
        <v>9.0799999999999947</v>
      </c>
      <c r="CL28" s="26">
        <f t="shared" si="278"/>
        <v>16.500000000000007</v>
      </c>
      <c r="CM28" s="27">
        <f t="shared" si="276"/>
        <v>16.423665159001654</v>
      </c>
      <c r="CN28" s="27">
        <f t="shared" si="276"/>
        <v>17.048215062208207</v>
      </c>
      <c r="CO28" s="27">
        <f t="shared" si="276"/>
        <v>12.927489404771539</v>
      </c>
      <c r="CP28" s="27">
        <f t="shared" si="276"/>
        <v>15.723540981624595</v>
      </c>
      <c r="CQ28" s="27">
        <f t="shared" si="276"/>
        <v>19.628220366358811</v>
      </c>
      <c r="CR28" s="27">
        <f t="shared" si="276"/>
        <v>19.945007186676094</v>
      </c>
      <c r="CS28" s="27">
        <f t="shared" si="276"/>
        <v>14.981236719297172</v>
      </c>
      <c r="CT28" s="27">
        <f t="shared" si="276"/>
        <v>17.439906997318296</v>
      </c>
      <c r="CU28" s="27">
        <f t="shared" ref="CU28:DB28" si="279">CU16-CU26</f>
        <v>22.717905201128051</v>
      </c>
      <c r="CV28" s="27">
        <f t="shared" si="279"/>
        <v>22.902554324796448</v>
      </c>
      <c r="CW28" s="27">
        <f t="shared" si="279"/>
        <v>17.123877709225603</v>
      </c>
      <c r="CX28" s="27">
        <f t="shared" si="279"/>
        <v>19.866540496407922</v>
      </c>
      <c r="CY28" s="27">
        <f t="shared" si="279"/>
        <v>26.05570477885405</v>
      </c>
      <c r="CZ28" s="27">
        <f t="shared" si="279"/>
        <v>26.208087971874289</v>
      </c>
      <c r="DA28" s="27">
        <f t="shared" si="279"/>
        <v>19.578533295313406</v>
      </c>
      <c r="DB28" s="27">
        <f t="shared" si="279"/>
        <v>22.715962574242202</v>
      </c>
      <c r="DE28" s="121"/>
      <c r="DF28" s="26">
        <v>15.222639842843687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>
        <f t="shared" si="280"/>
        <v>5.4401319632186459E-2</v>
      </c>
      <c r="F29" s="166">
        <f t="shared" ref="F29:AE29" si="281">F28/F10</f>
        <v>6.3003835457523832E-2</v>
      </c>
      <c r="G29" s="166">
        <f t="shared" si="281"/>
        <v>0.10305266647177772</v>
      </c>
      <c r="H29" s="166">
        <f t="shared" si="281"/>
        <v>2.5441284170564921E-2</v>
      </c>
      <c r="I29" s="166">
        <f t="shared" si="281"/>
        <v>7.7027509824937515E-2</v>
      </c>
      <c r="J29" s="166">
        <f t="shared" si="281"/>
        <v>0.10355964467005083</v>
      </c>
      <c r="K29" s="166">
        <f t="shared" si="281"/>
        <v>0.13848636732188072</v>
      </c>
      <c r="L29" s="166">
        <f t="shared" si="281"/>
        <v>0.10138320468320967</v>
      </c>
      <c r="M29" s="166">
        <f t="shared" si="281"/>
        <v>8.1081052413858962E-2</v>
      </c>
      <c r="N29" s="166">
        <f t="shared" si="281"/>
        <v>7.9855993496725688E-2</v>
      </c>
      <c r="O29" s="166">
        <f t="shared" si="281"/>
        <v>8.1439554067451084E-2</v>
      </c>
      <c r="P29" s="166">
        <f t="shared" si="281"/>
        <v>1.8127733592144896E-2</v>
      </c>
      <c r="Q29" s="166">
        <f t="shared" si="281"/>
        <v>6.528281364513519E-2</v>
      </c>
      <c r="R29" s="166">
        <f t="shared" si="281"/>
        <v>4.3178334801655865E-2</v>
      </c>
      <c r="S29" s="166">
        <f t="shared" si="281"/>
        <v>8.4615137109603125E-2</v>
      </c>
      <c r="T29" s="166">
        <f t="shared" si="281"/>
        <v>8.5634380485953232E-2</v>
      </c>
      <c r="U29" s="166">
        <f t="shared" si="281"/>
        <v>9.4318230767616446E-2</v>
      </c>
      <c r="V29" s="166">
        <f t="shared" si="281"/>
        <v>0.14866870942361335</v>
      </c>
      <c r="W29" s="166">
        <f t="shared" si="281"/>
        <v>0.12802853393507155</v>
      </c>
      <c r="X29" s="166">
        <f t="shared" si="281"/>
        <v>0.1272998038895243</v>
      </c>
      <c r="Y29" s="166">
        <f t="shared" si="281"/>
        <v>0.14268669757501887</v>
      </c>
      <c r="Z29" s="166">
        <f t="shared" ref="Z29:AA29" si="282">Z28/Z10</f>
        <v>9.2334008028545078E-2</v>
      </c>
      <c r="AA29" s="166">
        <f t="shared" si="282"/>
        <v>0.11848099704045853</v>
      </c>
      <c r="AB29" s="167">
        <f t="shared" si="281"/>
        <v>0.12123378261018265</v>
      </c>
      <c r="AC29" s="167">
        <f t="shared" si="281"/>
        <v>0.12245238193738006</v>
      </c>
      <c r="AD29" s="167">
        <f t="shared" si="281"/>
        <v>0.12277502395244866</v>
      </c>
      <c r="AE29" s="167">
        <f t="shared" si="281"/>
        <v>0.12284268271512037</v>
      </c>
      <c r="AI29" s="166">
        <f t="shared" ref="AI29:BN29" si="283">AI28/AI10</f>
        <v>9.4619388175384705E-2</v>
      </c>
      <c r="AJ29" s="166">
        <f t="shared" si="283"/>
        <v>7.5329566854990621E-2</v>
      </c>
      <c r="AK29" s="166">
        <f t="shared" si="283"/>
        <v>4.0959867604468327E-2</v>
      </c>
      <c r="AL29" s="166">
        <f t="shared" si="283"/>
        <v>8.4913112164297075E-2</v>
      </c>
      <c r="AM29" s="166">
        <f t="shared" si="283"/>
        <v>5.3041954290210622E-2</v>
      </c>
      <c r="AN29" s="166">
        <f t="shared" si="283"/>
        <v>8.3650190114068476E-2</v>
      </c>
      <c r="AO29" s="166">
        <f t="shared" si="283"/>
        <v>0.12811693895098883</v>
      </c>
      <c r="AP29" s="166">
        <f t="shared" si="283"/>
        <v>5.9458720612356353E-2</v>
      </c>
      <c r="AQ29" s="166">
        <f t="shared" si="283"/>
        <v>5.2648683782905374E-2</v>
      </c>
      <c r="AR29" s="166">
        <f t="shared" si="283"/>
        <v>4.3267776096822884E-2</v>
      </c>
      <c r="AS29" s="166">
        <f t="shared" si="283"/>
        <v>-4.3178519593614108E-2</v>
      </c>
      <c r="AT29" s="166">
        <f t="shared" si="283"/>
        <v>1.1219688744118697E-2</v>
      </c>
      <c r="AU29" s="166">
        <f t="shared" si="283"/>
        <v>0.11484753491023075</v>
      </c>
      <c r="AV29" s="166">
        <f t="shared" si="283"/>
        <v>0.11672001969958143</v>
      </c>
      <c r="AW29" s="166">
        <f t="shared" si="283"/>
        <v>3.9565338534410743E-2</v>
      </c>
      <c r="AX29" s="166">
        <f t="shared" si="283"/>
        <v>-9.8343685300206329E-3</v>
      </c>
      <c r="AY29" s="166">
        <f t="shared" si="283"/>
        <v>3.4270047978067208E-2</v>
      </c>
      <c r="AZ29" s="166">
        <f t="shared" si="283"/>
        <v>9.7621681415929099E-2</v>
      </c>
      <c r="BA29" s="166">
        <f t="shared" si="283"/>
        <v>7.1736011477756061E-4</v>
      </c>
      <c r="BB29" s="166">
        <f t="shared" si="283"/>
        <v>1.7483321831147831E-2</v>
      </c>
      <c r="BC29" s="166">
        <f t="shared" si="283"/>
        <v>5.148690634709277E-2</v>
      </c>
      <c r="BD29" s="166">
        <f t="shared" si="283"/>
        <v>0.1023300504443911</v>
      </c>
      <c r="BE29" s="166">
        <f t="shared" si="283"/>
        <v>8.0698651337607716E-2</v>
      </c>
      <c r="BF29" s="166">
        <f t="shared" si="283"/>
        <v>0.10086853533359652</v>
      </c>
      <c r="BG29" s="166">
        <f t="shared" si="283"/>
        <v>9.1754244139045926E-2</v>
      </c>
      <c r="BH29" s="166">
        <f t="shared" si="283"/>
        <v>7.2604790419161624E-2</v>
      </c>
      <c r="BI29" s="166">
        <f t="shared" si="283"/>
        <v>2.888086642599276E-2</v>
      </c>
      <c r="BJ29" s="166">
        <f t="shared" si="283"/>
        <v>0.1404459262346322</v>
      </c>
      <c r="BK29" s="166">
        <f t="shared" si="283"/>
        <v>7.1863836940533762E-2</v>
      </c>
      <c r="BL29" s="166">
        <f t="shared" si="283"/>
        <v>0.1061154911570423</v>
      </c>
      <c r="BM29" s="166">
        <f t="shared" si="283"/>
        <v>7.99616949964089E-2</v>
      </c>
      <c r="BN29" s="166">
        <f t="shared" si="283"/>
        <v>0.11431123018530928</v>
      </c>
      <c r="BO29" s="166">
        <f t="shared" ref="BO29:CT29" si="284">BO28/BO10</f>
        <v>0.1187660668380463</v>
      </c>
      <c r="BP29" s="166">
        <f t="shared" si="284"/>
        <v>0.16290680473372776</v>
      </c>
      <c r="BQ29" s="166">
        <f t="shared" si="284"/>
        <v>0.15953307392996108</v>
      </c>
      <c r="BR29" s="166">
        <f t="shared" si="284"/>
        <v>0.14274661508704067</v>
      </c>
      <c r="BS29" s="166">
        <f t="shared" si="284"/>
        <v>0.12009237875288692</v>
      </c>
      <c r="BT29" s="166">
        <f t="shared" si="284"/>
        <v>0.15257415615410841</v>
      </c>
      <c r="BU29" s="166">
        <f t="shared" si="284"/>
        <v>0.14036902914295574</v>
      </c>
      <c r="BV29" s="166">
        <f t="shared" si="284"/>
        <v>0.10383578064129463</v>
      </c>
      <c r="BW29" s="166">
        <f t="shared" si="284"/>
        <v>0.13510926782580945</v>
      </c>
      <c r="BX29" s="166">
        <f t="shared" si="284"/>
        <v>0.16731396613329205</v>
      </c>
      <c r="BY29" s="166">
        <f t="shared" si="284"/>
        <v>8.957845433255282E-2</v>
      </c>
      <c r="BZ29" s="166">
        <f t="shared" si="284"/>
        <v>0.11014143845922358</v>
      </c>
      <c r="CA29" s="166">
        <f t="shared" si="284"/>
        <v>0.13002399520095978</v>
      </c>
      <c r="CB29" s="166">
        <f t="shared" si="284"/>
        <v>0.13534404364959091</v>
      </c>
      <c r="CC29" s="166">
        <f t="shared" si="284"/>
        <v>0.16367541033900906</v>
      </c>
      <c r="CD29" s="166">
        <f t="shared" si="284"/>
        <v>0.14217233719162872</v>
      </c>
      <c r="CE29" s="166">
        <f t="shared" si="284"/>
        <v>9.8768599281682801E-2</v>
      </c>
      <c r="CF29" s="166">
        <f t="shared" si="284"/>
        <v>8.3414056613927423E-2</v>
      </c>
      <c r="CG29" s="166">
        <f t="shared" si="284"/>
        <v>8.0250561399361847E-2</v>
      </c>
      <c r="CH29" s="166">
        <f t="shared" si="284"/>
        <v>0.10443296165352202</v>
      </c>
      <c r="CI29" s="166">
        <f t="shared" ref="CI29:CJ29" si="285">CI28/CI10</f>
        <v>0.11081840533895333</v>
      </c>
      <c r="CJ29" s="166">
        <f t="shared" si="285"/>
        <v>0.11454248366013083</v>
      </c>
      <c r="CK29" s="166">
        <f t="shared" ref="CK29:CL29" si="286">CK28/CK10</f>
        <v>9.5619208087615787E-2</v>
      </c>
      <c r="CL29" s="166">
        <f t="shared" si="286"/>
        <v>0.15045135406218663</v>
      </c>
      <c r="CM29" s="167">
        <f t="shared" si="284"/>
        <v>0.11785786278722162</v>
      </c>
      <c r="CN29" s="167">
        <f t="shared" si="284"/>
        <v>0.11961772714928869</v>
      </c>
      <c r="CO29" s="167">
        <f t="shared" si="284"/>
        <v>0.12088653802157819</v>
      </c>
      <c r="CP29" s="167">
        <f t="shared" si="284"/>
        <v>0.12720337050506883</v>
      </c>
      <c r="CQ29" s="167">
        <f t="shared" si="284"/>
        <v>0.1213913746157893</v>
      </c>
      <c r="CR29" s="167">
        <f t="shared" si="284"/>
        <v>0.12227475257293123</v>
      </c>
      <c r="CS29" s="167">
        <f t="shared" si="284"/>
        <v>0.12293900892884187</v>
      </c>
      <c r="CT29" s="167">
        <f t="shared" si="284"/>
        <v>0.12345212665565779</v>
      </c>
      <c r="CU29" s="167">
        <f t="shared" ref="CU29:DB29" si="287">CU28/CU10</f>
        <v>0.12251431569330502</v>
      </c>
      <c r="CV29" s="167">
        <f t="shared" si="287"/>
        <v>0.12279505096268398</v>
      </c>
      <c r="CW29" s="167">
        <f t="shared" si="287"/>
        <v>0.12292512556012221</v>
      </c>
      <c r="CX29" s="167">
        <f t="shared" si="287"/>
        <v>0.12292165471794231</v>
      </c>
      <c r="CY29" s="167">
        <f t="shared" si="287"/>
        <v>0.12278903673351337</v>
      </c>
      <c r="CZ29" s="167">
        <f t="shared" si="287"/>
        <v>0.12285771699356546</v>
      </c>
      <c r="DA29" s="167">
        <f t="shared" si="287"/>
        <v>0.12287338350128585</v>
      </c>
      <c r="DB29" s="167">
        <f t="shared" si="287"/>
        <v>0.12286044798657675</v>
      </c>
      <c r="DE29" s="169"/>
      <c r="DF29" s="168">
        <v>0.10635326468505549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>
        <f t="shared" ref="F30:Y30" si="289">+IF(E28&lt;0,1-F28/E28,F28/E28-1)</f>
        <v>-3.4570745117446622E-2</v>
      </c>
      <c r="G30" s="39">
        <f t="shared" si="289"/>
        <v>1.5627424337381179</v>
      </c>
      <c r="H30" s="39">
        <f t="shared" si="289"/>
        <v>-0.69782887329436938</v>
      </c>
      <c r="I30" s="39">
        <f t="shared" si="289"/>
        <v>2.7997885089883989</v>
      </c>
      <c r="J30" s="39">
        <f t="shared" si="289"/>
        <v>1.018676561533705</v>
      </c>
      <c r="K30" s="39">
        <f t="shared" si="289"/>
        <v>0.3682985111206416</v>
      </c>
      <c r="L30" s="39">
        <f t="shared" si="289"/>
        <v>-0.10177100125380845</v>
      </c>
      <c r="M30" s="39">
        <f t="shared" si="289"/>
        <v>-4.7297381507282577E-2</v>
      </c>
      <c r="N30" s="39">
        <f t="shared" si="289"/>
        <v>0.10003662907825706</v>
      </c>
      <c r="O30" s="39">
        <f t="shared" si="289"/>
        <v>0.29441425156679091</v>
      </c>
      <c r="P30" s="39">
        <f t="shared" si="289"/>
        <v>-0.80180254671738072</v>
      </c>
      <c r="Q30" s="39">
        <f t="shared" si="289"/>
        <v>3.5460992907801456</v>
      </c>
      <c r="R30" s="39">
        <f t="shared" si="289"/>
        <v>-0.27038022697378383</v>
      </c>
      <c r="S30" s="39">
        <f t="shared" si="289"/>
        <v>1.1683296998155241</v>
      </c>
      <c r="T30" s="39">
        <f t="shared" si="289"/>
        <v>4.6933106466352514E-2</v>
      </c>
      <c r="U30" s="39">
        <f t="shared" si="289"/>
        <v>5.1403911622209586E-2</v>
      </c>
      <c r="V30" s="39">
        <f t="shared" si="289"/>
        <v>0.72923900251187268</v>
      </c>
      <c r="W30" s="39">
        <f t="shared" si="289"/>
        <v>5.776491103323278E-2</v>
      </c>
      <c r="X30" s="39">
        <f t="shared" si="289"/>
        <v>-2.6120776580936811E-3</v>
      </c>
      <c r="Y30" s="39">
        <f t="shared" si="289"/>
        <v>0.29770940917070932</v>
      </c>
      <c r="Z30" s="39">
        <f t="shared" ref="Z30:AE30" si="290">+IF(Y28&lt;0,1-Z28/Y28,Z28/Y28-1)</f>
        <v>-0.16467864836189328</v>
      </c>
      <c r="AA30" s="39">
        <f t="shared" si="290"/>
        <v>0.5466864839098371</v>
      </c>
      <c r="AB30" s="40">
        <f t="shared" si="290"/>
        <v>0.18918737452298884</v>
      </c>
      <c r="AC30" s="40">
        <f t="shared" si="290"/>
        <v>0.15890209530581556</v>
      </c>
      <c r="AD30" s="40">
        <f t="shared" si="290"/>
        <v>0.1474630068251328</v>
      </c>
      <c r="AE30" s="40">
        <f t="shared" si="290"/>
        <v>0.14462273270535508</v>
      </c>
      <c r="AI30" s="39"/>
      <c r="AJ30" s="39"/>
      <c r="AK30" s="39"/>
      <c r="AL30" s="39"/>
      <c r="AM30" s="39">
        <f>+IF(AI28&lt;0,1-AM28/AI28,AM28/AI28-1)</f>
        <v>-0.41313810842896748</v>
      </c>
      <c r="AN30" s="39">
        <f t="shared" ref="AN30" si="291">+IF(AJ28&lt;0,1-AN28/AJ28,AN28/AJ28-1)</f>
        <v>0.42999999999999994</v>
      </c>
      <c r="AO30" s="39">
        <f t="shared" ref="AO30" si="292">+IF(AK28&lt;0,1-AO28/AK28,AO28/AK28-1)</f>
        <v>3.5151515151515191</v>
      </c>
      <c r="AP30" s="39">
        <f t="shared" ref="AP30" si="293">+IF(AL28&lt;0,1-AP28/AL28,AP28/AL28-1)</f>
        <v>-8.0338266384780699E-2</v>
      </c>
      <c r="AQ30" s="39">
        <f t="shared" ref="AQ30" si="294">+IF(AM28&lt;0,1-AQ28/AM28,AQ28/AM28-1)</f>
        <v>9.2380310182063274E-2</v>
      </c>
      <c r="AR30" s="39">
        <f t="shared" ref="AR30" si="295">+IF(AN28&lt;0,1-AR28/AN28,AR28/AN28-1)</f>
        <v>-0.50000000000000155</v>
      </c>
      <c r="AS30" s="39">
        <f t="shared" ref="AS30" si="296">+IF(AO28&lt;0,1-AS28/AO28,AS28/AO28-1)</f>
        <v>-1.2662192393736027</v>
      </c>
      <c r="AT30" s="39">
        <f t="shared" ref="AT30" si="297">+IF(AP28&lt;0,1-AT28/AP28,AT28/AP28-1)</f>
        <v>-0.85747126436781596</v>
      </c>
      <c r="AU30" s="39">
        <f t="shared" ref="AU30" si="298">+IF(AQ28&lt;0,1-AU28/AQ28,AU28/AQ28-1)</f>
        <v>1.4876543209876556</v>
      </c>
      <c r="AV30" s="39">
        <f t="shared" ref="AV30" si="299">+IF(AR28&lt;0,1-AV28/AR28,AV28/AR28-1)</f>
        <v>2.3146853146853248</v>
      </c>
      <c r="AW30" s="39">
        <f t="shared" ref="AW30" si="300">+IF(AS28&lt;0,1-AW28/AS28,AW28/AS28-1)</f>
        <v>2.1932773109243664</v>
      </c>
      <c r="AX30" s="39">
        <f t="shared" ref="AX30" si="301">+IF(AT28&lt;0,1-AX28/AT28,AX28/AT28-1)</f>
        <v>-2.2258064516128959</v>
      </c>
      <c r="AY30" s="39">
        <f t="shared" ref="AY30" si="302">+IF(AU28&lt;0,1-AY28/AU28,AY28/AU28-1)</f>
        <v>-0.62779156327543362</v>
      </c>
      <c r="AZ30" s="39">
        <f t="shared" ref="AZ30" si="303">+IF(AV28&lt;0,1-AZ28/AV28,AZ28/AV28-1)</f>
        <v>-0.25527426160337674</v>
      </c>
      <c r="BA30" s="39">
        <f t="shared" ref="BA30" si="304">+IF(AW28&lt;0,1-BA28/AW28,BA28/AW28-1)</f>
        <v>-0.97887323943662141</v>
      </c>
      <c r="BB30" s="39">
        <f t="shared" ref="BB30" si="305">+IF(AX28&lt;0,1-BB28/AX28,BB28/AX28-1)</f>
        <v>3.0000000000000049</v>
      </c>
      <c r="BC30" s="39">
        <f t="shared" ref="BC30" si="306">+IF(AY28&lt;0,1-BC28/AY28,BC28/AY28-1)</f>
        <v>0.54666666666666508</v>
      </c>
      <c r="BD30" s="39">
        <f t="shared" ref="BD30" si="307">+IF(AZ28&lt;0,1-BD28/AZ28,BD28/AZ28-1)</f>
        <v>0.20679886685552606</v>
      </c>
      <c r="BE30" s="39">
        <f t="shared" ref="BE30" si="308">+IF(BA28&lt;0,1-BE28/BA28,BE28/BA28-1)</f>
        <v>120.66666666667636</v>
      </c>
      <c r="BF30" s="39">
        <f t="shared" ref="BF30" si="309">+IF(BB28&lt;0,1-BF28/BB28,BF28/BB28-1)</f>
        <v>5.7236842105263488</v>
      </c>
      <c r="BG30" s="39">
        <f t="shared" ref="BG30" si="310">+IF(BC28&lt;0,1-BG28/BC28,BG28/BC28-1)</f>
        <v>0.95689655172413435</v>
      </c>
      <c r="BH30" s="39">
        <f t="shared" ref="BH30" si="311">+IF(BD28&lt;0,1-BH28/BD28,BH28/BD28-1)</f>
        <v>-8.9201877934273255E-2</v>
      </c>
      <c r="BI30" s="39">
        <f t="shared" ref="BI30" si="312">+IF(BE28&lt;0,1-BI28/BE28,BI28/BE28-1)</f>
        <v>-0.69315068493150678</v>
      </c>
      <c r="BJ30" s="39">
        <f t="shared" ref="BJ30" si="313">+IF(BF28&lt;0,1-BJ28/BF28,BJ28/BF28-1)</f>
        <v>0.31898238747553842</v>
      </c>
      <c r="BK30" s="39">
        <f t="shared" ref="BK30" si="314">+IF(BG28&lt;0,1-BK28/BG28,BK28/BG28-1)</f>
        <v>-0.246696035242289</v>
      </c>
      <c r="BL30" s="39">
        <f t="shared" ref="BL30" si="315">+IF(BH28&lt;0,1-BL28/BH28,BL28/BH28-1)</f>
        <v>0.28350515463917492</v>
      </c>
      <c r="BM30" s="39">
        <f t="shared" ref="BM30" si="316">+IF(BI28&lt;0,1-BM28/BI28,BM28/BI28-1)</f>
        <v>1.982142857142859</v>
      </c>
      <c r="BN30" s="39">
        <f t="shared" ref="BN30" si="317">+IF(BJ28&lt;0,1-BN28/BJ28,BN28/BJ28-1)</f>
        <v>-0.24035608308605305</v>
      </c>
      <c r="BO30" s="39">
        <f t="shared" ref="BO30" si="318">+IF(BK28&lt;0,1-BO28/BK28,BO28/BK28-1)</f>
        <v>0.35087719298245568</v>
      </c>
      <c r="BP30" s="39">
        <f t="shared" ref="BP30" si="319">+IF(BL28&lt;0,1-BP28/BL28,BP28/BL28-1)</f>
        <v>0.76907630522088466</v>
      </c>
      <c r="BQ30" s="39">
        <f t="shared" ref="BQ30" si="320">+IF(BM28&lt;0,1-BQ28/BM28,BQ28/BM28-1)</f>
        <v>1.5778443113772456</v>
      </c>
      <c r="BR30" s="39">
        <f t="shared" ref="BR30" si="321">+IF(BN28&lt;0,1-BR28/BN28,BR28/BN28-1)</f>
        <v>0.44140624999999978</v>
      </c>
      <c r="BS30" s="39">
        <f t="shared" ref="BS30" si="322">+IF(BO28&lt;0,1-BS28/BO28,BS28/BO28-1)</f>
        <v>0.57575757575757636</v>
      </c>
      <c r="BT30" s="39">
        <f t="shared" ref="BT30" si="323">+IF(BP28&lt;0,1-BT28/BP28,BT28/BP28-1)</f>
        <v>1.589103291713978E-2</v>
      </c>
      <c r="BU30" s="39">
        <f t="shared" ref="BU30" si="324">+IF(BQ28&lt;0,1-BU28/BQ28,BU28/BQ28-1)</f>
        <v>-5.4587688734029638E-2</v>
      </c>
      <c r="BV30" s="39">
        <f t="shared" ref="BV30" si="325">+IF(BR28&lt;0,1-BV28/BR28,BV28/BR28-1)</f>
        <v>-6.0975609756097393E-2</v>
      </c>
      <c r="BW30" s="39">
        <f t="shared" ref="BW30" si="326">+IF(BS28&lt;0,1-BW28/BS28,BW28/BS28-1)</f>
        <v>0.16346153846153677</v>
      </c>
      <c r="BX30" s="39">
        <f t="shared" ref="BX30" si="327">+IF(BT28&lt;0,1-BX28/BT28,BX28/BT28-1)</f>
        <v>0.2033519553072638</v>
      </c>
      <c r="BY30" s="39">
        <f t="shared" ref="BY30" si="328">+IF(BU28&lt;0,1-BY28/BU28,BY28/BU28-1)</f>
        <v>-0.43611793611793559</v>
      </c>
      <c r="BZ30" s="39">
        <f t="shared" ref="BZ30" si="329">+IF(BV28&lt;0,1-BZ28/BV28,BZ28/BV28-1)</f>
        <v>5.6277056277055593E-2</v>
      </c>
      <c r="CA30" s="39">
        <f t="shared" ref="CA30" si="330">+IF(BW28&lt;0,1-CA28/BW28,CA28/BW28-1)</f>
        <v>2.3612750885478873E-2</v>
      </c>
      <c r="CB30" s="39">
        <f t="shared" ref="CB30" si="331">+IF(BX28&lt;0,1-CB28/BX28,CB28/BX28-1)</f>
        <v>-0.17084493964716807</v>
      </c>
      <c r="CC30" s="39">
        <f t="shared" ref="CC30" si="332">+IF(BY28&lt;0,1-CC28/BY28,CC28/BY28-1)</f>
        <v>1.3246187363834387</v>
      </c>
      <c r="CD30" s="39">
        <f t="shared" ref="CD30" si="333">+IF(BZ28&lt;0,1-CD28/BZ28,CD28/BZ28-1)</f>
        <v>0.66120218579235046</v>
      </c>
      <c r="CE30" s="39">
        <f t="shared" ref="CE30" si="334">+IF(CA28&lt;0,1-CE28/CA28,CE28/CA28-1)</f>
        <v>-0.11188004613610258</v>
      </c>
      <c r="CF30" s="39">
        <f t="shared" ref="CF30" si="335">+IF(CB28&lt;0,1-CF28/CB28,CF28/CB28-1)</f>
        <v>-0.13213885778275603</v>
      </c>
      <c r="CG30" s="39">
        <f t="shared" ref="CG30" si="336">+IF(CC28&lt;0,1-CG28/CC28,CG28/CC28-1)</f>
        <v>-0.36363636363636309</v>
      </c>
      <c r="CH30" s="39">
        <f t="shared" ref="CH30:CL30" si="337">+IF(CD28&lt;0,1-CH28/CD28,CH28/CD28-1)</f>
        <v>-5.2631578947367585E-2</v>
      </c>
      <c r="CI30" s="39">
        <f t="shared" si="337"/>
        <v>0.63896103896104162</v>
      </c>
      <c r="CJ30" s="39">
        <f t="shared" si="337"/>
        <v>0.80903225806451884</v>
      </c>
      <c r="CK30" s="39">
        <f t="shared" si="337"/>
        <v>0.33726067746686095</v>
      </c>
      <c r="CL30" s="39">
        <f t="shared" si="337"/>
        <v>0.43229166666666563</v>
      </c>
      <c r="CM30" s="40">
        <f t="shared" ref="CM30" si="338">+CM28/CI28-1</f>
        <v>0.30139977488127156</v>
      </c>
      <c r="CN30" s="40">
        <f t="shared" ref="CN30" si="339">+CN28/CJ28-1</f>
        <v>0.21599251513610485</v>
      </c>
      <c r="CO30" s="40">
        <f t="shared" ref="CO30" si="340">+CO28/CK28-1</f>
        <v>0.42373231330083105</v>
      </c>
      <c r="CP30" s="40">
        <f t="shared" ref="CP30" si="341">+CP28/CL28-1</f>
        <v>-4.7058122325782548E-2</v>
      </c>
      <c r="CQ30" s="40">
        <f t="shared" ref="CQ30" si="342">+CQ28/CM28-1</f>
        <v>0.19511815275902467</v>
      </c>
      <c r="CR30" s="40">
        <f t="shared" ref="CR30" si="343">+CR28/CN28-1</f>
        <v>0.16991761975653263</v>
      </c>
      <c r="CS30" s="40">
        <f t="shared" ref="CS30" si="344">+CS28/CO28-1</f>
        <v>0.15886667938537191</v>
      </c>
      <c r="CT30" s="40">
        <f t="shared" ref="CT30" si="345">+CT28/CP28-1</f>
        <v>0.10915900036127635</v>
      </c>
      <c r="CU30" s="40">
        <f t="shared" ref="CU30" si="346">+CU28/CQ28-1</f>
        <v>0.15741033965894902</v>
      </c>
      <c r="CV30" s="40">
        <f t="shared" ref="CV30" si="347">+CV28/CR28-1</f>
        <v>0.14828508761310899</v>
      </c>
      <c r="CW30" s="40">
        <f t="shared" ref="CW30" si="348">+CW28/CS28-1</f>
        <v>0.14302163633583853</v>
      </c>
      <c r="CX30" s="40">
        <f t="shared" ref="CX30" si="349">+CX28/CT28-1</f>
        <v>0.13914257108496986</v>
      </c>
      <c r="CY30" s="40">
        <f t="shared" ref="CY30" si="350">+CY28/CU28-1</f>
        <v>0.14692373914652412</v>
      </c>
      <c r="CZ30" s="40">
        <f t="shared" ref="CZ30" si="351">+CZ28/CV28-1</f>
        <v>0.14433034849300452</v>
      </c>
      <c r="DA30" s="40">
        <f t="shared" ref="DA30" si="352">+DA28/CW28-1</f>
        <v>0.14334694674707582</v>
      </c>
      <c r="DB30" s="40">
        <f t="shared" ref="DB30" si="353">+DB28/CX28-1</f>
        <v>0.14342819668827023</v>
      </c>
      <c r="DE30" s="122"/>
      <c r="DF30" s="38">
        <v>0.3214097085801797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-0.20854768500197807</v>
      </c>
      <c r="AK31" s="39">
        <f t="shared" ref="AK31:AM31" si="354">+IF(AJ28&lt;0,1-AK28/AJ28,AK28/AJ28-1)</f>
        <v>-0.50500000000000056</v>
      </c>
      <c r="AL31" s="39">
        <f t="shared" si="354"/>
        <v>1.3888888888888924</v>
      </c>
      <c r="AM31" s="39">
        <f t="shared" si="354"/>
        <v>-0.37293868921776008</v>
      </c>
      <c r="AN31" s="39">
        <f t="shared" ref="AN31" si="355">+IF(AM28&lt;0,1-AN28/AM28,AN28/AM28-1)</f>
        <v>0.92852326365475624</v>
      </c>
      <c r="AO31" s="39">
        <f t="shared" ref="AO31" si="356">+IF(AN28&lt;0,1-AO28/AN28,AO28/AN28-1)</f>
        <v>0.56293706293706247</v>
      </c>
      <c r="AP31" s="39">
        <f t="shared" ref="AP31" si="357">+IF(AO28&lt;0,1-AP28/AO28,AP28/AO28-1)</f>
        <v>-0.5134228187919474</v>
      </c>
      <c r="AQ31" s="39">
        <f t="shared" ref="AQ31" si="358">+IF(AP28&lt;0,1-AQ28/AP28,AQ28/AP28-1)</f>
        <v>-0.25517241379310263</v>
      </c>
      <c r="AR31" s="39">
        <f t="shared" ref="AR31" si="359">+IF(AQ28&lt;0,1-AR28/AQ28,AR28/AQ28-1)</f>
        <v>-0.11728395061728536</v>
      </c>
      <c r="AS31" s="39">
        <f t="shared" ref="AS31" si="360">+IF(AR28&lt;0,1-AS28/AR28,AS28/AR28-1)</f>
        <v>-1.8321678321678379</v>
      </c>
      <c r="AT31" s="39">
        <f t="shared" ref="AT31" si="361">+IF(AS28&lt;0,1-AT28/AS28,AT28/AS28-1)</f>
        <v>1.2605042016806709</v>
      </c>
      <c r="AU31" s="39">
        <f t="shared" ref="AU31" si="362">+IF(AT28&lt;0,1-AU28/AT28,AU28/AT28-1)</f>
        <v>12.000000000000009</v>
      </c>
      <c r="AV31" s="39">
        <f t="shared" ref="AV31" si="363">+IF(AU28&lt;0,1-AV28/AU28,AV28/AU28-1)</f>
        <v>0.1761786600496289</v>
      </c>
      <c r="AW31" s="39">
        <f t="shared" ref="AW31" si="364">+IF(AV28&lt;0,1-AW28/AV28,AW28/AV28-1)</f>
        <v>-0.70042194092826981</v>
      </c>
      <c r="AX31" s="39">
        <f t="shared" ref="AX31" si="365">+IF(AW28&lt;0,1-AX28/AW28,AX28/AW28-1)</f>
        <v>-1.2676056338028145</v>
      </c>
      <c r="AY31" s="39">
        <f t="shared" ref="AY31" si="366">+IF(AX28&lt;0,1-AY28/AX28,AY28/AX28-1)</f>
        <v>4.9473684210526656</v>
      </c>
      <c r="AZ31" s="39">
        <f t="shared" ref="AZ31" si="367">+IF(AY28&lt;0,1-AZ28/AY28,AZ28/AY28-1)</f>
        <v>1.3533333333333277</v>
      </c>
      <c r="BA31" s="39">
        <f t="shared" ref="BA31" si="368">+IF(AZ28&lt;0,1-BA28/AZ28,BA28/AZ28-1)</f>
        <v>-0.99150141643059553</v>
      </c>
      <c r="BB31" s="39">
        <f t="shared" ref="BB31" si="369">+IF(BA28&lt;0,1-BB28/BA28,BB28/BA28-1)</f>
        <v>24.333333333335247</v>
      </c>
      <c r="BC31" s="39">
        <f t="shared" ref="BC31" si="370">+IF(BB28&lt;0,1-BC28/BB28,BC28/BB28-1)</f>
        <v>2.0526315789473841</v>
      </c>
      <c r="BD31" s="39">
        <f t="shared" ref="BD31" si="371">+IF(BC28&lt;0,1-BD28/BC28,BD28/BC28-1)</f>
        <v>0.83620689655172464</v>
      </c>
      <c r="BE31" s="39">
        <f t="shared" ref="BE31" si="372">+IF(BD28&lt;0,1-BE28/BD28,BE28/BD28-1)</f>
        <v>-0.14319248826291187</v>
      </c>
      <c r="BF31" s="39">
        <f t="shared" ref="BF31" si="373">+IF(BE28&lt;0,1-BF28/BE28,BF28/BE28-1)</f>
        <v>0.40000000000000102</v>
      </c>
      <c r="BG31" s="39">
        <f t="shared" ref="BG31" si="374">+IF(BF28&lt;0,1-BG28/BF28,BG28/BF28-1)</f>
        <v>-0.11154598825831852</v>
      </c>
      <c r="BH31" s="39">
        <f t="shared" ref="BH31" si="375">+IF(BG28&lt;0,1-BH28/BG28,BH28/BG28-1)</f>
        <v>-0.14537444933920618</v>
      </c>
      <c r="BI31" s="39">
        <f t="shared" ref="BI31" si="376">+IF(BH28&lt;0,1-BI28/BH28,BI28/BH28-1)</f>
        <v>-0.71134020618556693</v>
      </c>
      <c r="BJ31" s="39">
        <f t="shared" ref="BJ31" si="377">+IF(BI28&lt;0,1-BJ28/BI28,BJ28/BI28-1)</f>
        <v>5.0178571428571477</v>
      </c>
      <c r="BK31" s="39">
        <f t="shared" ref="BK31" si="378">+IF(BJ28&lt;0,1-BK28/BJ28,BK28/BJ28-1)</f>
        <v>-0.49258160237388704</v>
      </c>
      <c r="BL31" s="39">
        <f t="shared" ref="BL31" si="379">+IF(BK28&lt;0,1-BL28/BK28,BL28/BK28-1)</f>
        <v>0.45614035087719085</v>
      </c>
      <c r="BM31" s="39">
        <f t="shared" ref="BM31" si="380">+IF(BL28&lt;0,1-BM28/BL28,BM28/BL28-1)</f>
        <v>-0.32931726907630454</v>
      </c>
      <c r="BN31" s="39">
        <f t="shared" ref="BN31" si="381">+IF(BM28&lt;0,1-BN28/BM28,BN28/BM28-1)</f>
        <v>0.53293413173652793</v>
      </c>
      <c r="BO31" s="39">
        <f t="shared" ref="BO31" si="382">+IF(BN28&lt;0,1-BO28/BN28,BO28/BN28-1)</f>
        <v>-9.7656250000000333E-2</v>
      </c>
      <c r="BP31" s="39">
        <f t="shared" ref="BP31" si="383">+IF(BO28&lt;0,1-BP28/BO28,BP28/BO28-1)</f>
        <v>0.9069264069264058</v>
      </c>
      <c r="BQ31" s="39">
        <f t="shared" ref="BQ31" si="384">+IF(BP28&lt;0,1-BQ28/BP28,BQ28/BP28-1)</f>
        <v>-2.2701475595913512E-2</v>
      </c>
      <c r="BR31" s="39">
        <f t="shared" ref="BR31" si="385">+IF(BQ28&lt;0,1-BR28/BQ28,BR28/BQ28-1)</f>
        <v>-0.14285714285714246</v>
      </c>
      <c r="BS31" s="39">
        <f t="shared" ref="BS31" si="386">+IF(BR28&lt;0,1-BS28/BR28,BS28/BR28-1)</f>
        <v>-1.3550135501354754E-2</v>
      </c>
      <c r="BT31" s="39">
        <f t="shared" ref="BT31" si="387">+IF(BS28&lt;0,1-BT28/BS28,BT28/BS28-1)</f>
        <v>0.22939560439560358</v>
      </c>
      <c r="BU31" s="39">
        <f t="shared" ref="BU31" si="388">+IF(BT28&lt;0,1-BU28/BT28,BU28/BT28-1)</f>
        <v>-9.0502793296088901E-2</v>
      </c>
      <c r="BV31" s="39">
        <f t="shared" ref="BV31" si="389">+IF(BU28&lt;0,1-BV28/BU28,BV28/BU28-1)</f>
        <v>-0.14864864864864868</v>
      </c>
      <c r="BW31" s="39">
        <f t="shared" ref="BW31" si="390">+IF(BV28&lt;0,1-BW28/BV28,BW28/BV28-1)</f>
        <v>0.22222222222222077</v>
      </c>
      <c r="BX31" s="39">
        <f t="shared" ref="BX31" si="391">+IF(BW28&lt;0,1-BX28/BW28,BX28/BW28-1)</f>
        <v>0.27154663518300093</v>
      </c>
      <c r="BY31" s="39">
        <f t="shared" ref="BY31" si="392">+IF(BX28&lt;0,1-BY28/BX28,BY28/BX28-1)</f>
        <v>-0.57381615598885771</v>
      </c>
      <c r="BZ31" s="39">
        <f t="shared" ref="BZ31" si="393">+IF(BY28&lt;0,1-BZ28/BY28,BZ28/BY28-1)</f>
        <v>0.59477124183006258</v>
      </c>
      <c r="CA31" s="39">
        <f t="shared" ref="CA31" si="394">+IF(BZ28&lt;0,1-CA28/BZ28,CA28/BZ28-1)</f>
        <v>0.18442622950819687</v>
      </c>
      <c r="CB31" s="39">
        <f t="shared" ref="CB31" si="395">+IF(CA28&lt;0,1-CB28/CA28,CB28/CA28-1)</f>
        <v>2.9988465974626122E-2</v>
      </c>
      <c r="CC31" s="39">
        <f t="shared" ref="CC31" si="396">+IF(CB28&lt;0,1-CC28/CB28,CC28/CB28-1)</f>
        <v>0.19484882418812877</v>
      </c>
      <c r="CD31" s="39">
        <f t="shared" ref="CD31" si="397">+IF(CC28&lt;0,1-CD28/CC28,CD28/CC28-1)</f>
        <v>0.13964386129334616</v>
      </c>
      <c r="CE31" s="39">
        <f t="shared" ref="CE31" si="398">+IF(CD28&lt;0,1-CE28/CD28,CE28/CD28-1)</f>
        <v>-0.36677631578947467</v>
      </c>
      <c r="CF31" s="39">
        <f t="shared" ref="CF31" si="399">+IF(CE28&lt;0,1-CF28/CE28,CF28/CE28-1)</f>
        <v>6.4935064935072173E-3</v>
      </c>
      <c r="CG31" s="39">
        <f t="shared" ref="CG31" si="400">+IF(CF28&lt;0,1-CG28/CF28,CG28/CF28-1)</f>
        <v>-0.12387096774193429</v>
      </c>
      <c r="CH31" s="39">
        <f t="shared" ref="CH31:CI31" si="401">+IF(CG28&lt;0,1-CH28/CG28,CH28/CG28-1)</f>
        <v>0.69661266568483104</v>
      </c>
      <c r="CI31" s="39">
        <f t="shared" si="401"/>
        <v>9.5486111111110272E-2</v>
      </c>
      <c r="CJ31" s="39">
        <f>+IF(CI28&gt;1,CJ28/CI28-1,1-CJ28/CI28)</f>
        <v>0.11093502377179143</v>
      </c>
      <c r="CK31" s="39">
        <f>+IF(CJ28&gt;1,CK28/CJ28-1,1-CK28/CJ28)</f>
        <v>-0.35235378031383835</v>
      </c>
      <c r="CL31" s="39">
        <f>+IF(CK28&gt;1,CL28/CK28-1,1-CL28/CK28)</f>
        <v>0.8171806167400899</v>
      </c>
      <c r="CM31" s="40">
        <f t="shared" ref="CM31" si="402">+CM28/CL28-1</f>
        <v>-4.6263539999001901E-3</v>
      </c>
      <c r="CN31" s="40">
        <f t="shared" ref="CN31" si="403">+CN28/CM28-1</f>
        <v>3.8027437673632924E-2</v>
      </c>
      <c r="CO31" s="40">
        <f t="shared" ref="CO31" si="404">+CO28/CN28-1</f>
        <v>-0.24171009354353623</v>
      </c>
      <c r="CP31" s="40">
        <f t="shared" ref="CP31" si="405">+CP28/CO28-1</f>
        <v>0.21628728435244615</v>
      </c>
      <c r="CQ31" s="40">
        <f t="shared" ref="CQ31" si="406">+CQ28/CP28-1</f>
        <v>0.24833333593860574</v>
      </c>
      <c r="CR31" s="40">
        <f t="shared" ref="CR31" si="407">+CR28/CQ28-1</f>
        <v>1.6139355193924176E-2</v>
      </c>
      <c r="CS31" s="40">
        <f t="shared" ref="CS31" si="408">+CS28/CR28-1</f>
        <v>-0.24887283423466899</v>
      </c>
      <c r="CT31" s="40">
        <f t="shared" ref="CT31" si="409">+CT28/CS28-1</f>
        <v>0.16411664297742101</v>
      </c>
      <c r="CU31" s="40">
        <f t="shared" ref="CU31" si="410">+CU28/CT28-1</f>
        <v>0.30263912557683614</v>
      </c>
      <c r="CV31" s="40">
        <f t="shared" ref="CV31" si="411">+CV28/CU28-1</f>
        <v>8.1279115320556095E-3</v>
      </c>
      <c r="CW31" s="40">
        <f t="shared" ref="CW31" si="412">+CW28/CV28-1</f>
        <v>-0.25231581305821027</v>
      </c>
      <c r="CX31" s="40">
        <f t="shared" ref="CX31" si="413">+CX28/CW28-1</f>
        <v>0.16016598773680157</v>
      </c>
      <c r="CY31" s="40">
        <f t="shared" ref="CY31" si="414">+CY28/CX28-1</f>
        <v>0.31153709341418523</v>
      </c>
      <c r="CZ31" s="40">
        <f t="shared" ref="CZ31" si="415">+CZ28/CY28-1</f>
        <v>5.8483619734557291E-3</v>
      </c>
      <c r="DA31" s="40">
        <f t="shared" ref="DA31" si="416">+DA28/CZ28-1</f>
        <v>-0.25295834948644547</v>
      </c>
      <c r="DB31" s="40">
        <f t="shared" ref="DB31" si="417">+DB28/DA28-1</f>
        <v>0.16024843289358226</v>
      </c>
      <c r="DE31" s="122"/>
      <c r="DF31" s="38">
        <v>0.67650218533520889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1.0659175999999999</v>
      </c>
      <c r="F32" s="23">
        <f>'Annual Raw'!G27</f>
        <v>0.85072110000000001</v>
      </c>
      <c r="G32" s="23">
        <f>'Annual Raw'!H27</f>
        <v>0.924404</v>
      </c>
      <c r="H32" s="23">
        <f>'Annual Raw'!I27</f>
        <v>1.1910000000000001</v>
      </c>
      <c r="I32" s="23">
        <f>'Annual Raw'!J27</f>
        <v>1.3940999999999999</v>
      </c>
      <c r="J32" s="23">
        <f>'Annual Raw'!K27</f>
        <v>1.5287999999999999</v>
      </c>
      <c r="K32" s="23">
        <f>'Annual Raw'!L27</f>
        <v>1.8113999999999999</v>
      </c>
      <c r="L32" s="23">
        <f>'Annual Raw'!M27</f>
        <v>1.9352</v>
      </c>
      <c r="M32" s="23">
        <f>'Annual Raw'!N27</f>
        <v>2.2389000000000001</v>
      </c>
      <c r="N32" s="23">
        <f>'Annual Raw'!O27</f>
        <v>2.4817</v>
      </c>
      <c r="O32" s="23">
        <f>'Annual Raw'!P27</f>
        <v>2.3012999999999999</v>
      </c>
      <c r="P32" s="23">
        <f>'Annual Raw'!Q27</f>
        <v>3.2656000000000001</v>
      </c>
      <c r="Q32" s="23">
        <f>'Annual Raw'!R27</f>
        <v>5.4836</v>
      </c>
      <c r="R32" s="23">
        <f>'Annual Raw'!S27</f>
        <v>5.9843999999999999</v>
      </c>
      <c r="S32" s="23">
        <f>'Annual Raw'!T27</f>
        <v>5.9649000000000001</v>
      </c>
      <c r="T32" s="23">
        <f>'Annual Raw'!U27</f>
        <v>5.8619000000000003</v>
      </c>
      <c r="U32" s="23">
        <f>'Annual Raw'!V27</f>
        <v>6.0895999999999999</v>
      </c>
      <c r="V32" s="23">
        <f>'Annual Raw'!W27</f>
        <v>5.7994000000000003</v>
      </c>
      <c r="W32" s="23">
        <f>'Annual Raw'!X27</f>
        <v>5.8056999999999999</v>
      </c>
      <c r="X32" s="23">
        <f>'Annual Raw'!Y27</f>
        <v>6.4493999999999998</v>
      </c>
      <c r="Y32" s="23">
        <f>'Annual Raw'!Z27</f>
        <v>7.3800999999999997</v>
      </c>
      <c r="Z32" s="23">
        <f>'Annual Raw'!AA27</f>
        <v>9.7673000000000005</v>
      </c>
      <c r="AA32" s="23">
        <f>'Annual Raw'!AB27</f>
        <v>10.713200000000001</v>
      </c>
      <c r="AB32" s="76">
        <f>+SUM(CM32:CP32)</f>
        <v>13.377454545454546</v>
      </c>
      <c r="AC32" s="76">
        <f>+SUM(CQ32:CT32)</f>
        <v>13.377454545454546</v>
      </c>
      <c r="AD32" s="76">
        <f>+SUM(CU32:CX32)</f>
        <v>13.377454545454546</v>
      </c>
      <c r="AE32" s="76">
        <f>+SUM(CY32:DB32)</f>
        <v>13.377454545454546</v>
      </c>
      <c r="AI32" s="23">
        <f>'QTR Raw'!C28</f>
        <v>0.61799999999999999</v>
      </c>
      <c r="AJ32" s="23">
        <f>'QTR Raw'!D28</f>
        <v>0.64</v>
      </c>
      <c r="AK32" s="23">
        <f>'QTR Raw'!E28</f>
        <v>0.61</v>
      </c>
      <c r="AL32" s="23">
        <f>'QTR Raw'!F28</f>
        <v>0.61699999999999999</v>
      </c>
      <c r="AM32" s="23">
        <f>'QTR Raw'!G28</f>
        <v>0.70399999999999996</v>
      </c>
      <c r="AN32" s="23">
        <f>'QTR Raw'!H28</f>
        <v>0.71</v>
      </c>
      <c r="AO32" s="23">
        <f>'QTR Raw'!I28</f>
        <v>0.73</v>
      </c>
      <c r="AP32" s="23">
        <f>'QTR Raw'!J28</f>
        <v>0.16</v>
      </c>
      <c r="AQ32" s="23">
        <f>'QTR Raw'!K28</f>
        <v>0.66</v>
      </c>
      <c r="AR32" s="23">
        <f>'QTR Raw'!L28</f>
        <v>0.96</v>
      </c>
      <c r="AS32" s="23">
        <f>'QTR Raw'!M28</f>
        <v>0.83</v>
      </c>
      <c r="AT32" s="23">
        <f>'QTR Raw'!N28</f>
        <v>0.82</v>
      </c>
      <c r="AU32" s="23">
        <f>'QTR Raw'!O28</f>
        <v>1.21</v>
      </c>
      <c r="AV32" s="23">
        <f>'QTR Raw'!P28</f>
        <v>1.39</v>
      </c>
      <c r="AW32" s="23">
        <f>'QTR Raw'!Q28</f>
        <v>1.27</v>
      </c>
      <c r="AX32" s="23">
        <f>'QTR Raw'!R28</f>
        <v>1.61</v>
      </c>
      <c r="AY32" s="23">
        <f>'QTR Raw'!S28</f>
        <v>1.53</v>
      </c>
      <c r="AZ32" s="23">
        <f>'QTR Raw'!T28</f>
        <v>1.5</v>
      </c>
      <c r="BA32" s="23">
        <f>'QTR Raw'!U28</f>
        <v>1.48</v>
      </c>
      <c r="BB32" s="23">
        <f>'QTR Raw'!V28</f>
        <v>1.48</v>
      </c>
      <c r="BC32" s="23">
        <f>'QTR Raw'!W28</f>
        <v>1.47</v>
      </c>
      <c r="BD32" s="23">
        <f>'QTR Raw'!X28</f>
        <v>1.51</v>
      </c>
      <c r="BE32" s="23">
        <f>'QTR Raw'!Y28</f>
        <v>1.5</v>
      </c>
      <c r="BF32" s="23">
        <f>'QTR Raw'!Z28</f>
        <v>1.48</v>
      </c>
      <c r="BG32" s="23">
        <f>'QTR Raw'!AA28</f>
        <v>1.47</v>
      </c>
      <c r="BH32" s="23">
        <f>'QTR Raw'!AB28</f>
        <v>1.49</v>
      </c>
      <c r="BI32" s="23">
        <f>'QTR Raw'!AC28</f>
        <v>1.46</v>
      </c>
      <c r="BJ32" s="23">
        <f>'QTR Raw'!AD28</f>
        <v>1.44</v>
      </c>
      <c r="BK32" s="23">
        <f>'QTR Raw'!AE28</f>
        <v>1.43</v>
      </c>
      <c r="BL32" s="23">
        <f>'QTR Raw'!AF28</f>
        <v>1.44</v>
      </c>
      <c r="BM32" s="23">
        <f>'QTR Raw'!AG28</f>
        <v>1.55</v>
      </c>
      <c r="BN32" s="23">
        <f>'QTR Raw'!AH28</f>
        <v>1.67</v>
      </c>
      <c r="BO32" s="23">
        <f>'QTR Raw'!AI28</f>
        <v>1.45</v>
      </c>
      <c r="BP32" s="23">
        <f>'QTR Raw'!AJ28</f>
        <v>1.46</v>
      </c>
      <c r="BQ32" s="23">
        <f>'QTR Raw'!AK28</f>
        <v>1.46</v>
      </c>
      <c r="BR32" s="23">
        <f>'QTR Raw'!AL28</f>
        <v>1.42</v>
      </c>
      <c r="BS32" s="23">
        <f>'QTR Raw'!AM28</f>
        <v>1.44</v>
      </c>
      <c r="BT32" s="23">
        <f>'QTR Raw'!AN28</f>
        <v>1.43</v>
      </c>
      <c r="BU32" s="23">
        <f>'QTR Raw'!AO28</f>
        <v>1.43</v>
      </c>
      <c r="BV32" s="23">
        <f>'QTR Raw'!AP28</f>
        <v>1.51</v>
      </c>
      <c r="BW32" s="23">
        <f>'QTR Raw'!AQ28</f>
        <v>1.52</v>
      </c>
      <c r="BX32" s="23">
        <f>'QTR Raw'!AR28</f>
        <v>1.72</v>
      </c>
      <c r="BY32" s="23">
        <f>'QTR Raw'!AS28</f>
        <v>1.57</v>
      </c>
      <c r="BZ32" s="23">
        <f>'QTR Raw'!AT28</f>
        <v>1.64</v>
      </c>
      <c r="CA32" s="23">
        <f>'QTR Raw'!AU28</f>
        <v>1.83</v>
      </c>
      <c r="CB32" s="23">
        <f>'QTR Raw'!AV28</f>
        <v>1.85</v>
      </c>
      <c r="CC32" s="23">
        <f>'QTR Raw'!AW28</f>
        <v>1.86</v>
      </c>
      <c r="CD32" s="23">
        <f>'QTR Raw'!AX28</f>
        <v>1.84</v>
      </c>
      <c r="CE32" s="23">
        <f>'QTR Raw'!AY28</f>
        <v>2.17</v>
      </c>
      <c r="CF32" s="23">
        <f>'QTR Raw'!AZ28</f>
        <v>2.54</v>
      </c>
      <c r="CG32" s="23">
        <f>'QTR Raw'!BA28</f>
        <v>2.54</v>
      </c>
      <c r="CH32" s="23">
        <f>'QTR Raw'!BB28</f>
        <v>2.52</v>
      </c>
      <c r="CI32" s="23">
        <f>'QTR Raw'!BC28</f>
        <v>2.65</v>
      </c>
      <c r="CJ32" s="23">
        <f>'QTR Raw'!BD28</f>
        <v>2.65</v>
      </c>
      <c r="CK32" s="23">
        <f>'QTR Raw'!BE28</f>
        <v>2.69</v>
      </c>
      <c r="CL32" s="23">
        <f>'QTR Raw'!BF28</f>
        <v>2.72</v>
      </c>
      <c r="CM32" s="24">
        <f t="shared" ref="CM32:DB32" si="418">CM33*CL134</f>
        <v>3.3443636363636364</v>
      </c>
      <c r="CN32" s="24">
        <f t="shared" si="418"/>
        <v>3.3443636363636364</v>
      </c>
      <c r="CO32" s="24">
        <f t="shared" si="418"/>
        <v>3.3443636363636364</v>
      </c>
      <c r="CP32" s="24">
        <f t="shared" si="418"/>
        <v>3.3443636363636364</v>
      </c>
      <c r="CQ32" s="24">
        <f t="shared" si="418"/>
        <v>3.3443636363636364</v>
      </c>
      <c r="CR32" s="24">
        <f t="shared" si="418"/>
        <v>3.3443636363636364</v>
      </c>
      <c r="CS32" s="24">
        <f t="shared" si="418"/>
        <v>3.3443636363636364</v>
      </c>
      <c r="CT32" s="24">
        <f t="shared" si="418"/>
        <v>3.3443636363636364</v>
      </c>
      <c r="CU32" s="24">
        <f t="shared" si="418"/>
        <v>3.3443636363636364</v>
      </c>
      <c r="CV32" s="24">
        <f t="shared" si="418"/>
        <v>3.3443636363636364</v>
      </c>
      <c r="CW32" s="24">
        <f t="shared" si="418"/>
        <v>3.3443636363636364</v>
      </c>
      <c r="CX32" s="24">
        <f t="shared" si="418"/>
        <v>3.3443636363636364</v>
      </c>
      <c r="CY32" s="24">
        <f t="shared" si="418"/>
        <v>3.3443636363636364</v>
      </c>
      <c r="CZ32" s="24">
        <f t="shared" si="418"/>
        <v>3.3443636363636364</v>
      </c>
      <c r="DA32" s="24">
        <f t="shared" si="418"/>
        <v>3.3443636363636364</v>
      </c>
      <c r="DB32" s="24">
        <f t="shared" si="418"/>
        <v>3.3443636363636364</v>
      </c>
      <c r="DE32" s="123"/>
      <c r="DF32" s="23">
        <v>2.69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>
        <f t="shared" ref="E33:AE33" si="420">+E32/E134</f>
        <v>8.7615775813582347E-2</v>
      </c>
      <c r="F33" s="46">
        <f t="shared" si="420"/>
        <v>7.3711150434687442E-2</v>
      </c>
      <c r="G33" s="46">
        <f t="shared" si="420"/>
        <v>6.9482388436695339E-2</v>
      </c>
      <c r="H33" s="46">
        <f t="shared" si="420"/>
        <v>5.4371892790131805E-2</v>
      </c>
      <c r="I33" s="46">
        <f t="shared" si="420"/>
        <v>5.4108496442835025E-2</v>
      </c>
      <c r="J33" s="46">
        <f t="shared" si="420"/>
        <v>5.4708048395581271E-2</v>
      </c>
      <c r="K33" s="46">
        <f t="shared" si="420"/>
        <v>5.8397407998452541E-2</v>
      </c>
      <c r="L33" s="46">
        <f t="shared" si="420"/>
        <v>6.0311217350382869E-2</v>
      </c>
      <c r="M33" s="46">
        <f t="shared" si="420"/>
        <v>6.138799549234604E-2</v>
      </c>
      <c r="N33" s="46">
        <f t="shared" si="420"/>
        <v>6.9884403643890008E-2</v>
      </c>
      <c r="O33" s="46">
        <f t="shared" si="420"/>
        <v>6.8513297468524012E-2</v>
      </c>
      <c r="P33" s="46">
        <f t="shared" si="420"/>
        <v>0.1061493554196111</v>
      </c>
      <c r="Q33" s="46">
        <f t="shared" si="420"/>
        <v>6.9174575101643848E-2</v>
      </c>
      <c r="R33" s="46">
        <f t="shared" si="420"/>
        <v>8.0950126476118336E-2</v>
      </c>
      <c r="S33" s="46">
        <f t="shared" si="420"/>
        <v>8.4324558154526469E-2</v>
      </c>
      <c r="T33" s="46">
        <f t="shared" si="420"/>
        <v>8.5336365237721576E-2</v>
      </c>
      <c r="U33" s="46">
        <f t="shared" si="420"/>
        <v>8.5474788193879103E-2</v>
      </c>
      <c r="V33" s="46">
        <f t="shared" si="420"/>
        <v>8.7511694582767474E-2</v>
      </c>
      <c r="W33" s="46">
        <f t="shared" si="420"/>
        <v>8.1677586180214867E-2</v>
      </c>
      <c r="X33" s="46">
        <f t="shared" si="420"/>
        <v>8.1210437708317859E-2</v>
      </c>
      <c r="Y33" s="46">
        <f t="shared" si="420"/>
        <v>9.8800884108668774E-2</v>
      </c>
      <c r="Z33" s="46">
        <f t="shared" si="420"/>
        <v>7.5696198411412924E-2</v>
      </c>
      <c r="AA33" s="46">
        <f t="shared" ref="AA33" si="421">+AA32/AA134</f>
        <v>6.828321869088351E-2</v>
      </c>
      <c r="AB33" s="110">
        <f t="shared" si="420"/>
        <v>8.526645768025079E-2</v>
      </c>
      <c r="AC33" s="110">
        <f t="shared" si="420"/>
        <v>8.526645768025079E-2</v>
      </c>
      <c r="AD33" s="110">
        <f t="shared" si="420"/>
        <v>8.5266457680250804E-2</v>
      </c>
      <c r="AE33" s="110">
        <f t="shared" si="420"/>
        <v>8.5266457680250776E-2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1.6578790020111974E-2</v>
      </c>
      <c r="AL33" s="46">
        <f t="shared" si="422"/>
        <v>1.6769038430178834E-2</v>
      </c>
      <c r="AM33" s="46">
        <f t="shared" si="422"/>
        <v>1.9620411917170646E-2</v>
      </c>
      <c r="AN33" s="46">
        <f t="shared" si="422"/>
        <v>1.978763133691926E-2</v>
      </c>
      <c r="AO33" s="46">
        <f t="shared" si="422"/>
        <v>2.0465377067563777E-2</v>
      </c>
      <c r="AP33" s="46">
        <f t="shared" si="422"/>
        <v>4.4855620970002804E-3</v>
      </c>
      <c r="AQ33" s="46">
        <f t="shared" si="422"/>
        <v>1.7978752383546719E-2</v>
      </c>
      <c r="AR33" s="46">
        <f t="shared" si="422"/>
        <v>2.6150912557886132E-2</v>
      </c>
      <c r="AS33" s="46">
        <f t="shared" si="422"/>
        <v>1.9780743565300286E-2</v>
      </c>
      <c r="AT33" s="46">
        <f t="shared" si="422"/>
        <v>1.954242135367016E-2</v>
      </c>
      <c r="AU33" s="46">
        <f t="shared" si="422"/>
        <v>1.5449438202247192E-2</v>
      </c>
      <c r="AV33" s="46">
        <f t="shared" si="422"/>
        <v>1.7747701736465782E-2</v>
      </c>
      <c r="AW33" s="46">
        <f t="shared" si="422"/>
        <v>1.5733399405351834E-2</v>
      </c>
      <c r="AX33" s="46">
        <f t="shared" si="422"/>
        <v>1.9945490584737366E-2</v>
      </c>
      <c r="AY33" s="46">
        <f t="shared" si="422"/>
        <v>1.9301122745048568E-2</v>
      </c>
      <c r="AZ33" s="46">
        <f t="shared" si="422"/>
        <v>1.8922669357890755E-2</v>
      </c>
      <c r="BA33" s="46">
        <f t="shared" si="422"/>
        <v>1.8642146366041064E-2</v>
      </c>
      <c r="BB33" s="46">
        <f t="shared" si="422"/>
        <v>1.8642146366041064E-2</v>
      </c>
      <c r="BC33" s="46">
        <f t="shared" si="422"/>
        <v>1.9883673745434868E-2</v>
      </c>
      <c r="BD33" s="46">
        <f t="shared" si="422"/>
        <v>2.0424726092249424E-2</v>
      </c>
      <c r="BE33" s="46">
        <f t="shared" si="422"/>
        <v>2.0542317173377157E-2</v>
      </c>
      <c r="BF33" s="46">
        <f t="shared" si="422"/>
        <v>2.0268419611065461E-2</v>
      </c>
      <c r="BG33" s="46">
        <f t="shared" si="422"/>
        <v>2.0780322307039866E-2</v>
      </c>
      <c r="BH33" s="46">
        <f t="shared" si="422"/>
        <v>2.1063047780605033E-2</v>
      </c>
      <c r="BI33" s="46">
        <f t="shared" si="422"/>
        <v>2.1025345622119815E-2</v>
      </c>
      <c r="BJ33" s="46">
        <f t="shared" si="422"/>
        <v>2.0737327188940093E-2</v>
      </c>
      <c r="BK33" s="46">
        <f t="shared" si="422"/>
        <v>2.0818168583491045E-2</v>
      </c>
      <c r="BL33" s="46">
        <f t="shared" si="422"/>
        <v>2.0963750181976999E-2</v>
      </c>
      <c r="BM33" s="46">
        <f t="shared" si="422"/>
        <v>2.3283761454108459E-2</v>
      </c>
      <c r="BN33" s="46">
        <f t="shared" si="422"/>
        <v>2.5086375244103953E-2</v>
      </c>
      <c r="BO33" s="46">
        <f t="shared" ref="BO33:CL33" si="423">+BO32/BN134</f>
        <v>2.0353733857383493E-2</v>
      </c>
      <c r="BP33" s="46">
        <f t="shared" si="423"/>
        <v>2.0494104435710276E-2</v>
      </c>
      <c r="BQ33" s="46">
        <f t="shared" si="423"/>
        <v>2.1326321939818874E-2</v>
      </c>
      <c r="BR33" s="46">
        <f t="shared" si="423"/>
        <v>2.0742039146947125E-2</v>
      </c>
      <c r="BS33" s="46">
        <f t="shared" si="423"/>
        <v>2.1729289271163424E-2</v>
      </c>
      <c r="BT33" s="46">
        <f t="shared" si="423"/>
        <v>2.1578391429002565E-2</v>
      </c>
      <c r="BU33" s="46">
        <f t="shared" si="423"/>
        <v>2.2139650100634772E-2</v>
      </c>
      <c r="BV33" s="46">
        <f t="shared" si="423"/>
        <v>2.3378231924446508E-2</v>
      </c>
      <c r="BW33" s="46">
        <f t="shared" si="423"/>
        <v>2.1384355655599326E-2</v>
      </c>
      <c r="BX33" s="46">
        <f t="shared" si="423"/>
        <v>2.4198086662915026E-2</v>
      </c>
      <c r="BY33" s="46">
        <f t="shared" si="423"/>
        <v>2.3139277818717763E-2</v>
      </c>
      <c r="BZ33" s="46">
        <f t="shared" si="423"/>
        <v>2.417096536477524E-2</v>
      </c>
      <c r="CA33" s="46">
        <f t="shared" si="423"/>
        <v>2.3042054898010578E-2</v>
      </c>
      <c r="CB33" s="46">
        <f t="shared" si="423"/>
        <v>2.3293880634600857E-2</v>
      </c>
      <c r="CC33" s="46">
        <f t="shared" si="423"/>
        <v>2.4464027357621994E-2</v>
      </c>
      <c r="CD33" s="46">
        <f t="shared" si="423"/>
        <v>2.4200973300013154E-2</v>
      </c>
      <c r="CE33" s="46">
        <f t="shared" si="423"/>
        <v>2.9053420805998126E-2</v>
      </c>
      <c r="CF33" s="46">
        <f t="shared" si="423"/>
        <v>3.4007229883518543E-2</v>
      </c>
      <c r="CG33" s="46">
        <f t="shared" si="423"/>
        <v>2.2018030513176145E-2</v>
      </c>
      <c r="CH33" s="46">
        <f t="shared" si="423"/>
        <v>2.1844660194174758E-2</v>
      </c>
      <c r="CI33" s="46">
        <f t="shared" si="423"/>
        <v>2.0537397826445817E-2</v>
      </c>
      <c r="CJ33" s="46">
        <f t="shared" si="423"/>
        <v>2.0968026528905413E-2</v>
      </c>
      <c r="CK33" s="46">
        <f t="shared" si="423"/>
        <v>2.1081504702194359E-2</v>
      </c>
      <c r="CL33" s="46">
        <f t="shared" si="423"/>
        <v>2.1316614420062698E-2</v>
      </c>
      <c r="CM33" s="47">
        <f t="shared" ref="CM33" si="424">CL33</f>
        <v>2.1316614420062698E-2</v>
      </c>
      <c r="CN33" s="47">
        <f t="shared" ref="CN33" si="425">CM33</f>
        <v>2.1316614420062698E-2</v>
      </c>
      <c r="CO33" s="47">
        <f t="shared" ref="CO33" si="426">CN33</f>
        <v>2.1316614420062698E-2</v>
      </c>
      <c r="CP33" s="47">
        <f t="shared" ref="CP33" si="427">CO33</f>
        <v>2.1316614420062698E-2</v>
      </c>
      <c r="CQ33" s="47">
        <f t="shared" ref="CQ33" si="428">CP33</f>
        <v>2.1316614420062698E-2</v>
      </c>
      <c r="CR33" s="47">
        <f t="shared" ref="CR33" si="429">CQ33</f>
        <v>2.1316614420062698E-2</v>
      </c>
      <c r="CS33" s="47">
        <f t="shared" ref="CS33" si="430">CR33</f>
        <v>2.1316614420062698E-2</v>
      </c>
      <c r="CT33" s="47">
        <f t="shared" ref="CT33" si="431">CS33</f>
        <v>2.1316614420062698E-2</v>
      </c>
      <c r="CU33" s="47">
        <f t="shared" ref="CU33" si="432">CT33</f>
        <v>2.1316614420062698E-2</v>
      </c>
      <c r="CV33" s="47">
        <f t="shared" ref="CV33" si="433">CU33</f>
        <v>2.1316614420062698E-2</v>
      </c>
      <c r="CW33" s="47">
        <f t="shared" ref="CW33" si="434">CV33</f>
        <v>2.1316614420062698E-2</v>
      </c>
      <c r="CX33" s="47">
        <f t="shared" ref="CX33" si="435">CW33</f>
        <v>2.1316614420062698E-2</v>
      </c>
      <c r="CY33" s="47">
        <f t="shared" ref="CY33" si="436">CX33</f>
        <v>2.1316614420062698E-2</v>
      </c>
      <c r="CZ33" s="47">
        <f t="shared" ref="CZ33" si="437">CY33</f>
        <v>2.1316614420062698E-2</v>
      </c>
      <c r="DA33" s="47">
        <f t="shared" ref="DA33" si="438">CZ33</f>
        <v>2.1316614420062698E-2</v>
      </c>
      <c r="DB33" s="47">
        <f t="shared" ref="DB33" si="439">DA33</f>
        <v>2.1316614420062698E-2</v>
      </c>
      <c r="DE33" s="130"/>
      <c r="DF33" s="46">
        <v>2.1081504702194359E-2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7.2501600000005828E-2</v>
      </c>
      <c r="F34" s="26">
        <f t="shared" si="440"/>
        <v>0.24834209999999801</v>
      </c>
      <c r="G34" s="26">
        <f t="shared" si="440"/>
        <v>1.8922118999999986</v>
      </c>
      <c r="H34" s="26">
        <f t="shared" si="440"/>
        <v>-0.33990000000000653</v>
      </c>
      <c r="I34" s="26">
        <f t="shared" si="440"/>
        <v>1.8399000000000019</v>
      </c>
      <c r="J34" s="26">
        <f t="shared" si="440"/>
        <v>4.9996000000000045</v>
      </c>
      <c r="K34" s="26">
        <f t="shared" si="440"/>
        <v>7.1214000000000039</v>
      </c>
      <c r="L34" s="26">
        <f t="shared" si="440"/>
        <v>6.0884999999999838</v>
      </c>
      <c r="M34" s="26">
        <f t="shared" si="440"/>
        <v>5.4053000000000013</v>
      </c>
      <c r="N34" s="26">
        <f t="shared" si="440"/>
        <v>5.9272000000000133</v>
      </c>
      <c r="O34" s="26">
        <f t="shared" si="440"/>
        <v>8.5833000000000066</v>
      </c>
      <c r="P34" s="26">
        <f t="shared" si="440"/>
        <v>-1.1083000000000007</v>
      </c>
      <c r="Q34" s="26">
        <f t="shared" si="440"/>
        <v>4.323700000000005</v>
      </c>
      <c r="R34" s="26">
        <f t="shared" si="440"/>
        <v>1.171200000000014</v>
      </c>
      <c r="S34" s="26">
        <f t="shared" si="440"/>
        <v>9.5507999999999953</v>
      </c>
      <c r="T34" s="26">
        <f t="shared" si="440"/>
        <v>10.381999999999982</v>
      </c>
      <c r="U34" s="26">
        <f t="shared" ref="U34:Z34" si="441">U28-U32</f>
        <v>10.989299999999989</v>
      </c>
      <c r="V34" s="26">
        <f t="shared" si="441"/>
        <v>23.734100000000005</v>
      </c>
      <c r="W34" s="26">
        <f t="shared" si="441"/>
        <v>25.433799999999984</v>
      </c>
      <c r="X34" s="26">
        <f t="shared" si="441"/>
        <v>24.708499999999969</v>
      </c>
      <c r="Y34" s="26">
        <f t="shared" si="441"/>
        <v>33.053800000000003</v>
      </c>
      <c r="Z34" s="26">
        <f t="shared" si="441"/>
        <v>24.008000000000045</v>
      </c>
      <c r="AA34" s="26">
        <f t="shared" ref="AA34" si="442">AA28-AA32</f>
        <v>41.526599999999988</v>
      </c>
      <c r="AB34" s="27">
        <f t="shared" ref="AA34:AD34" si="443">AB28-AB32</f>
        <v>48.745456062151469</v>
      </c>
      <c r="AC34" s="27">
        <f t="shared" si="443"/>
        <v>58.616916724195939</v>
      </c>
      <c r="AD34" s="27">
        <f t="shared" si="443"/>
        <v>69.233423186103565</v>
      </c>
      <c r="AE34" s="27">
        <f t="shared" ref="AE34" si="444">AE28-AE32</f>
        <v>81.180834074829463</v>
      </c>
      <c r="AI34" s="26">
        <f t="shared" ref="AI34" si="445">AI28-AI32</f>
        <v>1.9089999999999994</v>
      </c>
      <c r="AJ34" s="26">
        <f t="shared" ref="AJ34" si="446">AJ28-AJ32</f>
        <v>1.3600000000000008</v>
      </c>
      <c r="AK34" s="26">
        <f t="shared" ref="AK34:AM34" si="447">AK28-AK32</f>
        <v>0.37999999999999934</v>
      </c>
      <c r="AL34" s="26">
        <f t="shared" si="447"/>
        <v>1.748000000000002</v>
      </c>
      <c r="AM34" s="26">
        <f t="shared" si="447"/>
        <v>0.7789999999999988</v>
      </c>
      <c r="AN34" s="26">
        <f t="shared" ref="AN34:AO34" si="448">AN28-AN32</f>
        <v>2.1500000000000012</v>
      </c>
      <c r="AO34" s="26">
        <f t="shared" si="448"/>
        <v>3.7400000000000007</v>
      </c>
      <c r="AP34" s="26">
        <f t="shared" ref="AP34:CD34" si="449">AP28-AP32</f>
        <v>2.0149999999999952</v>
      </c>
      <c r="AQ34" s="26">
        <f t="shared" si="449"/>
        <v>0.9599999999999983</v>
      </c>
      <c r="AR34" s="26">
        <f t="shared" si="449"/>
        <v>0.4699999999999962</v>
      </c>
      <c r="AS34" s="26">
        <f t="shared" si="449"/>
        <v>-2.0200000000000049</v>
      </c>
      <c r="AT34" s="26">
        <f t="shared" si="449"/>
        <v>-0.51000000000000034</v>
      </c>
      <c r="AU34" s="26">
        <f t="shared" si="449"/>
        <v>2.8199999999999976</v>
      </c>
      <c r="AV34" s="26">
        <f t="shared" si="449"/>
        <v>3.3500000000000023</v>
      </c>
      <c r="AW34" s="26">
        <f t="shared" si="449"/>
        <v>0.15000000000000169</v>
      </c>
      <c r="AX34" s="26">
        <f t="shared" si="449"/>
        <v>-1.9899999999999973</v>
      </c>
      <c r="AY34" s="26">
        <f t="shared" si="449"/>
        <v>-2.999999999999825E-2</v>
      </c>
      <c r="AZ34" s="26">
        <f t="shared" si="449"/>
        <v>2.0299999999999958</v>
      </c>
      <c r="BA34" s="26">
        <f t="shared" si="449"/>
        <v>-1.4500000000000024</v>
      </c>
      <c r="BB34" s="26">
        <f t="shared" si="449"/>
        <v>-0.72000000000000375</v>
      </c>
      <c r="BC34" s="26">
        <f t="shared" si="449"/>
        <v>0.85000000000000031</v>
      </c>
      <c r="BD34" s="26">
        <f t="shared" si="449"/>
        <v>2.7500000000000018</v>
      </c>
      <c r="BE34" s="26">
        <f t="shared" si="449"/>
        <v>2.1499999999999968</v>
      </c>
      <c r="BF34" s="26">
        <f t="shared" si="449"/>
        <v>3.6299999999999994</v>
      </c>
      <c r="BG34" s="26">
        <f t="shared" si="449"/>
        <v>3.0699999999999923</v>
      </c>
      <c r="BH34" s="26">
        <f t="shared" si="449"/>
        <v>2.389999999999997</v>
      </c>
      <c r="BI34" s="26">
        <f t="shared" si="449"/>
        <v>-0.34000000000000075</v>
      </c>
      <c r="BJ34" s="26">
        <f t="shared" si="449"/>
        <v>5.3000000000000007</v>
      </c>
      <c r="BK34" s="26">
        <f t="shared" si="449"/>
        <v>1.9900000000000018</v>
      </c>
      <c r="BL34" s="26">
        <f t="shared" si="449"/>
        <v>3.5399999999999952</v>
      </c>
      <c r="BM34" s="26">
        <f t="shared" si="449"/>
        <v>1.7899999999999998</v>
      </c>
      <c r="BN34" s="26">
        <f t="shared" si="449"/>
        <v>3.4500000000000028</v>
      </c>
      <c r="BO34" s="26">
        <f t="shared" si="449"/>
        <v>3.1700000000000008</v>
      </c>
      <c r="BP34" s="26">
        <f t="shared" si="449"/>
        <v>7.349999999999997</v>
      </c>
      <c r="BQ34" s="26">
        <f t="shared" si="449"/>
        <v>7.1499999999999995</v>
      </c>
      <c r="BR34" s="26">
        <f t="shared" si="449"/>
        <v>5.9600000000000026</v>
      </c>
      <c r="BS34" s="26">
        <f t="shared" si="449"/>
        <v>5.8400000000000052</v>
      </c>
      <c r="BT34" s="26">
        <f t="shared" si="449"/>
        <v>7.52</v>
      </c>
      <c r="BU34" s="26">
        <f t="shared" si="449"/>
        <v>6.7100000000000044</v>
      </c>
      <c r="BV34" s="26">
        <f t="shared" si="449"/>
        <v>5.4200000000000035</v>
      </c>
      <c r="BW34" s="26">
        <f t="shared" si="449"/>
        <v>6.949999999999994</v>
      </c>
      <c r="BX34" s="26">
        <f t="shared" si="449"/>
        <v>9.0500000000000096</v>
      </c>
      <c r="BY34" s="26">
        <f t="shared" si="449"/>
        <v>3.0200000000000067</v>
      </c>
      <c r="BZ34" s="26">
        <f t="shared" si="449"/>
        <v>5.6799999999999988</v>
      </c>
      <c r="CA34" s="26">
        <f t="shared" si="449"/>
        <v>6.84</v>
      </c>
      <c r="CB34" s="26">
        <f t="shared" si="449"/>
        <v>7.080000000000009</v>
      </c>
      <c r="CC34" s="26">
        <f t="shared" si="449"/>
        <v>8.81</v>
      </c>
      <c r="CD34" s="26">
        <f t="shared" si="449"/>
        <v>10.320000000000004</v>
      </c>
      <c r="CE34" s="26">
        <f t="shared" ref="CE34:CF34" si="450">CE28-CE32</f>
        <v>5.5299999999999905</v>
      </c>
      <c r="CF34" s="26">
        <f t="shared" si="450"/>
        <v>5.2099999999999964</v>
      </c>
      <c r="CG34" s="26">
        <f t="shared" ref="CG34:CH34" si="451">CG28-CG32</f>
        <v>4.2500000000000062</v>
      </c>
      <c r="CH34" s="26">
        <f t="shared" si="451"/>
        <v>9.0000000000000142</v>
      </c>
      <c r="CI34" s="26">
        <f t="shared" ref="CI34:CJ34" si="452">CI28-CI32</f>
        <v>9.9700000000000042</v>
      </c>
      <c r="CJ34" s="26">
        <f t="shared" si="452"/>
        <v>11.370000000000013</v>
      </c>
      <c r="CK34" s="26">
        <f t="shared" ref="CK34:CL34" si="453">CK28-CK32</f>
        <v>6.3899999999999952</v>
      </c>
      <c r="CL34" s="26">
        <f t="shared" si="453"/>
        <v>13.780000000000006</v>
      </c>
      <c r="CM34" s="27">
        <f t="shared" ref="CM34:DB34" si="454">CM28-CM32</f>
        <v>13.079301522638017</v>
      </c>
      <c r="CN34" s="27">
        <f t="shared" si="454"/>
        <v>13.70385142584457</v>
      </c>
      <c r="CO34" s="27">
        <f t="shared" si="454"/>
        <v>9.5831257684079016</v>
      </c>
      <c r="CP34" s="27">
        <f t="shared" si="454"/>
        <v>12.379177345260958</v>
      </c>
      <c r="CQ34" s="27">
        <f t="shared" si="454"/>
        <v>16.283856729995176</v>
      </c>
      <c r="CR34" s="27">
        <f t="shared" si="454"/>
        <v>16.600643550312459</v>
      </c>
      <c r="CS34" s="27">
        <f t="shared" si="454"/>
        <v>11.636873082933535</v>
      </c>
      <c r="CT34" s="27">
        <f t="shared" si="454"/>
        <v>14.095543360954659</v>
      </c>
      <c r="CU34" s="27">
        <f t="shared" si="454"/>
        <v>19.373541564764416</v>
      </c>
      <c r="CV34" s="27">
        <f t="shared" si="454"/>
        <v>19.558190688432813</v>
      </c>
      <c r="CW34" s="27">
        <f t="shared" si="454"/>
        <v>13.779514072861966</v>
      </c>
      <c r="CX34" s="27">
        <f t="shared" si="454"/>
        <v>16.522176860044286</v>
      </c>
      <c r="CY34" s="27">
        <f t="shared" si="454"/>
        <v>22.711341142490415</v>
      </c>
      <c r="CZ34" s="27">
        <f t="shared" si="454"/>
        <v>22.863724335510653</v>
      </c>
      <c r="DA34" s="27">
        <f t="shared" si="454"/>
        <v>16.234169658949771</v>
      </c>
      <c r="DB34" s="27">
        <f t="shared" si="454"/>
        <v>19.371598937878566</v>
      </c>
      <c r="DE34" s="121"/>
      <c r="DF34" s="26">
        <v>12.532639842843688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0.17180960000000001</v>
      </c>
      <c r="F35" s="23">
        <f>'Annual Raw'!G23</f>
        <v>7.7210399999999998E-2</v>
      </c>
      <c r="G35" s="23">
        <f>'Annual Raw'!H23</f>
        <v>3.7306499999999999E-2</v>
      </c>
      <c r="H35" s="23">
        <f>'Annual Raw'!I23</f>
        <v>0.23230000000000001</v>
      </c>
      <c r="I35" s="23">
        <f>'Annual Raw'!J23</f>
        <v>0.71960000000000002</v>
      </c>
      <c r="J35" s="23">
        <f>'Annual Raw'!K23</f>
        <v>0.70730000000000004</v>
      </c>
      <c r="K35" s="23">
        <f>'Annual Raw'!L23</f>
        <v>0.25740000000000002</v>
      </c>
      <c r="L35" s="23">
        <f>'Annual Raw'!M23</f>
        <v>0.6522</v>
      </c>
      <c r="M35" s="23">
        <f>'Annual Raw'!N23</f>
        <v>0.93300000000000005</v>
      </c>
      <c r="N35" s="23">
        <f>'Annual Raw'!O23</f>
        <v>0.20080000000000001</v>
      </c>
      <c r="O35" s="23">
        <f>'Annual Raw'!P23</f>
        <v>0.37480000000000002</v>
      </c>
      <c r="P35" s="23">
        <f>'Annual Raw'!Q23</f>
        <v>0.68520000000000003</v>
      </c>
      <c r="Q35" s="23">
        <f>'Annual Raw'!R23</f>
        <v>3.0413999999999999</v>
      </c>
      <c r="R35" s="23">
        <f>'Annual Raw'!S23</f>
        <v>0.21779999999999999</v>
      </c>
      <c r="S35" s="23">
        <f>'Annual Raw'!T23</f>
        <v>1.6527000000000001</v>
      </c>
      <c r="T35" s="23">
        <f>'Annual Raw'!U23</f>
        <v>2.2812000000000001</v>
      </c>
      <c r="U35" s="23">
        <f>'Annual Raw'!V23</f>
        <v>1.2442</v>
      </c>
      <c r="V35" s="23">
        <f>'Annual Raw'!W23</f>
        <v>0.25890000000000002</v>
      </c>
      <c r="W35" s="23">
        <f>'Annual Raw'!X23</f>
        <v>0.70520000000000005</v>
      </c>
      <c r="X35" s="23">
        <f>'Annual Raw'!Y23</f>
        <v>1.8162</v>
      </c>
      <c r="Y35" s="23">
        <f>'Annual Raw'!Z23</f>
        <v>1.4803999999999999</v>
      </c>
      <c r="Z35" s="23">
        <f>'Annual Raw'!AA23</f>
        <v>3.145</v>
      </c>
      <c r="AA35" s="23">
        <f>'Annual Raw'!AB23</f>
        <v>3.0693999999999999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6.0000000000000001E-3</v>
      </c>
      <c r="AJ35" s="23">
        <f>'QTR Raw'!D23</f>
        <v>0.02</v>
      </c>
      <c r="AK35" s="23">
        <f>'QTR Raw'!E23</f>
        <v>0.56999999999999995</v>
      </c>
      <c r="AL35" s="23">
        <f>'QTR Raw'!F23</f>
        <v>1.4E-2</v>
      </c>
      <c r="AM35" s="23">
        <f>'QTR Raw'!G23</f>
        <v>4.0000000000000001E-3</v>
      </c>
      <c r="AN35" s="23">
        <f>'QTR Raw'!H23</f>
        <v>0.21</v>
      </c>
      <c r="AO35" s="23">
        <f>'QTR Raw'!I23</f>
        <v>0.02</v>
      </c>
      <c r="AP35" s="23">
        <f>'QTR Raw'!J23</f>
        <v>0.09</v>
      </c>
      <c r="AQ35" s="23">
        <f>'QTR Raw'!K23</f>
        <v>0.04</v>
      </c>
      <c r="AR35" s="23">
        <f>'QTR Raw'!L23</f>
        <v>-0.04</v>
      </c>
      <c r="AS35" s="23">
        <f>'QTR Raw'!M23</f>
        <v>0</v>
      </c>
      <c r="AT35" s="23">
        <f>'QTR Raw'!N23</f>
        <v>0.68</v>
      </c>
      <c r="AU35" s="23">
        <f>'QTR Raw'!O23</f>
        <v>7.0000000000000007E-2</v>
      </c>
      <c r="AV35" s="23">
        <f>'QTR Raw'!P23</f>
        <v>0.13</v>
      </c>
      <c r="AW35" s="23">
        <f>'QTR Raw'!Q23</f>
        <v>0</v>
      </c>
      <c r="AX35" s="23">
        <f>'QTR Raw'!R23</f>
        <v>2.84</v>
      </c>
      <c r="AY35" s="23">
        <f>'QTR Raw'!S23</f>
        <v>1.35</v>
      </c>
      <c r="AZ35" s="23">
        <f>'QTR Raw'!T23</f>
        <v>0</v>
      </c>
      <c r="BA35" s="23">
        <f>'QTR Raw'!U23</f>
        <v>0.17</v>
      </c>
      <c r="BB35" s="23">
        <f>'QTR Raw'!V23</f>
        <v>0.03</v>
      </c>
      <c r="BC35" s="23">
        <f>'QTR Raw'!W23</f>
        <v>0.62</v>
      </c>
      <c r="BD35" s="23">
        <f>'QTR Raw'!X23</f>
        <v>0.19</v>
      </c>
      <c r="BE35" s="23">
        <f>'QTR Raw'!Y23</f>
        <v>0.67</v>
      </c>
      <c r="BF35" s="23">
        <f>'QTR Raw'!Z23</f>
        <v>0.35</v>
      </c>
      <c r="BG35" s="23">
        <f>'QTR Raw'!AA23</f>
        <v>1.4</v>
      </c>
      <c r="BH35" s="23">
        <f>'QTR Raw'!AB23</f>
        <v>0.57999999999999996</v>
      </c>
      <c r="BI35" s="23">
        <f>'QTR Raw'!AC23</f>
        <v>-0.01</v>
      </c>
      <c r="BJ35" s="23">
        <f>'QTR Raw'!AD23</f>
        <v>0.3</v>
      </c>
      <c r="BK35" s="23">
        <f>'QTR Raw'!AE23</f>
        <v>0.33</v>
      </c>
      <c r="BL35" s="23">
        <f>'QTR Raw'!AF23</f>
        <v>0.47</v>
      </c>
      <c r="BM35" s="23">
        <f>'QTR Raw'!AG23</f>
        <v>0.09</v>
      </c>
      <c r="BN35" s="23">
        <f>'QTR Raw'!AH23</f>
        <v>0.56000000000000005</v>
      </c>
      <c r="BO35" s="23">
        <f>'QTR Raw'!AI23</f>
        <v>0.14000000000000001</v>
      </c>
      <c r="BP35" s="23">
        <f>'QTR Raw'!AJ23</f>
        <v>0.02</v>
      </c>
      <c r="BQ35" s="23">
        <f>'QTR Raw'!AK23</f>
        <v>0.08</v>
      </c>
      <c r="BR35" s="23">
        <f>'QTR Raw'!AL23</f>
        <v>0.14000000000000001</v>
      </c>
      <c r="BS35" s="23">
        <f>'QTR Raw'!AM23</f>
        <v>0.05</v>
      </c>
      <c r="BT35" s="23">
        <f>'QTR Raw'!AN23</f>
        <v>0.14000000000000001</v>
      </c>
      <c r="BU35" s="23">
        <f>'QTR Raw'!AO23</f>
        <v>0.01</v>
      </c>
      <c r="BV35" s="23">
        <f>'QTR Raw'!AP23</f>
        <v>0.44</v>
      </c>
      <c r="BW35" s="23">
        <f>'QTR Raw'!AQ23</f>
        <v>0.18</v>
      </c>
      <c r="BX35" s="23">
        <f>'QTR Raw'!AR23</f>
        <v>0.28000000000000003</v>
      </c>
      <c r="BY35" s="23">
        <f>'QTR Raw'!AS23</f>
        <v>0.61</v>
      </c>
      <c r="BZ35" s="23">
        <f>'QTR Raw'!AT23</f>
        <v>0.75</v>
      </c>
      <c r="CA35" s="23">
        <f>'QTR Raw'!AU23</f>
        <v>0.48</v>
      </c>
      <c r="CB35" s="23">
        <f>'QTR Raw'!AV23</f>
        <v>0.27</v>
      </c>
      <c r="CC35" s="23">
        <f>'QTR Raw'!AW23</f>
        <v>0.38</v>
      </c>
      <c r="CD35" s="23">
        <f>'QTR Raw'!AX23</f>
        <v>0.35</v>
      </c>
      <c r="CE35" s="23">
        <f>'QTR Raw'!AY23</f>
        <v>0.3</v>
      </c>
      <c r="CF35" s="23">
        <f>'QTR Raw'!AZ23</f>
        <v>1.38</v>
      </c>
      <c r="CG35" s="23">
        <f>'QTR Raw'!BA23</f>
        <v>0.54</v>
      </c>
      <c r="CH35" s="23">
        <f>'QTR Raw'!BB23</f>
        <v>0.93</v>
      </c>
      <c r="CI35" s="23">
        <f>'QTR Raw'!BC23</f>
        <v>1.46</v>
      </c>
      <c r="CJ35" s="23">
        <f>'QTR Raw'!BD23</f>
        <v>0.28000000000000003</v>
      </c>
      <c r="CK35" s="23">
        <f>'QTR Raw'!BE23</f>
        <v>0.93</v>
      </c>
      <c r="CL35" s="23">
        <f>'QTR Raw'!BF23</f>
        <v>0.4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3.07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1.3594942000000001</v>
      </c>
      <c r="F36" s="23">
        <f>'Annual Raw'!G25</f>
        <v>1.1720093</v>
      </c>
      <c r="G36" s="23">
        <f>'Annual Raw'!H25</f>
        <v>1.1572172999999999</v>
      </c>
      <c r="H36" s="23">
        <f>'Annual Raw'!I25</f>
        <v>2.6326999999999998</v>
      </c>
      <c r="I36" s="23">
        <f>'Annual Raw'!J25</f>
        <v>2.7761</v>
      </c>
      <c r="J36" s="23">
        <f>'Annual Raw'!K25</f>
        <v>3.1614</v>
      </c>
      <c r="K36" s="23">
        <f>'Annual Raw'!L25</f>
        <v>3.5510000000000002</v>
      </c>
      <c r="L36" s="23">
        <f>'Annual Raw'!M25</f>
        <v>4.0914999999999999</v>
      </c>
      <c r="M36" s="23">
        <f>'Annual Raw'!N25</f>
        <v>5.5046999999999997</v>
      </c>
      <c r="N36" s="23">
        <f>'Annual Raw'!O25</f>
        <v>5.0975999999999999</v>
      </c>
      <c r="O36" s="23">
        <f>'Annual Raw'!P25</f>
        <v>3.57</v>
      </c>
      <c r="P36" s="23">
        <f>'Annual Raw'!Q25</f>
        <v>3.4916999999999998</v>
      </c>
      <c r="Q36" s="23">
        <f>'Annual Raw'!R25</f>
        <v>10.7966</v>
      </c>
      <c r="R36" s="23">
        <f>'Annual Raw'!S25</f>
        <v>9.3239999999999998</v>
      </c>
      <c r="S36" s="23">
        <f>'Annual Raw'!T25</f>
        <v>9.6900999999999993</v>
      </c>
      <c r="T36" s="23">
        <f>'Annual Raw'!U25</f>
        <v>10.7049</v>
      </c>
      <c r="U36" s="23">
        <f>'Annual Raw'!V25</f>
        <v>10.003500000000001</v>
      </c>
      <c r="V36" s="23">
        <f>'Annual Raw'!W25</f>
        <v>7.3693</v>
      </c>
      <c r="W36" s="23">
        <f>'Annual Raw'!X25</f>
        <v>4.7830000000000004</v>
      </c>
      <c r="X36" s="23">
        <f>'Annual Raw'!Y25</f>
        <v>7.4427000000000003</v>
      </c>
      <c r="Y36" s="23">
        <f>'Annual Raw'!Z25</f>
        <v>7.7907999999999999</v>
      </c>
      <c r="Z36" s="23">
        <f>'Annual Raw'!AA25</f>
        <v>9.1047999999999991</v>
      </c>
      <c r="AA36" s="23">
        <f>'Annual Raw'!AB25</f>
        <v>5.0346000000000002</v>
      </c>
      <c r="AB36" s="76">
        <f t="shared" si="455"/>
        <v>0.3113005478578692</v>
      </c>
      <c r="AC36" s="76">
        <f t="shared" si="456"/>
        <v>0.78453777028289151</v>
      </c>
      <c r="AD36" s="76">
        <f t="shared" si="457"/>
        <v>1.3499471522375814</v>
      </c>
      <c r="AE36" s="76">
        <f t="shared" si="458"/>
        <v>2.0184029090548705</v>
      </c>
      <c r="AI36" s="23">
        <f>'QTR Raw'!C25</f>
        <v>1.274</v>
      </c>
      <c r="AJ36" s="23">
        <f>'QTR Raw'!D25</f>
        <v>1.08</v>
      </c>
      <c r="AK36" s="23">
        <f>'QTR Raw'!E25</f>
        <v>1.47</v>
      </c>
      <c r="AL36" s="23">
        <f>'QTR Raw'!F25</f>
        <v>1.109</v>
      </c>
      <c r="AM36" s="23">
        <f>'QTR Raw'!G25</f>
        <v>1.0229999999999999</v>
      </c>
      <c r="AN36" s="23">
        <f>'QTR Raw'!H25</f>
        <v>0.97</v>
      </c>
      <c r="AO36" s="23">
        <f>'QTR Raw'!I25</f>
        <v>0.8</v>
      </c>
      <c r="AP36" s="23">
        <f>'QTR Raw'!J25</f>
        <v>0.82</v>
      </c>
      <c r="AQ36" s="23">
        <f>'QTR Raw'!K25</f>
        <v>0.88</v>
      </c>
      <c r="AR36" s="23">
        <f>'QTR Raw'!L25</f>
        <v>0.9</v>
      </c>
      <c r="AS36" s="23">
        <f>'QTR Raw'!M25</f>
        <v>0.8</v>
      </c>
      <c r="AT36" s="23">
        <f>'QTR Raw'!N25</f>
        <v>0.91</v>
      </c>
      <c r="AU36" s="23">
        <f>'QTR Raw'!O25</f>
        <v>1.62</v>
      </c>
      <c r="AV36" s="23">
        <f>'QTR Raw'!P25</f>
        <v>3.99</v>
      </c>
      <c r="AW36" s="23">
        <f>'QTR Raw'!Q25</f>
        <v>2.52</v>
      </c>
      <c r="AX36" s="23">
        <f>'QTR Raw'!R25</f>
        <v>2.67</v>
      </c>
      <c r="AY36" s="23">
        <f>'QTR Raw'!S25</f>
        <v>2.34</v>
      </c>
      <c r="AZ36" s="23">
        <f>'QTR Raw'!T25</f>
        <v>2.5499999999999998</v>
      </c>
      <c r="BA36" s="23">
        <f>'QTR Raw'!U25</f>
        <v>2.2000000000000002</v>
      </c>
      <c r="BB36" s="23">
        <f>'QTR Raw'!V25</f>
        <v>2.23</v>
      </c>
      <c r="BC36" s="23">
        <f>'QTR Raw'!W25</f>
        <v>2.41</v>
      </c>
      <c r="BD36" s="23">
        <f>'QTR Raw'!X25</f>
        <v>2.48</v>
      </c>
      <c r="BE36" s="23">
        <f>'QTR Raw'!Y25</f>
        <v>2.4900000000000002</v>
      </c>
      <c r="BF36" s="23">
        <f>'QTR Raw'!Z25</f>
        <v>2.31</v>
      </c>
      <c r="BG36" s="23">
        <f>'QTR Raw'!AA25</f>
        <v>2.54</v>
      </c>
      <c r="BH36" s="23">
        <f>'QTR Raw'!AB25</f>
        <v>2.66</v>
      </c>
      <c r="BI36" s="23">
        <f>'QTR Raw'!AC25</f>
        <v>2.74</v>
      </c>
      <c r="BJ36" s="23">
        <f>'QTR Raw'!AD25</f>
        <v>2.77</v>
      </c>
      <c r="BK36" s="23">
        <f>'QTR Raw'!AE25</f>
        <v>2.75</v>
      </c>
      <c r="BL36" s="23">
        <f>'QTR Raw'!AF25</f>
        <v>2.46</v>
      </c>
      <c r="BM36" s="23">
        <f>'QTR Raw'!AG25</f>
        <v>2.3199999999999998</v>
      </c>
      <c r="BN36" s="23">
        <f>'QTR Raw'!AH25</f>
        <v>2.4700000000000002</v>
      </c>
      <c r="BO36" s="23">
        <f>'QTR Raw'!AI25</f>
        <v>2.1800000000000002</v>
      </c>
      <c r="BP36" s="23">
        <f>'QTR Raw'!AJ25</f>
        <v>1.98</v>
      </c>
      <c r="BQ36" s="23">
        <f>'QTR Raw'!AK25</f>
        <v>1.79</v>
      </c>
      <c r="BR36" s="23">
        <f>'QTR Raw'!AL25</f>
        <v>1.42</v>
      </c>
      <c r="BS36" s="23">
        <f>'QTR Raw'!AM25</f>
        <v>1.17</v>
      </c>
      <c r="BT36" s="23">
        <f>'QTR Raw'!AN25</f>
        <v>1.1100000000000001</v>
      </c>
      <c r="BU36" s="23">
        <f>'QTR Raw'!AO25</f>
        <v>1.1200000000000001</v>
      </c>
      <c r="BV36" s="23">
        <f>'QTR Raw'!AP25</f>
        <v>1.38</v>
      </c>
      <c r="BW36" s="23">
        <f>'QTR Raw'!AQ25</f>
        <v>2.1</v>
      </c>
      <c r="BX36" s="23">
        <f>'QTR Raw'!AR25</f>
        <v>1.53</v>
      </c>
      <c r="BY36" s="23">
        <f>'QTR Raw'!AS25</f>
        <v>1.88</v>
      </c>
      <c r="BZ36" s="23">
        <f>'QTR Raw'!AT25</f>
        <v>1.93</v>
      </c>
      <c r="CA36" s="23">
        <f>'QTR Raw'!AU25</f>
        <v>1.91</v>
      </c>
      <c r="CB36" s="23">
        <f>'QTR Raw'!AV25</f>
        <v>1.88</v>
      </c>
      <c r="CC36" s="23">
        <f>'QTR Raw'!AW25</f>
        <v>1.9</v>
      </c>
      <c r="CD36" s="23">
        <f>'QTR Raw'!AX25</f>
        <v>2.1</v>
      </c>
      <c r="CE36" s="23">
        <f>'QTR Raw'!AY25</f>
        <v>2.04</v>
      </c>
      <c r="CF36" s="23">
        <f>'QTR Raw'!AZ25</f>
        <v>2.29</v>
      </c>
      <c r="CG36" s="23">
        <f>'QTR Raw'!BA25</f>
        <v>2.42</v>
      </c>
      <c r="CH36" s="23">
        <f>'QTR Raw'!BB25</f>
        <v>2.35</v>
      </c>
      <c r="CI36" s="23">
        <f>'QTR Raw'!BC25</f>
        <v>2.27</v>
      </c>
      <c r="CJ36" s="23">
        <f>'QTR Raw'!BD25</f>
        <v>1.96</v>
      </c>
      <c r="CK36" s="23">
        <f>'QTR Raw'!BE25</f>
        <v>0.74</v>
      </c>
      <c r="CL36" s="23">
        <f>'QTR Raw'!BF25</f>
        <v>0.06</v>
      </c>
      <c r="CM36" s="24">
        <f t="shared" ref="CM36:DB36" si="459">CM37*CL168</f>
        <v>6.548372763694614E-2</v>
      </c>
      <c r="CN36" s="24">
        <f t="shared" si="459"/>
        <v>4.455347485473965E-3</v>
      </c>
      <c r="CO36" s="24">
        <f t="shared" si="459"/>
        <v>4.0571113983675661E-2</v>
      </c>
      <c r="CP36" s="24">
        <f t="shared" si="459"/>
        <v>0.20079035875177342</v>
      </c>
      <c r="CQ36" s="24">
        <f t="shared" si="459"/>
        <v>0.183497598313969</v>
      </c>
      <c r="CR36" s="24">
        <f t="shared" si="459"/>
        <v>0.10320130809857438</v>
      </c>
      <c r="CS36" s="24">
        <f t="shared" si="459"/>
        <v>0.1553035876719992</v>
      </c>
      <c r="CT36" s="24">
        <f t="shared" si="459"/>
        <v>0.34253527619834889</v>
      </c>
      <c r="CU36" s="24">
        <f t="shared" si="459"/>
        <v>0.32086767210583733</v>
      </c>
      <c r="CV36" s="24">
        <f t="shared" si="459"/>
        <v>0.22910979746016222</v>
      </c>
      <c r="CW36" s="24">
        <f t="shared" si="459"/>
        <v>0.29226238268010174</v>
      </c>
      <c r="CX36" s="24">
        <f t="shared" si="459"/>
        <v>0.50770729999148001</v>
      </c>
      <c r="CY36" s="24">
        <f t="shared" si="459"/>
        <v>0.48348621358040567</v>
      </c>
      <c r="CZ36" s="24">
        <f t="shared" si="459"/>
        <v>0.37981088633273952</v>
      </c>
      <c r="DA36" s="24">
        <f t="shared" si="459"/>
        <v>0.45375217092599823</v>
      </c>
      <c r="DB36" s="24">
        <f t="shared" si="459"/>
        <v>0.70135363821572727</v>
      </c>
      <c r="DE36" s="123"/>
      <c r="DF36" s="23">
        <v>-0.16044600137424805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>
        <f t="shared" ref="E37:AE37" si="461">+E36/E128</f>
        <v>9.3053540984000191E-2</v>
      </c>
      <c r="F37" s="46">
        <f t="shared" si="461"/>
        <v>7.7013191650511542E-2</v>
      </c>
      <c r="G37" s="46">
        <f t="shared" si="461"/>
        <v>5.0815161454242835E-2</v>
      </c>
      <c r="H37" s="46">
        <f t="shared" si="461"/>
        <v>0.10504873971039473</v>
      </c>
      <c r="I37" s="46">
        <f t="shared" si="461"/>
        <v>0.10631021858676838</v>
      </c>
      <c r="J37" s="46">
        <f t="shared" si="461"/>
        <v>0.10797573671052092</v>
      </c>
      <c r="K37" s="46">
        <f t="shared" si="461"/>
        <v>0.11265684237242431</v>
      </c>
      <c r="L37" s="46">
        <f t="shared" si="461"/>
        <v>0.1023747744952572</v>
      </c>
      <c r="M37" s="46">
        <f t="shared" si="461"/>
        <v>0.12710584649487391</v>
      </c>
      <c r="N37" s="46">
        <f t="shared" si="461"/>
        <v>0.11646146851661041</v>
      </c>
      <c r="O37" s="46">
        <f t="shared" si="461"/>
        <v>6.3462040989012355E-2</v>
      </c>
      <c r="P37" s="46">
        <f t="shared" si="461"/>
        <v>4.6702271514383054E-2</v>
      </c>
      <c r="Q37" s="46">
        <f t="shared" si="461"/>
        <v>0.10649719074524162</v>
      </c>
      <c r="R37" s="46">
        <f t="shared" si="461"/>
        <v>9.3664393366342899E-2</v>
      </c>
      <c r="S37" s="46">
        <f t="shared" si="461"/>
        <v>8.8023639871663048E-2</v>
      </c>
      <c r="T37" s="46">
        <f t="shared" si="461"/>
        <v>0.10121755311252792</v>
      </c>
      <c r="U37" s="46">
        <f t="shared" si="461"/>
        <v>9.1484911642777653E-2</v>
      </c>
      <c r="V37" s="46">
        <f t="shared" si="461"/>
        <v>8.3932993013651508E-2</v>
      </c>
      <c r="W37" s="46">
        <f t="shared" si="461"/>
        <v>6.0898517325456293E-2</v>
      </c>
      <c r="X37" s="46">
        <f t="shared" si="461"/>
        <v>9.6506412625305849E-2</v>
      </c>
      <c r="Y37" s="46">
        <f t="shared" si="461"/>
        <v>9.1148931888671667E-2</v>
      </c>
      <c r="Z37" s="46">
        <f t="shared" si="461"/>
        <v>9.0705224954895441E-2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2.5552937168166721E-2</v>
      </c>
      <c r="AL37" s="46">
        <f t="shared" si="463"/>
        <v>3.33058036593704E-2</v>
      </c>
      <c r="AM37" s="46">
        <f t="shared" si="463"/>
        <v>3.6220808303415918E-2</v>
      </c>
      <c r="AN37" s="46">
        <f t="shared" si="463"/>
        <v>2.6713391932243966E-2</v>
      </c>
      <c r="AO37" s="46">
        <f t="shared" si="463"/>
        <v>1.8890772584160814E-2</v>
      </c>
      <c r="AP37" s="46">
        <f t="shared" si="463"/>
        <v>1.8140234074992115E-2</v>
      </c>
      <c r="AQ37" s="46">
        <f t="shared" si="463"/>
        <v>1.5750984436527282E-2</v>
      </c>
      <c r="AR37" s="46">
        <f t="shared" si="463"/>
        <v>1.9502729515475277E-2</v>
      </c>
      <c r="AS37" s="46">
        <f t="shared" si="463"/>
        <v>1.2974375608173858E-2</v>
      </c>
      <c r="AT37" s="46">
        <f t="shared" si="463"/>
        <v>3.9379395440413576E-3</v>
      </c>
      <c r="AU37" s="46">
        <f t="shared" si="463"/>
        <v>2.0861372812920598E-2</v>
      </c>
      <c r="AV37" s="46">
        <f t="shared" si="463"/>
        <v>4.9695170819898243E-2</v>
      </c>
      <c r="AW37" s="46">
        <f t="shared" si="463"/>
        <v>2.2836429542365203E-2</v>
      </c>
      <c r="AX37" s="46">
        <f t="shared" si="463"/>
        <v>-1.5781621151528225E-3</v>
      </c>
      <c r="AY37" s="46">
        <f t="shared" si="463"/>
        <v>1.0011123470522802E-2</v>
      </c>
      <c r="AZ37" s="46">
        <f t="shared" si="463"/>
        <v>2.5207294886944787E-2</v>
      </c>
      <c r="BA37" s="46">
        <f t="shared" si="463"/>
        <v>2.0561126304061584E-2</v>
      </c>
      <c r="BB37" s="46">
        <f t="shared" si="463"/>
        <v>2.1297173689634977E-2</v>
      </c>
      <c r="BC37" s="46">
        <f t="shared" si="463"/>
        <v>2.2106953192540444E-2</v>
      </c>
      <c r="BD37" s="46">
        <f t="shared" si="463"/>
        <v>2.8760862023038656E-2</v>
      </c>
      <c r="BE37" s="46">
        <f t="shared" si="463"/>
        <v>2.0681818181818187E-2</v>
      </c>
      <c r="BF37" s="46">
        <f t="shared" si="463"/>
        <v>2.170819186081949E-2</v>
      </c>
      <c r="BG37" s="46">
        <f t="shared" si="463"/>
        <v>1.1124121779859487E-2</v>
      </c>
      <c r="BH37" s="46">
        <f t="shared" si="463"/>
        <v>2.0564079751927717E-2</v>
      </c>
      <c r="BI37" s="46">
        <f t="shared" si="463"/>
        <v>2.8877454583639609E-2</v>
      </c>
      <c r="BJ37" s="46">
        <f t="shared" si="463"/>
        <v>2.831943830722547E-2</v>
      </c>
      <c r="BK37" s="46">
        <f t="shared" si="463"/>
        <v>2.9606068020552968E-2</v>
      </c>
      <c r="BL37" s="46">
        <f t="shared" si="463"/>
        <v>2.4301279775302709E-2</v>
      </c>
      <c r="BM37" s="46">
        <f t="shared" si="463"/>
        <v>1.9640655275673772E-2</v>
      </c>
      <c r="BN37" s="46">
        <f t="shared" si="463"/>
        <v>1.7202818354038408E-2</v>
      </c>
      <c r="BO37" s="46">
        <f t="shared" ref="BO37:CL37" si="464">(BO36-BO35)/BN168</f>
        <v>1.8836565096952911E-2</v>
      </c>
      <c r="BP37" s="46">
        <f t="shared" si="464"/>
        <v>1.9041431778657445E-2</v>
      </c>
      <c r="BQ37" s="46">
        <f t="shared" si="464"/>
        <v>1.8865842894969106E-2</v>
      </c>
      <c r="BR37" s="46">
        <f t="shared" si="464"/>
        <v>1.4774790019349992E-2</v>
      </c>
      <c r="BS37" s="46">
        <f t="shared" si="464"/>
        <v>1.3296925086073844E-2</v>
      </c>
      <c r="BT37" s="46">
        <f t="shared" si="464"/>
        <v>1.3146957922027212E-2</v>
      </c>
      <c r="BU37" s="46">
        <f t="shared" si="464"/>
        <v>1.836836008604998E-2</v>
      </c>
      <c r="BV37" s="46">
        <f t="shared" si="464"/>
        <v>1.671038032870964E-2</v>
      </c>
      <c r="BW37" s="46">
        <f t="shared" si="464"/>
        <v>2.6409903713892714E-2</v>
      </c>
      <c r="BX37" s="46">
        <f t="shared" si="464"/>
        <v>1.8768561021344485E-2</v>
      </c>
      <c r="BY37" s="46">
        <f t="shared" si="464"/>
        <v>1.6391326794011361E-2</v>
      </c>
      <c r="BZ37" s="46">
        <f t="shared" si="464"/>
        <v>1.7844686391675794E-2</v>
      </c>
      <c r="CA37" s="46">
        <f t="shared" si="464"/>
        <v>1.8980621183966019E-2</v>
      </c>
      <c r="CB37" s="46">
        <f t="shared" si="464"/>
        <v>2.2462614232249354E-2</v>
      </c>
      <c r="CC37" s="46">
        <f t="shared" si="464"/>
        <v>2.144167019325716E-2</v>
      </c>
      <c r="CD37" s="46">
        <f t="shared" si="464"/>
        <v>2.6847488662914622E-2</v>
      </c>
      <c r="CE37" s="46">
        <f t="shared" si="464"/>
        <v>2.0501944149876279E-2</v>
      </c>
      <c r="CF37" s="46">
        <f t="shared" si="464"/>
        <v>1.1913043930787308E-2</v>
      </c>
      <c r="CG37" s="46">
        <f t="shared" si="464"/>
        <v>1.9727177334732421E-2</v>
      </c>
      <c r="CH37" s="46">
        <f t="shared" si="464"/>
        <v>1.5984323048673883E-2</v>
      </c>
      <c r="CI37" s="46">
        <f t="shared" si="464"/>
        <v>8.3803304333251605E-3</v>
      </c>
      <c r="CJ37" s="46">
        <f t="shared" si="464"/>
        <v>1.9008457211361424E-2</v>
      </c>
      <c r="CK37" s="46">
        <f t="shared" si="464"/>
        <v>-2.1854152288934901E-3</v>
      </c>
      <c r="CL37" s="46">
        <f t="shared" si="464"/>
        <v>-4.6310981355690336E-3</v>
      </c>
      <c r="CM37" s="47">
        <f t="shared" ref="CM37" si="465">+CL37</f>
        <v>-4.6310981355690336E-3</v>
      </c>
      <c r="CN37" s="47">
        <f t="shared" ref="CN37" si="466">+CM37</f>
        <v>-4.6310981355690336E-3</v>
      </c>
      <c r="CO37" s="47">
        <f t="shared" ref="CO37" si="467">+CN37</f>
        <v>-4.6310981355690336E-3</v>
      </c>
      <c r="CP37" s="47">
        <f t="shared" ref="CP37" si="468">+CO37</f>
        <v>-4.6310981355690336E-3</v>
      </c>
      <c r="CQ37" s="47">
        <f t="shared" ref="CQ37" si="469">+CP37</f>
        <v>-4.6310981355690336E-3</v>
      </c>
      <c r="CR37" s="47">
        <f t="shared" ref="CR37" si="470">+CQ37</f>
        <v>-4.6310981355690336E-3</v>
      </c>
      <c r="CS37" s="47">
        <f t="shared" ref="CS37" si="471">+CR37</f>
        <v>-4.6310981355690336E-3</v>
      </c>
      <c r="CT37" s="47">
        <f t="shared" ref="CT37" si="472">+CS37</f>
        <v>-4.6310981355690336E-3</v>
      </c>
      <c r="CU37" s="47">
        <f t="shared" ref="CU37" si="473">+CT37</f>
        <v>-4.6310981355690336E-3</v>
      </c>
      <c r="CV37" s="47">
        <f t="shared" ref="CV37" si="474">+CU37</f>
        <v>-4.6310981355690336E-3</v>
      </c>
      <c r="CW37" s="47">
        <f t="shared" ref="CW37" si="475">+CV37</f>
        <v>-4.6310981355690336E-3</v>
      </c>
      <c r="CX37" s="47">
        <f t="shared" ref="CX37" si="476">+CW37</f>
        <v>-4.6310981355690336E-3</v>
      </c>
      <c r="CY37" s="47">
        <f t="shared" ref="CY37" si="477">+CX37</f>
        <v>-4.6310981355690336E-3</v>
      </c>
      <c r="CZ37" s="47">
        <f t="shared" ref="CZ37" si="478">+CY37</f>
        <v>-4.6310981355690336E-3</v>
      </c>
      <c r="DA37" s="47">
        <f t="shared" ref="DA37" si="479">+CZ37</f>
        <v>-4.6310981355690336E-3</v>
      </c>
      <c r="DB37" s="47">
        <f t="shared" ref="DB37" si="480">+DA37</f>
        <v>-4.6310981355690336E-3</v>
      </c>
      <c r="DE37" s="130"/>
      <c r="DF37" s="46">
        <v>-2.1854152288934901E-3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-1.1151829999999943</v>
      </c>
      <c r="F38" s="26">
        <f t="shared" si="481"/>
        <v>-0.84645680000000201</v>
      </c>
      <c r="G38" s="26">
        <f t="shared" si="481"/>
        <v>0.77230109999999863</v>
      </c>
      <c r="H38" s="26">
        <f t="shared" si="481"/>
        <v>-2.7403000000000062</v>
      </c>
      <c r="I38" s="26">
        <f t="shared" si="481"/>
        <v>-0.21659999999999835</v>
      </c>
      <c r="J38" s="26">
        <f t="shared" si="481"/>
        <v>2.5455000000000045</v>
      </c>
      <c r="K38" s="26">
        <f t="shared" si="481"/>
        <v>3.8278000000000034</v>
      </c>
      <c r="L38" s="26">
        <f t="shared" si="481"/>
        <v>2.6491999999999836</v>
      </c>
      <c r="M38" s="26">
        <f t="shared" si="481"/>
        <v>0.83360000000000145</v>
      </c>
      <c r="N38" s="26">
        <f t="shared" si="481"/>
        <v>1.0304000000000135</v>
      </c>
      <c r="O38" s="26">
        <f t="shared" si="481"/>
        <v>5.3881000000000068</v>
      </c>
      <c r="P38" s="26">
        <f t="shared" si="481"/>
        <v>-3.9148000000000005</v>
      </c>
      <c r="Q38" s="26">
        <f t="shared" si="481"/>
        <v>-3.4314999999999944</v>
      </c>
      <c r="R38" s="26">
        <f t="shared" si="481"/>
        <v>-7.9349999999999863</v>
      </c>
      <c r="S38" s="26">
        <f t="shared" si="481"/>
        <v>1.5133999999999954</v>
      </c>
      <c r="T38" s="26">
        <f t="shared" si="481"/>
        <v>1.9582999999999817</v>
      </c>
      <c r="U38" s="26">
        <f t="shared" ref="U38:Z38" si="482">U34+U35-U36</f>
        <v>2.229999999999988</v>
      </c>
      <c r="V38" s="26">
        <f t="shared" si="482"/>
        <v>16.623700000000007</v>
      </c>
      <c r="W38" s="26">
        <f t="shared" si="482"/>
        <v>21.355999999999984</v>
      </c>
      <c r="X38" s="26">
        <f t="shared" si="482"/>
        <v>19.081999999999965</v>
      </c>
      <c r="Y38" s="26">
        <f t="shared" si="482"/>
        <v>26.743400000000005</v>
      </c>
      <c r="Z38" s="26">
        <f t="shared" si="482"/>
        <v>18.048200000000044</v>
      </c>
      <c r="AA38" s="26">
        <f t="shared" ref="AA38" si="483">AA34+AA35-AA36</f>
        <v>39.561399999999992</v>
      </c>
      <c r="AB38" s="27">
        <f t="shared" ref="AB38:AD38" si="484">AB34+AB35-AB36</f>
        <v>48.4341555142936</v>
      </c>
      <c r="AC38" s="27">
        <f t="shared" si="484"/>
        <v>57.83237895391305</v>
      </c>
      <c r="AD38" s="27">
        <f t="shared" si="484"/>
        <v>67.883476033865989</v>
      </c>
      <c r="AE38" s="27">
        <f t="shared" ref="AE38" si="485">AE34+AE35-AE36</f>
        <v>79.162431165774592</v>
      </c>
      <c r="AI38" s="26">
        <f>AI34+AI35-AI36</f>
        <v>0.64099999999999935</v>
      </c>
      <c r="AJ38" s="26">
        <f t="shared" ref="AJ38" si="486">AJ34+AJ35-AJ36</f>
        <v>0.30000000000000071</v>
      </c>
      <c r="AK38" s="26">
        <f t="shared" ref="AK38:AM38" si="487">AK34+AK35-AK36</f>
        <v>-0.52000000000000068</v>
      </c>
      <c r="AL38" s="26">
        <f t="shared" si="487"/>
        <v>0.65300000000000202</v>
      </c>
      <c r="AM38" s="26">
        <f t="shared" si="487"/>
        <v>-0.2400000000000011</v>
      </c>
      <c r="AN38" s="26">
        <f t="shared" ref="AN38:AO38" si="488">AN34+AN35-AN36</f>
        <v>1.3900000000000012</v>
      </c>
      <c r="AO38" s="26">
        <f t="shared" si="488"/>
        <v>2.9600000000000009</v>
      </c>
      <c r="AP38" s="26">
        <f t="shared" ref="AP38:CD38" si="489">AP34+AP35-AP36</f>
        <v>1.2849999999999953</v>
      </c>
      <c r="AQ38" s="26">
        <f t="shared" si="489"/>
        <v>0.11999999999999833</v>
      </c>
      <c r="AR38" s="26">
        <f t="shared" si="489"/>
        <v>-0.4700000000000038</v>
      </c>
      <c r="AS38" s="26">
        <f t="shared" si="489"/>
        <v>-2.8200000000000047</v>
      </c>
      <c r="AT38" s="26">
        <f t="shared" si="489"/>
        <v>-0.74000000000000032</v>
      </c>
      <c r="AU38" s="26">
        <f t="shared" si="489"/>
        <v>1.2699999999999974</v>
      </c>
      <c r="AV38" s="26">
        <f t="shared" si="489"/>
        <v>-0.50999999999999801</v>
      </c>
      <c r="AW38" s="26">
        <f t="shared" si="489"/>
        <v>-2.3699999999999983</v>
      </c>
      <c r="AX38" s="26">
        <f t="shared" si="489"/>
        <v>-1.8199999999999974</v>
      </c>
      <c r="AY38" s="26">
        <f t="shared" si="489"/>
        <v>-1.019999999999998</v>
      </c>
      <c r="AZ38" s="26">
        <f t="shared" si="489"/>
        <v>-0.52000000000000401</v>
      </c>
      <c r="BA38" s="26">
        <f t="shared" si="489"/>
        <v>-3.4800000000000026</v>
      </c>
      <c r="BB38" s="26">
        <f t="shared" si="489"/>
        <v>-2.9200000000000035</v>
      </c>
      <c r="BC38" s="26">
        <f t="shared" si="489"/>
        <v>-0.94</v>
      </c>
      <c r="BD38" s="26">
        <f t="shared" si="489"/>
        <v>0.46000000000000174</v>
      </c>
      <c r="BE38" s="26">
        <f t="shared" si="489"/>
        <v>0.32999999999999652</v>
      </c>
      <c r="BF38" s="26">
        <f t="shared" si="489"/>
        <v>1.6699999999999995</v>
      </c>
      <c r="BG38" s="26">
        <f t="shared" si="489"/>
        <v>1.9299999999999917</v>
      </c>
      <c r="BH38" s="26">
        <f t="shared" si="489"/>
        <v>0.30999999999999694</v>
      </c>
      <c r="BI38" s="26">
        <f t="shared" si="489"/>
        <v>-3.0900000000000007</v>
      </c>
      <c r="BJ38" s="26">
        <f t="shared" si="489"/>
        <v>2.8300000000000005</v>
      </c>
      <c r="BK38" s="26">
        <f t="shared" si="489"/>
        <v>-0.42999999999999838</v>
      </c>
      <c r="BL38" s="26">
        <f t="shared" si="489"/>
        <v>1.5499999999999954</v>
      </c>
      <c r="BM38" s="26">
        <f t="shared" si="489"/>
        <v>-0.43999999999999995</v>
      </c>
      <c r="BN38" s="26">
        <f t="shared" si="489"/>
        <v>1.5400000000000031</v>
      </c>
      <c r="BO38" s="26">
        <f t="shared" si="489"/>
        <v>1.1300000000000008</v>
      </c>
      <c r="BP38" s="26">
        <f t="shared" si="489"/>
        <v>5.389999999999997</v>
      </c>
      <c r="BQ38" s="26">
        <f t="shared" si="489"/>
        <v>5.4399999999999995</v>
      </c>
      <c r="BR38" s="26">
        <f t="shared" si="489"/>
        <v>4.6800000000000024</v>
      </c>
      <c r="BS38" s="26">
        <f t="shared" si="489"/>
        <v>4.7200000000000051</v>
      </c>
      <c r="BT38" s="26">
        <f t="shared" si="489"/>
        <v>6.5499999999999989</v>
      </c>
      <c r="BU38" s="26">
        <f t="shared" si="489"/>
        <v>5.6000000000000041</v>
      </c>
      <c r="BV38" s="26">
        <f t="shared" si="489"/>
        <v>4.480000000000004</v>
      </c>
      <c r="BW38" s="26">
        <f t="shared" si="489"/>
        <v>5.029999999999994</v>
      </c>
      <c r="BX38" s="26">
        <f t="shared" si="489"/>
        <v>7.8000000000000087</v>
      </c>
      <c r="BY38" s="26">
        <f t="shared" si="489"/>
        <v>1.7500000000000067</v>
      </c>
      <c r="BZ38" s="26">
        <f t="shared" si="489"/>
        <v>4.4999999999999991</v>
      </c>
      <c r="CA38" s="26">
        <f t="shared" si="489"/>
        <v>5.41</v>
      </c>
      <c r="CB38" s="26">
        <f t="shared" si="489"/>
        <v>5.4700000000000086</v>
      </c>
      <c r="CC38" s="26">
        <f t="shared" si="489"/>
        <v>7.2900000000000009</v>
      </c>
      <c r="CD38" s="26">
        <f t="shared" si="489"/>
        <v>8.5700000000000038</v>
      </c>
      <c r="CE38" s="26">
        <f t="shared" ref="CE38:CF38" si="490">CE34+CE35-CE36</f>
        <v>3.7899999999999903</v>
      </c>
      <c r="CF38" s="26">
        <f t="shared" si="490"/>
        <v>4.2999999999999963</v>
      </c>
      <c r="CG38" s="26">
        <f t="shared" ref="CG38:CH38" si="491">CG34+CG35-CG36</f>
        <v>2.3700000000000063</v>
      </c>
      <c r="CH38" s="26">
        <f t="shared" si="491"/>
        <v>7.5800000000000143</v>
      </c>
      <c r="CI38" s="26">
        <f t="shared" ref="CI38:CJ38" si="492">CI34+CI35-CI36</f>
        <v>9.1600000000000037</v>
      </c>
      <c r="CJ38" s="26">
        <f t="shared" si="492"/>
        <v>9.6900000000000119</v>
      </c>
      <c r="CK38" s="26">
        <f t="shared" ref="CK38:CL38" si="493">CK34+CK35-CK36</f>
        <v>6.5799999999999947</v>
      </c>
      <c r="CL38" s="26">
        <f t="shared" si="493"/>
        <v>14.120000000000006</v>
      </c>
      <c r="CM38" s="27">
        <f t="shared" ref="CM38:DB38" si="494">CM34+CM35-CM36</f>
        <v>13.013817795001071</v>
      </c>
      <c r="CN38" s="27">
        <f t="shared" si="494"/>
        <v>13.699396078359097</v>
      </c>
      <c r="CO38" s="27">
        <f t="shared" si="494"/>
        <v>9.5425546544242259</v>
      </c>
      <c r="CP38" s="27">
        <f t="shared" si="494"/>
        <v>12.178386986509185</v>
      </c>
      <c r="CQ38" s="27">
        <f t="shared" si="494"/>
        <v>16.100359131681206</v>
      </c>
      <c r="CR38" s="27">
        <f t="shared" si="494"/>
        <v>16.497442242213886</v>
      </c>
      <c r="CS38" s="27">
        <f t="shared" si="494"/>
        <v>11.481569495261535</v>
      </c>
      <c r="CT38" s="27">
        <f t="shared" si="494"/>
        <v>13.75300808475631</v>
      </c>
      <c r="CU38" s="27">
        <f t="shared" si="494"/>
        <v>19.052673892658579</v>
      </c>
      <c r="CV38" s="27">
        <f t="shared" si="494"/>
        <v>19.329080890972651</v>
      </c>
      <c r="CW38" s="27">
        <f t="shared" si="494"/>
        <v>13.487251690181864</v>
      </c>
      <c r="CX38" s="27">
        <f t="shared" si="494"/>
        <v>16.014469560052806</v>
      </c>
      <c r="CY38" s="27">
        <f t="shared" si="494"/>
        <v>22.227854928910009</v>
      </c>
      <c r="CZ38" s="27">
        <f t="shared" si="494"/>
        <v>22.483913449177916</v>
      </c>
      <c r="DA38" s="27">
        <f t="shared" si="494"/>
        <v>15.780417488023772</v>
      </c>
      <c r="DB38" s="27">
        <f t="shared" si="494"/>
        <v>18.670245299662838</v>
      </c>
      <c r="DE38" s="121"/>
      <c r="DF38" s="26">
        <v>12.693085844217936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-1.3438083000000001</v>
      </c>
      <c r="F39" s="23">
        <f>'Annual Raw'!G30</f>
        <v>0.28029359999999998</v>
      </c>
      <c r="G39" s="23">
        <f>'Annual Raw'!H30</f>
        <v>0.40749790000000002</v>
      </c>
      <c r="H39" s="23">
        <f>'Annual Raw'!I30</f>
        <v>-0.4148</v>
      </c>
      <c r="I39" s="23">
        <f>'Annual Raw'!J30</f>
        <v>6.7900000000000002E-2</v>
      </c>
      <c r="J39" s="23">
        <f>'Annual Raw'!K30</f>
        <v>-1.1133</v>
      </c>
      <c r="K39" s="23">
        <f>'Annual Raw'!L30</f>
        <v>0.88619999999999999</v>
      </c>
      <c r="L39" s="23">
        <f>'Annual Raw'!M30</f>
        <v>1.0524</v>
      </c>
      <c r="M39" s="23">
        <f>'Annual Raw'!N30</f>
        <v>-0.1348</v>
      </c>
      <c r="N39" s="23">
        <f>'Annual Raw'!O30</f>
        <v>0.18809999999999999</v>
      </c>
      <c r="O39" s="23">
        <f>'Annual Raw'!P30</f>
        <v>5.7927</v>
      </c>
      <c r="P39" s="23">
        <f>'Annual Raw'!Q30</f>
        <v>-0.73140000000000005</v>
      </c>
      <c r="Q39" s="23">
        <f>'Annual Raw'!R30</f>
        <v>-2.5859999999999999</v>
      </c>
      <c r="R39" s="23">
        <f>'Annual Raw'!S30</f>
        <v>-1.264</v>
      </c>
      <c r="S39" s="23">
        <f>'Annual Raw'!T30</f>
        <v>0.30859999999999999</v>
      </c>
      <c r="T39" s="23">
        <f>'Annual Raw'!U30</f>
        <v>0</v>
      </c>
      <c r="U39" s="23">
        <f>'Annual Raw'!V30</f>
        <v>0.55010000000000003</v>
      </c>
      <c r="V39" s="23">
        <f>'Annual Raw'!W30</f>
        <v>2.4399000000000002</v>
      </c>
      <c r="W39" s="23">
        <f>'Annual Raw'!X30</f>
        <v>11.700799999999999</v>
      </c>
      <c r="X39" s="23">
        <f>'Annual Raw'!Y30</f>
        <v>5.4208999999999996</v>
      </c>
      <c r="Y39" s="23">
        <f>'Annual Raw'!Z30</f>
        <v>7.8967000000000001</v>
      </c>
      <c r="Z39" s="23">
        <f>'Annual Raw'!AA30</f>
        <v>3.4641000000000002</v>
      </c>
      <c r="AA39" s="23">
        <f>'Annual Raw'!AB30</f>
        <v>9.9567999999999994</v>
      </c>
      <c r="AB39" s="24">
        <f>+SUM(CM39:CP39)</f>
        <v>12.195723280542085</v>
      </c>
      <c r="AC39" s="24">
        <f>+SUM(CQ39:CT39)</f>
        <v>14.544299852645246</v>
      </c>
      <c r="AD39" s="24">
        <f>+SUM(CU39:CX39)</f>
        <v>17.06647043160805</v>
      </c>
      <c r="AE39" s="24">
        <f>+SUM(CY39:DB39)</f>
        <v>19.900781682652678</v>
      </c>
      <c r="AI39" s="23">
        <f>'QTR Raw'!C29</f>
        <v>0</v>
      </c>
      <c r="AJ39" s="23">
        <f>'QTR Raw'!D29</f>
        <v>0.09</v>
      </c>
      <c r="AK39" s="23">
        <f>'QTR Raw'!E29</f>
        <v>-0.19</v>
      </c>
      <c r="AL39" s="23">
        <f>'QTR Raw'!F29</f>
        <v>0.28000000000000003</v>
      </c>
      <c r="AM39" s="23">
        <f>'QTR Raw'!G29</f>
        <v>0</v>
      </c>
      <c r="AN39" s="23">
        <f>'QTR Raw'!H29</f>
        <v>0.27</v>
      </c>
      <c r="AO39" s="23">
        <f>'QTR Raw'!I29</f>
        <v>1.34</v>
      </c>
      <c r="AP39" s="23">
        <f>'QTR Raw'!J29</f>
        <v>4.18</v>
      </c>
      <c r="AQ39" s="23">
        <f>'QTR Raw'!K29</f>
        <v>0.09</v>
      </c>
      <c r="AR39" s="23">
        <f>'QTR Raw'!L29</f>
        <v>-0.2</v>
      </c>
      <c r="AS39" s="23">
        <f>'QTR Raw'!M29</f>
        <v>-0.73</v>
      </c>
      <c r="AT39" s="23">
        <f>'QTR Raw'!N29</f>
        <v>0.11</v>
      </c>
      <c r="AU39" s="23">
        <f>'QTR Raw'!O29</f>
        <v>0.41</v>
      </c>
      <c r="AV39" s="23">
        <f>'QTR Raw'!P29</f>
        <v>-0.17</v>
      </c>
      <c r="AW39" s="23">
        <f>'QTR Raw'!Q29</f>
        <v>-0.79</v>
      </c>
      <c r="AX39" s="23">
        <f>'QTR Raw'!R29</f>
        <v>-2.06</v>
      </c>
      <c r="AY39" s="23">
        <f>'QTR Raw'!S29</f>
        <v>-0.34</v>
      </c>
      <c r="AZ39" s="23">
        <f>'QTR Raw'!T29</f>
        <v>-0.17</v>
      </c>
      <c r="BA39" s="23">
        <f>'QTR Raw'!U29</f>
        <v>-0.82</v>
      </c>
      <c r="BB39" s="23">
        <f>'QTR Raw'!V29</f>
        <v>0.01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0.31</v>
      </c>
      <c r="BG39" s="23">
        <f>'QTR Raw'!AA29</f>
        <v>0.1</v>
      </c>
      <c r="BH39" s="23">
        <f>'QTR Raw'!AB29</f>
        <v>0.11</v>
      </c>
      <c r="BI39" s="23">
        <f>'QTR Raw'!AC29</f>
        <v>-0.21</v>
      </c>
      <c r="BJ39" s="23">
        <f>'QTR Raw'!AD29</f>
        <v>0</v>
      </c>
      <c r="BK39" s="23">
        <f>'QTR Raw'!AE29</f>
        <v>0</v>
      </c>
      <c r="BL39" s="23">
        <f>'QTR Raw'!AF29</f>
        <v>0.05</v>
      </c>
      <c r="BM39" s="23">
        <f>'QTR Raw'!AG29</f>
        <v>-0.05</v>
      </c>
      <c r="BN39" s="23">
        <f>'QTR Raw'!AH29</f>
        <v>0.55000000000000004</v>
      </c>
      <c r="BO39" s="23">
        <f>'QTR Raw'!AI29</f>
        <v>0.32</v>
      </c>
      <c r="BP39" s="23">
        <f>'QTR Raw'!AJ29</f>
        <v>-0.75</v>
      </c>
      <c r="BQ39" s="23">
        <f>'QTR Raw'!AK29</f>
        <v>1.5</v>
      </c>
      <c r="BR39" s="23">
        <f>'QTR Raw'!AL29</f>
        <v>1.38</v>
      </c>
      <c r="BS39" s="23">
        <f>'QTR Raw'!AM29</f>
        <v>6.22</v>
      </c>
      <c r="BT39" s="23">
        <f>'QTR Raw'!AN29</f>
        <v>1.97</v>
      </c>
      <c r="BU39" s="23">
        <f>'QTR Raw'!AO29</f>
        <v>1.81</v>
      </c>
      <c r="BV39" s="23">
        <f>'QTR Raw'!AP29</f>
        <v>1.69</v>
      </c>
      <c r="BW39" s="23">
        <f>'QTR Raw'!AQ29</f>
        <v>1.21</v>
      </c>
      <c r="BX39" s="23">
        <f>'QTR Raw'!AR29</f>
        <v>2.31</v>
      </c>
      <c r="BY39" s="23">
        <f>'QTR Raw'!AS29</f>
        <v>0.75</v>
      </c>
      <c r="BZ39" s="23">
        <f>'QTR Raw'!AT29</f>
        <v>1.1499999999999999</v>
      </c>
      <c r="CA39" s="23">
        <f>'QTR Raw'!AU29</f>
        <v>1.57</v>
      </c>
      <c r="CB39" s="23">
        <f>'QTR Raw'!AV29</f>
        <v>1.59</v>
      </c>
      <c r="CC39" s="23">
        <f>'QTR Raw'!AW29</f>
        <v>2.16</v>
      </c>
      <c r="CD39" s="23">
        <f>'QTR Raw'!AX29</f>
        <v>2.58</v>
      </c>
      <c r="CE39" s="23">
        <f>'QTR Raw'!AY29</f>
        <v>-0.22</v>
      </c>
      <c r="CF39" s="23">
        <f>'QTR Raw'!AZ29</f>
        <v>1.1100000000000001</v>
      </c>
      <c r="CG39" s="23">
        <f>'QTR Raw'!BA29</f>
        <v>0.74</v>
      </c>
      <c r="CH39" s="23">
        <f>'QTR Raw'!BB29</f>
        <v>1.84</v>
      </c>
      <c r="CI39" s="23">
        <f>'QTR Raw'!BC29</f>
        <v>2.34</v>
      </c>
      <c r="CJ39" s="23">
        <f>'QTR Raw'!BD29</f>
        <v>2.46</v>
      </c>
      <c r="CK39" s="23">
        <f>'QTR Raw'!BE29</f>
        <v>1.69</v>
      </c>
      <c r="CL39" s="23">
        <f>'QTR Raw'!BF29</f>
        <v>3.46</v>
      </c>
      <c r="CM39" s="24">
        <f t="shared" ref="CM39:DB39" si="495">+CM38*CM40</f>
        <v>3.2899252925219389</v>
      </c>
      <c r="CN39" s="24">
        <f t="shared" si="495"/>
        <v>3.4541446249471566</v>
      </c>
      <c r="CO39" s="24">
        <f t="shared" si="495"/>
        <v>2.4019142756089837</v>
      </c>
      <c r="CP39" s="24">
        <f t="shared" si="495"/>
        <v>3.0497390874640047</v>
      </c>
      <c r="CQ39" s="24">
        <f t="shared" si="495"/>
        <v>4.0535421928101041</v>
      </c>
      <c r="CR39" s="24">
        <f t="shared" si="495"/>
        <v>4.1492448251929375</v>
      </c>
      <c r="CS39" s="24">
        <f t="shared" si="495"/>
        <v>2.8859022397342682</v>
      </c>
      <c r="CT39" s="24">
        <f t="shared" si="495"/>
        <v>3.4556105949079354</v>
      </c>
      <c r="CU39" s="24">
        <f t="shared" si="495"/>
        <v>4.7912167556545153</v>
      </c>
      <c r="CV39" s="24">
        <f t="shared" si="495"/>
        <v>4.8592996700510032</v>
      </c>
      <c r="CW39" s="24">
        <f t="shared" si="495"/>
        <v>3.3903023973897759</v>
      </c>
      <c r="CX39" s="24">
        <f t="shared" si="495"/>
        <v>4.0256516085127547</v>
      </c>
      <c r="CY39" s="24">
        <f t="shared" si="495"/>
        <v>5.5881788993128376</v>
      </c>
      <c r="CZ39" s="24">
        <f t="shared" si="495"/>
        <v>5.6521719179418106</v>
      </c>
      <c r="DA39" s="24">
        <f t="shared" si="495"/>
        <v>3.966954247266758</v>
      </c>
      <c r="DB39" s="24">
        <f t="shared" si="495"/>
        <v>4.6934766181312719</v>
      </c>
      <c r="DE39" s="123"/>
      <c r="DF39" s="23">
        <v>3.2015499218804404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>
        <f t="shared" si="496"/>
        <v>1.2050114644861041</v>
      </c>
      <c r="F40" s="90">
        <f t="shared" ref="F40:T40" si="497">F39/F38</f>
        <v>-0.33113751345609049</v>
      </c>
      <c r="G40" s="90">
        <f t="shared" si="497"/>
        <v>0.52764122697740656</v>
      </c>
      <c r="H40" s="90">
        <f t="shared" si="497"/>
        <v>0.15137028792467944</v>
      </c>
      <c r="I40" s="90">
        <f t="shared" si="497"/>
        <v>-0.31348107109880202</v>
      </c>
      <c r="J40" s="90">
        <f t="shared" si="497"/>
        <v>-0.43736004714201454</v>
      </c>
      <c r="K40" s="90">
        <f t="shared" si="497"/>
        <v>0.23151679816082324</v>
      </c>
      <c r="L40" s="90">
        <f t="shared" si="497"/>
        <v>0.39725200060395838</v>
      </c>
      <c r="M40" s="90">
        <f t="shared" si="497"/>
        <v>-0.16170825335892486</v>
      </c>
      <c r="N40" s="90">
        <f t="shared" si="497"/>
        <v>0.1825504658385069</v>
      </c>
      <c r="O40" s="90">
        <f t="shared" si="497"/>
        <v>1.0750914051335336</v>
      </c>
      <c r="P40" s="90">
        <f t="shared" si="497"/>
        <v>0.18682946766118319</v>
      </c>
      <c r="Q40" s="90">
        <f t="shared" si="497"/>
        <v>0.75360629462334372</v>
      </c>
      <c r="R40" s="90">
        <f t="shared" si="497"/>
        <v>0.15929426591052329</v>
      </c>
      <c r="S40" s="90">
        <f t="shared" si="497"/>
        <v>0.20391172195057547</v>
      </c>
      <c r="T40" s="90">
        <f t="shared" si="497"/>
        <v>0</v>
      </c>
      <c r="U40" s="90">
        <f t="shared" ref="U40:Z40" si="498">U39/U38</f>
        <v>0.24668161434977712</v>
      </c>
      <c r="V40" s="90">
        <f t="shared" si="498"/>
        <v>0.14677237919356095</v>
      </c>
      <c r="W40" s="90">
        <f t="shared" si="498"/>
        <v>0.54789286383217872</v>
      </c>
      <c r="X40" s="90">
        <f t="shared" si="498"/>
        <v>0.28408447751808036</v>
      </c>
      <c r="Y40" s="90">
        <f t="shared" si="498"/>
        <v>0.29527659160764896</v>
      </c>
      <c r="Z40" s="90">
        <f t="shared" si="498"/>
        <v>0.19193603794284148</v>
      </c>
      <c r="AA40" s="90">
        <f t="shared" ref="AA40" si="499">AA39/AA38</f>
        <v>0.25167966755473775</v>
      </c>
      <c r="AB40" s="91">
        <f t="shared" ref="AA40:AD40" si="500">AB39/AB38</f>
        <v>0.25180006033021379</v>
      </c>
      <c r="AC40" s="91">
        <f t="shared" si="500"/>
        <v>0.25149060294122916</v>
      </c>
      <c r="AD40" s="91">
        <f t="shared" si="500"/>
        <v>0.25140831655547308</v>
      </c>
      <c r="AE40" s="91">
        <f t="shared" ref="AE40" si="501">AE39/AE38</f>
        <v>0.25139174466456587</v>
      </c>
      <c r="AI40" s="90">
        <f t="shared" ref="AI40" si="502">AI39/AI38</f>
        <v>0</v>
      </c>
      <c r="AJ40" s="90">
        <f t="shared" ref="AJ40" si="503">AJ39/AJ38</f>
        <v>0.29999999999999927</v>
      </c>
      <c r="AK40" s="90">
        <f t="shared" ref="AK40:AM40" si="504">AK39/AK38</f>
        <v>0.36538461538461492</v>
      </c>
      <c r="AL40" s="90">
        <f t="shared" si="504"/>
        <v>0.42879019908116256</v>
      </c>
      <c r="AM40" s="90">
        <f t="shared" si="504"/>
        <v>0</v>
      </c>
      <c r="AN40" s="90">
        <f t="shared" ref="AN40:AO40" si="505">AN39/AN38</f>
        <v>0.19424460431654661</v>
      </c>
      <c r="AO40" s="90">
        <f t="shared" si="505"/>
        <v>0.45270270270270258</v>
      </c>
      <c r="AP40" s="90">
        <f t="shared" ref="AP40:CD40" si="506">AP39/AP38</f>
        <v>3.2529182879377552</v>
      </c>
      <c r="AQ40" s="90">
        <f t="shared" si="506"/>
        <v>0.75000000000001044</v>
      </c>
      <c r="AR40" s="90">
        <f t="shared" si="506"/>
        <v>0.42553191489361358</v>
      </c>
      <c r="AS40" s="90">
        <f t="shared" si="506"/>
        <v>0.2588652482269499</v>
      </c>
      <c r="AT40" s="90">
        <f t="shared" si="506"/>
        <v>-0.14864864864864857</v>
      </c>
      <c r="AU40" s="90">
        <f t="shared" si="506"/>
        <v>0.32283464566929199</v>
      </c>
      <c r="AV40" s="90">
        <f t="shared" si="506"/>
        <v>0.33333333333333465</v>
      </c>
      <c r="AW40" s="90">
        <f t="shared" si="506"/>
        <v>0.33333333333333359</v>
      </c>
      <c r="AX40" s="90">
        <f t="shared" si="506"/>
        <v>1.1318681318681336</v>
      </c>
      <c r="AY40" s="90">
        <f t="shared" si="506"/>
        <v>0.33333333333333398</v>
      </c>
      <c r="AZ40" s="90">
        <f t="shared" si="506"/>
        <v>0.32692307692307443</v>
      </c>
      <c r="BA40" s="90">
        <f t="shared" si="506"/>
        <v>0.23563218390804577</v>
      </c>
      <c r="BB40" s="90">
        <f t="shared" si="506"/>
        <v>-3.4246575342465712E-3</v>
      </c>
      <c r="BC40" s="90">
        <f t="shared" si="506"/>
        <v>0</v>
      </c>
      <c r="BD40" s="90">
        <f t="shared" si="506"/>
        <v>0</v>
      </c>
      <c r="BE40" s="90">
        <f t="shared" si="506"/>
        <v>0</v>
      </c>
      <c r="BF40" s="90">
        <f t="shared" si="506"/>
        <v>0.18562874251497011</v>
      </c>
      <c r="BG40" s="90">
        <f t="shared" si="506"/>
        <v>5.1813471502590899E-2</v>
      </c>
      <c r="BH40" s="90">
        <f t="shared" si="506"/>
        <v>0.35483870967742287</v>
      </c>
      <c r="BI40" s="90">
        <f t="shared" si="506"/>
        <v>6.7961165048543673E-2</v>
      </c>
      <c r="BJ40" s="90">
        <f t="shared" si="506"/>
        <v>0</v>
      </c>
      <c r="BK40" s="90">
        <f t="shared" si="506"/>
        <v>0</v>
      </c>
      <c r="BL40" s="90">
        <f t="shared" si="506"/>
        <v>3.2258064516129129E-2</v>
      </c>
      <c r="BM40" s="90">
        <f t="shared" si="506"/>
        <v>0.11363636363636366</v>
      </c>
      <c r="BN40" s="90">
        <f t="shared" si="506"/>
        <v>0.35714285714285643</v>
      </c>
      <c r="BO40" s="90">
        <f t="shared" si="506"/>
        <v>0.28318584070796443</v>
      </c>
      <c r="BP40" s="90">
        <f t="shared" si="506"/>
        <v>-0.13914656771799636</v>
      </c>
      <c r="BQ40" s="90">
        <f t="shared" si="506"/>
        <v>0.27573529411764708</v>
      </c>
      <c r="BR40" s="90">
        <f t="shared" si="506"/>
        <v>0.29487179487179471</v>
      </c>
      <c r="BS40" s="90">
        <f t="shared" si="506"/>
        <v>1.31779661016949</v>
      </c>
      <c r="BT40" s="90">
        <f t="shared" si="506"/>
        <v>0.30076335877862598</v>
      </c>
      <c r="BU40" s="90">
        <f t="shared" si="506"/>
        <v>0.32321428571428551</v>
      </c>
      <c r="BV40" s="90">
        <f t="shared" si="506"/>
        <v>0.37723214285714252</v>
      </c>
      <c r="BW40" s="90">
        <f t="shared" si="506"/>
        <v>0.2405566600397617</v>
      </c>
      <c r="BX40" s="90">
        <f t="shared" si="506"/>
        <v>0.29615384615384582</v>
      </c>
      <c r="BY40" s="90">
        <f t="shared" si="506"/>
        <v>0.42857142857142694</v>
      </c>
      <c r="BZ40" s="90">
        <f t="shared" si="506"/>
        <v>0.25555555555555559</v>
      </c>
      <c r="CA40" s="90">
        <f t="shared" si="506"/>
        <v>0.29020332717190389</v>
      </c>
      <c r="CB40" s="90">
        <f t="shared" si="506"/>
        <v>0.29067641681901235</v>
      </c>
      <c r="CC40" s="90">
        <f t="shared" si="506"/>
        <v>0.29629629629629628</v>
      </c>
      <c r="CD40" s="90">
        <f t="shared" si="506"/>
        <v>0.30105017502917142</v>
      </c>
      <c r="CE40" s="90">
        <f t="shared" ref="CE40:CF40" si="507">CE39/CE38</f>
        <v>-5.8047493403694084E-2</v>
      </c>
      <c r="CF40" s="90">
        <f t="shared" si="507"/>
        <v>0.25813953488372116</v>
      </c>
      <c r="CG40" s="90">
        <f t="shared" ref="CG40:CH40" si="508">CG39/CG38</f>
        <v>0.31223628691983041</v>
      </c>
      <c r="CH40" s="90">
        <f t="shared" si="508"/>
        <v>0.24274406332453782</v>
      </c>
      <c r="CI40" s="90">
        <f t="shared" ref="CI40:CJ40" si="509">CI39/CI38</f>
        <v>0.25545851528384267</v>
      </c>
      <c r="CJ40" s="90">
        <f t="shared" si="509"/>
        <v>0.25386996904024733</v>
      </c>
      <c r="CK40" s="90">
        <f t="shared" ref="CK40:CL40" si="510">CK39/CK38</f>
        <v>0.25683890577507618</v>
      </c>
      <c r="CL40" s="90">
        <f t="shared" si="510"/>
        <v>0.24504249291784691</v>
      </c>
      <c r="CM40" s="91">
        <f t="shared" ref="CM40:DB40" si="511">AVERAGE(CI40:CL40)</f>
        <v>0.25280247075425327</v>
      </c>
      <c r="CN40" s="91">
        <f t="shared" si="511"/>
        <v>0.25213845962185594</v>
      </c>
      <c r="CO40" s="91">
        <f t="shared" si="511"/>
        <v>0.25170558226725809</v>
      </c>
      <c r="CP40" s="91">
        <f t="shared" si="511"/>
        <v>0.25042225139030355</v>
      </c>
      <c r="CQ40" s="91">
        <f t="shared" si="511"/>
        <v>0.25176719100841771</v>
      </c>
      <c r="CR40" s="91">
        <f t="shared" si="511"/>
        <v>0.25150837107195878</v>
      </c>
      <c r="CS40" s="91">
        <f t="shared" si="511"/>
        <v>0.25135084893448456</v>
      </c>
      <c r="CT40" s="91">
        <f t="shared" si="511"/>
        <v>0.25126216560129111</v>
      </c>
      <c r="CU40" s="91">
        <f t="shared" si="511"/>
        <v>0.25147214415403807</v>
      </c>
      <c r="CV40" s="91">
        <f t="shared" si="511"/>
        <v>0.2513983824404431</v>
      </c>
      <c r="CW40" s="91">
        <f t="shared" si="511"/>
        <v>0.25137088528256424</v>
      </c>
      <c r="CX40" s="91">
        <f t="shared" si="511"/>
        <v>0.25137589436958413</v>
      </c>
      <c r="CY40" s="91">
        <f t="shared" si="511"/>
        <v>0.2514043265616574</v>
      </c>
      <c r="CZ40" s="91">
        <f t="shared" si="511"/>
        <v>0.25138737216356222</v>
      </c>
      <c r="DA40" s="91">
        <f t="shared" si="511"/>
        <v>0.251384619594342</v>
      </c>
      <c r="DB40" s="91">
        <f t="shared" si="511"/>
        <v>0.25138805317228641</v>
      </c>
      <c r="DE40" s="127"/>
      <c r="DF40" s="90">
        <v>0.25222786335592601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0.2286253000000058</v>
      </c>
      <c r="F41" s="26">
        <f t="shared" ref="F41:T41" si="513">F38-F39</f>
        <v>-1.1267504000000019</v>
      </c>
      <c r="G41" s="26">
        <f t="shared" si="513"/>
        <v>0.36480319999999861</v>
      </c>
      <c r="H41" s="26">
        <f t="shared" si="513"/>
        <v>-2.3255000000000061</v>
      </c>
      <c r="I41" s="26">
        <f t="shared" si="513"/>
        <v>-0.28449999999999837</v>
      </c>
      <c r="J41" s="26">
        <f t="shared" si="513"/>
        <v>3.6588000000000047</v>
      </c>
      <c r="K41" s="26">
        <f t="shared" si="513"/>
        <v>2.9416000000000033</v>
      </c>
      <c r="L41" s="26">
        <f t="shared" si="513"/>
        <v>1.5967999999999836</v>
      </c>
      <c r="M41" s="26">
        <f t="shared" si="513"/>
        <v>0.96840000000000148</v>
      </c>
      <c r="N41" s="26">
        <f t="shared" si="513"/>
        <v>0.84230000000001359</v>
      </c>
      <c r="O41" s="26">
        <f t="shared" si="513"/>
        <v>-0.40459999999999319</v>
      </c>
      <c r="P41" s="26">
        <f t="shared" si="513"/>
        <v>-3.1834000000000007</v>
      </c>
      <c r="Q41" s="26">
        <f t="shared" si="513"/>
        <v>-0.84549999999999459</v>
      </c>
      <c r="R41" s="26">
        <f t="shared" si="513"/>
        <v>-6.6709999999999861</v>
      </c>
      <c r="S41" s="26">
        <f t="shared" si="513"/>
        <v>1.2047999999999954</v>
      </c>
      <c r="T41" s="26">
        <f t="shared" si="513"/>
        <v>1.9582999999999817</v>
      </c>
      <c r="U41" s="26">
        <f t="shared" ref="U41:Z41" si="514">U38-U39</f>
        <v>1.679899999999988</v>
      </c>
      <c r="V41" s="26">
        <f t="shared" si="514"/>
        <v>14.183800000000007</v>
      </c>
      <c r="W41" s="26">
        <f t="shared" si="514"/>
        <v>9.6551999999999847</v>
      </c>
      <c r="X41" s="26">
        <f t="shared" si="514"/>
        <v>13.661099999999966</v>
      </c>
      <c r="Y41" s="26">
        <f t="shared" si="514"/>
        <v>18.846700000000006</v>
      </c>
      <c r="Z41" s="26">
        <f t="shared" si="514"/>
        <v>14.584100000000044</v>
      </c>
      <c r="AA41" s="26">
        <f t="shared" ref="AA41" si="515">AA38-AA39</f>
        <v>29.604599999999991</v>
      </c>
      <c r="AB41" s="27">
        <f t="shared" ref="AA41:AD41" si="516">AB38-AB39</f>
        <v>36.238432233751517</v>
      </c>
      <c r="AC41" s="27">
        <f t="shared" si="516"/>
        <v>43.288079101267805</v>
      </c>
      <c r="AD41" s="27">
        <f t="shared" si="516"/>
        <v>50.817005602257936</v>
      </c>
      <c r="AE41" s="27">
        <f t="shared" ref="AE41" si="517">AE38-AE39</f>
        <v>59.261649483121914</v>
      </c>
      <c r="AI41" s="26">
        <f>AI38-AI39</f>
        <v>0.64099999999999935</v>
      </c>
      <c r="AJ41" s="26">
        <f t="shared" ref="AJ41" si="518">AJ38-AJ39</f>
        <v>0.21000000000000071</v>
      </c>
      <c r="AK41" s="26">
        <f t="shared" ref="AK41:AM41" si="519">AK38-AK39</f>
        <v>-0.33000000000000068</v>
      </c>
      <c r="AL41" s="26">
        <f t="shared" si="519"/>
        <v>0.373000000000002</v>
      </c>
      <c r="AM41" s="26">
        <f t="shared" si="519"/>
        <v>-0.2400000000000011</v>
      </c>
      <c r="AN41" s="26">
        <f t="shared" ref="AN41:AO41" si="520">AN38-AN39</f>
        <v>1.1200000000000012</v>
      </c>
      <c r="AO41" s="26">
        <f t="shared" si="520"/>
        <v>1.6200000000000008</v>
      </c>
      <c r="AP41" s="26">
        <f t="shared" ref="AP41:CD41" si="521">AP38-AP39</f>
        <v>-2.8950000000000045</v>
      </c>
      <c r="AQ41" s="26">
        <f t="shared" si="521"/>
        <v>2.9999999999998334E-2</v>
      </c>
      <c r="AR41" s="26">
        <f t="shared" si="521"/>
        <v>-0.27000000000000379</v>
      </c>
      <c r="AS41" s="26">
        <f t="shared" si="521"/>
        <v>-2.0900000000000047</v>
      </c>
      <c r="AT41" s="26">
        <f t="shared" si="521"/>
        <v>-0.85000000000000031</v>
      </c>
      <c r="AU41" s="26">
        <f t="shared" si="521"/>
        <v>0.85999999999999743</v>
      </c>
      <c r="AV41" s="26">
        <f t="shared" si="521"/>
        <v>-0.33999999999999797</v>
      </c>
      <c r="AW41" s="26">
        <f t="shared" si="521"/>
        <v>-1.5799999999999983</v>
      </c>
      <c r="AX41" s="26">
        <f t="shared" si="521"/>
        <v>0.24000000000000266</v>
      </c>
      <c r="AY41" s="26">
        <f t="shared" si="521"/>
        <v>-0.67999999999999794</v>
      </c>
      <c r="AZ41" s="26">
        <f t="shared" si="521"/>
        <v>-0.35000000000000397</v>
      </c>
      <c r="BA41" s="26">
        <f t="shared" si="521"/>
        <v>-2.6600000000000028</v>
      </c>
      <c r="BB41" s="26">
        <f t="shared" si="521"/>
        <v>-2.9300000000000033</v>
      </c>
      <c r="BC41" s="26">
        <f t="shared" si="521"/>
        <v>-0.94</v>
      </c>
      <c r="BD41" s="26">
        <f t="shared" si="521"/>
        <v>0.46000000000000174</v>
      </c>
      <c r="BE41" s="26">
        <f t="shared" si="521"/>
        <v>0.32999999999999652</v>
      </c>
      <c r="BF41" s="26">
        <f t="shared" si="521"/>
        <v>1.3599999999999994</v>
      </c>
      <c r="BG41" s="26">
        <f t="shared" si="521"/>
        <v>1.8299999999999916</v>
      </c>
      <c r="BH41" s="26">
        <f t="shared" si="521"/>
        <v>0.19999999999999696</v>
      </c>
      <c r="BI41" s="26">
        <f t="shared" si="521"/>
        <v>-2.8800000000000008</v>
      </c>
      <c r="BJ41" s="26">
        <f t="shared" si="521"/>
        <v>2.8300000000000005</v>
      </c>
      <c r="BK41" s="26">
        <f t="shared" si="521"/>
        <v>-0.42999999999999838</v>
      </c>
      <c r="BL41" s="26">
        <f t="shared" si="521"/>
        <v>1.4999999999999953</v>
      </c>
      <c r="BM41" s="26">
        <f t="shared" si="521"/>
        <v>-0.38999999999999996</v>
      </c>
      <c r="BN41" s="26">
        <f t="shared" si="521"/>
        <v>0.9900000000000031</v>
      </c>
      <c r="BO41" s="26">
        <f t="shared" si="521"/>
        <v>0.81000000000000072</v>
      </c>
      <c r="BP41" s="26">
        <f t="shared" si="521"/>
        <v>6.139999999999997</v>
      </c>
      <c r="BQ41" s="26">
        <f t="shared" si="521"/>
        <v>3.9399999999999995</v>
      </c>
      <c r="BR41" s="26">
        <f t="shared" si="521"/>
        <v>3.3000000000000025</v>
      </c>
      <c r="BS41" s="26">
        <f t="shared" si="521"/>
        <v>-1.4999999999999947</v>
      </c>
      <c r="BT41" s="26">
        <f t="shared" si="521"/>
        <v>4.5799999999999992</v>
      </c>
      <c r="BU41" s="26">
        <f t="shared" si="521"/>
        <v>3.790000000000004</v>
      </c>
      <c r="BV41" s="26">
        <f t="shared" si="521"/>
        <v>2.790000000000004</v>
      </c>
      <c r="BW41" s="26">
        <f t="shared" si="521"/>
        <v>3.8199999999999941</v>
      </c>
      <c r="BX41" s="26">
        <f t="shared" si="521"/>
        <v>5.4900000000000091</v>
      </c>
      <c r="BY41" s="26">
        <f t="shared" si="521"/>
        <v>1.0000000000000067</v>
      </c>
      <c r="BZ41" s="26">
        <f t="shared" si="521"/>
        <v>3.3499999999999992</v>
      </c>
      <c r="CA41" s="26">
        <f t="shared" si="521"/>
        <v>3.84</v>
      </c>
      <c r="CB41" s="26">
        <f t="shared" si="521"/>
        <v>3.8800000000000088</v>
      </c>
      <c r="CC41" s="26">
        <f t="shared" si="521"/>
        <v>5.1300000000000008</v>
      </c>
      <c r="CD41" s="26">
        <f t="shared" si="521"/>
        <v>5.9900000000000038</v>
      </c>
      <c r="CE41" s="26">
        <f t="shared" ref="CE41:CF41" si="522">CE38-CE39</f>
        <v>4.00999999999999</v>
      </c>
      <c r="CF41" s="26">
        <f t="shared" si="522"/>
        <v>3.1899999999999959</v>
      </c>
      <c r="CG41" s="26">
        <f t="shared" ref="CG41:CH41" si="523">CG38-CG39</f>
        <v>1.6300000000000063</v>
      </c>
      <c r="CH41" s="26">
        <f t="shared" si="523"/>
        <v>5.7400000000000144</v>
      </c>
      <c r="CI41" s="26">
        <f t="shared" ref="CI41:CJ41" si="524">CI38-CI39</f>
        <v>6.8200000000000038</v>
      </c>
      <c r="CJ41" s="26">
        <f t="shared" si="524"/>
        <v>7.230000000000012</v>
      </c>
      <c r="CK41" s="26">
        <f t="shared" ref="CK41:CL41" si="525">CK38-CK39</f>
        <v>4.8899999999999952</v>
      </c>
      <c r="CL41" s="26">
        <f t="shared" si="525"/>
        <v>10.660000000000007</v>
      </c>
      <c r="CM41" s="27">
        <f t="shared" ref="CM41:DB41" si="526">CM38-CM39</f>
        <v>9.7238925024791314</v>
      </c>
      <c r="CN41" s="27">
        <f t="shared" si="526"/>
        <v>10.245251453411941</v>
      </c>
      <c r="CO41" s="27">
        <f t="shared" si="526"/>
        <v>7.1406403788152417</v>
      </c>
      <c r="CP41" s="27">
        <f t="shared" si="526"/>
        <v>9.1286478990451805</v>
      </c>
      <c r="CQ41" s="27">
        <f t="shared" si="526"/>
        <v>12.046816938871101</v>
      </c>
      <c r="CR41" s="27">
        <f t="shared" si="526"/>
        <v>12.348197417020948</v>
      </c>
      <c r="CS41" s="27">
        <f t="shared" si="526"/>
        <v>8.5956672555272675</v>
      </c>
      <c r="CT41" s="27">
        <f t="shared" si="526"/>
        <v>10.297397489848375</v>
      </c>
      <c r="CU41" s="27">
        <f t="shared" si="526"/>
        <v>14.261457137004063</v>
      </c>
      <c r="CV41" s="27">
        <f t="shared" si="526"/>
        <v>14.469781220921648</v>
      </c>
      <c r="CW41" s="27">
        <f t="shared" si="526"/>
        <v>10.096949292792088</v>
      </c>
      <c r="CX41" s="27">
        <f t="shared" si="526"/>
        <v>11.988817951540051</v>
      </c>
      <c r="CY41" s="27">
        <f t="shared" si="526"/>
        <v>16.639676029597172</v>
      </c>
      <c r="CZ41" s="27">
        <f t="shared" si="526"/>
        <v>16.831741531236105</v>
      </c>
      <c r="DA41" s="27">
        <f t="shared" si="526"/>
        <v>11.813463240757015</v>
      </c>
      <c r="DB41" s="27">
        <f t="shared" si="526"/>
        <v>13.976768681531567</v>
      </c>
      <c r="DE41" s="121"/>
      <c r="DF41" s="26">
        <v>9.491535922337496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>
        <f t="shared" si="527"/>
        <v>1.092525321191418E-2</v>
      </c>
      <c r="F42" s="45">
        <f t="shared" ref="F42:AE42" si="528">+F41/F10</f>
        <v>-6.4591005142651869E-2</v>
      </c>
      <c r="G42" s="45">
        <f t="shared" si="528"/>
        <v>1.3347202398962917E-2</v>
      </c>
      <c r="H42" s="45">
        <f t="shared" si="528"/>
        <v>-6.9514400585888064E-2</v>
      </c>
      <c r="I42" s="45">
        <f t="shared" si="528"/>
        <v>-6.7762296058115606E-3</v>
      </c>
      <c r="J42" s="45">
        <f t="shared" si="528"/>
        <v>5.803934010152291E-2</v>
      </c>
      <c r="K42" s="45">
        <f t="shared" si="528"/>
        <v>4.5604009729764979E-2</v>
      </c>
      <c r="L42" s="45">
        <f t="shared" si="528"/>
        <v>2.0176315320631112E-2</v>
      </c>
      <c r="M42" s="45">
        <f t="shared" si="528"/>
        <v>1.0271695031210738E-2</v>
      </c>
      <c r="N42" s="45">
        <f t="shared" si="528"/>
        <v>7.9989895613329955E-3</v>
      </c>
      <c r="O42" s="45">
        <f t="shared" si="528"/>
        <v>-3.0272535119058243E-3</v>
      </c>
      <c r="P42" s="45">
        <f t="shared" si="528"/>
        <v>-2.6750024158547301E-2</v>
      </c>
      <c r="Q42" s="45">
        <f t="shared" si="528"/>
        <v>-5.6281156829057358E-3</v>
      </c>
      <c r="R42" s="45">
        <f t="shared" si="528"/>
        <v>-4.0254160582179711E-2</v>
      </c>
      <c r="S42" s="45">
        <f t="shared" si="528"/>
        <v>6.5703975450446643E-3</v>
      </c>
      <c r="T42" s="45">
        <f t="shared" si="528"/>
        <v>1.0323740438296274E-2</v>
      </c>
      <c r="U42" s="45">
        <f t="shared" si="528"/>
        <v>9.2772482927189585E-3</v>
      </c>
      <c r="V42" s="45">
        <f t="shared" si="528"/>
        <v>7.1399842237548805E-2</v>
      </c>
      <c r="W42" s="45">
        <f t="shared" si="528"/>
        <v>3.9569810683586532E-2</v>
      </c>
      <c r="X42" s="45">
        <f t="shared" si="528"/>
        <v>5.5814267037097423E-2</v>
      </c>
      <c r="Y42" s="45">
        <f t="shared" si="528"/>
        <v>6.6507890240296103E-2</v>
      </c>
      <c r="Z42" s="45">
        <f t="shared" ref="Z42:AA42" si="529">+Z41/Z10</f>
        <v>3.9869620891275777E-2</v>
      </c>
      <c r="AA42" s="45">
        <f t="shared" si="529"/>
        <v>6.7143873540556398E-2</v>
      </c>
      <c r="AB42" s="48">
        <f t="shared" si="528"/>
        <v>7.07198386648447E-2</v>
      </c>
      <c r="AC42" s="48">
        <f t="shared" si="528"/>
        <v>7.3626983637240379E-2</v>
      </c>
      <c r="AD42" s="48">
        <f t="shared" si="528"/>
        <v>7.5523457095839061E-2</v>
      </c>
      <c r="AE42" s="48">
        <f t="shared" si="528"/>
        <v>7.6988068532663739E-2</v>
      </c>
      <c r="AI42" s="45">
        <f t="shared" ref="AI42:BN42" si="530">+AI41/AI10</f>
        <v>2.4001198187741015E-2</v>
      </c>
      <c r="AJ42" s="45">
        <f t="shared" si="530"/>
        <v>7.9096045197740387E-3</v>
      </c>
      <c r="AK42" s="45">
        <f t="shared" si="530"/>
        <v>-1.3653289201489479E-2</v>
      </c>
      <c r="AL42" s="45">
        <f t="shared" si="530"/>
        <v>1.3392215998851141E-2</v>
      </c>
      <c r="AM42" s="45">
        <f t="shared" si="530"/>
        <v>-8.5839979970671731E-3</v>
      </c>
      <c r="AN42" s="45">
        <f t="shared" si="530"/>
        <v>3.2758116408306559E-2</v>
      </c>
      <c r="AO42" s="45">
        <f t="shared" si="530"/>
        <v>4.6431642304385234E-2</v>
      </c>
      <c r="AP42" s="45">
        <f t="shared" si="530"/>
        <v>-7.9141607435757363E-2</v>
      </c>
      <c r="AQ42" s="45">
        <f t="shared" si="530"/>
        <v>9.7497562560930567E-4</v>
      </c>
      <c r="AR42" s="45">
        <f t="shared" si="530"/>
        <v>-8.1694402420576049E-3</v>
      </c>
      <c r="AS42" s="45">
        <f t="shared" si="530"/>
        <v>-7.583454281567506E-2</v>
      </c>
      <c r="AT42" s="45">
        <f t="shared" si="530"/>
        <v>-3.0763662685486803E-2</v>
      </c>
      <c r="AU42" s="45">
        <f t="shared" si="530"/>
        <v>2.4508406953547945E-2</v>
      </c>
      <c r="AV42" s="45">
        <f t="shared" si="530"/>
        <v>-8.3723220881555763E-3</v>
      </c>
      <c r="AW42" s="45">
        <f t="shared" si="530"/>
        <v>-4.4023404848147069E-2</v>
      </c>
      <c r="AX42" s="45">
        <f t="shared" si="530"/>
        <v>6.2111801242236715E-3</v>
      </c>
      <c r="AY42" s="45">
        <f t="shared" si="530"/>
        <v>-1.5535755083390402E-2</v>
      </c>
      <c r="AZ42" s="45">
        <f t="shared" si="530"/>
        <v>-9.6792035398231193E-3</v>
      </c>
      <c r="BA42" s="45">
        <f t="shared" si="530"/>
        <v>-6.3605930176948891E-2</v>
      </c>
      <c r="BB42" s="45">
        <f t="shared" si="530"/>
        <v>-6.7402806533241391E-2</v>
      </c>
      <c r="BC42" s="45">
        <f t="shared" si="530"/>
        <v>-2.086107412339103E-2</v>
      </c>
      <c r="BD42" s="45">
        <f t="shared" si="530"/>
        <v>1.1049723756906119E-2</v>
      </c>
      <c r="BE42" s="45">
        <f t="shared" si="530"/>
        <v>7.2960424497014488E-3</v>
      </c>
      <c r="BF42" s="45">
        <f t="shared" si="530"/>
        <v>2.6845637583892606E-2</v>
      </c>
      <c r="BG42" s="45">
        <f t="shared" si="530"/>
        <v>3.6984640258690214E-2</v>
      </c>
      <c r="BH42" s="45">
        <f t="shared" si="530"/>
        <v>3.7425149700598234E-3</v>
      </c>
      <c r="BI42" s="45">
        <f t="shared" si="530"/>
        <v>-7.4265085095410022E-2</v>
      </c>
      <c r="BJ42" s="45">
        <f t="shared" si="530"/>
        <v>5.8970618878933116E-2</v>
      </c>
      <c r="BK42" s="45">
        <f t="shared" si="530"/>
        <v>-9.0355116621138546E-3</v>
      </c>
      <c r="BL42" s="45">
        <f t="shared" si="530"/>
        <v>3.1962497336458458E-2</v>
      </c>
      <c r="BM42" s="45">
        <f t="shared" si="530"/>
        <v>-9.3368446253291812E-3</v>
      </c>
      <c r="BN42" s="45">
        <f t="shared" si="530"/>
        <v>2.2103148024112593E-2</v>
      </c>
      <c r="BO42" s="45">
        <f t="shared" ref="BO42:CT42" si="531">+BO41/BO10</f>
        <v>2.0822622107969171E-2</v>
      </c>
      <c r="BP42" s="45">
        <f t="shared" si="531"/>
        <v>0.11353550295857984</v>
      </c>
      <c r="BQ42" s="45">
        <f t="shared" si="531"/>
        <v>7.3003520474337585E-2</v>
      </c>
      <c r="BR42" s="45">
        <f t="shared" si="531"/>
        <v>6.3829787234042604E-2</v>
      </c>
      <c r="BS42" s="45">
        <f t="shared" si="531"/>
        <v>-2.4744308808973849E-2</v>
      </c>
      <c r="BT42" s="45">
        <f t="shared" si="531"/>
        <v>7.8077054210705751E-2</v>
      </c>
      <c r="BU42" s="45">
        <f t="shared" si="531"/>
        <v>6.5356095878599821E-2</v>
      </c>
      <c r="BV42" s="45">
        <f t="shared" si="531"/>
        <v>4.1804015582858921E-2</v>
      </c>
      <c r="BW42" s="45">
        <f t="shared" si="531"/>
        <v>6.0934758334662532E-2</v>
      </c>
      <c r="BX42" s="45">
        <f t="shared" si="531"/>
        <v>8.5288177722541686E-2</v>
      </c>
      <c r="BY42" s="45">
        <f t="shared" si="531"/>
        <v>1.9516003122560629E-2</v>
      </c>
      <c r="BZ42" s="45">
        <f t="shared" si="531"/>
        <v>5.0406259404152866E-2</v>
      </c>
      <c r="CA42" s="45">
        <f t="shared" si="531"/>
        <v>5.7588482303539287E-2</v>
      </c>
      <c r="CB42" s="45">
        <f t="shared" si="531"/>
        <v>5.880569869657485E-2</v>
      </c>
      <c r="CC42" s="45">
        <f t="shared" si="531"/>
        <v>7.8693051081454232E-2</v>
      </c>
      <c r="CD42" s="45">
        <f t="shared" si="531"/>
        <v>7.0033906231731599E-2</v>
      </c>
      <c r="CE42" s="45">
        <f t="shared" si="531"/>
        <v>5.1436634171369809E-2</v>
      </c>
      <c r="CF42" s="45">
        <f t="shared" si="531"/>
        <v>3.4334302012700421E-2</v>
      </c>
      <c r="CG42" s="45">
        <f t="shared" si="531"/>
        <v>1.9264862309419765E-2</v>
      </c>
      <c r="CH42" s="45">
        <f t="shared" si="531"/>
        <v>5.2035173601668157E-2</v>
      </c>
      <c r="CI42" s="45">
        <f t="shared" ref="CI42:CJ42" si="532">+CI41/CI10</f>
        <v>5.9887600983491433E-2</v>
      </c>
      <c r="CJ42" s="45">
        <f t="shared" si="532"/>
        <v>5.9068627450980488E-2</v>
      </c>
      <c r="CK42" s="45">
        <f t="shared" ref="CK42:CL42" si="533">+CK41/CK10</f>
        <v>5.1495366470092625E-2</v>
      </c>
      <c r="CL42" s="45">
        <f t="shared" si="533"/>
        <v>9.7200692988055143E-2</v>
      </c>
      <c r="CM42" s="48">
        <f t="shared" si="531"/>
        <v>6.9779624536898607E-2</v>
      </c>
      <c r="CN42" s="48">
        <f t="shared" si="531"/>
        <v>7.1885161493929761E-2</v>
      </c>
      <c r="CO42" s="48">
        <f t="shared" si="531"/>
        <v>6.677300345212081E-2</v>
      </c>
      <c r="CP42" s="48">
        <f t="shared" si="531"/>
        <v>7.3850717358742476E-2</v>
      </c>
      <c r="CQ42" s="48">
        <f t="shared" si="531"/>
        <v>7.4503935693565934E-2</v>
      </c>
      <c r="CR42" s="48">
        <f t="shared" si="531"/>
        <v>7.5701791919964234E-2</v>
      </c>
      <c r="CS42" s="48">
        <f t="shared" si="531"/>
        <v>7.0537755545604666E-2</v>
      </c>
      <c r="CT42" s="48">
        <f t="shared" si="531"/>
        <v>7.2892339353408817E-2</v>
      </c>
      <c r="CU42" s="48">
        <f t="shared" ref="CU42:DB42" si="534">+CU41/CU10</f>
        <v>7.6909937182178909E-2</v>
      </c>
      <c r="CV42" s="48">
        <f t="shared" si="534"/>
        <v>7.7581631168459342E-2</v>
      </c>
      <c r="CW42" s="48">
        <f t="shared" si="534"/>
        <v>7.2481757967820956E-2</v>
      </c>
      <c r="CX42" s="48">
        <f t="shared" si="534"/>
        <v>7.4179263419412778E-2</v>
      </c>
      <c r="CY42" s="48">
        <f t="shared" si="534"/>
        <v>7.841544907624752E-2</v>
      </c>
      <c r="CZ42" s="48">
        <f t="shared" si="534"/>
        <v>7.8903479711021421E-2</v>
      </c>
      <c r="DA42" s="48">
        <f t="shared" si="534"/>
        <v>7.4140395369010903E-2</v>
      </c>
      <c r="DB42" s="48">
        <f t="shared" si="534"/>
        <v>7.5594069853102366E-2</v>
      </c>
      <c r="DE42" s="129"/>
      <c r="DF42" s="45">
        <v>6.6312797427880224E-2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>
        <f t="shared" ref="F43:AE43" si="536">+IF(E41&lt;0,1-F41/E41,F41/E41-1)</f>
        <v>-5.9283714444550686</v>
      </c>
      <c r="G43" s="39">
        <f t="shared" si="536"/>
        <v>1.3237657603671567</v>
      </c>
      <c r="H43" s="39">
        <f t="shared" si="536"/>
        <v>-7.3746699590354883</v>
      </c>
      <c r="I43" s="39">
        <f t="shared" si="536"/>
        <v>0.87766071812513546</v>
      </c>
      <c r="J43" s="39">
        <f t="shared" si="536"/>
        <v>13.860456942003605</v>
      </c>
      <c r="K43" s="39">
        <f t="shared" si="536"/>
        <v>-0.19602055318683731</v>
      </c>
      <c r="L43" s="39">
        <f t="shared" si="536"/>
        <v>-0.45716616807180388</v>
      </c>
      <c r="M43" s="39">
        <f t="shared" si="536"/>
        <v>-0.39353707414828942</v>
      </c>
      <c r="N43" s="39">
        <f t="shared" si="536"/>
        <v>-0.13021478727797164</v>
      </c>
      <c r="O43" s="39">
        <f t="shared" si="536"/>
        <v>-1.4803514187344018</v>
      </c>
      <c r="P43" s="39">
        <f t="shared" si="536"/>
        <v>-6.8680177953535697</v>
      </c>
      <c r="Q43" s="39">
        <f t="shared" si="536"/>
        <v>0.73440346799020095</v>
      </c>
      <c r="R43" s="39">
        <f t="shared" si="536"/>
        <v>-6.8900059136605902</v>
      </c>
      <c r="S43" s="39">
        <f t="shared" si="536"/>
        <v>1.1806026083046017</v>
      </c>
      <c r="T43" s="39">
        <f t="shared" si="536"/>
        <v>0.62541500664009719</v>
      </c>
      <c r="U43" s="39">
        <f t="shared" si="536"/>
        <v>-0.14216412194249928</v>
      </c>
      <c r="V43" s="39">
        <f t="shared" si="536"/>
        <v>7.4432406690875101</v>
      </c>
      <c r="W43" s="39">
        <f t="shared" si="536"/>
        <v>-0.31927974167712603</v>
      </c>
      <c r="X43" s="39">
        <f t="shared" si="536"/>
        <v>0.41489560029828354</v>
      </c>
      <c r="Y43" s="39">
        <f t="shared" si="536"/>
        <v>0.37958875932392355</v>
      </c>
      <c r="Z43" s="39">
        <f t="shared" ref="Z43:AA43" si="537">+IF(Y41&lt;0,1-Z41/Y41,Z41/Y41-1)</f>
        <v>-0.22617222113154878</v>
      </c>
      <c r="AA43" s="39">
        <f t="shared" si="537"/>
        <v>1.0299229983337952</v>
      </c>
      <c r="AB43" s="40">
        <f t="shared" si="536"/>
        <v>0.22408113042403977</v>
      </c>
      <c r="AC43" s="40">
        <f t="shared" si="536"/>
        <v>0.19453509528346635</v>
      </c>
      <c r="AD43" s="40">
        <f t="shared" si="536"/>
        <v>0.17392609367990253</v>
      </c>
      <c r="AE43" s="40">
        <f t="shared" si="536"/>
        <v>0.16617751834808536</v>
      </c>
      <c r="AM43" s="39">
        <f>+IF(AI41&lt;0,1-AM41/AI41,AM41/AI41-1)</f>
        <v>-1.3744149765990661</v>
      </c>
      <c r="AN43" s="39">
        <f t="shared" ref="AN43" si="538">+IF(AJ41&lt;0,1-AN41/AJ41,AN41/AJ41-1)</f>
        <v>4.3333333333333206</v>
      </c>
      <c r="AO43" s="39">
        <f t="shared" ref="AO43" si="539">+IF(AK41&lt;0,1-AO41/AK41,AO41/AK41-1)</f>
        <v>5.9090909090909012</v>
      </c>
      <c r="AP43" s="39">
        <f t="shared" ref="AP43" si="540">+IF(AL41&lt;0,1-AP41/AL41,AP41/AL41-1)</f>
        <v>-8.7613941018766468</v>
      </c>
      <c r="AQ43" s="39">
        <f t="shared" ref="AQ43" si="541">+IF(AM41&lt;0,1-AQ41/AM41,AQ41/AM41-1)</f>
        <v>1.1249999999999925</v>
      </c>
      <c r="AR43" s="39">
        <f t="shared" ref="AR43" si="542">+IF(AN41&lt;0,1-AR41/AN41,AR41/AN41-1)</f>
        <v>-1.2410714285714317</v>
      </c>
      <c r="AS43" s="39">
        <f t="shared" ref="AS43" si="543">+IF(AO41&lt;0,1-AS41/AO41,AS41/AO41-1)</f>
        <v>-2.2901234567901261</v>
      </c>
      <c r="AT43" s="39">
        <f t="shared" ref="AT43" si="544">+IF(AP41&lt;0,1-AT41/AP41,AT41/AP41-1)</f>
        <v>0.70639032815198655</v>
      </c>
      <c r="AU43" s="39">
        <f t="shared" ref="AU43" si="545">+IF(AQ41&lt;0,1-AU41/AQ41,AU41/AQ41-1)</f>
        <v>27.666666666668174</v>
      </c>
      <c r="AV43" s="39">
        <f t="shared" ref="AV43" si="546">+IF(AR41&lt;0,1-AV41/AR41,AV41/AR41-1)</f>
        <v>-0.25925925925923399</v>
      </c>
      <c r="AW43" s="39">
        <f t="shared" ref="AW43" si="547">+IF(AS41&lt;0,1-AW41/AS41,AW41/AS41-1)</f>
        <v>0.24401913875598336</v>
      </c>
      <c r="AX43" s="39">
        <f t="shared" ref="AX43" si="548">+IF(AT41&lt;0,1-AX41/AT41,AX41/AT41-1)</f>
        <v>1.2823529411764736</v>
      </c>
      <c r="AY43" s="39">
        <f t="shared" ref="AY43" si="549">+IF(AU41&lt;0,1-AY41/AU41,AY41/AU41-1)</f>
        <v>-1.7906976744186047</v>
      </c>
      <c r="AZ43" s="39">
        <f t="shared" ref="AZ43" si="550">+IF(AV41&lt;0,1-AZ41/AV41,AZ41/AV41-1)</f>
        <v>-2.9411764705900234E-2</v>
      </c>
      <c r="BA43" s="39">
        <f t="shared" ref="BA43" si="551">+IF(AW41&lt;0,1-BA41/AW41,BA41/AW41-1)</f>
        <v>-0.683544303797472</v>
      </c>
      <c r="BB43" s="39">
        <f t="shared" ref="BB43" si="552">+IF(AX41&lt;0,1-BB41/AX41,BB41/AX41-1)</f>
        <v>-13.208333333333211</v>
      </c>
      <c r="BC43" s="39">
        <f t="shared" ref="BC43" si="553">+IF(AY41&lt;0,1-BC41/AY41,BC41/AY41-1)</f>
        <v>-0.38235294117647478</v>
      </c>
      <c r="BD43" s="39">
        <f t="shared" ref="BD43" si="554">+IF(AZ41&lt;0,1-BD41/AZ41,BD41/AZ41-1)</f>
        <v>2.3142857142857043</v>
      </c>
      <c r="BE43" s="39">
        <f t="shared" ref="BE43" si="555">+IF(BA41&lt;0,1-BE41/BA41,BE41/BA41-1)</f>
        <v>1.1240601503759384</v>
      </c>
      <c r="BF43" s="39">
        <f t="shared" ref="BF43" si="556">+IF(BB41&lt;0,1-BF41/BB41,BF41/BB41-1)</f>
        <v>1.4641638225255966</v>
      </c>
      <c r="BG43" s="39">
        <f t="shared" ref="BG43" si="557">+IF(BC41&lt;0,1-BG41/BC41,BG41/BC41-1)</f>
        <v>2.9468085106382889</v>
      </c>
      <c r="BH43" s="39">
        <f t="shared" ref="BH43" si="558">+IF(BD41&lt;0,1-BH41/BD41,BH41/BD41-1)</f>
        <v>-0.56521739130435611</v>
      </c>
      <c r="BI43" s="39">
        <f t="shared" ref="BI43" si="559">+IF(BE41&lt;0,1-BI41/BE41,BI41/BE41-1)</f>
        <v>-9.7272727272728226</v>
      </c>
      <c r="BJ43" s="39">
        <f t="shared" ref="BJ43" si="560">+IF(BF41&lt;0,1-BJ41/BF41,BJ41/BF41-1)</f>
        <v>1.0808823529411775</v>
      </c>
      <c r="BK43" s="39">
        <f t="shared" ref="BK43" si="561">+IF(BG41&lt;0,1-BK41/BG41,BK41/BG41-1)</f>
        <v>-1.2349726775956287</v>
      </c>
      <c r="BL43" s="39">
        <f t="shared" ref="BL43" si="562">+IF(BH41&lt;0,1-BL41/BH41,BL41/BH41-1)</f>
        <v>6.5000000000000906</v>
      </c>
      <c r="BM43" s="39">
        <f t="shared" ref="BM43" si="563">+IF(BI41&lt;0,1-BM41/BI41,BM41/BI41-1)</f>
        <v>0.86458333333333337</v>
      </c>
      <c r="BN43" s="39">
        <f t="shared" ref="BN43" si="564">+IF(BJ41&lt;0,1-BN41/BJ41,BN41/BJ41-1)</f>
        <v>-0.65017667844522864</v>
      </c>
      <c r="BO43" s="39">
        <f t="shared" ref="BO43" si="565">+IF(BK41&lt;0,1-BO41/BK41,BO41/BK41-1)</f>
        <v>2.8837209302325668</v>
      </c>
      <c r="BP43" s="39">
        <f t="shared" ref="BP43" si="566">+IF(BL41&lt;0,1-BP41/BL41,BP41/BL41-1)</f>
        <v>3.0933333333333444</v>
      </c>
      <c r="BQ43" s="39">
        <f t="shared" ref="BQ43" si="567">+IF(BM41&lt;0,1-BQ41/BM41,BQ41/BM41-1)</f>
        <v>11.102564102564102</v>
      </c>
      <c r="BR43" s="39">
        <f t="shared" ref="BR43" si="568">+IF(BN41&lt;0,1-BR41/BN41,BR41/BN41-1)</f>
        <v>2.3333333333333255</v>
      </c>
      <c r="BS43" s="39">
        <f t="shared" ref="BS43" si="569">+IF(BO41&lt;0,1-BS41/BO41,BS41/BO41-1)</f>
        <v>-2.8518518518518436</v>
      </c>
      <c r="BT43" s="39">
        <f t="shared" ref="BT43" si="570">+IF(BP41&lt;0,1-BT41/BP41,BT41/BP41-1)</f>
        <v>-0.2540716612377848</v>
      </c>
      <c r="BU43" s="39">
        <f t="shared" ref="BU43" si="571">+IF(BQ41&lt;0,1-BU41/BQ41,BU41/BQ41-1)</f>
        <v>-3.8071065989846553E-2</v>
      </c>
      <c r="BV43" s="39">
        <f t="shared" ref="BV43" si="572">+IF(BR41&lt;0,1-BV41/BR41,BV41/BR41-1)</f>
        <v>-0.15454545454545399</v>
      </c>
      <c r="BW43" s="39">
        <f t="shared" ref="BW43" si="573">+IF(BS41&lt;0,1-BW41/BS41,BW41/BS41-1)</f>
        <v>3.5466666666666717</v>
      </c>
      <c r="BX43" s="39">
        <f t="shared" ref="BX43" si="574">+IF(BT41&lt;0,1-BX41/BT41,BX41/BT41-1)</f>
        <v>0.19868995633188002</v>
      </c>
      <c r="BY43" s="39">
        <f t="shared" ref="BY43" si="575">+IF(BU41&lt;0,1-BY41/BU41,BY41/BU41-1)</f>
        <v>-0.73614775725593518</v>
      </c>
      <c r="BZ43" s="39">
        <f t="shared" ref="BZ43" si="576">+IF(BV41&lt;0,1-BZ41/BV41,BZ41/BV41-1)</f>
        <v>0.2007168458781341</v>
      </c>
      <c r="CA43" s="39">
        <f t="shared" ref="CA43" si="577">+IF(BW41&lt;0,1-CA41/BW41,CA41/BW41-1)</f>
        <v>5.235602094242342E-3</v>
      </c>
      <c r="CB43" s="39">
        <f t="shared" ref="CB43" si="578">+IF(BX41&lt;0,1-CB41/BX41,CB41/BX41-1)</f>
        <v>-0.29326047358834206</v>
      </c>
      <c r="CC43" s="39">
        <f t="shared" ref="CC43" si="579">+IF(BY41&lt;0,1-CC41/BY41,CC41/BY41-1)</f>
        <v>4.129999999999967</v>
      </c>
      <c r="CD43" s="39">
        <f t="shared" ref="CD43" si="580">+IF(BZ41&lt;0,1-CD41/BZ41,CD41/BZ41-1)</f>
        <v>0.78805970149253879</v>
      </c>
      <c r="CE43" s="39">
        <f t="shared" ref="CE43" si="581">+IF(CA41&lt;0,1-CE41/CA41,CE41/CA41-1)</f>
        <v>4.4270833333330817E-2</v>
      </c>
      <c r="CF43" s="39">
        <f t="shared" ref="CF43" si="582">+IF(CB41&lt;0,1-CF41/CB41,CF41/CB41-1)</f>
        <v>-0.17783505154639467</v>
      </c>
      <c r="CG43" s="39">
        <f t="shared" ref="CG43" si="583">+IF(CC41&lt;0,1-CG41/CC41,CG41/CC41-1)</f>
        <v>-0.68226120857699679</v>
      </c>
      <c r="CH43" s="39">
        <f t="shared" ref="CH43:CL43" si="584">+IF(CD41&lt;0,1-CH41/CD41,CH41/CD41-1)</f>
        <v>-4.1736227045073293E-2</v>
      </c>
      <c r="CI43" s="39">
        <f t="shared" si="584"/>
        <v>0.70074812967581557</v>
      </c>
      <c r="CJ43" s="39">
        <f t="shared" si="584"/>
        <v>1.2664576802507903</v>
      </c>
      <c r="CK43" s="39">
        <f t="shared" si="584"/>
        <v>1.9999999999999853</v>
      </c>
      <c r="CL43" s="39">
        <f t="shared" si="584"/>
        <v>0.85714285714285365</v>
      </c>
      <c r="CM43" s="40">
        <f t="shared" ref="CM43" si="585">+CM41/CI41-1</f>
        <v>0.42579068951306831</v>
      </c>
      <c r="CN43" s="40">
        <f t="shared" ref="CN43" si="586">+CN41/CJ41-1</f>
        <v>0.41704722730455379</v>
      </c>
      <c r="CO43" s="40">
        <f t="shared" ref="CO43" si="587">+CO41/CK41-1</f>
        <v>0.46025365619943726</v>
      </c>
      <c r="CP43" s="40">
        <f t="shared" ref="CP43" si="588">+CP41/CL41-1</f>
        <v>-0.14365404324154085</v>
      </c>
      <c r="CQ43" s="40">
        <f t="shared" ref="CQ43" si="589">+CQ41/CM41-1</f>
        <v>0.23888832952438888</v>
      </c>
      <c r="CR43" s="40">
        <f t="shared" ref="CR43" si="590">+CR41/CN41-1</f>
        <v>0.20526055150248856</v>
      </c>
      <c r="CS43" s="40">
        <f t="shared" ref="CS43" si="591">+CS41/CO41-1</f>
        <v>0.20376700121025282</v>
      </c>
      <c r="CT43" s="40">
        <f t="shared" ref="CT43" si="592">+CT41/CP41-1</f>
        <v>0.12803096402978165</v>
      </c>
      <c r="CU43" s="40">
        <f t="shared" ref="CU43" si="593">+CU41/CQ41-1</f>
        <v>0.18383612944154981</v>
      </c>
      <c r="CV43" s="40">
        <f t="shared" ref="CV43" si="594">+CV41/CR41-1</f>
        <v>0.17181323979937968</v>
      </c>
      <c r="CW43" s="40">
        <f t="shared" ref="CW43" si="595">+CW41/CS41-1</f>
        <v>0.17465567158843331</v>
      </c>
      <c r="CX43" s="40">
        <f t="shared" ref="CX43" si="596">+CX41/CT41-1</f>
        <v>0.16425708178781595</v>
      </c>
      <c r="CY43" s="40">
        <f t="shared" ref="CY43" si="597">+CY41/CU41-1</f>
        <v>0.16675847844624281</v>
      </c>
      <c r="CZ43" s="40">
        <f t="shared" ref="CZ43" si="598">+CZ41/CV41-1</f>
        <v>0.16323400293705426</v>
      </c>
      <c r="DA43" s="40">
        <f t="shared" ref="DA43" si="599">+DA41/CW41-1</f>
        <v>0.17000322554757163</v>
      </c>
      <c r="DB43" s="40">
        <f t="shared" ref="DB43" si="600">+DB41/CX41-1</f>
        <v>0.16581707538032542</v>
      </c>
      <c r="DE43" s="122"/>
      <c r="DF43" s="39">
        <v>0.65357768681837491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-0.67238689547581765</v>
      </c>
      <c r="AK44" s="39">
        <f t="shared" ref="AK44:AM44" si="601">+IF(AJ41&lt;0,1-AK41/AJ41,AK41/AJ41-1)</f>
        <v>-2.5714285714285694</v>
      </c>
      <c r="AL44" s="39">
        <f t="shared" si="601"/>
        <v>2.1303030303030339</v>
      </c>
      <c r="AM44" s="39">
        <f t="shared" si="601"/>
        <v>-1.6434316353887395</v>
      </c>
      <c r="AN44" s="39">
        <f t="shared" ref="AN44" si="602">+IF(AM41&lt;0,1-AN41/AM41,AN41/AM41-1)</f>
        <v>5.6666666666666501</v>
      </c>
      <c r="AO44" s="39">
        <f t="shared" ref="AO44" si="603">+IF(AN41&lt;0,1-AO41/AN41,AO41/AN41-1)</f>
        <v>0.44642857142857051</v>
      </c>
      <c r="AP44" s="39">
        <f t="shared" ref="AP44" si="604">+IF(AO41&lt;0,1-AP41/AO41,AP41/AO41-1)</f>
        <v>-2.787037037037039</v>
      </c>
      <c r="AQ44" s="39">
        <f t="shared" ref="AQ44" si="605">+IF(AP41&lt;0,1-AQ41/AP41,AQ41/AP41-1)</f>
        <v>1.0103626943005175</v>
      </c>
      <c r="AR44" s="39">
        <f t="shared" ref="AR44" si="606">+IF(AQ41&lt;0,1-AR41/AQ41,AR41/AQ41-1)</f>
        <v>-10.000000000000627</v>
      </c>
      <c r="AS44" s="39">
        <f t="shared" ref="AS44" si="607">+IF(AR41&lt;0,1-AS41/AR41,AS41/AR41-1)</f>
        <v>-6.7407407407406499</v>
      </c>
      <c r="AT44" s="39">
        <f t="shared" ref="AT44" si="608">+IF(AS41&lt;0,1-AT41/AS41,AT41/AS41-1)</f>
        <v>0.59330143540669933</v>
      </c>
      <c r="AU44" s="39">
        <f t="shared" ref="AU44" si="609">+IF(AT41&lt;0,1-AU41/AT41,AU41/AT41-1)</f>
        <v>2.0117647058823493</v>
      </c>
      <c r="AV44" s="39">
        <f t="shared" ref="AV44" si="610">+IF(AU41&lt;0,1-AV41/AU41,AV41/AU41-1)</f>
        <v>-1.3953488372093013</v>
      </c>
      <c r="AW44" s="39">
        <f t="shared" ref="AW44" si="611">+IF(AV41&lt;0,1-AW41/AV41,AW41/AV41-1)</f>
        <v>-3.6470588235294343</v>
      </c>
      <c r="AX44" s="39">
        <f t="shared" ref="AX44" si="612">+IF(AW41&lt;0,1-AX41/AW41,AX41/AW41-1)</f>
        <v>1.1518987341772171</v>
      </c>
      <c r="AY44" s="39">
        <f t="shared" ref="AY44" si="613">+IF(AX41&lt;0,1-AY41/AX41,AY41/AX41-1)</f>
        <v>-3.8333333333332935</v>
      </c>
      <c r="AZ44" s="39">
        <f t="shared" ref="AZ44" si="614">+IF(AY41&lt;0,1-AZ41/AY41,AZ41/AY41-1)</f>
        <v>0.48529411764705144</v>
      </c>
      <c r="BA44" s="39">
        <f t="shared" ref="BA44" si="615">+IF(AZ41&lt;0,1-BA41/AZ41,BA41/AZ41-1)</f>
        <v>-6.5999999999999215</v>
      </c>
      <c r="BB44" s="39">
        <f t="shared" ref="BB44" si="616">+IF(BA41&lt;0,1-BB41/BA41,BB41/BA41-1)</f>
        <v>-0.10150375939849621</v>
      </c>
      <c r="BC44" s="39">
        <f t="shared" ref="BC44" si="617">+IF(BB41&lt;0,1-BC41/BB41,BC41/BB41-1)</f>
        <v>0.67918088737201399</v>
      </c>
      <c r="BD44" s="39">
        <f t="shared" ref="BD44" si="618">+IF(BC41&lt;0,1-BD41/BC41,BD41/BC41-1)</f>
        <v>1.4893617021276615</v>
      </c>
      <c r="BE44" s="39">
        <f t="shared" ref="BE44" si="619">+IF(BD41&lt;0,1-BE41/BD41,BE41/BD41-1)</f>
        <v>-0.28260869565218416</v>
      </c>
      <c r="BF44" s="39">
        <f t="shared" ref="BF44" si="620">+IF(BE41&lt;0,1-BF41/BE41,BF41/BE41-1)</f>
        <v>3.1212121212121628</v>
      </c>
      <c r="BG44" s="39">
        <f t="shared" ref="BG44" si="621">+IF(BF41&lt;0,1-BG41/BF41,BG41/BF41-1)</f>
        <v>0.34558823529411198</v>
      </c>
      <c r="BH44" s="39">
        <f t="shared" ref="BH44" si="622">+IF(BG41&lt;0,1-BH41/BG41,BH41/BG41-1)</f>
        <v>-0.89071038251366241</v>
      </c>
      <c r="BI44" s="39">
        <f t="shared" ref="BI44" si="623">+IF(BH41&lt;0,1-BI41/BH41,BI41/BH41-1)</f>
        <v>-15.400000000000222</v>
      </c>
      <c r="BJ44" s="39">
        <f t="shared" ref="BJ44" si="624">+IF(BI41&lt;0,1-BJ41/BI41,BJ41/BI41-1)</f>
        <v>1.9826388888888888</v>
      </c>
      <c r="BK44" s="39">
        <f t="shared" ref="BK44" si="625">+IF(BJ41&lt;0,1-BK41/BJ41,BK41/BJ41-1)</f>
        <v>-1.1519434628975258</v>
      </c>
      <c r="BL44" s="39">
        <f t="shared" ref="BL44" si="626">+IF(BK41&lt;0,1-BL41/BK41,BL41/BK41-1)</f>
        <v>4.4883720930232585</v>
      </c>
      <c r="BM44" s="39">
        <f t="shared" ref="BM44" si="627">+IF(BL41&lt;0,1-BM41/BL41,BM41/BL41-1)</f>
        <v>-1.2600000000000007</v>
      </c>
      <c r="BN44" s="39">
        <f t="shared" ref="BN44" si="628">+IF(BM41&lt;0,1-BN41/BM41,BN41/BM41-1)</f>
        <v>3.5384615384615468</v>
      </c>
      <c r="BO44" s="39">
        <f t="shared" ref="BO44" si="629">+IF(BN41&lt;0,1-BO41/BN41,BO41/BN41-1)</f>
        <v>-0.18181818181818366</v>
      </c>
      <c r="BP44" s="39">
        <f t="shared" ref="BP44" si="630">+IF(BO41&lt;0,1-BP41/BO41,BP41/BO41-1)</f>
        <v>6.5802469135802362</v>
      </c>
      <c r="BQ44" s="39">
        <f t="shared" ref="BQ44" si="631">+IF(BP41&lt;0,1-BQ41/BP41,BQ41/BP41-1)</f>
        <v>-0.35830618892508115</v>
      </c>
      <c r="BR44" s="39">
        <f t="shared" ref="BR44" si="632">+IF(BQ41&lt;0,1-BR41/BQ41,BR41/BQ41-1)</f>
        <v>-0.16243654822334952</v>
      </c>
      <c r="BS44" s="39">
        <f t="shared" ref="BS44" si="633">+IF(BR41&lt;0,1-BS41/BR41,BS41/BR41-1)</f>
        <v>-1.4545454545454526</v>
      </c>
      <c r="BT44" s="39">
        <f t="shared" ref="BT44" si="634">+IF(BS41&lt;0,1-BT41/BS41,BT41/BS41-1)</f>
        <v>4.0533333333333434</v>
      </c>
      <c r="BU44" s="39">
        <f t="shared" ref="BU44" si="635">+IF(BT41&lt;0,1-BU41/BT41,BU41/BT41-1)</f>
        <v>-0.17248908296943133</v>
      </c>
      <c r="BV44" s="39">
        <f t="shared" ref="BV44" si="636">+IF(BU41&lt;0,1-BV41/BU41,BV41/BU41-1)</f>
        <v>-0.26385224274406305</v>
      </c>
      <c r="BW44" s="39">
        <f t="shared" ref="BW44" si="637">+IF(BV41&lt;0,1-BW41/BV41,BW41/BV41-1)</f>
        <v>0.36917562724013919</v>
      </c>
      <c r="BX44" s="39">
        <f t="shared" ref="BX44" si="638">+IF(BW41&lt;0,1-BX41/BW41,BX41/BW41-1)</f>
        <v>0.43717277486911454</v>
      </c>
      <c r="BY44" s="39">
        <f t="shared" ref="BY44" si="639">+IF(BX41&lt;0,1-BY41/BX41,BY41/BX41-1)</f>
        <v>-0.81785063752276776</v>
      </c>
      <c r="BZ44" s="39">
        <f t="shared" ref="BZ44" si="640">+IF(BY41&lt;0,1-BZ41/BY41,BZ41/BY41-1)</f>
        <v>2.349999999999977</v>
      </c>
      <c r="CA44" s="39">
        <f t="shared" ref="CA44" si="641">+IF(BZ41&lt;0,1-CA41/BZ41,CA41/BZ41-1)</f>
        <v>0.1462686567164182</v>
      </c>
      <c r="CB44" s="39">
        <f t="shared" ref="CB44" si="642">+IF(CA41&lt;0,1-CB41/CA41,CB41/CA41-1)</f>
        <v>1.0416666666668961E-2</v>
      </c>
      <c r="CC44" s="39">
        <f t="shared" ref="CC44" si="643">+IF(CB41&lt;0,1-CC41/CB41,CC41/CB41-1)</f>
        <v>0.32216494845360555</v>
      </c>
      <c r="CD44" s="39">
        <f t="shared" ref="CD44" si="644">+IF(CC41&lt;0,1-CD41/CC41,CD41/CC41-1)</f>
        <v>0.16764132553606292</v>
      </c>
      <c r="CE44" s="39">
        <f t="shared" ref="CE44" si="645">+IF(CD41&lt;0,1-CE41/CD41,CE41/CD41-1)</f>
        <v>-0.33055091819699711</v>
      </c>
      <c r="CF44" s="39">
        <f t="shared" ref="CF44" si="646">+IF(CE41&lt;0,1-CF41/CE41,CF41/CE41-1)</f>
        <v>-0.20448877805486187</v>
      </c>
      <c r="CG44" s="39">
        <f t="shared" ref="CG44" si="647">+IF(CF41&lt;0,1-CG41/CF41,CG41/CF41-1)</f>
        <v>-0.48902821316614153</v>
      </c>
      <c r="CH44" s="39">
        <f t="shared" ref="CH44:CL44" si="648">+IF(CG41&lt;0,1-CH41/CG41,CH41/CG41-1)</f>
        <v>2.521472392638032</v>
      </c>
      <c r="CI44" s="39">
        <f t="shared" si="648"/>
        <v>0.1881533101045274</v>
      </c>
      <c r="CJ44" s="39">
        <f t="shared" si="648"/>
        <v>6.0117302052786981E-2</v>
      </c>
      <c r="CK44" s="39">
        <f t="shared" si="648"/>
        <v>-0.32365145228215941</v>
      </c>
      <c r="CL44" s="39">
        <f t="shared" si="648"/>
        <v>1.1799591002045027</v>
      </c>
      <c r="CM44" s="40">
        <f t="shared" ref="CM44" si="649">+CM41/CL41-1</f>
        <v>-8.7814962243984551E-2</v>
      </c>
      <c r="CN44" s="40">
        <f t="shared" ref="CN44" si="650">+CN41/CM41-1</f>
        <v>5.3616280805231842E-2</v>
      </c>
      <c r="CO44" s="40">
        <f t="shared" ref="CO44" si="651">+CO41/CN41-1</f>
        <v>-0.30302927055663242</v>
      </c>
      <c r="CP44" s="40">
        <f t="shared" ref="CP44" si="652">+CP41/CO41-1</f>
        <v>0.27840745574135517</v>
      </c>
      <c r="CQ44" s="40">
        <f t="shared" ref="CQ44" si="653">+CQ41/CP41-1</f>
        <v>0.31967155181121076</v>
      </c>
      <c r="CR44" s="40">
        <f t="shared" ref="CR44" si="654">+CR41/CQ41-1</f>
        <v>2.5017436529428005E-2</v>
      </c>
      <c r="CS44" s="40">
        <f t="shared" ref="CS44" si="655">+CS41/CR41-1</f>
        <v>-0.30389295172112607</v>
      </c>
      <c r="CT44" s="40">
        <f t="shared" ref="CT44" si="656">+CT41/CS41-1</f>
        <v>0.19797535010756095</v>
      </c>
      <c r="CU44" s="40">
        <f t="shared" ref="CU44" si="657">+CU41/CT41-1</f>
        <v>0.38495742745326011</v>
      </c>
      <c r="CV44" s="40">
        <f t="shared" ref="CV44" si="658">+CV41/CU41-1</f>
        <v>1.4607489397212348E-2</v>
      </c>
      <c r="CW44" s="40">
        <f t="shared" ref="CW44" si="659">+CW41/CV41-1</f>
        <v>-0.30220442599415021</v>
      </c>
      <c r="CX44" s="40">
        <f t="shared" ref="CX44" si="660">+CX41/CW41-1</f>
        <v>0.18737032383618213</v>
      </c>
      <c r="CY44" s="40">
        <f t="shared" ref="CY44" si="661">+CY41/CX41-1</f>
        <v>0.38793299696903683</v>
      </c>
      <c r="CZ44" s="40">
        <f t="shared" ref="CZ44" si="662">+CZ41/CY41-1</f>
        <v>1.1542622662683133E-2</v>
      </c>
      <c r="DA44" s="40">
        <f t="shared" ref="DA44" si="663">+DA41/CZ41-1</f>
        <v>-0.29814373522586723</v>
      </c>
      <c r="DB44" s="40">
        <f t="shared" ref="DB44" si="664">+DB41/DA41-1</f>
        <v>0.1831220359928869</v>
      </c>
      <c r="DE44" s="122"/>
      <c r="DF44" s="39">
        <v>0.9410093910710644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-1.7357</v>
      </c>
      <c r="U47" s="75">
        <f>'Annual Raw'!V29+'Annual Raw'!V31+'Annual Raw'!V34+'Annual Raw'!V36</f>
        <v>-1.0363</v>
      </c>
      <c r="V47" s="75">
        <f>'Annual Raw'!W29+'Annual Raw'!W31+'Annual Raw'!W34+'Annual Raw'!W36</f>
        <v>0</v>
      </c>
      <c r="W47" s="75">
        <f>'Annual Raw'!X29+'Annual Raw'!X31+'Annual Raw'!X34+'Annual Raw'!X36</f>
        <v>17.82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-1.36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-0.37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-0.17</v>
      </c>
      <c r="BM47" s="75">
        <f>'QTR Raw'!AG26+'QTR Raw'!AG31+'QTR Raw'!AG32+'QTR Raw'!AG33+'QTR Raw'!AG36+'QTR Raw'!AG37+'QTR Raw'!AG39</f>
        <v>-0.73</v>
      </c>
      <c r="BN47" s="75">
        <f>'QTR Raw'!AH26+'QTR Raw'!AH31+'QTR Raw'!AH32+'QTR Raw'!AH33+'QTR Raw'!AH36+'QTR Raw'!AH37+'QTR Raw'!AH39</f>
        <v>-0.14000000000000001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17.82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0.2286253000000058</v>
      </c>
      <c r="F48" s="26">
        <f t="shared" si="685"/>
        <v>-1.1267504000000019</v>
      </c>
      <c r="G48" s="26">
        <f t="shared" si="685"/>
        <v>0.36480319999999861</v>
      </c>
      <c r="H48" s="26">
        <f t="shared" si="685"/>
        <v>-2.3255000000000061</v>
      </c>
      <c r="I48" s="26">
        <f t="shared" si="685"/>
        <v>-0.28449999999999837</v>
      </c>
      <c r="J48" s="26">
        <f t="shared" si="685"/>
        <v>3.6588000000000047</v>
      </c>
      <c r="K48" s="26">
        <f t="shared" si="685"/>
        <v>2.9416000000000033</v>
      </c>
      <c r="L48" s="26">
        <f t="shared" si="685"/>
        <v>1.5967999999999836</v>
      </c>
      <c r="M48" s="26">
        <f t="shared" si="685"/>
        <v>0.96840000000000148</v>
      </c>
      <c r="N48" s="26">
        <f t="shared" si="685"/>
        <v>0.84230000000001359</v>
      </c>
      <c r="O48" s="26">
        <f t="shared" si="685"/>
        <v>-0.40459999999999319</v>
      </c>
      <c r="P48" s="26">
        <f t="shared" si="685"/>
        <v>-3.1834000000000007</v>
      </c>
      <c r="Q48" s="26">
        <f t="shared" si="685"/>
        <v>-0.84549999999999459</v>
      </c>
      <c r="R48" s="26">
        <f t="shared" si="685"/>
        <v>-6.6709999999999861</v>
      </c>
      <c r="S48" s="26">
        <f t="shared" si="685"/>
        <v>1.2047999999999954</v>
      </c>
      <c r="T48" s="26">
        <f t="shared" si="685"/>
        <v>0.2225999999999817</v>
      </c>
      <c r="U48" s="26">
        <f t="shared" si="685"/>
        <v>0.64359999999998796</v>
      </c>
      <c r="V48" s="26">
        <f>V41+V45+V46+V47</f>
        <v>14.183800000000007</v>
      </c>
      <c r="W48" s="26">
        <f>W41+W45+W46+W47</f>
        <v>27.475199999999987</v>
      </c>
      <c r="X48" s="26">
        <f>X41+X45+X46+X47</f>
        <v>13.661099999999966</v>
      </c>
      <c r="Y48" s="26">
        <f>Y41+Y45+Y46+Y47</f>
        <v>18.846700000000006</v>
      </c>
      <c r="Z48" s="26">
        <f>Z41+Z45+Z46+Z47</f>
        <v>14.584100000000044</v>
      </c>
      <c r="AA48" s="26">
        <f>AA41+AA45+AA46+AA47</f>
        <v>29.604599999999991</v>
      </c>
      <c r="AB48" s="27">
        <f t="shared" ref="AA48:AD48" si="686">AB41+AB45+AB46+AB47</f>
        <v>36.238432233751517</v>
      </c>
      <c r="AC48" s="27">
        <f t="shared" si="686"/>
        <v>43.288079101267805</v>
      </c>
      <c r="AD48" s="27">
        <f t="shared" si="686"/>
        <v>50.817005602257936</v>
      </c>
      <c r="AE48" s="27">
        <f t="shared" ref="AE48" si="687">AE41+AE45+AE46+AE47</f>
        <v>59.261649483121914</v>
      </c>
      <c r="AI48" s="26">
        <f t="shared" ref="AI48" si="688">AI41+AI45+AI46+AI47</f>
        <v>0.64099999999999935</v>
      </c>
      <c r="AJ48" s="26">
        <f t="shared" ref="AJ48" si="689">AJ41+AJ45+AJ46+AJ47</f>
        <v>0.21000000000000071</v>
      </c>
      <c r="AK48" s="26">
        <f t="shared" ref="AK48:AM48" si="690">AK41+AK45+AK46+AK47</f>
        <v>-0.33000000000000068</v>
      </c>
      <c r="AL48" s="26">
        <f t="shared" si="690"/>
        <v>0.373000000000002</v>
      </c>
      <c r="AM48" s="26">
        <f t="shared" si="690"/>
        <v>-0.2400000000000011</v>
      </c>
      <c r="AN48" s="26">
        <f t="shared" ref="AN48:AO48" si="691">AN41+AN45+AN46+AN47</f>
        <v>1.1200000000000012</v>
      </c>
      <c r="AO48" s="26">
        <f t="shared" si="691"/>
        <v>1.6200000000000008</v>
      </c>
      <c r="AP48" s="26">
        <f t="shared" ref="AP48:CD48" si="692">AP41+AP45+AP46+AP47</f>
        <v>-2.8950000000000045</v>
      </c>
      <c r="AQ48" s="26">
        <f t="shared" si="692"/>
        <v>2.9999999999998334E-2</v>
      </c>
      <c r="AR48" s="26">
        <f t="shared" si="692"/>
        <v>-0.27000000000000379</v>
      </c>
      <c r="AS48" s="26">
        <f t="shared" si="692"/>
        <v>-2.0900000000000047</v>
      </c>
      <c r="AT48" s="26">
        <f t="shared" si="692"/>
        <v>-0.85000000000000031</v>
      </c>
      <c r="AU48" s="26">
        <f t="shared" si="692"/>
        <v>0.85999999999999743</v>
      </c>
      <c r="AV48" s="26">
        <f t="shared" si="692"/>
        <v>-0.33999999999999797</v>
      </c>
      <c r="AW48" s="26">
        <f t="shared" si="692"/>
        <v>-1.5799999999999983</v>
      </c>
      <c r="AX48" s="26">
        <f t="shared" si="692"/>
        <v>0.24000000000000266</v>
      </c>
      <c r="AY48" s="26">
        <f t="shared" si="692"/>
        <v>-0.67999999999999794</v>
      </c>
      <c r="AZ48" s="26">
        <f t="shared" si="692"/>
        <v>-0.35000000000000397</v>
      </c>
      <c r="BA48" s="26">
        <f t="shared" si="692"/>
        <v>-2.6600000000000028</v>
      </c>
      <c r="BB48" s="26">
        <f t="shared" si="692"/>
        <v>-2.9300000000000033</v>
      </c>
      <c r="BC48" s="26">
        <f t="shared" si="692"/>
        <v>-0.94</v>
      </c>
      <c r="BD48" s="26">
        <f t="shared" si="692"/>
        <v>0.46000000000000174</v>
      </c>
      <c r="BE48" s="26">
        <f t="shared" si="692"/>
        <v>0.32999999999999652</v>
      </c>
      <c r="BF48" s="26">
        <f t="shared" si="692"/>
        <v>1.3599999999999994</v>
      </c>
      <c r="BG48" s="26">
        <f t="shared" si="692"/>
        <v>0.46999999999999154</v>
      </c>
      <c r="BH48" s="26">
        <f t="shared" si="692"/>
        <v>0.19999999999999696</v>
      </c>
      <c r="BI48" s="26">
        <f t="shared" si="692"/>
        <v>-2.8800000000000008</v>
      </c>
      <c r="BJ48" s="26">
        <f t="shared" si="692"/>
        <v>2.4600000000000004</v>
      </c>
      <c r="BK48" s="26">
        <f t="shared" si="692"/>
        <v>-0.42999999999999838</v>
      </c>
      <c r="BL48" s="26">
        <f t="shared" si="692"/>
        <v>1.3299999999999954</v>
      </c>
      <c r="BM48" s="26">
        <f t="shared" si="692"/>
        <v>-1.1199999999999999</v>
      </c>
      <c r="BN48" s="26">
        <f t="shared" si="692"/>
        <v>0.85000000000000309</v>
      </c>
      <c r="BO48" s="26">
        <f t="shared" si="692"/>
        <v>0.81000000000000072</v>
      </c>
      <c r="BP48" s="26">
        <f t="shared" si="692"/>
        <v>6.139999999999997</v>
      </c>
      <c r="BQ48" s="26">
        <f t="shared" si="692"/>
        <v>3.9399999999999995</v>
      </c>
      <c r="BR48" s="26">
        <f t="shared" si="692"/>
        <v>3.3000000000000025</v>
      </c>
      <c r="BS48" s="26">
        <f t="shared" si="692"/>
        <v>16.320000000000007</v>
      </c>
      <c r="BT48" s="26">
        <f t="shared" si="692"/>
        <v>4.5799999999999992</v>
      </c>
      <c r="BU48" s="26">
        <f t="shared" si="692"/>
        <v>3.790000000000004</v>
      </c>
      <c r="BV48" s="26">
        <f t="shared" si="692"/>
        <v>2.790000000000004</v>
      </c>
      <c r="BW48" s="26">
        <f t="shared" si="692"/>
        <v>3.8199999999999941</v>
      </c>
      <c r="BX48" s="26">
        <f t="shared" si="692"/>
        <v>5.4900000000000091</v>
      </c>
      <c r="BY48" s="26">
        <f t="shared" si="692"/>
        <v>1.0000000000000067</v>
      </c>
      <c r="BZ48" s="26">
        <f t="shared" si="692"/>
        <v>3.3499999999999992</v>
      </c>
      <c r="CA48" s="26">
        <f t="shared" si="692"/>
        <v>3.84</v>
      </c>
      <c r="CB48" s="26">
        <f t="shared" si="692"/>
        <v>3.8800000000000088</v>
      </c>
      <c r="CC48" s="26">
        <f t="shared" si="692"/>
        <v>5.1300000000000008</v>
      </c>
      <c r="CD48" s="26">
        <f t="shared" si="692"/>
        <v>5.9900000000000038</v>
      </c>
      <c r="CE48" s="26">
        <f t="shared" ref="CE48:CF48" si="693">CE41+CE45+CE46+CE47</f>
        <v>4.00999999999999</v>
      </c>
      <c r="CF48" s="26">
        <f t="shared" si="693"/>
        <v>3.1899999999999959</v>
      </c>
      <c r="CG48" s="26">
        <f t="shared" ref="CG48:CH48" si="694">CG41+CG45+CG46+CG47</f>
        <v>1.6300000000000063</v>
      </c>
      <c r="CH48" s="26">
        <f t="shared" si="694"/>
        <v>5.7400000000000144</v>
      </c>
      <c r="CI48" s="26">
        <f t="shared" ref="CI48:CJ48" si="695">CI41+CI45+CI46+CI47</f>
        <v>6.8200000000000038</v>
      </c>
      <c r="CJ48" s="26">
        <f t="shared" si="695"/>
        <v>7.230000000000012</v>
      </c>
      <c r="CK48" s="26">
        <f t="shared" ref="CK48:CL48" si="696">CK41+CK45+CK46+CK47</f>
        <v>4.8899999999999952</v>
      </c>
      <c r="CL48" s="26">
        <f t="shared" si="696"/>
        <v>10.660000000000007</v>
      </c>
      <c r="CM48" s="27">
        <f t="shared" ref="CM48:DB48" si="697">CM41+CM45+CM46+CM47</f>
        <v>9.7238925024791314</v>
      </c>
      <c r="CN48" s="27">
        <f t="shared" si="697"/>
        <v>10.245251453411941</v>
      </c>
      <c r="CO48" s="27">
        <f t="shared" si="697"/>
        <v>7.1406403788152417</v>
      </c>
      <c r="CP48" s="27">
        <f t="shared" si="697"/>
        <v>9.1286478990451805</v>
      </c>
      <c r="CQ48" s="27">
        <f t="shared" si="697"/>
        <v>12.046816938871101</v>
      </c>
      <c r="CR48" s="27">
        <f t="shared" si="697"/>
        <v>12.348197417020948</v>
      </c>
      <c r="CS48" s="27">
        <f t="shared" si="697"/>
        <v>8.5956672555272675</v>
      </c>
      <c r="CT48" s="27">
        <f t="shared" si="697"/>
        <v>10.297397489848375</v>
      </c>
      <c r="CU48" s="27">
        <f t="shared" si="697"/>
        <v>14.261457137004063</v>
      </c>
      <c r="CV48" s="27">
        <f t="shared" si="697"/>
        <v>14.469781220921648</v>
      </c>
      <c r="CW48" s="27">
        <f t="shared" si="697"/>
        <v>10.096949292792088</v>
      </c>
      <c r="CX48" s="27">
        <f t="shared" si="697"/>
        <v>11.988817951540051</v>
      </c>
      <c r="CY48" s="27">
        <f t="shared" si="697"/>
        <v>16.639676029597172</v>
      </c>
      <c r="CZ48" s="27">
        <f t="shared" si="697"/>
        <v>16.831741531236105</v>
      </c>
      <c r="DA48" s="27">
        <f t="shared" si="697"/>
        <v>11.813463240757015</v>
      </c>
      <c r="DB48" s="27">
        <f t="shared" si="697"/>
        <v>13.976768681531567</v>
      </c>
      <c r="DE48" s="121"/>
      <c r="DF48" s="26">
        <v>9.491535922337496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0.2286253</v>
      </c>
      <c r="F51" s="22">
        <f>'Annual Raw'!G35</f>
        <v>-1.1267503999999999</v>
      </c>
      <c r="G51" s="22">
        <f>'Annual Raw'!H35</f>
        <v>0.36480319999999999</v>
      </c>
      <c r="H51" s="22">
        <f>'Annual Raw'!I35</f>
        <v>-2.3254999999999999</v>
      </c>
      <c r="I51" s="22">
        <f>'Annual Raw'!J35</f>
        <v>-0.28449999999999998</v>
      </c>
      <c r="J51" s="22">
        <f>'Annual Raw'!K35</f>
        <v>3.6587999999999998</v>
      </c>
      <c r="K51" s="22">
        <f>'Annual Raw'!L35</f>
        <v>2.9416000000000002</v>
      </c>
      <c r="L51" s="22">
        <f>'Annual Raw'!M35</f>
        <v>1.5968</v>
      </c>
      <c r="M51" s="22">
        <f>'Annual Raw'!N35</f>
        <v>0.96840000000000004</v>
      </c>
      <c r="N51" s="22">
        <f>'Annual Raw'!O35</f>
        <v>0.84230000000000005</v>
      </c>
      <c r="O51" s="22">
        <f>'Annual Raw'!P35</f>
        <v>-0.40460000000000002</v>
      </c>
      <c r="P51" s="22">
        <f>'Annual Raw'!Q35</f>
        <v>-3.1833999999999998</v>
      </c>
      <c r="Q51" s="22">
        <f>'Annual Raw'!R35</f>
        <v>-0.84550000000000003</v>
      </c>
      <c r="R51" s="22">
        <f>'Annual Raw'!S35</f>
        <v>-6.6710000000000003</v>
      </c>
      <c r="S51" s="22">
        <f>'Annual Raw'!T35</f>
        <v>1.2048000000000001</v>
      </c>
      <c r="T51" s="22">
        <f>'Annual Raw'!U35</f>
        <v>0.22259999999999999</v>
      </c>
      <c r="U51" s="22">
        <f>'Annual Raw'!V35</f>
        <v>0.64359999999999995</v>
      </c>
      <c r="V51" s="22">
        <f>'Annual Raw'!W35</f>
        <v>14.1838</v>
      </c>
      <c r="W51" s="22">
        <f>'Annual Raw'!X35</f>
        <v>27.475200000000001</v>
      </c>
      <c r="X51" s="22">
        <f>'Annual Raw'!Y35</f>
        <v>13.661099999999999</v>
      </c>
      <c r="Y51" s="22">
        <f>'Annual Raw'!Z35</f>
        <v>18.846699999999998</v>
      </c>
      <c r="Z51" s="22">
        <f>'Annual Raw'!AA35</f>
        <v>14.584099999999999</v>
      </c>
      <c r="AA51" s="22">
        <f>'Annual Raw'!AB35</f>
        <v>29.604600000000001</v>
      </c>
      <c r="AB51" s="21">
        <f t="shared" ref="AA51:AD51" si="698">+AB48</f>
        <v>36.238432233751517</v>
      </c>
      <c r="AC51" s="21">
        <f t="shared" si="698"/>
        <v>43.288079101267805</v>
      </c>
      <c r="AD51" s="21">
        <f t="shared" si="698"/>
        <v>50.817005602257936</v>
      </c>
      <c r="AE51" s="21">
        <f t="shared" ref="AE51" si="699">+AE48</f>
        <v>59.261649483121914</v>
      </c>
      <c r="AI51" s="22">
        <f>'QTR Raw'!C42</f>
        <v>0.64100000000000001</v>
      </c>
      <c r="AJ51" s="22">
        <f>'QTR Raw'!D42</f>
        <v>0.21</v>
      </c>
      <c r="AK51" s="22">
        <f>'QTR Raw'!E42</f>
        <v>-0.33</v>
      </c>
      <c r="AL51" s="22">
        <f>'QTR Raw'!F42</f>
        <v>0.374</v>
      </c>
      <c r="AM51" s="22">
        <f>'QTR Raw'!G42</f>
        <v>-0.23899999999999999</v>
      </c>
      <c r="AN51" s="22">
        <f>'QTR Raw'!H42</f>
        <v>1.1200000000000001</v>
      </c>
      <c r="AO51" s="22">
        <f>'QTR Raw'!I42</f>
        <v>1.62</v>
      </c>
      <c r="AP51" s="22">
        <f>'QTR Raw'!J42</f>
        <v>-2.9</v>
      </c>
      <c r="AQ51" s="22">
        <f>'QTR Raw'!K42</f>
        <v>0.03</v>
      </c>
      <c r="AR51" s="22">
        <f>'QTR Raw'!L42</f>
        <v>-0.27</v>
      </c>
      <c r="AS51" s="22">
        <f>'QTR Raw'!M42</f>
        <v>-2.09</v>
      </c>
      <c r="AT51" s="22">
        <f>'QTR Raw'!N42</f>
        <v>-0.85</v>
      </c>
      <c r="AU51" s="22">
        <f>'QTR Raw'!O42</f>
        <v>0.86</v>
      </c>
      <c r="AV51" s="22">
        <f>'QTR Raw'!P42</f>
        <v>-0.34</v>
      </c>
      <c r="AW51" s="22">
        <f>'QTR Raw'!Q42</f>
        <v>-1.58</v>
      </c>
      <c r="AX51" s="22">
        <f>'QTR Raw'!R42</f>
        <v>0.24</v>
      </c>
      <c r="AY51" s="22">
        <f>'QTR Raw'!S42</f>
        <v>-0.68</v>
      </c>
      <c r="AZ51" s="22">
        <f>'QTR Raw'!T42</f>
        <v>-0.35</v>
      </c>
      <c r="BA51" s="22">
        <f>'QTR Raw'!U42</f>
        <v>-2.66</v>
      </c>
      <c r="BB51" s="22">
        <f>'QTR Raw'!V42</f>
        <v>-2.93</v>
      </c>
      <c r="BC51" s="22">
        <f>'QTR Raw'!W42</f>
        <v>-0.94</v>
      </c>
      <c r="BD51" s="22">
        <f>'QTR Raw'!X42</f>
        <v>0.46</v>
      </c>
      <c r="BE51" s="22">
        <f>'QTR Raw'!Y42</f>
        <v>0.33</v>
      </c>
      <c r="BF51" s="22">
        <f>'QTR Raw'!Z42</f>
        <v>1.36</v>
      </c>
      <c r="BG51" s="22">
        <f>'QTR Raw'!AA42</f>
        <v>0.47</v>
      </c>
      <c r="BH51" s="22">
        <f>'QTR Raw'!AB42</f>
        <v>0.200000000000008</v>
      </c>
      <c r="BI51" s="22">
        <f>'QTR Raw'!AC42</f>
        <v>-2.88</v>
      </c>
      <c r="BJ51" s="22">
        <f>'QTR Raw'!AD42</f>
        <v>2.46</v>
      </c>
      <c r="BK51" s="22">
        <f>'QTR Raw'!AE42</f>
        <v>-0.43</v>
      </c>
      <c r="BL51" s="22">
        <f>'QTR Raw'!AF42</f>
        <v>1.33</v>
      </c>
      <c r="BM51" s="22">
        <f>'QTR Raw'!AG42</f>
        <v>-1.1200000000000001</v>
      </c>
      <c r="BN51" s="22">
        <f>'QTR Raw'!AH42</f>
        <v>0.85000000000000098</v>
      </c>
      <c r="BO51" s="22">
        <f>'QTR Raw'!AI42</f>
        <v>0.80999999999999694</v>
      </c>
      <c r="BP51" s="22">
        <f>'QTR Raw'!AJ42</f>
        <v>6.14</v>
      </c>
      <c r="BQ51" s="22">
        <f>'QTR Raw'!AK42</f>
        <v>3.94</v>
      </c>
      <c r="BR51" s="22">
        <f>'QTR Raw'!AL42</f>
        <v>3.3</v>
      </c>
      <c r="BS51" s="22">
        <f>'QTR Raw'!AM42</f>
        <v>16.32</v>
      </c>
      <c r="BT51" s="22">
        <f>'QTR Raw'!AN42</f>
        <v>4.58</v>
      </c>
      <c r="BU51" s="22">
        <f>'QTR Raw'!AO42</f>
        <v>3.79</v>
      </c>
      <c r="BV51" s="22">
        <f>'QTR Raw'!AP42</f>
        <v>2.7899999999999898</v>
      </c>
      <c r="BW51" s="22">
        <f>'QTR Raw'!AQ42</f>
        <v>3.82</v>
      </c>
      <c r="BX51" s="22">
        <f>'QTR Raw'!AR42</f>
        <v>5.49</v>
      </c>
      <c r="BY51" s="22">
        <f>'QTR Raw'!AS42</f>
        <v>1</v>
      </c>
      <c r="BZ51" s="22">
        <f>'QTR Raw'!AT42</f>
        <v>3.3500000000000099</v>
      </c>
      <c r="CA51" s="22">
        <f>'QTR Raw'!AU42</f>
        <v>3.8400000000000101</v>
      </c>
      <c r="CB51" s="22">
        <f>'QTR Raw'!AV42</f>
        <v>3.88</v>
      </c>
      <c r="CC51" s="22">
        <f>'QTR Raw'!AW42</f>
        <v>5.13</v>
      </c>
      <c r="CD51" s="22">
        <f>'QTR Raw'!AX42</f>
        <v>5.9899999999999904</v>
      </c>
      <c r="CE51" s="22">
        <f>'QTR Raw'!AY42</f>
        <v>4.01</v>
      </c>
      <c r="CF51" s="22">
        <f>'QTR Raw'!AZ42</f>
        <v>3.1899999999999902</v>
      </c>
      <c r="CG51" s="22">
        <f>'QTR Raw'!BA42</f>
        <v>1.63</v>
      </c>
      <c r="CH51" s="22">
        <f>'QTR Raw'!BB42</f>
        <v>5.74000000000001</v>
      </c>
      <c r="CI51" s="22">
        <f>'QTR Raw'!BC42</f>
        <v>6.8200000000000101</v>
      </c>
      <c r="CJ51" s="22">
        <f>'QTR Raw'!BD42</f>
        <v>7.23</v>
      </c>
      <c r="CK51" s="22">
        <f>'QTR Raw'!BE42</f>
        <v>4.8899999999999899</v>
      </c>
      <c r="CL51" s="22">
        <f>'QTR Raw'!BF42</f>
        <v>10.66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29.600000000000019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-5.8009153036664429E-15</v>
      </c>
      <c r="F52" s="25">
        <f t="shared" si="700"/>
        <v>1.9984014443252818E-15</v>
      </c>
      <c r="G52" s="25">
        <f t="shared" si="700"/>
        <v>1.3877787807814457E-15</v>
      </c>
      <c r="H52" s="25">
        <f t="shared" si="700"/>
        <v>6.2172489379008766E-15</v>
      </c>
      <c r="I52" s="25">
        <f t="shared" si="700"/>
        <v>-1.609823385706477E-15</v>
      </c>
      <c r="J52" s="25">
        <f t="shared" si="700"/>
        <v>-4.8849813083506888E-15</v>
      </c>
      <c r="K52" s="25">
        <f t="shared" si="700"/>
        <v>0</v>
      </c>
      <c r="L52" s="25">
        <f t="shared" si="700"/>
        <v>1.6431300764452317E-14</v>
      </c>
      <c r="M52" s="25">
        <f t="shared" si="700"/>
        <v>-1.4432899320127035E-15</v>
      </c>
      <c r="N52" s="25">
        <f t="shared" si="700"/>
        <v>-1.354472090042691E-14</v>
      </c>
      <c r="O52" s="25">
        <f t="shared" si="700"/>
        <v>-6.8278716014447127E-15</v>
      </c>
      <c r="P52" s="25">
        <f t="shared" si="700"/>
        <v>0</v>
      </c>
      <c r="Q52" s="25">
        <f t="shared" si="700"/>
        <v>-5.440092820663267E-15</v>
      </c>
      <c r="R52" s="25">
        <f t="shared" si="700"/>
        <v>-1.4210854715202004E-14</v>
      </c>
      <c r="S52" s="25">
        <f t="shared" si="700"/>
        <v>4.6629367034256575E-15</v>
      </c>
      <c r="T52" s="25">
        <f t="shared" si="700"/>
        <v>1.8290924330699454E-14</v>
      </c>
      <c r="U52" s="25">
        <f t="shared" si="700"/>
        <v>1.1990408665951691E-14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3.3750779948604759E-14</v>
      </c>
      <c r="Y52" s="25">
        <f t="shared" si="702"/>
        <v>0</v>
      </c>
      <c r="Z52" s="25">
        <f t="shared" ref="Z52:AA52" si="703">Z51-Z48</f>
        <v>-4.4408920985006262E-14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-7.2164496600635175E-16</v>
      </c>
      <c r="AK52" s="25">
        <f t="shared" ref="AK52:AM52" si="708">AK51-AK48</f>
        <v>6.6613381477509392E-16</v>
      </c>
      <c r="AL52" s="25">
        <f t="shared" si="708"/>
        <v>9.9999999999800249E-4</v>
      </c>
      <c r="AM52" s="25">
        <f t="shared" si="708"/>
        <v>1.0000000000011111E-3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-4.9999999999954525E-3</v>
      </c>
      <c r="AQ52" s="25">
        <f t="shared" si="710"/>
        <v>1.6653345369377348E-15</v>
      </c>
      <c r="AR52" s="25">
        <f t="shared" si="710"/>
        <v>3.7747582837255322E-15</v>
      </c>
      <c r="AS52" s="25">
        <f t="shared" si="710"/>
        <v>4.8849813083506888E-15</v>
      </c>
      <c r="AT52" s="25">
        <f t="shared" si="710"/>
        <v>0</v>
      </c>
      <c r="AU52" s="25">
        <f t="shared" si="710"/>
        <v>2.55351295663786E-15</v>
      </c>
      <c r="AV52" s="25">
        <f t="shared" si="710"/>
        <v>-2.0539125955565396E-15</v>
      </c>
      <c r="AW52" s="25">
        <f t="shared" si="710"/>
        <v>-1.7763568394002505E-15</v>
      </c>
      <c r="AX52" s="25">
        <f t="shared" si="710"/>
        <v>-2.6645352591003757E-15</v>
      </c>
      <c r="AY52" s="25">
        <f t="shared" si="710"/>
        <v>-2.1094237467877974E-15</v>
      </c>
      <c r="AZ52" s="25">
        <f t="shared" si="710"/>
        <v>3.9968028886505635E-15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-1.7208456881689926E-15</v>
      </c>
      <c r="BE52" s="25">
        <f t="shared" si="710"/>
        <v>3.4972025275692431E-15</v>
      </c>
      <c r="BF52" s="25">
        <f t="shared" si="710"/>
        <v>0</v>
      </c>
      <c r="BG52" s="25">
        <f t="shared" si="710"/>
        <v>8.4376949871511897E-15</v>
      </c>
      <c r="BH52" s="25">
        <f t="shared" si="710"/>
        <v>1.1046719095020308E-14</v>
      </c>
      <c r="BI52" s="25">
        <f t="shared" si="710"/>
        <v>0</v>
      </c>
      <c r="BJ52" s="25">
        <f t="shared" si="710"/>
        <v>0</v>
      </c>
      <c r="BK52" s="25">
        <f t="shared" si="710"/>
        <v>-1.609823385706477E-15</v>
      </c>
      <c r="BL52" s="25">
        <f t="shared" si="710"/>
        <v>4.6629367034256575E-15</v>
      </c>
      <c r="BM52" s="25">
        <f t="shared" si="710"/>
        <v>0</v>
      </c>
      <c r="BN52" s="25">
        <f t="shared" si="710"/>
        <v>-2.1094237467877974E-15</v>
      </c>
      <c r="BO52" s="25">
        <f t="shared" si="710"/>
        <v>-3.7747582837255322E-15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-3.9968028886505635E-15</v>
      </c>
      <c r="BV52" s="25">
        <f t="shared" si="710"/>
        <v>-1.4210854715202004E-14</v>
      </c>
      <c r="BW52" s="25">
        <f t="shared" si="710"/>
        <v>5.773159728050814E-15</v>
      </c>
      <c r="BX52" s="25">
        <f t="shared" si="710"/>
        <v>-8.8817841970012523E-15</v>
      </c>
      <c r="BY52" s="25">
        <f t="shared" si="710"/>
        <v>-6.6613381477509392E-15</v>
      </c>
      <c r="BZ52" s="25">
        <f t="shared" si="710"/>
        <v>1.0658141036401503E-14</v>
      </c>
      <c r="CA52" s="25">
        <f t="shared" si="710"/>
        <v>1.021405182655144E-14</v>
      </c>
      <c r="CB52" s="25">
        <f t="shared" si="710"/>
        <v>-8.8817841970012523E-15</v>
      </c>
      <c r="CC52" s="25">
        <f t="shared" si="710"/>
        <v>0</v>
      </c>
      <c r="CD52" s="25">
        <f t="shared" si="710"/>
        <v>-1.3322676295501878E-14</v>
      </c>
      <c r="CE52" s="25">
        <f t="shared" ref="CE52:CF52" si="711">CE51-CE48</f>
        <v>9.7699626167013776E-15</v>
      </c>
      <c r="CF52" s="25">
        <f t="shared" si="711"/>
        <v>-5.773159728050814E-15</v>
      </c>
      <c r="CG52" s="25">
        <f t="shared" ref="CG52:CH52" si="712">CG51-CG48</f>
        <v>-6.4392935428259079E-15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-1.1546319456101628E-14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>
        <f t="shared" si="715"/>
        <v>0.12250164616813253</v>
      </c>
      <c r="F54" s="39">
        <f t="shared" si="715"/>
        <v>-0.99961443773648739</v>
      </c>
      <c r="G54" s="39">
        <f t="shared" si="715"/>
        <v>7.346356273485502E-2</v>
      </c>
      <c r="H54" s="39">
        <f t="shared" si="715"/>
        <v>-0.30150395436276495</v>
      </c>
      <c r="I54" s="39">
        <f t="shared" si="715"/>
        <v>-2.4844123862584347E-2</v>
      </c>
      <c r="J54" s="39">
        <f t="shared" si="715"/>
        <v>0.24214107027041365</v>
      </c>
      <c r="K54" s="39">
        <f t="shared" si="715"/>
        <v>0.16295327889739547</v>
      </c>
      <c r="L54" s="39">
        <f t="shared" si="715"/>
        <v>8.1666470615310599E-2</v>
      </c>
      <c r="M54" s="39">
        <f t="shared" si="715"/>
        <v>4.6972313303971669E-2</v>
      </c>
      <c r="N54" s="39">
        <f t="shared" si="715"/>
        <v>3.9252144817720255E-2</v>
      </c>
      <c r="O54" s="39">
        <f t="shared" si="715"/>
        <v>-1.9217159603117356E-2</v>
      </c>
      <c r="P54" s="39">
        <f t="shared" si="715"/>
        <v>-0.18040042388489375</v>
      </c>
      <c r="Q54" s="39">
        <f t="shared" si="715"/>
        <v>-5.0324984524546132E-2</v>
      </c>
      <c r="R54" s="39">
        <f t="shared" si="715"/>
        <v>-0.67806429972657734</v>
      </c>
      <c r="S54" s="39">
        <f t="shared" si="715"/>
        <v>0.10864037223394429</v>
      </c>
      <c r="T54" s="39">
        <f t="shared" si="715"/>
        <v>0.17375757521982393</v>
      </c>
      <c r="U54" s="39">
        <f t="shared" si="715"/>
        <v>0.14210428368410266</v>
      </c>
      <c r="V54" s="39">
        <f t="shared" si="715"/>
        <v>0.54255713875872646</v>
      </c>
      <c r="W54" s="39">
        <f t="shared" si="715"/>
        <v>0.17989201113425549</v>
      </c>
      <c r="X54" s="39">
        <f t="shared" si="715"/>
        <v>0.20699012709321934</v>
      </c>
      <c r="Y54" s="39">
        <f t="shared" si="715"/>
        <v>0.22930592698399571</v>
      </c>
      <c r="Z54" s="39">
        <f t="shared" si="715"/>
        <v>0.15241209506670642</v>
      </c>
      <c r="AA54" s="39">
        <f t="shared" ref="AA54" si="716">(AA48-AA47)/AA120</f>
        <v>0.11739104056935321</v>
      </c>
      <c r="AB54" s="40">
        <f t="shared" si="715"/>
        <v>0.12564534087884413</v>
      </c>
      <c r="AC54" s="40">
        <f t="shared" si="715"/>
        <v>0.13050114369792223</v>
      </c>
      <c r="AD54" s="40">
        <f t="shared" si="715"/>
        <v>0.13284674889829184</v>
      </c>
      <c r="AE54" s="40">
        <f t="shared" si="715"/>
        <v>0.1341413292874778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4.1660841604921083E-2</v>
      </c>
      <c r="AM54" s="39">
        <f t="shared" si="717"/>
        <v>6.126584664687732E-4</v>
      </c>
      <c r="AN54" s="39">
        <f t="shared" si="717"/>
        <v>4.1316025067144199E-2</v>
      </c>
      <c r="AO54" s="39">
        <f t="shared" si="717"/>
        <v>0.11990818030050095</v>
      </c>
      <c r="AP54" s="39">
        <f t="shared" si="717"/>
        <v>-1.8764845605700884E-2</v>
      </c>
      <c r="AQ54" s="39">
        <f t="shared" si="717"/>
        <v>-5.9297912713474456E-3</v>
      </c>
      <c r="AR54" s="39">
        <f t="shared" si="717"/>
        <v>-7.3579407479359357E-2</v>
      </c>
      <c r="AS54" s="39">
        <f t="shared" si="717"/>
        <v>-0.28243243243243327</v>
      </c>
      <c r="AT54" s="39">
        <f t="shared" si="717"/>
        <v>-0.180272108843538</v>
      </c>
      <c r="AU54" s="39">
        <f t="shared" si="717"/>
        <v>-0.12702702702702764</v>
      </c>
      <c r="AV54" s="39">
        <f t="shared" si="717"/>
        <v>-0.13325991189427341</v>
      </c>
      <c r="AW54" s="39">
        <f t="shared" si="717"/>
        <v>-0.11519903498190585</v>
      </c>
      <c r="AX54" s="39">
        <f t="shared" si="717"/>
        <v>-4.8809523809523581E-2</v>
      </c>
      <c r="AY54" s="39">
        <f t="shared" si="717"/>
        <v>-0.146401985111662</v>
      </c>
      <c r="AZ54" s="39">
        <f t="shared" si="717"/>
        <v>-0.14868255959849419</v>
      </c>
      <c r="BA54" s="39">
        <f t="shared" si="717"/>
        <v>-0.2597891566265062</v>
      </c>
      <c r="BB54" s="39">
        <f t="shared" si="717"/>
        <v>-0.67276422764227728</v>
      </c>
      <c r="BC54" s="39">
        <f t="shared" si="717"/>
        <v>-0.77303370786516956</v>
      </c>
      <c r="BD54" s="39">
        <f t="shared" si="717"/>
        <v>-0.65058949624866069</v>
      </c>
      <c r="BE54" s="39">
        <f t="shared" si="717"/>
        <v>-0.31884057971014557</v>
      </c>
      <c r="BF54" s="39">
        <f t="shared" si="717"/>
        <v>0.10910730387736679</v>
      </c>
      <c r="BG54" s="39">
        <f t="shared" si="717"/>
        <v>0.34429065743944576</v>
      </c>
      <c r="BH54" s="39">
        <f t="shared" si="717"/>
        <v>0.31578947368420923</v>
      </c>
      <c r="BI54" s="39">
        <f t="shared" si="717"/>
        <v>5.7303370786515415E-2</v>
      </c>
      <c r="BJ54" s="39">
        <f t="shared" si="717"/>
        <v>0.17568766637089511</v>
      </c>
      <c r="BK54" s="39">
        <f t="shared" si="717"/>
        <v>-2.5830258302583179E-2</v>
      </c>
      <c r="BL54" s="39">
        <f t="shared" si="717"/>
        <v>8.3950617283950354E-2</v>
      </c>
      <c r="BM54" s="39">
        <f t="shared" si="717"/>
        <v>0.3182230281051675</v>
      </c>
      <c r="BN54" s="39">
        <f t="shared" si="717"/>
        <v>0.14128595600676822</v>
      </c>
      <c r="BO54" s="39">
        <f t="shared" si="717"/>
        <v>0.23040380047505934</v>
      </c>
      <c r="BP54" s="39">
        <f t="shared" si="717"/>
        <v>0.40331196581196588</v>
      </c>
      <c r="BQ54" s="39">
        <f t="shared" si="717"/>
        <v>0.52427184466019428</v>
      </c>
      <c r="BR54" s="39">
        <f t="shared" ref="BR54:CW54" si="718">(SUM(BO48:BR48)-SUM(BO47:BR47))/BR120</f>
        <v>0.54284621270084155</v>
      </c>
      <c r="BS54" s="39">
        <f t="shared" si="718"/>
        <v>0.27979274611398974</v>
      </c>
      <c r="BT54" s="39">
        <f t="shared" si="718"/>
        <v>0.21901528013582355</v>
      </c>
      <c r="BU54" s="39">
        <f t="shared" si="718"/>
        <v>0.19976428992339443</v>
      </c>
      <c r="BV54" s="39">
        <f t="shared" si="718"/>
        <v>0.17998882057015111</v>
      </c>
      <c r="BW54" s="39">
        <f t="shared" si="718"/>
        <v>0.26056705514002437</v>
      </c>
      <c r="BX54" s="39">
        <f t="shared" si="718"/>
        <v>0.25820604484887899</v>
      </c>
      <c r="BY54" s="39">
        <f t="shared" si="718"/>
        <v>0.20946594179724995</v>
      </c>
      <c r="BZ54" s="39">
        <f t="shared" si="718"/>
        <v>0.20696969696969711</v>
      </c>
      <c r="CA54" s="39">
        <f t="shared" si="718"/>
        <v>0.19587628865979406</v>
      </c>
      <c r="CB54" s="39">
        <f t="shared" si="718"/>
        <v>0.16689712389380554</v>
      </c>
      <c r="CC54" s="39">
        <f t="shared" si="718"/>
        <v>0.20916720464816027</v>
      </c>
      <c r="CD54" s="39">
        <f t="shared" si="718"/>
        <v>0.22922496654094185</v>
      </c>
      <c r="CE54" s="39">
        <f t="shared" si="718"/>
        <v>0.22053364269141537</v>
      </c>
      <c r="CF54" s="39">
        <f t="shared" si="718"/>
        <v>0.20735710243350305</v>
      </c>
      <c r="CG54" s="39">
        <f t="shared" si="718"/>
        <v>0.16470326739275387</v>
      </c>
      <c r="CH54" s="39">
        <f t="shared" si="718"/>
        <v>0.15226474209048946</v>
      </c>
      <c r="CI54" s="39">
        <f t="shared" si="718"/>
        <v>0.16954675022388385</v>
      </c>
      <c r="CJ54" s="39">
        <f t="shared" si="718"/>
        <v>0.19871973281380498</v>
      </c>
      <c r="CK54" s="39">
        <f t="shared" si="718"/>
        <v>0.21902733404330874</v>
      </c>
      <c r="CL54" s="39">
        <f t="shared" si="718"/>
        <v>0.11737647711951789</v>
      </c>
      <c r="CM54" s="40">
        <f t="shared" si="718"/>
        <v>0.12410618334804424</v>
      </c>
      <c r="CN54" s="40">
        <f t="shared" si="718"/>
        <v>0.13051352445792697</v>
      </c>
      <c r="CO54" s="40">
        <f t="shared" si="718"/>
        <v>0.13523510866921748</v>
      </c>
      <c r="CP54" s="40">
        <f t="shared" si="718"/>
        <v>0.12564534087884408</v>
      </c>
      <c r="CQ54" s="40">
        <f t="shared" si="718"/>
        <v>0.12833882379519132</v>
      </c>
      <c r="CR54" s="40">
        <f t="shared" si="718"/>
        <v>0.12999537928143132</v>
      </c>
      <c r="CS54" s="40">
        <f t="shared" si="718"/>
        <v>0.13104584685409457</v>
      </c>
      <c r="CT54" s="40">
        <f t="shared" si="718"/>
        <v>0.1305011436979219</v>
      </c>
      <c r="CU54" s="40">
        <f t="shared" si="718"/>
        <v>0.13152292537475255</v>
      </c>
      <c r="CV54" s="40">
        <f t="shared" si="718"/>
        <v>0.13212906568158372</v>
      </c>
      <c r="CW54" s="40">
        <f t="shared" si="718"/>
        <v>0.13258025570894552</v>
      </c>
      <c r="CX54" s="40">
        <f t="shared" ref="CX54:DB54" si="719">(SUM(CU48:CX48)-SUM(CU47:CX47))/CX120</f>
        <v>0.13284674889829162</v>
      </c>
      <c r="CY54" s="40">
        <f t="shared" si="719"/>
        <v>0.13326685784694964</v>
      </c>
      <c r="CZ54" s="40">
        <f t="shared" si="719"/>
        <v>0.13355255124006271</v>
      </c>
      <c r="DA54" s="40">
        <f t="shared" si="719"/>
        <v>0.13387698571567078</v>
      </c>
      <c r="DB54" s="40">
        <f t="shared" si="719"/>
        <v>0.13414132928747768</v>
      </c>
      <c r="DE54" s="122"/>
      <c r="DF54" s="38">
        <v>0.23271816718757624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>
        <f t="shared" si="720"/>
        <v>4.400407593780636E-3</v>
      </c>
      <c r="F55" s="39">
        <f t="shared" si="720"/>
        <v>1.5193321543650317E-2</v>
      </c>
      <c r="G55" s="39">
        <f t="shared" si="720"/>
        <v>6.8215244890179577E-2</v>
      </c>
      <c r="H55" s="39">
        <f t="shared" si="720"/>
        <v>-1.0370804309421795E-2</v>
      </c>
      <c r="I55" s="39">
        <f t="shared" si="720"/>
        <v>4.8979624433642364E-2</v>
      </c>
      <c r="J55" s="39">
        <f t="shared" si="720"/>
        <v>0.11263150780598806</v>
      </c>
      <c r="K55" s="39">
        <f t="shared" si="720"/>
        <v>0.14365684061461753</v>
      </c>
      <c r="L55" s="39">
        <f t="shared" si="720"/>
        <v>0.10229575292429566</v>
      </c>
      <c r="M55" s="39">
        <f t="shared" si="720"/>
        <v>8.4557696278729277E-2</v>
      </c>
      <c r="N55" s="39">
        <f t="shared" si="720"/>
        <v>9.0867001689422466E-2</v>
      </c>
      <c r="O55" s="39">
        <f t="shared" si="720"/>
        <v>0.11102703206128207</v>
      </c>
      <c r="P55" s="39">
        <f t="shared" si="720"/>
        <v>-1.1993109075287257E-2</v>
      </c>
      <c r="Q55" s="39">
        <f t="shared" si="720"/>
        <v>3.6585716703333944E-2</v>
      </c>
      <c r="R55" s="39">
        <f t="shared" si="720"/>
        <v>1.0707115770689399E-2</v>
      </c>
      <c r="S55" s="39">
        <f t="shared" si="720"/>
        <v>7.8818238085413633E-2</v>
      </c>
      <c r="T55" s="39">
        <f t="shared" si="720"/>
        <v>8.8711083160445389E-2</v>
      </c>
      <c r="U55" s="39">
        <f t="shared" si="720"/>
        <v>9.0695112138155773E-2</v>
      </c>
      <c r="V55" s="39">
        <f t="shared" si="720"/>
        <v>0.20829928832400263</v>
      </c>
      <c r="W55" s="39">
        <f t="shared" si="720"/>
        <v>0.19237032448471275</v>
      </c>
      <c r="X55" s="39">
        <f t="shared" si="720"/>
        <v>0.17264171838896122</v>
      </c>
      <c r="Y55" s="39">
        <f t="shared" si="720"/>
        <v>0.19714368362821963</v>
      </c>
      <c r="Z55" s="39">
        <f t="shared" si="720"/>
        <v>0.12244825097607213</v>
      </c>
      <c r="AA55" s="39">
        <f t="shared" ref="AA55" si="721">+AA34/AA129</f>
        <v>0.1646653150289922</v>
      </c>
      <c r="AB55" s="40">
        <f t="shared" si="720"/>
        <v>0.16900950360428157</v>
      </c>
      <c r="AC55" s="40">
        <f t="shared" si="720"/>
        <v>0.17671319290140081</v>
      </c>
      <c r="AD55" s="40">
        <f t="shared" si="720"/>
        <v>0.18099128581800597</v>
      </c>
      <c r="AE55" s="40">
        <f t="shared" si="720"/>
        <v>0.18375635998058495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0.10770520265820517</v>
      </c>
      <c r="AM55" s="39">
        <f t="shared" si="722"/>
        <v>8.5564178146744496E-2</v>
      </c>
      <c r="AN55" s="39">
        <f t="shared" si="722"/>
        <v>7.9387755102040838E-2</v>
      </c>
      <c r="AO55" s="39">
        <f t="shared" si="722"/>
        <v>0.12885793018983471</v>
      </c>
      <c r="AP55" s="39">
        <f t="shared" si="722"/>
        <v>0.1126183374400207</v>
      </c>
      <c r="AQ55" s="39">
        <f t="shared" si="722"/>
        <v>0.114920922997148</v>
      </c>
      <c r="AR55" s="39">
        <f t="shared" si="722"/>
        <v>8.3015597920277184E-2</v>
      </c>
      <c r="AS55" s="39">
        <f t="shared" si="722"/>
        <v>1.6871892019890897E-2</v>
      </c>
      <c r="AT55" s="39">
        <f t="shared" si="722"/>
        <v>-1.1940946591402636E-2</v>
      </c>
      <c r="AU55" s="39">
        <f t="shared" si="722"/>
        <v>8.1738008173799608E-3</v>
      </c>
      <c r="AV55" s="39">
        <f t="shared" si="722"/>
        <v>2.8230184581976073E-2</v>
      </c>
      <c r="AW55" s="39">
        <f t="shared" si="722"/>
        <v>4.5618718592964839E-2</v>
      </c>
      <c r="AX55" s="39">
        <f t="shared" si="722"/>
        <v>3.6754095577625032E-2</v>
      </c>
      <c r="AY55" s="39">
        <f t="shared" si="722"/>
        <v>1.263553316827464E-2</v>
      </c>
      <c r="AZ55" s="39">
        <f t="shared" si="722"/>
        <v>1.3838436256703157E-3</v>
      </c>
      <c r="BA55" s="39">
        <f t="shared" si="722"/>
        <v>-1.2747875354107667E-2</v>
      </c>
      <c r="BB55" s="39">
        <f t="shared" si="722"/>
        <v>-1.8468223791418639E-3</v>
      </c>
      <c r="BC55" s="39">
        <f t="shared" si="722"/>
        <v>7.7927779607067267E-3</v>
      </c>
      <c r="BD55" s="39">
        <f t="shared" si="722"/>
        <v>1.3789778206364473E-2</v>
      </c>
      <c r="BE55" s="39">
        <f t="shared" si="722"/>
        <v>4.835143708545607E-2</v>
      </c>
      <c r="BF55" s="39">
        <f t="shared" si="722"/>
        <v>8.0722891566265054E-2</v>
      </c>
      <c r="BG55" s="39">
        <f t="shared" si="722"/>
        <v>9.9425730693408709E-2</v>
      </c>
      <c r="BH55" s="39">
        <f t="shared" si="722"/>
        <v>0.10233066278222855</v>
      </c>
      <c r="BI55" s="39">
        <f t="shared" si="722"/>
        <v>8.1806282722512988E-2</v>
      </c>
      <c r="BJ55" s="39">
        <f t="shared" si="722"/>
        <v>0.10982293423271489</v>
      </c>
      <c r="BK55" s="39">
        <f t="shared" si="722"/>
        <v>9.8888300688194777E-2</v>
      </c>
      <c r="BL55" s="39">
        <f t="shared" si="722"/>
        <v>8.3452665075576749E-2</v>
      </c>
      <c r="BM55" s="39">
        <f t="shared" si="722"/>
        <v>0.10130036924064856</v>
      </c>
      <c r="BN55" s="39">
        <f t="shared" si="722"/>
        <v>8.888338697697451E-2</v>
      </c>
      <c r="BO55" s="39">
        <f t="shared" si="722"/>
        <v>9.7966879816363345E-2</v>
      </c>
      <c r="BP55" s="39">
        <f t="shared" si="722"/>
        <v>0.13812445223488171</v>
      </c>
      <c r="BQ55" s="39">
        <f t="shared" si="722"/>
        <v>0.17892239918671637</v>
      </c>
      <c r="BR55" s="39">
        <f t="shared" ref="BR55:CW55" si="723">+SUM(BO34:BR34)/BR129</f>
        <v>0.20738985430928561</v>
      </c>
      <c r="BS55" s="39">
        <f t="shared" si="723"/>
        <v>0.20190388453861513</v>
      </c>
      <c r="BT55" s="39">
        <f t="shared" si="723"/>
        <v>0.23924439624005794</v>
      </c>
      <c r="BU55" s="39">
        <f t="shared" si="723"/>
        <v>0.22747531241807228</v>
      </c>
      <c r="BV55" s="39">
        <f t="shared" si="723"/>
        <v>0.19279933439225486</v>
      </c>
      <c r="BW55" s="39">
        <f t="shared" si="723"/>
        <v>0.19554510034551206</v>
      </c>
      <c r="BX55" s="39">
        <f t="shared" si="723"/>
        <v>0.19397324506964567</v>
      </c>
      <c r="BY55" s="39">
        <f t="shared" si="723"/>
        <v>0.16737433228324899</v>
      </c>
      <c r="BZ55" s="39">
        <f t="shared" si="723"/>
        <v>0.17258244829513703</v>
      </c>
      <c r="CA55" s="39">
        <f t="shared" si="723"/>
        <v>0.16732444202504096</v>
      </c>
      <c r="CB55" s="39">
        <f t="shared" si="723"/>
        <v>0.14954383181277281</v>
      </c>
      <c r="CC55" s="39">
        <f t="shared" si="723"/>
        <v>0.18166123153654334</v>
      </c>
      <c r="CD55" s="39">
        <f t="shared" si="723"/>
        <v>0.19712513420016708</v>
      </c>
      <c r="CE55" s="39">
        <f t="shared" si="723"/>
        <v>0.18488961379390695</v>
      </c>
      <c r="CF55" s="39">
        <f t="shared" si="723"/>
        <v>0.15714436026936024</v>
      </c>
      <c r="CG55" s="39">
        <f t="shared" si="723"/>
        <v>0.13202232538730374</v>
      </c>
      <c r="CH55" s="39">
        <f t="shared" si="723"/>
        <v>0.12235644538970201</v>
      </c>
      <c r="CI55" s="39">
        <f t="shared" si="723"/>
        <v>0.14012760829330695</v>
      </c>
      <c r="CJ55" s="39">
        <f t="shared" si="723"/>
        <v>0.17698526401964818</v>
      </c>
      <c r="CK55" s="39">
        <f t="shared" si="723"/>
        <v>0.18334747666350537</v>
      </c>
      <c r="CL55" s="39">
        <f t="shared" si="723"/>
        <v>0.16460464747402659</v>
      </c>
      <c r="CM55" s="40">
        <f t="shared" si="723"/>
        <v>0.17036517134702636</v>
      </c>
      <c r="CN55" s="40">
        <f t="shared" si="723"/>
        <v>0.17252728509810261</v>
      </c>
      <c r="CO55" s="40">
        <f t="shared" si="723"/>
        <v>0.17954927652059849</v>
      </c>
      <c r="CP55" s="40">
        <f t="shared" si="723"/>
        <v>0.16900950360428152</v>
      </c>
      <c r="CQ55" s="40">
        <f t="shared" si="723"/>
        <v>0.17289856784623506</v>
      </c>
      <c r="CR55" s="40">
        <f t="shared" si="723"/>
        <v>0.1753339058532413</v>
      </c>
      <c r="CS55" s="40">
        <f t="shared" si="723"/>
        <v>0.17703465227782017</v>
      </c>
      <c r="CT55" s="40">
        <f t="shared" si="723"/>
        <v>0.17671319290140047</v>
      </c>
      <c r="CU55" s="40">
        <f t="shared" si="723"/>
        <v>0.17835929098145681</v>
      </c>
      <c r="CV55" s="40">
        <f t="shared" si="723"/>
        <v>0.17940448455294286</v>
      </c>
      <c r="CW55" s="40">
        <f t="shared" si="723"/>
        <v>0.18029833607995091</v>
      </c>
      <c r="CX55" s="40">
        <f t="shared" ref="CX55:DB55" si="724">+SUM(CU34:CX34)/CX129</f>
        <v>0.18099128581800575</v>
      </c>
      <c r="CY55" s="40">
        <f t="shared" si="724"/>
        <v>0.18180840328595133</v>
      </c>
      <c r="CZ55" s="40">
        <f t="shared" si="724"/>
        <v>0.18239827007136786</v>
      </c>
      <c r="DA55" s="40">
        <f t="shared" si="724"/>
        <v>0.18309928559375388</v>
      </c>
      <c r="DB55" s="40">
        <f t="shared" si="724"/>
        <v>0.18375635998058482</v>
      </c>
      <c r="DE55" s="122"/>
      <c r="DF55" s="38">
        <v>0.19188993001055121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2.1799999999998931E-2</v>
      </c>
      <c r="O58" s="9">
        <f>O10-SUM(AM10:AP10)</f>
        <v>3.3500000000003638E-2</v>
      </c>
      <c r="P58" s="9">
        <f>P10-SUM(AQ10:AT10)</f>
        <v>-4.4999999999930651E-3</v>
      </c>
      <c r="Q58" s="9">
        <f>Q10-SUM(AU10:AX10)</f>
        <v>-2.1000000000128694E-3</v>
      </c>
      <c r="R58" s="9">
        <f>R10-SUM(AY10:BB10)</f>
        <v>0.50200000000000955</v>
      </c>
      <c r="S58" s="9">
        <f>S10-SUM(BC10:BF10)</f>
        <v>0.78790000000000759</v>
      </c>
      <c r="T58" s="9">
        <f>T10-SUM(BG10:BJ10)</f>
        <v>-1.0000000000047748E-3</v>
      </c>
      <c r="U58" s="9">
        <f>U10-SUM(BK10:BN10)</f>
        <v>-2.6000000000010459E-3</v>
      </c>
      <c r="V58" s="9">
        <f>V10-SUM(BO10:BR10)</f>
        <v>3.1000000000176442E-3</v>
      </c>
      <c r="W58" s="9">
        <f>W10-SUM(BS10:BV10)</f>
        <v>-5.7999999999935881E-3</v>
      </c>
      <c r="X58" s="9">
        <f>X10-SUM(BW10:BZ10)</f>
        <v>0</v>
      </c>
      <c r="Y58" s="9">
        <f>Y10-SUM(CA10:CD10)</f>
        <v>-4.5999999999821739E-3</v>
      </c>
      <c r="Z58" s="9">
        <f>Z10-SUM(CE10:CH10)</f>
        <v>4.7999999999888132E-3</v>
      </c>
      <c r="AA58" s="9">
        <f>AA10-SUM(CF10:CI10)</f>
        <v>39.2029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2.3980000000000103</v>
      </c>
      <c r="O59" s="9">
        <f>O16-SUM(AM16:AP16)</f>
        <v>3.2643000000000058</v>
      </c>
      <c r="P59" s="9">
        <f>P16-SUM(AQ16:AT16)</f>
        <v>3.4843000000000117</v>
      </c>
      <c r="Q59" s="9">
        <f>Q16-SUM(AU16:AX16)</f>
        <v>4.1215999999999937</v>
      </c>
      <c r="R59" s="9">
        <f>R16-SUM(AY16:BB16)</f>
        <v>6.4446000000000225</v>
      </c>
      <c r="S59" s="9">
        <f>S16-SUM(BC16:BF16)</f>
        <v>8.4894999999999925</v>
      </c>
      <c r="T59" s="9">
        <f>T16-SUM(BG16:BJ16)</f>
        <v>7.3044000000000011</v>
      </c>
      <c r="U59" s="9">
        <f>U16-SUM(BK16:BN16)</f>
        <v>7.3352000000000004</v>
      </c>
      <c r="V59" s="9">
        <f>V16-SUM(BO16:BR16)</f>
        <v>6.0592000000000041</v>
      </c>
      <c r="W59" s="9">
        <f>W16-SUM(BS16:BV16)</f>
        <v>5.7965999999999696</v>
      </c>
      <c r="X59" s="9">
        <f>X16-SUM(BW16:BZ16)</f>
        <v>5.9183999999999628</v>
      </c>
      <c r="Y59" s="9">
        <f>Y16-SUM(CA16:CD16)</f>
        <v>5.6495999999999924</v>
      </c>
      <c r="Z59" s="9">
        <f>Z16-SUM(CE16:CH16)</f>
        <v>7.1152000000000442</v>
      </c>
      <c r="AA59" s="9">
        <f>AA16-SUM(CF16:CI16)</f>
        <v>18.46999999999997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0.52690000000001191</v>
      </c>
      <c r="O60" s="9">
        <f>O28-SUM(AM28:AP28)</f>
        <v>-0.10339999999998994</v>
      </c>
      <c r="P60" s="9">
        <f>P28-SUM(AQ28:AT28)</f>
        <v>-1.2699999999989942E-2</v>
      </c>
      <c r="Q60" s="9">
        <f>Q28-SUM(AU28:AX28)</f>
        <v>-2.6999999999990365E-3</v>
      </c>
      <c r="R60" s="9">
        <f>R28-SUM(AY28:BB28)</f>
        <v>1.3356000000000225</v>
      </c>
      <c r="S60" s="9">
        <f>S28-SUM(BC28:BF28)</f>
        <v>0.1756999999999973</v>
      </c>
      <c r="T60" s="9">
        <f>T28-SUM(BG28:BJ28)</f>
        <v>-3.6100000000004684E-2</v>
      </c>
      <c r="U60" s="9">
        <f>U28-SUM(BK28:BN28)</f>
        <v>0.21889999999999077</v>
      </c>
      <c r="V60" s="9">
        <f>V28-SUM(BO28:BR28)</f>
        <v>0.11350000000000193</v>
      </c>
      <c r="W60" s="9">
        <f>W28-SUM(BS28:BV28)</f>
        <v>-6.0500000000025977E-2</v>
      </c>
      <c r="X60" s="9">
        <f>X28-SUM(BW28:BZ28)</f>
        <v>7.8999999999638248E-3</v>
      </c>
      <c r="Y60" s="9">
        <f>Y28-SUM(CA28:CD28)</f>
        <v>3.899999999987358E-3</v>
      </c>
      <c r="Z60" s="9">
        <f>Z28-SUM(CE28:CH28)</f>
        <v>1.5300000000038949E-2</v>
      </c>
      <c r="AA60" s="9">
        <f>AA28-SUM(CF28:CI28)</f>
        <v>13.559799999999967</v>
      </c>
      <c r="AB60" s="15">
        <f>AB28-SUM(CM28:CP28)</f>
        <v>0</v>
      </c>
      <c r="AC60" s="15">
        <f>AC28-SUM(CQ28:CT28)</f>
        <v>1.1368683772161603E-13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-5.1699999999987867E-2</v>
      </c>
      <c r="O61" s="9">
        <f>O48-SUM(AM48:AP48)</f>
        <v>-9.5999999999896168E-3</v>
      </c>
      <c r="P61" s="9">
        <f>P48-SUM(AQ48:AT48)</f>
        <v>-3.3999999999902997E-3</v>
      </c>
      <c r="Q61" s="9">
        <f>Q48-SUM(AU48:AX48)</f>
        <v>-2.5499999999998524E-2</v>
      </c>
      <c r="R61" s="9">
        <f>R48-SUM(AY48:BB48)</f>
        <v>-5.0999999999977952E-2</v>
      </c>
      <c r="S61" s="9">
        <f>S48-SUM(BC48:BF48)</f>
        <v>-5.2000000000023139E-3</v>
      </c>
      <c r="T61" s="9">
        <f>T48-SUM(BG48:BJ48)</f>
        <v>-2.7400000000006308E-2</v>
      </c>
      <c r="U61" s="9">
        <f>U48-SUM(BK48:BN48)</f>
        <v>1.3599999999987733E-2</v>
      </c>
      <c r="V61" s="9">
        <f>V48-SUM(BO48:BR48)</f>
        <v>-6.1999999999926558E-3</v>
      </c>
      <c r="W61" s="9">
        <f>W41-SUM(BS41:BV41)</f>
        <v>-4.8000000000278931E-3</v>
      </c>
      <c r="X61" s="9">
        <f>X41-SUM(BW41:BZ41)</f>
        <v>1.0999999999565802E-3</v>
      </c>
      <c r="Y61" s="9">
        <f>Y41-SUM(CA41:CD41)</f>
        <v>6.6999999999950433E-3</v>
      </c>
      <c r="Z61" s="9">
        <f>Z41-SUM(CE41:CH41)</f>
        <v>1.4100000000036417E-2</v>
      </c>
      <c r="AA61" s="9">
        <f>AA41-SUM(CF41:CI41)</f>
        <v>12.22459999999997</v>
      </c>
      <c r="AB61" s="15">
        <f>AB41-SUM(CM41:CP41)</f>
        <v>0</v>
      </c>
      <c r="AC61" s="15">
        <f>AC41-SUM(CQ41:CT41)</f>
        <v>1.0658141036401503E-13</v>
      </c>
      <c r="AD61" s="15">
        <f>AD41-SUM(CU41:CX41)</f>
        <v>8.5265128291212022E-14</v>
      </c>
      <c r="AE61" s="15">
        <f>AE41-SUM(CY41:DB41)</f>
        <v>5.6843418860808015E-14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7.35</v>
      </c>
      <c r="AJ63" s="3">
        <f t="shared" si="730"/>
        <v>7.35</v>
      </c>
      <c r="AK63" s="3">
        <f t="shared" si="730"/>
        <v>7.35</v>
      </c>
      <c r="AL63" s="3">
        <f t="shared" si="730"/>
        <v>7.35</v>
      </c>
      <c r="AM63" s="3">
        <f t="shared" si="730"/>
        <v>7.35</v>
      </c>
      <c r="AN63" s="3">
        <f t="shared" si="730"/>
        <v>7.35</v>
      </c>
      <c r="AO63" s="3">
        <f t="shared" si="730"/>
        <v>7.35</v>
      </c>
      <c r="AP63" s="3">
        <f t="shared" si="730"/>
        <v>7.35</v>
      </c>
      <c r="AQ63" s="3">
        <f t="shared" si="730"/>
        <v>7.35</v>
      </c>
      <c r="AR63" s="3">
        <f t="shared" si="730"/>
        <v>7.35</v>
      </c>
      <c r="AS63" s="3">
        <f t="shared" si="730"/>
        <v>7.35</v>
      </c>
      <c r="AT63" s="3">
        <f t="shared" si="730"/>
        <v>7.35</v>
      </c>
      <c r="AU63" s="3">
        <f t="shared" si="730"/>
        <v>7.35</v>
      </c>
      <c r="AV63" s="3">
        <f t="shared" si="730"/>
        <v>7.35</v>
      </c>
      <c r="AW63" s="3">
        <f t="shared" si="730"/>
        <v>7.35</v>
      </c>
      <c r="AX63" s="3">
        <f t="shared" si="730"/>
        <v>7.35</v>
      </c>
      <c r="AY63" s="3">
        <f t="shared" si="730"/>
        <v>7.35</v>
      </c>
      <c r="AZ63" s="3">
        <f t="shared" si="730"/>
        <v>7.35</v>
      </c>
      <c r="BA63" s="3">
        <f t="shared" si="730"/>
        <v>7.35</v>
      </c>
      <c r="BB63" s="3">
        <f t="shared" si="730"/>
        <v>7.35</v>
      </c>
      <c r="BC63" s="3">
        <f t="shared" si="730"/>
        <v>7.35</v>
      </c>
      <c r="BD63" s="3">
        <f t="shared" si="730"/>
        <v>7.35</v>
      </c>
      <c r="BE63" s="3">
        <f t="shared" si="730"/>
        <v>7.35</v>
      </c>
      <c r="BF63" s="3">
        <f t="shared" si="730"/>
        <v>7.35</v>
      </c>
      <c r="BG63" s="3">
        <f t="shared" si="730"/>
        <v>7.35</v>
      </c>
      <c r="BH63" s="3">
        <f t="shared" si="730"/>
        <v>7.35</v>
      </c>
      <c r="BI63" s="3">
        <f t="shared" si="730"/>
        <v>7.35</v>
      </c>
      <c r="BJ63" s="3">
        <f t="shared" si="730"/>
        <v>7.35</v>
      </c>
      <c r="BK63" s="3">
        <f t="shared" si="730"/>
        <v>7.35</v>
      </c>
      <c r="BL63" s="3">
        <f t="shared" si="730"/>
        <v>7.35</v>
      </c>
      <c r="BM63" s="3">
        <f t="shared" si="730"/>
        <v>7.35</v>
      </c>
      <c r="BN63" s="3">
        <f t="shared" si="730"/>
        <v>7.35</v>
      </c>
      <c r="BO63" s="3">
        <f t="shared" si="730"/>
        <v>7.35</v>
      </c>
      <c r="BP63" s="3">
        <f t="shared" si="730"/>
        <v>7.35</v>
      </c>
      <c r="BQ63" s="3">
        <f t="shared" si="730"/>
        <v>7.35</v>
      </c>
      <c r="BR63" s="3">
        <f t="shared" si="730"/>
        <v>7.35</v>
      </c>
      <c r="BS63" s="3">
        <f t="shared" si="730"/>
        <v>7.35</v>
      </c>
      <c r="BT63" s="3">
        <f t="shared" si="730"/>
        <v>7.35</v>
      </c>
      <c r="BU63" s="3">
        <f t="shared" si="730"/>
        <v>7.35</v>
      </c>
      <c r="BV63" s="3">
        <f t="shared" si="730"/>
        <v>7.35</v>
      </c>
      <c r="BW63" s="3">
        <f t="shared" si="730"/>
        <v>7.35</v>
      </c>
      <c r="BX63" s="3">
        <f t="shared" si="730"/>
        <v>7.35</v>
      </c>
      <c r="BY63" s="3">
        <f t="shared" si="730"/>
        <v>7.35</v>
      </c>
      <c r="BZ63" s="3">
        <f t="shared" si="730"/>
        <v>7.35</v>
      </c>
      <c r="CA63" s="3">
        <f t="shared" si="730"/>
        <v>7.35</v>
      </c>
      <c r="CB63" s="3">
        <f t="shared" si="730"/>
        <v>7.35</v>
      </c>
      <c r="CC63" s="3">
        <f t="shared" si="730"/>
        <v>7.35</v>
      </c>
      <c r="CD63" s="3">
        <f t="shared" si="730"/>
        <v>7.35</v>
      </c>
      <c r="CE63" s="3">
        <f t="shared" si="730"/>
        <v>7.35</v>
      </c>
      <c r="CF63" s="3">
        <f t="shared" si="730"/>
        <v>7.35</v>
      </c>
      <c r="CG63" s="3">
        <f t="shared" si="730"/>
        <v>7.35</v>
      </c>
      <c r="CH63" s="3">
        <f t="shared" si="730"/>
        <v>7.35</v>
      </c>
      <c r="CI63" s="3">
        <f>+CJ63</f>
        <v>7.35</v>
      </c>
      <c r="CJ63" s="3">
        <f>'QTR Raw'!BD45</f>
        <v>7.35</v>
      </c>
      <c r="CK63" s="3">
        <f>'QTR Raw'!BE45</f>
        <v>8.7899999999999991</v>
      </c>
      <c r="CL63" s="3">
        <f>'QTR Raw'!BF45</f>
        <v>8.7899999999999991</v>
      </c>
      <c r="CM63" s="37">
        <f t="shared" ref="CM63:CM64" si="731">+CL63</f>
        <v>8.7899999999999991</v>
      </c>
      <c r="CN63" s="37">
        <f t="shared" ref="CN63:CN64" si="732">+CM63</f>
        <v>8.7899999999999991</v>
      </c>
      <c r="CO63" s="37">
        <f t="shared" ref="CO63:CO64" si="733">+CN63</f>
        <v>8.7899999999999991</v>
      </c>
      <c r="CP63" s="37">
        <f t="shared" ref="CP63:CP64" si="734">+CO63</f>
        <v>8.7899999999999991</v>
      </c>
      <c r="CQ63" s="37">
        <f t="shared" ref="CQ63:CQ64" si="735">+CP63</f>
        <v>8.7899999999999991</v>
      </c>
      <c r="CR63" s="37">
        <f t="shared" ref="CR63:CR64" si="736">+CQ63</f>
        <v>8.7899999999999991</v>
      </c>
      <c r="CS63" s="37">
        <f t="shared" ref="CS63:CS64" si="737">+CR63</f>
        <v>8.7899999999999991</v>
      </c>
      <c r="CT63" s="37">
        <f t="shared" ref="CT63:CT64" si="738">+CS63</f>
        <v>8.7899999999999991</v>
      </c>
      <c r="CU63" s="37">
        <f t="shared" ref="CU63:CU64" si="739">+CT63</f>
        <v>8.7899999999999991</v>
      </c>
      <c r="CV63" s="37">
        <f t="shared" ref="CV63:CV64" si="740">+CU63</f>
        <v>8.7899999999999991</v>
      </c>
      <c r="CW63" s="37">
        <f t="shared" ref="CW63:CW64" si="741">+CV63</f>
        <v>8.7899999999999991</v>
      </c>
      <c r="CX63" s="37">
        <f t="shared" ref="CX63:CX64" si="742">+CW63</f>
        <v>8.7899999999999991</v>
      </c>
      <c r="CY63" s="37">
        <f t="shared" ref="CY63:CY64" si="743">+CX63</f>
        <v>8.7899999999999991</v>
      </c>
      <c r="CZ63" s="37">
        <f t="shared" ref="CZ63:CZ64" si="744">+CY63</f>
        <v>8.7899999999999991</v>
      </c>
      <c r="DA63" s="37">
        <f t="shared" ref="DA63:DA64" si="745">+CZ63</f>
        <v>8.7899999999999991</v>
      </c>
      <c r="DB63" s="37">
        <f t="shared" ref="DB63:DB64" si="746">+DA63</f>
        <v>8.7899999999999991</v>
      </c>
      <c r="DE63" s="134"/>
      <c r="DF63" s="3">
        <v>8.7899999999999991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0.73499999999999999</v>
      </c>
      <c r="AJ65" s="3">
        <f t="shared" ref="AJ65" si="755">AJ63/AJ64</f>
        <v>0.73499999999999999</v>
      </c>
      <c r="AK65" s="3">
        <f t="shared" ref="AK65:AM65" si="756">AK63/AK64</f>
        <v>0.73499999999999999</v>
      </c>
      <c r="AL65" s="3">
        <f t="shared" si="756"/>
        <v>0.73499999999999999</v>
      </c>
      <c r="AM65" s="3">
        <f t="shared" si="756"/>
        <v>0.73499999999999999</v>
      </c>
      <c r="AN65" s="3">
        <f t="shared" ref="AN65:AO65" si="757">AN63/AN64</f>
        <v>0.73499999999999999</v>
      </c>
      <c r="AO65" s="3">
        <f t="shared" si="757"/>
        <v>0.73499999999999999</v>
      </c>
      <c r="AP65" s="3">
        <f t="shared" ref="AP65:CD65" si="758">AP63/AP64</f>
        <v>0.73499999999999999</v>
      </c>
      <c r="AQ65" s="3">
        <f t="shared" si="758"/>
        <v>0.73499999999999999</v>
      </c>
      <c r="AR65" s="3">
        <f t="shared" si="758"/>
        <v>0.73499999999999999</v>
      </c>
      <c r="AS65" s="3">
        <f t="shared" si="758"/>
        <v>0.73499999999999999</v>
      </c>
      <c r="AT65" s="3">
        <f t="shared" si="758"/>
        <v>0.73499999999999999</v>
      </c>
      <c r="AU65" s="3">
        <f t="shared" si="758"/>
        <v>0.73499999999999999</v>
      </c>
      <c r="AV65" s="3">
        <f t="shared" si="758"/>
        <v>0.73499999999999999</v>
      </c>
      <c r="AW65" s="3">
        <f t="shared" si="758"/>
        <v>0.73499999999999999</v>
      </c>
      <c r="AX65" s="3">
        <f t="shared" si="758"/>
        <v>0.73499999999999999</v>
      </c>
      <c r="AY65" s="3">
        <f t="shared" si="758"/>
        <v>0.73499999999999999</v>
      </c>
      <c r="AZ65" s="3">
        <f t="shared" si="758"/>
        <v>0.73499999999999999</v>
      </c>
      <c r="BA65" s="3">
        <f t="shared" si="758"/>
        <v>0.73499999999999999</v>
      </c>
      <c r="BB65" s="3">
        <f t="shared" si="758"/>
        <v>0.73499999999999999</v>
      </c>
      <c r="BC65" s="3">
        <f t="shared" si="758"/>
        <v>0.73499999999999999</v>
      </c>
      <c r="BD65" s="3">
        <f t="shared" si="758"/>
        <v>0.73499999999999999</v>
      </c>
      <c r="BE65" s="3">
        <f t="shared" si="758"/>
        <v>0.73499999999999999</v>
      </c>
      <c r="BF65" s="3">
        <f t="shared" si="758"/>
        <v>0.73499999999999999</v>
      </c>
      <c r="BG65" s="3">
        <f t="shared" si="758"/>
        <v>0.73499999999999999</v>
      </c>
      <c r="BH65" s="3">
        <f t="shared" si="758"/>
        <v>0.73499999999999999</v>
      </c>
      <c r="BI65" s="3">
        <f t="shared" si="758"/>
        <v>0.73499999999999999</v>
      </c>
      <c r="BJ65" s="3">
        <f t="shared" si="758"/>
        <v>0.73499999999999999</v>
      </c>
      <c r="BK65" s="3">
        <f t="shared" si="758"/>
        <v>0.73499999999999999</v>
      </c>
      <c r="BL65" s="3">
        <f t="shared" si="758"/>
        <v>0.73499999999999999</v>
      </c>
      <c r="BM65" s="3">
        <f t="shared" si="758"/>
        <v>0.73499999999999999</v>
      </c>
      <c r="BN65" s="3">
        <f t="shared" si="758"/>
        <v>0.73499999999999999</v>
      </c>
      <c r="BO65" s="3">
        <f t="shared" si="758"/>
        <v>0.73499999999999999</v>
      </c>
      <c r="BP65" s="3">
        <f t="shared" si="758"/>
        <v>0.73499999999999999</v>
      </c>
      <c r="BQ65" s="3">
        <f t="shared" si="758"/>
        <v>0.73499999999999999</v>
      </c>
      <c r="BR65" s="3">
        <f t="shared" si="758"/>
        <v>0.73499999999999999</v>
      </c>
      <c r="BS65" s="3">
        <f t="shared" si="758"/>
        <v>0.73499999999999999</v>
      </c>
      <c r="BT65" s="3">
        <f t="shared" si="758"/>
        <v>0.73499999999999999</v>
      </c>
      <c r="BU65" s="3">
        <f t="shared" si="758"/>
        <v>0.73499999999999999</v>
      </c>
      <c r="BV65" s="3">
        <f t="shared" si="758"/>
        <v>0.73499999999999999</v>
      </c>
      <c r="BW65" s="3">
        <f t="shared" si="758"/>
        <v>0.73499999999999999</v>
      </c>
      <c r="BX65" s="3">
        <f t="shared" si="758"/>
        <v>0.73499999999999999</v>
      </c>
      <c r="BY65" s="3">
        <f t="shared" si="758"/>
        <v>0.73499999999999999</v>
      </c>
      <c r="BZ65" s="3">
        <f t="shared" si="758"/>
        <v>0.73499999999999999</v>
      </c>
      <c r="CA65" s="3">
        <f t="shared" si="758"/>
        <v>0.73499999999999999</v>
      </c>
      <c r="CB65" s="3">
        <f t="shared" si="758"/>
        <v>0.73499999999999999</v>
      </c>
      <c r="CC65" s="3">
        <f t="shared" si="758"/>
        <v>0.73499999999999999</v>
      </c>
      <c r="CD65" s="3">
        <f t="shared" si="758"/>
        <v>0.73499999999999999</v>
      </c>
      <c r="CE65" s="3">
        <f t="shared" ref="CE65:CF65" si="759">CE63/CE64</f>
        <v>0.73499999999999999</v>
      </c>
      <c r="CF65" s="3">
        <f t="shared" si="759"/>
        <v>0.73499999999999999</v>
      </c>
      <c r="CG65" s="3">
        <f t="shared" ref="CG65:CH65" si="760">CG63/CG64</f>
        <v>0.73499999999999999</v>
      </c>
      <c r="CH65" s="3">
        <f t="shared" si="760"/>
        <v>0.73499999999999999</v>
      </c>
      <c r="CI65" s="3">
        <f t="shared" ref="CI65:CJ65" si="761">CI63/CI64</f>
        <v>0.73499999999999999</v>
      </c>
      <c r="CJ65" s="3">
        <f t="shared" si="761"/>
        <v>0.73499999999999999</v>
      </c>
      <c r="CK65" s="3">
        <f t="shared" ref="CK65:CL65" si="762">CK63/CK64</f>
        <v>0.87899999999999989</v>
      </c>
      <c r="CL65" s="3">
        <f t="shared" si="762"/>
        <v>0.87899999999999989</v>
      </c>
      <c r="CM65" s="37">
        <f t="shared" ref="CM65:DB65" si="763">CM63/CM64</f>
        <v>0.87899999999999989</v>
      </c>
      <c r="CN65" s="37">
        <f t="shared" si="763"/>
        <v>0.87899999999999989</v>
      </c>
      <c r="CO65" s="37">
        <f t="shared" si="763"/>
        <v>0.87899999999999989</v>
      </c>
      <c r="CP65" s="37">
        <f t="shared" si="763"/>
        <v>0.87899999999999989</v>
      </c>
      <c r="CQ65" s="37">
        <f t="shared" si="763"/>
        <v>0.87899999999999989</v>
      </c>
      <c r="CR65" s="37">
        <f t="shared" si="763"/>
        <v>0.87899999999999989</v>
      </c>
      <c r="CS65" s="37">
        <f t="shared" si="763"/>
        <v>0.87899999999999989</v>
      </c>
      <c r="CT65" s="37">
        <f t="shared" si="763"/>
        <v>0.87899999999999989</v>
      </c>
      <c r="CU65" s="37">
        <f t="shared" si="763"/>
        <v>0.87899999999999989</v>
      </c>
      <c r="CV65" s="37">
        <f t="shared" si="763"/>
        <v>0.87899999999999989</v>
      </c>
      <c r="CW65" s="37">
        <f t="shared" si="763"/>
        <v>0.87899999999999989</v>
      </c>
      <c r="CX65" s="37">
        <f t="shared" si="763"/>
        <v>0.87899999999999989</v>
      </c>
      <c r="CY65" s="37">
        <f t="shared" si="763"/>
        <v>0.87899999999999989</v>
      </c>
      <c r="CZ65" s="37">
        <f t="shared" si="763"/>
        <v>0.87899999999999989</v>
      </c>
      <c r="DA65" s="37">
        <f t="shared" si="763"/>
        <v>0.87899999999999989</v>
      </c>
      <c r="DB65" s="37">
        <f t="shared" si="763"/>
        <v>0.87899999999999989</v>
      </c>
      <c r="DE65" s="134"/>
      <c r="DF65" s="3">
        <v>0.87899999999999989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0.87210884353741414</v>
      </c>
      <c r="AJ66" s="53">
        <f t="shared" si="766"/>
        <v>0.2857142857142867</v>
      </c>
      <c r="AK66" s="53">
        <f t="shared" si="766"/>
        <v>-0.44897959183673564</v>
      </c>
      <c r="AL66" s="53">
        <f t="shared" si="766"/>
        <v>0.50748299319728163</v>
      </c>
      <c r="AM66" s="53">
        <f t="shared" si="766"/>
        <v>-0.32653061224489949</v>
      </c>
      <c r="AN66" s="53">
        <f t="shared" si="766"/>
        <v>1.5238095238095255</v>
      </c>
      <c r="AO66" s="53">
        <f t="shared" si="766"/>
        <v>2.2040816326530623</v>
      </c>
      <c r="AP66" s="53">
        <f t="shared" si="766"/>
        <v>-3.9387755102040876</v>
      </c>
      <c r="AQ66" s="53">
        <f t="shared" si="766"/>
        <v>4.081632653060998E-2</v>
      </c>
      <c r="AR66" s="53">
        <f t="shared" si="766"/>
        <v>-0.36734693877551539</v>
      </c>
      <c r="AS66" s="53">
        <f t="shared" si="766"/>
        <v>-2.8435374149659931</v>
      </c>
      <c r="AT66" s="53">
        <f t="shared" si="766"/>
        <v>-1.156462585034014</v>
      </c>
      <c r="AU66" s="53">
        <f t="shared" si="766"/>
        <v>1.170068027210881</v>
      </c>
      <c r="AV66" s="53">
        <f t="shared" si="766"/>
        <v>-0.46258503401360268</v>
      </c>
      <c r="AW66" s="53">
        <f t="shared" si="766"/>
        <v>-2.1496598639455757</v>
      </c>
      <c r="AX66" s="53">
        <f t="shared" si="766"/>
        <v>0.3265306122449016</v>
      </c>
      <c r="AY66" s="53">
        <f t="shared" si="766"/>
        <v>-0.92517006802720814</v>
      </c>
      <c r="AZ66" s="53">
        <f t="shared" si="766"/>
        <v>-0.4761904761904816</v>
      </c>
      <c r="BA66" s="53">
        <f t="shared" si="766"/>
        <v>-3.6190476190476231</v>
      </c>
      <c r="BB66" s="53">
        <f t="shared" si="766"/>
        <v>-3.9863945578231337</v>
      </c>
      <c r="BC66" s="53">
        <f t="shared" si="766"/>
        <v>-1.2789115646258502</v>
      </c>
      <c r="BD66" s="53">
        <f t="shared" si="766"/>
        <v>0.62585034013605678</v>
      </c>
      <c r="BE66" s="53">
        <f t="shared" si="766"/>
        <v>0.44897959183672997</v>
      </c>
      <c r="BF66" s="53">
        <f t="shared" si="766"/>
        <v>1.8503401360544209</v>
      </c>
      <c r="BG66" s="53">
        <f t="shared" si="766"/>
        <v>2.4897959183673355</v>
      </c>
      <c r="BH66" s="53">
        <f t="shared" si="766"/>
        <v>0.27210884353741083</v>
      </c>
      <c r="BI66" s="53">
        <f t="shared" si="766"/>
        <v>-3.9183673469387768</v>
      </c>
      <c r="BJ66" s="53">
        <f t="shared" si="766"/>
        <v>3.8503401360544225</v>
      </c>
      <c r="BK66" s="53">
        <f t="shared" si="766"/>
        <v>-0.58503401360543994</v>
      </c>
      <c r="BL66" s="53">
        <f t="shared" si="766"/>
        <v>2.0408163265306061</v>
      </c>
      <c r="BM66" s="53">
        <f t="shared" si="766"/>
        <v>-0.53061224489795911</v>
      </c>
      <c r="BN66" s="53">
        <f t="shared" si="766"/>
        <v>1.3469387755102082</v>
      </c>
      <c r="BO66" s="53">
        <f t="shared" ref="BO66:CT66" si="767">(BO48-BO47)/BO65</f>
        <v>1.1020408163265316</v>
      </c>
      <c r="BP66" s="53">
        <f t="shared" si="767"/>
        <v>8.3537414965986354</v>
      </c>
      <c r="BQ66" s="53">
        <f t="shared" si="767"/>
        <v>5.3605442176870746</v>
      </c>
      <c r="BR66" s="53">
        <f t="shared" si="767"/>
        <v>4.4897959183673501</v>
      </c>
      <c r="BS66" s="53">
        <f t="shared" si="767"/>
        <v>-2.0408163265306025</v>
      </c>
      <c r="BT66" s="53">
        <f t="shared" si="767"/>
        <v>6.2312925170068016</v>
      </c>
      <c r="BU66" s="53">
        <f t="shared" si="767"/>
        <v>5.1564625850340189</v>
      </c>
      <c r="BV66" s="53">
        <f t="shared" si="767"/>
        <v>3.7959183673469443</v>
      </c>
      <c r="BW66" s="53">
        <f t="shared" si="767"/>
        <v>5.1972789115646183</v>
      </c>
      <c r="BX66" s="53">
        <f t="shared" si="767"/>
        <v>7.4693877551020531</v>
      </c>
      <c r="BY66" s="53">
        <f t="shared" si="767"/>
        <v>1.3605442176870839</v>
      </c>
      <c r="BZ66" s="53">
        <f t="shared" si="767"/>
        <v>4.5578231292517</v>
      </c>
      <c r="CA66" s="53">
        <f t="shared" si="767"/>
        <v>5.2244897959183669</v>
      </c>
      <c r="CB66" s="53">
        <f t="shared" si="767"/>
        <v>5.2789115646258624</v>
      </c>
      <c r="CC66" s="53">
        <f t="shared" si="767"/>
        <v>6.979591836734695</v>
      </c>
      <c r="CD66" s="53">
        <f t="shared" si="767"/>
        <v>8.1496598639455833</v>
      </c>
      <c r="CE66" s="53">
        <f t="shared" si="767"/>
        <v>5.4557823129251561</v>
      </c>
      <c r="CF66" s="53">
        <f t="shared" si="767"/>
        <v>4.3401360544217633</v>
      </c>
      <c r="CG66" s="53">
        <f t="shared" si="767"/>
        <v>2.2176870748299407</v>
      </c>
      <c r="CH66" s="53">
        <f t="shared" si="767"/>
        <v>7.8095238095238289</v>
      </c>
      <c r="CI66" s="53">
        <f t="shared" si="767"/>
        <v>9.2789115646258562</v>
      </c>
      <c r="CJ66" s="53">
        <f t="shared" si="767"/>
        <v>9.8367346938775668</v>
      </c>
      <c r="CK66" s="53">
        <f t="shared" ref="CK66:CL66" si="768">(CK48-CK47)/CK65</f>
        <v>5.5631399317406096</v>
      </c>
      <c r="CL66" s="53">
        <f t="shared" si="768"/>
        <v>12.127417519908997</v>
      </c>
      <c r="CM66" s="54">
        <f t="shared" si="767"/>
        <v>11.062448808281152</v>
      </c>
      <c r="CN66" s="54">
        <f t="shared" si="767"/>
        <v>11.655576169979456</v>
      </c>
      <c r="CO66" s="54">
        <f t="shared" si="767"/>
        <v>8.1235954252733134</v>
      </c>
      <c r="CP66" s="54">
        <f t="shared" si="767"/>
        <v>10.385264959095769</v>
      </c>
      <c r="CQ66" s="54">
        <f t="shared" si="767"/>
        <v>13.705138724540504</v>
      </c>
      <c r="CR66" s="54">
        <f t="shared" si="767"/>
        <v>14.048006162708703</v>
      </c>
      <c r="CS66" s="54">
        <f t="shared" si="767"/>
        <v>9.7789161041265853</v>
      </c>
      <c r="CT66" s="54">
        <f t="shared" si="767"/>
        <v>11.714900443513512</v>
      </c>
      <c r="CU66" s="54">
        <f t="shared" ref="CU66:DB66" si="769">(CU48-CU47)/CU65</f>
        <v>16.224638381119529</v>
      </c>
      <c r="CV66" s="54">
        <f t="shared" si="769"/>
        <v>16.461639614245335</v>
      </c>
      <c r="CW66" s="54">
        <f t="shared" si="769"/>
        <v>11.48685926369976</v>
      </c>
      <c r="CX66" s="54">
        <f t="shared" si="769"/>
        <v>13.639155803799833</v>
      </c>
      <c r="CY66" s="54">
        <f t="shared" si="769"/>
        <v>18.930234390895535</v>
      </c>
      <c r="CZ66" s="54">
        <f t="shared" si="769"/>
        <v>19.148738943385787</v>
      </c>
      <c r="DA66" s="54">
        <f t="shared" si="769"/>
        <v>13.439662389939723</v>
      </c>
      <c r="DB66" s="54">
        <f t="shared" si="769"/>
        <v>15.900760729842514</v>
      </c>
      <c r="DE66" s="132"/>
      <c r="DF66" s="53">
        <v>10.798106851350964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1.98019801980198</v>
      </c>
      <c r="X67" s="3">
        <f>'Annual Raw'!Y110</f>
        <v>1.98019801980198</v>
      </c>
      <c r="Y67" s="3">
        <f>'Annual Raw'!Z110</f>
        <v>2.3762376237623801</v>
      </c>
      <c r="Z67" s="3">
        <f>'Annual Raw'!AA110</f>
        <v>2.4752475247524801</v>
      </c>
      <c r="AA67" s="3">
        <f>'Annual Raw'!AB110</f>
        <v>3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1.216326530612247</v>
      </c>
      <c r="AM69" s="3">
        <f t="shared" ref="AM69" si="782">SUM(AJ66:AM66)</f>
        <v>1.7687074829933203E-2</v>
      </c>
      <c r="AN69" s="3">
        <f t="shared" ref="AN69" si="783">SUM(AK66:AN66)</f>
        <v>1.255782312925172</v>
      </c>
      <c r="AO69" s="3">
        <f t="shared" ref="AO69" si="784">SUM(AL66:AO66)</f>
        <v>3.9088435374149699</v>
      </c>
      <c r="AP69" s="3">
        <f t="shared" ref="AP69" si="785">SUM(AM66:AP66)</f>
        <v>-0.53741496598639937</v>
      </c>
      <c r="AQ69" s="3">
        <f t="shared" ref="AQ69" si="786">SUM(AN66:AQ66)</f>
        <v>-0.17006802721088973</v>
      </c>
      <c r="AR69" s="3">
        <f t="shared" ref="AR69" si="787">SUM(AO66:AR66)</f>
        <v>-2.0612244897959306</v>
      </c>
      <c r="AS69" s="3">
        <f t="shared" ref="AS69" si="788">SUM(AP66:AS66)</f>
        <v>-7.1088435374149856</v>
      </c>
      <c r="AT69" s="3">
        <f t="shared" ref="AT69" si="789">SUM(AQ66:AT66)</f>
        <v>-4.3265306122449125</v>
      </c>
      <c r="AU69" s="3">
        <f t="shared" ref="AU69" si="790">SUM(AR66:AU66)</f>
        <v>-3.1972789115646414</v>
      </c>
      <c r="AV69" s="3">
        <f t="shared" ref="AV69" si="791">SUM(AS66:AV66)</f>
        <v>-3.2925170068027287</v>
      </c>
      <c r="AW69" s="3">
        <f t="shared" ref="AW69" si="792">SUM(AT66:AW66)</f>
        <v>-2.5986394557823114</v>
      </c>
      <c r="AX69" s="3">
        <f t="shared" ref="AX69" si="793">SUM(AU66:AX66)</f>
        <v>-1.1156462585033957</v>
      </c>
      <c r="AY69" s="3">
        <f t="shared" ref="AY69" si="794">SUM(AV66:AY66)</f>
        <v>-3.2108843537414851</v>
      </c>
      <c r="AZ69" s="3">
        <f t="shared" ref="AZ69" si="795">SUM(AW66:AZ66)</f>
        <v>-3.2244897959183638</v>
      </c>
      <c r="BA69" s="3">
        <f t="shared" ref="BA69" si="796">SUM(AX66:BA66)</f>
        <v>-4.6938775510204112</v>
      </c>
      <c r="BB69" s="3">
        <f t="shared" ref="BB69" si="797">SUM(AY66:BB66)</f>
        <v>-9.0068027210884463</v>
      </c>
      <c r="BC69" s="3">
        <f t="shared" ref="BC69" si="798">SUM(AZ66:BC66)</f>
        <v>-9.3605442176870888</v>
      </c>
      <c r="BD69" s="3">
        <f t="shared" ref="BD69" si="799">SUM(BA66:BD66)</f>
        <v>-8.2585034013605512</v>
      </c>
      <c r="BE69" s="3">
        <f t="shared" ref="BE69" si="800">SUM(BB66:BE66)</f>
        <v>-4.1904761904761969</v>
      </c>
      <c r="BF69" s="3">
        <f t="shared" ref="BF69" si="801">SUM(BC66:BF66)</f>
        <v>1.6462585034013575</v>
      </c>
      <c r="BG69" s="3">
        <f t="shared" ref="BG69" si="802">SUM(BD66:BG66)</f>
        <v>5.4149659863945434</v>
      </c>
      <c r="BH69" s="3">
        <f t="shared" ref="BH69" si="803">SUM(BE66:BH66)</f>
        <v>5.0612244897958973</v>
      </c>
      <c r="BI69" s="3">
        <f t="shared" ref="BI69" si="804">SUM(BF66:BI66)</f>
        <v>0.69387755102039028</v>
      </c>
      <c r="BJ69" s="3">
        <f t="shared" ref="BJ69" si="805">SUM(BG66:BJ66)</f>
        <v>2.6938775510203921</v>
      </c>
      <c r="BK69" s="3">
        <f t="shared" ref="BK69" si="806">SUM(BH66:BK66)</f>
        <v>-0.38095238095238337</v>
      </c>
      <c r="BL69" s="3">
        <f t="shared" ref="BL69" si="807">SUM(BI66:BL66)</f>
        <v>1.3877551020408119</v>
      </c>
      <c r="BM69" s="3">
        <f t="shared" ref="BM69" si="808">SUM(BJ66:BM66)</f>
        <v>4.7755102040816286</v>
      </c>
      <c r="BN69" s="3">
        <f t="shared" ref="BN69" si="809">SUM(BK66:BN66)</f>
        <v>2.2721088435374153</v>
      </c>
      <c r="BO69" s="3">
        <f t="shared" ref="BO69" si="810">SUM(BL66:BO66)</f>
        <v>3.9591836734693864</v>
      </c>
      <c r="BP69" s="3">
        <f t="shared" ref="BP69" si="811">SUM(BM66:BP66)</f>
        <v>10.272108843537417</v>
      </c>
      <c r="BQ69" s="3">
        <f t="shared" ref="BQ69" si="812">SUM(BN66:BQ66)</f>
        <v>16.163265306122451</v>
      </c>
      <c r="BR69" s="3">
        <f t="shared" ref="BR69" si="813">SUM(BO66:BR66)</f>
        <v>19.306122448979593</v>
      </c>
      <c r="BS69" s="3">
        <f t="shared" ref="BS69" si="814">SUM(BP66:BS66)</f>
        <v>16.163265306122458</v>
      </c>
      <c r="BT69" s="3">
        <f t="shared" ref="BT69" si="815">SUM(BQ66:BT66)</f>
        <v>14.040816326530623</v>
      </c>
      <c r="BU69" s="3">
        <f t="shared" ref="BU69" si="816">SUM(BR66:BU66)</f>
        <v>13.836734693877569</v>
      </c>
      <c r="BV69" s="3">
        <f t="shared" ref="BV69" si="817">SUM(BS66:BV66)</f>
        <v>13.142857142857162</v>
      </c>
      <c r="BW69" s="3">
        <f t="shared" ref="BW69" si="818">SUM(BT66:BW66)</f>
        <v>20.380952380952383</v>
      </c>
      <c r="BX69" s="3">
        <f t="shared" ref="BX69" si="819">SUM(BU66:BX66)</f>
        <v>21.619047619047635</v>
      </c>
      <c r="BY69" s="3">
        <f t="shared" ref="BY69" si="820">SUM(BV66:BY66)</f>
        <v>17.823129251700699</v>
      </c>
      <c r="BZ69" s="3">
        <f t="shared" ref="BZ69" si="821">SUM(BW66:BZ66)</f>
        <v>18.585034013605455</v>
      </c>
      <c r="CA69" s="3">
        <f t="shared" ref="CA69" si="822">SUM(BX66:CA66)</f>
        <v>18.612244897959204</v>
      </c>
      <c r="CB69" s="3">
        <f t="shared" ref="CB69" si="823">SUM(BY66:CB66)</f>
        <v>16.421768707483011</v>
      </c>
      <c r="CC69" s="3">
        <f t="shared" ref="CC69" si="824">SUM(BZ66:CC66)</f>
        <v>22.040816326530624</v>
      </c>
      <c r="CD69" s="3">
        <f t="shared" ref="CD69" si="825">SUM(CA66:CD66)</f>
        <v>25.632653061224506</v>
      </c>
      <c r="CE69" s="3">
        <f t="shared" ref="CE69" si="826">SUM(CB66:CE66)</f>
        <v>25.863945578231295</v>
      </c>
      <c r="CF69" s="3">
        <f t="shared" ref="CF69" si="827">SUM(CC66:CF66)</f>
        <v>24.925170068027196</v>
      </c>
      <c r="CG69" s="3">
        <f t="shared" ref="CG69" si="828">SUM(CD66:CG66)</f>
        <v>20.16326530612244</v>
      </c>
      <c r="CH69" s="3">
        <f t="shared" ref="CH69:CL69" si="829">SUM(CE66:CH66)</f>
        <v>19.823129251700689</v>
      </c>
      <c r="CI69" s="3">
        <f t="shared" si="829"/>
        <v>23.646258503401391</v>
      </c>
      <c r="CJ69" s="3">
        <f t="shared" si="829"/>
        <v>29.142857142857192</v>
      </c>
      <c r="CK69" s="3">
        <f t="shared" si="829"/>
        <v>32.488309999767864</v>
      </c>
      <c r="CL69" s="3">
        <f t="shared" si="829"/>
        <v>36.806203710153028</v>
      </c>
      <c r="CM69" s="37">
        <f t="shared" ref="CM69" si="830">SUM(CJ66:CM66)</f>
        <v>38.589740953808324</v>
      </c>
      <c r="CN69" s="37">
        <f t="shared" ref="CN69" si="831">SUM(CK66:CN66)</f>
        <v>40.408582429910211</v>
      </c>
      <c r="CO69" s="37">
        <f t="shared" ref="CO69" si="832">SUM(CL66:CO66)</f>
        <v>42.969037923442919</v>
      </c>
      <c r="CP69" s="37">
        <f t="shared" ref="CP69" si="833">SUM(CM66:CP66)</f>
        <v>41.226885362629694</v>
      </c>
      <c r="CQ69" s="37">
        <f t="shared" ref="CQ69" si="834">SUM(CN66:CQ66)</f>
        <v>43.869575278889045</v>
      </c>
      <c r="CR69" s="37">
        <f t="shared" ref="CR69" si="835">SUM(CO66:CR66)</f>
        <v>46.262005271618293</v>
      </c>
      <c r="CS69" s="37">
        <f t="shared" ref="CS69" si="836">SUM(CP66:CS66)</f>
        <v>47.917325950471565</v>
      </c>
      <c r="CT69" s="37">
        <f t="shared" ref="CT69" si="837">SUM(CQ66:CT66)</f>
        <v>49.246961434889307</v>
      </c>
      <c r="CU69" s="37">
        <f t="shared" ref="CU69" si="838">SUM(CR66:CU66)</f>
        <v>51.766461091468329</v>
      </c>
      <c r="CV69" s="37">
        <f t="shared" ref="CV69" si="839">SUM(CS66:CV66)</f>
        <v>54.180094543004962</v>
      </c>
      <c r="CW69" s="37">
        <f t="shared" ref="CW69" si="840">SUM(CT66:CW66)</f>
        <v>55.888037702578131</v>
      </c>
      <c r="CX69" s="37">
        <f t="shared" ref="CX69" si="841">SUM(CU66:CX66)</f>
        <v>57.812293062864448</v>
      </c>
      <c r="CY69" s="37">
        <f t="shared" ref="CY69" si="842">SUM(CV66:CY66)</f>
        <v>60.517889072640465</v>
      </c>
      <c r="CZ69" s="37">
        <f t="shared" ref="CZ69" si="843">SUM(CW66:CZ66)</f>
        <v>63.204988401780916</v>
      </c>
      <c r="DA69" s="37">
        <f t="shared" ref="DA69" si="844">SUM(CX66:DA66)</f>
        <v>65.15779152802088</v>
      </c>
      <c r="DB69" s="37">
        <f t="shared" ref="DB69" si="845">SUM(CY66:DB66)</f>
        <v>67.419396454063559</v>
      </c>
      <c r="DE69" s="134"/>
      <c r="DF69" s="3">
        <v>35.476893041594998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-1.4418344519015691</v>
      </c>
      <c r="AQ70" s="176">
        <f t="shared" si="851"/>
        <v>-10.615384615384251</v>
      </c>
      <c r="AR70" s="176">
        <f t="shared" si="851"/>
        <v>-2.64138678223186</v>
      </c>
      <c r="AS70" s="176">
        <f t="shared" si="851"/>
        <v>-2.8186564566655097</v>
      </c>
      <c r="AT70" s="176">
        <f t="shared" si="851"/>
        <v>-7.0506329113923609</v>
      </c>
      <c r="AU70" s="176">
        <f t="shared" si="851"/>
        <v>-17.799999999999496</v>
      </c>
      <c r="AV70" s="176">
        <f t="shared" si="851"/>
        <v>-0.5973597359735916</v>
      </c>
      <c r="AW70" s="176">
        <f t="shared" si="851"/>
        <v>0.63444976076555148</v>
      </c>
      <c r="AX70" s="176">
        <f t="shared" si="851"/>
        <v>0.74213836477987638</v>
      </c>
      <c r="AY70" s="176">
        <f t="shared" si="851"/>
        <v>-4.2553191489276276E-3</v>
      </c>
      <c r="AZ70" s="176">
        <f t="shared" si="851"/>
        <v>2.0661157024796761E-2</v>
      </c>
      <c r="BA70" s="176">
        <f t="shared" si="851"/>
        <v>-0.8062827225130913</v>
      </c>
      <c r="BB70" s="176">
        <f t="shared" si="851"/>
        <v>-7.0731707317073678</v>
      </c>
      <c r="BC70" s="176">
        <f t="shared" si="851"/>
        <v>-1.9152542372881505</v>
      </c>
      <c r="BD70" s="176">
        <f t="shared" si="851"/>
        <v>-1.561181434599161</v>
      </c>
      <c r="BE70" s="176">
        <f t="shared" si="851"/>
        <v>0.10724637681159344</v>
      </c>
      <c r="BF70" s="176">
        <f t="shared" si="851"/>
        <v>1.1827794561933529</v>
      </c>
      <c r="BG70" s="176">
        <f t="shared" si="851"/>
        <v>1.578488372093021</v>
      </c>
      <c r="BH70" s="176">
        <f t="shared" si="851"/>
        <v>1.61285008237232</v>
      </c>
      <c r="BI70" s="176">
        <f t="shared" si="851"/>
        <v>1.1655844155844111</v>
      </c>
      <c r="BJ70" s="176">
        <f t="shared" si="851"/>
        <v>0.63636363636362958</v>
      </c>
      <c r="BK70" s="176">
        <f t="shared" si="851"/>
        <v>-1.0703517587939704</v>
      </c>
      <c r="BL70" s="176">
        <f t="shared" si="851"/>
        <v>-0.72580645161290303</v>
      </c>
      <c r="BM70" s="176">
        <f t="shared" si="851"/>
        <v>5.8823529411766424</v>
      </c>
      <c r="BN70" s="176">
        <f t="shared" si="851"/>
        <v>-0.15656565656565136</v>
      </c>
      <c r="BO70" s="176">
        <f t="shared" si="851"/>
        <v>11.392857142857073</v>
      </c>
      <c r="BP70" s="176">
        <f t="shared" si="851"/>
        <v>6.4019607843137507</v>
      </c>
      <c r="BQ70" s="176">
        <f t="shared" si="851"/>
        <v>2.3846153846153877</v>
      </c>
      <c r="BR70" s="176">
        <f t="shared" si="851"/>
        <v>7.4970059880239521</v>
      </c>
      <c r="BS70" s="176">
        <f t="shared" si="851"/>
        <v>3.0824742268041279</v>
      </c>
      <c r="BT70" s="176">
        <f t="shared" si="851"/>
        <v>0.36688741721854368</v>
      </c>
      <c r="BU70" s="176">
        <f t="shared" si="851"/>
        <v>-0.14393939393939292</v>
      </c>
      <c r="BV70" s="176">
        <f t="shared" si="851"/>
        <v>-0.31923890063424853</v>
      </c>
      <c r="BW70" s="176">
        <f t="shared" si="851"/>
        <v>0.26094276094276037</v>
      </c>
      <c r="BX70" s="176">
        <f t="shared" si="851"/>
        <v>0.53972868217054271</v>
      </c>
      <c r="BY70" s="176">
        <f t="shared" si="851"/>
        <v>0.28810226155358865</v>
      </c>
      <c r="BZ70" s="176">
        <f t="shared" si="851"/>
        <v>0.41407867494823902</v>
      </c>
      <c r="CA70" s="176">
        <f t="shared" si="851"/>
        <v>-8.6782376502001712E-2</v>
      </c>
      <c r="CB70" s="176">
        <f t="shared" si="851"/>
        <v>-0.24040276903712998</v>
      </c>
      <c r="CC70" s="176">
        <f t="shared" si="851"/>
        <v>0.2366412213740452</v>
      </c>
      <c r="CD70" s="176">
        <f t="shared" si="851"/>
        <v>0.37920937042459735</v>
      </c>
      <c r="CE70" s="176">
        <f t="shared" si="851"/>
        <v>0.38961988304093431</v>
      </c>
      <c r="CF70" s="176">
        <f t="shared" si="851"/>
        <v>0.51781275890637679</v>
      </c>
      <c r="CG70" s="176">
        <f t="shared" si="851"/>
        <v>-8.518518518518603E-2</v>
      </c>
      <c r="CH70" s="176">
        <f t="shared" si="851"/>
        <v>-0.22664543524416148</v>
      </c>
      <c r="CI70" s="176">
        <f t="shared" si="851"/>
        <v>-8.5744345081534945E-2</v>
      </c>
      <c r="CJ70" s="176">
        <f t="shared" si="851"/>
        <v>0.16921397379912939</v>
      </c>
      <c r="CK70" s="176">
        <f t="shared" si="851"/>
        <v>0.61126233804516805</v>
      </c>
      <c r="CL70" s="176">
        <f t="shared" si="851"/>
        <v>0.85673024893359395</v>
      </c>
      <c r="CM70" s="102">
        <f t="shared" ref="CM70:DB70" si="852">+IF(CI69&lt;0,1-CM69/CI69,CM69/CI69-1)</f>
        <v>0.63195970086588504</v>
      </c>
      <c r="CN70" s="102">
        <f t="shared" si="852"/>
        <v>0.38656900494789714</v>
      </c>
      <c r="CO70" s="102">
        <f t="shared" si="852"/>
        <v>0.32259997284407649</v>
      </c>
      <c r="CP70" s="102">
        <f t="shared" si="852"/>
        <v>0.12010697129454884</v>
      </c>
      <c r="CQ70" s="102">
        <f t="shared" si="852"/>
        <v>0.1368196363743579</v>
      </c>
      <c r="CR70" s="102">
        <f t="shared" si="852"/>
        <v>0.14485593133243424</v>
      </c>
      <c r="CS70" s="102">
        <f t="shared" si="852"/>
        <v>0.11515938606409826</v>
      </c>
      <c r="CT70" s="102">
        <f t="shared" si="852"/>
        <v>0.19453509528346391</v>
      </c>
      <c r="CU70" s="102">
        <f t="shared" si="852"/>
        <v>0.18000825771339146</v>
      </c>
      <c r="CV70" s="102">
        <f t="shared" si="852"/>
        <v>0.17115750225043547</v>
      </c>
      <c r="CW70" s="102">
        <f t="shared" si="852"/>
        <v>0.16634300003187308</v>
      </c>
      <c r="CX70" s="102">
        <f t="shared" si="852"/>
        <v>0.17392609367990319</v>
      </c>
      <c r="CY70" s="102">
        <f t="shared" si="852"/>
        <v>0.16905594465321605</v>
      </c>
      <c r="CZ70" s="102">
        <f t="shared" si="852"/>
        <v>0.16657213197759413</v>
      </c>
      <c r="DA70" s="102">
        <f t="shared" si="852"/>
        <v>0.16586293250756112</v>
      </c>
      <c r="DB70" s="102">
        <f t="shared" si="852"/>
        <v>0.16617751834808647</v>
      </c>
      <c r="DE70" s="135"/>
      <c r="DF70" s="97">
        <v>0.78967168054717307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19.39</v>
      </c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0.31212238582526064</v>
      </c>
      <c r="CQ72" s="145"/>
      <c r="CR72" s="145"/>
      <c r="CS72" s="145"/>
      <c r="CT72" s="185">
        <f>+CT69/CT71-1</f>
        <v>0.28113843483062717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  <c r="DF72" s="144">
        <v>0.82964894489917462</v>
      </c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55.08</v>
      </c>
      <c r="F73" s="3">
        <f>'Annual Raw'!G112</f>
        <v>54.47</v>
      </c>
      <c r="G73" s="3">
        <f>'Annual Raw'!H112</f>
        <v>55.59</v>
      </c>
      <c r="H73" s="3">
        <f>'Annual Raw'!I112</f>
        <v>63.13</v>
      </c>
      <c r="I73" s="3">
        <f>'Annual Raw'!J112</f>
        <v>63.13</v>
      </c>
      <c r="J73" s="3">
        <f>'Annual Raw'!K112</f>
        <v>63.53</v>
      </c>
      <c r="K73" s="3">
        <f>'Annual Raw'!L112</f>
        <v>63.53</v>
      </c>
      <c r="L73" s="3">
        <f>'Annual Raw'!M112</f>
        <v>63.53</v>
      </c>
      <c r="M73" s="3">
        <f>'Annual Raw'!N112</f>
        <v>63.54</v>
      </c>
      <c r="N73" s="3">
        <f>'Annual Raw'!O112</f>
        <v>62.36</v>
      </c>
      <c r="O73" s="3">
        <f>'Annual Raw'!P112</f>
        <v>62.36</v>
      </c>
      <c r="P73" s="3">
        <f>'Annual Raw'!Q112</f>
        <v>62.36</v>
      </c>
      <c r="Q73" s="3">
        <f>'Annual Raw'!R112</f>
        <v>62.36</v>
      </c>
      <c r="R73" s="3">
        <f>'Annual Raw'!S112</f>
        <v>62.36</v>
      </c>
      <c r="S73" s="3">
        <f>'Annual Raw'!T112</f>
        <v>62.36</v>
      </c>
      <c r="T73" s="3">
        <f>'Annual Raw'!U112</f>
        <v>62.36</v>
      </c>
      <c r="U73" s="3">
        <f>'Annual Raw'!V112</f>
        <v>62.36</v>
      </c>
      <c r="V73" s="3">
        <f>'Annual Raw'!W112</f>
        <v>62.36</v>
      </c>
      <c r="W73" s="3">
        <f>'Annual Raw'!X112</f>
        <v>62.36</v>
      </c>
      <c r="X73" s="3">
        <f>'Annual Raw'!Y112</f>
        <v>62.36</v>
      </c>
      <c r="Y73" s="3">
        <f>'Annual Raw'!Z112</f>
        <v>62.36</v>
      </c>
      <c r="Z73" s="3">
        <f>'Annual Raw'!AA112</f>
        <v>64.45</v>
      </c>
      <c r="AA73" s="3">
        <f>'Annual Raw'!AB112</f>
        <v>66.53</v>
      </c>
      <c r="AB73" s="37"/>
      <c r="AC73" s="37"/>
      <c r="AD73" s="37"/>
      <c r="AE73" s="37"/>
      <c r="AI73" s="3">
        <f>'QTR Raw'!C49</f>
        <v>63.54</v>
      </c>
      <c r="AJ73" s="3">
        <f>'QTR Raw'!D49</f>
        <v>63.54</v>
      </c>
      <c r="AK73" s="3">
        <f>'QTR Raw'!E49</f>
        <v>62.36</v>
      </c>
      <c r="AL73" s="3">
        <f>'QTR Raw'!F49</f>
        <v>62.36</v>
      </c>
      <c r="AM73" s="3">
        <f>'QTR Raw'!G49</f>
        <v>62.36</v>
      </c>
      <c r="AN73" s="3">
        <f>'QTR Raw'!H49</f>
        <v>62.36</v>
      </c>
      <c r="AO73" s="3">
        <f>'QTR Raw'!I49</f>
        <v>62.36</v>
      </c>
      <c r="AP73" s="3">
        <f>'QTR Raw'!J49</f>
        <v>62.36</v>
      </c>
      <c r="AQ73" s="3">
        <f>'QTR Raw'!K49</f>
        <v>62.36</v>
      </c>
      <c r="AR73" s="3">
        <f>'QTR Raw'!L49</f>
        <v>62.36</v>
      </c>
      <c r="AS73" s="3">
        <f>'QTR Raw'!M49</f>
        <v>62.36</v>
      </c>
      <c r="AT73" s="3">
        <f>'QTR Raw'!N49</f>
        <v>62.36</v>
      </c>
      <c r="AU73" s="3">
        <f>'QTR Raw'!O49</f>
        <v>62.36</v>
      </c>
      <c r="AV73" s="3">
        <f>'QTR Raw'!P49</f>
        <v>62.36</v>
      </c>
      <c r="AW73" s="3">
        <f>'QTR Raw'!Q49</f>
        <v>62.36</v>
      </c>
      <c r="AX73" s="3">
        <f>'QTR Raw'!R49</f>
        <v>62.36</v>
      </c>
      <c r="AY73" s="3">
        <f>'QTR Raw'!S49</f>
        <v>62.36</v>
      </c>
      <c r="AZ73" s="3">
        <f>'QTR Raw'!T49</f>
        <v>62.36</v>
      </c>
      <c r="BA73" s="3">
        <f>'QTR Raw'!U49</f>
        <v>62.36</v>
      </c>
      <c r="BB73" s="3">
        <f>'QTR Raw'!V49</f>
        <v>62.36</v>
      </c>
      <c r="BC73" s="3">
        <f>'QTR Raw'!W49</f>
        <v>62.36</v>
      </c>
      <c r="BD73" s="3">
        <f>'QTR Raw'!X49</f>
        <v>62.36</v>
      </c>
      <c r="BE73" s="3">
        <f>'QTR Raw'!Y49</f>
        <v>62.36</v>
      </c>
      <c r="BF73" s="3">
        <f>'QTR Raw'!Z49</f>
        <v>62.36</v>
      </c>
      <c r="BG73" s="3">
        <f>'QTR Raw'!AA49</f>
        <v>62.36</v>
      </c>
      <c r="BH73" s="3">
        <f>'QTR Raw'!AB49</f>
        <v>62.36</v>
      </c>
      <c r="BI73" s="3">
        <f>'QTR Raw'!AC49</f>
        <v>62.36</v>
      </c>
      <c r="BJ73" s="3">
        <f>'QTR Raw'!AD49</f>
        <v>62.36</v>
      </c>
      <c r="BK73" s="3">
        <f>'QTR Raw'!AE49</f>
        <v>62.36</v>
      </c>
      <c r="BL73" s="3">
        <f>'QTR Raw'!AF49</f>
        <v>62.36</v>
      </c>
      <c r="BM73" s="3">
        <f>'QTR Raw'!AG49</f>
        <v>62.36</v>
      </c>
      <c r="BN73" s="3">
        <f>'QTR Raw'!AH49</f>
        <v>62.36</v>
      </c>
      <c r="BO73" s="3">
        <f>'QTR Raw'!AI49</f>
        <v>62.36</v>
      </c>
      <c r="BP73" s="3">
        <f>'QTR Raw'!AJ49</f>
        <v>62.36</v>
      </c>
      <c r="BQ73" s="3">
        <f>'QTR Raw'!AK49</f>
        <v>62.36</v>
      </c>
      <c r="BR73" s="3">
        <f>'QTR Raw'!AL49</f>
        <v>62.36</v>
      </c>
      <c r="BS73" s="3">
        <f>'QTR Raw'!AM49</f>
        <v>62.36</v>
      </c>
      <c r="BT73" s="3">
        <f>'QTR Raw'!AN49</f>
        <v>62.36</v>
      </c>
      <c r="BU73" s="3">
        <f>'QTR Raw'!AO49</f>
        <v>62.36</v>
      </c>
      <c r="BV73" s="3">
        <f>'QTR Raw'!AP49</f>
        <v>62.36</v>
      </c>
      <c r="BW73" s="3">
        <f>'QTR Raw'!AQ49</f>
        <v>62.36</v>
      </c>
      <c r="BX73" s="3">
        <f>'QTR Raw'!AR49</f>
        <v>62.36</v>
      </c>
      <c r="BY73" s="3">
        <f>'QTR Raw'!AS49</f>
        <v>62.36</v>
      </c>
      <c r="BZ73" s="3">
        <f>'QTR Raw'!AT49</f>
        <v>62.36</v>
      </c>
      <c r="CA73" s="3">
        <f>'QTR Raw'!AU49</f>
        <v>62.36</v>
      </c>
      <c r="CB73" s="3">
        <f>'QTR Raw'!AV49</f>
        <v>62.36</v>
      </c>
      <c r="CC73" s="3">
        <f>'QTR Raw'!AW49</f>
        <v>62.36</v>
      </c>
      <c r="CD73" s="3">
        <f>'QTR Raw'!AX49</f>
        <v>62.36</v>
      </c>
      <c r="CE73" s="3">
        <f>'QTR Raw'!AY49</f>
        <v>62.36</v>
      </c>
      <c r="CF73" s="3">
        <f>'QTR Raw'!AZ49</f>
        <v>62.36</v>
      </c>
      <c r="CG73" s="3">
        <f>'QTR Raw'!BA49</f>
        <v>62.36</v>
      </c>
      <c r="CH73" s="3">
        <f>'QTR Raw'!BB49</f>
        <v>64.45</v>
      </c>
      <c r="CI73" s="3">
        <f>'QTR Raw'!BC49</f>
        <v>64.45</v>
      </c>
      <c r="CJ73" s="3">
        <f>'QTR Raw'!BD49</f>
        <v>64.45</v>
      </c>
      <c r="CK73" s="3">
        <f>'QTR Raw'!BE49</f>
        <v>66.02</v>
      </c>
      <c r="CL73" s="3">
        <f>'QTR Raw'!BF49</f>
        <v>66.53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2.6430842098192202</v>
      </c>
      <c r="F77" s="13">
        <f>'Annual Raw'!G106</f>
        <v>24.5486457669573</v>
      </c>
      <c r="G77" s="13">
        <f>'Annual Raw'!H106</f>
        <v>50.458880369276002</v>
      </c>
      <c r="H77" s="13">
        <f>'Annual Raw'!I106</f>
        <v>24.417224806460499</v>
      </c>
      <c r="I77" s="13">
        <f>'Annual Raw'!J106</f>
        <v>18.6458807612971</v>
      </c>
      <c r="J77" s="13">
        <f>'Annual Raw'!K106</f>
        <v>10.8520999139824</v>
      </c>
      <c r="K77" s="13">
        <f>'Annual Raw'!L106</f>
        <v>48.834449612920999</v>
      </c>
      <c r="L77" s="13">
        <f>'Annual Raw'!M106</f>
        <v>48.587810978512302</v>
      </c>
      <c r="M77" s="13">
        <f>'Annual Raw'!N106</f>
        <v>28.2647875032361</v>
      </c>
      <c r="N77" s="13">
        <f>'Annual Raw'!O106</f>
        <v>50.708903234427098</v>
      </c>
      <c r="O77" s="13">
        <f>'Annual Raw'!P106</f>
        <v>157.602087387154</v>
      </c>
      <c r="P77" s="13">
        <f>'Annual Raw'!Q106</f>
        <v>310.96199026247899</v>
      </c>
      <c r="Q77" s="13">
        <f>'Annual Raw'!R106</f>
        <v>323.49123289044002</v>
      </c>
      <c r="R77" s="13">
        <f>'Annual Raw'!S106</f>
        <v>276.235270537735</v>
      </c>
      <c r="S77" s="13">
        <f>'Annual Raw'!T106</f>
        <v>279.68821141945699</v>
      </c>
      <c r="T77" s="13">
        <f>'Annual Raw'!U106</f>
        <v>159.575196462424</v>
      </c>
      <c r="U77" s="13">
        <f>'Annual Raw'!V106</f>
        <v>66.888397651637305</v>
      </c>
      <c r="V77" s="13">
        <f>'Annual Raw'!W106</f>
        <v>191.53956348179</v>
      </c>
      <c r="W77" s="13">
        <f>'Annual Raw'!X106</f>
        <v>610.67725879592103</v>
      </c>
      <c r="X77" s="13">
        <f>'Annual Raw'!Y106</f>
        <v>561.99079236364503</v>
      </c>
      <c r="Y77" s="13">
        <f>'Annual Raw'!Z106</f>
        <v>804.04194817233599</v>
      </c>
      <c r="Z77" s="13">
        <f>'Annual Raw'!AA106</f>
        <v>672.28758967121303</v>
      </c>
      <c r="AA77" s="13">
        <f>'Annual Raw'!AB106</f>
        <v>729.1</v>
      </c>
      <c r="AB77" s="37">
        <f>+CP77</f>
        <v>729.1</v>
      </c>
      <c r="AC77" s="37">
        <f>+CT77</f>
        <v>729.1</v>
      </c>
      <c r="AD77" s="37">
        <f>+CX77</f>
        <v>729.1</v>
      </c>
      <c r="AE77" s="37">
        <f>+DB77</f>
        <v>729.1</v>
      </c>
      <c r="AJ77" s="13">
        <f>'QTR Share Price'!HP21</f>
        <v>48.143861436576699</v>
      </c>
      <c r="AK77" s="13">
        <f>'QTR Share Price'!HQ21</f>
        <v>63.583439950560802</v>
      </c>
      <c r="AL77" s="13">
        <f>'QTR Share Price'!HR21</f>
        <v>50.708903234427098</v>
      </c>
      <c r="AM77" s="13">
        <f>'QTR Share Price'!HS21</f>
        <v>49.081088247329703</v>
      </c>
      <c r="AN77" s="13">
        <f>'QTR Share Price'!HT21</f>
        <v>40.547391496788997</v>
      </c>
      <c r="AO77" s="13">
        <f>'QTR Share Price'!HU21</f>
        <v>93.032092898958595</v>
      </c>
      <c r="AP77" s="13">
        <f>'QTR Share Price'!HV21</f>
        <v>157.602087387154</v>
      </c>
      <c r="AQ77" s="13">
        <f>'QTR Share Price'!HW21</f>
        <v>160.265784638768</v>
      </c>
      <c r="AR77" s="13">
        <f>'QTR Share Price'!HX21</f>
        <v>241.557878539873</v>
      </c>
      <c r="AS77" s="13">
        <f>'QTR Share Price'!HY21</f>
        <v>234.060064053849</v>
      </c>
      <c r="AT77" s="13">
        <f>'QTR Share Price'!HZ21</f>
        <v>310.96199026247899</v>
      </c>
      <c r="AU77" s="13">
        <f>'QTR Share Price'!IA21</f>
        <v>338.78282822377901</v>
      </c>
      <c r="AV77" s="13">
        <f>'QTR Share Price'!IB21</f>
        <v>486.37138705394102</v>
      </c>
      <c r="AW77" s="13">
        <f>'QTR Share Price'!IC21</f>
        <v>471.07979172060197</v>
      </c>
      <c r="AX77" s="13">
        <f>'QTR Share Price'!ID21</f>
        <v>323.49123289044002</v>
      </c>
      <c r="AY77" s="13">
        <f>'QTR Share Price'!IE21</f>
        <v>317.96652747968602</v>
      </c>
      <c r="AZ77" s="13">
        <f>'QTR Share Price'!IF21</f>
        <v>343.51829000442598</v>
      </c>
      <c r="BA77" s="13">
        <f>'QTR Share Price'!IG21</f>
        <v>309.58081390978998</v>
      </c>
      <c r="BB77" s="13">
        <f>'QTR Share Price'!IH21</f>
        <v>276.235270537735</v>
      </c>
      <c r="BC77" s="13">
        <f>'QTR Share Price'!II21</f>
        <v>308.79157027968199</v>
      </c>
      <c r="BD77" s="13">
        <f>'QTR Share Price'!IJ21</f>
        <v>249.54897029471499</v>
      </c>
      <c r="BE77" s="13">
        <f>'QTR Share Price'!IK21</f>
        <v>352.051986754967</v>
      </c>
      <c r="BF77" s="13">
        <f>'QTR Share Price'!IL21</f>
        <v>279.68821141945699</v>
      </c>
      <c r="BG77" s="13">
        <f>'QTR Share Price'!IM21</f>
        <v>256.50417978503998</v>
      </c>
      <c r="BH77" s="13">
        <f>'QTR Share Price'!IN21</f>
        <v>221.87611551405899</v>
      </c>
      <c r="BI77" s="13">
        <f>'QTR Share Price'!IO21</f>
        <v>178.073094043076</v>
      </c>
      <c r="BJ77" s="13">
        <f>'QTR Share Price'!IP21</f>
        <v>159.575196462424</v>
      </c>
      <c r="BK77" s="13">
        <f>'QTR Share Price'!IQ21</f>
        <v>145.072844759193</v>
      </c>
      <c r="BL77" s="13">
        <f>'QTR Share Price'!IR21</f>
        <v>121.83948539789399</v>
      </c>
      <c r="BM77" s="13">
        <f>'QTR Share Price'!IS21</f>
        <v>115.77217499144</v>
      </c>
      <c r="BN77" s="13">
        <f>'QTR Share Price'!IT21</f>
        <v>66.888397651637305</v>
      </c>
      <c r="BO77" s="13">
        <f>'QTR Share Price'!IU21</f>
        <v>97.570243772078499</v>
      </c>
      <c r="BP77" s="13">
        <f>'QTR Share Price'!IV21</f>
        <v>124.60183810327101</v>
      </c>
      <c r="BQ77" s="13">
        <f>'QTR Share Price'!IW21</f>
        <v>211.46796514201199</v>
      </c>
      <c r="BR77" s="13">
        <f>'QTR Share Price'!IX21</f>
        <v>191.53956348179</v>
      </c>
      <c r="BS77" s="13">
        <f>'QTR Share Price'!IY21</f>
        <v>300.701823071077</v>
      </c>
      <c r="BT77" s="13">
        <f>'QTR Share Price'!IZ21</f>
        <v>337.45097959797198</v>
      </c>
      <c r="BU77" s="13">
        <f>'QTR Share Price'!JA21</f>
        <v>500.52844466900001</v>
      </c>
      <c r="BV77" s="13">
        <f>'QTR Share Price'!JB21</f>
        <v>610.67725879592103</v>
      </c>
      <c r="BW77" s="13">
        <f>'QTR Share Price'!JC21</f>
        <v>453.963070492638</v>
      </c>
      <c r="BX77" s="13">
        <f>'QTR Share Price'!JD21</f>
        <v>526.03087946685798</v>
      </c>
      <c r="BY77" s="13">
        <f>'QTR Share Price'!JE21</f>
        <v>536.98163483460405</v>
      </c>
      <c r="BZ77" s="13">
        <f>'QTR Share Price'!JF21</f>
        <v>561.99079236364503</v>
      </c>
      <c r="CA77" s="13">
        <f>'QTR Share Price'!JG21</f>
        <v>705.28783895509503</v>
      </c>
      <c r="CB77" s="13">
        <f>'QTR Share Price'!JH21</f>
        <v>799.84909138738794</v>
      </c>
      <c r="CC77" s="13">
        <f>'QTR Share Price'!JI21</f>
        <v>818.74161078309396</v>
      </c>
      <c r="CD77" s="13">
        <f>'QTR Share Price'!JJ21</f>
        <v>804.04194817233599</v>
      </c>
      <c r="CE77" s="13">
        <f>'QTR Share Price'!JK21</f>
        <v>1011.81033379822</v>
      </c>
      <c r="CF77" s="13">
        <f>'QTR Share Price'!JL21</f>
        <v>907.77815780463197</v>
      </c>
      <c r="CG77" s="13">
        <f>'QTR Share Price'!JM21</f>
        <v>872.16353899601597</v>
      </c>
      <c r="CH77" s="13">
        <f>'QTR Share Price'!JN21</f>
        <v>672.28758967121303</v>
      </c>
      <c r="CI77" s="13">
        <f>'QTR Share Price'!JO21</f>
        <v>752.93842312285506</v>
      </c>
      <c r="CJ77" s="13">
        <f>'QTR Share Price'!JP21</f>
        <v>912.5</v>
      </c>
      <c r="CK77" s="13">
        <f>'QTR Share Price'!JQ21</f>
        <v>899.15</v>
      </c>
      <c r="CL77" s="13">
        <f>'QTR Share Price'!JR21</f>
        <v>729.1</v>
      </c>
      <c r="CM77" s="37">
        <f t="shared" ref="CM77" si="853">+CL77</f>
        <v>729.1</v>
      </c>
      <c r="CN77" s="37">
        <f t="shared" ref="CN77" si="854">+CM77</f>
        <v>729.1</v>
      </c>
      <c r="CO77" s="37">
        <f t="shared" ref="CO77" si="855">+CN77</f>
        <v>729.1</v>
      </c>
      <c r="CP77" s="37">
        <f t="shared" ref="CP77" si="856">+CO77</f>
        <v>729.1</v>
      </c>
      <c r="CQ77" s="37">
        <f t="shared" ref="CQ77" si="857">+CP77</f>
        <v>729.1</v>
      </c>
      <c r="CR77" s="37">
        <f t="shared" ref="CR77" si="858">+CQ77</f>
        <v>729.1</v>
      </c>
      <c r="CS77" s="37">
        <f t="shared" ref="CS77" si="859">+CR77</f>
        <v>729.1</v>
      </c>
      <c r="CT77" s="37">
        <f t="shared" ref="CT77" si="860">+CS77</f>
        <v>729.1</v>
      </c>
      <c r="CU77" s="37">
        <f t="shared" ref="CU77" si="861">+CT77</f>
        <v>729.1</v>
      </c>
      <c r="CV77" s="37">
        <f t="shared" ref="CV77" si="862">+CU77</f>
        <v>729.1</v>
      </c>
      <c r="CW77" s="37">
        <f t="shared" ref="CW77" si="863">+CV77</f>
        <v>729.1</v>
      </c>
      <c r="CX77" s="37">
        <f t="shared" ref="CX77" si="864">+CW77</f>
        <v>729.1</v>
      </c>
      <c r="CY77" s="37">
        <f t="shared" ref="CY77" si="865">+CX77</f>
        <v>729.1</v>
      </c>
      <c r="CZ77" s="37">
        <f t="shared" ref="CZ77" si="866">+CY77</f>
        <v>729.1</v>
      </c>
      <c r="DA77" s="37">
        <f t="shared" ref="DA77" si="867">+CZ77</f>
        <v>729.1</v>
      </c>
      <c r="DB77" s="37">
        <f t="shared" ref="DB77" si="868">+DA77</f>
        <v>729.1</v>
      </c>
      <c r="DE77" s="134"/>
      <c r="DF77" s="13">
        <v>729.1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8.0093460903612606</v>
      </c>
      <c r="F78" s="13">
        <f>'Annual Raw'!G107</f>
        <v>27.4320103594873</v>
      </c>
      <c r="G78" s="13">
        <f>'Annual Raw'!H107</f>
        <v>67.078273506775602</v>
      </c>
      <c r="H78" s="13">
        <f>'Annual Raw'!I107</f>
        <v>67.518787541745496</v>
      </c>
      <c r="I78" s="13">
        <f>'Annual Raw'!J107</f>
        <v>35.022686086034298</v>
      </c>
      <c r="J78" s="13">
        <f>'Annual Raw'!K107</f>
        <v>28.955375679580399</v>
      </c>
      <c r="K78" s="13">
        <f>'Annual Raw'!L107</f>
        <v>68.5655403656164</v>
      </c>
      <c r="L78" s="13">
        <f>'Annual Raw'!M107</f>
        <v>107.68242778283501</v>
      </c>
      <c r="M78" s="13">
        <f>'Annual Raw'!N107</f>
        <v>56.184280918299997</v>
      </c>
      <c r="N78" s="13">
        <f>'Annual Raw'!O107</f>
        <v>74.978144860242395</v>
      </c>
      <c r="O78" s="13">
        <f>'Annual Raw'!P107</f>
        <v>157.602087387154</v>
      </c>
      <c r="P78" s="13">
        <f>'Annual Raw'!Q107</f>
        <v>366.948960273252</v>
      </c>
      <c r="Q78" s="13">
        <f>'Annual Raw'!R107</f>
        <v>649.15288576367698</v>
      </c>
      <c r="R78" s="13">
        <f>'Annual Raw'!S107</f>
        <v>481.43861436576702</v>
      </c>
      <c r="S78" s="13">
        <f>'Annual Raw'!T107</f>
        <v>414.25425035283899</v>
      </c>
      <c r="T78" s="13">
        <f>'Annual Raw'!U107</f>
        <v>317.67056111839503</v>
      </c>
      <c r="U78" s="13">
        <f>'Annual Raw'!V107</f>
        <v>182.413934008669</v>
      </c>
      <c r="V78" s="13">
        <f>'Annual Raw'!W107</f>
        <v>251.07812982804799</v>
      </c>
      <c r="W78" s="13">
        <f>'Annual Raw'!X107</f>
        <v>689.60162180670295</v>
      </c>
      <c r="X78" s="13">
        <f>'Annual Raw'!Y107</f>
        <v>738.23876051209697</v>
      </c>
      <c r="Y78" s="13">
        <f>'Annual Raw'!Z107</f>
        <v>1033.90915544124</v>
      </c>
      <c r="Z78" s="13">
        <f>'Annual Raw'!AA107</f>
        <v>1109.87385483911</v>
      </c>
      <c r="AA78" s="13">
        <f>'Annual Raw'!AB107</f>
        <v>1213.95</v>
      </c>
      <c r="AB78" s="37">
        <f>+MAX(CM78:CP78)</f>
        <v>1079.8820870575312</v>
      </c>
      <c r="AC78" s="37">
        <f>+MAX(CQ78:CT78)</f>
        <v>1237.6565561067807</v>
      </c>
      <c r="AD78" s="37">
        <f>+MAX(CU78:CX78)</f>
        <v>1452.917326227755</v>
      </c>
      <c r="AE78" s="37">
        <f>+MAX(CY78:DB78)</f>
        <v>1694.3595218652206</v>
      </c>
      <c r="AJ78" s="13">
        <f>'QTR Share Price'!HP19</f>
        <v>50.018315058082699</v>
      </c>
      <c r="AK78" s="13">
        <f>'QTR Share Price'!HQ19</f>
        <v>74.978144860242395</v>
      </c>
      <c r="AL78" s="13">
        <f>'QTR Share Price'!HR19</f>
        <v>71.031926709703299</v>
      </c>
      <c r="AM78" s="13">
        <f>'QTR Share Price'!HS19</f>
        <v>56.233608645181803</v>
      </c>
      <c r="AN78" s="13">
        <f>'QTR Share Price'!HT19</f>
        <v>50.264953692491403</v>
      </c>
      <c r="AO78" s="13">
        <f>'QTR Share Price'!HU19</f>
        <v>93.032092898958595</v>
      </c>
      <c r="AP78" s="13">
        <f>'QTR Share Price'!HV19</f>
        <v>157.602087387154</v>
      </c>
      <c r="AQ78" s="13">
        <f>'QTR Share Price'!HW19</f>
        <v>197.26157980007201</v>
      </c>
      <c r="AR78" s="13">
        <f>'QTR Share Price'!HX19</f>
        <v>293.99325221516102</v>
      </c>
      <c r="AS78" s="13">
        <f>'QTR Share Price'!HY19</f>
        <v>264.396616086118</v>
      </c>
      <c r="AT78" s="13">
        <f>'QTR Share Price'!HZ19</f>
        <v>366.948960273252</v>
      </c>
      <c r="AU78" s="13">
        <f>'QTR Share Price'!IA19</f>
        <v>419.28567849477599</v>
      </c>
      <c r="AV78" s="13">
        <f>'QTR Share Price'!IB19</f>
        <v>649.15288576367698</v>
      </c>
      <c r="AW78" s="13">
        <f>'QTR Share Price'!IC19</f>
        <v>556.31810377224599</v>
      </c>
      <c r="AX78" s="13">
        <f>'QTR Share Price'!ID19</f>
        <v>483.31306798727297</v>
      </c>
      <c r="AY78" s="13">
        <f>'QTR Share Price'!IE19</f>
        <v>371.93106068830701</v>
      </c>
      <c r="AZ78" s="13">
        <f>'QTR Share Price'!IF19</f>
        <v>481.43861436576702</v>
      </c>
      <c r="BA78" s="13">
        <f>'QTR Share Price'!IG19</f>
        <v>365.02517892486401</v>
      </c>
      <c r="BB78" s="13">
        <f>'QTR Share Price'!IH19</f>
        <v>328.52266103237798</v>
      </c>
      <c r="BC78" s="13">
        <f>'QTR Share Price'!II19</f>
        <v>397.58147866681099</v>
      </c>
      <c r="BD78" s="13">
        <f>'QTR Share Price'!IJ19</f>
        <v>335.42854279582099</v>
      </c>
      <c r="BE78" s="13">
        <f>'QTR Share Price'!IK19</f>
        <v>393.58593278939099</v>
      </c>
      <c r="BF78" s="13">
        <f>'QTR Share Price'!IL19</f>
        <v>414.25425035283899</v>
      </c>
      <c r="BG78" s="13">
        <f>'QTR Share Price'!IM19</f>
        <v>317.67056111839503</v>
      </c>
      <c r="BH78" s="13">
        <f>'QTR Share Price'!IN19</f>
        <v>294.97980675279598</v>
      </c>
      <c r="BI78" s="13">
        <f>'QTR Share Price'!IO19</f>
        <v>245.652079871057</v>
      </c>
      <c r="BJ78" s="13">
        <f>'QTR Share Price'!IP19</f>
        <v>187.445362150606</v>
      </c>
      <c r="BK78" s="13">
        <f>'QTR Share Price'!IQ19</f>
        <v>182.413934008669</v>
      </c>
      <c r="BL78" s="13">
        <f>'QTR Share Price'!IR19</f>
        <v>149.95628972048499</v>
      </c>
      <c r="BM78" s="13">
        <f>'QTR Share Price'!IS19</f>
        <v>138.11763526886801</v>
      </c>
      <c r="BN78" s="13">
        <f>'QTR Share Price'!IT19</f>
        <v>150.94284425811901</v>
      </c>
      <c r="BO78" s="13">
        <f>'QTR Share Price'!IU19</f>
        <v>110.198141853804</v>
      </c>
      <c r="BP78" s="13">
        <f>'QTR Share Price'!IV19</f>
        <v>170.673935010815</v>
      </c>
      <c r="BQ78" s="13">
        <f>'QTR Share Price'!IW19</f>
        <v>237.80897129686099</v>
      </c>
      <c r="BR78" s="13">
        <f>'QTR Share Price'!IX19</f>
        <v>251.07812982804799</v>
      </c>
      <c r="BS78" s="13">
        <f>'QTR Share Price'!IY19</f>
        <v>310.666023901188</v>
      </c>
      <c r="BT78" s="13">
        <f>'QTR Share Price'!IZ19</f>
        <v>409.42013311842902</v>
      </c>
      <c r="BU78" s="13">
        <f>'QTR Share Price'!JA19</f>
        <v>512.95903184319798</v>
      </c>
      <c r="BV78" s="13">
        <f>'QTR Share Price'!JB19</f>
        <v>689.60162180670295</v>
      </c>
      <c r="BW78" s="13">
        <f>'QTR Share Price'!JC19</f>
        <v>738.23876051209697</v>
      </c>
      <c r="BX78" s="13">
        <f>'QTR Share Price'!JD19</f>
        <v>570.08053957225104</v>
      </c>
      <c r="BY78" s="13">
        <f>'QTR Share Price'!JE19</f>
        <v>629.42179501098201</v>
      </c>
      <c r="BZ78" s="13">
        <f>'QTR Share Price'!JF19</f>
        <v>625.27826595291594</v>
      </c>
      <c r="CA78" s="13">
        <f>'QTR Share Price'!JG19</f>
        <v>766.55287574221495</v>
      </c>
      <c r="CB78" s="13">
        <f>'QTR Share Price'!JH19</f>
        <v>1026.0167191401599</v>
      </c>
      <c r="CC78" s="13">
        <f>'QTR Share Price'!JI19</f>
        <v>873.10076580677003</v>
      </c>
      <c r="CD78" s="13">
        <f>'QTR Share Price'!JJ19</f>
        <v>1033.90915544124</v>
      </c>
      <c r="CE78" s="13">
        <f>'QTR Share Price'!JK19</f>
        <v>1061.9766320369499</v>
      </c>
      <c r="CF78" s="13">
        <f>'QTR Share Price'!JL19</f>
        <v>1109.87385483911</v>
      </c>
      <c r="CG78" s="13">
        <f>'QTR Share Price'!JM19</f>
        <v>1064.5910015616801</v>
      </c>
      <c r="CH78" s="13">
        <f>'QTR Share Price'!JN19</f>
        <v>924.40160176377697</v>
      </c>
      <c r="CI78" s="13">
        <f>'QTR Share Price'!JO19</f>
        <v>863.23522043042203</v>
      </c>
      <c r="CJ78" s="13">
        <f>'QTR Share Price'!JP19</f>
        <v>1137.49738189289</v>
      </c>
      <c r="CK78" s="13">
        <f>'QTR Share Price'!JQ19</f>
        <v>1213.95</v>
      </c>
      <c r="CL78" s="13">
        <f>'QTR Share Price'!JR19</f>
        <v>925</v>
      </c>
      <c r="CM78" s="37">
        <f t="shared" ref="CM78:DB78" si="869">+CM69*CM86</f>
        <v>969.82320326684646</v>
      </c>
      <c r="CN78" s="37">
        <f t="shared" si="869"/>
        <v>1015.5336595432743</v>
      </c>
      <c r="CO78" s="37">
        <f t="shared" si="869"/>
        <v>1079.8820870575312</v>
      </c>
      <c r="CP78" s="37">
        <f t="shared" si="869"/>
        <v>1036.0989484474576</v>
      </c>
      <c r="CQ78" s="37">
        <f t="shared" si="869"/>
        <v>1102.5140612852315</v>
      </c>
      <c r="CR78" s="37">
        <f t="shared" si="869"/>
        <v>1162.6397335958504</v>
      </c>
      <c r="CS78" s="37">
        <f t="shared" si="869"/>
        <v>1204.2406452246937</v>
      </c>
      <c r="CT78" s="37">
        <f t="shared" si="869"/>
        <v>1237.6565561067807</v>
      </c>
      <c r="CU78" s="37">
        <f t="shared" si="869"/>
        <v>1300.9756965617012</v>
      </c>
      <c r="CV78" s="37">
        <f t="shared" si="869"/>
        <v>1361.6342464152281</v>
      </c>
      <c r="CW78" s="37">
        <f t="shared" si="869"/>
        <v>1404.5576469116879</v>
      </c>
      <c r="CX78" s="37">
        <f t="shared" si="869"/>
        <v>1452.917326227755</v>
      </c>
      <c r="CY78" s="37">
        <f t="shared" si="869"/>
        <v>1520.9133719148153</v>
      </c>
      <c r="CZ78" s="37">
        <f t="shared" si="869"/>
        <v>1588.4445658143175</v>
      </c>
      <c r="DA78" s="37">
        <f t="shared" si="869"/>
        <v>1637.5216971043801</v>
      </c>
      <c r="DB78" s="37">
        <f t="shared" si="869"/>
        <v>1694.3595218652206</v>
      </c>
      <c r="DE78" s="134"/>
      <c r="DF78" s="13">
        <v>925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1.6098785641626101</v>
      </c>
      <c r="F79" s="13">
        <f>'Annual Raw'!G108</f>
        <v>0.77690657076504299</v>
      </c>
      <c r="G79" s="13">
        <f>'Annual Raw'!H108</f>
        <v>24.028038271083801</v>
      </c>
      <c r="H79" s="13">
        <f>'Annual Raw'!I108</f>
        <v>19.8297462064588</v>
      </c>
      <c r="I79" s="13">
        <f>'Annual Raw'!J108</f>
        <v>15.7848726021563</v>
      </c>
      <c r="J79" s="13">
        <f>'Annual Raw'!K108</f>
        <v>10.733713369466299</v>
      </c>
      <c r="K79" s="13">
        <f>'Annual Raw'!L108</f>
        <v>10.1713772830145</v>
      </c>
      <c r="L79" s="13">
        <f>'Annual Raw'!M108</f>
        <v>45.924113726898398</v>
      </c>
      <c r="M79" s="13">
        <f>'Annual Raw'!N108</f>
        <v>26.1436952473213</v>
      </c>
      <c r="N79" s="13">
        <f>'Annual Raw'!O108</f>
        <v>26.932938877429201</v>
      </c>
      <c r="O79" s="13">
        <f>'Annual Raw'!P108</f>
        <v>39.412853778509003</v>
      </c>
      <c r="P79" s="13">
        <f>'Annual Raw'!Q108</f>
        <v>142.21183660005201</v>
      </c>
      <c r="Q79" s="13">
        <f>'Annual Raw'!R108</f>
        <v>282.64787503236101</v>
      </c>
      <c r="R79" s="13">
        <f>'Annual Raw'!S108</f>
        <v>241.70586172051799</v>
      </c>
      <c r="S79" s="13">
        <f>'Annual Raw'!T108</f>
        <v>236.77308903234399</v>
      </c>
      <c r="T79" s="13">
        <f>'Annual Raw'!U108</f>
        <v>130.32385442155299</v>
      </c>
      <c r="U79" s="13">
        <f>'Annual Raw'!V108</f>
        <v>62.152935870990397</v>
      </c>
      <c r="V79" s="13">
        <f>'Annual Raw'!W108</f>
        <v>69.946716718304998</v>
      </c>
      <c r="W79" s="13">
        <f>'Annual Raw'!X108</f>
        <v>190.45435349039201</v>
      </c>
      <c r="X79" s="13">
        <f>'Annual Raw'!Y108</f>
        <v>372.91761522594197</v>
      </c>
      <c r="Y79" s="13">
        <f>'Annual Raw'!Z108</f>
        <v>514.09356956147803</v>
      </c>
      <c r="Z79" s="13">
        <f>'Annual Raw'!AA108</f>
        <v>583.20171492279303</v>
      </c>
      <c r="AA79" s="13">
        <f>'Annual Raw'!AB108</f>
        <v>692.758596327134</v>
      </c>
      <c r="AB79" s="37">
        <f>+MIN(CM79:CP79)</f>
        <v>755.99029266546984</v>
      </c>
      <c r="AC79" s="37">
        <f>+MIN(CQ79:CT79)</f>
        <v>859.42460961050381</v>
      </c>
      <c r="AD79" s="37">
        <f>+MIN(CU79:CX79)</f>
        <v>1014.1281362225022</v>
      </c>
      <c r="AE79" s="37">
        <f>+MIN(CY79:DB79)</f>
        <v>1185.5725262910028</v>
      </c>
      <c r="AJ79" s="13">
        <f>+'QTR Share Price'!HP20</f>
        <v>27.6235270537735</v>
      </c>
      <c r="AK79" s="13">
        <f>+'QTR Share Price'!HQ20</f>
        <v>46.8613405376515</v>
      </c>
      <c r="AL79" s="13">
        <f>+'QTR Share Price'!HR20</f>
        <v>48.341172344103597</v>
      </c>
      <c r="AM79" s="13">
        <f>+'QTR Share Price'!HS20</f>
        <v>39.560836959154202</v>
      </c>
      <c r="AN79" s="13">
        <f>+'QTR Share Price'!HT20</f>
        <v>40.004786501089797</v>
      </c>
      <c r="AO79" s="13">
        <f>+'QTR Share Price'!HU20</f>
        <v>39.412853778509003</v>
      </c>
      <c r="AP79" s="13">
        <f>+'QTR Share Price'!HV20</f>
        <v>82.969236615084</v>
      </c>
      <c r="AQ79" s="13">
        <f>+'QTR Share Price'!HW20</f>
        <v>142.21183660005201</v>
      </c>
      <c r="AR79" s="13">
        <f>+'QTR Share Price'!HX20</f>
        <v>156.270238761347</v>
      </c>
      <c r="AS79" s="13">
        <f>+'QTR Share Price'!HY20</f>
        <v>182.56191718931399</v>
      </c>
      <c r="AT79" s="13">
        <f>+'QTR Share Price'!HZ20</f>
        <v>228.880652731266</v>
      </c>
      <c r="AU79" s="13">
        <f>+'QTR Share Price'!IA20</f>
        <v>315.598796589362</v>
      </c>
      <c r="AV79" s="13">
        <f>+'QTR Share Price'!IB20</f>
        <v>337.50030732485402</v>
      </c>
      <c r="AW79" s="13">
        <f>+'QTR Share Price'!IC20</f>
        <v>385.74282421519399</v>
      </c>
      <c r="AX79" s="13">
        <f>+'QTR Share Price'!ID20</f>
        <v>282.64787503236101</v>
      </c>
      <c r="AY79" s="13">
        <f>+'QTR Share Price'!IE20</f>
        <v>295.96636129042997</v>
      </c>
      <c r="AZ79" s="13">
        <f>+'QTR Share Price'!IF20</f>
        <v>309.77812481731701</v>
      </c>
      <c r="BA79" s="13">
        <f>+'QTR Share Price'!IG20</f>
        <v>277.61644689042402</v>
      </c>
      <c r="BB79" s="13">
        <f>+'QTR Share Price'!IH20</f>
        <v>241.70586172051799</v>
      </c>
      <c r="BC79" s="13">
        <f>+'QTR Share Price'!II20</f>
        <v>270.01997695063602</v>
      </c>
      <c r="BD79" s="13">
        <f>+'QTR Share Price'!IJ20</f>
        <v>236.77308903234399</v>
      </c>
      <c r="BE79" s="13">
        <f>+'QTR Share Price'!IK20</f>
        <v>237.80897129686099</v>
      </c>
      <c r="BF79" s="13">
        <f>+'QTR Share Price'!IL20</f>
        <v>260.64770884310599</v>
      </c>
      <c r="BG79" s="13">
        <f>+'QTR Share Price'!IM20</f>
        <v>234.79997995707501</v>
      </c>
      <c r="BH79" s="13">
        <f>+'QTR Share Price'!IN20</f>
        <v>219.015107354918</v>
      </c>
      <c r="BI79" s="13">
        <f>+'QTR Share Price'!IO20</f>
        <v>165.88914550328599</v>
      </c>
      <c r="BJ79" s="13">
        <f>+'QTR Share Price'!IP20</f>
        <v>130.32385442155299</v>
      </c>
      <c r="BK79" s="13">
        <f>+'QTR Share Price'!IQ20</f>
        <v>128.35074534628299</v>
      </c>
      <c r="BL79" s="13">
        <f>+'QTR Share Price'!IR20</f>
        <v>115.525536357031</v>
      </c>
      <c r="BM79" s="13">
        <f>+'QTR Share Price'!IS20</f>
        <v>102.60167191401599</v>
      </c>
      <c r="BN79" s="13">
        <f>+'QTR Share Price'!IT20</f>
        <v>62.152935870990397</v>
      </c>
      <c r="BO79" s="13">
        <f>+'QTR Share Price'!IU20</f>
        <v>69.946716718304998</v>
      </c>
      <c r="BP79" s="13">
        <f>+'QTR Share Price'!IV20</f>
        <v>97.915537860250694</v>
      </c>
      <c r="BQ79" s="13">
        <f>+'QTR Share Price'!IW20</f>
        <v>115.426880903268</v>
      </c>
      <c r="BR79" s="13">
        <f>+'QTR Share Price'!IX20</f>
        <v>182.512589462432</v>
      </c>
      <c r="BS79" s="13">
        <f>+'QTR Share Price'!IY20</f>
        <v>190.45435349039201</v>
      </c>
      <c r="BT79" s="13">
        <f>+'QTR Share Price'!IZ20</f>
        <v>292.11879859365501</v>
      </c>
      <c r="BU79" s="13">
        <f>+'QTR Share Price'!JA20</f>
        <v>291.03358860225597</v>
      </c>
      <c r="BV79" s="13">
        <f>+'QTR Share Price'!JB20</f>
        <v>404.48736043025502</v>
      </c>
      <c r="BW79" s="13">
        <f>+'QTR Share Price'!JC20</f>
        <v>372.91761522594197</v>
      </c>
      <c r="BX79" s="13">
        <f>+'QTR Share Price'!JD20</f>
        <v>419.28567849477599</v>
      </c>
      <c r="BY79" s="13">
        <f>+'QTR Share Price'!JE20</f>
        <v>483.41172344103597</v>
      </c>
      <c r="BZ79" s="13">
        <f>+'QTR Share Price'!JF20</f>
        <v>445.18273510768898</v>
      </c>
      <c r="CA79" s="13">
        <f>+'QTR Share Price'!JG20</f>
        <v>514.09356956147803</v>
      </c>
      <c r="CB79" s="13">
        <f>+'QTR Share Price'!JH20</f>
        <v>664.93775836583302</v>
      </c>
      <c r="CC79" s="13">
        <f>+'QTR Share Price'!JI20</f>
        <v>720.18481247338002</v>
      </c>
      <c r="CD79" s="13">
        <f>+'QTR Share Price'!JJ20</f>
        <v>742.87556683898003</v>
      </c>
      <c r="CE79" s="13">
        <f>+'QTR Share Price'!JK20</f>
        <v>720.38212338090796</v>
      </c>
      <c r="CF79" s="13">
        <f>+'QTR Share Price'!JL20</f>
        <v>882.966311183117</v>
      </c>
      <c r="CG79" s="13">
        <f>+'QTR Share Price'!JM20</f>
        <v>833.63858430137896</v>
      </c>
      <c r="CH79" s="13">
        <f>+'QTR Share Price'!JN20</f>
        <v>583.20171492279303</v>
      </c>
      <c r="CI79" s="13">
        <f>+'QTR Share Price'!JO20</f>
        <v>692.758596327134</v>
      </c>
      <c r="CJ79" s="13">
        <f>+'QTR Share Price'!JP20</f>
        <v>726.40010606047997</v>
      </c>
      <c r="CK79" s="13">
        <f>+'QTR Share Price'!JQ20</f>
        <v>875</v>
      </c>
      <c r="CL79" s="13">
        <f>+'QTR Share Price'!JR20</f>
        <v>721.05</v>
      </c>
      <c r="CM79" s="37">
        <f t="shared" ref="CM79:DB79" si="870">+CM87*CM69</f>
        <v>755.99029266546984</v>
      </c>
      <c r="CN79" s="37">
        <f t="shared" si="870"/>
        <v>791.62221104181401</v>
      </c>
      <c r="CO79" s="37">
        <f t="shared" si="870"/>
        <v>841.78267986252195</v>
      </c>
      <c r="CP79" s="37">
        <f t="shared" si="870"/>
        <v>807.65313165193447</v>
      </c>
      <c r="CQ79" s="37">
        <f t="shared" si="870"/>
        <v>859.42460961050381</v>
      </c>
      <c r="CR79" s="37">
        <f t="shared" si="870"/>
        <v>906.29338368571678</v>
      </c>
      <c r="CS79" s="37">
        <f t="shared" si="870"/>
        <v>938.72185647488152</v>
      </c>
      <c r="CT79" s="37">
        <f t="shared" si="870"/>
        <v>964.77001057383154</v>
      </c>
      <c r="CU79" s="37">
        <f t="shared" si="870"/>
        <v>1014.1281362225022</v>
      </c>
      <c r="CV79" s="37">
        <f t="shared" si="870"/>
        <v>1061.4122955434595</v>
      </c>
      <c r="CW79" s="37">
        <f t="shared" si="870"/>
        <v>1094.8716662764027</v>
      </c>
      <c r="CX79" s="37">
        <f t="shared" si="870"/>
        <v>1132.568689812457</v>
      </c>
      <c r="CY79" s="37">
        <f t="shared" si="870"/>
        <v>1185.5725262910028</v>
      </c>
      <c r="CZ79" s="37">
        <f t="shared" si="870"/>
        <v>1238.214004519366</v>
      </c>
      <c r="DA79" s="37">
        <f t="shared" si="870"/>
        <v>1276.4702915644466</v>
      </c>
      <c r="DB79" s="37">
        <f t="shared" si="870"/>
        <v>1320.7761440442348</v>
      </c>
      <c r="DE79" s="134"/>
      <c r="DF79" s="13">
        <v>721.05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0.48111656433621053</v>
      </c>
      <c r="AC81" s="48">
        <f t="shared" si="871"/>
        <v>0.69751276382770633</v>
      </c>
      <c r="AD81" s="48">
        <f t="shared" si="871"/>
        <v>0.99275452781203533</v>
      </c>
      <c r="AE81" s="48">
        <f t="shared" ref="AE81" si="872">+AE78/AE77-1</f>
        <v>1.3239055299207525</v>
      </c>
      <c r="CM81" s="48">
        <f t="shared" ref="CM81:DB81" si="873">+CM78/CM77-1</f>
        <v>0.3301648652679281</v>
      </c>
      <c r="CN81" s="48">
        <f t="shared" si="873"/>
        <v>0.39285922307402865</v>
      </c>
      <c r="CO81" s="48">
        <f t="shared" si="873"/>
        <v>0.48111656433621053</v>
      </c>
      <c r="CP81" s="48">
        <f t="shared" si="873"/>
        <v>0.42106562672809988</v>
      </c>
      <c r="CQ81" s="48">
        <f t="shared" si="873"/>
        <v>0.51215753845183309</v>
      </c>
      <c r="CR81" s="48">
        <f t="shared" si="873"/>
        <v>0.59462314304738784</v>
      </c>
      <c r="CS81" s="48">
        <f t="shared" si="873"/>
        <v>0.6516810385745353</v>
      </c>
      <c r="CT81" s="48">
        <f t="shared" si="873"/>
        <v>0.69751276382770633</v>
      </c>
      <c r="CU81" s="48">
        <f t="shared" si="873"/>
        <v>0.78435838233671795</v>
      </c>
      <c r="CV81" s="48">
        <f t="shared" si="873"/>
        <v>0.86755485724211767</v>
      </c>
      <c r="CW81" s="48">
        <f t="shared" si="873"/>
        <v>0.92642661762678347</v>
      </c>
      <c r="CX81" s="48">
        <f t="shared" si="873"/>
        <v>0.99275452781203533</v>
      </c>
      <c r="CY81" s="48">
        <f t="shared" si="873"/>
        <v>1.0860147742625363</v>
      </c>
      <c r="CZ81" s="48">
        <f t="shared" si="873"/>
        <v>1.1786374513980489</v>
      </c>
      <c r="DA81" s="48">
        <f t="shared" si="873"/>
        <v>1.2459493856869841</v>
      </c>
      <c r="DB81" s="48">
        <f t="shared" si="873"/>
        <v>1.3239055299207525</v>
      </c>
      <c r="DE81" s="129"/>
      <c r="DF81" s="51">
        <v>0.664997942669044</v>
      </c>
    </row>
    <row r="82" spans="1:110" s="51" customFormat="1" x14ac:dyDescent="0.2">
      <c r="A82" s="51" t="s">
        <v>347</v>
      </c>
      <c r="AB82" s="48">
        <f t="shared" ref="AB82:AD82" si="874">+AB79/AB77-1</f>
        <v>3.6881487677231872E-2</v>
      </c>
      <c r="AC82" s="48">
        <f t="shared" si="874"/>
        <v>0.17874723578453411</v>
      </c>
      <c r="AD82" s="48">
        <f t="shared" si="874"/>
        <v>0.39093147198258427</v>
      </c>
      <c r="AE82" s="48">
        <f t="shared" ref="AE82" si="875">+AE79/AE77-1</f>
        <v>0.62607670592648845</v>
      </c>
      <c r="CM82" s="48">
        <f t="shared" ref="CM82:DB82" si="876">+CM79/CM77-1</f>
        <v>3.6881487677231872E-2</v>
      </c>
      <c r="CN82" s="48">
        <f t="shared" si="876"/>
        <v>8.5752586808138798E-2</v>
      </c>
      <c r="CO82" s="48">
        <f t="shared" si="876"/>
        <v>0.15455037698878327</v>
      </c>
      <c r="CP82" s="48">
        <f t="shared" si="876"/>
        <v>0.10773985962410437</v>
      </c>
      <c r="CQ82" s="48">
        <f t="shared" si="876"/>
        <v>0.17874723578453411</v>
      </c>
      <c r="CR82" s="48">
        <f t="shared" si="876"/>
        <v>0.24303028896683143</v>
      </c>
      <c r="CS82" s="48">
        <f t="shared" si="876"/>
        <v>0.28750768958288497</v>
      </c>
      <c r="CT82" s="48">
        <f t="shared" si="876"/>
        <v>0.32323413876537033</v>
      </c>
      <c r="CU82" s="48">
        <f t="shared" si="876"/>
        <v>0.39093147198258427</v>
      </c>
      <c r="CV82" s="48">
        <f t="shared" si="876"/>
        <v>0.45578424844803123</v>
      </c>
      <c r="CW82" s="48">
        <f t="shared" si="876"/>
        <v>0.50167558123220779</v>
      </c>
      <c r="CX82" s="48">
        <f t="shared" si="876"/>
        <v>0.55337908354472232</v>
      </c>
      <c r="CY82" s="48">
        <f t="shared" si="876"/>
        <v>0.62607670592648845</v>
      </c>
      <c r="CZ82" s="48">
        <f t="shared" si="876"/>
        <v>0.69827733441141948</v>
      </c>
      <c r="DA82" s="48">
        <f t="shared" si="876"/>
        <v>0.75074789681037801</v>
      </c>
      <c r="DB82" s="48">
        <f t="shared" si="876"/>
        <v>0.81151576470200903</v>
      </c>
      <c r="DE82" s="129"/>
      <c r="DF82" s="51">
        <v>-4.9844196506468319E-2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41.690205679310793</v>
      </c>
      <c r="AM85" s="13">
        <f t="shared" si="880"/>
        <v>2774.9692201372941</v>
      </c>
      <c r="AN85" s="13">
        <f t="shared" si="880"/>
        <v>32.28855119191752</v>
      </c>
      <c r="AO85" s="13">
        <f t="shared" si="880"/>
        <v>23.800413602761747</v>
      </c>
      <c r="AP85" s="13">
        <f t="shared" si="880"/>
        <v>-293.25958032799281</v>
      </c>
      <c r="AQ85" s="13">
        <f t="shared" si="880"/>
        <v>-942.36281367592596</v>
      </c>
      <c r="AR85" s="13">
        <f t="shared" si="880"/>
        <v>-117.19144602429412</v>
      </c>
      <c r="AS85" s="13">
        <f t="shared" si="880"/>
        <v>-32.925195613316468</v>
      </c>
      <c r="AT85" s="13">
        <f t="shared" si="880"/>
        <v>-71.873290202176506</v>
      </c>
      <c r="AU85" s="13">
        <f t="shared" si="880"/>
        <v>-105.95973563594738</v>
      </c>
      <c r="AV85" s="13">
        <f t="shared" si="880"/>
        <v>-147.72023532423381</v>
      </c>
      <c r="AW85" s="13">
        <f t="shared" si="880"/>
        <v>-181.27939629038883</v>
      </c>
      <c r="AX85" s="13">
        <f t="shared" si="880"/>
        <v>-289.95860509082269</v>
      </c>
      <c r="AY85" s="13">
        <f t="shared" si="880"/>
        <v>-99.027710888800868</v>
      </c>
      <c r="AZ85" s="13">
        <f t="shared" si="880"/>
        <v>-106.53415322922083</v>
      </c>
      <c r="BA85" s="13">
        <f t="shared" si="880"/>
        <v>-65.9541733981726</v>
      </c>
      <c r="BB85" s="13">
        <f t="shared" si="880"/>
        <v>-30.669625958494709</v>
      </c>
      <c r="BC85" s="13">
        <f t="shared" si="880"/>
        <v>-32.988634324936911</v>
      </c>
      <c r="BD85" s="13">
        <f t="shared" si="880"/>
        <v>-30.217214689722464</v>
      </c>
      <c r="BE85" s="13">
        <f t="shared" si="880"/>
        <v>-84.012405930162458</v>
      </c>
      <c r="BF85" s="13">
        <f t="shared" si="880"/>
        <v>169.89325239115809</v>
      </c>
      <c r="BG85" s="13">
        <f t="shared" si="880"/>
        <v>47.369490487940929</v>
      </c>
      <c r="BH85" s="13">
        <f t="shared" si="880"/>
        <v>43.838426049148936</v>
      </c>
      <c r="BI85" s="13">
        <f t="shared" si="880"/>
        <v>256.63475317973376</v>
      </c>
      <c r="BJ85" s="13">
        <f t="shared" si="880"/>
        <v>59.236247171657752</v>
      </c>
      <c r="BK85" s="13">
        <f t="shared" si="880"/>
        <v>-380.81621749287922</v>
      </c>
      <c r="BL85" s="13">
        <f t="shared" si="880"/>
        <v>87.796099772012127</v>
      </c>
      <c r="BM85" s="13">
        <f t="shared" si="880"/>
        <v>24.242891344361386</v>
      </c>
      <c r="BN85" s="13">
        <f t="shared" si="880"/>
        <v>29.438905553265517</v>
      </c>
      <c r="BO85" s="13">
        <f t="shared" si="880"/>
        <v>24.644030643463136</v>
      </c>
      <c r="BP85" s="13">
        <f t="shared" si="880"/>
        <v>12.130112716013798</v>
      </c>
      <c r="BQ85" s="13">
        <f t="shared" si="880"/>
        <v>13.083245318129528</v>
      </c>
      <c r="BR85" s="13">
        <f t="shared" ref="BR85:DB85" si="881">+BR77/BR69</f>
        <v>9.9211824636445129</v>
      </c>
      <c r="BS85" s="13">
        <f t="shared" si="881"/>
        <v>18.604026932427733</v>
      </c>
      <c r="BT85" s="13">
        <f t="shared" si="881"/>
        <v>24.033572674855545</v>
      </c>
      <c r="BU85" s="13">
        <f t="shared" si="881"/>
        <v>36.173884644219719</v>
      </c>
      <c r="BV85" s="13">
        <f t="shared" si="881"/>
        <v>46.464574038820011</v>
      </c>
      <c r="BW85" s="13">
        <f t="shared" si="881"/>
        <v>22.273888972769619</v>
      </c>
      <c r="BX85" s="13">
        <f t="shared" si="881"/>
        <v>24.331824821154207</v>
      </c>
      <c r="BY85" s="13">
        <f t="shared" si="881"/>
        <v>30.128358901025461</v>
      </c>
      <c r="BZ85" s="13">
        <f t="shared" si="881"/>
        <v>30.238889633036518</v>
      </c>
      <c r="CA85" s="13">
        <f t="shared" si="881"/>
        <v>37.893754505262741</v>
      </c>
      <c r="CB85" s="13">
        <f t="shared" si="881"/>
        <v>48.706634811079496</v>
      </c>
      <c r="CC85" s="13">
        <f t="shared" si="881"/>
        <v>37.146610118862576</v>
      </c>
      <c r="CD85" s="13">
        <f t="shared" si="881"/>
        <v>31.367878551309268</v>
      </c>
      <c r="CE85" s="13">
        <f t="shared" si="881"/>
        <v>39.120494231546111</v>
      </c>
      <c r="CF85" s="13">
        <f t="shared" si="881"/>
        <v>36.420138973057036</v>
      </c>
      <c r="CG85" s="13">
        <f t="shared" si="881"/>
        <v>43.255074302434011</v>
      </c>
      <c r="CH85" s="13">
        <f t="shared" si="881"/>
        <v>33.914301881149029</v>
      </c>
      <c r="CI85" s="13">
        <f t="shared" ref="CI85:CJ85" si="882">+CI77/CI69</f>
        <v>31.841757249441759</v>
      </c>
      <c r="CJ85" s="13">
        <f t="shared" si="882"/>
        <v>31.311274509803869</v>
      </c>
      <c r="CK85" s="13">
        <f t="shared" ref="CK85:CL85" si="883">+CK77/CK69</f>
        <v>27.67610872976848</v>
      </c>
      <c r="CL85" s="13">
        <f t="shared" si="883"/>
        <v>19.80916058992732</v>
      </c>
      <c r="CM85" s="37">
        <f t="shared" si="881"/>
        <v>18.893622553018123</v>
      </c>
      <c r="CN85" s="37">
        <f t="shared" si="881"/>
        <v>18.043196671515112</v>
      </c>
      <c r="CO85" s="37">
        <f t="shared" si="881"/>
        <v>16.968031755773147</v>
      </c>
      <c r="CP85" s="37">
        <f t="shared" si="881"/>
        <v>17.68506142501117</v>
      </c>
      <c r="CQ85" s="37">
        <f t="shared" si="881"/>
        <v>16.61971868578491</v>
      </c>
      <c r="CR85" s="37">
        <f t="shared" si="881"/>
        <v>15.760233386322801</v>
      </c>
      <c r="CS85" s="37">
        <f t="shared" si="881"/>
        <v>15.215790646448308</v>
      </c>
      <c r="CT85" s="37">
        <f t="shared" si="881"/>
        <v>14.8049743325578</v>
      </c>
      <c r="CU85" s="37">
        <f t="shared" si="881"/>
        <v>14.08440879726591</v>
      </c>
      <c r="CV85" s="37">
        <f t="shared" si="881"/>
        <v>13.456971719037579</v>
      </c>
      <c r="CW85" s="37">
        <f t="shared" si="881"/>
        <v>13.045725525023514</v>
      </c>
      <c r="CX85" s="37">
        <f t="shared" si="881"/>
        <v>12.611504601749402</v>
      </c>
      <c r="CY85" s="37">
        <f t="shared" si="881"/>
        <v>12.047677326035796</v>
      </c>
      <c r="CZ85" s="37">
        <f t="shared" si="881"/>
        <v>11.535481904770926</v>
      </c>
      <c r="DA85" s="37">
        <f t="shared" si="881"/>
        <v>11.189759242936482</v>
      </c>
      <c r="DB85" s="37">
        <f t="shared" si="881"/>
        <v>10.814395238568693</v>
      </c>
      <c r="DE85" s="134"/>
      <c r="DF85" s="13">
        <v>20.551405083448664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58.39873169086335</v>
      </c>
      <c r="AM86" s="13">
        <f t="shared" si="887"/>
        <v>3179.3617195542888</v>
      </c>
      <c r="AN86" s="13">
        <f t="shared" si="887"/>
        <v>40.026804944724944</v>
      </c>
      <c r="AO86" s="13">
        <f t="shared" si="887"/>
        <v>23.800413602761747</v>
      </c>
      <c r="AP86" s="13">
        <f t="shared" si="887"/>
        <v>-293.25958032799281</v>
      </c>
      <c r="AQ86" s="13">
        <f t="shared" si="887"/>
        <v>-1159.8980892243867</v>
      </c>
      <c r="AR86" s="13">
        <f t="shared" si="887"/>
        <v>-142.63038968854261</v>
      </c>
      <c r="AS86" s="13">
        <f t="shared" si="887"/>
        <v>-37.192634033166733</v>
      </c>
      <c r="AT86" s="13">
        <f t="shared" si="887"/>
        <v>-84.813674780138143</v>
      </c>
      <c r="AU86" s="13">
        <f t="shared" si="887"/>
        <v>-131.1382866781527</v>
      </c>
      <c r="AV86" s="13">
        <f t="shared" si="887"/>
        <v>-197.16007067615763</v>
      </c>
      <c r="AW86" s="13">
        <f t="shared" si="887"/>
        <v>-214.08052684429373</v>
      </c>
      <c r="AX86" s="13">
        <f t="shared" si="887"/>
        <v>-433.21354264713102</v>
      </c>
      <c r="AY86" s="13">
        <f t="shared" si="887"/>
        <v>-115.83446169741806</v>
      </c>
      <c r="AZ86" s="13">
        <f t="shared" si="887"/>
        <v>-149.3069120501431</v>
      </c>
      <c r="BA86" s="13">
        <f t="shared" si="887"/>
        <v>-77.766233770949242</v>
      </c>
      <c r="BB86" s="13">
        <f t="shared" si="887"/>
        <v>-36.474948014924095</v>
      </c>
      <c r="BC86" s="13">
        <f t="shared" si="887"/>
        <v>-42.474184130829308</v>
      </c>
      <c r="BD86" s="13">
        <f t="shared" si="887"/>
        <v>-40.616141508225404</v>
      </c>
      <c r="BE86" s="13">
        <f t="shared" si="887"/>
        <v>-93.923915779286347</v>
      </c>
      <c r="BF86" s="13">
        <f t="shared" si="887"/>
        <v>251.63378017300596</v>
      </c>
      <c r="BG86" s="13">
        <f t="shared" si="887"/>
        <v>58.665292065834414</v>
      </c>
      <c r="BH86" s="13">
        <f t="shared" si="887"/>
        <v>58.282300527770417</v>
      </c>
      <c r="BI86" s="13">
        <f t="shared" si="887"/>
        <v>354.02799746123833</v>
      </c>
      <c r="BJ86" s="13">
        <f t="shared" si="887"/>
        <v>69.581990495301127</v>
      </c>
      <c r="BK86" s="13">
        <f t="shared" si="887"/>
        <v>-478.83657677275306</v>
      </c>
      <c r="BL86" s="13">
        <f t="shared" si="887"/>
        <v>108.05673818093805</v>
      </c>
      <c r="BM86" s="13">
        <f t="shared" si="887"/>
        <v>28.922068923822813</v>
      </c>
      <c r="BN86" s="13">
        <f t="shared" si="887"/>
        <v>66.432928460908656</v>
      </c>
      <c r="BO86" s="13">
        <f t="shared" si="887"/>
        <v>27.833551292971123</v>
      </c>
      <c r="BP86" s="13">
        <f t="shared" si="887"/>
        <v>16.615277116946888</v>
      </c>
      <c r="BQ86" s="13">
        <f t="shared" si="887"/>
        <v>14.712928779730035</v>
      </c>
      <c r="BR86" s="13">
        <f t="shared" ref="BR86:CH86" si="888">+BR78/BR69</f>
        <v>13.00510397629424</v>
      </c>
      <c r="BS86" s="13">
        <f t="shared" si="888"/>
        <v>19.220498953482579</v>
      </c>
      <c r="BT86" s="13">
        <f t="shared" si="888"/>
        <v>29.159282736632278</v>
      </c>
      <c r="BU86" s="13">
        <f t="shared" si="888"/>
        <v>37.072260413446415</v>
      </c>
      <c r="BV86" s="13">
        <f t="shared" si="888"/>
        <v>52.469688615727321</v>
      </c>
      <c r="BW86" s="13">
        <f t="shared" si="888"/>
        <v>36.221995258771109</v>
      </c>
      <c r="BX86" s="13">
        <f t="shared" si="888"/>
        <v>26.369364165236263</v>
      </c>
      <c r="BY86" s="13">
        <f t="shared" si="888"/>
        <v>35.314886971990177</v>
      </c>
      <c r="BZ86" s="13">
        <f t="shared" si="888"/>
        <v>33.644181952810605</v>
      </c>
      <c r="CA86" s="13">
        <f t="shared" si="888"/>
        <v>41.185406701061943</v>
      </c>
      <c r="CB86" s="13">
        <f t="shared" si="888"/>
        <v>62.47906284739161</v>
      </c>
      <c r="CC86" s="13">
        <f t="shared" si="888"/>
        <v>39.612905115307136</v>
      </c>
      <c r="CD86" s="13">
        <f t="shared" si="888"/>
        <v>40.335627879475105</v>
      </c>
      <c r="CE86" s="13">
        <f t="shared" si="888"/>
        <v>41.060117019839986</v>
      </c>
      <c r="CF86" s="13">
        <f t="shared" si="888"/>
        <v>44.528235988359519</v>
      </c>
      <c r="CG86" s="13">
        <f t="shared" si="888"/>
        <v>52.798541575427478</v>
      </c>
      <c r="CH86" s="13">
        <f t="shared" si="888"/>
        <v>46.632476135646932</v>
      </c>
      <c r="CI86" s="13">
        <f t="shared" ref="CI86:CJ86" si="889">+CI78/CI69</f>
        <v>36.506207538340583</v>
      </c>
      <c r="CJ86" s="13">
        <f t="shared" si="889"/>
        <v>39.031772908089295</v>
      </c>
      <c r="CK86" s="13">
        <f t="shared" ref="CK86:CL86" si="890">+CK78/CK69</f>
        <v>37.365747864652668</v>
      </c>
      <c r="CL86" s="13">
        <f t="shared" si="890"/>
        <v>25.131632897658442</v>
      </c>
      <c r="CM86" s="60">
        <f t="shared" ref="CM86:CM87" si="891">+CL86</f>
        <v>25.131632897658442</v>
      </c>
      <c r="CN86" s="60">
        <f t="shared" ref="CN86:CN87" si="892">+CM86</f>
        <v>25.131632897658442</v>
      </c>
      <c r="CO86" s="60">
        <f t="shared" ref="CO86:CO87" si="893">+CN86</f>
        <v>25.131632897658442</v>
      </c>
      <c r="CP86" s="60">
        <f t="shared" ref="CP86:CP87" si="894">+CO86</f>
        <v>25.131632897658442</v>
      </c>
      <c r="CQ86" s="60">
        <f t="shared" ref="CQ86:CQ87" si="895">+CP86</f>
        <v>25.131632897658442</v>
      </c>
      <c r="CR86" s="60">
        <f t="shared" ref="CR86:CR87" si="896">+CQ86</f>
        <v>25.131632897658442</v>
      </c>
      <c r="CS86" s="60">
        <f t="shared" ref="CS86:CS87" si="897">+CR86</f>
        <v>25.131632897658442</v>
      </c>
      <c r="CT86" s="60">
        <f t="shared" ref="CT86:CT87" si="898">+CS86</f>
        <v>25.131632897658442</v>
      </c>
      <c r="CU86" s="60">
        <f t="shared" ref="CU86:CU87" si="899">+CT86</f>
        <v>25.131632897658442</v>
      </c>
      <c r="CV86" s="60">
        <f t="shared" ref="CV86:CV87" si="900">+CU86</f>
        <v>25.131632897658442</v>
      </c>
      <c r="CW86" s="60">
        <f t="shared" ref="CW86:CW87" si="901">+CV86</f>
        <v>25.131632897658442</v>
      </c>
      <c r="CX86" s="60">
        <f t="shared" ref="CX86:CX87" si="902">+CW86</f>
        <v>25.131632897658442</v>
      </c>
      <c r="CY86" s="60">
        <f t="shared" ref="CY86:CY87" si="903">+CX86</f>
        <v>25.131632897658442</v>
      </c>
      <c r="CZ86" s="60">
        <f t="shared" ref="CZ86:CZ87" si="904">+CY86</f>
        <v>25.131632897658442</v>
      </c>
      <c r="DA86" s="60">
        <f t="shared" ref="DA86:DA87" si="905">+CZ86</f>
        <v>25.131632897658442</v>
      </c>
      <c r="DB86" s="60">
        <f t="shared" ref="DB86:DB87" si="906">+DA86</f>
        <v>25.131632897658442</v>
      </c>
      <c r="DE86" s="136"/>
      <c r="DF86" s="13">
        <v>26.073309151268706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39.743581289615307</v>
      </c>
      <c r="AM87" s="13">
        <f t="shared" si="910"/>
        <v>2236.7088588443321</v>
      </c>
      <c r="AN87" s="13">
        <f t="shared" si="910"/>
        <v>31.856465956989119</v>
      </c>
      <c r="AO87" s="13">
        <f t="shared" si="910"/>
        <v>10.082996006684333</v>
      </c>
      <c r="AP87" s="13">
        <f t="shared" si="910"/>
        <v>-154.38579471414226</v>
      </c>
      <c r="AQ87" s="13">
        <f t="shared" si="910"/>
        <v>-836.20559920827941</v>
      </c>
      <c r="AR87" s="13">
        <f t="shared" si="910"/>
        <v>-75.814274250554035</v>
      </c>
      <c r="AS87" s="13">
        <f t="shared" si="910"/>
        <v>-25.680958685960842</v>
      </c>
      <c r="AT87" s="13">
        <f t="shared" si="910"/>
        <v>-52.901660301094324</v>
      </c>
      <c r="AU87" s="13">
        <f t="shared" si="910"/>
        <v>-98.708559784331882</v>
      </c>
      <c r="AV87" s="13">
        <f t="shared" si="910"/>
        <v>-102.50525862965584</v>
      </c>
      <c r="AW87" s="13">
        <f t="shared" si="910"/>
        <v>-148.4403014650093</v>
      </c>
      <c r="AX87" s="13">
        <f t="shared" si="910"/>
        <v>-253.34900993754439</v>
      </c>
      <c r="AY87" s="13">
        <f t="shared" si="910"/>
        <v>-92.175964215452041</v>
      </c>
      <c r="AZ87" s="13">
        <f t="shared" si="910"/>
        <v>-96.070431114231326</v>
      </c>
      <c r="BA87" s="13">
        <f t="shared" si="910"/>
        <v>-59.144373467959859</v>
      </c>
      <c r="BB87" s="13">
        <f t="shared" si="910"/>
        <v>-26.835922713682855</v>
      </c>
      <c r="BC87" s="13">
        <f t="shared" si="910"/>
        <v>-28.846610909697265</v>
      </c>
      <c r="BD87" s="13">
        <f t="shared" si="910"/>
        <v>-28.670217535217905</v>
      </c>
      <c r="BE87" s="13">
        <f t="shared" si="910"/>
        <v>-56.749868150387194</v>
      </c>
      <c r="BF87" s="13">
        <f t="shared" si="910"/>
        <v>158.32732727246551</v>
      </c>
      <c r="BG87" s="13">
        <f t="shared" si="910"/>
        <v>43.361302831268993</v>
      </c>
      <c r="BH87" s="13">
        <f t="shared" si="910"/>
        <v>43.273146211254137</v>
      </c>
      <c r="BI87" s="13">
        <f t="shared" si="910"/>
        <v>239.07553322533008</v>
      </c>
      <c r="BJ87" s="13">
        <f t="shared" si="910"/>
        <v>48.37779444436466</v>
      </c>
      <c r="BK87" s="13">
        <f t="shared" si="910"/>
        <v>-336.92070653399071</v>
      </c>
      <c r="BL87" s="13">
        <f t="shared" si="910"/>
        <v>83.246342374919664</v>
      </c>
      <c r="BM87" s="13">
        <f t="shared" si="910"/>
        <v>21.484965486268326</v>
      </c>
      <c r="BN87" s="13">
        <f t="shared" si="910"/>
        <v>27.354735248609543</v>
      </c>
      <c r="BO87" s="13">
        <f t="shared" si="910"/>
        <v>17.666954222664671</v>
      </c>
      <c r="BP87" s="13">
        <f t="shared" si="910"/>
        <v>9.5321748777859927</v>
      </c>
      <c r="BQ87" s="13">
        <f t="shared" si="910"/>
        <v>7.1413095508334994</v>
      </c>
      <c r="BR87" s="13">
        <f t="shared" ref="BR87:CH87" si="911">+BR79/BR69</f>
        <v>9.4536119277581054</v>
      </c>
      <c r="BS87" s="13">
        <f t="shared" si="911"/>
        <v>11.783160758875256</v>
      </c>
      <c r="BT87" s="13">
        <f t="shared" si="911"/>
        <v>20.804972574257391</v>
      </c>
      <c r="BU87" s="13">
        <f t="shared" si="911"/>
        <v>21.033400946180716</v>
      </c>
      <c r="BV87" s="13">
        <f t="shared" si="911"/>
        <v>30.776212206649795</v>
      </c>
      <c r="BW87" s="13">
        <f t="shared" si="911"/>
        <v>18.297359625571918</v>
      </c>
      <c r="BX87" s="13">
        <f t="shared" si="911"/>
        <v>19.394271472225306</v>
      </c>
      <c r="BY87" s="13">
        <f t="shared" si="911"/>
        <v>27.122718834287102</v>
      </c>
      <c r="BZ87" s="13">
        <f t="shared" si="911"/>
        <v>23.953829451255576</v>
      </c>
      <c r="CA87" s="13">
        <f t="shared" si="911"/>
        <v>27.621255382140784</v>
      </c>
      <c r="CB87" s="13">
        <f t="shared" si="911"/>
        <v>40.491238806867173</v>
      </c>
      <c r="CC87" s="13">
        <f t="shared" si="911"/>
        <v>32.675051677032961</v>
      </c>
      <c r="CD87" s="13">
        <f t="shared" si="911"/>
        <v>28.98161048973726</v>
      </c>
      <c r="CE87" s="13">
        <f t="shared" si="911"/>
        <v>27.852754375853092</v>
      </c>
      <c r="CF87" s="13">
        <f t="shared" si="911"/>
        <v>35.424685519628348</v>
      </c>
      <c r="CG87" s="13">
        <f t="shared" si="911"/>
        <v>41.344423715351809</v>
      </c>
      <c r="CH87" s="13">
        <f t="shared" si="911"/>
        <v>29.420264960072252</v>
      </c>
      <c r="CI87" s="13">
        <f t="shared" ref="CI87:CJ87" si="912">+CI79/CI69</f>
        <v>29.296753066768861</v>
      </c>
      <c r="CJ87" s="13">
        <f t="shared" si="912"/>
        <v>24.925493835408584</v>
      </c>
      <c r="CK87" s="13">
        <f t="shared" ref="CK87:CL87" si="913">+CK79/CK69</f>
        <v>26.932764431460178</v>
      </c>
      <c r="CL87" s="13">
        <f t="shared" si="913"/>
        <v>19.590447460385533</v>
      </c>
      <c r="CM87" s="60">
        <f t="shared" si="891"/>
        <v>19.590447460385533</v>
      </c>
      <c r="CN87" s="60">
        <f t="shared" si="892"/>
        <v>19.590447460385533</v>
      </c>
      <c r="CO87" s="60">
        <f t="shared" si="893"/>
        <v>19.590447460385533</v>
      </c>
      <c r="CP87" s="60">
        <f t="shared" si="894"/>
        <v>19.590447460385533</v>
      </c>
      <c r="CQ87" s="60">
        <f t="shared" si="895"/>
        <v>19.590447460385533</v>
      </c>
      <c r="CR87" s="60">
        <f t="shared" si="896"/>
        <v>19.590447460385533</v>
      </c>
      <c r="CS87" s="60">
        <f t="shared" si="897"/>
        <v>19.590447460385533</v>
      </c>
      <c r="CT87" s="60">
        <f t="shared" si="898"/>
        <v>19.590447460385533</v>
      </c>
      <c r="CU87" s="60">
        <f t="shared" si="899"/>
        <v>19.590447460385533</v>
      </c>
      <c r="CV87" s="60">
        <f t="shared" si="900"/>
        <v>19.590447460385533</v>
      </c>
      <c r="CW87" s="60">
        <f t="shared" si="901"/>
        <v>19.590447460385533</v>
      </c>
      <c r="CX87" s="60">
        <f t="shared" si="902"/>
        <v>19.590447460385533</v>
      </c>
      <c r="CY87" s="60">
        <f t="shared" si="903"/>
        <v>19.590447460385533</v>
      </c>
      <c r="CZ87" s="60">
        <f t="shared" si="904"/>
        <v>19.590447460385533</v>
      </c>
      <c r="DA87" s="60">
        <f t="shared" si="905"/>
        <v>19.590447460385533</v>
      </c>
      <c r="DB87" s="60">
        <f t="shared" si="906"/>
        <v>19.590447460385533</v>
      </c>
      <c r="DE87" s="136"/>
      <c r="DF87" s="13">
        <v>20.324496825429513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-132.17333197881382</v>
      </c>
      <c r="AM89" s="13">
        <f t="shared" si="916"/>
        <v>-330.65361883365853</v>
      </c>
      <c r="AN89" s="13">
        <f t="shared" si="916"/>
        <v>-24.385967632990734</v>
      </c>
      <c r="AO89" s="13">
        <f t="shared" si="916"/>
        <v>-13.086811154207536</v>
      </c>
      <c r="AP89" s="13">
        <f t="shared" si="916"/>
        <v>-36.426897556464716</v>
      </c>
      <c r="AQ89" s="13">
        <f t="shared" si="916"/>
        <v>-61.696706873639243</v>
      </c>
      <c r="AR89" s="13">
        <f t="shared" si="916"/>
        <v>-89.291338999232579</v>
      </c>
      <c r="AS89" s="13">
        <f t="shared" si="916"/>
        <v>-101.74424755146431</v>
      </c>
      <c r="AT89" s="13">
        <f t="shared" si="916"/>
        <v>-328.91156804980682</v>
      </c>
      <c r="AU89" s="13">
        <f t="shared" si="916"/>
        <v>-130.58261597189045</v>
      </c>
      <c r="AV89" s="13">
        <f t="shared" si="916"/>
        <v>-201.31956583810256</v>
      </c>
      <c r="AW89" s="13">
        <f t="shared" si="916"/>
        <v>-118.51994384713059</v>
      </c>
      <c r="AX89" s="13">
        <f t="shared" si="916"/>
        <v>-53.660891989523442</v>
      </c>
      <c r="AY89" s="13">
        <f t="shared" si="916"/>
        <v>-39.733914186904833</v>
      </c>
      <c r="AZ89" s="13">
        <f t="shared" si="916"/>
        <v>-58.296108988276515</v>
      </c>
      <c r="BA89" s="13">
        <f t="shared" si="916"/>
        <v>-87.108281334342408</v>
      </c>
      <c r="BB89" s="13">
        <f t="shared" si="916"/>
        <v>199.55715360231261</v>
      </c>
      <c r="BC89" s="13">
        <f t="shared" si="916"/>
        <v>73.42271025630825</v>
      </c>
      <c r="BD89" s="13">
        <f t="shared" si="916"/>
        <v>66.274187891110074</v>
      </c>
      <c r="BE89" s="13">
        <f t="shared" si="916"/>
        <v>567.22678549060754</v>
      </c>
      <c r="BF89" s="13">
        <f t="shared" si="916"/>
        <v>153.77619899461538</v>
      </c>
      <c r="BG89" s="13">
        <f t="shared" si="916"/>
        <v>-833.8852229357816</v>
      </c>
      <c r="BH89" s="13">
        <f t="shared" si="916"/>
        <v>212.55897839539779</v>
      </c>
      <c r="BI89" s="13">
        <f t="shared" si="916"/>
        <v>51.439965443084631</v>
      </c>
      <c r="BJ89" s="13">
        <f t="shared" si="916"/>
        <v>82.498407892631974</v>
      </c>
      <c r="BK89" s="13">
        <f t="shared" si="916"/>
        <v>46.073622507344247</v>
      </c>
      <c r="BL89" s="13">
        <f t="shared" si="916"/>
        <v>14.59839376749092</v>
      </c>
      <c r="BM89" s="13">
        <f t="shared" si="916"/>
        <v>8.5451567274930955</v>
      </c>
      <c r="BN89" s="13">
        <f t="shared" si="916"/>
        <v>7.8183925672810055</v>
      </c>
      <c r="BO89" s="13">
        <f t="shared" si="916"/>
        <v>6.8178143318641329</v>
      </c>
      <c r="BP89" s="13">
        <f t="shared" si="916"/>
        <v>12.155556417921408</v>
      </c>
      <c r="BQ89" s="13">
        <f t="shared" si="916"/>
        <v>17.186784061277542</v>
      </c>
      <c r="BR89" s="13">
        <f t="shared" ref="BR89:CL89" si="917">+BR78/BV69</f>
        <v>19.103770747786232</v>
      </c>
      <c r="BS89" s="13">
        <f t="shared" si="917"/>
        <v>15.242959116647073</v>
      </c>
      <c r="BT89" s="13">
        <f t="shared" si="917"/>
        <v>18.937935672878861</v>
      </c>
      <c r="BU89" s="13">
        <f t="shared" si="917"/>
        <v>28.780525832423674</v>
      </c>
      <c r="BV89" s="13">
        <f t="shared" si="917"/>
        <v>37.105211715075136</v>
      </c>
      <c r="BW89" s="13">
        <f t="shared" si="917"/>
        <v>39.664143931022707</v>
      </c>
      <c r="BX89" s="13">
        <f t="shared" si="917"/>
        <v>34.714929294581943</v>
      </c>
      <c r="BY89" s="13">
        <f t="shared" si="917"/>
        <v>28.557099958831575</v>
      </c>
      <c r="BZ89" s="13">
        <f t="shared" si="917"/>
        <v>24.393817700392407</v>
      </c>
      <c r="CA89" s="13">
        <f t="shared" si="917"/>
        <v>29.637893933220827</v>
      </c>
      <c r="CB89" s="13">
        <f t="shared" si="917"/>
        <v>41.163880380350328</v>
      </c>
      <c r="CC89" s="13">
        <f t="shared" si="917"/>
        <v>43.301556198918774</v>
      </c>
      <c r="CD89" s="13">
        <f t="shared" si="917"/>
        <v>52.156707566871042</v>
      </c>
      <c r="CE89" s="13">
        <f t="shared" si="917"/>
        <v>44.910979548167845</v>
      </c>
      <c r="CF89" s="13">
        <f t="shared" si="917"/>
        <v>38.083906783694886</v>
      </c>
      <c r="CG89" s="13">
        <f t="shared" si="917"/>
        <v>32.768432755329123</v>
      </c>
      <c r="CH89" s="13">
        <f t="shared" si="917"/>
        <v>25.115374816794265</v>
      </c>
      <c r="CI89" s="13">
        <f t="shared" si="917"/>
        <v>22.369552090637487</v>
      </c>
      <c r="CJ89" s="13">
        <f t="shared" si="917"/>
        <v>28.14989572737203</v>
      </c>
      <c r="CK89" s="13">
        <f t="shared" si="917"/>
        <v>28.251737964505296</v>
      </c>
      <c r="CL89" s="13">
        <f t="shared" si="917"/>
        <v>22.436815002242945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20.39569814764803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-0.64770608168957644</v>
      </c>
      <c r="AP90" s="175">
        <f t="shared" si="918"/>
        <v>-0.31604776657619804</v>
      </c>
      <c r="AQ90" s="175">
        <f t="shared" si="918"/>
        <v>0.60057892961145332</v>
      </c>
      <c r="AR90" s="175">
        <f t="shared" si="918"/>
        <v>0.29483345889710633</v>
      </c>
      <c r="AS90" s="175">
        <f t="shared" si="918"/>
        <v>-0.63470124815650986</v>
      </c>
      <c r="AT90" s="175">
        <f t="shared" si="918"/>
        <v>-0.77629956342586215</v>
      </c>
      <c r="AU90" s="175">
        <f t="shared" si="918"/>
        <v>-0.9821519894684565</v>
      </c>
      <c r="AV90" s="175">
        <f t="shared" si="918"/>
        <v>-0.8522068458387152</v>
      </c>
      <c r="AW90" s="175">
        <f t="shared" si="918"/>
        <v>-0.86706628284791798</v>
      </c>
      <c r="AX90" s="175">
        <f t="shared" si="918"/>
        <v>-0.96249466868141442</v>
      </c>
      <c r="AY90" s="175">
        <f t="shared" si="918"/>
        <v>-0.95587991555530782</v>
      </c>
      <c r="AZ90" s="175">
        <f t="shared" si="918"/>
        <v>-0.99454740662932806</v>
      </c>
      <c r="BA90" s="175">
        <f t="shared" si="918"/>
        <v>-0.94176669535717505</v>
      </c>
      <c r="BB90" s="175">
        <f t="shared" si="918"/>
        <v>-0.90767489691997327</v>
      </c>
      <c r="BC90" s="175">
        <f t="shared" si="918"/>
        <v>-0.91565891252241816</v>
      </c>
      <c r="BD90" s="175">
        <f t="shared" si="918"/>
        <v>-0.9653541125543379</v>
      </c>
      <c r="BE90" s="175">
        <f t="shared" si="918"/>
        <v>-0.97527358937298247</v>
      </c>
      <c r="BF90" s="175">
        <f t="shared" si="918"/>
        <v>0.81558108723388867</v>
      </c>
      <c r="BG90" s="175">
        <f t="shared" si="918"/>
        <v>0.61245772933346176</v>
      </c>
      <c r="BH90" s="175">
        <f t="shared" si="918"/>
        <v>0.46316385640017227</v>
      </c>
      <c r="BI90" s="175">
        <f t="shared" si="918"/>
        <v>-0.99043545663691535</v>
      </c>
      <c r="BJ90" s="175">
        <f t="shared" si="918"/>
        <v>-0.8559109588104501</v>
      </c>
      <c r="BK90" s="175">
        <f t="shared" si="918"/>
        <v>0.36171167550458733</v>
      </c>
      <c r="BL90" s="175">
        <f t="shared" si="918"/>
        <v>0.52077063704298276</v>
      </c>
      <c r="BM90" s="175">
        <f t="shared" si="918"/>
        <v>0.6868277094837143</v>
      </c>
      <c r="BN90" s="175">
        <f t="shared" si="918"/>
        <v>0.66360110489007873</v>
      </c>
      <c r="BO90" s="175">
        <f t="shared" si="918"/>
        <v>-0.94991255408682074</v>
      </c>
      <c r="BP90" s="175">
        <f t="shared" si="918"/>
        <v>-0.77058949284584377</v>
      </c>
      <c r="BQ90" s="175">
        <f t="shared" si="918"/>
        <v>-0.7772116219073586</v>
      </c>
      <c r="BR90" s="175">
        <f t="shared" si="918"/>
        <v>-0.93337495478711863</v>
      </c>
      <c r="BS90" s="175">
        <f t="shared" si="918"/>
        <v>-0.44221389603706879</v>
      </c>
      <c r="BT90" s="175">
        <f t="shared" si="918"/>
        <v>-0.85703108236057046</v>
      </c>
      <c r="BU90" s="175">
        <f t="shared" si="918"/>
        <v>-0.92602426757729195</v>
      </c>
      <c r="BV90" s="175">
        <f t="shared" si="918"/>
        <v>-0.89408645135005282</v>
      </c>
      <c r="BW90" s="175">
        <f t="shared" si="918"/>
        <v>-0.28053848561692574</v>
      </c>
      <c r="BX90" s="175">
        <f t="shared" si="918"/>
        <v>-0.79617590364578572</v>
      </c>
      <c r="BY90" s="175">
        <f t="shared" si="918"/>
        <v>-0.9469577158331749</v>
      </c>
      <c r="BZ90" s="175">
        <f t="shared" si="918"/>
        <v>-0.67730395153668665</v>
      </c>
      <c r="CA90" s="175">
        <f t="shared" si="918"/>
        <v>-0.78892974916853986</v>
      </c>
      <c r="CB90" s="175">
        <f t="shared" si="918"/>
        <v>-0.87720520941936875</v>
      </c>
      <c r="CC90" s="175">
        <f t="shared" si="918"/>
        <v>-0.63267146610101743</v>
      </c>
      <c r="CD90" s="175">
        <f t="shared" si="918"/>
        <v>-0.72404932832688629</v>
      </c>
      <c r="CE90" s="175">
        <f t="shared" si="918"/>
        <v>-0.8976131695409455</v>
      </c>
      <c r="CF90" s="175">
        <f t="shared" si="918"/>
        <v>0.35287783736478229</v>
      </c>
      <c r="CG90" s="175">
        <f t="shared" si="918"/>
        <v>-0.98064095817531571</v>
      </c>
      <c r="CH90" s="175">
        <f t="shared" si="918"/>
        <v>-0.81609023973070616</v>
      </c>
      <c r="CI90" s="175">
        <f t="shared" si="918"/>
        <v>-0.65054733993258895</v>
      </c>
      <c r="CJ90" s="175">
        <f>+CORREL(CG69:CJ69,CG86:CJ86)</f>
        <v>-0.71172770107801497</v>
      </c>
      <c r="CK90" s="175">
        <f>+CORREL(CH69:CK69,CH86:CK86)</f>
        <v>-0.67512241504570936</v>
      </c>
      <c r="CL90" s="175">
        <f>+CORREL(CI69:CL69,CI86:CL86)</f>
        <v>-0.69386706392182929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-0.62472178564150405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29.195918367346938</v>
      </c>
      <c r="AM92" s="162">
        <f t="shared" si="920"/>
        <v>28.869387755102043</v>
      </c>
      <c r="AN92" s="162">
        <f t="shared" si="920"/>
        <v>30.394557823129251</v>
      </c>
      <c r="AO92" s="162">
        <f t="shared" si="920"/>
        <v>32.598639455782312</v>
      </c>
      <c r="AP92" s="162">
        <f t="shared" si="920"/>
        <v>28.639455782312922</v>
      </c>
      <c r="AQ92" s="162">
        <f t="shared" si="920"/>
        <v>28.680272108843536</v>
      </c>
      <c r="AR92" s="162">
        <f t="shared" si="920"/>
        <v>28.013605442176871</v>
      </c>
      <c r="AS92" s="162">
        <f t="shared" si="920"/>
        <v>25.170068027210874</v>
      </c>
      <c r="AT92" s="162">
        <f t="shared" si="920"/>
        <v>24</v>
      </c>
      <c r="AU92" s="162">
        <f t="shared" si="920"/>
        <v>25.170068027210881</v>
      </c>
      <c r="AV92" s="162">
        <f t="shared" si="920"/>
        <v>24.707482993197278</v>
      </c>
      <c r="AW92" s="162">
        <f t="shared" si="920"/>
        <v>22.557823129251705</v>
      </c>
      <c r="AX92" s="162">
        <f t="shared" si="920"/>
        <v>22.857142857142854</v>
      </c>
      <c r="AY92" s="162">
        <f t="shared" si="920"/>
        <v>21.931972789115648</v>
      </c>
      <c r="AZ92" s="162">
        <f t="shared" si="920"/>
        <v>21.687074829931973</v>
      </c>
      <c r="BA92" s="162">
        <f t="shared" si="920"/>
        <v>18.068027210884352</v>
      </c>
      <c r="BB92" s="162">
        <f t="shared" si="920"/>
        <v>13.387755102040817</v>
      </c>
      <c r="BC92" s="162">
        <f t="shared" si="920"/>
        <v>12.108843537414966</v>
      </c>
      <c r="BD92" s="162">
        <f t="shared" si="920"/>
        <v>12.693877551020408</v>
      </c>
      <c r="BE92" s="162">
        <f t="shared" si="920"/>
        <v>13.142857142857139</v>
      </c>
      <c r="BF92" s="162">
        <f t="shared" si="920"/>
        <v>15.088435374149659</v>
      </c>
      <c r="BG92" s="162">
        <f t="shared" si="920"/>
        <v>15.727891156462574</v>
      </c>
      <c r="BH92" s="162">
        <f t="shared" si="920"/>
        <v>16.027210884353742</v>
      </c>
      <c r="BI92" s="162">
        <f t="shared" si="920"/>
        <v>12.108843537414964</v>
      </c>
      <c r="BJ92" s="162">
        <f t="shared" si="920"/>
        <v>15.333333333333332</v>
      </c>
      <c r="BK92" s="162">
        <f t="shared" si="920"/>
        <v>14.748299319727893</v>
      </c>
      <c r="BL92" s="162">
        <f t="shared" si="920"/>
        <v>16.530612244897956</v>
      </c>
      <c r="BM92" s="162">
        <f t="shared" si="920"/>
        <v>15.006802721088436</v>
      </c>
      <c r="BN92" s="162">
        <f t="shared" si="920"/>
        <v>16.081632653061224</v>
      </c>
      <c r="BO92" s="162">
        <f t="shared" si="920"/>
        <v>17.183673469387752</v>
      </c>
      <c r="BP92" s="162">
        <f t="shared" si="920"/>
        <v>25.469387755102041</v>
      </c>
      <c r="BQ92" s="162">
        <f t="shared" si="920"/>
        <v>30.829931972789112</v>
      </c>
      <c r="BR92" s="162">
        <f t="shared" ref="BR92:DB92" si="921">+BR$120/BR$65</f>
        <v>35.564625850340136</v>
      </c>
      <c r="BS92" s="162">
        <f t="shared" si="921"/>
        <v>57.768707482993207</v>
      </c>
      <c r="BT92" s="162">
        <f t="shared" si="921"/>
        <v>64.10884353741497</v>
      </c>
      <c r="BU92" s="162">
        <f t="shared" si="921"/>
        <v>69.26530612244899</v>
      </c>
      <c r="BV92" s="162">
        <f t="shared" si="921"/>
        <v>73.020408163265316</v>
      </c>
      <c r="BW92" s="162">
        <f t="shared" si="921"/>
        <v>78.217687074829925</v>
      </c>
      <c r="BX92" s="162">
        <f t="shared" si="921"/>
        <v>83.72789115646259</v>
      </c>
      <c r="BY92" s="162">
        <f t="shared" si="921"/>
        <v>85.088435374149668</v>
      </c>
      <c r="BZ92" s="162">
        <f t="shared" si="921"/>
        <v>89.795918367346943</v>
      </c>
      <c r="CA92" s="162">
        <f t="shared" si="921"/>
        <v>95.020408163265287</v>
      </c>
      <c r="CB92" s="162">
        <f t="shared" si="921"/>
        <v>98.394557823129247</v>
      </c>
      <c r="CC92" s="162">
        <f t="shared" si="921"/>
        <v>105.37414965986393</v>
      </c>
      <c r="CD92" s="162">
        <f t="shared" si="921"/>
        <v>111.82312925170068</v>
      </c>
      <c r="CE92" s="162">
        <f t="shared" si="921"/>
        <v>117.27891156462584</v>
      </c>
      <c r="CF92" s="162">
        <f t="shared" si="921"/>
        <v>120.20408163265306</v>
      </c>
      <c r="CG92" s="162">
        <f t="shared" si="921"/>
        <v>122.421768707483</v>
      </c>
      <c r="CH92" s="162">
        <f t="shared" si="921"/>
        <v>130.18857142857144</v>
      </c>
      <c r="CI92" s="162">
        <f t="shared" si="921"/>
        <v>139.46748299319728</v>
      </c>
      <c r="CJ92" s="162">
        <f t="shared" si="921"/>
        <v>146.65306122448979</v>
      </c>
      <c r="CK92" s="162">
        <f t="shared" si="921"/>
        <v>128.19112627986348</v>
      </c>
      <c r="CL92" s="162">
        <f t="shared" si="921"/>
        <v>286.89419795221846</v>
      </c>
      <c r="CM92" s="21">
        <f t="shared" si="921"/>
        <v>297.95664676049967</v>
      </c>
      <c r="CN92" s="21">
        <f t="shared" si="921"/>
        <v>309.61222293047911</v>
      </c>
      <c r="CO92" s="21">
        <f t="shared" si="921"/>
        <v>317.73581835575243</v>
      </c>
      <c r="CP92" s="21">
        <f t="shared" si="921"/>
        <v>328.12108331484819</v>
      </c>
      <c r="CQ92" s="21">
        <f t="shared" si="921"/>
        <v>341.82622203938865</v>
      </c>
      <c r="CR92" s="21">
        <f t="shared" si="921"/>
        <v>355.87422820209736</v>
      </c>
      <c r="CS92" s="21">
        <f t="shared" si="921"/>
        <v>365.65314430622391</v>
      </c>
      <c r="CT92" s="21">
        <f t="shared" si="921"/>
        <v>377.36804474973746</v>
      </c>
      <c r="CU92" s="21">
        <f t="shared" si="921"/>
        <v>393.59268313085698</v>
      </c>
      <c r="CV92" s="21">
        <f t="shared" si="921"/>
        <v>410.05432274510235</v>
      </c>
      <c r="CW92" s="21">
        <f t="shared" si="921"/>
        <v>421.54118200880208</v>
      </c>
      <c r="CX92" s="21">
        <f t="shared" si="921"/>
        <v>435.18033781260192</v>
      </c>
      <c r="CY92" s="21">
        <f t="shared" si="921"/>
        <v>454.1105722034975</v>
      </c>
      <c r="CZ92" s="21">
        <f t="shared" si="921"/>
        <v>473.25931114688331</v>
      </c>
      <c r="DA92" s="21">
        <f t="shared" si="921"/>
        <v>486.69897353682302</v>
      </c>
      <c r="DB92" s="21">
        <f t="shared" si="921"/>
        <v>502.59973426666551</v>
      </c>
      <c r="DE92" s="22"/>
      <c r="DF92" s="162">
        <v>138.98923313121443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1.7368490552823486</v>
      </c>
      <c r="AM94" s="162">
        <f t="shared" si="924"/>
        <v>1.7001083869073628</v>
      </c>
      <c r="AN94" s="162">
        <f t="shared" si="924"/>
        <v>1.3340345904270328</v>
      </c>
      <c r="AO94" s="162">
        <f t="shared" si="924"/>
        <v>2.8538642855064511</v>
      </c>
      <c r="AP94" s="162">
        <f t="shared" si="924"/>
        <v>5.5029707472474207</v>
      </c>
      <c r="AQ94" s="162">
        <f t="shared" si="924"/>
        <v>5.5880147869779169</v>
      </c>
      <c r="AR94" s="162">
        <f t="shared" si="924"/>
        <v>8.6228771601168841</v>
      </c>
      <c r="AS94" s="162">
        <f t="shared" si="924"/>
        <v>9.2991430853826529</v>
      </c>
      <c r="AT94" s="162">
        <f t="shared" si="924"/>
        <v>12.956749594269958</v>
      </c>
      <c r="AU94" s="162">
        <f t="shared" si="924"/>
        <v>13.459750202404194</v>
      </c>
      <c r="AV94" s="162">
        <f t="shared" si="924"/>
        <v>19.685185544308737</v>
      </c>
      <c r="AW94" s="162">
        <f t="shared" si="924"/>
        <v>20.883211514755271</v>
      </c>
      <c r="AX94" s="162">
        <f t="shared" si="924"/>
        <v>14.152741438956753</v>
      </c>
      <c r="AY94" s="162">
        <f t="shared" si="924"/>
        <v>14.497853455184194</v>
      </c>
      <c r="AZ94" s="162">
        <f t="shared" si="924"/>
        <v>15.839770586778739</v>
      </c>
      <c r="BA94" s="162">
        <f t="shared" si="924"/>
        <v>17.134179083109611</v>
      </c>
      <c r="BB94" s="162">
        <f t="shared" si="924"/>
        <v>20.633427220044229</v>
      </c>
      <c r="BC94" s="162">
        <f t="shared" si="924"/>
        <v>25.501326309614186</v>
      </c>
      <c r="BD94" s="162">
        <f t="shared" si="924"/>
        <v>19.659002483024171</v>
      </c>
      <c r="BE94" s="162">
        <f t="shared" si="924"/>
        <v>26.786564209617062</v>
      </c>
      <c r="BF94" s="162">
        <f t="shared" si="924"/>
        <v>18.536594715356259</v>
      </c>
      <c r="BG94" s="162">
        <f t="shared" si="924"/>
        <v>16.308873022664752</v>
      </c>
      <c r="BH94" s="162">
        <f t="shared" si="924"/>
        <v>13.843713489204868</v>
      </c>
      <c r="BI94" s="162">
        <f t="shared" si="924"/>
        <v>14.706036418164143</v>
      </c>
      <c r="BJ94" s="162">
        <f t="shared" si="924"/>
        <v>10.407078030158088</v>
      </c>
      <c r="BK94" s="162">
        <f t="shared" si="924"/>
        <v>9.8365812636537679</v>
      </c>
      <c r="BL94" s="162">
        <f t="shared" si="924"/>
        <v>7.370536770983712</v>
      </c>
      <c r="BM94" s="162">
        <f t="shared" si="924"/>
        <v>7.7146462936272346</v>
      </c>
      <c r="BN94" s="162">
        <f t="shared" si="924"/>
        <v>4.1593039148860766</v>
      </c>
      <c r="BO94" s="162">
        <f t="shared" si="924"/>
        <v>5.678078319277728</v>
      </c>
      <c r="BP94" s="162">
        <f t="shared" si="924"/>
        <v>4.8922196050162494</v>
      </c>
      <c r="BQ94" s="162">
        <f t="shared" si="924"/>
        <v>6.8591771570776183</v>
      </c>
      <c r="BR94" s="162">
        <f t="shared" si="924"/>
        <v>5.3856763259034297</v>
      </c>
      <c r="BS94" s="162">
        <f t="shared" si="924"/>
        <v>5.20527178420258</v>
      </c>
      <c r="BT94" s="162">
        <f t="shared" si="924"/>
        <v>5.2637196520481622</v>
      </c>
      <c r="BU94" s="162">
        <f t="shared" si="924"/>
        <v>7.2262503797233339</v>
      </c>
      <c r="BV94" s="162">
        <f t="shared" si="924"/>
        <v>8.3631038795416792</v>
      </c>
      <c r="BW94" s="162">
        <f t="shared" si="924"/>
        <v>5.8038416561504427</v>
      </c>
      <c r="BX94" s="162">
        <f t="shared" si="924"/>
        <v>6.2826242510260091</v>
      </c>
      <c r="BY94" s="162">
        <f t="shared" si="924"/>
        <v>6.3108650720088573</v>
      </c>
      <c r="BZ94" s="162">
        <f t="shared" si="924"/>
        <v>6.2585338240496826</v>
      </c>
      <c r="CA94" s="162">
        <f t="shared" si="924"/>
        <v>7.4224879958762164</v>
      </c>
      <c r="CB94" s="162">
        <f t="shared" si="924"/>
        <v>8.1289972645150748</v>
      </c>
      <c r="CC94" s="162">
        <f t="shared" si="924"/>
        <v>7.7698526007175488</v>
      </c>
      <c r="CD94" s="162">
        <f t="shared" si="924"/>
        <v>7.1903009113841945</v>
      </c>
      <c r="CE94" s="162">
        <f t="shared" si="924"/>
        <v>8.6273850967713663</v>
      </c>
      <c r="CF94" s="162">
        <f t="shared" si="924"/>
        <v>7.5519744876786028</v>
      </c>
      <c r="CG94" s="162">
        <f t="shared" si="924"/>
        <v>7.1242520689272251</v>
      </c>
      <c r="CH94" s="162">
        <f t="shared" si="924"/>
        <v>5.1639524291121566</v>
      </c>
      <c r="CI94" s="162">
        <f t="shared" si="924"/>
        <v>5.3986664630606453</v>
      </c>
      <c r="CJ94" s="162">
        <f>+CJ77/CJ$92</f>
        <v>6.2221681046479267</v>
      </c>
      <c r="CK94" s="162">
        <f>+CK77/CK$92</f>
        <v>7.0141360489882851</v>
      </c>
      <c r="CL94" s="162">
        <f>+CL77/CL$92</f>
        <v>2.541354984534856</v>
      </c>
      <c r="CM94" s="21">
        <f t="shared" ref="CM94:DB94" si="925">+CM77/CM$92</f>
        <v>2.4470002865418787</v>
      </c>
      <c r="CN94" s="21">
        <f t="shared" si="925"/>
        <v>2.3548811900869735</v>
      </c>
      <c r="CO94" s="21">
        <f t="shared" si="925"/>
        <v>2.2946736183947141</v>
      </c>
      <c r="CP94" s="21">
        <f t="shared" si="925"/>
        <v>2.2220455712088243</v>
      </c>
      <c r="CQ94" s="21">
        <f t="shared" si="925"/>
        <v>2.1329551479405984</v>
      </c>
      <c r="CR94" s="21">
        <f t="shared" si="925"/>
        <v>2.0487575166189096</v>
      </c>
      <c r="CS94" s="21">
        <f t="shared" si="925"/>
        <v>1.9939661708184298</v>
      </c>
      <c r="CT94" s="21">
        <f t="shared" si="925"/>
        <v>1.9320660828171707</v>
      </c>
      <c r="CU94" s="21">
        <f t="shared" si="925"/>
        <v>1.8524226471903127</v>
      </c>
      <c r="CV94" s="21">
        <f t="shared" si="925"/>
        <v>1.778057100139931</v>
      </c>
      <c r="CW94" s="21">
        <f t="shared" si="925"/>
        <v>1.7296056260163353</v>
      </c>
      <c r="CX94" s="21">
        <f t="shared" si="925"/>
        <v>1.675397385058252</v>
      </c>
      <c r="CY94" s="21">
        <f t="shared" si="925"/>
        <v>1.6055561015947308</v>
      </c>
      <c r="CZ94" s="21">
        <f t="shared" si="925"/>
        <v>1.5405930381657353</v>
      </c>
      <c r="DA94" s="21">
        <f t="shared" si="925"/>
        <v>1.4980512383284024</v>
      </c>
      <c r="DB94" s="21">
        <f t="shared" si="925"/>
        <v>1.4506573527417739</v>
      </c>
      <c r="DE94" s="22"/>
      <c r="DF94" s="162">
        <v>5.2457300725710496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2.4329403109013432</v>
      </c>
      <c r="AM95" s="162">
        <f t="shared" si="924"/>
        <v>1.9478628754516529</v>
      </c>
      <c r="AN95" s="162">
        <f t="shared" si="924"/>
        <v>1.6537484764539472</v>
      </c>
      <c r="AO95" s="162">
        <f t="shared" si="924"/>
        <v>2.8538642855064511</v>
      </c>
      <c r="AP95" s="162">
        <f t="shared" si="924"/>
        <v>5.5029707472474207</v>
      </c>
      <c r="AQ95" s="162">
        <f t="shared" si="924"/>
        <v>6.8779535651353383</v>
      </c>
      <c r="AR95" s="162">
        <f t="shared" si="924"/>
        <v>10.494659561833091</v>
      </c>
      <c r="AS95" s="162">
        <f t="shared" si="924"/>
        <v>10.504406098556585</v>
      </c>
      <c r="AT95" s="162">
        <f t="shared" si="924"/>
        <v>15.289540011385499</v>
      </c>
      <c r="AU95" s="162">
        <f t="shared" si="924"/>
        <v>16.658106686143807</v>
      </c>
      <c r="AV95" s="162">
        <f t="shared" si="924"/>
        <v>26.27353364737349</v>
      </c>
      <c r="AW95" s="162">
        <f t="shared" si="924"/>
        <v>24.661870100880623</v>
      </c>
      <c r="AX95" s="162">
        <f t="shared" si="924"/>
        <v>21.144946724443194</v>
      </c>
      <c r="AY95" s="162">
        <f t="shared" si="924"/>
        <v>16.958395136842782</v>
      </c>
      <c r="AZ95" s="162">
        <f t="shared" si="924"/>
        <v>22.199333849362532</v>
      </c>
      <c r="BA95" s="162">
        <f t="shared" si="924"/>
        <v>20.202824285374628</v>
      </c>
      <c r="BB95" s="162">
        <f t="shared" si="924"/>
        <v>24.539040229552622</v>
      </c>
      <c r="BC95" s="162">
        <f t="shared" si="924"/>
        <v>32.833976047202931</v>
      </c>
      <c r="BD95" s="162">
        <f t="shared" si="924"/>
        <v>26.424435043400688</v>
      </c>
      <c r="BE95" s="162">
        <f t="shared" si="924"/>
        <v>29.946755755714541</v>
      </c>
      <c r="BF95" s="162">
        <f t="shared" si="924"/>
        <v>27.455083319146681</v>
      </c>
      <c r="BG95" s="162">
        <f t="shared" si="924"/>
        <v>20.197911974223228</v>
      </c>
      <c r="BH95" s="162">
        <f t="shared" si="924"/>
        <v>18.404937008769526</v>
      </c>
      <c r="BI95" s="162">
        <f t="shared" si="924"/>
        <v>20.286997607328868</v>
      </c>
      <c r="BJ95" s="162">
        <f t="shared" si="924"/>
        <v>12.224697531561262</v>
      </c>
      <c r="BK95" s="162">
        <f t="shared" si="924"/>
        <v>12.368472462764917</v>
      </c>
      <c r="BL95" s="162">
        <f t="shared" si="924"/>
        <v>9.0714298719799586</v>
      </c>
      <c r="BM95" s="162">
        <f t="shared" si="924"/>
        <v>9.2036683520052573</v>
      </c>
      <c r="BN95" s="162">
        <f t="shared" si="924"/>
        <v>9.3860398079287215</v>
      </c>
      <c r="BO95" s="162">
        <f t="shared" si="924"/>
        <v>6.4129559986180489</v>
      </c>
      <c r="BP95" s="162">
        <f t="shared" si="924"/>
        <v>6.7011400765464222</v>
      </c>
      <c r="BQ95" s="162">
        <f t="shared" si="924"/>
        <v>7.7135743117031268</v>
      </c>
      <c r="BR95" s="162">
        <f t="shared" si="924"/>
        <v>7.0597714393119846</v>
      </c>
      <c r="BS95" s="162">
        <f t="shared" si="924"/>
        <v>5.3777561838759569</v>
      </c>
      <c r="BT95" s="162">
        <f t="shared" si="924"/>
        <v>6.386328477123203</v>
      </c>
      <c r="BU95" s="162">
        <f t="shared" si="924"/>
        <v>7.4057137773472883</v>
      </c>
      <c r="BV95" s="162">
        <f t="shared" si="924"/>
        <v>9.4439573696278476</v>
      </c>
      <c r="BW95" s="162">
        <f t="shared" si="924"/>
        <v>9.4382586358739147</v>
      </c>
      <c r="BX95" s="162">
        <f t="shared" si="924"/>
        <v>6.8087292262854158</v>
      </c>
      <c r="BY95" s="162">
        <f t="shared" si="924"/>
        <v>7.397266059051355</v>
      </c>
      <c r="BZ95" s="162">
        <f t="shared" si="924"/>
        <v>6.9633261435665634</v>
      </c>
      <c r="CA95" s="162">
        <f t="shared" si="924"/>
        <v>8.0672446115482259</v>
      </c>
      <c r="CB95" s="162">
        <f t="shared" si="924"/>
        <v>10.427575892809978</v>
      </c>
      <c r="CC95" s="162">
        <f t="shared" si="924"/>
        <v>8.2857206309616025</v>
      </c>
      <c r="CD95" s="162">
        <f t="shared" si="924"/>
        <v>9.2459329510805635</v>
      </c>
      <c r="CE95" s="162">
        <f t="shared" si="924"/>
        <v>9.055137175721093</v>
      </c>
      <c r="CF95" s="162">
        <f t="shared" si="924"/>
        <v>9.2332459910214588</v>
      </c>
      <c r="CG95" s="162">
        <f t="shared" si="924"/>
        <v>8.6960923110450636</v>
      </c>
      <c r="CH95" s="162">
        <f t="shared" si="924"/>
        <v>7.1004819518351825</v>
      </c>
      <c r="CI95" s="162">
        <f t="shared" si="924"/>
        <v>6.1895088511242982</v>
      </c>
      <c r="CJ95" s="162">
        <f t="shared" ref="CJ95:CK96" si="927">+CJ78/CJ$92</f>
        <v>7.7563834835446164</v>
      </c>
      <c r="CK95" s="162">
        <f t="shared" si="927"/>
        <v>9.4698442492012784</v>
      </c>
      <c r="CL95" s="162">
        <f t="shared" ref="CL95" si="928">+CL78/CL$92</f>
        <v>3.2241851058767543</v>
      </c>
      <c r="CM95" s="94">
        <f t="shared" ref="CM95:DB95" si="929">+CL95</f>
        <v>3.2241851058767543</v>
      </c>
      <c r="CN95" s="94">
        <f t="shared" si="929"/>
        <v>3.2241851058767543</v>
      </c>
      <c r="CO95" s="94">
        <f t="shared" si="929"/>
        <v>3.2241851058767543</v>
      </c>
      <c r="CP95" s="94">
        <f t="shared" si="929"/>
        <v>3.2241851058767543</v>
      </c>
      <c r="CQ95" s="94">
        <f t="shared" si="929"/>
        <v>3.2241851058767543</v>
      </c>
      <c r="CR95" s="94">
        <f t="shared" si="929"/>
        <v>3.2241851058767543</v>
      </c>
      <c r="CS95" s="94">
        <f t="shared" si="929"/>
        <v>3.2241851058767543</v>
      </c>
      <c r="CT95" s="94">
        <f t="shared" si="929"/>
        <v>3.2241851058767543</v>
      </c>
      <c r="CU95" s="94">
        <f t="shared" si="929"/>
        <v>3.2241851058767543</v>
      </c>
      <c r="CV95" s="94">
        <f t="shared" si="929"/>
        <v>3.2241851058767543</v>
      </c>
      <c r="CW95" s="94">
        <f t="shared" si="929"/>
        <v>3.2241851058767543</v>
      </c>
      <c r="CX95" s="94">
        <f t="shared" si="929"/>
        <v>3.2241851058767543</v>
      </c>
      <c r="CY95" s="94">
        <f t="shared" si="929"/>
        <v>3.2241851058767543</v>
      </c>
      <c r="CZ95" s="94">
        <f t="shared" si="929"/>
        <v>3.2241851058767543</v>
      </c>
      <c r="DA95" s="94">
        <f t="shared" si="929"/>
        <v>3.2241851058767543</v>
      </c>
      <c r="DB95" s="94">
        <f t="shared" si="929"/>
        <v>3.2241851058767543</v>
      </c>
      <c r="DC95" s="94"/>
      <c r="DE95" s="22"/>
      <c r="DF95" s="162">
        <v>6.6551917667373761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1.6557510449189685</v>
      </c>
      <c r="AM96" s="162">
        <f t="shared" si="924"/>
        <v>1.3703386193966887</v>
      </c>
      <c r="AN96" s="162">
        <f t="shared" si="924"/>
        <v>1.3161825460295882</v>
      </c>
      <c r="AO96" s="162">
        <f t="shared" si="924"/>
        <v>1.2090337031387361</v>
      </c>
      <c r="AP96" s="162">
        <f t="shared" si="924"/>
        <v>2.897025601524311</v>
      </c>
      <c r="AQ96" s="162">
        <f t="shared" si="924"/>
        <v>4.9585246632371076</v>
      </c>
      <c r="AR96" s="162">
        <f t="shared" si="924"/>
        <v>5.5783693778334165</v>
      </c>
      <c r="AS96" s="162">
        <f t="shared" si="924"/>
        <v>7.253135628872748</v>
      </c>
      <c r="AT96" s="162">
        <f t="shared" si="924"/>
        <v>9.5366938638027499</v>
      </c>
      <c r="AU96" s="162">
        <f t="shared" si="924"/>
        <v>12.538654891523302</v>
      </c>
      <c r="AV96" s="162">
        <f t="shared" si="924"/>
        <v>13.659841733687649</v>
      </c>
      <c r="AW96" s="162">
        <f t="shared" si="924"/>
        <v>17.100179481192253</v>
      </c>
      <c r="AX96" s="162">
        <f t="shared" si="924"/>
        <v>12.365844532665797</v>
      </c>
      <c r="AY96" s="162">
        <f t="shared" si="924"/>
        <v>13.494744140723698</v>
      </c>
      <c r="AZ96" s="162">
        <f t="shared" si="924"/>
        <v>14.283997599794731</v>
      </c>
      <c r="BA96" s="162">
        <f t="shared" si="924"/>
        <v>15.365066902444402</v>
      </c>
      <c r="BB96" s="162">
        <f t="shared" si="924"/>
        <v>18.054248817538689</v>
      </c>
      <c r="BC96" s="162">
        <f t="shared" si="924"/>
        <v>22.299402590867132</v>
      </c>
      <c r="BD96" s="162">
        <f t="shared" si="924"/>
        <v>18.652542383576936</v>
      </c>
      <c r="BE96" s="162">
        <f t="shared" si="924"/>
        <v>18.094160859543777</v>
      </c>
      <c r="BF96" s="162">
        <f t="shared" si="924"/>
        <v>17.274667808808196</v>
      </c>
      <c r="BG96" s="162">
        <f t="shared" si="924"/>
        <v>14.928891459208499</v>
      </c>
      <c r="BH96" s="162">
        <f t="shared" si="924"/>
        <v>13.665204066711777</v>
      </c>
      <c r="BI96" s="162">
        <f t="shared" si="924"/>
        <v>13.699833926394968</v>
      </c>
      <c r="BJ96" s="162">
        <f t="shared" si="924"/>
        <v>8.4993818101012835</v>
      </c>
      <c r="BK96" s="162">
        <f t="shared" si="924"/>
        <v>8.702748877261806</v>
      </c>
      <c r="BL96" s="162">
        <f t="shared" si="924"/>
        <v>6.9885818290055806</v>
      </c>
      <c r="BM96" s="162">
        <f t="shared" si="924"/>
        <v>6.837010775775318</v>
      </c>
      <c r="BN96" s="162">
        <f t="shared" si="924"/>
        <v>3.8648399209118396</v>
      </c>
      <c r="BO96" s="162">
        <f t="shared" si="924"/>
        <v>4.0705333957208376</v>
      </c>
      <c r="BP96" s="162">
        <f t="shared" si="924"/>
        <v>3.8444401884233046</v>
      </c>
      <c r="BQ96" s="162">
        <f t="shared" si="924"/>
        <v>3.743987531504942</v>
      </c>
      <c r="BR96" s="162">
        <f t="shared" si="924"/>
        <v>5.1318574313269902</v>
      </c>
      <c r="BS96" s="162">
        <f t="shared" si="924"/>
        <v>3.2968429066283114</v>
      </c>
      <c r="BT96" s="162">
        <f t="shared" si="924"/>
        <v>4.5566068965691091</v>
      </c>
      <c r="BU96" s="162">
        <f t="shared" si="924"/>
        <v>4.2017224046878434</v>
      </c>
      <c r="BV96" s="162">
        <f t="shared" si="924"/>
        <v>5.5393741366915856</v>
      </c>
      <c r="BW96" s="162">
        <f t="shared" si="924"/>
        <v>4.7676891144732538</v>
      </c>
      <c r="BX96" s="162">
        <f t="shared" si="924"/>
        <v>5.0077181295687412</v>
      </c>
      <c r="BY96" s="162">
        <f t="shared" si="924"/>
        <v>5.6812858447259575</v>
      </c>
      <c r="BZ96" s="162">
        <f t="shared" si="924"/>
        <v>4.9577168227901725</v>
      </c>
      <c r="CA96" s="162">
        <f t="shared" si="924"/>
        <v>5.4103489923780987</v>
      </c>
      <c r="CB96" s="162">
        <f t="shared" si="924"/>
        <v>6.7578712997633748</v>
      </c>
      <c r="CC96" s="162">
        <f t="shared" si="924"/>
        <v>6.8345492210191656</v>
      </c>
      <c r="CD96" s="162">
        <f t="shared" si="924"/>
        <v>6.6433086948126334</v>
      </c>
      <c r="CE96" s="162">
        <f t="shared" si="924"/>
        <v>6.1424693814961415</v>
      </c>
      <c r="CF96" s="162">
        <f t="shared" si="924"/>
        <v>7.3455601439682061</v>
      </c>
      <c r="CG96" s="162">
        <f t="shared" si="924"/>
        <v>6.8095616743889034</v>
      </c>
      <c r="CH96" s="162">
        <f t="shared" si="924"/>
        <v>4.4796690563792643</v>
      </c>
      <c r="CI96" s="162">
        <f t="shared" si="924"/>
        <v>4.9671692745822638</v>
      </c>
      <c r="CJ96" s="162">
        <f t="shared" si="927"/>
        <v>4.9531874752245368</v>
      </c>
      <c r="CK96" s="162">
        <f t="shared" si="927"/>
        <v>6.8257454739084134</v>
      </c>
      <c r="CL96" s="162">
        <f t="shared" ref="CL96" si="931">+CL79/CL$92</f>
        <v>2.513295860099928</v>
      </c>
      <c r="CM96" s="94">
        <f t="shared" ref="CM96:DB96" si="932">+CL96</f>
        <v>2.513295860099928</v>
      </c>
      <c r="CN96" s="94">
        <f t="shared" si="932"/>
        <v>2.513295860099928</v>
      </c>
      <c r="CO96" s="94">
        <f t="shared" si="932"/>
        <v>2.513295860099928</v>
      </c>
      <c r="CP96" s="94">
        <f t="shared" si="932"/>
        <v>2.513295860099928</v>
      </c>
      <c r="CQ96" s="94">
        <f t="shared" si="932"/>
        <v>2.513295860099928</v>
      </c>
      <c r="CR96" s="94">
        <f t="shared" si="932"/>
        <v>2.513295860099928</v>
      </c>
      <c r="CS96" s="94">
        <f t="shared" si="932"/>
        <v>2.513295860099928</v>
      </c>
      <c r="CT96" s="94">
        <f t="shared" si="932"/>
        <v>2.513295860099928</v>
      </c>
      <c r="CU96" s="94">
        <f t="shared" si="932"/>
        <v>2.513295860099928</v>
      </c>
      <c r="CV96" s="94">
        <f t="shared" si="932"/>
        <v>2.513295860099928</v>
      </c>
      <c r="CW96" s="94">
        <f t="shared" si="932"/>
        <v>2.513295860099928</v>
      </c>
      <c r="CX96" s="94">
        <f t="shared" si="932"/>
        <v>2.513295860099928</v>
      </c>
      <c r="CY96" s="94">
        <f t="shared" si="932"/>
        <v>2.513295860099928</v>
      </c>
      <c r="CZ96" s="94">
        <f t="shared" si="932"/>
        <v>2.513295860099928</v>
      </c>
      <c r="DA96" s="94">
        <f t="shared" si="932"/>
        <v>2.513295860099928</v>
      </c>
      <c r="DB96" s="94">
        <f t="shared" si="932"/>
        <v>2.513295860099928</v>
      </c>
      <c r="DC96" s="94"/>
      <c r="DE96" s="22"/>
      <c r="DF96" s="162">
        <v>5.1878119171956589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20.926315900000002</v>
      </c>
      <c r="F98" s="177">
        <f t="shared" si="933"/>
        <v>17.444385599999997</v>
      </c>
      <c r="G98" s="177">
        <f t="shared" si="933"/>
        <v>27.331809999999997</v>
      </c>
      <c r="H98" s="177">
        <f t="shared" si="933"/>
        <v>33.453499999999998</v>
      </c>
      <c r="I98" s="177">
        <f t="shared" si="933"/>
        <v>41.984999999999999</v>
      </c>
      <c r="J98" s="177">
        <f t="shared" si="933"/>
        <v>63.040000000000006</v>
      </c>
      <c r="K98" s="177">
        <f t="shared" si="933"/>
        <v>64.503100000000003</v>
      </c>
      <c r="L98" s="177">
        <f t="shared" si="933"/>
        <v>79.142299999999992</v>
      </c>
      <c r="M98" s="177">
        <f t="shared" si="933"/>
        <v>94.278499999999994</v>
      </c>
      <c r="N98" s="177">
        <f t="shared" si="933"/>
        <v>105.30080000000001</v>
      </c>
      <c r="O98" s="177">
        <f t="shared" si="933"/>
        <v>133.6525</v>
      </c>
      <c r="P98" s="177">
        <f t="shared" si="933"/>
        <v>119.0055</v>
      </c>
      <c r="Q98" s="177">
        <f t="shared" si="933"/>
        <v>150.22790000000001</v>
      </c>
      <c r="R98" s="177">
        <f t="shared" si="933"/>
        <v>165.72200000000001</v>
      </c>
      <c r="S98" s="177">
        <f t="shared" si="933"/>
        <v>183.36789999999999</v>
      </c>
      <c r="T98" s="177">
        <f t="shared" si="933"/>
        <v>189.68899999999999</v>
      </c>
      <c r="U98" s="177">
        <f t="shared" si="933"/>
        <v>181.07740000000001</v>
      </c>
      <c r="V98" s="177">
        <f t="shared" si="933"/>
        <v>198.65309999999999</v>
      </c>
      <c r="W98" s="177">
        <f t="shared" si="933"/>
        <v>244.0042</v>
      </c>
      <c r="X98" s="177">
        <f t="shared" si="933"/>
        <v>244.76</v>
      </c>
      <c r="Y98" s="177">
        <f t="shared" si="933"/>
        <v>283.37540000000001</v>
      </c>
      <c r="Z98" s="177">
        <f>+Z10</f>
        <v>365.79480000000001</v>
      </c>
      <c r="AA98" s="177">
        <f>+AA10</f>
        <v>440.91289999999998</v>
      </c>
      <c r="AB98" s="178">
        <f t="shared" ref="AA98:AE98" si="934">+AB10</f>
        <v>512.4224392746795</v>
      </c>
      <c r="AC98" s="178">
        <f t="shared" si="934"/>
        <v>587.93769570335598</v>
      </c>
      <c r="AD98" s="178">
        <f t="shared" si="934"/>
        <v>672.86386980102475</v>
      </c>
      <c r="AE98" s="178">
        <f t="shared" si="934"/>
        <v>769.75108757247187</v>
      </c>
      <c r="AL98" s="177">
        <f t="shared" ref="AL98:BQ98" si="935">+SUM(AI8:AL8)</f>
        <v>105.27900000000001</v>
      </c>
      <c r="AM98" s="177">
        <f t="shared" si="935"/>
        <v>106.53100000000001</v>
      </c>
      <c r="AN98" s="177">
        <f t="shared" si="935"/>
        <v>114.17099999999999</v>
      </c>
      <c r="AO98" s="177">
        <f t="shared" si="935"/>
        <v>124.89100000000001</v>
      </c>
      <c r="AP98" s="177">
        <f t="shared" si="935"/>
        <v>133.619</v>
      </c>
      <c r="AQ98" s="177">
        <f t="shared" si="935"/>
        <v>136.43</v>
      </c>
      <c r="AR98" s="177">
        <f t="shared" si="935"/>
        <v>135.29</v>
      </c>
      <c r="AS98" s="177">
        <f t="shared" si="935"/>
        <v>127.96</v>
      </c>
      <c r="AT98" s="177">
        <f t="shared" si="935"/>
        <v>119.00999999999999</v>
      </c>
      <c r="AU98" s="177">
        <f t="shared" si="935"/>
        <v>123.33</v>
      </c>
      <c r="AV98" s="177">
        <f t="shared" si="935"/>
        <v>130.88999999999999</v>
      </c>
      <c r="AW98" s="177">
        <f t="shared" si="935"/>
        <v>139.22</v>
      </c>
      <c r="AX98" s="177">
        <f t="shared" si="935"/>
        <v>153.03</v>
      </c>
      <c r="AY98" s="177">
        <f t="shared" si="935"/>
        <v>164.54</v>
      </c>
      <c r="AZ98" s="177">
        <f t="shared" si="935"/>
        <v>163.09</v>
      </c>
      <c r="BA98" s="177">
        <f t="shared" si="935"/>
        <v>169.83999999999997</v>
      </c>
      <c r="BB98" s="177">
        <f t="shared" si="935"/>
        <v>177.34999999999997</v>
      </c>
      <c r="BC98" s="177">
        <f t="shared" si="935"/>
        <v>178.49</v>
      </c>
      <c r="BD98" s="177">
        <f t="shared" si="935"/>
        <v>180.96</v>
      </c>
      <c r="BE98" s="177">
        <f t="shared" si="935"/>
        <v>183.54999999999998</v>
      </c>
      <c r="BF98" s="177">
        <f t="shared" si="935"/>
        <v>185.26</v>
      </c>
      <c r="BG98" s="177">
        <f t="shared" si="935"/>
        <v>186.99999999999997</v>
      </c>
      <c r="BH98" s="177">
        <f t="shared" si="935"/>
        <v>198.80999999999997</v>
      </c>
      <c r="BI98" s="177">
        <f t="shared" si="935"/>
        <v>192.35999999999999</v>
      </c>
      <c r="BJ98" s="177">
        <f t="shared" si="935"/>
        <v>189.69</v>
      </c>
      <c r="BK98" s="177">
        <f t="shared" si="935"/>
        <v>187.8</v>
      </c>
      <c r="BL98" s="177">
        <f t="shared" si="935"/>
        <v>181.29000000000002</v>
      </c>
      <c r="BM98" s="177">
        <f t="shared" si="935"/>
        <v>184.28000000000003</v>
      </c>
      <c r="BN98" s="177">
        <f t="shared" si="935"/>
        <v>181.08</v>
      </c>
      <c r="BO98" s="177">
        <f t="shared" si="935"/>
        <v>172.39000000000001</v>
      </c>
      <c r="BP98" s="177">
        <f t="shared" si="935"/>
        <v>179.54000000000002</v>
      </c>
      <c r="BQ98" s="177">
        <f t="shared" si="935"/>
        <v>191.73999999999998</v>
      </c>
      <c r="BR98" s="177">
        <f t="shared" ref="BR98:CW98" si="936">+SUM(BO8:BR8)</f>
        <v>198.64999999999998</v>
      </c>
      <c r="BS98" s="177">
        <f t="shared" si="936"/>
        <v>220.37</v>
      </c>
      <c r="BT98" s="177">
        <f t="shared" si="936"/>
        <v>224.95</v>
      </c>
      <c r="BU98" s="177">
        <f t="shared" si="936"/>
        <v>228.97</v>
      </c>
      <c r="BV98" s="177">
        <f t="shared" si="936"/>
        <v>244.01</v>
      </c>
      <c r="BW98" s="177">
        <f t="shared" si="936"/>
        <v>246.07999999999998</v>
      </c>
      <c r="BX98" s="177">
        <f t="shared" si="936"/>
        <v>251.79</v>
      </c>
      <c r="BY98" s="177">
        <f t="shared" si="936"/>
        <v>245.04000000000002</v>
      </c>
      <c r="BZ98" s="177">
        <f t="shared" si="936"/>
        <v>244.76</v>
      </c>
      <c r="CA98" s="177">
        <f t="shared" si="936"/>
        <v>248.75</v>
      </c>
      <c r="CB98" s="177">
        <f t="shared" si="936"/>
        <v>250.36</v>
      </c>
      <c r="CC98" s="177">
        <f t="shared" si="936"/>
        <v>264.31</v>
      </c>
      <c r="CD98" s="177">
        <f t="shared" si="936"/>
        <v>283.38</v>
      </c>
      <c r="CE98" s="177">
        <f t="shared" si="936"/>
        <v>294.66000000000003</v>
      </c>
      <c r="CF98" s="177">
        <f t="shared" si="936"/>
        <v>321.59000000000003</v>
      </c>
      <c r="CG98" s="177">
        <f t="shared" si="936"/>
        <v>341.01</v>
      </c>
      <c r="CH98" s="177">
        <f t="shared" si="936"/>
        <v>365.79</v>
      </c>
      <c r="CI98" s="177">
        <f t="shared" si="936"/>
        <v>401.71</v>
      </c>
      <c r="CJ98" s="177">
        <f t="shared" si="936"/>
        <v>431.20000000000005</v>
      </c>
      <c r="CK98" s="177">
        <f t="shared" si="936"/>
        <v>441.55</v>
      </c>
      <c r="CL98" s="177">
        <f t="shared" si="936"/>
        <v>440.91</v>
      </c>
      <c r="CM98" s="178">
        <f t="shared" si="936"/>
        <v>466.38145921195462</v>
      </c>
      <c r="CN98" s="178">
        <f t="shared" si="936"/>
        <v>486.503938684677</v>
      </c>
      <c r="CO98" s="178">
        <f t="shared" si="936"/>
        <v>498.48297107274976</v>
      </c>
      <c r="CP98" s="178">
        <f t="shared" si="936"/>
        <v>512.4224392746795</v>
      </c>
      <c r="CQ98" s="178">
        <f t="shared" si="936"/>
        <v>534.76467888179877</v>
      </c>
      <c r="CR98" s="178">
        <f t="shared" si="936"/>
        <v>555.35851546769868</v>
      </c>
      <c r="CS98" s="178">
        <f t="shared" si="936"/>
        <v>570.27858093495718</v>
      </c>
      <c r="CT98" s="178">
        <f t="shared" si="936"/>
        <v>587.93769570335598</v>
      </c>
      <c r="CU98" s="178">
        <f t="shared" si="936"/>
        <v>611.67461429881087</v>
      </c>
      <c r="CV98" s="178">
        <f t="shared" si="936"/>
        <v>635.06870029015613</v>
      </c>
      <c r="CW98" s="178">
        <f t="shared" si="936"/>
        <v>652.512919240065</v>
      </c>
      <c r="CX98" s="178">
        <f t="shared" ref="CX98:DB98" si="937">+SUM(CU8:CX8)</f>
        <v>672.86386980102475</v>
      </c>
      <c r="CY98" s="178">
        <f t="shared" si="937"/>
        <v>699.6322033026288</v>
      </c>
      <c r="CZ98" s="178">
        <f t="shared" si="937"/>
        <v>726.44245064456641</v>
      </c>
      <c r="DA98" s="178">
        <f t="shared" si="937"/>
        <v>746.47822532864416</v>
      </c>
      <c r="DB98" s="178">
        <f t="shared" si="937"/>
        <v>769.75108757247187</v>
      </c>
      <c r="DE98" s="179"/>
      <c r="DF98" s="177">
        <v>474.37279322381477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143.23673469387757</v>
      </c>
      <c r="AM99" s="163">
        <f t="shared" si="940"/>
        <v>144.94013605442177</v>
      </c>
      <c r="AN99" s="163">
        <f t="shared" si="940"/>
        <v>155.33469387755102</v>
      </c>
      <c r="AO99" s="163">
        <f t="shared" si="940"/>
        <v>169.91972789115647</v>
      </c>
      <c r="AP99" s="163">
        <f t="shared" si="940"/>
        <v>181.79455782312925</v>
      </c>
      <c r="AQ99" s="163">
        <f t="shared" si="940"/>
        <v>185.61904761904762</v>
      </c>
      <c r="AR99" s="163">
        <f t="shared" si="940"/>
        <v>184.06802721088434</v>
      </c>
      <c r="AS99" s="163">
        <f t="shared" si="940"/>
        <v>174.0952380952381</v>
      </c>
      <c r="AT99" s="163">
        <f t="shared" si="940"/>
        <v>161.91836734693877</v>
      </c>
      <c r="AU99" s="163">
        <f t="shared" si="940"/>
        <v>167.79591836734693</v>
      </c>
      <c r="AV99" s="163">
        <f t="shared" si="940"/>
        <v>178.08163265306121</v>
      </c>
      <c r="AW99" s="163">
        <f t="shared" si="940"/>
        <v>189.41496598639455</v>
      </c>
      <c r="AX99" s="163">
        <f t="shared" si="940"/>
        <v>208.20408163265307</v>
      </c>
      <c r="AY99" s="163">
        <f t="shared" si="940"/>
        <v>223.8639455782313</v>
      </c>
      <c r="AZ99" s="163">
        <f t="shared" si="940"/>
        <v>221.89115646258503</v>
      </c>
      <c r="BA99" s="163">
        <f t="shared" si="940"/>
        <v>231.07482993197277</v>
      </c>
      <c r="BB99" s="163">
        <f t="shared" si="940"/>
        <v>241.29251700680268</v>
      </c>
      <c r="BC99" s="163">
        <f t="shared" si="940"/>
        <v>242.84353741496599</v>
      </c>
      <c r="BD99" s="163">
        <f t="shared" si="940"/>
        <v>246.20408163265307</v>
      </c>
      <c r="BE99" s="163">
        <f t="shared" si="940"/>
        <v>249.72789115646256</v>
      </c>
      <c r="BF99" s="163">
        <f t="shared" si="940"/>
        <v>252.05442176870747</v>
      </c>
      <c r="BG99" s="163">
        <f t="shared" si="940"/>
        <v>254.42176870748295</v>
      </c>
      <c r="BH99" s="163">
        <f t="shared" si="940"/>
        <v>270.48979591836729</v>
      </c>
      <c r="BI99" s="163">
        <f t="shared" si="940"/>
        <v>261.71428571428572</v>
      </c>
      <c r="BJ99" s="163">
        <f t="shared" si="940"/>
        <v>258.08163265306121</v>
      </c>
      <c r="BK99" s="163">
        <f t="shared" si="940"/>
        <v>255.51020408163268</v>
      </c>
      <c r="BL99" s="163">
        <f t="shared" si="940"/>
        <v>246.65306122448982</v>
      </c>
      <c r="BM99" s="163">
        <f t="shared" si="940"/>
        <v>250.72108843537418</v>
      </c>
      <c r="BN99" s="163">
        <f t="shared" si="940"/>
        <v>246.36734693877554</v>
      </c>
      <c r="BO99" s="163">
        <f t="shared" si="940"/>
        <v>234.54421768707485</v>
      </c>
      <c r="BP99" s="163">
        <f t="shared" si="940"/>
        <v>244.27210884353744</v>
      </c>
      <c r="BQ99" s="163">
        <f t="shared" si="940"/>
        <v>260.8707482993197</v>
      </c>
      <c r="BR99" s="163">
        <f t="shared" ref="BR99:CW99" si="941">+BR98/BR65</f>
        <v>270.27210884353741</v>
      </c>
      <c r="BS99" s="163">
        <f t="shared" si="941"/>
        <v>299.82312925170066</v>
      </c>
      <c r="BT99" s="163">
        <f t="shared" si="941"/>
        <v>306.05442176870747</v>
      </c>
      <c r="BU99" s="163">
        <f t="shared" si="941"/>
        <v>311.52380952380952</v>
      </c>
      <c r="BV99" s="163">
        <f t="shared" si="941"/>
        <v>331.98639455782313</v>
      </c>
      <c r="BW99" s="163">
        <f t="shared" si="941"/>
        <v>334.80272108843536</v>
      </c>
      <c r="BX99" s="163">
        <f t="shared" si="941"/>
        <v>342.57142857142856</v>
      </c>
      <c r="BY99" s="163">
        <f t="shared" si="941"/>
        <v>333.38775510204084</v>
      </c>
      <c r="BZ99" s="163">
        <f t="shared" si="941"/>
        <v>333.00680272108843</v>
      </c>
      <c r="CA99" s="163">
        <f t="shared" si="941"/>
        <v>338.43537414965988</v>
      </c>
      <c r="CB99" s="163">
        <f t="shared" si="941"/>
        <v>340.62585034013608</v>
      </c>
      <c r="CC99" s="163">
        <f t="shared" si="941"/>
        <v>359.60544217687078</v>
      </c>
      <c r="CD99" s="163">
        <f t="shared" si="941"/>
        <v>385.55102040816325</v>
      </c>
      <c r="CE99" s="163">
        <f t="shared" si="941"/>
        <v>400.89795918367349</v>
      </c>
      <c r="CF99" s="163">
        <f t="shared" si="941"/>
        <v>437.53741496598644</v>
      </c>
      <c r="CG99" s="163">
        <f t="shared" si="941"/>
        <v>463.9591836734694</v>
      </c>
      <c r="CH99" s="163">
        <f t="shared" si="941"/>
        <v>497.67346938775512</v>
      </c>
      <c r="CI99" s="163">
        <f t="shared" si="941"/>
        <v>546.54421768707482</v>
      </c>
      <c r="CJ99" s="163">
        <f t="shared" si="941"/>
        <v>586.66666666666674</v>
      </c>
      <c r="CK99" s="163">
        <f t="shared" ref="CK99:CL99" si="942">+CK98/CK65</f>
        <v>502.33219567690566</v>
      </c>
      <c r="CL99" s="163">
        <f t="shared" si="942"/>
        <v>501.60409556314005</v>
      </c>
      <c r="CM99" s="50">
        <f t="shared" si="941"/>
        <v>530.58186486001671</v>
      </c>
      <c r="CN99" s="50">
        <f t="shared" si="941"/>
        <v>553.47433297460418</v>
      </c>
      <c r="CO99" s="50">
        <f t="shared" si="941"/>
        <v>567.10235616922614</v>
      </c>
      <c r="CP99" s="50">
        <f t="shared" si="941"/>
        <v>582.96068176869119</v>
      </c>
      <c r="CQ99" s="50">
        <f t="shared" si="941"/>
        <v>608.37847426825806</v>
      </c>
      <c r="CR99" s="50">
        <f t="shared" si="941"/>
        <v>631.80718483242174</v>
      </c>
      <c r="CS99" s="50">
        <f t="shared" si="941"/>
        <v>648.78109321383079</v>
      </c>
      <c r="CT99" s="50">
        <f t="shared" si="941"/>
        <v>668.87109863863031</v>
      </c>
      <c r="CU99" s="50">
        <f t="shared" si="941"/>
        <v>695.87555665393734</v>
      </c>
      <c r="CV99" s="50">
        <f t="shared" si="941"/>
        <v>722.48998895353384</v>
      </c>
      <c r="CW99" s="50">
        <f t="shared" si="941"/>
        <v>742.33551676912975</v>
      </c>
      <c r="CX99" s="50">
        <f t="shared" ref="CX99:DB99" si="943">+CX98/CX65</f>
        <v>765.48790648580757</v>
      </c>
      <c r="CY99" s="50">
        <f t="shared" si="943"/>
        <v>795.94107315429903</v>
      </c>
      <c r="CZ99" s="50">
        <f t="shared" si="943"/>
        <v>826.44192337265815</v>
      </c>
      <c r="DA99" s="50">
        <f t="shared" si="943"/>
        <v>849.23575122712657</v>
      </c>
      <c r="DB99" s="50">
        <f t="shared" si="943"/>
        <v>875.71227255116264</v>
      </c>
      <c r="DE99" s="164"/>
      <c r="DF99" s="163">
        <v>539.67325736497708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0.35402163657808217</v>
      </c>
      <c r="AM102" s="163">
        <f t="shared" si="946"/>
        <v>0.33863006882304053</v>
      </c>
      <c r="AN102" s="163">
        <f t="shared" si="946"/>
        <v>0.26103242285816813</v>
      </c>
      <c r="AO102" s="163">
        <f t="shared" si="946"/>
        <v>0.54750613159262529</v>
      </c>
      <c r="AP102" s="163">
        <f t="shared" si="946"/>
        <v>0.86692412179074974</v>
      </c>
      <c r="AQ102" s="163">
        <f t="shared" si="946"/>
        <v>0.86341238517550745</v>
      </c>
      <c r="AR102" s="163">
        <f t="shared" si="946"/>
        <v>1.3123293719181512</v>
      </c>
      <c r="AS102" s="163">
        <f t="shared" si="946"/>
        <v>1.3444369105937717</v>
      </c>
      <c r="AT102" s="163">
        <f t="shared" si="946"/>
        <v>1.9204862015202258</v>
      </c>
      <c r="AU102" s="163">
        <f t="shared" si="946"/>
        <v>2.0190170983903153</v>
      </c>
      <c r="AV102" s="163">
        <f t="shared" si="946"/>
        <v>2.7311709793310923</v>
      </c>
      <c r="AW102" s="163">
        <f t="shared" si="946"/>
        <v>2.4870251897331022</v>
      </c>
      <c r="AX102" s="163">
        <f t="shared" si="946"/>
        <v>1.553721859599251</v>
      </c>
      <c r="AY102" s="163">
        <f t="shared" si="946"/>
        <v>1.4203561304094399</v>
      </c>
      <c r="AZ102" s="163">
        <f t="shared" si="946"/>
        <v>1.5481387157597222</v>
      </c>
      <c r="BA102" s="163">
        <f t="shared" si="946"/>
        <v>1.3397426885521411</v>
      </c>
      <c r="BB102" s="163">
        <f t="shared" si="946"/>
        <v>1.1448149075006218</v>
      </c>
      <c r="BC102" s="163">
        <f t="shared" si="946"/>
        <v>1.2715659373385975</v>
      </c>
      <c r="BD102" s="163">
        <f t="shared" si="946"/>
        <v>1.0135858375697144</v>
      </c>
      <c r="BE102" s="163">
        <f t="shared" si="946"/>
        <v>1.4097423604734447</v>
      </c>
      <c r="BF102" s="163">
        <f t="shared" si="946"/>
        <v>1.1096342188993895</v>
      </c>
      <c r="BG102" s="163">
        <f t="shared" si="946"/>
        <v>1.0081848777647295</v>
      </c>
      <c r="BH102" s="163">
        <f t="shared" si="946"/>
        <v>0.82027536292356218</v>
      </c>
      <c r="BI102" s="163">
        <f t="shared" si="946"/>
        <v>0.6804102938327139</v>
      </c>
      <c r="BJ102" s="163">
        <f t="shared" si="946"/>
        <v>0.61831287574401206</v>
      </c>
      <c r="BK102" s="163">
        <f t="shared" si="946"/>
        <v>0.56777710808310355</v>
      </c>
      <c r="BL102" s="163">
        <f t="shared" si="946"/>
        <v>0.4939711057832869</v>
      </c>
      <c r="BM102" s="163">
        <f t="shared" si="946"/>
        <v>0.46175682992570211</v>
      </c>
      <c r="BN102" s="163">
        <f t="shared" si="946"/>
        <v>0.27149863195247081</v>
      </c>
      <c r="BO102" s="163">
        <f t="shared" si="946"/>
        <v>0.41599935711165204</v>
      </c>
      <c r="BP102" s="163">
        <f t="shared" si="946"/>
        <v>0.51009441353405471</v>
      </c>
      <c r="BQ102" s="163">
        <f t="shared" si="946"/>
        <v>0.81062352341388766</v>
      </c>
      <c r="BR102" s="163">
        <f t="shared" ref="BR102:DB102" si="947">+BR77/BR99</f>
        <v>0.70869156385157639</v>
      </c>
      <c r="BS102" s="163">
        <f t="shared" si="947"/>
        <v>1.0029307072525371</v>
      </c>
      <c r="BT102" s="163">
        <f t="shared" si="947"/>
        <v>1.1025848855501641</v>
      </c>
      <c r="BU102" s="163">
        <f t="shared" si="947"/>
        <v>1.6067100791881688</v>
      </c>
      <c r="BV102" s="163">
        <f t="shared" si="947"/>
        <v>1.8394647154419981</v>
      </c>
      <c r="BW102" s="163">
        <f t="shared" si="947"/>
        <v>1.3559121294379426</v>
      </c>
      <c r="BX102" s="163">
        <f t="shared" si="947"/>
        <v>1.5355363453995021</v>
      </c>
      <c r="BY102" s="163">
        <f t="shared" si="947"/>
        <v>1.6106819360244611</v>
      </c>
      <c r="BZ102" s="163">
        <f t="shared" si="947"/>
        <v>1.6876255613142634</v>
      </c>
      <c r="CA102" s="163">
        <f t="shared" si="947"/>
        <v>2.0839660769125419</v>
      </c>
      <c r="CB102" s="163">
        <f t="shared" si="947"/>
        <v>2.3481749567412131</v>
      </c>
      <c r="CC102" s="163">
        <f t="shared" si="947"/>
        <v>2.2767775866428588</v>
      </c>
      <c r="CD102" s="163">
        <f t="shared" si="947"/>
        <v>2.0854359231655972</v>
      </c>
      <c r="CE102" s="163">
        <f t="shared" si="947"/>
        <v>2.5238600262733035</v>
      </c>
      <c r="CF102" s="163">
        <f t="shared" si="947"/>
        <v>2.0747440716017427</v>
      </c>
      <c r="CG102" s="163">
        <f t="shared" si="947"/>
        <v>1.8798281609397722</v>
      </c>
      <c r="CH102" s="163">
        <f t="shared" si="947"/>
        <v>1.3508608174317001</v>
      </c>
      <c r="CI102" s="163">
        <f t="shared" si="947"/>
        <v>1.37763496302133</v>
      </c>
      <c r="CJ102" s="163">
        <f t="shared" si="947"/>
        <v>1.5553977272727271</v>
      </c>
      <c r="CK102" s="163">
        <f t="shared" ref="CK102:CL102" si="948">+CK77/CK99</f>
        <v>1.7899509681802737</v>
      </c>
      <c r="CL102" s="163">
        <f t="shared" si="948"/>
        <v>1.4535367762128322</v>
      </c>
      <c r="CM102" s="50">
        <f t="shared" si="947"/>
        <v>1.374151753551468</v>
      </c>
      <c r="CN102" s="50">
        <f t="shared" si="947"/>
        <v>1.3173149260264871</v>
      </c>
      <c r="CO102" s="50">
        <f t="shared" si="947"/>
        <v>1.2856585624596364</v>
      </c>
      <c r="CP102" s="50">
        <f t="shared" si="947"/>
        <v>1.2506846907546578</v>
      </c>
      <c r="CQ102" s="50">
        <f t="shared" si="947"/>
        <v>1.1984316191938624</v>
      </c>
      <c r="CR102" s="50">
        <f t="shared" si="947"/>
        <v>1.1539913085878943</v>
      </c>
      <c r="CS102" s="50">
        <f t="shared" si="947"/>
        <v>1.1237997032069753</v>
      </c>
      <c r="CT102" s="50">
        <f t="shared" si="947"/>
        <v>1.0900456029329941</v>
      </c>
      <c r="CU102" s="50">
        <f t="shared" si="947"/>
        <v>1.0477448058469243</v>
      </c>
      <c r="CV102" s="50">
        <f t="shared" si="947"/>
        <v>1.0091489309852448</v>
      </c>
      <c r="CW102" s="50">
        <f t="shared" si="947"/>
        <v>0.9821704384740545</v>
      </c>
      <c r="CX102" s="50">
        <f t="shared" si="947"/>
        <v>0.95246442670419618</v>
      </c>
      <c r="CY102" s="50">
        <f t="shared" si="947"/>
        <v>0.91602258583112295</v>
      </c>
      <c r="CZ102" s="50">
        <f t="shared" si="947"/>
        <v>0.88221565167530247</v>
      </c>
      <c r="DA102" s="50">
        <f t="shared" si="947"/>
        <v>0.85853663007765146</v>
      </c>
      <c r="DB102" s="50">
        <f t="shared" si="947"/>
        <v>0.83257940176623835</v>
      </c>
      <c r="DE102" s="106"/>
      <c r="DF102" s="163">
        <v>1.3510026484542201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0.49590579442844174</v>
      </c>
      <c r="AM103" s="163">
        <f t="shared" si="950"/>
        <v>0.3879781693047904</v>
      </c>
      <c r="AN103" s="163">
        <f t="shared" si="950"/>
        <v>0.32359128819035643</v>
      </c>
      <c r="AO103" s="163">
        <f t="shared" si="950"/>
        <v>0.54750613159262529</v>
      </c>
      <c r="AP103" s="163">
        <f t="shared" si="950"/>
        <v>0.86692412179074974</v>
      </c>
      <c r="AQ103" s="163">
        <f t="shared" si="950"/>
        <v>1.0627227233970016</v>
      </c>
      <c r="AR103" s="163">
        <f t="shared" si="950"/>
        <v>1.5971989088487204</v>
      </c>
      <c r="AS103" s="163">
        <f t="shared" si="950"/>
        <v>1.5186895344115092</v>
      </c>
      <c r="AT103" s="163">
        <f t="shared" si="950"/>
        <v>2.2662590185769282</v>
      </c>
      <c r="AU103" s="163">
        <f t="shared" si="950"/>
        <v>2.4987835376117764</v>
      </c>
      <c r="AV103" s="163">
        <f t="shared" si="950"/>
        <v>3.6452545728191814</v>
      </c>
      <c r="AW103" s="163">
        <f t="shared" si="950"/>
        <v>2.9370335172575839</v>
      </c>
      <c r="AX103" s="163">
        <f t="shared" si="950"/>
        <v>2.3213429064277959</v>
      </c>
      <c r="AY103" s="163">
        <f t="shared" si="950"/>
        <v>1.6614156412173675</v>
      </c>
      <c r="AZ103" s="163">
        <f t="shared" si="950"/>
        <v>2.169706184063025</v>
      </c>
      <c r="BA103" s="163">
        <f t="shared" si="950"/>
        <v>1.5796838583948132</v>
      </c>
      <c r="BB103" s="163">
        <f t="shared" si="950"/>
        <v>1.3615120149918121</v>
      </c>
      <c r="BC103" s="163">
        <f t="shared" si="950"/>
        <v>1.6371919257107181</v>
      </c>
      <c r="BD103" s="163">
        <f t="shared" si="950"/>
        <v>1.3624004142071642</v>
      </c>
      <c r="BE103" s="163">
        <f t="shared" si="950"/>
        <v>1.5760591697096291</v>
      </c>
      <c r="BF103" s="163">
        <f t="shared" si="950"/>
        <v>1.6435111411493937</v>
      </c>
      <c r="BG103" s="163">
        <f t="shared" si="950"/>
        <v>1.2485981947701625</v>
      </c>
      <c r="BH103" s="163">
        <f t="shared" si="950"/>
        <v>1.0905394998405769</v>
      </c>
      <c r="BI103" s="163">
        <f t="shared" si="950"/>
        <v>0.93862694273875491</v>
      </c>
      <c r="BJ103" s="163">
        <f t="shared" si="950"/>
        <v>0.7263026052016206</v>
      </c>
      <c r="BK103" s="163">
        <f t="shared" si="950"/>
        <v>0.71392034875597288</v>
      </c>
      <c r="BL103" s="163">
        <f t="shared" si="950"/>
        <v>0.60796443788712262</v>
      </c>
      <c r="BM103" s="163">
        <f t="shared" si="950"/>
        <v>0.55088160366083117</v>
      </c>
      <c r="BN103" s="163">
        <f t="shared" si="950"/>
        <v>0.61267390396353794</v>
      </c>
      <c r="BO103" s="163">
        <f t="shared" si="950"/>
        <v>0.46983951657605394</v>
      </c>
      <c r="BP103" s="163">
        <f t="shared" si="950"/>
        <v>0.69870414522083668</v>
      </c>
      <c r="BQ103" s="163">
        <f t="shared" si="950"/>
        <v>0.91159692241156176</v>
      </c>
      <c r="BR103" s="163">
        <f t="shared" ref="BR103:CJ103" si="951">+BR78/BR99</f>
        <v>0.92898276075316022</v>
      </c>
      <c r="BS103" s="163">
        <f t="shared" si="951"/>
        <v>1.0361643035230439</v>
      </c>
      <c r="BT103" s="163">
        <f t="shared" si="951"/>
        <v>1.3377363762704839</v>
      </c>
      <c r="BU103" s="163">
        <f t="shared" si="951"/>
        <v>1.6466126060390029</v>
      </c>
      <c r="BV103" s="163">
        <f t="shared" si="951"/>
        <v>2.0771984428012238</v>
      </c>
      <c r="BW103" s="163">
        <f t="shared" si="951"/>
        <v>2.2049962978559465</v>
      </c>
      <c r="BX103" s="163">
        <f t="shared" si="951"/>
        <v>1.6641216751483559</v>
      </c>
      <c r="BY103" s="163">
        <f t="shared" si="951"/>
        <v>1.8879571471313734</v>
      </c>
      <c r="BZ103" s="163">
        <f t="shared" si="951"/>
        <v>1.8776741521302223</v>
      </c>
      <c r="CA103" s="163">
        <f t="shared" si="951"/>
        <v>2.2649904067156905</v>
      </c>
      <c r="CB103" s="163">
        <f t="shared" si="951"/>
        <v>3.0121516558875916</v>
      </c>
      <c r="CC103" s="163">
        <f t="shared" si="951"/>
        <v>2.4279409135786612</v>
      </c>
      <c r="CD103" s="163">
        <f t="shared" si="951"/>
        <v>2.6816403036534386</v>
      </c>
      <c r="CE103" s="163">
        <f t="shared" si="951"/>
        <v>2.6489948569441326</v>
      </c>
      <c r="CF103" s="163">
        <f t="shared" si="951"/>
        <v>2.5366375922968554</v>
      </c>
      <c r="CG103" s="163">
        <f t="shared" si="951"/>
        <v>2.2945790039818035</v>
      </c>
      <c r="CH103" s="163">
        <f t="shared" si="951"/>
        <v>1.8574460135497854</v>
      </c>
      <c r="CI103" s="163">
        <f t="shared" si="951"/>
        <v>1.5794426004240876</v>
      </c>
      <c r="CJ103" s="163">
        <f t="shared" si="951"/>
        <v>1.9389159918628804</v>
      </c>
      <c r="CK103" s="163">
        <f t="shared" ref="CK103:CL103" si="952">+CK78/CK99</f>
        <v>2.4166279017098855</v>
      </c>
      <c r="CL103" s="163">
        <f t="shared" si="952"/>
        <v>1.8440838266312849</v>
      </c>
      <c r="CM103" s="94">
        <f t="shared" ref="CM103:DB103" si="953">+CL103</f>
        <v>1.8440838266312849</v>
      </c>
      <c r="CN103" s="94">
        <f t="shared" si="953"/>
        <v>1.8440838266312849</v>
      </c>
      <c r="CO103" s="94">
        <f t="shared" si="953"/>
        <v>1.8440838266312849</v>
      </c>
      <c r="CP103" s="94">
        <f t="shared" si="953"/>
        <v>1.8440838266312849</v>
      </c>
      <c r="CQ103" s="94">
        <f t="shared" si="953"/>
        <v>1.8440838266312849</v>
      </c>
      <c r="CR103" s="94">
        <f t="shared" si="953"/>
        <v>1.8440838266312849</v>
      </c>
      <c r="CS103" s="94">
        <f t="shared" si="953"/>
        <v>1.8440838266312849</v>
      </c>
      <c r="CT103" s="94">
        <f t="shared" si="953"/>
        <v>1.8440838266312849</v>
      </c>
      <c r="CU103" s="94">
        <f t="shared" si="953"/>
        <v>1.8440838266312849</v>
      </c>
      <c r="CV103" s="94">
        <f t="shared" si="953"/>
        <v>1.8440838266312849</v>
      </c>
      <c r="CW103" s="94">
        <f t="shared" si="953"/>
        <v>1.8440838266312849</v>
      </c>
      <c r="CX103" s="94">
        <f t="shared" si="953"/>
        <v>1.8440838266312849</v>
      </c>
      <c r="CY103" s="94">
        <f t="shared" si="953"/>
        <v>1.8440838266312849</v>
      </c>
      <c r="CZ103" s="94">
        <f t="shared" si="953"/>
        <v>1.8440838266312849</v>
      </c>
      <c r="DA103" s="94">
        <f t="shared" si="953"/>
        <v>1.8440838266312849</v>
      </c>
      <c r="DB103" s="94">
        <f t="shared" si="953"/>
        <v>1.8440838266312849</v>
      </c>
      <c r="DE103" s="164"/>
      <c r="DF103" s="163">
        <v>1.7140000683310295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0.33749144343046705</v>
      </c>
      <c r="AM104" s="163">
        <f t="shared" si="954"/>
        <v>0.27294604542319456</v>
      </c>
      <c r="AN104" s="163">
        <f t="shared" si="954"/>
        <v>0.25753928824571037</v>
      </c>
      <c r="AO104" s="163">
        <f t="shared" si="954"/>
        <v>0.23194984047853021</v>
      </c>
      <c r="AP104" s="163">
        <f t="shared" si="954"/>
        <v>0.45639010104915273</v>
      </c>
      <c r="AQ104" s="163">
        <f t="shared" si="954"/>
        <v>0.76614894012342027</v>
      </c>
      <c r="AR104" s="163">
        <f t="shared" si="954"/>
        <v>0.84898089651555964</v>
      </c>
      <c r="AS104" s="163">
        <f t="shared" si="954"/>
        <v>1.0486324565031711</v>
      </c>
      <c r="AT104" s="163">
        <f t="shared" si="954"/>
        <v>1.4135558336062559</v>
      </c>
      <c r="AU104" s="163">
        <f t="shared" si="954"/>
        <v>1.8808490674870759</v>
      </c>
      <c r="AV104" s="163">
        <f t="shared" si="954"/>
        <v>1.8951999838319791</v>
      </c>
      <c r="AW104" s="163">
        <f t="shared" si="954"/>
        <v>2.0364960192369459</v>
      </c>
      <c r="AX104" s="163">
        <f t="shared" si="954"/>
        <v>1.3575520365208478</v>
      </c>
      <c r="AY104" s="163">
        <f t="shared" si="954"/>
        <v>1.322081412109311</v>
      </c>
      <c r="AZ104" s="163">
        <f t="shared" si="954"/>
        <v>1.3960814381061255</v>
      </c>
      <c r="BA104" s="163">
        <f t="shared" si="954"/>
        <v>1.2014136155467596</v>
      </c>
      <c r="BB104" s="163">
        <f t="shared" si="954"/>
        <v>1.0017130440630435</v>
      </c>
      <c r="BC104" s="163">
        <f t="shared" si="954"/>
        <v>1.1119092557494397</v>
      </c>
      <c r="BD104" s="163">
        <f t="shared" si="954"/>
        <v>0.96169441002858547</v>
      </c>
      <c r="BE104" s="163">
        <f t="shared" si="954"/>
        <v>0.95227237212308824</v>
      </c>
      <c r="BF104" s="163">
        <f t="shared" si="954"/>
        <v>1.034092982833223</v>
      </c>
      <c r="BG104" s="163">
        <f t="shared" si="954"/>
        <v>0.92287692656925213</v>
      </c>
      <c r="BH104" s="163">
        <f t="shared" si="954"/>
        <v>0.80969822396189706</v>
      </c>
      <c r="BI104" s="163">
        <f t="shared" si="954"/>
        <v>0.63385590530731539</v>
      </c>
      <c r="BJ104" s="163">
        <f t="shared" si="954"/>
        <v>0.50497144287965345</v>
      </c>
      <c r="BK104" s="163">
        <f t="shared" si="954"/>
        <v>0.50233119185046848</v>
      </c>
      <c r="BL104" s="163">
        <f t="shared" si="954"/>
        <v>0.46837260313540613</v>
      </c>
      <c r="BM104" s="163">
        <f t="shared" si="954"/>
        <v>0.40922633414804505</v>
      </c>
      <c r="BN104" s="163">
        <f t="shared" si="954"/>
        <v>0.25227748986734005</v>
      </c>
      <c r="BO104" s="163">
        <f t="shared" si="954"/>
        <v>0.29822400828327728</v>
      </c>
      <c r="BP104" s="163">
        <f t="shared" si="954"/>
        <v>0.4008461642379651</v>
      </c>
      <c r="BQ104" s="163">
        <f t="shared" si="954"/>
        <v>0.44246770347294245</v>
      </c>
      <c r="BR104" s="163">
        <f t="shared" ref="BR104:CJ104" si="955">+BR79/BR99</f>
        <v>0.67529198718795636</v>
      </c>
      <c r="BS104" s="163">
        <f t="shared" si="955"/>
        <v>0.63522235247737047</v>
      </c>
      <c r="BT104" s="163">
        <f t="shared" si="955"/>
        <v>0.95446684581612107</v>
      </c>
      <c r="BU104" s="163">
        <f t="shared" si="955"/>
        <v>0.93422582706318791</v>
      </c>
      <c r="BV104" s="163">
        <f t="shared" si="955"/>
        <v>1.2183853527160258</v>
      </c>
      <c r="BW104" s="163">
        <f t="shared" si="955"/>
        <v>1.1138428445670814</v>
      </c>
      <c r="BX104" s="163">
        <f t="shared" si="955"/>
        <v>1.2239365093675696</v>
      </c>
      <c r="BY104" s="163">
        <f t="shared" si="955"/>
        <v>1.4499984358845961</v>
      </c>
      <c r="BZ104" s="163">
        <f t="shared" si="955"/>
        <v>1.3368577802915158</v>
      </c>
      <c r="CA104" s="163">
        <f t="shared" si="955"/>
        <v>1.5190302457394427</v>
      </c>
      <c r="CB104" s="163">
        <f t="shared" si="955"/>
        <v>1.9521059769886853</v>
      </c>
      <c r="CC104" s="163">
        <f t="shared" si="955"/>
        <v>2.0027083241948254</v>
      </c>
      <c r="CD104" s="163">
        <f t="shared" si="955"/>
        <v>1.9267892639799928</v>
      </c>
      <c r="CE104" s="163">
        <f t="shared" si="955"/>
        <v>1.796921403261275</v>
      </c>
      <c r="CF104" s="163">
        <f t="shared" si="955"/>
        <v>2.0180361289828381</v>
      </c>
      <c r="CG104" s="163">
        <f t="shared" si="955"/>
        <v>1.7967929370444078</v>
      </c>
      <c r="CH104" s="163">
        <f t="shared" si="955"/>
        <v>1.1718561482496865</v>
      </c>
      <c r="CI104" s="163">
        <f t="shared" si="955"/>
        <v>1.2675252503060503</v>
      </c>
      <c r="CJ104" s="163">
        <f t="shared" si="955"/>
        <v>1.2381819989667271</v>
      </c>
      <c r="CK104" s="163">
        <f t="shared" ref="CK104:CL104" si="956">+CK79/CK99</f>
        <v>1.7418752123202352</v>
      </c>
      <c r="CL104" s="163">
        <f t="shared" si="956"/>
        <v>1.4374882629107977</v>
      </c>
      <c r="CM104" s="94">
        <f t="shared" ref="CM104:DB104" si="957">+CL104</f>
        <v>1.4374882629107977</v>
      </c>
      <c r="CN104" s="94">
        <f t="shared" si="957"/>
        <v>1.4374882629107977</v>
      </c>
      <c r="CO104" s="94">
        <f t="shared" si="957"/>
        <v>1.4374882629107977</v>
      </c>
      <c r="CP104" s="94">
        <f t="shared" si="957"/>
        <v>1.4374882629107977</v>
      </c>
      <c r="CQ104" s="94">
        <f t="shared" si="957"/>
        <v>1.4374882629107977</v>
      </c>
      <c r="CR104" s="94">
        <f t="shared" si="957"/>
        <v>1.4374882629107977</v>
      </c>
      <c r="CS104" s="94">
        <f t="shared" si="957"/>
        <v>1.4374882629107977</v>
      </c>
      <c r="CT104" s="94">
        <f t="shared" si="957"/>
        <v>1.4374882629107977</v>
      </c>
      <c r="CU104" s="94">
        <f t="shared" si="957"/>
        <v>1.4374882629107977</v>
      </c>
      <c r="CV104" s="94">
        <f t="shared" si="957"/>
        <v>1.4374882629107977</v>
      </c>
      <c r="CW104" s="94">
        <f t="shared" si="957"/>
        <v>1.4374882629107977</v>
      </c>
      <c r="CX104" s="94">
        <f t="shared" si="957"/>
        <v>1.4374882629107977</v>
      </c>
      <c r="CY104" s="94">
        <f t="shared" si="957"/>
        <v>1.4374882629107977</v>
      </c>
      <c r="CZ104" s="94">
        <f t="shared" si="957"/>
        <v>1.4374882629107977</v>
      </c>
      <c r="DA104" s="94">
        <f t="shared" si="957"/>
        <v>1.4374882629107977</v>
      </c>
      <c r="DB104" s="94">
        <f t="shared" si="957"/>
        <v>1.4374882629107977</v>
      </c>
      <c r="DE104" s="164"/>
      <c r="DF104" s="163">
        <v>1.3360862154271229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52.208466131631923</v>
      </c>
      <c r="AM107" s="162">
        <f t="shared" si="960"/>
        <v>41.331702354208623</v>
      </c>
      <c r="AN107" s="162">
        <f t="shared" si="960"/>
        <v>36.944740963981182</v>
      </c>
      <c r="AO107" s="162">
        <f t="shared" si="960"/>
        <v>68.378588280734562</v>
      </c>
      <c r="AP107" s="162">
        <f t="shared" si="960"/>
        <v>115.83753422955819</v>
      </c>
      <c r="AQ107" s="162">
        <f t="shared" si="960"/>
        <v>144.98726115305294</v>
      </c>
      <c r="AR107" s="162">
        <f t="shared" si="960"/>
        <v>216.08504037814333</v>
      </c>
      <c r="AS107" s="162">
        <f t="shared" si="960"/>
        <v>194.33151282329672</v>
      </c>
      <c r="AT107" s="162">
        <f t="shared" si="960"/>
        <v>269.70748580084023</v>
      </c>
      <c r="AU107" s="162">
        <f t="shared" si="960"/>
        <v>308.17497369366038</v>
      </c>
      <c r="AV107" s="162">
        <f t="shared" si="960"/>
        <v>477.12737103630258</v>
      </c>
      <c r="AW107" s="162">
        <f t="shared" si="960"/>
        <v>408.89380627260078</v>
      </c>
      <c r="AX107" s="162">
        <f t="shared" si="960"/>
        <v>355.23510497064564</v>
      </c>
      <c r="AY107" s="162">
        <f t="shared" si="960"/>
        <v>273.36932960590565</v>
      </c>
      <c r="AZ107" s="162">
        <f t="shared" si="960"/>
        <v>353.85738155883877</v>
      </c>
      <c r="BA107" s="162">
        <f t="shared" si="960"/>
        <v>268.29350650977506</v>
      </c>
      <c r="BB107" s="162">
        <f t="shared" si="960"/>
        <v>241.46415585879782</v>
      </c>
      <c r="BC107" s="162">
        <f t="shared" si="960"/>
        <v>292.22238682010607</v>
      </c>
      <c r="BD107" s="162">
        <f t="shared" si="960"/>
        <v>246.53997895492842</v>
      </c>
      <c r="BE107" s="162">
        <f t="shared" si="960"/>
        <v>289.28566060020239</v>
      </c>
      <c r="BF107" s="162">
        <f t="shared" si="960"/>
        <v>304.47687400933665</v>
      </c>
      <c r="BG107" s="162">
        <f t="shared" si="960"/>
        <v>233.48786242202033</v>
      </c>
      <c r="BH107" s="162">
        <f t="shared" si="960"/>
        <v>216.81015796330504</v>
      </c>
      <c r="BI107" s="162">
        <f t="shared" si="960"/>
        <v>180.55427870522689</v>
      </c>
      <c r="BJ107" s="162">
        <f t="shared" si="960"/>
        <v>137.77234118069541</v>
      </c>
      <c r="BK107" s="162">
        <f t="shared" si="960"/>
        <v>134.07424149637171</v>
      </c>
      <c r="BL107" s="162">
        <f t="shared" si="960"/>
        <v>110.21787294455646</v>
      </c>
      <c r="BM107" s="162">
        <f t="shared" si="960"/>
        <v>101.51646192261799</v>
      </c>
      <c r="BN107" s="162">
        <f t="shared" si="960"/>
        <v>110.94299052971748</v>
      </c>
      <c r="BO107" s="162">
        <f t="shared" si="960"/>
        <v>80.995634262545934</v>
      </c>
      <c r="BP107" s="162">
        <f t="shared" si="960"/>
        <v>125.44534223294902</v>
      </c>
      <c r="BQ107" s="162">
        <f t="shared" si="960"/>
        <v>174.78959390319281</v>
      </c>
      <c r="BR107" s="162">
        <f t="shared" ref="BR107:CJ107" si="961">+BR78*BR65</f>
        <v>184.54242542361527</v>
      </c>
      <c r="BS107" s="162">
        <f t="shared" si="961"/>
        <v>228.33952756737318</v>
      </c>
      <c r="BT107" s="162">
        <f t="shared" si="961"/>
        <v>300.9237978420453</v>
      </c>
      <c r="BU107" s="162">
        <f t="shared" si="961"/>
        <v>377.02488840475053</v>
      </c>
      <c r="BV107" s="162">
        <f t="shared" si="961"/>
        <v>506.85719202792666</v>
      </c>
      <c r="BW107" s="162">
        <f t="shared" si="961"/>
        <v>542.60548897639126</v>
      </c>
      <c r="BX107" s="162">
        <f t="shared" si="961"/>
        <v>419.00919658560451</v>
      </c>
      <c r="BY107" s="162">
        <f t="shared" si="961"/>
        <v>462.62501933307175</v>
      </c>
      <c r="BZ107" s="162">
        <f t="shared" si="961"/>
        <v>459.57952547539321</v>
      </c>
      <c r="CA107" s="162">
        <f t="shared" si="961"/>
        <v>563.41636367052797</v>
      </c>
      <c r="CB107" s="162">
        <f t="shared" si="961"/>
        <v>754.12228856801755</v>
      </c>
      <c r="CC107" s="162">
        <f t="shared" si="961"/>
        <v>641.72906286797593</v>
      </c>
      <c r="CD107" s="162">
        <f t="shared" si="961"/>
        <v>759.92322924931148</v>
      </c>
      <c r="CE107" s="162">
        <f t="shared" si="961"/>
        <v>780.55282454715814</v>
      </c>
      <c r="CF107" s="162">
        <f t="shared" si="961"/>
        <v>815.75728330674588</v>
      </c>
      <c r="CG107" s="162">
        <f t="shared" si="961"/>
        <v>782.47438614783482</v>
      </c>
      <c r="CH107" s="162">
        <f t="shared" si="961"/>
        <v>679.43517729637608</v>
      </c>
      <c r="CI107" s="162">
        <f t="shared" si="961"/>
        <v>634.47788701636023</v>
      </c>
      <c r="CJ107" s="162">
        <f t="shared" si="961"/>
        <v>836.06057569127415</v>
      </c>
      <c r="CK107" s="162">
        <f t="shared" ref="CK107:CL107" si="962">+CK78*CK65</f>
        <v>1067.06205</v>
      </c>
      <c r="CL107" s="162">
        <f t="shared" si="962"/>
        <v>813.07499999999993</v>
      </c>
      <c r="CM107" s="21">
        <f t="shared" ref="CM107:DB107" si="963">+CM78*CM65</f>
        <v>852.47459567155795</v>
      </c>
      <c r="CN107" s="21">
        <f t="shared" si="963"/>
        <v>892.65408673853801</v>
      </c>
      <c r="CO107" s="21">
        <f t="shared" si="963"/>
        <v>949.21635452356975</v>
      </c>
      <c r="CP107" s="21">
        <f t="shared" si="963"/>
        <v>910.73097568531512</v>
      </c>
      <c r="CQ107" s="21">
        <f t="shared" si="963"/>
        <v>969.10985986971832</v>
      </c>
      <c r="CR107" s="21">
        <f t="shared" si="963"/>
        <v>1021.9603258307524</v>
      </c>
      <c r="CS107" s="21">
        <f t="shared" si="963"/>
        <v>1058.5275271525056</v>
      </c>
      <c r="CT107" s="21">
        <f t="shared" si="963"/>
        <v>1087.9001128178602</v>
      </c>
      <c r="CU107" s="21">
        <f t="shared" si="963"/>
        <v>1143.5576372777352</v>
      </c>
      <c r="CV107" s="21">
        <f t="shared" si="963"/>
        <v>1196.8765025989853</v>
      </c>
      <c r="CW107" s="21">
        <f t="shared" si="963"/>
        <v>1234.6061716353736</v>
      </c>
      <c r="CX107" s="21">
        <f t="shared" si="963"/>
        <v>1277.1143297541964</v>
      </c>
      <c r="CY107" s="21">
        <f t="shared" si="963"/>
        <v>1336.8828539131225</v>
      </c>
      <c r="CZ107" s="21">
        <f t="shared" si="963"/>
        <v>1396.2427733507848</v>
      </c>
      <c r="DA107" s="21">
        <f t="shared" si="963"/>
        <v>1439.38157175475</v>
      </c>
      <c r="DB107" s="21">
        <f t="shared" si="963"/>
        <v>1489.3420197195287</v>
      </c>
      <c r="DE107" s="22"/>
      <c r="DF107" s="162">
        <v>813.07499999999993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35.530761672916142</v>
      </c>
      <c r="AM108" s="162">
        <f t="shared" si="966"/>
        <v>29.077215164978337</v>
      </c>
      <c r="AN108" s="162">
        <f t="shared" si="966"/>
        <v>29.403518078301001</v>
      </c>
      <c r="AO108" s="162">
        <f t="shared" si="966"/>
        <v>28.968447527204116</v>
      </c>
      <c r="AP108" s="162">
        <f t="shared" si="966"/>
        <v>60.982388912086741</v>
      </c>
      <c r="AQ108" s="162">
        <f t="shared" si="966"/>
        <v>104.52569990103822</v>
      </c>
      <c r="AR108" s="162">
        <f t="shared" si="966"/>
        <v>114.85862548959004</v>
      </c>
      <c r="AS108" s="162">
        <f t="shared" si="966"/>
        <v>134.18300913414578</v>
      </c>
      <c r="AT108" s="162">
        <f t="shared" si="966"/>
        <v>168.22727975748052</v>
      </c>
      <c r="AU108" s="162">
        <f t="shared" si="966"/>
        <v>231.96511549318106</v>
      </c>
      <c r="AV108" s="162">
        <f t="shared" si="966"/>
        <v>248.06272588376771</v>
      </c>
      <c r="AW108" s="162">
        <f t="shared" si="966"/>
        <v>283.52097579816757</v>
      </c>
      <c r="AX108" s="162">
        <f t="shared" si="966"/>
        <v>207.74618814878534</v>
      </c>
      <c r="AY108" s="162">
        <f t="shared" si="966"/>
        <v>217.53527554846602</v>
      </c>
      <c r="AZ108" s="162">
        <f t="shared" si="966"/>
        <v>227.686921740728</v>
      </c>
      <c r="BA108" s="162">
        <f t="shared" si="966"/>
        <v>204.04808846446164</v>
      </c>
      <c r="BB108" s="162">
        <f t="shared" si="966"/>
        <v>177.65380836458073</v>
      </c>
      <c r="BC108" s="162">
        <f t="shared" si="966"/>
        <v>198.46468305871747</v>
      </c>
      <c r="BD108" s="162">
        <f t="shared" si="966"/>
        <v>174.02822043877282</v>
      </c>
      <c r="BE108" s="162">
        <f t="shared" si="966"/>
        <v>174.78959390319281</v>
      </c>
      <c r="BF108" s="162">
        <f t="shared" si="966"/>
        <v>191.5760659996829</v>
      </c>
      <c r="BG108" s="162">
        <f t="shared" si="966"/>
        <v>172.57798526845013</v>
      </c>
      <c r="BH108" s="162">
        <f t="shared" si="966"/>
        <v>160.97610390586473</v>
      </c>
      <c r="BI108" s="162">
        <f t="shared" si="966"/>
        <v>121.9285219449152</v>
      </c>
      <c r="BJ108" s="162">
        <f t="shared" si="966"/>
        <v>95.788032999841448</v>
      </c>
      <c r="BK108" s="162">
        <f t="shared" si="966"/>
        <v>94.337797829517996</v>
      </c>
      <c r="BL108" s="162">
        <f t="shared" si="966"/>
        <v>84.911269222417786</v>
      </c>
      <c r="BM108" s="162">
        <f t="shared" si="966"/>
        <v>75.412228856801761</v>
      </c>
      <c r="BN108" s="162">
        <f t="shared" si="966"/>
        <v>45.682407865177943</v>
      </c>
      <c r="BO108" s="162">
        <f t="shared" si="966"/>
        <v>51.410836787954175</v>
      </c>
      <c r="BP108" s="162">
        <f t="shared" si="966"/>
        <v>71.967920327284261</v>
      </c>
      <c r="BQ108" s="162">
        <f t="shared" si="966"/>
        <v>84.838757463901985</v>
      </c>
      <c r="BR108" s="162">
        <f t="shared" ref="BR108:CJ108" si="967">+BR79*BR65</f>
        <v>134.14675325488753</v>
      </c>
      <c r="BS108" s="162">
        <f t="shared" si="967"/>
        <v>139.98394981543814</v>
      </c>
      <c r="BT108" s="162">
        <f t="shared" si="967"/>
        <v>214.70731696633644</v>
      </c>
      <c r="BU108" s="162">
        <f t="shared" si="967"/>
        <v>213.90968762265814</v>
      </c>
      <c r="BV108" s="162">
        <f t="shared" si="967"/>
        <v>297.29820991623745</v>
      </c>
      <c r="BW108" s="162">
        <f t="shared" si="967"/>
        <v>274.09444719106733</v>
      </c>
      <c r="BX108" s="162">
        <f t="shared" si="967"/>
        <v>308.17497369366038</v>
      </c>
      <c r="BY108" s="162">
        <f t="shared" si="967"/>
        <v>355.30761672916145</v>
      </c>
      <c r="BZ108" s="162">
        <f t="shared" si="967"/>
        <v>327.20931030415142</v>
      </c>
      <c r="CA108" s="162">
        <f t="shared" si="967"/>
        <v>377.85877362768633</v>
      </c>
      <c r="CB108" s="162">
        <f t="shared" si="967"/>
        <v>488.72925239888724</v>
      </c>
      <c r="CC108" s="162">
        <f t="shared" si="967"/>
        <v>529.3358371679343</v>
      </c>
      <c r="CD108" s="162">
        <f t="shared" si="967"/>
        <v>546.01354162665029</v>
      </c>
      <c r="CE108" s="162">
        <f t="shared" si="967"/>
        <v>529.4808606849673</v>
      </c>
      <c r="CF108" s="162">
        <f t="shared" si="967"/>
        <v>648.98023871959094</v>
      </c>
      <c r="CG108" s="162">
        <f t="shared" si="967"/>
        <v>612.72435946151347</v>
      </c>
      <c r="CH108" s="162">
        <f t="shared" si="967"/>
        <v>428.65326046825288</v>
      </c>
      <c r="CI108" s="162">
        <f t="shared" si="967"/>
        <v>509.17756830044345</v>
      </c>
      <c r="CJ108" s="162">
        <f t="shared" si="967"/>
        <v>533.90407795445276</v>
      </c>
      <c r="CK108" s="162">
        <f t="shared" ref="CK108:CL108" si="968">+CK79*CK65</f>
        <v>769.12499999999989</v>
      </c>
      <c r="CL108" s="162">
        <f t="shared" si="968"/>
        <v>633.8029499999999</v>
      </c>
      <c r="CM108" s="21">
        <f t="shared" ref="CM108:DB108" si="969">+CM79*CM65</f>
        <v>664.51546725294793</v>
      </c>
      <c r="CN108" s="21">
        <f t="shared" si="969"/>
        <v>695.83592350575441</v>
      </c>
      <c r="CO108" s="21">
        <f t="shared" si="969"/>
        <v>739.92697559915666</v>
      </c>
      <c r="CP108" s="21">
        <f t="shared" si="969"/>
        <v>709.92710272205034</v>
      </c>
      <c r="CQ108" s="21">
        <f t="shared" si="969"/>
        <v>755.43423184763276</v>
      </c>
      <c r="CR108" s="21">
        <f t="shared" si="969"/>
        <v>796.63188425974499</v>
      </c>
      <c r="CS108" s="21">
        <f t="shared" si="969"/>
        <v>825.13651184142077</v>
      </c>
      <c r="CT108" s="21">
        <f t="shared" si="969"/>
        <v>848.03283929439783</v>
      </c>
      <c r="CU108" s="21">
        <f t="shared" si="969"/>
        <v>891.41863173957938</v>
      </c>
      <c r="CV108" s="21">
        <f t="shared" si="969"/>
        <v>932.98140778270078</v>
      </c>
      <c r="CW108" s="21">
        <f t="shared" si="969"/>
        <v>962.39219465695783</v>
      </c>
      <c r="CX108" s="21">
        <f t="shared" si="969"/>
        <v>995.52787834514959</v>
      </c>
      <c r="CY108" s="21">
        <f t="shared" si="969"/>
        <v>1042.1182506097914</v>
      </c>
      <c r="CZ108" s="21">
        <f t="shared" si="969"/>
        <v>1088.3901099725226</v>
      </c>
      <c r="DA108" s="21">
        <f t="shared" si="969"/>
        <v>1122.0173862851484</v>
      </c>
      <c r="DB108" s="21">
        <f t="shared" si="969"/>
        <v>1160.9622306148822</v>
      </c>
      <c r="DE108" s="22"/>
      <c r="DF108" s="162">
        <v>633.8029499999999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14.3770931</v>
      </c>
      <c r="F109" s="162">
        <f t="shared" si="970"/>
        <v>14.960769000000001</v>
      </c>
      <c r="G109" s="162">
        <f t="shared" si="970"/>
        <v>22.608240899999998</v>
      </c>
      <c r="H109" s="162">
        <f t="shared" si="970"/>
        <v>24.505700000000001</v>
      </c>
      <c r="I109" s="162">
        <f t="shared" si="970"/>
        <v>25.766199999999998</v>
      </c>
      <c r="J109" s="162">
        <f t="shared" si="970"/>
        <v>28.762</v>
      </c>
      <c r="K109" s="162">
        <f t="shared" si="970"/>
        <v>30.933499999999999</v>
      </c>
      <c r="L109" s="162">
        <f t="shared" si="970"/>
        <v>39.449500000000008</v>
      </c>
      <c r="M109" s="162">
        <f t="shared" si="970"/>
        <v>42.557200000000002</v>
      </c>
      <c r="N109" s="162">
        <f t="shared" si="970"/>
        <v>43.253700000000002</v>
      </c>
      <c r="O109" s="162">
        <f t="shared" si="970"/>
        <v>53.528999999999996</v>
      </c>
      <c r="P109" s="162">
        <f t="shared" si="970"/>
        <v>74.582799999999992</v>
      </c>
      <c r="Q109" s="162">
        <f t="shared" si="970"/>
        <v>99.257599999999996</v>
      </c>
      <c r="R109" s="162">
        <f t="shared" si="970"/>
        <v>98.306699999999992</v>
      </c>
      <c r="S109" s="162">
        <f t="shared" si="970"/>
        <v>107.45309999999999</v>
      </c>
      <c r="T109" s="162">
        <f t="shared" si="970"/>
        <v>103.8905</v>
      </c>
      <c r="U109" s="162">
        <f t="shared" si="970"/>
        <v>108.2959</v>
      </c>
      <c r="V109" s="162">
        <f t="shared" si="970"/>
        <v>84.228500000000011</v>
      </c>
      <c r="W109" s="162">
        <f t="shared" si="970"/>
        <v>72.699900000000014</v>
      </c>
      <c r="X109" s="162">
        <f t="shared" ref="X109:Y109" si="971">+X168</f>
        <v>75.334400000000002</v>
      </c>
      <c r="Y109" s="162">
        <f t="shared" si="971"/>
        <v>84.869</v>
      </c>
      <c r="Z109" s="162">
        <f t="shared" ref="Z109:AA109" si="972">+Z168</f>
        <v>96.654899999999998</v>
      </c>
      <c r="AA109" s="162">
        <f t="shared" si="972"/>
        <v>-14.132300000000001</v>
      </c>
      <c r="AB109" s="21">
        <f t="shared" ref="AA109:AD109" si="973">+AB168</f>
        <v>-39.622912955486797</v>
      </c>
      <c r="AC109" s="21">
        <f t="shared" si="973"/>
        <v>-69.285440021540722</v>
      </c>
      <c r="AD109" s="21">
        <f t="shared" si="973"/>
        <v>-104.39990676660507</v>
      </c>
      <c r="AE109" s="21">
        <f t="shared" ref="AE109" si="974">+AE168</f>
        <v>-145.70450689190164</v>
      </c>
      <c r="AL109" s="162">
        <f t="shared" ref="AL109:AM109" si="975">+AL168</f>
        <v>28.132999999999999</v>
      </c>
      <c r="AM109" s="162">
        <f t="shared" si="975"/>
        <v>28.450149719948307</v>
      </c>
      <c r="AN109" s="162">
        <f t="shared" ref="AN109:AO109" si="976">+AN168</f>
        <v>41.29</v>
      </c>
      <c r="AO109" s="162">
        <f t="shared" si="976"/>
        <v>40.242038607780053</v>
      </c>
      <c r="AP109" s="162">
        <f t="shared" ref="AP109:CD109" si="977">+AP168</f>
        <v>53.330000000000005</v>
      </c>
      <c r="AQ109" s="162">
        <f t="shared" si="977"/>
        <v>48.198381629305622</v>
      </c>
      <c r="AR109" s="162">
        <f t="shared" si="977"/>
        <v>61.66</v>
      </c>
      <c r="AS109" s="162">
        <f t="shared" si="977"/>
        <v>58.40617851739789</v>
      </c>
      <c r="AT109" s="162">
        <f t="shared" si="977"/>
        <v>74.299999999999983</v>
      </c>
      <c r="AU109" s="162">
        <f t="shared" si="977"/>
        <v>77.673543250090475</v>
      </c>
      <c r="AV109" s="162">
        <f t="shared" si="977"/>
        <v>110.35</v>
      </c>
      <c r="AW109" s="162">
        <f t="shared" si="977"/>
        <v>107.72023885742426</v>
      </c>
      <c r="AX109" s="162">
        <f t="shared" si="977"/>
        <v>98.889999999999986</v>
      </c>
      <c r="AY109" s="162">
        <f t="shared" si="977"/>
        <v>101.16119208494207</v>
      </c>
      <c r="AZ109" s="162">
        <f t="shared" si="977"/>
        <v>98.73</v>
      </c>
      <c r="BA109" s="162">
        <f t="shared" si="977"/>
        <v>103.30009193054138</v>
      </c>
      <c r="BB109" s="162">
        <f t="shared" si="977"/>
        <v>80.970000000000013</v>
      </c>
      <c r="BC109" s="162">
        <f t="shared" si="977"/>
        <v>79.622091930541373</v>
      </c>
      <c r="BD109" s="162">
        <f t="shared" si="977"/>
        <v>88</v>
      </c>
      <c r="BE109" s="162">
        <f t="shared" si="977"/>
        <v>90.288496276723507</v>
      </c>
      <c r="BF109" s="162">
        <f t="shared" si="977"/>
        <v>102.47999999999999</v>
      </c>
      <c r="BG109" s="162">
        <f t="shared" si="977"/>
        <v>101.14724437425977</v>
      </c>
      <c r="BH109" s="162">
        <f t="shared" si="977"/>
        <v>95.23</v>
      </c>
      <c r="BI109" s="162">
        <f t="shared" si="977"/>
        <v>87.219244011976045</v>
      </c>
      <c r="BJ109" s="162">
        <f t="shared" si="977"/>
        <v>81.740000000000009</v>
      </c>
      <c r="BK109" s="162">
        <f t="shared" si="977"/>
        <v>81.888691394040436</v>
      </c>
      <c r="BL109" s="162">
        <f t="shared" si="977"/>
        <v>113.53999999999999</v>
      </c>
      <c r="BM109" s="162">
        <f t="shared" si="977"/>
        <v>111.02831877264011</v>
      </c>
      <c r="BN109" s="162">
        <f t="shared" si="977"/>
        <v>108.3</v>
      </c>
      <c r="BO109" s="162">
        <f t="shared" si="977"/>
        <v>102.9334360348292</v>
      </c>
      <c r="BP109" s="162">
        <f t="shared" si="977"/>
        <v>90.64</v>
      </c>
      <c r="BQ109" s="162">
        <f t="shared" si="977"/>
        <v>86.634056952662718</v>
      </c>
      <c r="BR109" s="162">
        <f t="shared" si="977"/>
        <v>84.23</v>
      </c>
      <c r="BS109" s="162">
        <f t="shared" si="977"/>
        <v>73.781326885880048</v>
      </c>
      <c r="BT109" s="162">
        <f t="shared" si="977"/>
        <v>60.429999999999993</v>
      </c>
      <c r="BU109" s="162">
        <f t="shared" si="977"/>
        <v>56.252459938629414</v>
      </c>
      <c r="BV109" s="162">
        <f t="shared" si="977"/>
        <v>72.699999999999989</v>
      </c>
      <c r="BW109" s="162">
        <f t="shared" si="977"/>
        <v>66.600737189091987</v>
      </c>
      <c r="BX109" s="162">
        <f t="shared" si="977"/>
        <v>77.47999999999999</v>
      </c>
      <c r="BY109" s="162">
        <f t="shared" si="977"/>
        <v>66.126127077831271</v>
      </c>
      <c r="BZ109" s="162">
        <f t="shared" si="977"/>
        <v>75.34</v>
      </c>
      <c r="CA109" s="162">
        <f t="shared" si="977"/>
        <v>71.674649413180887</v>
      </c>
      <c r="CB109" s="162">
        <f t="shared" si="977"/>
        <v>70.89</v>
      </c>
      <c r="CC109" s="162">
        <f t="shared" si="977"/>
        <v>65.183005456198828</v>
      </c>
      <c r="CD109" s="162">
        <f t="shared" si="977"/>
        <v>84.87</v>
      </c>
      <c r="CE109" s="162">
        <f t="shared" ref="CE109:CF109" si="978">+CE168</f>
        <v>76.386858412253005</v>
      </c>
      <c r="CF109" s="162">
        <f t="shared" si="978"/>
        <v>95.300000000000011</v>
      </c>
      <c r="CG109" s="162">
        <f t="shared" ref="CG109:CH109" si="979">+CG168</f>
        <v>88.837043375309435</v>
      </c>
      <c r="CH109" s="162">
        <f t="shared" si="979"/>
        <v>96.654899999999998</v>
      </c>
      <c r="CI109" s="162">
        <f t="shared" ref="CI109:CJ109" si="980">+CI168</f>
        <v>88.381712483002445</v>
      </c>
      <c r="CJ109" s="162">
        <f t="shared" si="980"/>
        <v>86.940000000000012</v>
      </c>
      <c r="CK109" s="162">
        <f t="shared" ref="CK109:CL109" si="981">+CK168</f>
        <v>73.416712418300648</v>
      </c>
      <c r="CL109" s="162">
        <f t="shared" si="981"/>
        <v>-14.14</v>
      </c>
      <c r="CM109" s="21">
        <f t="shared" ref="CM109:DB109" si="982">+CM168</f>
        <v>-0.96204989724894396</v>
      </c>
      <c r="CN109" s="21">
        <f t="shared" si="982"/>
        <v>-8.7605817877341519</v>
      </c>
      <c r="CO109" s="21">
        <f t="shared" si="982"/>
        <v>-43.356964778959892</v>
      </c>
      <c r="CP109" s="21">
        <f t="shared" si="982"/>
        <v>-39.622912955486797</v>
      </c>
      <c r="CQ109" s="21">
        <f t="shared" si="982"/>
        <v>-22.284413993721987</v>
      </c>
      <c r="CR109" s="21">
        <f t="shared" si="982"/>
        <v>-33.53493774601619</v>
      </c>
      <c r="CS109" s="21">
        <f t="shared" si="982"/>
        <v>-73.964158428756946</v>
      </c>
      <c r="CT109" s="21">
        <f t="shared" si="982"/>
        <v>-69.285440021540722</v>
      </c>
      <c r="CU109" s="21">
        <f t="shared" si="982"/>
        <v>-49.472023859846573</v>
      </c>
      <c r="CV109" s="21">
        <f t="shared" si="982"/>
        <v>-63.108656764448114</v>
      </c>
      <c r="CW109" s="21">
        <f t="shared" si="982"/>
        <v>-109.63000245925404</v>
      </c>
      <c r="CX109" s="21">
        <f t="shared" si="982"/>
        <v>-104.39990676660507</v>
      </c>
      <c r="CY109" s="21">
        <f t="shared" si="982"/>
        <v>-82.013137103619442</v>
      </c>
      <c r="CZ109" s="21">
        <f t="shared" si="982"/>
        <v>-97.979390123687082</v>
      </c>
      <c r="DA109" s="21">
        <f t="shared" si="982"/>
        <v>-151.44434811886151</v>
      </c>
      <c r="DB109" s="21">
        <f t="shared" si="982"/>
        <v>-145.70450689190164</v>
      </c>
      <c r="DE109" s="22"/>
      <c r="DF109" s="162">
        <v>79.081502207148645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80.341466131631918</v>
      </c>
      <c r="AM110" s="162">
        <f t="shared" ref="AM110:AO110" si="989">+AM107+AM109</f>
        <v>69.78185207415693</v>
      </c>
      <c r="AN110" s="162">
        <f t="shared" si="989"/>
        <v>78.234740963981181</v>
      </c>
      <c r="AO110" s="162">
        <f t="shared" si="989"/>
        <v>108.62062688851461</v>
      </c>
      <c r="AP110" s="162">
        <f t="shared" ref="AP110:CD110" si="990">+AP107+AP109</f>
        <v>169.16753422955819</v>
      </c>
      <c r="AQ110" s="162">
        <f t="shared" si="990"/>
        <v>193.18564278235857</v>
      </c>
      <c r="AR110" s="162">
        <f t="shared" si="990"/>
        <v>277.74504037814336</v>
      </c>
      <c r="AS110" s="162">
        <f t="shared" si="990"/>
        <v>252.7376913406946</v>
      </c>
      <c r="AT110" s="162">
        <f t="shared" si="990"/>
        <v>344.00748580084019</v>
      </c>
      <c r="AU110" s="162">
        <f t="shared" si="990"/>
        <v>385.84851694375084</v>
      </c>
      <c r="AV110" s="162">
        <f t="shared" si="990"/>
        <v>587.47737103630254</v>
      </c>
      <c r="AW110" s="162">
        <f t="shared" si="990"/>
        <v>516.61404513002503</v>
      </c>
      <c r="AX110" s="162">
        <f t="shared" si="990"/>
        <v>454.12510497064562</v>
      </c>
      <c r="AY110" s="162">
        <f t="shared" si="990"/>
        <v>374.53052169084771</v>
      </c>
      <c r="AZ110" s="162">
        <f t="shared" si="990"/>
        <v>452.58738155883879</v>
      </c>
      <c r="BA110" s="162">
        <f t="shared" si="990"/>
        <v>371.59359844031644</v>
      </c>
      <c r="BB110" s="162">
        <f t="shared" si="990"/>
        <v>322.43415585879785</v>
      </c>
      <c r="BC110" s="162">
        <f t="shared" si="990"/>
        <v>371.84447875064745</v>
      </c>
      <c r="BD110" s="162">
        <f t="shared" si="990"/>
        <v>334.53997895492842</v>
      </c>
      <c r="BE110" s="162">
        <f t="shared" si="990"/>
        <v>379.57415687692588</v>
      </c>
      <c r="BF110" s="162">
        <f t="shared" si="990"/>
        <v>406.95687400933662</v>
      </c>
      <c r="BG110" s="162">
        <f t="shared" si="990"/>
        <v>334.63510679628007</v>
      </c>
      <c r="BH110" s="162">
        <f t="shared" si="990"/>
        <v>312.04015796330503</v>
      </c>
      <c r="BI110" s="162">
        <f t="shared" si="990"/>
        <v>267.77352271720292</v>
      </c>
      <c r="BJ110" s="162">
        <f t="shared" si="990"/>
        <v>219.51234118069542</v>
      </c>
      <c r="BK110" s="162">
        <f t="shared" si="990"/>
        <v>215.96293289041216</v>
      </c>
      <c r="BL110" s="162">
        <f t="shared" si="990"/>
        <v>223.75787294455645</v>
      </c>
      <c r="BM110" s="162">
        <f t="shared" si="990"/>
        <v>212.54478069525811</v>
      </c>
      <c r="BN110" s="162">
        <f t="shared" si="990"/>
        <v>219.24299052971747</v>
      </c>
      <c r="BO110" s="162">
        <f t="shared" si="990"/>
        <v>183.92907029737512</v>
      </c>
      <c r="BP110" s="162">
        <f t="shared" si="990"/>
        <v>216.08534223294902</v>
      </c>
      <c r="BQ110" s="162">
        <f t="shared" si="990"/>
        <v>261.4236508558555</v>
      </c>
      <c r="BR110" s="162">
        <f t="shared" si="990"/>
        <v>268.77242542361529</v>
      </c>
      <c r="BS110" s="162">
        <f t="shared" si="990"/>
        <v>302.12085445325323</v>
      </c>
      <c r="BT110" s="162">
        <f t="shared" si="990"/>
        <v>361.35379784204531</v>
      </c>
      <c r="BU110" s="162">
        <f t="shared" si="990"/>
        <v>433.27734834337991</v>
      </c>
      <c r="BV110" s="162">
        <f t="shared" si="990"/>
        <v>579.5571920279267</v>
      </c>
      <c r="BW110" s="162">
        <f t="shared" si="990"/>
        <v>609.20622616548326</v>
      </c>
      <c r="BX110" s="162">
        <f t="shared" si="990"/>
        <v>496.48919658560453</v>
      </c>
      <c r="BY110" s="162">
        <f t="shared" si="990"/>
        <v>528.75114641090306</v>
      </c>
      <c r="BZ110" s="162">
        <f t="shared" si="990"/>
        <v>534.91952547539324</v>
      </c>
      <c r="CA110" s="162">
        <f t="shared" si="990"/>
        <v>635.09101308370884</v>
      </c>
      <c r="CB110" s="162">
        <f t="shared" si="990"/>
        <v>825.01228856801754</v>
      </c>
      <c r="CC110" s="162">
        <f t="shared" si="990"/>
        <v>706.9120683241747</v>
      </c>
      <c r="CD110" s="162">
        <f t="shared" si="990"/>
        <v>844.79322924931148</v>
      </c>
      <c r="CE110" s="162">
        <f t="shared" ref="CE110:CF110" si="991">+CE107+CE109</f>
        <v>856.93968295941113</v>
      </c>
      <c r="CF110" s="162">
        <f t="shared" si="991"/>
        <v>911.05728330674583</v>
      </c>
      <c r="CG110" s="162">
        <f t="shared" ref="CG110:CH110" si="992">+CG107+CG109</f>
        <v>871.31142952314428</v>
      </c>
      <c r="CH110" s="162">
        <f t="shared" si="992"/>
        <v>776.09007729637608</v>
      </c>
      <c r="CI110" s="162">
        <f t="shared" ref="CI110:CJ110" si="993">+CI107+CI109</f>
        <v>722.85959949936273</v>
      </c>
      <c r="CJ110" s="162">
        <f t="shared" si="993"/>
        <v>923.00057569127421</v>
      </c>
      <c r="CK110" s="162">
        <f t="shared" ref="CK110:CL110" si="994">+CK107+CK109</f>
        <v>1140.4787624183007</v>
      </c>
      <c r="CL110" s="162">
        <f t="shared" si="994"/>
        <v>798.93499999999995</v>
      </c>
      <c r="CM110" s="21">
        <f t="shared" ref="CM110:DB110" si="995">+CM107+CM109</f>
        <v>851.51254577430905</v>
      </c>
      <c r="CN110" s="21">
        <f t="shared" si="995"/>
        <v>883.89350495080384</v>
      </c>
      <c r="CO110" s="21">
        <f t="shared" si="995"/>
        <v>905.85938974460987</v>
      </c>
      <c r="CP110" s="21">
        <f t="shared" si="995"/>
        <v>871.10806272982836</v>
      </c>
      <c r="CQ110" s="21">
        <f t="shared" si="995"/>
        <v>946.82544587599637</v>
      </c>
      <c r="CR110" s="21">
        <f t="shared" si="995"/>
        <v>988.42538808473614</v>
      </c>
      <c r="CS110" s="21">
        <f t="shared" si="995"/>
        <v>984.56336872374868</v>
      </c>
      <c r="CT110" s="21">
        <f t="shared" si="995"/>
        <v>1018.6146727963195</v>
      </c>
      <c r="CU110" s="21">
        <f t="shared" si="995"/>
        <v>1094.0856134178887</v>
      </c>
      <c r="CV110" s="21">
        <f t="shared" si="995"/>
        <v>1133.7678458345372</v>
      </c>
      <c r="CW110" s="21">
        <f t="shared" si="995"/>
        <v>1124.9761691761196</v>
      </c>
      <c r="CX110" s="21">
        <f t="shared" si="995"/>
        <v>1172.7144229875914</v>
      </c>
      <c r="CY110" s="21">
        <f t="shared" si="995"/>
        <v>1254.8697168095032</v>
      </c>
      <c r="CZ110" s="21">
        <f t="shared" si="995"/>
        <v>1298.2633832270976</v>
      </c>
      <c r="DA110" s="21">
        <f t="shared" si="995"/>
        <v>1287.9372236358886</v>
      </c>
      <c r="DB110" s="21">
        <f t="shared" si="995"/>
        <v>1343.637512827627</v>
      </c>
      <c r="DE110" s="22"/>
      <c r="DF110" s="162">
        <v>892.15650220714861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63.663761672916138</v>
      </c>
      <c r="AM111" s="162">
        <f t="shared" si="1001"/>
        <v>57.527364884926641</v>
      </c>
      <c r="AN111" s="162">
        <f t="shared" ref="AN111:AO111" si="1002">+AN108+AN109</f>
        <v>70.693518078300997</v>
      </c>
      <c r="AO111" s="162">
        <f t="shared" si="1002"/>
        <v>69.210486134984166</v>
      </c>
      <c r="AP111" s="162">
        <f t="shared" ref="AP111:CD111" si="1003">+AP108+AP109</f>
        <v>114.31238891208675</v>
      </c>
      <c r="AQ111" s="162">
        <f t="shared" si="1003"/>
        <v>152.72408153034385</v>
      </c>
      <c r="AR111" s="162">
        <f t="shared" si="1003"/>
        <v>176.51862548959002</v>
      </c>
      <c r="AS111" s="162">
        <f t="shared" si="1003"/>
        <v>192.58918765154368</v>
      </c>
      <c r="AT111" s="162">
        <f t="shared" si="1003"/>
        <v>242.5272797574805</v>
      </c>
      <c r="AU111" s="162">
        <f t="shared" si="1003"/>
        <v>309.63865874327155</v>
      </c>
      <c r="AV111" s="162">
        <f t="shared" si="1003"/>
        <v>358.41272588376773</v>
      </c>
      <c r="AW111" s="162">
        <f t="shared" si="1003"/>
        <v>391.24121465559182</v>
      </c>
      <c r="AX111" s="162">
        <f t="shared" si="1003"/>
        <v>306.63618814878532</v>
      </c>
      <c r="AY111" s="162">
        <f t="shared" si="1003"/>
        <v>318.69646763340808</v>
      </c>
      <c r="AZ111" s="162">
        <f t="shared" si="1003"/>
        <v>326.41692174072801</v>
      </c>
      <c r="BA111" s="162">
        <f t="shared" si="1003"/>
        <v>307.34818039500306</v>
      </c>
      <c r="BB111" s="162">
        <f t="shared" si="1003"/>
        <v>258.62380836458073</v>
      </c>
      <c r="BC111" s="162">
        <f t="shared" si="1003"/>
        <v>278.08677498925886</v>
      </c>
      <c r="BD111" s="162">
        <f t="shared" si="1003"/>
        <v>262.02822043877279</v>
      </c>
      <c r="BE111" s="162">
        <f t="shared" si="1003"/>
        <v>265.07809017991633</v>
      </c>
      <c r="BF111" s="162">
        <f t="shared" si="1003"/>
        <v>294.05606599968291</v>
      </c>
      <c r="BG111" s="162">
        <f t="shared" si="1003"/>
        <v>273.72522964270991</v>
      </c>
      <c r="BH111" s="162">
        <f t="shared" si="1003"/>
        <v>256.20610390586472</v>
      </c>
      <c r="BI111" s="162">
        <f t="shared" si="1003"/>
        <v>209.14776595689125</v>
      </c>
      <c r="BJ111" s="162">
        <f t="shared" si="1003"/>
        <v>177.52803299984146</v>
      </c>
      <c r="BK111" s="162">
        <f t="shared" si="1003"/>
        <v>176.22648922355842</v>
      </c>
      <c r="BL111" s="162">
        <f t="shared" si="1003"/>
        <v>198.45126922241778</v>
      </c>
      <c r="BM111" s="162">
        <f t="shared" si="1003"/>
        <v>186.44054762944188</v>
      </c>
      <c r="BN111" s="162">
        <f t="shared" si="1003"/>
        <v>153.98240786517795</v>
      </c>
      <c r="BO111" s="162">
        <f t="shared" si="1003"/>
        <v>154.34427282278338</v>
      </c>
      <c r="BP111" s="162">
        <f t="shared" si="1003"/>
        <v>162.60792032728426</v>
      </c>
      <c r="BQ111" s="162">
        <f t="shared" si="1003"/>
        <v>171.47281441656469</v>
      </c>
      <c r="BR111" s="162">
        <f t="shared" si="1003"/>
        <v>218.37675325488755</v>
      </c>
      <c r="BS111" s="162">
        <f t="shared" si="1003"/>
        <v>213.76527670131819</v>
      </c>
      <c r="BT111" s="162">
        <f t="shared" si="1003"/>
        <v>275.13731696633641</v>
      </c>
      <c r="BU111" s="162">
        <f t="shared" si="1003"/>
        <v>270.16214756128755</v>
      </c>
      <c r="BV111" s="162">
        <f t="shared" si="1003"/>
        <v>369.99820991623744</v>
      </c>
      <c r="BW111" s="162">
        <f t="shared" si="1003"/>
        <v>340.69518438015933</v>
      </c>
      <c r="BX111" s="162">
        <f t="shared" si="1003"/>
        <v>385.65497369366039</v>
      </c>
      <c r="BY111" s="162">
        <f t="shared" si="1003"/>
        <v>421.43374380699271</v>
      </c>
      <c r="BZ111" s="162">
        <f t="shared" si="1003"/>
        <v>402.54931030415139</v>
      </c>
      <c r="CA111" s="162">
        <f t="shared" si="1003"/>
        <v>449.53342304086721</v>
      </c>
      <c r="CB111" s="162">
        <f t="shared" si="1003"/>
        <v>559.61925239888728</v>
      </c>
      <c r="CC111" s="162">
        <f t="shared" si="1003"/>
        <v>594.51884262413319</v>
      </c>
      <c r="CD111" s="162">
        <f t="shared" si="1003"/>
        <v>630.8835416266503</v>
      </c>
      <c r="CE111" s="162">
        <f t="shared" ref="CE111:CF111" si="1004">+CE108+CE109</f>
        <v>605.86771909722029</v>
      </c>
      <c r="CF111" s="162">
        <f t="shared" si="1004"/>
        <v>744.2802387195909</v>
      </c>
      <c r="CG111" s="162">
        <f t="shared" ref="CG111:CH111" si="1005">+CG108+CG109</f>
        <v>701.56140283682294</v>
      </c>
      <c r="CH111" s="162">
        <f t="shared" si="1005"/>
        <v>525.30816046825294</v>
      </c>
      <c r="CI111" s="162">
        <f t="shared" ref="CI111:CJ111" si="1006">+CI108+CI109</f>
        <v>597.55928078344596</v>
      </c>
      <c r="CJ111" s="162">
        <f t="shared" si="1006"/>
        <v>620.84407795445281</v>
      </c>
      <c r="CK111" s="162">
        <f t="shared" ref="CK111:CL111" si="1007">+CK108+CK109</f>
        <v>842.54171241830056</v>
      </c>
      <c r="CL111" s="162">
        <f t="shared" si="1007"/>
        <v>619.66294999999991</v>
      </c>
      <c r="CM111" s="21">
        <f t="shared" ref="CM111:DB111" si="1008">+CM108+CM109</f>
        <v>663.55341735569903</v>
      </c>
      <c r="CN111" s="21">
        <f t="shared" si="1008"/>
        <v>687.07534171802024</v>
      </c>
      <c r="CO111" s="21">
        <f t="shared" si="1008"/>
        <v>696.57001082019679</v>
      </c>
      <c r="CP111" s="21">
        <f t="shared" si="1008"/>
        <v>670.30418976656358</v>
      </c>
      <c r="CQ111" s="21">
        <f t="shared" si="1008"/>
        <v>733.1498178539108</v>
      </c>
      <c r="CR111" s="21">
        <f t="shared" si="1008"/>
        <v>763.09694651372877</v>
      </c>
      <c r="CS111" s="21">
        <f t="shared" si="1008"/>
        <v>751.17235341266382</v>
      </c>
      <c r="CT111" s="21">
        <f t="shared" si="1008"/>
        <v>778.74739927285714</v>
      </c>
      <c r="CU111" s="21">
        <f t="shared" si="1008"/>
        <v>841.94660787973282</v>
      </c>
      <c r="CV111" s="21">
        <f t="shared" si="1008"/>
        <v>869.87275101825264</v>
      </c>
      <c r="CW111" s="21">
        <f t="shared" si="1008"/>
        <v>852.76219219770383</v>
      </c>
      <c r="CX111" s="21">
        <f t="shared" si="1008"/>
        <v>891.12797157854448</v>
      </c>
      <c r="CY111" s="21">
        <f t="shared" si="1008"/>
        <v>960.10511350617196</v>
      </c>
      <c r="CZ111" s="21">
        <f t="shared" si="1008"/>
        <v>990.41071984883558</v>
      </c>
      <c r="DA111" s="21">
        <f t="shared" si="1008"/>
        <v>970.57303816628689</v>
      </c>
      <c r="DB111" s="21">
        <f t="shared" si="1008"/>
        <v>1015.2577237229805</v>
      </c>
      <c r="DE111" s="22"/>
      <c r="DF111" s="162">
        <v>712.88445220714857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1.1384192000000057</v>
      </c>
      <c r="F112" s="162">
        <f t="shared" si="1009"/>
        <v>1.099063199999998</v>
      </c>
      <c r="G112" s="162">
        <f t="shared" si="1009"/>
        <v>2.8166158999999986</v>
      </c>
      <c r="H112" s="162">
        <f t="shared" si="1009"/>
        <v>0.85109999999999353</v>
      </c>
      <c r="I112" s="162">
        <f t="shared" si="1009"/>
        <v>3.2340000000000018</v>
      </c>
      <c r="J112" s="162">
        <f t="shared" si="1009"/>
        <v>6.5284000000000049</v>
      </c>
      <c r="K112" s="162">
        <f t="shared" si="1009"/>
        <v>8.9328000000000038</v>
      </c>
      <c r="L112" s="162">
        <f t="shared" si="1009"/>
        <v>8.0236999999999838</v>
      </c>
      <c r="M112" s="162">
        <f t="shared" si="1009"/>
        <v>7.6442000000000014</v>
      </c>
      <c r="N112" s="162">
        <f t="shared" si="1009"/>
        <v>8.4089000000000134</v>
      </c>
      <c r="O112" s="162">
        <f t="shared" si="1009"/>
        <v>10.884600000000006</v>
      </c>
      <c r="P112" s="162">
        <f t="shared" si="1009"/>
        <v>2.1572999999999993</v>
      </c>
      <c r="Q112" s="162">
        <f t="shared" si="1009"/>
        <v>9.807300000000005</v>
      </c>
      <c r="R112" s="162">
        <f t="shared" si="1009"/>
        <v>7.1556000000000139</v>
      </c>
      <c r="S112" s="162">
        <f t="shared" si="1009"/>
        <v>15.515699999999995</v>
      </c>
      <c r="T112" s="162">
        <f t="shared" si="1009"/>
        <v>16.243899999999982</v>
      </c>
      <c r="U112" s="162">
        <f t="shared" si="1009"/>
        <v>17.07889999999999</v>
      </c>
      <c r="V112" s="162">
        <f t="shared" si="1009"/>
        <v>29.533500000000004</v>
      </c>
      <c r="W112" s="162">
        <f t="shared" si="1009"/>
        <v>31.239499999999985</v>
      </c>
      <c r="X112" s="162">
        <f t="shared" si="1009"/>
        <v>31.15789999999997</v>
      </c>
      <c r="Y112" s="162">
        <f t="shared" si="1009"/>
        <v>40.433900000000001</v>
      </c>
      <c r="Z112" s="162">
        <f t="shared" si="1009"/>
        <v>33.775300000000044</v>
      </c>
      <c r="AA112" s="162">
        <f t="shared" ref="AA112" si="1010">+AA28</f>
        <v>52.239799999999988</v>
      </c>
      <c r="AB112" s="21">
        <f t="shared" si="1009"/>
        <v>62.122910607606016</v>
      </c>
      <c r="AC112" s="21">
        <f t="shared" si="1009"/>
        <v>71.994371269650486</v>
      </c>
      <c r="AD112" s="21">
        <f t="shared" si="1009"/>
        <v>82.610877731558105</v>
      </c>
      <c r="AE112" s="21">
        <f t="shared" si="1009"/>
        <v>94.558288620284003</v>
      </c>
      <c r="AL112" s="162">
        <f t="shared" ref="AL112:BQ112" si="1011">+SUM(AI28:AL28)</f>
        <v>7.8820000000000014</v>
      </c>
      <c r="AM112" s="162">
        <f t="shared" si="1011"/>
        <v>6.838000000000001</v>
      </c>
      <c r="AN112" s="162">
        <f t="shared" si="1011"/>
        <v>7.6980000000000013</v>
      </c>
      <c r="AO112" s="162">
        <f t="shared" si="1011"/>
        <v>11.178000000000003</v>
      </c>
      <c r="AP112" s="162">
        <f t="shared" si="1011"/>
        <v>10.987999999999996</v>
      </c>
      <c r="AQ112" s="162">
        <f t="shared" si="1011"/>
        <v>11.124999999999996</v>
      </c>
      <c r="AR112" s="162">
        <f t="shared" si="1011"/>
        <v>9.6949999999999896</v>
      </c>
      <c r="AS112" s="162">
        <f t="shared" si="1011"/>
        <v>4.034999999999985</v>
      </c>
      <c r="AT112" s="162">
        <f t="shared" si="1011"/>
        <v>2.1699999999999893</v>
      </c>
      <c r="AU112" s="162">
        <f t="shared" si="1011"/>
        <v>4.5799999999999885</v>
      </c>
      <c r="AV112" s="162">
        <f t="shared" si="1011"/>
        <v>7.8899999999999944</v>
      </c>
      <c r="AW112" s="162">
        <f t="shared" si="1011"/>
        <v>10.5</v>
      </c>
      <c r="AX112" s="162">
        <f t="shared" si="1011"/>
        <v>9.8100000000000041</v>
      </c>
      <c r="AY112" s="162">
        <f t="shared" si="1011"/>
        <v>7.2800000000000082</v>
      </c>
      <c r="AZ112" s="162">
        <f t="shared" si="1011"/>
        <v>6.0700000000000021</v>
      </c>
      <c r="BA112" s="162">
        <f t="shared" si="1011"/>
        <v>4.6799999999999979</v>
      </c>
      <c r="BB112" s="162">
        <f t="shared" si="1011"/>
        <v>5.8199999999999914</v>
      </c>
      <c r="BC112" s="162">
        <f t="shared" si="1011"/>
        <v>6.6399999999999899</v>
      </c>
      <c r="BD112" s="162">
        <f t="shared" si="1011"/>
        <v>7.3699999999999957</v>
      </c>
      <c r="BE112" s="162">
        <f t="shared" si="1011"/>
        <v>10.989999999999995</v>
      </c>
      <c r="BF112" s="162">
        <f t="shared" si="1011"/>
        <v>15.339999999999998</v>
      </c>
      <c r="BG112" s="162">
        <f t="shared" si="1011"/>
        <v>17.559999999999988</v>
      </c>
      <c r="BH112" s="162">
        <f t="shared" si="1011"/>
        <v>17.179999999999986</v>
      </c>
      <c r="BI112" s="162">
        <f t="shared" si="1011"/>
        <v>14.649999999999988</v>
      </c>
      <c r="BJ112" s="162">
        <f t="shared" si="1011"/>
        <v>16.279999999999987</v>
      </c>
      <c r="BK112" s="162">
        <f t="shared" si="1011"/>
        <v>15.159999999999998</v>
      </c>
      <c r="BL112" s="162">
        <f t="shared" si="1011"/>
        <v>16.259999999999998</v>
      </c>
      <c r="BM112" s="162">
        <f t="shared" si="1011"/>
        <v>18.479999999999997</v>
      </c>
      <c r="BN112" s="162">
        <f t="shared" si="1011"/>
        <v>16.86</v>
      </c>
      <c r="BO112" s="162">
        <f t="shared" si="1011"/>
        <v>18.059999999999999</v>
      </c>
      <c r="BP112" s="162">
        <f t="shared" si="1011"/>
        <v>21.89</v>
      </c>
      <c r="BQ112" s="162">
        <f t="shared" si="1011"/>
        <v>27.16</v>
      </c>
      <c r="BR112" s="162">
        <f t="shared" ref="BR112:CW112" si="1012">+SUM(BO28:BR28)</f>
        <v>29.42</v>
      </c>
      <c r="BS112" s="162">
        <f t="shared" si="1012"/>
        <v>32.08</v>
      </c>
      <c r="BT112" s="162">
        <f t="shared" si="1012"/>
        <v>32.220000000000006</v>
      </c>
      <c r="BU112" s="162">
        <f t="shared" si="1012"/>
        <v>31.750000000000011</v>
      </c>
      <c r="BV112" s="162">
        <f t="shared" si="1012"/>
        <v>31.300000000000011</v>
      </c>
      <c r="BW112" s="162">
        <f t="shared" si="1012"/>
        <v>32.49</v>
      </c>
      <c r="BX112" s="162">
        <f t="shared" si="1012"/>
        <v>34.310000000000009</v>
      </c>
      <c r="BY112" s="162">
        <f t="shared" si="1012"/>
        <v>30.760000000000016</v>
      </c>
      <c r="BZ112" s="162">
        <f t="shared" si="1012"/>
        <v>31.150000000000006</v>
      </c>
      <c r="CA112" s="162">
        <f t="shared" si="1012"/>
        <v>31.350000000000016</v>
      </c>
      <c r="CB112" s="162">
        <f t="shared" si="1012"/>
        <v>29.510000000000012</v>
      </c>
      <c r="CC112" s="162">
        <f t="shared" si="1012"/>
        <v>35.590000000000011</v>
      </c>
      <c r="CD112" s="162">
        <f t="shared" si="1012"/>
        <v>40.430000000000014</v>
      </c>
      <c r="CE112" s="162">
        <f t="shared" si="1012"/>
        <v>39.46</v>
      </c>
      <c r="CF112" s="162">
        <f t="shared" si="1012"/>
        <v>38.279999999999987</v>
      </c>
      <c r="CG112" s="162">
        <f t="shared" si="1012"/>
        <v>34.399999999999991</v>
      </c>
      <c r="CH112" s="162">
        <f t="shared" si="1012"/>
        <v>33.760000000000005</v>
      </c>
      <c r="CI112" s="162">
        <f t="shared" si="1012"/>
        <v>38.680000000000021</v>
      </c>
      <c r="CJ112" s="162">
        <f t="shared" si="1012"/>
        <v>44.950000000000038</v>
      </c>
      <c r="CK112" s="162">
        <f t="shared" si="1012"/>
        <v>47.240000000000023</v>
      </c>
      <c r="CL112" s="162">
        <f t="shared" si="1012"/>
        <v>52.22000000000002</v>
      </c>
      <c r="CM112" s="21">
        <f t="shared" si="1012"/>
        <v>56.023665159001666</v>
      </c>
      <c r="CN112" s="21">
        <f t="shared" si="1012"/>
        <v>59.051880221209863</v>
      </c>
      <c r="CO112" s="21">
        <f t="shared" si="1012"/>
        <v>62.899369625981407</v>
      </c>
      <c r="CP112" s="21">
        <f t="shared" si="1012"/>
        <v>62.122910607605988</v>
      </c>
      <c r="CQ112" s="21">
        <f t="shared" si="1012"/>
        <v>65.327465814963148</v>
      </c>
      <c r="CR112" s="21">
        <f t="shared" si="1012"/>
        <v>68.224257939431041</v>
      </c>
      <c r="CS112" s="21">
        <f t="shared" si="1012"/>
        <v>70.278005253956678</v>
      </c>
      <c r="CT112" s="21">
        <f t="shared" si="1012"/>
        <v>71.994371269650372</v>
      </c>
      <c r="CU112" s="21">
        <f t="shared" si="1012"/>
        <v>75.084056104419616</v>
      </c>
      <c r="CV112" s="21">
        <f t="shared" si="1012"/>
        <v>78.041603242539964</v>
      </c>
      <c r="CW112" s="21">
        <f t="shared" si="1012"/>
        <v>80.184244232468401</v>
      </c>
      <c r="CX112" s="21">
        <f t="shared" ref="CX112:DB112" si="1013">+SUM(CU28:CX28)</f>
        <v>82.61087773155802</v>
      </c>
      <c r="CY112" s="21">
        <f t="shared" si="1013"/>
        <v>85.948677309284022</v>
      </c>
      <c r="CZ112" s="21">
        <f t="shared" si="1013"/>
        <v>89.25421095636186</v>
      </c>
      <c r="DA112" s="21">
        <f t="shared" si="1013"/>
        <v>91.70886654244967</v>
      </c>
      <c r="DB112" s="21">
        <f t="shared" si="1013"/>
        <v>94.558288620283946</v>
      </c>
      <c r="DE112" s="22"/>
      <c r="DF112" s="162">
        <v>50.942639842843704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10.193030465824906</v>
      </c>
      <c r="AM113" s="162">
        <f t="shared" ref="AM113:AO113" si="1020">+AM110/AM112</f>
        <v>10.205009077823474</v>
      </c>
      <c r="AN113" s="162">
        <f t="shared" si="1020"/>
        <v>10.162995708493266</v>
      </c>
      <c r="AO113" s="162">
        <f t="shared" si="1020"/>
        <v>9.7173579252562696</v>
      </c>
      <c r="AP113" s="162">
        <f t="shared" ref="AP113:CD113" si="1021">+AP110/AP112</f>
        <v>15.395662015795253</v>
      </c>
      <c r="AQ113" s="162">
        <f t="shared" si="1021"/>
        <v>17.36500159841426</v>
      </c>
      <c r="AR113" s="162">
        <f t="shared" si="1021"/>
        <v>28.648276470154066</v>
      </c>
      <c r="AS113" s="162">
        <f t="shared" si="1021"/>
        <v>62.636354731275226</v>
      </c>
      <c r="AT113" s="162">
        <f t="shared" si="1021"/>
        <v>158.52879529992714</v>
      </c>
      <c r="AU113" s="162">
        <f t="shared" si="1021"/>
        <v>84.246401079421787</v>
      </c>
      <c r="AV113" s="162">
        <f t="shared" si="1021"/>
        <v>74.458475416514958</v>
      </c>
      <c r="AW113" s="162">
        <f t="shared" si="1021"/>
        <v>49.201337631430953</v>
      </c>
      <c r="AX113" s="162">
        <f t="shared" si="1021"/>
        <v>46.292059630035212</v>
      </c>
      <c r="AY113" s="162">
        <f t="shared" si="1021"/>
        <v>51.44650023225924</v>
      </c>
      <c r="AZ113" s="162">
        <f t="shared" si="1021"/>
        <v>74.561347868012959</v>
      </c>
      <c r="BA113" s="162">
        <f t="shared" si="1021"/>
        <v>79.400341547076195</v>
      </c>
      <c r="BB113" s="162">
        <f t="shared" si="1021"/>
        <v>55.401057707697305</v>
      </c>
      <c r="BC113" s="162">
        <f t="shared" si="1021"/>
        <v>56.000674510639762</v>
      </c>
      <c r="BD113" s="162">
        <f t="shared" si="1021"/>
        <v>45.392127402296964</v>
      </c>
      <c r="BE113" s="162">
        <f t="shared" si="1021"/>
        <v>34.538139843214381</v>
      </c>
      <c r="BF113" s="162">
        <f t="shared" si="1021"/>
        <v>26.529131291351803</v>
      </c>
      <c r="BG113" s="162">
        <f t="shared" si="1021"/>
        <v>19.056668951952179</v>
      </c>
      <c r="BH113" s="162">
        <f t="shared" si="1021"/>
        <v>18.162989404150483</v>
      </c>
      <c r="BI113" s="162">
        <f t="shared" si="1021"/>
        <v>18.278056158170862</v>
      </c>
      <c r="BJ113" s="162">
        <f t="shared" si="1021"/>
        <v>13.483559040583268</v>
      </c>
      <c r="BK113" s="162">
        <f t="shared" si="1021"/>
        <v>14.245576048180224</v>
      </c>
      <c r="BL113" s="162">
        <f t="shared" si="1021"/>
        <v>13.76124679855821</v>
      </c>
      <c r="BM113" s="162">
        <f t="shared" si="1021"/>
        <v>11.501340946713103</v>
      </c>
      <c r="BN113" s="162">
        <f t="shared" si="1021"/>
        <v>13.003736093103054</v>
      </c>
      <c r="BO113" s="162">
        <f t="shared" si="1021"/>
        <v>10.184333903509144</v>
      </c>
      <c r="BP113" s="162">
        <f t="shared" si="1021"/>
        <v>9.8714181010940614</v>
      </c>
      <c r="BQ113" s="162">
        <f t="shared" si="1021"/>
        <v>9.6253185145749445</v>
      </c>
      <c r="BR113" s="162">
        <f t="shared" si="1021"/>
        <v>9.1357044671521166</v>
      </c>
      <c r="BS113" s="162">
        <f t="shared" si="1021"/>
        <v>9.4177323707373208</v>
      </c>
      <c r="BT113" s="162">
        <f t="shared" si="1021"/>
        <v>11.215201671075272</v>
      </c>
      <c r="BU113" s="162">
        <f t="shared" si="1021"/>
        <v>13.646530656484401</v>
      </c>
      <c r="BV113" s="162">
        <f t="shared" si="1021"/>
        <v>18.516204218144615</v>
      </c>
      <c r="BW113" s="162">
        <f t="shared" si="1021"/>
        <v>18.750576367050883</v>
      </c>
      <c r="BX113" s="162">
        <f t="shared" si="1021"/>
        <v>14.470684831990802</v>
      </c>
      <c r="BY113" s="162">
        <f t="shared" si="1021"/>
        <v>17.189569129093069</v>
      </c>
      <c r="BZ113" s="162">
        <f t="shared" si="1021"/>
        <v>17.1723764197558</v>
      </c>
      <c r="CA113" s="162">
        <f t="shared" si="1021"/>
        <v>20.25808654174509</v>
      </c>
      <c r="CB113" s="162">
        <f t="shared" si="1021"/>
        <v>27.957041293392653</v>
      </c>
      <c r="CC113" s="162">
        <f t="shared" si="1021"/>
        <v>19.862659969771691</v>
      </c>
      <c r="CD113" s="162">
        <f t="shared" si="1021"/>
        <v>20.895207253260232</v>
      </c>
      <c r="CE113" s="162">
        <f t="shared" ref="CE113:CF113" si="1022">+CE110/CE112</f>
        <v>21.716667079559329</v>
      </c>
      <c r="CF113" s="162">
        <f t="shared" si="1022"/>
        <v>23.799824537793786</v>
      </c>
      <c r="CG113" s="162">
        <f t="shared" ref="CG113:CH113" si="1023">+CG110/CG112</f>
        <v>25.328820625672805</v>
      </c>
      <c r="CH113" s="162">
        <f t="shared" si="1023"/>
        <v>22.988450156883175</v>
      </c>
      <c r="CI113" s="162">
        <f t="shared" ref="CI113:CJ113" si="1024">+CI110/CI112</f>
        <v>18.688200607532636</v>
      </c>
      <c r="CJ113" s="162">
        <f t="shared" si="1024"/>
        <v>20.533939392464369</v>
      </c>
      <c r="CK113" s="162">
        <f t="shared" ref="CK113:CL113" si="1025">+CK110/CK112</f>
        <v>24.142226130785353</v>
      </c>
      <c r="CL113" s="162">
        <f t="shared" si="1025"/>
        <v>15.299406357717343</v>
      </c>
      <c r="CM113" s="21">
        <f t="shared" ref="CM113:DB113" si="1026">+CM110/CM112</f>
        <v>15.19915813000841</v>
      </c>
      <c r="CN113" s="21">
        <f t="shared" si="1026"/>
        <v>14.968084024415752</v>
      </c>
      <c r="CO113" s="21">
        <f t="shared" si="1026"/>
        <v>14.401724454968669</v>
      </c>
      <c r="CP113" s="21">
        <f t="shared" si="1026"/>
        <v>14.022331764718936</v>
      </c>
      <c r="CQ113" s="21">
        <f t="shared" si="1026"/>
        <v>14.493527860974021</v>
      </c>
      <c r="CR113" s="21">
        <f t="shared" si="1026"/>
        <v>14.487887709416384</v>
      </c>
      <c r="CS113" s="21">
        <f t="shared" si="1026"/>
        <v>14.00955199519294</v>
      </c>
      <c r="CT113" s="21">
        <f t="shared" si="1026"/>
        <v>14.148532098171433</v>
      </c>
      <c r="CU113" s="21">
        <f t="shared" si="1026"/>
        <v>14.571477224090566</v>
      </c>
      <c r="CV113" s="21">
        <f t="shared" si="1026"/>
        <v>14.527736472955079</v>
      </c>
      <c r="CW113" s="21">
        <f t="shared" si="1026"/>
        <v>14.029890534537101</v>
      </c>
      <c r="CX113" s="21">
        <f t="shared" si="1026"/>
        <v>14.195641726484224</v>
      </c>
      <c r="CY113" s="21">
        <f t="shared" si="1026"/>
        <v>14.600221389026011</v>
      </c>
      <c r="CZ113" s="21">
        <f t="shared" si="1026"/>
        <v>14.545682151196699</v>
      </c>
      <c r="DA113" s="21">
        <f t="shared" si="1026"/>
        <v>14.043759040896397</v>
      </c>
      <c r="DB113" s="21">
        <f t="shared" si="1026"/>
        <v>14.209621731028239</v>
      </c>
      <c r="DE113" s="22"/>
      <c r="DF113" s="162">
        <v>17.512961734205781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8.0771075454093033</v>
      </c>
      <c r="AM114" s="162">
        <f t="shared" si="1032"/>
        <v>8.4128933730515687</v>
      </c>
      <c r="AN114" s="162">
        <f t="shared" ref="AN114:AO114" si="1033">+AN111/AN112</f>
        <v>9.1833616625488421</v>
      </c>
      <c r="AO114" s="162">
        <f t="shared" si="1033"/>
        <v>6.1916698993544594</v>
      </c>
      <c r="AP114" s="162">
        <f t="shared" ref="AP114:CD114" si="1034">+AP111/AP112</f>
        <v>10.403384502374116</v>
      </c>
      <c r="AQ114" s="162">
        <f t="shared" si="1034"/>
        <v>13.728007328570238</v>
      </c>
      <c r="AR114" s="162">
        <f t="shared" si="1034"/>
        <v>18.207181587373928</v>
      </c>
      <c r="AS114" s="162">
        <f t="shared" si="1034"/>
        <v>47.729662367173333</v>
      </c>
      <c r="AT114" s="162">
        <f t="shared" si="1034"/>
        <v>111.76372339054456</v>
      </c>
      <c r="AU114" s="162">
        <f t="shared" si="1034"/>
        <v>67.606694048749418</v>
      </c>
      <c r="AV114" s="162">
        <f t="shared" si="1034"/>
        <v>45.426200999210138</v>
      </c>
      <c r="AW114" s="162">
        <f t="shared" si="1034"/>
        <v>37.261068062437317</v>
      </c>
      <c r="AX114" s="162">
        <f t="shared" si="1034"/>
        <v>31.257511534024996</v>
      </c>
      <c r="AY114" s="162">
        <f t="shared" si="1034"/>
        <v>43.776987312281278</v>
      </c>
      <c r="AZ114" s="162">
        <f t="shared" si="1034"/>
        <v>53.775440154979883</v>
      </c>
      <c r="BA114" s="162">
        <f t="shared" si="1034"/>
        <v>65.672688118590429</v>
      </c>
      <c r="BB114" s="162">
        <f t="shared" si="1034"/>
        <v>44.437080475013936</v>
      </c>
      <c r="BC114" s="162">
        <f t="shared" si="1034"/>
        <v>41.88053840199688</v>
      </c>
      <c r="BD114" s="162">
        <f t="shared" si="1034"/>
        <v>35.553354197933913</v>
      </c>
      <c r="BE114" s="162">
        <f t="shared" si="1034"/>
        <v>24.119935412185299</v>
      </c>
      <c r="BF114" s="162">
        <f t="shared" si="1034"/>
        <v>19.169235071687286</v>
      </c>
      <c r="BG114" s="162">
        <f t="shared" si="1034"/>
        <v>15.587997132272784</v>
      </c>
      <c r="BH114" s="162">
        <f t="shared" si="1034"/>
        <v>14.913044464834979</v>
      </c>
      <c r="BI114" s="162">
        <f t="shared" si="1034"/>
        <v>14.27629801753525</v>
      </c>
      <c r="BJ114" s="162">
        <f t="shared" si="1034"/>
        <v>10.904670331685601</v>
      </c>
      <c r="BK114" s="162">
        <f t="shared" si="1034"/>
        <v>11.624438603137101</v>
      </c>
      <c r="BL114" s="162">
        <f t="shared" si="1034"/>
        <v>12.204875105929753</v>
      </c>
      <c r="BM114" s="162">
        <f t="shared" si="1034"/>
        <v>10.088774222372399</v>
      </c>
      <c r="BN114" s="162">
        <f t="shared" si="1034"/>
        <v>9.1330016527389066</v>
      </c>
      <c r="BO114" s="162">
        <f t="shared" si="1034"/>
        <v>8.5461945084597666</v>
      </c>
      <c r="BP114" s="162">
        <f t="shared" si="1034"/>
        <v>7.4284111615936164</v>
      </c>
      <c r="BQ114" s="162">
        <f t="shared" si="1034"/>
        <v>6.3134320477380221</v>
      </c>
      <c r="BR114" s="162">
        <f t="shared" si="1034"/>
        <v>7.4227312459173191</v>
      </c>
      <c r="BS114" s="162">
        <f t="shared" si="1034"/>
        <v>6.6635061315872255</v>
      </c>
      <c r="BT114" s="162">
        <f t="shared" si="1034"/>
        <v>8.5393332391786583</v>
      </c>
      <c r="BU114" s="162">
        <f t="shared" si="1034"/>
        <v>8.5090440176783453</v>
      </c>
      <c r="BV114" s="162">
        <f t="shared" si="1034"/>
        <v>11.821029070806304</v>
      </c>
      <c r="BW114" s="162">
        <f t="shared" si="1034"/>
        <v>10.486155259469355</v>
      </c>
      <c r="BX114" s="162">
        <f t="shared" si="1034"/>
        <v>11.240308181103476</v>
      </c>
      <c r="BY114" s="162">
        <f t="shared" si="1034"/>
        <v>13.700706885792995</v>
      </c>
      <c r="BZ114" s="162">
        <f t="shared" si="1034"/>
        <v>12.922931309924602</v>
      </c>
      <c r="CA114" s="162">
        <f t="shared" si="1034"/>
        <v>14.339184148034034</v>
      </c>
      <c r="CB114" s="162">
        <f t="shared" si="1034"/>
        <v>18.963715770887397</v>
      </c>
      <c r="CC114" s="162">
        <f t="shared" si="1034"/>
        <v>16.70465980961318</v>
      </c>
      <c r="CD114" s="162">
        <f t="shared" si="1034"/>
        <v>15.604341865610934</v>
      </c>
      <c r="CE114" s="162">
        <f t="shared" ref="CE114:CF114" si="1035">+CE111/CE112</f>
        <v>15.353971593948815</v>
      </c>
      <c r="CF114" s="162">
        <f t="shared" si="1035"/>
        <v>19.44305743781586</v>
      </c>
      <c r="CG114" s="162">
        <f t="shared" ref="CG114:CH114" si="1036">+CG111/CG112</f>
        <v>20.394226826651835</v>
      </c>
      <c r="CH114" s="162">
        <f t="shared" si="1036"/>
        <v>15.560075843253935</v>
      </c>
      <c r="CI114" s="162">
        <f t="shared" ref="CI114:CJ114" si="1037">+CI111/CI112</f>
        <v>15.4487921608957</v>
      </c>
      <c r="CJ114" s="162">
        <f t="shared" si="1037"/>
        <v>13.811881600766458</v>
      </c>
      <c r="CK114" s="162">
        <f t="shared" ref="CK114:CL114" si="1038">+CK111/CK112</f>
        <v>17.835345309447504</v>
      </c>
      <c r="CL114" s="162">
        <f t="shared" si="1038"/>
        <v>11.866391229414011</v>
      </c>
      <c r="CM114" s="21">
        <f t="shared" ref="CM114:DB114" si="1039">+CM111/CM112</f>
        <v>11.844162917089722</v>
      </c>
      <c r="CN114" s="21">
        <f t="shared" si="1039"/>
        <v>11.635113719397559</v>
      </c>
      <c r="CO114" s="21">
        <f t="shared" si="1039"/>
        <v>11.074355990564163</v>
      </c>
      <c r="CP114" s="21">
        <f t="shared" si="1039"/>
        <v>10.789967553202429</v>
      </c>
      <c r="CQ114" s="21">
        <f t="shared" si="1039"/>
        <v>11.222688783466999</v>
      </c>
      <c r="CR114" s="21">
        <f t="shared" si="1039"/>
        <v>11.185126369438862</v>
      </c>
      <c r="CS114" s="21">
        <f t="shared" si="1039"/>
        <v>10.688583870561303</v>
      </c>
      <c r="CT114" s="21">
        <f t="shared" si="1039"/>
        <v>10.816781722505887</v>
      </c>
      <c r="CU114" s="21">
        <f t="shared" si="1039"/>
        <v>11.213387389578891</v>
      </c>
      <c r="CV114" s="21">
        <f t="shared" si="1039"/>
        <v>11.146269616153795</v>
      </c>
      <c r="CW114" s="21">
        <f t="shared" si="1039"/>
        <v>10.635034355694547</v>
      </c>
      <c r="CX114" s="21">
        <f t="shared" si="1039"/>
        <v>10.787053667124111</v>
      </c>
      <c r="CY114" s="21">
        <f t="shared" si="1039"/>
        <v>11.170679335195111</v>
      </c>
      <c r="CZ114" s="21">
        <f t="shared" si="1039"/>
        <v>11.096515326689369</v>
      </c>
      <c r="DA114" s="21">
        <f t="shared" si="1039"/>
        <v>10.583197402369308</v>
      </c>
      <c r="DB114" s="21">
        <f t="shared" si="1039"/>
        <v>10.736845373756001</v>
      </c>
      <c r="DE114" s="22"/>
      <c r="DF114" s="162">
        <v>13.993865539877255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3.6765300000000001</v>
      </c>
      <c r="F117" s="23">
        <f>'Annual Raw'!G41</f>
        <v>4.6765299999999996</v>
      </c>
      <c r="G117" s="23">
        <f>'Annual Raw'!H41</f>
        <v>8.6765299999999996</v>
      </c>
      <c r="H117" s="23">
        <f>'Annual Raw'!I41</f>
        <v>7.3531000000000004</v>
      </c>
      <c r="I117" s="23">
        <f>'Annual Raw'!J41</f>
        <v>7.3531000000000004</v>
      </c>
      <c r="J117" s="23">
        <f>'Annual Raw'!K41</f>
        <v>7.3531000000000004</v>
      </c>
      <c r="K117" s="23">
        <f>'Annual Raw'!L41</f>
        <v>7.3531000000000004</v>
      </c>
      <c r="L117" s="23">
        <f>'Annual Raw'!M41</f>
        <v>7.3531000000000004</v>
      </c>
      <c r="M117" s="23">
        <f>'Annual Raw'!N41</f>
        <v>7.3531000000000004</v>
      </c>
      <c r="N117" s="23">
        <f>'Annual Raw'!O41</f>
        <v>7.3531000000000004</v>
      </c>
      <c r="O117" s="23">
        <f>'Annual Raw'!P41</f>
        <v>7.3531000000000004</v>
      </c>
      <c r="P117" s="23">
        <f>'Annual Raw'!Q41</f>
        <v>7.3531000000000004</v>
      </c>
      <c r="Q117" s="23">
        <f>'Annual Raw'!R41</f>
        <v>7.3531000000000004</v>
      </c>
      <c r="R117" s="23">
        <f>'Annual Raw'!S41</f>
        <v>7.3531000000000004</v>
      </c>
      <c r="S117" s="23">
        <f>'Annual Raw'!T41</f>
        <v>7.3531000000000004</v>
      </c>
      <c r="T117" s="23">
        <f>'Annual Raw'!U41</f>
        <v>7.3531000000000004</v>
      </c>
      <c r="U117" s="23">
        <f>'Annual Raw'!V41</f>
        <v>7.3531000000000004</v>
      </c>
      <c r="V117" s="23">
        <f>'Annual Raw'!W41</f>
        <v>7.3531000000000004</v>
      </c>
      <c r="W117" s="23">
        <f>'Annual Raw'!X41</f>
        <v>7.3531000000000004</v>
      </c>
      <c r="X117" s="23">
        <f>'Annual Raw'!Y41</f>
        <v>7.3531000000000004</v>
      </c>
      <c r="Y117" s="23">
        <f>'Annual Raw'!Z41</f>
        <v>7.3531000000000004</v>
      </c>
      <c r="Z117" s="23">
        <f>'Annual Raw'!AA41</f>
        <v>7.3531000000000004</v>
      </c>
      <c r="AA117" s="23">
        <f>'Annual Raw'!AB41</f>
        <v>8.7948000000000004</v>
      </c>
      <c r="AB117" s="24">
        <f>+CP117</f>
        <v>8.7899999999999991</v>
      </c>
      <c r="AC117" s="24">
        <f>+CT117</f>
        <v>8.7899999999999991</v>
      </c>
      <c r="AD117" s="24">
        <f>+CX117</f>
        <v>8.7899999999999991</v>
      </c>
      <c r="AE117" s="24">
        <f>+DB117</f>
        <v>8.7899999999999991</v>
      </c>
      <c r="AJ117" s="23">
        <f>+'QTR Raw'!D56</f>
        <v>7.3529999999999998</v>
      </c>
      <c r="AK117" s="23">
        <f t="shared" ref="AK117:CE117" si="1040">+AJ117</f>
        <v>7.3529999999999998</v>
      </c>
      <c r="AL117" s="23">
        <f>+'QTR Raw'!F56</f>
        <v>7.3529999999999998</v>
      </c>
      <c r="AM117" s="23">
        <f t="shared" si="1040"/>
        <v>7.3529999999999998</v>
      </c>
      <c r="AN117" s="23">
        <f>+'QTR Raw'!H56</f>
        <v>7.35</v>
      </c>
      <c r="AO117" s="23">
        <f t="shared" si="1040"/>
        <v>7.35</v>
      </c>
      <c r="AP117" s="23">
        <f>+'QTR Raw'!J56</f>
        <v>7.35</v>
      </c>
      <c r="AQ117" s="23">
        <f t="shared" si="1040"/>
        <v>7.35</v>
      </c>
      <c r="AR117" s="23">
        <f>+'QTR Raw'!L56</f>
        <v>7.35</v>
      </c>
      <c r="AS117" s="23">
        <f t="shared" si="1040"/>
        <v>7.35</v>
      </c>
      <c r="AT117" s="23">
        <f>+'QTR Raw'!N56</f>
        <v>7.35</v>
      </c>
      <c r="AU117" s="23">
        <f t="shared" si="1040"/>
        <v>7.35</v>
      </c>
      <c r="AV117" s="23">
        <f>+'QTR Raw'!P56</f>
        <v>7.35</v>
      </c>
      <c r="AW117" s="23">
        <f t="shared" si="1040"/>
        <v>7.35</v>
      </c>
      <c r="AX117" s="23">
        <f>+'QTR Raw'!R56</f>
        <v>7.35</v>
      </c>
      <c r="AY117" s="23">
        <f t="shared" si="1040"/>
        <v>7.35</v>
      </c>
      <c r="AZ117" s="23">
        <f>+'QTR Raw'!T56</f>
        <v>7.35</v>
      </c>
      <c r="BA117" s="23">
        <f t="shared" si="1040"/>
        <v>7.35</v>
      </c>
      <c r="BB117" s="23">
        <f>+'QTR Raw'!V56</f>
        <v>7.35</v>
      </c>
      <c r="BC117" s="23">
        <f t="shared" si="1040"/>
        <v>7.35</v>
      </c>
      <c r="BD117" s="23">
        <f>+'QTR Raw'!X56</f>
        <v>7.35</v>
      </c>
      <c r="BE117" s="23">
        <f t="shared" si="1040"/>
        <v>7.35</v>
      </c>
      <c r="BF117" s="23">
        <f>+'QTR Raw'!Z56</f>
        <v>7.35</v>
      </c>
      <c r="BG117" s="23">
        <f t="shared" si="1040"/>
        <v>7.35</v>
      </c>
      <c r="BH117" s="23">
        <f>+'QTR Raw'!AB56</f>
        <v>7.35</v>
      </c>
      <c r="BI117" s="23">
        <f t="shared" si="1040"/>
        <v>7.35</v>
      </c>
      <c r="BJ117" s="23">
        <f>+'QTR Raw'!AD56</f>
        <v>7.35</v>
      </c>
      <c r="BK117" s="23">
        <f t="shared" si="1040"/>
        <v>7.35</v>
      </c>
      <c r="BL117" s="23">
        <f>+'QTR Raw'!AF56</f>
        <v>7.35</v>
      </c>
      <c r="BM117" s="23">
        <f t="shared" si="1040"/>
        <v>7.35</v>
      </c>
      <c r="BN117" s="23">
        <f>+'QTR Raw'!AH56</f>
        <v>7.35</v>
      </c>
      <c r="BO117" s="23">
        <f t="shared" si="1040"/>
        <v>7.35</v>
      </c>
      <c r="BP117" s="23">
        <f>+'QTR Raw'!AJ56</f>
        <v>7.35</v>
      </c>
      <c r="BQ117" s="23">
        <f t="shared" si="1040"/>
        <v>7.35</v>
      </c>
      <c r="BR117" s="23">
        <f>+'QTR Raw'!AL56</f>
        <v>7.35</v>
      </c>
      <c r="BS117" s="23">
        <f t="shared" si="1040"/>
        <v>7.35</v>
      </c>
      <c r="BT117" s="23">
        <f>+'QTR Raw'!AN56</f>
        <v>7.35</v>
      </c>
      <c r="BU117" s="23">
        <f t="shared" si="1040"/>
        <v>7.35</v>
      </c>
      <c r="BV117" s="23">
        <f>+'QTR Raw'!AP56</f>
        <v>7.35</v>
      </c>
      <c r="BW117" s="23">
        <f t="shared" si="1040"/>
        <v>7.35</v>
      </c>
      <c r="BX117" s="23">
        <f>+'QTR Raw'!AR56</f>
        <v>7.35</v>
      </c>
      <c r="BY117" s="23">
        <f t="shared" si="1040"/>
        <v>7.35</v>
      </c>
      <c r="BZ117" s="23">
        <f>+'QTR Raw'!AT56</f>
        <v>7.35</v>
      </c>
      <c r="CA117" s="23">
        <f t="shared" si="1040"/>
        <v>7.35</v>
      </c>
      <c r="CB117" s="23">
        <f>+'QTR Raw'!AV56</f>
        <v>7.35</v>
      </c>
      <c r="CC117" s="23">
        <f t="shared" si="1040"/>
        <v>7.35</v>
      </c>
      <c r="CD117" s="23">
        <f>+'QTR Raw'!AX56</f>
        <v>7.35</v>
      </c>
      <c r="CE117" s="23">
        <f t="shared" si="1040"/>
        <v>7.35</v>
      </c>
      <c r="CF117" s="23">
        <f>+'QTR Raw'!AZ56</f>
        <v>7.35</v>
      </c>
      <c r="CG117" s="23">
        <f t="shared" ref="CG117:CG118" si="1041">+CF117</f>
        <v>7.35</v>
      </c>
      <c r="CH117" s="23">
        <f>Z117</f>
        <v>7.3531000000000004</v>
      </c>
      <c r="CI117" s="23">
        <f>CH117</f>
        <v>7.3531000000000004</v>
      </c>
      <c r="CJ117" s="23">
        <f>+'QTR Raw'!BD56</f>
        <v>7.35</v>
      </c>
      <c r="CK117" s="24">
        <f t="shared" ref="CK117:DB117" si="1042">CJ117</f>
        <v>7.35</v>
      </c>
      <c r="CL117" s="23">
        <f>+'QTR Raw'!BF56</f>
        <v>8.7899999999999991</v>
      </c>
      <c r="CM117" s="24">
        <f t="shared" si="1042"/>
        <v>8.7899999999999991</v>
      </c>
      <c r="CN117" s="24">
        <f t="shared" si="1042"/>
        <v>8.7899999999999991</v>
      </c>
      <c r="CO117" s="24">
        <f t="shared" si="1042"/>
        <v>8.7899999999999991</v>
      </c>
      <c r="CP117" s="24">
        <f t="shared" si="1042"/>
        <v>8.7899999999999991</v>
      </c>
      <c r="CQ117" s="24">
        <f t="shared" si="1042"/>
        <v>8.7899999999999991</v>
      </c>
      <c r="CR117" s="24">
        <f t="shared" si="1042"/>
        <v>8.7899999999999991</v>
      </c>
      <c r="CS117" s="24">
        <f t="shared" si="1042"/>
        <v>8.7899999999999991</v>
      </c>
      <c r="CT117" s="24">
        <f t="shared" si="1042"/>
        <v>8.7899999999999991</v>
      </c>
      <c r="CU117" s="24">
        <f t="shared" si="1042"/>
        <v>8.7899999999999991</v>
      </c>
      <c r="CV117" s="24">
        <f t="shared" si="1042"/>
        <v>8.7899999999999991</v>
      </c>
      <c r="CW117" s="24">
        <f t="shared" si="1042"/>
        <v>8.7899999999999991</v>
      </c>
      <c r="CX117" s="24">
        <f t="shared" si="1042"/>
        <v>8.7899999999999991</v>
      </c>
      <c r="CY117" s="24">
        <f t="shared" si="1042"/>
        <v>8.7899999999999991</v>
      </c>
      <c r="CZ117" s="24">
        <f t="shared" si="1042"/>
        <v>8.7899999999999991</v>
      </c>
      <c r="DA117" s="24">
        <f t="shared" si="1042"/>
        <v>8.7899999999999991</v>
      </c>
      <c r="DB117" s="24">
        <f t="shared" si="1042"/>
        <v>8.7899999999999991</v>
      </c>
      <c r="DE117" s="123"/>
      <c r="DF117" s="23">
        <v>7.35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-1.8102260999999999</v>
      </c>
      <c r="F119" s="23">
        <f>'Annual Raw'!G43</f>
        <v>-3.5493450000000002</v>
      </c>
      <c r="G119" s="23">
        <f>'Annual Raw'!H43</f>
        <v>-3.7107594000000002</v>
      </c>
      <c r="H119" s="23">
        <f>'Annual Raw'!I43</f>
        <v>0.3599</v>
      </c>
      <c r="I119" s="23">
        <f>'Annual Raw'!J43</f>
        <v>4.0983000000000001</v>
      </c>
      <c r="J119" s="23">
        <f>'Annual Raw'!K43</f>
        <v>7.7571000000000003</v>
      </c>
      <c r="K119" s="23">
        <f>'Annual Raw'!L43</f>
        <v>10.698700000000001</v>
      </c>
      <c r="L119" s="23">
        <f>'Annual Raw'!M43</f>
        <v>12.1996</v>
      </c>
      <c r="M119" s="23">
        <f>'Annual Raw'!N43</f>
        <v>13.263299999999999</v>
      </c>
      <c r="N119" s="23">
        <f>'Annual Raw'!O43</f>
        <v>14.105600000000001</v>
      </c>
      <c r="O119" s="23">
        <f>'Annual Raw'!P43</f>
        <v>13.701000000000001</v>
      </c>
      <c r="P119" s="23">
        <f>'Annual Raw'!Q43</f>
        <v>10.293200000000001</v>
      </c>
      <c r="Q119" s="23">
        <f>'Annual Raw'!R43</f>
        <v>9.4476999999999993</v>
      </c>
      <c r="R119" s="23">
        <f>'Annual Raw'!S43</f>
        <v>2.4851999999999999</v>
      </c>
      <c r="S119" s="23">
        <f>'Annual Raw'!T43</f>
        <v>3.7366999999999999</v>
      </c>
      <c r="T119" s="23">
        <f>'Annual Raw'!U43</f>
        <v>3.9171999999999998</v>
      </c>
      <c r="U119" s="23">
        <f>'Annual Raw'!V43</f>
        <v>4.4684999999999997</v>
      </c>
      <c r="V119" s="23">
        <f>'Annual Raw'!W43</f>
        <v>18.789400000000001</v>
      </c>
      <c r="W119" s="23">
        <f>'Annual Raw'!X43</f>
        <v>46.319099999999999</v>
      </c>
      <c r="X119" s="23">
        <f>'Annual Raw'!Y43</f>
        <v>58.645699999999998</v>
      </c>
      <c r="Y119" s="23">
        <f>'Annual Raw'!Z43</f>
        <v>74.837100000000007</v>
      </c>
      <c r="Z119" s="23">
        <f>'Annual Raw'!AA43</f>
        <v>88.335499999999996</v>
      </c>
      <c r="AA119" s="23">
        <f>'Annual Raw'!AB43</f>
        <v>243.3931</v>
      </c>
      <c r="AB119" s="24">
        <f t="shared" si="1043"/>
        <v>279.62843223375148</v>
      </c>
      <c r="AC119" s="24">
        <f t="shared" si="1044"/>
        <v>322.91651133501915</v>
      </c>
      <c r="AD119" s="24">
        <f t="shared" si="1045"/>
        <v>373.73351693727705</v>
      </c>
      <c r="AE119" s="24">
        <f t="shared" si="1046"/>
        <v>432.9951664203989</v>
      </c>
      <c r="AJ119" s="23">
        <f>+'QTR Raw'!D58</f>
        <v>14.071999999999999</v>
      </c>
      <c r="AK119" s="23">
        <f>+AJ119+AK48</f>
        <v>13.741999999999999</v>
      </c>
      <c r="AL119" s="23">
        <f>+'QTR Raw'!F58</f>
        <v>14.106</v>
      </c>
      <c r="AM119" s="23">
        <f>+AL119+AM48</f>
        <v>13.866</v>
      </c>
      <c r="AN119" s="23">
        <f>+'QTR Raw'!H58</f>
        <v>14.99</v>
      </c>
      <c r="AO119" s="23">
        <f>+AN119+AO48</f>
        <v>16.61</v>
      </c>
      <c r="AP119" s="23">
        <f>+'QTR Raw'!J58</f>
        <v>13.7</v>
      </c>
      <c r="AQ119" s="23">
        <f>+AP119+AQ48</f>
        <v>13.729999999999997</v>
      </c>
      <c r="AR119" s="23">
        <f>+'QTR Raw'!L58</f>
        <v>13.24</v>
      </c>
      <c r="AS119" s="23">
        <f>+AR119+AS48</f>
        <v>11.149999999999995</v>
      </c>
      <c r="AT119" s="23">
        <f>+'QTR Raw'!N58</f>
        <v>10.29</v>
      </c>
      <c r="AU119" s="23">
        <f>+AT119+AU48</f>
        <v>11.149999999999997</v>
      </c>
      <c r="AV119" s="23">
        <f>+'QTR Raw'!P58</f>
        <v>10.81</v>
      </c>
      <c r="AW119" s="23">
        <f>+AV119+AW48</f>
        <v>9.2300000000000022</v>
      </c>
      <c r="AX119" s="23">
        <f>+'QTR Raw'!R58</f>
        <v>9.4499999999999993</v>
      </c>
      <c r="AY119" s="23">
        <f>+AX119+AY48</f>
        <v>8.7700000000000014</v>
      </c>
      <c r="AZ119" s="23">
        <f>+'QTR Raw'!T58</f>
        <v>8.59</v>
      </c>
      <c r="BA119" s="23">
        <f>+AZ119+BA48</f>
        <v>5.9299999999999971</v>
      </c>
      <c r="BB119" s="23">
        <f>+'QTR Raw'!V58</f>
        <v>2.4900000000000002</v>
      </c>
      <c r="BC119" s="23">
        <f>+BB119+BC48</f>
        <v>1.5500000000000003</v>
      </c>
      <c r="BD119" s="23">
        <f>+'QTR Raw'!X58</f>
        <v>1.98</v>
      </c>
      <c r="BE119" s="23">
        <f>+BD119+BE48</f>
        <v>2.3099999999999965</v>
      </c>
      <c r="BF119" s="23">
        <f>+'QTR Raw'!Z58</f>
        <v>3.74</v>
      </c>
      <c r="BG119" s="23">
        <f>+BF119+BG48</f>
        <v>4.209999999999992</v>
      </c>
      <c r="BH119" s="23">
        <f>+'QTR Raw'!AB58</f>
        <v>4.43</v>
      </c>
      <c r="BI119" s="23">
        <f>+BH119+BI48</f>
        <v>1.5499999999999989</v>
      </c>
      <c r="BJ119" s="23">
        <f>+'QTR Raw'!AD58</f>
        <v>3.92</v>
      </c>
      <c r="BK119" s="23">
        <f>+BJ119+BK48</f>
        <v>3.4900000000000015</v>
      </c>
      <c r="BL119" s="23">
        <f>+'QTR Raw'!AF58</f>
        <v>4.8</v>
      </c>
      <c r="BM119" s="23">
        <f>+BL119+BM48</f>
        <v>3.6799999999999997</v>
      </c>
      <c r="BN119" s="23">
        <f>+'QTR Raw'!AH58</f>
        <v>4.47</v>
      </c>
      <c r="BO119" s="23">
        <f>+BN119+BO48</f>
        <v>5.28</v>
      </c>
      <c r="BP119" s="23">
        <f>+'QTR Raw'!AJ58</f>
        <v>11.37</v>
      </c>
      <c r="BQ119" s="23">
        <f>+BP119+BQ48</f>
        <v>15.309999999999999</v>
      </c>
      <c r="BR119" s="23">
        <f>+'QTR Raw'!AL58</f>
        <v>18.79</v>
      </c>
      <c r="BS119" s="23">
        <f>+BR119+BS48</f>
        <v>35.110000000000007</v>
      </c>
      <c r="BT119" s="23">
        <f>+'QTR Raw'!AN58</f>
        <v>39.770000000000003</v>
      </c>
      <c r="BU119" s="23">
        <f>+BT119+BU48</f>
        <v>43.560000000000009</v>
      </c>
      <c r="BV119" s="23">
        <f>+'QTR Raw'!AP58</f>
        <v>46.32</v>
      </c>
      <c r="BW119" s="23">
        <f>+BV119+BW48</f>
        <v>50.139999999999993</v>
      </c>
      <c r="BX119" s="23">
        <f>+'QTR Raw'!AR58</f>
        <v>54.19</v>
      </c>
      <c r="BY119" s="23">
        <f>+BX119+BY48</f>
        <v>55.190000000000005</v>
      </c>
      <c r="BZ119" s="23">
        <f>+'QTR Raw'!AT58</f>
        <v>58.65</v>
      </c>
      <c r="CA119" s="23">
        <f>+BZ119+CA48</f>
        <v>62.489999999999995</v>
      </c>
      <c r="CB119" s="23">
        <f>+'QTR Raw'!AV58</f>
        <v>64.97</v>
      </c>
      <c r="CC119" s="23">
        <f>+CB119+CC48</f>
        <v>70.099999999999994</v>
      </c>
      <c r="CD119" s="23">
        <f>+'QTR Raw'!AX58</f>
        <v>74.84</v>
      </c>
      <c r="CE119" s="23">
        <f>+CD119+CE48</f>
        <v>78.849999999999994</v>
      </c>
      <c r="CF119" s="23">
        <f>+'QTR Raw'!AZ58</f>
        <v>81</v>
      </c>
      <c r="CG119" s="23">
        <f>+CF119+CG48</f>
        <v>82.63000000000001</v>
      </c>
      <c r="CH119" s="23">
        <f t="shared" si="1048"/>
        <v>88.335499999999996</v>
      </c>
      <c r="CI119" s="23">
        <f>CH119+CI48</f>
        <v>95.155500000000004</v>
      </c>
      <c r="CJ119" s="23">
        <f>+'QTR Raw'!BD58</f>
        <v>100.44</v>
      </c>
      <c r="CK119" s="24">
        <f t="shared" ref="CK119:DB119" si="1050">CJ119+CK48</f>
        <v>105.33</v>
      </c>
      <c r="CL119" s="23">
        <f>+'QTR Raw'!BF58</f>
        <v>243.39</v>
      </c>
      <c r="CM119" s="24">
        <f t="shared" si="1050"/>
        <v>253.11389250247913</v>
      </c>
      <c r="CN119" s="24">
        <f t="shared" si="1050"/>
        <v>263.35914395589106</v>
      </c>
      <c r="CO119" s="24">
        <f t="shared" si="1050"/>
        <v>270.49978433470631</v>
      </c>
      <c r="CP119" s="24">
        <f t="shared" si="1050"/>
        <v>279.62843223375148</v>
      </c>
      <c r="CQ119" s="24">
        <f t="shared" si="1050"/>
        <v>291.67524917262256</v>
      </c>
      <c r="CR119" s="24">
        <f t="shared" si="1050"/>
        <v>304.02344658964353</v>
      </c>
      <c r="CS119" s="24">
        <f t="shared" si="1050"/>
        <v>312.61911384517077</v>
      </c>
      <c r="CT119" s="24">
        <f t="shared" si="1050"/>
        <v>322.91651133501915</v>
      </c>
      <c r="CU119" s="24">
        <f t="shared" si="1050"/>
        <v>337.17796847202322</v>
      </c>
      <c r="CV119" s="24">
        <f t="shared" si="1050"/>
        <v>351.6477496929449</v>
      </c>
      <c r="CW119" s="24">
        <f t="shared" si="1050"/>
        <v>361.74469898573699</v>
      </c>
      <c r="CX119" s="24">
        <f t="shared" si="1050"/>
        <v>373.73351693727705</v>
      </c>
      <c r="CY119" s="24">
        <f t="shared" si="1050"/>
        <v>390.37319296687423</v>
      </c>
      <c r="CZ119" s="24">
        <f t="shared" si="1050"/>
        <v>407.20493449811033</v>
      </c>
      <c r="DA119" s="24">
        <f t="shared" si="1050"/>
        <v>419.01839773886735</v>
      </c>
      <c r="DB119" s="24">
        <f t="shared" si="1050"/>
        <v>432.9951664203989</v>
      </c>
      <c r="DE119" s="123"/>
      <c r="DF119" s="23">
        <v>114.82153592233749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1.8663039000000001</v>
      </c>
      <c r="F120" s="22">
        <f t="shared" si="1051"/>
        <v>1.1271849999999994</v>
      </c>
      <c r="G120" s="22">
        <f t="shared" si="1051"/>
        <v>4.965770599999999</v>
      </c>
      <c r="H120" s="22">
        <f t="shared" si="1051"/>
        <v>7.7130000000000001</v>
      </c>
      <c r="I120" s="22">
        <f t="shared" si="1051"/>
        <v>11.4514</v>
      </c>
      <c r="J120" s="22">
        <f t="shared" si="1051"/>
        <v>15.110200000000001</v>
      </c>
      <c r="K120" s="22">
        <f t="shared" si="1051"/>
        <v>18.0518</v>
      </c>
      <c r="L120" s="22">
        <f t="shared" si="1051"/>
        <v>19.552700000000002</v>
      </c>
      <c r="M120" s="22">
        <f>M117+M118+M119</f>
        <v>20.616399999999999</v>
      </c>
      <c r="N120" s="22">
        <f t="shared" si="1051"/>
        <v>21.4587</v>
      </c>
      <c r="O120" s="22">
        <f t="shared" si="1051"/>
        <v>21.054100000000002</v>
      </c>
      <c r="P120" s="22">
        <f t="shared" si="1051"/>
        <v>17.6463</v>
      </c>
      <c r="Q120" s="22">
        <f t="shared" si="1051"/>
        <v>16.800799999999999</v>
      </c>
      <c r="R120" s="22">
        <f t="shared" si="1051"/>
        <v>9.8383000000000003</v>
      </c>
      <c r="S120" s="22">
        <f t="shared" si="1051"/>
        <v>11.0898</v>
      </c>
      <c r="T120" s="22">
        <f t="shared" si="1051"/>
        <v>11.270300000000001</v>
      </c>
      <c r="U120" s="22">
        <f t="shared" si="1051"/>
        <v>11.8216</v>
      </c>
      <c r="V120" s="22">
        <f t="shared" si="1051"/>
        <v>26.142500000000002</v>
      </c>
      <c r="W120" s="22">
        <f t="shared" ref="W120" si="1052">W117+W118+W119</f>
        <v>53.672199999999997</v>
      </c>
      <c r="X120" s="22">
        <f t="shared" ref="X120:Y120" si="1053">X117+X118+X119</f>
        <v>65.998800000000003</v>
      </c>
      <c r="Y120" s="22">
        <f t="shared" si="1053"/>
        <v>82.190200000000004</v>
      </c>
      <c r="Z120" s="22">
        <f t="shared" ref="Z120:AA120" si="1054">Z117+Z118+Z119</f>
        <v>95.688599999999994</v>
      </c>
      <c r="AA120" s="22">
        <f t="shared" si="1054"/>
        <v>252.18790000000001</v>
      </c>
      <c r="AB120" s="21">
        <f t="shared" ref="AA120:AD120" si="1055">AB117+AB118+AB119</f>
        <v>288.4184322337515</v>
      </c>
      <c r="AC120" s="21">
        <f t="shared" si="1055"/>
        <v>331.70651133501917</v>
      </c>
      <c r="AD120" s="21">
        <f t="shared" si="1055"/>
        <v>382.52351693727707</v>
      </c>
      <c r="AE120" s="21">
        <f t="shared" ref="AE120" si="1056">AE117+AE118+AE119</f>
        <v>441.78516642039892</v>
      </c>
      <c r="AJ120" s="22">
        <f t="shared" ref="AJ120" si="1057">AJ117+AJ118+AJ119</f>
        <v>21.424999999999997</v>
      </c>
      <c r="AK120" s="22">
        <f t="shared" ref="AK120" si="1058">AK117+AK118+AK119</f>
        <v>21.094999999999999</v>
      </c>
      <c r="AL120" s="22">
        <f t="shared" ref="AL120:AM120" si="1059">AL117+AL118+AL119</f>
        <v>21.459</v>
      </c>
      <c r="AM120" s="22">
        <f t="shared" si="1059"/>
        <v>21.219000000000001</v>
      </c>
      <c r="AN120" s="22">
        <f t="shared" ref="AN120:AO120" si="1060">AN117+AN118+AN119</f>
        <v>22.34</v>
      </c>
      <c r="AO120" s="22">
        <f t="shared" si="1060"/>
        <v>23.96</v>
      </c>
      <c r="AP120" s="22">
        <f t="shared" ref="AP120:CE120" si="1061">AP117+AP118+AP119</f>
        <v>21.049999999999997</v>
      </c>
      <c r="AQ120" s="22">
        <f t="shared" si="1061"/>
        <v>21.08</v>
      </c>
      <c r="AR120" s="22">
        <f t="shared" si="1061"/>
        <v>20.59</v>
      </c>
      <c r="AS120" s="22">
        <f t="shared" si="1061"/>
        <v>18.499999999999993</v>
      </c>
      <c r="AT120" s="22">
        <f t="shared" si="1061"/>
        <v>17.64</v>
      </c>
      <c r="AU120" s="22">
        <f t="shared" si="1061"/>
        <v>18.499999999999996</v>
      </c>
      <c r="AV120" s="22">
        <f t="shared" si="1061"/>
        <v>18.16</v>
      </c>
      <c r="AW120" s="22">
        <f t="shared" si="1061"/>
        <v>16.580000000000002</v>
      </c>
      <c r="AX120" s="22">
        <f t="shared" si="1061"/>
        <v>16.799999999999997</v>
      </c>
      <c r="AY120" s="22">
        <f t="shared" si="1061"/>
        <v>16.12</v>
      </c>
      <c r="AZ120" s="22">
        <f t="shared" si="1061"/>
        <v>15.94</v>
      </c>
      <c r="BA120" s="22">
        <f t="shared" si="1061"/>
        <v>13.279999999999998</v>
      </c>
      <c r="BB120" s="22">
        <f t="shared" si="1061"/>
        <v>9.84</v>
      </c>
      <c r="BC120" s="22">
        <f t="shared" si="1061"/>
        <v>8.9</v>
      </c>
      <c r="BD120" s="22">
        <f t="shared" si="1061"/>
        <v>9.33</v>
      </c>
      <c r="BE120" s="22">
        <f t="shared" si="1061"/>
        <v>9.6599999999999966</v>
      </c>
      <c r="BF120" s="22">
        <f t="shared" si="1061"/>
        <v>11.09</v>
      </c>
      <c r="BG120" s="22">
        <f t="shared" si="1061"/>
        <v>11.559999999999992</v>
      </c>
      <c r="BH120" s="22">
        <f t="shared" si="1061"/>
        <v>11.78</v>
      </c>
      <c r="BI120" s="22">
        <f t="shared" si="1061"/>
        <v>8.8999999999999986</v>
      </c>
      <c r="BJ120" s="22">
        <f t="shared" si="1061"/>
        <v>11.27</v>
      </c>
      <c r="BK120" s="22">
        <f t="shared" si="1061"/>
        <v>10.840000000000002</v>
      </c>
      <c r="BL120" s="22">
        <f t="shared" si="1061"/>
        <v>12.149999999999999</v>
      </c>
      <c r="BM120" s="22">
        <f t="shared" si="1061"/>
        <v>11.03</v>
      </c>
      <c r="BN120" s="22">
        <f t="shared" si="1061"/>
        <v>11.82</v>
      </c>
      <c r="BO120" s="22">
        <f t="shared" si="1061"/>
        <v>12.629999999999999</v>
      </c>
      <c r="BP120" s="22">
        <f t="shared" si="1061"/>
        <v>18.72</v>
      </c>
      <c r="BQ120" s="22">
        <f t="shared" si="1061"/>
        <v>22.659999999999997</v>
      </c>
      <c r="BR120" s="22">
        <f t="shared" si="1061"/>
        <v>26.14</v>
      </c>
      <c r="BS120" s="22">
        <f t="shared" si="1061"/>
        <v>42.460000000000008</v>
      </c>
      <c r="BT120" s="22">
        <f t="shared" si="1061"/>
        <v>47.120000000000005</v>
      </c>
      <c r="BU120" s="22">
        <f t="shared" si="1061"/>
        <v>50.910000000000011</v>
      </c>
      <c r="BV120" s="22">
        <f t="shared" si="1061"/>
        <v>53.67</v>
      </c>
      <c r="BW120" s="22">
        <f t="shared" si="1061"/>
        <v>57.489999999999995</v>
      </c>
      <c r="BX120" s="22">
        <f t="shared" si="1061"/>
        <v>61.54</v>
      </c>
      <c r="BY120" s="22">
        <f t="shared" si="1061"/>
        <v>62.540000000000006</v>
      </c>
      <c r="BZ120" s="22">
        <f t="shared" si="1061"/>
        <v>66</v>
      </c>
      <c r="CA120" s="22">
        <f t="shared" si="1061"/>
        <v>69.839999999999989</v>
      </c>
      <c r="CB120" s="22">
        <f t="shared" si="1061"/>
        <v>72.319999999999993</v>
      </c>
      <c r="CC120" s="22">
        <f t="shared" si="1061"/>
        <v>77.449999999999989</v>
      </c>
      <c r="CD120" s="22">
        <f t="shared" si="1061"/>
        <v>82.19</v>
      </c>
      <c r="CE120" s="22">
        <f t="shared" si="1061"/>
        <v>86.199999999999989</v>
      </c>
      <c r="CF120" s="22">
        <f t="shared" ref="CF120:CG120" si="1062">CF117+CF118+CF119</f>
        <v>88.35</v>
      </c>
      <c r="CG120" s="22">
        <f t="shared" si="1062"/>
        <v>89.98</v>
      </c>
      <c r="CH120" s="22">
        <f t="shared" ref="CH120:CI120" si="1063">CH117+CH118+CH119</f>
        <v>95.688599999999994</v>
      </c>
      <c r="CI120" s="22">
        <f t="shared" si="1063"/>
        <v>102.5086</v>
      </c>
      <c r="CJ120" s="22">
        <f t="shared" ref="CJ120:DB120" si="1064">CJ117+CJ118+CJ119</f>
        <v>107.78999999999999</v>
      </c>
      <c r="CK120" s="21">
        <f t="shared" si="1064"/>
        <v>112.67999999999999</v>
      </c>
      <c r="CL120" s="22">
        <f t="shared" ref="CL120" si="1065">CL117+CL118+CL119</f>
        <v>252.17999999999998</v>
      </c>
      <c r="CM120" s="21">
        <f t="shared" si="1064"/>
        <v>261.90389250247915</v>
      </c>
      <c r="CN120" s="21">
        <f t="shared" si="1064"/>
        <v>272.14914395589108</v>
      </c>
      <c r="CO120" s="21">
        <f t="shared" si="1064"/>
        <v>279.28978433470633</v>
      </c>
      <c r="CP120" s="21">
        <f t="shared" si="1064"/>
        <v>288.4184322337515</v>
      </c>
      <c r="CQ120" s="21">
        <f t="shared" si="1064"/>
        <v>300.46524917262258</v>
      </c>
      <c r="CR120" s="21">
        <f t="shared" si="1064"/>
        <v>312.81344658964355</v>
      </c>
      <c r="CS120" s="21">
        <f t="shared" si="1064"/>
        <v>321.40911384517079</v>
      </c>
      <c r="CT120" s="21">
        <f t="shared" si="1064"/>
        <v>331.70651133501917</v>
      </c>
      <c r="CU120" s="21">
        <f t="shared" si="1064"/>
        <v>345.96796847202324</v>
      </c>
      <c r="CV120" s="21">
        <f t="shared" si="1064"/>
        <v>360.43774969294492</v>
      </c>
      <c r="CW120" s="21">
        <f t="shared" si="1064"/>
        <v>370.53469898573701</v>
      </c>
      <c r="CX120" s="21">
        <f t="shared" si="1064"/>
        <v>382.52351693727707</v>
      </c>
      <c r="CY120" s="21">
        <f t="shared" si="1064"/>
        <v>399.16319296687425</v>
      </c>
      <c r="CZ120" s="21">
        <f t="shared" si="1064"/>
        <v>415.99493449811035</v>
      </c>
      <c r="DA120" s="21">
        <f t="shared" si="1064"/>
        <v>427.80839773886737</v>
      </c>
      <c r="DB120" s="21">
        <f t="shared" si="1064"/>
        <v>441.78516642039892</v>
      </c>
      <c r="DE120" s="126"/>
      <c r="DF120" s="22">
        <v>122.17153592233748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8.8552412999999994</v>
      </c>
      <c r="F124" s="23">
        <f>'Annual Raw'!G47</f>
        <v>8.9474877999999993</v>
      </c>
      <c r="G124" s="23">
        <f>'Annual Raw'!H47</f>
        <v>15.8338006</v>
      </c>
      <c r="H124" s="23">
        <f>'Annual Raw'!I47</f>
        <v>14.398899999999999</v>
      </c>
      <c r="I124" s="23">
        <f>'Annual Raw'!J47</f>
        <v>13.7286</v>
      </c>
      <c r="J124" s="23">
        <f>'Annual Raw'!K47</f>
        <v>16.4634</v>
      </c>
      <c r="K124" s="23">
        <f>'Annual Raw'!L47</f>
        <v>21.116599999999998</v>
      </c>
      <c r="L124" s="23">
        <f>'Annual Raw'!M47</f>
        <v>10.6219</v>
      </c>
      <c r="M124" s="23">
        <f>'Annual Raw'!N47</f>
        <v>11.164300000000001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11.883800000000001</v>
      </c>
      <c r="Y124" s="23">
        <f>'Annual Raw'!Z47</f>
        <v>10.2658</v>
      </c>
      <c r="Z124" s="23">
        <f>'Annual Raw'!AA47</f>
        <v>19.5289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19.5289</v>
      </c>
      <c r="CI124" s="23">
        <f t="shared" si="1092"/>
        <v>19.5289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5.7545649000000001</v>
      </c>
      <c r="F125" s="23">
        <f>'Annual Raw'!G48</f>
        <v>6.2708050000000002</v>
      </c>
      <c r="G125" s="23">
        <f>'Annual Raw'!H48</f>
        <v>6.9392708000000001</v>
      </c>
      <c r="H125" s="23">
        <f>'Annual Raw'!I48</f>
        <v>10.662800000000001</v>
      </c>
      <c r="I125" s="23">
        <f>'Annual Raw'!J48</f>
        <v>12.384600000000001</v>
      </c>
      <c r="J125" s="23">
        <f>'Annual Raw'!K48</f>
        <v>12.8154</v>
      </c>
      <c r="K125" s="23">
        <f>'Annual Raw'!L48</f>
        <v>10.4039</v>
      </c>
      <c r="L125" s="23">
        <f>'Annual Raw'!M48</f>
        <v>8.0096000000000007</v>
      </c>
      <c r="M125" s="23">
        <f>'Annual Raw'!N48</f>
        <v>7.9696999999999996</v>
      </c>
      <c r="N125" s="23">
        <f>'Annual Raw'!O48</f>
        <v>18.516500000000001</v>
      </c>
      <c r="O125" s="23">
        <f>'Annual Raw'!P48</f>
        <v>22.4085</v>
      </c>
      <c r="P125" s="23">
        <f>'Annual Raw'!Q48</f>
        <v>42.36</v>
      </c>
      <c r="Q125" s="23">
        <f>'Annual Raw'!R48</f>
        <v>59.619399999999999</v>
      </c>
      <c r="R125" s="23">
        <f>'Annual Raw'!S48</f>
        <v>41.206699999999998</v>
      </c>
      <c r="S125" s="23">
        <f>'Annual Raw'!T48</f>
        <v>36.762599999999999</v>
      </c>
      <c r="T125" s="23">
        <f>'Annual Raw'!U48</f>
        <v>16.5961</v>
      </c>
      <c r="U125" s="23">
        <f>'Annual Raw'!V48</f>
        <v>50</v>
      </c>
      <c r="V125" s="23">
        <f>'Annual Raw'!W48</f>
        <v>50</v>
      </c>
      <c r="W125" s="23">
        <f>'Annual Raw'!X48</f>
        <v>35</v>
      </c>
      <c r="X125" s="23">
        <f>'Annual Raw'!Y48</f>
        <v>29.166699999999999</v>
      </c>
      <c r="Y125" s="23">
        <f>'Annual Raw'!Z48</f>
        <v>5.8333000000000004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17.204999999999998</v>
      </c>
      <c r="AK125" s="23">
        <f t="shared" si="1090"/>
        <v>17.204999999999998</v>
      </c>
      <c r="AL125" s="23">
        <f>+'QTR Raw'!F63</f>
        <v>18.516999999999999</v>
      </c>
      <c r="AM125" s="23">
        <f t="shared" si="1090"/>
        <v>18.516999999999999</v>
      </c>
      <c r="AN125" s="23">
        <f>+'QTR Raw'!H63</f>
        <v>18.309999999999999</v>
      </c>
      <c r="AO125" s="23">
        <f t="shared" si="1090"/>
        <v>18.309999999999999</v>
      </c>
      <c r="AP125" s="23">
        <f>+'QTR Raw'!J63</f>
        <v>22.41</v>
      </c>
      <c r="AQ125" s="23">
        <f t="shared" si="1090"/>
        <v>22.41</v>
      </c>
      <c r="AR125" s="23">
        <f>+'QTR Raw'!L63</f>
        <v>30.59</v>
      </c>
      <c r="AS125" s="23">
        <f t="shared" si="1090"/>
        <v>30.59</v>
      </c>
      <c r="AT125" s="23">
        <f>+'QTR Raw'!N63</f>
        <v>42.36</v>
      </c>
      <c r="AU125" s="23">
        <f t="shared" si="1090"/>
        <v>42.36</v>
      </c>
      <c r="AV125" s="23">
        <f>+'QTR Raw'!P63</f>
        <v>59.55</v>
      </c>
      <c r="AW125" s="23">
        <f t="shared" si="1090"/>
        <v>59.55</v>
      </c>
      <c r="AX125" s="23">
        <f>+'QTR Raw'!R63</f>
        <v>59.62</v>
      </c>
      <c r="AY125" s="23">
        <f t="shared" si="1090"/>
        <v>59.62</v>
      </c>
      <c r="AZ125" s="23">
        <f>+'QTR Raw'!T63</f>
        <v>59.24</v>
      </c>
      <c r="BA125" s="23">
        <f t="shared" si="1090"/>
        <v>59.24</v>
      </c>
      <c r="BB125" s="23">
        <f>+'QTR Raw'!V63</f>
        <v>41.21</v>
      </c>
      <c r="BC125" s="23">
        <f t="shared" si="1090"/>
        <v>41.21</v>
      </c>
      <c r="BD125" s="23">
        <f>+'QTR Raw'!X63</f>
        <v>45.5</v>
      </c>
      <c r="BE125" s="23">
        <f t="shared" si="1090"/>
        <v>45.5</v>
      </c>
      <c r="BF125" s="23">
        <f>+'QTR Raw'!Z63</f>
        <v>36.76</v>
      </c>
      <c r="BG125" s="23">
        <f t="shared" si="1090"/>
        <v>36.76</v>
      </c>
      <c r="BH125" s="23">
        <f>+'QTR Raw'!AB63</f>
        <v>30.96</v>
      </c>
      <c r="BI125" s="23">
        <f t="shared" si="1090"/>
        <v>30.96</v>
      </c>
      <c r="BJ125" s="23">
        <f>+'QTR Raw'!AD63</f>
        <v>16.600000000000001</v>
      </c>
      <c r="BK125" s="23">
        <f t="shared" si="1090"/>
        <v>16.600000000000001</v>
      </c>
      <c r="BL125" s="23">
        <f>+'QTR Raw'!AF63</f>
        <v>50</v>
      </c>
      <c r="BM125" s="23">
        <f t="shared" si="1090"/>
        <v>50</v>
      </c>
      <c r="BN125" s="23">
        <f>+'QTR Raw'!AH63</f>
        <v>50</v>
      </c>
      <c r="BO125" s="23">
        <f t="shared" si="1090"/>
        <v>50</v>
      </c>
      <c r="BP125" s="23">
        <f>+'QTR Raw'!AJ63</f>
        <v>50</v>
      </c>
      <c r="BQ125" s="23">
        <f t="shared" si="1090"/>
        <v>50</v>
      </c>
      <c r="BR125" s="23">
        <f>+'QTR Raw'!AL63</f>
        <v>50</v>
      </c>
      <c r="BS125" s="23">
        <f t="shared" si="1090"/>
        <v>50</v>
      </c>
      <c r="BT125" s="23">
        <f>+'QTR Raw'!AN63</f>
        <v>28.97</v>
      </c>
      <c r="BU125" s="23">
        <f t="shared" si="1090"/>
        <v>28.97</v>
      </c>
      <c r="BV125" s="23">
        <f>+'QTR Raw'!AP63</f>
        <v>35</v>
      </c>
      <c r="BW125" s="23">
        <f t="shared" si="1090"/>
        <v>35</v>
      </c>
      <c r="BX125" s="23">
        <f>+'QTR Raw'!AR63</f>
        <v>35</v>
      </c>
      <c r="BY125" s="23">
        <f t="shared" si="1090"/>
        <v>35</v>
      </c>
      <c r="BZ125" s="23">
        <f>+'QTR Raw'!AT63</f>
        <v>41.05</v>
      </c>
      <c r="CA125" s="23">
        <f t="shared" si="1090"/>
        <v>41.05</v>
      </c>
      <c r="CB125" s="23">
        <f>+'QTR Raw'!AV63</f>
        <v>30.72</v>
      </c>
      <c r="CC125" s="23">
        <f t="shared" si="1090"/>
        <v>30.72</v>
      </c>
      <c r="CD125" s="23">
        <f>+'QTR Raw'!AX63</f>
        <v>16.100000000000001</v>
      </c>
      <c r="CE125" s="23">
        <f t="shared" si="1091"/>
        <v>16.100000000000001</v>
      </c>
      <c r="CF125" s="23">
        <f>+'QTR Raw'!AZ63</f>
        <v>22.8</v>
      </c>
      <c r="CG125" s="23">
        <f t="shared" si="1092"/>
        <v>22.8</v>
      </c>
      <c r="CH125" s="23">
        <f t="shared" si="1068"/>
        <v>0</v>
      </c>
      <c r="CI125" s="23">
        <f t="shared" si="1092"/>
        <v>0</v>
      </c>
      <c r="CJ125" s="23">
        <f>+'QTR Raw'!BD63</f>
        <v>15.96</v>
      </c>
      <c r="CK125" s="24">
        <f t="shared" si="1093"/>
        <v>15.96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15.96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4.7081</v>
      </c>
      <c r="M126" s="23">
        <f>'Annual Raw'!N87+'Annual Raw'!N88+'Annual Raw'!N89+'Annual Raw'!N90</f>
        <v>5.7168999999999999</v>
      </c>
      <c r="N126" s="23">
        <f>'Annual Raw'!O87+'Annual Raw'!O88+'Annual Raw'!O89+'Annual Raw'!O90</f>
        <v>15.121</v>
      </c>
      <c r="O126" s="23">
        <f>'Annual Raw'!P87+'Annual Raw'!P88+'Annual Raw'!P89+'Annual Raw'!P90</f>
        <v>0.20030000000000001</v>
      </c>
      <c r="P126" s="23">
        <f>'Annual Raw'!Q87+'Annual Raw'!Q88+'Annual Raw'!Q89+'Annual Raw'!Q90</f>
        <v>0.28460000000000002</v>
      </c>
      <c r="Q126" s="23">
        <f>'Annual Raw'!R87+'Annual Raw'!R88+'Annual Raw'!R89+'Annual Raw'!R90</f>
        <v>0.36780000000000002</v>
      </c>
      <c r="R126" s="23">
        <f>'Annual Raw'!S87+'Annual Raw'!S88+'Annual Raw'!S89+'Annual Raw'!S90</f>
        <v>17.339600000000001</v>
      </c>
      <c r="S126" s="23">
        <f>'Annual Raw'!T87+'Annual Raw'!T88+'Annual Raw'!T89+'Annual Raw'!T90</f>
        <v>4.9725999999999999</v>
      </c>
      <c r="T126" s="23">
        <f>'Annual Raw'!U87+'Annual Raw'!U88+'Annual Raw'!U89+'Annual Raw'!U90</f>
        <v>22.1541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10.502800000000001</v>
      </c>
      <c r="Y126" s="23">
        <f>'Annual Raw'!Z87+'Annual Raw'!Z88+'Annual Raw'!Z89+'Annual Raw'!Z90</f>
        <v>35.1038</v>
      </c>
      <c r="Z126" s="23">
        <f>'Annual Raw'!AA87+'Annual Raw'!AA88+'Annual Raw'!AA89+'Annual Raw'!AA90</f>
        <v>43.203299999999999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43.203299999999999</v>
      </c>
      <c r="CI126" s="23">
        <f t="shared" si="1092"/>
        <v>43.203299999999999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16.626300000000001</v>
      </c>
      <c r="M127" s="23">
        <f>'Annual Raw'!N56</f>
        <v>18.457100000000001</v>
      </c>
      <c r="N127" s="23">
        <f>'Annual Raw'!O56</f>
        <v>10.1332</v>
      </c>
      <c r="O127" s="23">
        <f>'Annual Raw'!P56</f>
        <v>33.645299999999999</v>
      </c>
      <c r="P127" s="23">
        <f>'Annual Raw'!Q56</f>
        <v>32.1205</v>
      </c>
      <c r="Q127" s="23">
        <f>'Annual Raw'!R56</f>
        <v>41.392000000000003</v>
      </c>
      <c r="R127" s="23">
        <f>'Annual Raw'!S56</f>
        <v>41.000599999999999</v>
      </c>
      <c r="S127" s="23">
        <f>'Annual Raw'!T56</f>
        <v>68.349999999999994</v>
      </c>
      <c r="T127" s="23">
        <f>'Annual Raw'!U56</f>
        <v>67.011099999999999</v>
      </c>
      <c r="U127" s="23">
        <f>'Annual Raw'!V56</f>
        <v>59.3459</v>
      </c>
      <c r="V127" s="23">
        <f>'Annual Raw'!W56</f>
        <v>37.799799999999998</v>
      </c>
      <c r="W127" s="23">
        <f>'Annual Raw'!X56</f>
        <v>43.540500000000002</v>
      </c>
      <c r="X127" s="23">
        <f>'Annual Raw'!Y56</f>
        <v>25.568000000000001</v>
      </c>
      <c r="Y127" s="23">
        <f>'Annual Raw'!Z56</f>
        <v>34.270400000000002</v>
      </c>
      <c r="Z127" s="23">
        <f>'Annual Raw'!AA56</f>
        <v>37.645699999999998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20.254999999999999</v>
      </c>
      <c r="AK127" s="23">
        <f t="shared" si="1090"/>
        <v>20.254999999999999</v>
      </c>
      <c r="AL127" s="23">
        <f>+'QTR Raw'!F88</f>
        <v>10.132999999999999</v>
      </c>
      <c r="AM127" s="23">
        <f t="shared" si="1090"/>
        <v>10.132999999999999</v>
      </c>
      <c r="AN127" s="23">
        <f>+'QTR Raw'!H88</f>
        <v>23.05</v>
      </c>
      <c r="AO127" s="23">
        <f t="shared" si="1090"/>
        <v>23.05</v>
      </c>
      <c r="AP127" s="23">
        <f>+'QTR Raw'!J88</f>
        <v>33.65</v>
      </c>
      <c r="AQ127" s="23">
        <f t="shared" si="1090"/>
        <v>33.65</v>
      </c>
      <c r="AR127" s="23">
        <f>+'QTR Raw'!L88</f>
        <v>35.369999999999997</v>
      </c>
      <c r="AS127" s="23">
        <f t="shared" si="1090"/>
        <v>35.369999999999997</v>
      </c>
      <c r="AT127" s="23">
        <f>+'QTR Raw'!N88</f>
        <v>32.119999999999997</v>
      </c>
      <c r="AU127" s="23">
        <f t="shared" si="1090"/>
        <v>32.119999999999997</v>
      </c>
      <c r="AV127" s="23">
        <f>+'QTR Raw'!P88</f>
        <v>51.23</v>
      </c>
      <c r="AW127" s="23">
        <f t="shared" si="1090"/>
        <v>51.23</v>
      </c>
      <c r="AX127" s="23">
        <f>+'QTR Raw'!R88</f>
        <v>41.39</v>
      </c>
      <c r="AY127" s="23">
        <f t="shared" si="1090"/>
        <v>41.39</v>
      </c>
      <c r="AZ127" s="23">
        <f>+'QTR Raw'!T88</f>
        <v>40.44</v>
      </c>
      <c r="BA127" s="23">
        <f t="shared" si="1090"/>
        <v>40.44</v>
      </c>
      <c r="BB127" s="23">
        <f>+'QTR Raw'!V88</f>
        <v>41</v>
      </c>
      <c r="BC127" s="23">
        <f t="shared" si="1090"/>
        <v>41</v>
      </c>
      <c r="BD127" s="23">
        <f>+'QTR Raw'!X88</f>
        <v>48.87</v>
      </c>
      <c r="BE127" s="23">
        <f t="shared" si="1090"/>
        <v>48.87</v>
      </c>
      <c r="BF127" s="23">
        <f>+'QTR Raw'!Z88</f>
        <v>68.349999999999994</v>
      </c>
      <c r="BG127" s="23">
        <f t="shared" si="1090"/>
        <v>68.349999999999994</v>
      </c>
      <c r="BH127" s="23">
        <f>+'QTR Raw'!AB88</f>
        <v>67.099999999999994</v>
      </c>
      <c r="BI127" s="23">
        <f t="shared" si="1090"/>
        <v>67.099999999999994</v>
      </c>
      <c r="BJ127" s="23">
        <f>+'QTR Raw'!AD88</f>
        <v>67.010000000000005</v>
      </c>
      <c r="BK127" s="23">
        <f t="shared" si="1090"/>
        <v>67.010000000000005</v>
      </c>
      <c r="BL127" s="23">
        <f>+'QTR Raw'!AF88</f>
        <v>63.55</v>
      </c>
      <c r="BM127" s="23">
        <f t="shared" si="1090"/>
        <v>63.55</v>
      </c>
      <c r="BN127" s="23">
        <f>+'QTR Raw'!AH88</f>
        <v>59.35</v>
      </c>
      <c r="BO127" s="23">
        <f t="shared" si="1090"/>
        <v>59.35</v>
      </c>
      <c r="BP127" s="23">
        <f>+'QTR Raw'!AJ88</f>
        <v>45.38</v>
      </c>
      <c r="BQ127" s="23">
        <f t="shared" si="1090"/>
        <v>45.38</v>
      </c>
      <c r="BR127" s="23">
        <f>+'QTR Raw'!AL88</f>
        <v>37.799999999999997</v>
      </c>
      <c r="BS127" s="23">
        <f t="shared" si="1090"/>
        <v>37.799999999999997</v>
      </c>
      <c r="BT127" s="23">
        <f>+'QTR Raw'!AN88</f>
        <v>34.549999999999997</v>
      </c>
      <c r="BU127" s="23">
        <f t="shared" si="1090"/>
        <v>34.549999999999997</v>
      </c>
      <c r="BV127" s="23">
        <f>+'QTR Raw'!AP88</f>
        <v>43.54</v>
      </c>
      <c r="BW127" s="23">
        <f t="shared" si="1090"/>
        <v>43.54</v>
      </c>
      <c r="BX127" s="23">
        <f>+'QTR Raw'!AR88</f>
        <v>48.48</v>
      </c>
      <c r="BY127" s="23">
        <f t="shared" si="1090"/>
        <v>48.48</v>
      </c>
      <c r="BZ127" s="23">
        <f>+'QTR Raw'!AT88</f>
        <v>36.07</v>
      </c>
      <c r="CA127" s="23">
        <f t="shared" si="1090"/>
        <v>36.07</v>
      </c>
      <c r="CB127" s="23">
        <f>+'QTR Raw'!AV88</f>
        <v>48.22</v>
      </c>
      <c r="CC127" s="23">
        <f t="shared" si="1090"/>
        <v>48.22</v>
      </c>
      <c r="CD127" s="23">
        <f>+'QTR Raw'!AX88</f>
        <v>69.37</v>
      </c>
      <c r="CE127" s="23">
        <f t="shared" si="1091"/>
        <v>69.37</v>
      </c>
      <c r="CF127" s="23">
        <f>+'QTR Raw'!AZ88</f>
        <v>78.930000000000007</v>
      </c>
      <c r="CG127" s="23">
        <f t="shared" si="1092"/>
        <v>78.930000000000007</v>
      </c>
      <c r="CH127" s="23">
        <f t="shared" si="1068"/>
        <v>37.645699999999998</v>
      </c>
      <c r="CI127" s="23">
        <f t="shared" si="1092"/>
        <v>37.645699999999998</v>
      </c>
      <c r="CJ127" s="23">
        <f>+'QTR Raw'!BD88</f>
        <v>71.69</v>
      </c>
      <c r="CK127" s="24">
        <f t="shared" si="1093"/>
        <v>71.69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71.69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14.6098062</v>
      </c>
      <c r="F128" s="22">
        <f t="shared" si="1110"/>
        <v>15.2182928</v>
      </c>
      <c r="G128" s="22">
        <f t="shared" si="1110"/>
        <v>22.773071399999999</v>
      </c>
      <c r="H128" s="22">
        <f t="shared" si="1110"/>
        <v>25.061700000000002</v>
      </c>
      <c r="I128" s="22">
        <f t="shared" si="1110"/>
        <v>26.113199999999999</v>
      </c>
      <c r="J128" s="22">
        <f t="shared" si="1110"/>
        <v>29.2788</v>
      </c>
      <c r="K128" s="22">
        <f t="shared" si="1110"/>
        <v>31.520499999999998</v>
      </c>
      <c r="L128" s="22">
        <f t="shared" si="1110"/>
        <v>39.965900000000005</v>
      </c>
      <c r="M128" s="22">
        <f t="shared" si="1110"/>
        <v>43.308</v>
      </c>
      <c r="N128" s="22">
        <f t="shared" si="1110"/>
        <v>43.770700000000005</v>
      </c>
      <c r="O128" s="22">
        <f t="shared" si="1110"/>
        <v>56.254099999999994</v>
      </c>
      <c r="P128" s="22">
        <f t="shared" si="1110"/>
        <v>74.76509999999999</v>
      </c>
      <c r="Q128" s="22">
        <f t="shared" si="1110"/>
        <v>101.3792</v>
      </c>
      <c r="R128" s="22">
        <f t="shared" si="1110"/>
        <v>99.546899999999994</v>
      </c>
      <c r="S128" s="22">
        <f t="shared" si="1110"/>
        <v>110.08519999999999</v>
      </c>
      <c r="T128" s="22">
        <f t="shared" si="1110"/>
        <v>105.76130000000001</v>
      </c>
      <c r="U128" s="22">
        <f t="shared" si="1110"/>
        <v>109.3459</v>
      </c>
      <c r="V128" s="22">
        <f t="shared" si="1110"/>
        <v>87.799800000000005</v>
      </c>
      <c r="W128" s="22">
        <f t="shared" ref="W128" si="1111">SUM(W124:W127)</f>
        <v>78.540500000000009</v>
      </c>
      <c r="X128" s="22">
        <f t="shared" ref="X128:Y128" si="1112">SUM(X124:X127)</f>
        <v>77.121300000000005</v>
      </c>
      <c r="Y128" s="22">
        <f t="shared" si="1112"/>
        <v>85.473299999999995</v>
      </c>
      <c r="Z128" s="22">
        <f t="shared" ref="Z128:AA128" si="1113">SUM(Z124:Z127)</f>
        <v>100.3779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37.459999999999994</v>
      </c>
      <c r="AK128" s="22">
        <f t="shared" ref="AK128" si="1117">SUM(AK124:AK127)</f>
        <v>37.459999999999994</v>
      </c>
      <c r="AL128" s="22">
        <f t="shared" ref="AL128:AM128" si="1118">SUM(AL124:AL127)</f>
        <v>28.65</v>
      </c>
      <c r="AM128" s="22">
        <f t="shared" si="1118"/>
        <v>28.65</v>
      </c>
      <c r="AN128" s="22">
        <f t="shared" ref="AN128:AO128" si="1119">SUM(AN124:AN127)</f>
        <v>41.36</v>
      </c>
      <c r="AO128" s="22">
        <f t="shared" si="1119"/>
        <v>41.36</v>
      </c>
      <c r="AP128" s="22">
        <f t="shared" ref="AP128:CE128" si="1120">SUM(AP124:AP127)</f>
        <v>56.06</v>
      </c>
      <c r="AQ128" s="22">
        <f t="shared" si="1120"/>
        <v>56.06</v>
      </c>
      <c r="AR128" s="22">
        <f t="shared" si="1120"/>
        <v>65.959999999999994</v>
      </c>
      <c r="AS128" s="22">
        <f t="shared" si="1120"/>
        <v>65.959999999999994</v>
      </c>
      <c r="AT128" s="22">
        <f t="shared" si="1120"/>
        <v>74.47999999999999</v>
      </c>
      <c r="AU128" s="22">
        <f t="shared" si="1120"/>
        <v>74.47999999999999</v>
      </c>
      <c r="AV128" s="22">
        <f t="shared" si="1120"/>
        <v>110.78</v>
      </c>
      <c r="AW128" s="22">
        <f t="shared" si="1120"/>
        <v>110.78</v>
      </c>
      <c r="AX128" s="22">
        <f t="shared" si="1120"/>
        <v>101.00999999999999</v>
      </c>
      <c r="AY128" s="22">
        <f t="shared" si="1120"/>
        <v>101.00999999999999</v>
      </c>
      <c r="AZ128" s="22">
        <f t="shared" si="1120"/>
        <v>99.68</v>
      </c>
      <c r="BA128" s="22">
        <f t="shared" si="1120"/>
        <v>99.68</v>
      </c>
      <c r="BB128" s="22">
        <f t="shared" si="1120"/>
        <v>82.210000000000008</v>
      </c>
      <c r="BC128" s="22">
        <f t="shared" si="1120"/>
        <v>82.210000000000008</v>
      </c>
      <c r="BD128" s="22">
        <f t="shared" si="1120"/>
        <v>94.37</v>
      </c>
      <c r="BE128" s="22">
        <f t="shared" si="1120"/>
        <v>94.37</v>
      </c>
      <c r="BF128" s="22">
        <f t="shared" si="1120"/>
        <v>105.10999999999999</v>
      </c>
      <c r="BG128" s="22">
        <f t="shared" si="1120"/>
        <v>105.10999999999999</v>
      </c>
      <c r="BH128" s="22">
        <f t="shared" ref="BH128" si="1121">SUM(BH124:BH127)</f>
        <v>98.06</v>
      </c>
      <c r="BI128" s="22">
        <f t="shared" si="1120"/>
        <v>98.06</v>
      </c>
      <c r="BJ128" s="22">
        <f t="shared" si="1120"/>
        <v>83.610000000000014</v>
      </c>
      <c r="BK128" s="22">
        <f t="shared" si="1120"/>
        <v>83.610000000000014</v>
      </c>
      <c r="BL128" s="22">
        <f t="shared" si="1120"/>
        <v>113.55</v>
      </c>
      <c r="BM128" s="22">
        <f t="shared" si="1120"/>
        <v>113.55</v>
      </c>
      <c r="BN128" s="22">
        <f t="shared" si="1120"/>
        <v>109.35</v>
      </c>
      <c r="BO128" s="22">
        <f t="shared" si="1120"/>
        <v>109.35</v>
      </c>
      <c r="BP128" s="22">
        <f t="shared" si="1120"/>
        <v>95.38</v>
      </c>
      <c r="BQ128" s="22">
        <f t="shared" si="1120"/>
        <v>95.38</v>
      </c>
      <c r="BR128" s="22">
        <f t="shared" si="1120"/>
        <v>87.8</v>
      </c>
      <c r="BS128" s="22">
        <f t="shared" si="1120"/>
        <v>87.8</v>
      </c>
      <c r="BT128" s="22">
        <f t="shared" si="1120"/>
        <v>63.519999999999996</v>
      </c>
      <c r="BU128" s="22">
        <f t="shared" si="1120"/>
        <v>63.519999999999996</v>
      </c>
      <c r="BV128" s="22">
        <f t="shared" si="1120"/>
        <v>78.539999999999992</v>
      </c>
      <c r="BW128" s="22">
        <f t="shared" si="1120"/>
        <v>78.539999999999992</v>
      </c>
      <c r="BX128" s="22">
        <f t="shared" si="1120"/>
        <v>83.47999999999999</v>
      </c>
      <c r="BY128" s="22">
        <f t="shared" si="1120"/>
        <v>83.47999999999999</v>
      </c>
      <c r="BZ128" s="22">
        <f t="shared" si="1120"/>
        <v>77.12</v>
      </c>
      <c r="CA128" s="22">
        <f t="shared" si="1120"/>
        <v>77.12</v>
      </c>
      <c r="CB128" s="22">
        <f t="shared" si="1120"/>
        <v>78.94</v>
      </c>
      <c r="CC128" s="22">
        <f t="shared" si="1120"/>
        <v>78.94</v>
      </c>
      <c r="CD128" s="22">
        <f t="shared" si="1120"/>
        <v>85.47</v>
      </c>
      <c r="CE128" s="22">
        <f t="shared" si="1120"/>
        <v>85.47</v>
      </c>
      <c r="CF128" s="22">
        <f t="shared" ref="CF128:CG128" si="1122">SUM(CF124:CF127)</f>
        <v>101.73</v>
      </c>
      <c r="CG128" s="22">
        <f t="shared" si="1122"/>
        <v>101.73</v>
      </c>
      <c r="CH128" s="22">
        <f t="shared" ref="CH128:CI128" si="1123">SUM(CH124:CH127)</f>
        <v>100.3779</v>
      </c>
      <c r="CI128" s="22">
        <f t="shared" si="1123"/>
        <v>100.3779</v>
      </c>
      <c r="CJ128" s="22">
        <f t="shared" ref="CJ128:DB128" si="1124">SUM(CJ124:CJ127)</f>
        <v>87.65</v>
      </c>
      <c r="CK128" s="21">
        <f t="shared" si="1124"/>
        <v>87.65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87.65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16.4761101</v>
      </c>
      <c r="F129" s="26">
        <f t="shared" si="1126"/>
        <v>16.345477800000001</v>
      </c>
      <c r="G129" s="26">
        <f t="shared" si="1126"/>
        <v>27.738841999999998</v>
      </c>
      <c r="H129" s="26">
        <f t="shared" si="1126"/>
        <v>32.774700000000003</v>
      </c>
      <c r="I129" s="26">
        <f t="shared" si="1126"/>
        <v>37.564599999999999</v>
      </c>
      <c r="J129" s="26">
        <f t="shared" si="1126"/>
        <v>44.389000000000003</v>
      </c>
      <c r="K129" s="26">
        <f t="shared" si="1126"/>
        <v>49.572299999999998</v>
      </c>
      <c r="L129" s="26">
        <f t="shared" si="1126"/>
        <v>59.518600000000006</v>
      </c>
      <c r="M129" s="26">
        <f t="shared" si="1126"/>
        <v>63.924399999999999</v>
      </c>
      <c r="N129" s="26">
        <f t="shared" si="1126"/>
        <v>65.229399999999998</v>
      </c>
      <c r="O129" s="26">
        <f t="shared" si="1126"/>
        <v>77.308199999999999</v>
      </c>
      <c r="P129" s="26">
        <f t="shared" si="1126"/>
        <v>92.411399999999986</v>
      </c>
      <c r="Q129" s="26">
        <f t="shared" si="1126"/>
        <v>118.17999999999999</v>
      </c>
      <c r="R129" s="26">
        <f t="shared" si="1126"/>
        <v>109.3852</v>
      </c>
      <c r="S129" s="26">
        <f t="shared" si="1126"/>
        <v>121.17499999999998</v>
      </c>
      <c r="T129" s="26">
        <f t="shared" si="1126"/>
        <v>117.03160000000001</v>
      </c>
      <c r="U129" s="26">
        <f t="shared" si="1126"/>
        <v>121.1675</v>
      </c>
      <c r="V129" s="26">
        <f t="shared" si="1126"/>
        <v>113.9423</v>
      </c>
      <c r="W129" s="26">
        <f t="shared" ref="W129" si="1127">W128+W120+W122</f>
        <v>132.21270000000001</v>
      </c>
      <c r="X129" s="26">
        <f t="shared" ref="X129:Y129" si="1128">X128+X120+X122</f>
        <v>143.12010000000001</v>
      </c>
      <c r="Y129" s="26">
        <f t="shared" si="1128"/>
        <v>167.6635</v>
      </c>
      <c r="Z129" s="26">
        <f t="shared" ref="Z129:AA129" si="1129">Z128+Z120+Z122</f>
        <v>196.06649999999999</v>
      </c>
      <c r="AA129" s="26">
        <f t="shared" si="1129"/>
        <v>252.18790000000001</v>
      </c>
      <c r="AB129" s="27">
        <f t="shared" ref="AA129:AD129" si="1130">AB128+AB120+AB122</f>
        <v>288.4184322337515</v>
      </c>
      <c r="AC129" s="27">
        <f t="shared" si="1130"/>
        <v>331.70651133501917</v>
      </c>
      <c r="AD129" s="27">
        <f t="shared" si="1130"/>
        <v>382.52351693727707</v>
      </c>
      <c r="AE129" s="27">
        <f t="shared" ref="AE129" si="1131">AE128+AE120+AE122</f>
        <v>441.78516642039892</v>
      </c>
      <c r="AJ129" s="26">
        <f t="shared" ref="AJ129" si="1132">AJ128+AJ120+AJ122</f>
        <v>58.884999999999991</v>
      </c>
      <c r="AK129" s="26">
        <f t="shared" ref="AK129" si="1133">AK128+AK120+AK122</f>
        <v>58.554999999999993</v>
      </c>
      <c r="AL129" s="26">
        <f t="shared" ref="AL129" si="1134">AL128+AL120+AL122</f>
        <v>50.108999999999995</v>
      </c>
      <c r="AM129" s="26">
        <f t="shared" ref="AM129:AO129" si="1135">AM128+AM120+AM122</f>
        <v>49.869</v>
      </c>
      <c r="AN129" s="26">
        <f t="shared" si="1135"/>
        <v>63.7</v>
      </c>
      <c r="AO129" s="26">
        <f t="shared" si="1135"/>
        <v>65.319999999999993</v>
      </c>
      <c r="AP129" s="26">
        <f t="shared" ref="AP129:CE129" si="1136">AP128+AP120+AP122</f>
        <v>77.11</v>
      </c>
      <c r="AQ129" s="26">
        <f t="shared" si="1136"/>
        <v>77.14</v>
      </c>
      <c r="AR129" s="26">
        <f t="shared" si="1136"/>
        <v>86.55</v>
      </c>
      <c r="AS129" s="26">
        <f t="shared" si="1136"/>
        <v>84.45999999999998</v>
      </c>
      <c r="AT129" s="26">
        <f t="shared" si="1136"/>
        <v>92.11999999999999</v>
      </c>
      <c r="AU129" s="26">
        <f t="shared" si="1136"/>
        <v>92.97999999999999</v>
      </c>
      <c r="AV129" s="26">
        <f t="shared" si="1136"/>
        <v>128.94</v>
      </c>
      <c r="AW129" s="26">
        <f t="shared" si="1136"/>
        <v>127.36</v>
      </c>
      <c r="AX129" s="26">
        <f t="shared" si="1136"/>
        <v>117.80999999999999</v>
      </c>
      <c r="AY129" s="26">
        <f t="shared" si="1136"/>
        <v>117.13</v>
      </c>
      <c r="AZ129" s="26">
        <f t="shared" si="1136"/>
        <v>115.62</v>
      </c>
      <c r="BA129" s="26">
        <f t="shared" si="1136"/>
        <v>112.96000000000001</v>
      </c>
      <c r="BB129" s="26">
        <f t="shared" si="1136"/>
        <v>92.050000000000011</v>
      </c>
      <c r="BC129" s="26">
        <f t="shared" si="1136"/>
        <v>91.110000000000014</v>
      </c>
      <c r="BD129" s="26">
        <f t="shared" si="1136"/>
        <v>103.7</v>
      </c>
      <c r="BE129" s="26">
        <f t="shared" si="1136"/>
        <v>104.03</v>
      </c>
      <c r="BF129" s="26">
        <f t="shared" si="1136"/>
        <v>116.19999999999999</v>
      </c>
      <c r="BG129" s="26">
        <f t="shared" si="1136"/>
        <v>116.66999999999997</v>
      </c>
      <c r="BH129" s="26">
        <f t="shared" ref="BH129" si="1137">BH128+BH120+BH122</f>
        <v>109.84</v>
      </c>
      <c r="BI129" s="26">
        <f t="shared" si="1136"/>
        <v>106.96000000000001</v>
      </c>
      <c r="BJ129" s="26">
        <f t="shared" si="1136"/>
        <v>94.88000000000001</v>
      </c>
      <c r="BK129" s="26">
        <f t="shared" si="1136"/>
        <v>94.450000000000017</v>
      </c>
      <c r="BL129" s="26">
        <f t="shared" si="1136"/>
        <v>125.69999999999999</v>
      </c>
      <c r="BM129" s="26">
        <f t="shared" si="1136"/>
        <v>124.58</v>
      </c>
      <c r="BN129" s="26">
        <f t="shared" si="1136"/>
        <v>121.16999999999999</v>
      </c>
      <c r="BO129" s="26">
        <f t="shared" si="1136"/>
        <v>121.97999999999999</v>
      </c>
      <c r="BP129" s="26">
        <f t="shared" si="1136"/>
        <v>114.1</v>
      </c>
      <c r="BQ129" s="26">
        <f t="shared" si="1136"/>
        <v>118.03999999999999</v>
      </c>
      <c r="BR129" s="26">
        <f t="shared" si="1136"/>
        <v>113.94</v>
      </c>
      <c r="BS129" s="26">
        <f t="shared" si="1136"/>
        <v>130.26</v>
      </c>
      <c r="BT129" s="26">
        <f t="shared" si="1136"/>
        <v>110.64</v>
      </c>
      <c r="BU129" s="26">
        <f t="shared" si="1136"/>
        <v>114.43</v>
      </c>
      <c r="BV129" s="26">
        <f t="shared" si="1136"/>
        <v>132.20999999999998</v>
      </c>
      <c r="BW129" s="26">
        <f t="shared" si="1136"/>
        <v>136.02999999999997</v>
      </c>
      <c r="BX129" s="26">
        <f t="shared" si="1136"/>
        <v>145.01999999999998</v>
      </c>
      <c r="BY129" s="26">
        <f t="shared" si="1136"/>
        <v>146.01999999999998</v>
      </c>
      <c r="BZ129" s="26">
        <f t="shared" si="1136"/>
        <v>143.12</v>
      </c>
      <c r="CA129" s="26">
        <f t="shared" si="1136"/>
        <v>146.95999999999998</v>
      </c>
      <c r="CB129" s="26">
        <f t="shared" si="1136"/>
        <v>151.26</v>
      </c>
      <c r="CC129" s="26">
        <f t="shared" si="1136"/>
        <v>156.38999999999999</v>
      </c>
      <c r="CD129" s="26">
        <f t="shared" si="1136"/>
        <v>167.66</v>
      </c>
      <c r="CE129" s="26">
        <f t="shared" si="1136"/>
        <v>171.67</v>
      </c>
      <c r="CF129" s="26">
        <f t="shared" ref="CF129:CG129" si="1138">CF128+CF120+CF122</f>
        <v>190.07999999999998</v>
      </c>
      <c r="CG129" s="26">
        <f t="shared" si="1138"/>
        <v>191.71</v>
      </c>
      <c r="CH129" s="26">
        <f t="shared" ref="CH129:CI129" si="1139">CH128+CH120+CH122</f>
        <v>196.06649999999999</v>
      </c>
      <c r="CI129" s="26">
        <f t="shared" si="1139"/>
        <v>202.88650000000001</v>
      </c>
      <c r="CJ129" s="26">
        <f t="shared" ref="CJ129:DB129" si="1140">CJ128+CJ120+CJ122</f>
        <v>195.44</v>
      </c>
      <c r="CK129" s="27">
        <f t="shared" si="1140"/>
        <v>200.32999999999998</v>
      </c>
      <c r="CL129" s="26">
        <f t="shared" ref="CL129" si="1141">CL128+CL120+CL122</f>
        <v>252.17999999999998</v>
      </c>
      <c r="CM129" s="27">
        <f t="shared" si="1140"/>
        <v>261.90389250247915</v>
      </c>
      <c r="CN129" s="27">
        <f t="shared" si="1140"/>
        <v>272.14914395589108</v>
      </c>
      <c r="CO129" s="27">
        <f t="shared" si="1140"/>
        <v>279.28978433470633</v>
      </c>
      <c r="CP129" s="27">
        <f t="shared" si="1140"/>
        <v>288.4184322337515</v>
      </c>
      <c r="CQ129" s="27">
        <f t="shared" si="1140"/>
        <v>300.46524917262258</v>
      </c>
      <c r="CR129" s="27">
        <f t="shared" si="1140"/>
        <v>312.81344658964355</v>
      </c>
      <c r="CS129" s="27">
        <f t="shared" si="1140"/>
        <v>321.40911384517079</v>
      </c>
      <c r="CT129" s="27">
        <f t="shared" si="1140"/>
        <v>331.70651133501917</v>
      </c>
      <c r="CU129" s="27">
        <f t="shared" si="1140"/>
        <v>345.96796847202324</v>
      </c>
      <c r="CV129" s="27">
        <f t="shared" si="1140"/>
        <v>360.43774969294492</v>
      </c>
      <c r="CW129" s="27">
        <f t="shared" si="1140"/>
        <v>370.53469898573701</v>
      </c>
      <c r="CX129" s="27">
        <f t="shared" si="1140"/>
        <v>382.52351693727707</v>
      </c>
      <c r="CY129" s="27">
        <f t="shared" si="1140"/>
        <v>399.16319296687425</v>
      </c>
      <c r="CZ129" s="27">
        <f t="shared" si="1140"/>
        <v>415.99493449811035</v>
      </c>
      <c r="DA129" s="27">
        <f t="shared" si="1140"/>
        <v>427.80839773886737</v>
      </c>
      <c r="DB129" s="27">
        <f t="shared" si="1140"/>
        <v>441.78516642039892</v>
      </c>
      <c r="DE129" s="121"/>
      <c r="DF129" s="26">
        <v>209.82153592233749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17.685231300000002</v>
      </c>
      <c r="F131" s="23">
        <f>'Annual Raw'!G62-F135</f>
        <v>17.820239600000001</v>
      </c>
      <c r="G131" s="23">
        <f>'Annual Raw'!H62-G135</f>
        <v>20.4151308</v>
      </c>
      <c r="H131" s="23">
        <f>'Annual Raw'!I62-H135</f>
        <v>30.045999999999999</v>
      </c>
      <c r="I131" s="23">
        <f>'Annual Raw'!J62-I135</f>
        <v>35.036099999999998</v>
      </c>
      <c r="J131" s="23">
        <f>'Annual Raw'!K62-J135</f>
        <v>38.664000000000001</v>
      </c>
      <c r="K131" s="23">
        <f>'Annual Raw'!L62-K135</f>
        <v>43.540599999999998</v>
      </c>
      <c r="L131" s="23">
        <f>'Annual Raw'!M62-L135</f>
        <v>46.481200000000001</v>
      </c>
      <c r="M131" s="23">
        <f>'Annual Raw'!N62-M135</f>
        <v>52.742199999999997</v>
      </c>
      <c r="N131" s="23">
        <f>'Annual Raw'!O62-N135</f>
        <v>54.213200000000001</v>
      </c>
      <c r="O131" s="23">
        <f>'Annual Raw'!P62-O135</f>
        <v>52.357700000000001</v>
      </c>
      <c r="P131" s="23">
        <f>'Annual Raw'!Q62-P135</f>
        <v>53.123100000000001</v>
      </c>
      <c r="Q131" s="23">
        <f>'Annual Raw'!R62-Q135</f>
        <v>106.50579999999999</v>
      </c>
      <c r="R131" s="23">
        <f>'Annual Raw'!S62-R135</f>
        <v>79.8262</v>
      </c>
      <c r="S131" s="23">
        <f>'Annual Raw'!T62-S135</f>
        <v>82.511899999999997</v>
      </c>
      <c r="T131" s="23">
        <f>'Annual Raw'!U62-T135</f>
        <v>86.328100000000006</v>
      </c>
      <c r="U131" s="23">
        <f>'Annual Raw'!V62-U135</f>
        <v>94.970399999999998</v>
      </c>
      <c r="V131" s="23">
        <f>'Annual Raw'!W62-V135</f>
        <v>94.896799999999999</v>
      </c>
      <c r="W131" s="23">
        <f>'Annual Raw'!X62-W135</f>
        <v>105.5132</v>
      </c>
      <c r="X131" s="23">
        <f>'Annual Raw'!Y62-X135</f>
        <v>119.5962</v>
      </c>
      <c r="Y131" s="23">
        <f>'Annual Raw'!Z62-Y135</f>
        <v>122.04130000000001</v>
      </c>
      <c r="Z131" s="23">
        <f>'Annual Raw'!AA62-Z135</f>
        <v>185.3459</v>
      </c>
      <c r="AA131" s="23">
        <f>'Annual Raw'!AB62-AA135</f>
        <v>221.49529999999999</v>
      </c>
      <c r="AB131" s="24">
        <f t="shared" ref="AB131:AB137" si="1142">+CP131</f>
        <v>237.29045454545454</v>
      </c>
      <c r="AC131" s="24">
        <f t="shared" ref="AC131:AC137" si="1143">+CT131</f>
        <v>250.66790909090909</v>
      </c>
      <c r="AD131" s="24">
        <f t="shared" ref="AD131:AD137" si="1144">+CX131</f>
        <v>264.04536363636362</v>
      </c>
      <c r="AE131" s="24">
        <f t="shared" ref="AE131:AE137" si="1145">+DB131</f>
        <v>277.42281818181823</v>
      </c>
      <c r="AJ131" s="23">
        <f>+'QTR Raw'!D68</f>
        <v>36.793999999999997</v>
      </c>
      <c r="AL131" s="23">
        <f>+'QTR Raw'!F68</f>
        <v>35.881</v>
      </c>
      <c r="AN131" s="23">
        <f>+'QTR Raw'!H68</f>
        <v>35.67</v>
      </c>
      <c r="AP131" s="23">
        <f>+'QTR Raw'!J68</f>
        <v>36.71</v>
      </c>
      <c r="AR131" s="23">
        <f>+'QTR Raw'!L68</f>
        <v>41.96</v>
      </c>
      <c r="AT131" s="23">
        <f>+'QTR Raw'!N68</f>
        <v>78.319999999999993</v>
      </c>
      <c r="AV131" s="23">
        <f>+'QTR Raw'!P68</f>
        <v>80.72</v>
      </c>
      <c r="AX131" s="23">
        <f>+'QTR Raw'!R68</f>
        <v>79.27</v>
      </c>
      <c r="AZ131" s="23">
        <f>+'QTR Raw'!T68</f>
        <v>79.39</v>
      </c>
      <c r="BB131" s="23">
        <f>+'QTR Raw'!V68</f>
        <v>73.930000000000007</v>
      </c>
      <c r="BD131" s="23">
        <f>+'QTR Raw'!X68</f>
        <v>73.02</v>
      </c>
      <c r="BF131" s="23">
        <f>+'QTR Raw'!Z68</f>
        <v>70.739999999999995</v>
      </c>
      <c r="BH131" s="23">
        <f>+'QTR Raw'!AB68</f>
        <v>69.44</v>
      </c>
      <c r="BJ131" s="23">
        <f>+'QTR Raw'!AD68</f>
        <v>68.69</v>
      </c>
      <c r="BL131" s="23">
        <f>+'QTR Raw'!AF68</f>
        <v>66.569999999999993</v>
      </c>
      <c r="BN131" s="23">
        <f>+'QTR Raw'!AH68</f>
        <v>71.239999999999995</v>
      </c>
      <c r="BP131" s="23">
        <f>+'QTR Raw'!AJ68</f>
        <v>68.459999999999994</v>
      </c>
      <c r="BR131" s="23">
        <f>+'QTR Raw'!AL68</f>
        <v>66.27</v>
      </c>
      <c r="BT131" s="23">
        <f>+'QTR Raw'!AN68</f>
        <v>64.59</v>
      </c>
      <c r="BV131" s="23">
        <f>+'QTR Raw'!AP68</f>
        <v>71.08</v>
      </c>
      <c r="BX131" s="23">
        <f>+'QTR Raw'!AR68</f>
        <v>67.849999999999994</v>
      </c>
      <c r="BZ131" s="23">
        <f>+'QTR Raw'!AT68</f>
        <v>79.42</v>
      </c>
      <c r="CB131" s="23">
        <f>+'QTR Raw'!AV68</f>
        <v>76.03</v>
      </c>
      <c r="CD131" s="23">
        <f>+'QTR Raw'!AX68</f>
        <v>74.69</v>
      </c>
      <c r="CF131" s="23">
        <f>+'QTR Raw'!AZ68</f>
        <v>115.36</v>
      </c>
      <c r="CH131" s="23">
        <f t="shared" ref="CH131:CH137" si="1146">Z131</f>
        <v>185.3459</v>
      </c>
      <c r="CI131" s="23">
        <f>CH131</f>
        <v>185.3459</v>
      </c>
      <c r="CJ131" s="23">
        <f>+CJ132+CJ134</f>
        <v>189.21299999999999</v>
      </c>
      <c r="CK131" s="24">
        <f t="shared" ref="CK131:DB131" si="1147">+CK132+CK134</f>
        <v>191.90299999999999</v>
      </c>
      <c r="CL131" s="23">
        <f>+CL132+CL134</f>
        <v>223.91299999999998</v>
      </c>
      <c r="CM131" s="24">
        <f t="shared" si="1147"/>
        <v>227.25736363636361</v>
      </c>
      <c r="CN131" s="24">
        <f t="shared" si="1147"/>
        <v>230.60172727272726</v>
      </c>
      <c r="CO131" s="24">
        <f t="shared" si="1147"/>
        <v>233.94609090909091</v>
      </c>
      <c r="CP131" s="24">
        <f t="shared" si="1147"/>
        <v>237.29045454545454</v>
      </c>
      <c r="CQ131" s="24">
        <f t="shared" si="1147"/>
        <v>240.63481818181816</v>
      </c>
      <c r="CR131" s="24">
        <f t="shared" si="1147"/>
        <v>243.97918181818181</v>
      </c>
      <c r="CS131" s="24">
        <f t="shared" si="1147"/>
        <v>247.32354545454547</v>
      </c>
      <c r="CT131" s="24">
        <f t="shared" si="1147"/>
        <v>250.66790909090909</v>
      </c>
      <c r="CU131" s="24">
        <f t="shared" si="1147"/>
        <v>254.01227272727272</v>
      </c>
      <c r="CV131" s="24">
        <f t="shared" si="1147"/>
        <v>257.35663636363637</v>
      </c>
      <c r="CW131" s="24">
        <f t="shared" si="1147"/>
        <v>260.70100000000002</v>
      </c>
      <c r="CX131" s="24">
        <f t="shared" si="1147"/>
        <v>264.04536363636362</v>
      </c>
      <c r="CY131" s="24">
        <f t="shared" si="1147"/>
        <v>267.38972727272727</v>
      </c>
      <c r="CZ131" s="24">
        <f t="shared" si="1147"/>
        <v>270.73409090909092</v>
      </c>
      <c r="DA131" s="24">
        <f t="shared" si="1147"/>
        <v>274.07845454545458</v>
      </c>
      <c r="DB131" s="24">
        <f t="shared" si="1147"/>
        <v>277.42281818181823</v>
      </c>
      <c r="DE131" s="123"/>
      <c r="DF131" s="23">
        <v>194.59299999999999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5.5194131000000004</v>
      </c>
      <c r="F132" s="23">
        <f>'Annual Raw'!G63</f>
        <v>6.2789586000000002</v>
      </c>
      <c r="G132" s="23">
        <f>'Annual Raw'!H63</f>
        <v>7.1109825000000004</v>
      </c>
      <c r="H132" s="23">
        <f>'Annual Raw'!I63</f>
        <v>8.1412999999999993</v>
      </c>
      <c r="I132" s="23">
        <f>'Annual Raw'!J63</f>
        <v>9.2712000000000003</v>
      </c>
      <c r="J132" s="23">
        <f>'Annual Raw'!K63</f>
        <v>10.7193</v>
      </c>
      <c r="K132" s="23">
        <f>'Annual Raw'!L63</f>
        <v>12.5221</v>
      </c>
      <c r="L132" s="23">
        <f>'Annual Raw'!M63</f>
        <v>14.394299999999999</v>
      </c>
      <c r="M132" s="23">
        <f>'Annual Raw'!N63</f>
        <v>16.270900000000001</v>
      </c>
      <c r="N132" s="23">
        <f>'Annual Raw'!O63</f>
        <v>18.701699999999999</v>
      </c>
      <c r="O132" s="23">
        <f>'Annual Raw'!P63</f>
        <v>18.768599999999999</v>
      </c>
      <c r="P132" s="23">
        <f>'Annual Raw'!Q63</f>
        <v>22.358899999999998</v>
      </c>
      <c r="Q132" s="23">
        <f>'Annual Raw'!R63</f>
        <v>27.233899999999998</v>
      </c>
      <c r="R132" s="23">
        <f>'Annual Raw'!S63</f>
        <v>5.8992000000000004</v>
      </c>
      <c r="S132" s="23">
        <f>'Annual Raw'!T63</f>
        <v>11.7745</v>
      </c>
      <c r="T132" s="23">
        <f>'Annual Raw'!U63</f>
        <v>17.636399999999998</v>
      </c>
      <c r="U132" s="23">
        <f>'Annual Raw'!V63</f>
        <v>23.725999999999999</v>
      </c>
      <c r="V132" s="23">
        <f>'Annual Raw'!W63</f>
        <v>28.626799999999999</v>
      </c>
      <c r="W132" s="23">
        <f>'Annual Raw'!X63</f>
        <v>34.432499999999997</v>
      </c>
      <c r="X132" s="23">
        <f>'Annual Raw'!Y63</f>
        <v>40.180300000000003</v>
      </c>
      <c r="Y132" s="23">
        <f>'Annual Raw'!Z63</f>
        <v>47.3446</v>
      </c>
      <c r="Z132" s="23">
        <f>'Annual Raw'!AA63</f>
        <v>56.313000000000002</v>
      </c>
      <c r="AA132" s="23">
        <f>'Annual Raw'!AB63</f>
        <v>64.601699999999994</v>
      </c>
      <c r="AB132" s="24">
        <f t="shared" si="1142"/>
        <v>80.400454545454551</v>
      </c>
      <c r="AC132" s="24">
        <f t="shared" si="1143"/>
        <v>93.777909090909105</v>
      </c>
      <c r="AD132" s="24">
        <f t="shared" si="1144"/>
        <v>107.15536363636366</v>
      </c>
      <c r="AE132" s="24">
        <f t="shared" si="1145"/>
        <v>120.53281818181821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56.313000000000002</v>
      </c>
      <c r="CI132" s="23">
        <f t="shared" ref="CI132:DB132" si="1148">CH132+CI32</f>
        <v>58.963000000000001</v>
      </c>
      <c r="CJ132" s="23">
        <f t="shared" si="1148"/>
        <v>61.613</v>
      </c>
      <c r="CK132" s="24">
        <f t="shared" si="1148"/>
        <v>64.302999999999997</v>
      </c>
      <c r="CL132" s="23">
        <f t="shared" si="1148"/>
        <v>67.022999999999996</v>
      </c>
      <c r="CM132" s="24">
        <f t="shared" si="1148"/>
        <v>70.367363636363635</v>
      </c>
      <c r="CN132" s="24">
        <f t="shared" si="1148"/>
        <v>73.711727272727273</v>
      </c>
      <c r="CO132" s="24">
        <f t="shared" si="1148"/>
        <v>77.056090909090912</v>
      </c>
      <c r="CP132" s="24">
        <f t="shared" si="1148"/>
        <v>80.400454545454551</v>
      </c>
      <c r="CQ132" s="24">
        <f t="shared" si="1148"/>
        <v>83.744818181818189</v>
      </c>
      <c r="CR132" s="24">
        <f t="shared" si="1148"/>
        <v>87.089181818181828</v>
      </c>
      <c r="CS132" s="24">
        <f t="shared" si="1148"/>
        <v>90.433545454545467</v>
      </c>
      <c r="CT132" s="24">
        <f t="shared" si="1148"/>
        <v>93.777909090909105</v>
      </c>
      <c r="CU132" s="24">
        <f t="shared" si="1148"/>
        <v>97.122272727272744</v>
      </c>
      <c r="CV132" s="24">
        <f t="shared" si="1148"/>
        <v>100.46663636363638</v>
      </c>
      <c r="CW132" s="24">
        <f t="shared" si="1148"/>
        <v>103.81100000000002</v>
      </c>
      <c r="CX132" s="24">
        <f t="shared" si="1148"/>
        <v>107.15536363636366</v>
      </c>
      <c r="CY132" s="24">
        <f t="shared" si="1148"/>
        <v>110.4997272727273</v>
      </c>
      <c r="CZ132" s="24">
        <f t="shared" si="1148"/>
        <v>113.84409090909094</v>
      </c>
      <c r="DA132" s="24">
        <f t="shared" si="1148"/>
        <v>117.18845454545458</v>
      </c>
      <c r="DB132" s="24">
        <f t="shared" si="1148"/>
        <v>120.53281818181821</v>
      </c>
      <c r="DE132" s="123"/>
      <c r="DF132" s="23">
        <v>66.992999999999995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12.1658182</v>
      </c>
      <c r="F134" s="22">
        <f t="shared" si="1150"/>
        <v>11.541281000000001</v>
      </c>
      <c r="G134" s="22">
        <f t="shared" si="1150"/>
        <v>13.3041483</v>
      </c>
      <c r="H134" s="22">
        <f t="shared" si="1150"/>
        <v>21.904699999999998</v>
      </c>
      <c r="I134" s="22">
        <f t="shared" si="1150"/>
        <v>25.764899999999997</v>
      </c>
      <c r="J134" s="22">
        <f t="shared" si="1150"/>
        <v>27.944700000000001</v>
      </c>
      <c r="K134" s="22">
        <f t="shared" si="1150"/>
        <v>31.018499999999996</v>
      </c>
      <c r="L134" s="22">
        <f t="shared" si="1150"/>
        <v>32.0869</v>
      </c>
      <c r="M134" s="22">
        <f t="shared" si="1150"/>
        <v>36.471299999999999</v>
      </c>
      <c r="N134" s="22">
        <f t="shared" si="1150"/>
        <v>35.511499999999998</v>
      </c>
      <c r="O134" s="22">
        <f t="shared" si="1150"/>
        <v>33.589100000000002</v>
      </c>
      <c r="P134" s="22">
        <f t="shared" si="1150"/>
        <v>30.764200000000002</v>
      </c>
      <c r="Q134" s="22">
        <f t="shared" si="1150"/>
        <v>79.271899999999988</v>
      </c>
      <c r="R134" s="22">
        <f t="shared" si="1150"/>
        <v>73.926999999999992</v>
      </c>
      <c r="S134" s="22">
        <f t="shared" si="1150"/>
        <v>70.737399999999994</v>
      </c>
      <c r="T134" s="22">
        <f t="shared" si="1150"/>
        <v>68.691700000000012</v>
      </c>
      <c r="U134" s="22">
        <f t="shared" si="1150"/>
        <v>71.244399999999999</v>
      </c>
      <c r="V134" s="22">
        <f t="shared" si="1150"/>
        <v>66.27</v>
      </c>
      <c r="W134" s="22">
        <f t="shared" si="1150"/>
        <v>71.080700000000007</v>
      </c>
      <c r="X134" s="22">
        <f t="shared" ref="X134:Y134" si="1151">+X131-X132-X133</f>
        <v>79.415899999999993</v>
      </c>
      <c r="Y134" s="22">
        <f t="shared" si="1151"/>
        <v>74.696700000000007</v>
      </c>
      <c r="Z134" s="22">
        <f t="shared" ref="Z134:AE134" si="1152">+Z131-Z132-Z133</f>
        <v>129.03289999999998</v>
      </c>
      <c r="AA134" s="22">
        <f t="shared" ref="AA134" si="1153">+AA131-AA132-AA133</f>
        <v>156.89359999999999</v>
      </c>
      <c r="AB134" s="21">
        <f t="shared" si="1152"/>
        <v>156.88999999999999</v>
      </c>
      <c r="AC134" s="21">
        <f t="shared" si="1152"/>
        <v>156.88999999999999</v>
      </c>
      <c r="AD134" s="21">
        <f t="shared" si="1152"/>
        <v>156.88999999999996</v>
      </c>
      <c r="AE134" s="21">
        <f t="shared" si="1152"/>
        <v>156.89000000000001</v>
      </c>
      <c r="AJ134" s="22">
        <f t="shared" ref="AJ134:AL134" si="1154">+AJ131-AJ132-AJ133</f>
        <v>36.793999999999997</v>
      </c>
      <c r="AK134" s="22">
        <f t="shared" ref="AK134:CE134" si="1155">+AJ134</f>
        <v>36.793999999999997</v>
      </c>
      <c r="AL134" s="22">
        <f t="shared" si="1154"/>
        <v>35.881</v>
      </c>
      <c r="AM134" s="22">
        <f t="shared" si="1155"/>
        <v>35.881</v>
      </c>
      <c r="AN134" s="22">
        <f t="shared" ref="AN134" si="1156">+AN131-AN132-AN133</f>
        <v>35.67</v>
      </c>
      <c r="AO134" s="22">
        <f t="shared" si="1155"/>
        <v>35.67</v>
      </c>
      <c r="AP134" s="22">
        <f t="shared" ref="AP134:CD134" si="1157">+AP131-AP132-AP133</f>
        <v>36.71</v>
      </c>
      <c r="AQ134" s="22">
        <f t="shared" si="1155"/>
        <v>36.71</v>
      </c>
      <c r="AR134" s="22">
        <f t="shared" si="1157"/>
        <v>41.96</v>
      </c>
      <c r="AS134" s="22">
        <f t="shared" si="1155"/>
        <v>41.96</v>
      </c>
      <c r="AT134" s="22">
        <f t="shared" si="1157"/>
        <v>78.319999999999993</v>
      </c>
      <c r="AU134" s="22">
        <f t="shared" si="1155"/>
        <v>78.319999999999993</v>
      </c>
      <c r="AV134" s="22">
        <f t="shared" si="1157"/>
        <v>80.72</v>
      </c>
      <c r="AW134" s="22">
        <f t="shared" si="1155"/>
        <v>80.72</v>
      </c>
      <c r="AX134" s="22">
        <f t="shared" si="1157"/>
        <v>79.27</v>
      </c>
      <c r="AY134" s="22">
        <f t="shared" si="1155"/>
        <v>79.27</v>
      </c>
      <c r="AZ134" s="22">
        <f t="shared" si="1157"/>
        <v>79.39</v>
      </c>
      <c r="BA134" s="22">
        <f t="shared" si="1155"/>
        <v>79.39</v>
      </c>
      <c r="BB134" s="22">
        <f t="shared" si="1157"/>
        <v>73.930000000000007</v>
      </c>
      <c r="BC134" s="22">
        <f t="shared" si="1155"/>
        <v>73.930000000000007</v>
      </c>
      <c r="BD134" s="22">
        <f t="shared" si="1157"/>
        <v>73.02</v>
      </c>
      <c r="BE134" s="22">
        <f t="shared" si="1155"/>
        <v>73.02</v>
      </c>
      <c r="BF134" s="22">
        <f t="shared" si="1157"/>
        <v>70.739999999999995</v>
      </c>
      <c r="BG134" s="22">
        <f t="shared" si="1155"/>
        <v>70.739999999999995</v>
      </c>
      <c r="BH134" s="22">
        <f t="shared" si="1157"/>
        <v>69.44</v>
      </c>
      <c r="BI134" s="22">
        <f t="shared" si="1155"/>
        <v>69.44</v>
      </c>
      <c r="BJ134" s="22">
        <f t="shared" si="1157"/>
        <v>68.69</v>
      </c>
      <c r="BK134" s="22">
        <f t="shared" si="1155"/>
        <v>68.69</v>
      </c>
      <c r="BL134" s="22">
        <f t="shared" si="1157"/>
        <v>66.569999999999993</v>
      </c>
      <c r="BM134" s="22">
        <f t="shared" si="1155"/>
        <v>66.569999999999993</v>
      </c>
      <c r="BN134" s="22">
        <f t="shared" si="1157"/>
        <v>71.239999999999995</v>
      </c>
      <c r="BO134" s="22">
        <f t="shared" si="1155"/>
        <v>71.239999999999995</v>
      </c>
      <c r="BP134" s="22">
        <f t="shared" si="1157"/>
        <v>68.459999999999994</v>
      </c>
      <c r="BQ134" s="22">
        <f t="shared" si="1155"/>
        <v>68.459999999999994</v>
      </c>
      <c r="BR134" s="22">
        <f t="shared" si="1157"/>
        <v>66.27</v>
      </c>
      <c r="BS134" s="22">
        <f t="shared" si="1155"/>
        <v>66.27</v>
      </c>
      <c r="BT134" s="22">
        <f t="shared" si="1157"/>
        <v>64.59</v>
      </c>
      <c r="BU134" s="22">
        <f t="shared" si="1155"/>
        <v>64.59</v>
      </c>
      <c r="BV134" s="22">
        <f t="shared" si="1157"/>
        <v>71.08</v>
      </c>
      <c r="BW134" s="22">
        <f t="shared" si="1155"/>
        <v>71.08</v>
      </c>
      <c r="BX134" s="22">
        <f t="shared" si="1157"/>
        <v>67.849999999999994</v>
      </c>
      <c r="BY134" s="22">
        <f t="shared" si="1155"/>
        <v>67.849999999999994</v>
      </c>
      <c r="BZ134" s="22">
        <f t="shared" si="1157"/>
        <v>79.42</v>
      </c>
      <c r="CA134" s="22">
        <f t="shared" si="1155"/>
        <v>79.42</v>
      </c>
      <c r="CB134" s="22">
        <f t="shared" si="1157"/>
        <v>76.03</v>
      </c>
      <c r="CC134" s="22">
        <f t="shared" si="1155"/>
        <v>76.03</v>
      </c>
      <c r="CD134" s="22">
        <f t="shared" si="1157"/>
        <v>74.69</v>
      </c>
      <c r="CE134" s="22">
        <f t="shared" si="1155"/>
        <v>74.69</v>
      </c>
      <c r="CF134" s="22">
        <f t="shared" ref="CF134:CI134" si="1158">+CF131-CF132-CF133</f>
        <v>115.36</v>
      </c>
      <c r="CG134" s="22">
        <f t="shared" ref="CG134:CI137" si="1159">+CF134</f>
        <v>115.36</v>
      </c>
      <c r="CH134" s="22">
        <f t="shared" si="1158"/>
        <v>129.03289999999998</v>
      </c>
      <c r="CI134" s="22">
        <f t="shared" si="1158"/>
        <v>126.38290000000001</v>
      </c>
      <c r="CJ134" s="23">
        <f>+'QTR Raw'!BD68</f>
        <v>127.6</v>
      </c>
      <c r="CK134" s="21">
        <f>+CJ134</f>
        <v>127.6</v>
      </c>
      <c r="CL134" s="23">
        <f>+'QTR Raw'!BF68</f>
        <v>156.88999999999999</v>
      </c>
      <c r="CM134" s="21">
        <f t="shared" ref="CM134:DB134" si="1160">+CL134</f>
        <v>156.88999999999999</v>
      </c>
      <c r="CN134" s="21">
        <f t="shared" si="1160"/>
        <v>156.88999999999999</v>
      </c>
      <c r="CO134" s="21">
        <f t="shared" si="1160"/>
        <v>156.88999999999999</v>
      </c>
      <c r="CP134" s="21">
        <f t="shared" si="1160"/>
        <v>156.88999999999999</v>
      </c>
      <c r="CQ134" s="21">
        <f t="shared" si="1160"/>
        <v>156.88999999999999</v>
      </c>
      <c r="CR134" s="21">
        <f t="shared" si="1160"/>
        <v>156.88999999999999</v>
      </c>
      <c r="CS134" s="21">
        <f t="shared" si="1160"/>
        <v>156.88999999999999</v>
      </c>
      <c r="CT134" s="21">
        <f t="shared" si="1160"/>
        <v>156.88999999999999</v>
      </c>
      <c r="CU134" s="21">
        <f t="shared" si="1160"/>
        <v>156.88999999999999</v>
      </c>
      <c r="CV134" s="21">
        <f t="shared" si="1160"/>
        <v>156.88999999999999</v>
      </c>
      <c r="CW134" s="21">
        <f t="shared" si="1160"/>
        <v>156.88999999999999</v>
      </c>
      <c r="CX134" s="21">
        <f t="shared" si="1160"/>
        <v>156.88999999999999</v>
      </c>
      <c r="CY134" s="21">
        <f t="shared" si="1160"/>
        <v>156.88999999999999</v>
      </c>
      <c r="CZ134" s="21">
        <f t="shared" si="1160"/>
        <v>156.88999999999999</v>
      </c>
      <c r="DA134" s="21">
        <f t="shared" si="1160"/>
        <v>156.88999999999999</v>
      </c>
      <c r="DB134" s="21">
        <f t="shared" si="1160"/>
        <v>156.88999999999999</v>
      </c>
      <c r="DE134" s="126"/>
      <c r="DF134" s="22">
        <v>127.6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4.8679800000000002E-2</v>
      </c>
      <c r="G137" s="23">
        <f>'Annual Raw'!H67+'Annual Raw'!H66+'Annual Raw'!H69+'Annual Raw'!H70</f>
        <v>5.9957988999999996</v>
      </c>
      <c r="H137" s="23">
        <f>'Annual Raw'!I67+'Annual Raw'!I66+'Annual Raw'!I69+'Annual Raw'!I70</f>
        <v>0.2576</v>
      </c>
      <c r="I137" s="23">
        <f>'Annual Raw'!J67+'Annual Raw'!J66+'Annual Raw'!J69+'Annual Raw'!J70</f>
        <v>9.8599999999999993E-2</v>
      </c>
      <c r="J137" s="23">
        <f>'Annual Raw'!K67+'Annual Raw'!K66+'Annual Raw'!K69+'Annual Raw'!K70</f>
        <v>2.5777000000000001</v>
      </c>
      <c r="K137" s="23">
        <f>'Annual Raw'!L67+'Annual Raw'!L66+'Annual Raw'!L69+'Annual Raw'!L70</f>
        <v>1.9612000000000001</v>
      </c>
      <c r="L137" s="23">
        <f>'Annual Raw'!M67+'Annual Raw'!M66+'Annual Raw'!M69+'Annual Raw'!M70</f>
        <v>0</v>
      </c>
      <c r="M137" s="23">
        <f>'Annual Raw'!N67+'Annual Raw'!N66+'Annual Raw'!N69+'Annual Raw'!N70</f>
        <v>0.3256</v>
      </c>
      <c r="N137" s="23">
        <f>'Annual Raw'!O67+'Annual Raw'!O66+'Annual Raw'!O69+'Annual Raw'!O70</f>
        <v>0.36980000000000002</v>
      </c>
      <c r="O137" s="23">
        <f>'Annual Raw'!P67+'Annual Raw'!P66+'Annual Raw'!P69+'Annual Raw'!P70</f>
        <v>3.1211000000000002</v>
      </c>
      <c r="P137" s="23">
        <f>'Annual Raw'!Q67+'Annual Raw'!Q66+'Annual Raw'!Q69+'Annual Raw'!Q70</f>
        <v>47.551099999999998</v>
      </c>
      <c r="Q137" s="23">
        <f>'Annual Raw'!R67+'Annual Raw'!R66+'Annual Raw'!R69+'Annual Raw'!R70</f>
        <v>1.5087999999999999</v>
      </c>
      <c r="R137" s="23">
        <f>'Annual Raw'!S67+'Annual Raw'!S66+'Annual Raw'!S69+'Annual Raw'!S70</f>
        <v>3.0785999999999998</v>
      </c>
      <c r="S137" s="23">
        <f>'Annual Raw'!T67+'Annual Raw'!T66+'Annual Raw'!T69+'Annual Raw'!T70</f>
        <v>3.0365000000000002</v>
      </c>
      <c r="T137" s="23">
        <f>'Annual Raw'!U67+'Annual Raw'!U66+'Annual Raw'!U69+'Annual Raw'!U70</f>
        <v>2.8308</v>
      </c>
      <c r="U137" s="23">
        <f>'Annual Raw'!V67+'Annual Raw'!V66+'Annual Raw'!V69+'Annual Raw'!V70</f>
        <v>0</v>
      </c>
      <c r="V137" s="23">
        <f>'Annual Raw'!W67+'Annual Raw'!W66+'Annual Raw'!W69+'Annual Raw'!W70</f>
        <v>1.2846</v>
      </c>
      <c r="W137" s="23">
        <f>'Annual Raw'!X67+'Annual Raw'!X66+'Annual Raw'!X69+'Annual Raw'!X70</f>
        <v>7.3665000000000003</v>
      </c>
      <c r="X137" s="23">
        <f>'Annual Raw'!Y67+'Annual Raw'!Y66+'Annual Raw'!Y69+'Annual Raw'!Y70</f>
        <v>0.8508</v>
      </c>
      <c r="Y137" s="23">
        <f>'Annual Raw'!Z67+'Annual Raw'!Z66+'Annual Raw'!Z69+'Annual Raw'!Z70</f>
        <v>45.094200000000001</v>
      </c>
      <c r="Z137" s="23">
        <f>'Annual Raw'!AA67+'Annual Raw'!AA66+'Annual Raw'!AA69+'Annual Raw'!AA70</f>
        <v>34.591000000000001</v>
      </c>
      <c r="AA137" s="23">
        <f>'Annual Raw'!AB67+'Annual Raw'!AB66+'Annual Raw'!AB69+'Annual Raw'!AB70</f>
        <v>5.7915000000000001</v>
      </c>
      <c r="AB137" s="24">
        <f t="shared" si="1142"/>
        <v>5.79</v>
      </c>
      <c r="AC137" s="24">
        <f t="shared" si="1143"/>
        <v>5.79</v>
      </c>
      <c r="AD137" s="24">
        <f t="shared" si="1144"/>
        <v>5.79</v>
      </c>
      <c r="AE137" s="24">
        <f t="shared" si="1145"/>
        <v>5.79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1.51</v>
      </c>
      <c r="AY137" s="23">
        <f t="shared" si="1161"/>
        <v>1.51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3.08</v>
      </c>
      <c r="BC137" s="23">
        <f t="shared" si="1161"/>
        <v>3.08</v>
      </c>
      <c r="BD137" s="23">
        <f>+'QTR Raw'!X74+'QTR Raw'!X75</f>
        <v>1.75</v>
      </c>
      <c r="BE137" s="23">
        <f t="shared" si="1161"/>
        <v>1.75</v>
      </c>
      <c r="BF137" s="23">
        <f>+'QTR Raw'!Z74+'QTR Raw'!Z75</f>
        <v>3.04</v>
      </c>
      <c r="BG137" s="23">
        <f t="shared" si="1161"/>
        <v>3.04</v>
      </c>
      <c r="BH137" s="23">
        <f>+'QTR Raw'!AB74+'QTR Raw'!AB75</f>
        <v>2.8</v>
      </c>
      <c r="BI137" s="23">
        <f t="shared" si="1161"/>
        <v>2.8</v>
      </c>
      <c r="BJ137" s="23">
        <f>+'QTR Raw'!AD74+'QTR Raw'!AD75</f>
        <v>2.83</v>
      </c>
      <c r="BK137" s="23">
        <f t="shared" si="1161"/>
        <v>2.83</v>
      </c>
      <c r="BL137" s="23">
        <f>+'QTR Raw'!AF74+'QTR Raw'!AF75</f>
        <v>4.13</v>
      </c>
      <c r="BM137" s="23">
        <f t="shared" si="1161"/>
        <v>4.13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0.76</v>
      </c>
      <c r="BQ137" s="23">
        <f t="shared" si="1161"/>
        <v>0.76</v>
      </c>
      <c r="BR137" s="23">
        <f>+'QTR Raw'!AL74+'QTR Raw'!AL75</f>
        <v>1.28</v>
      </c>
      <c r="BS137" s="23">
        <f t="shared" si="1161"/>
        <v>1.28</v>
      </c>
      <c r="BT137" s="23">
        <f>+'QTR Raw'!AN74+'QTR Raw'!AN75</f>
        <v>7.1</v>
      </c>
      <c r="BU137" s="23">
        <f t="shared" si="1161"/>
        <v>7.1</v>
      </c>
      <c r="BV137" s="23">
        <f>+'QTR Raw'!AP74+'QTR Raw'!AP75</f>
        <v>7.37</v>
      </c>
      <c r="BW137" s="23">
        <f t="shared" si="1161"/>
        <v>7.37</v>
      </c>
      <c r="BX137" s="23">
        <f>+'QTR Raw'!AR74+'QTR Raw'!AR75</f>
        <v>9.0299999999999994</v>
      </c>
      <c r="BY137" s="23">
        <f t="shared" si="1161"/>
        <v>9.0299999999999994</v>
      </c>
      <c r="BZ137" s="23">
        <f>+'QTR Raw'!AT74+'QTR Raw'!AT75</f>
        <v>0.85</v>
      </c>
      <c r="CA137" s="23">
        <f t="shared" si="1161"/>
        <v>0.85</v>
      </c>
      <c r="CB137" s="23">
        <f>+'QTR Raw'!AV74+'QTR Raw'!AV75</f>
        <v>14.26</v>
      </c>
      <c r="CC137" s="23">
        <f t="shared" si="1161"/>
        <v>14.26</v>
      </c>
      <c r="CD137" s="23">
        <f>+'QTR Raw'!AX74+'QTR Raw'!AX75</f>
        <v>45.09</v>
      </c>
      <c r="CE137" s="23">
        <f t="shared" si="1161"/>
        <v>45.09</v>
      </c>
      <c r="CF137" s="23">
        <f>+'QTR Raw'!AZ74+'QTR Raw'!AZ75</f>
        <v>19.73</v>
      </c>
      <c r="CG137" s="23">
        <f t="shared" si="1159"/>
        <v>19.73</v>
      </c>
      <c r="CH137" s="23">
        <f t="shared" si="1146"/>
        <v>34.591000000000001</v>
      </c>
      <c r="CI137" s="23">
        <f t="shared" si="1159"/>
        <v>34.591000000000001</v>
      </c>
      <c r="CJ137" s="23">
        <f>+'QTR Raw'!BD74+'QTR Raw'!BD75</f>
        <v>37.03</v>
      </c>
      <c r="CK137" s="24">
        <f t="shared" si="1162"/>
        <v>37.03</v>
      </c>
      <c r="CL137" s="23">
        <f>+'QTR Raw'!BF74+'QTR Raw'!BF75</f>
        <v>5.79</v>
      </c>
      <c r="CM137" s="24">
        <f t="shared" si="1163"/>
        <v>5.79</v>
      </c>
      <c r="CN137" s="24">
        <f t="shared" si="1164"/>
        <v>5.79</v>
      </c>
      <c r="CO137" s="24">
        <f t="shared" si="1165"/>
        <v>5.79</v>
      </c>
      <c r="CP137" s="24">
        <f t="shared" si="1166"/>
        <v>5.79</v>
      </c>
      <c r="CQ137" s="24">
        <f t="shared" si="1167"/>
        <v>5.79</v>
      </c>
      <c r="CR137" s="24">
        <f t="shared" si="1168"/>
        <v>5.79</v>
      </c>
      <c r="CS137" s="24">
        <f t="shared" si="1169"/>
        <v>5.79</v>
      </c>
      <c r="CT137" s="24">
        <f t="shared" si="1170"/>
        <v>5.79</v>
      </c>
      <c r="CU137" s="24">
        <f t="shared" si="1171"/>
        <v>5.79</v>
      </c>
      <c r="CV137" s="24">
        <f t="shared" si="1172"/>
        <v>5.79</v>
      </c>
      <c r="CW137" s="24">
        <f t="shared" si="1173"/>
        <v>5.79</v>
      </c>
      <c r="CX137" s="24">
        <f t="shared" si="1174"/>
        <v>5.79</v>
      </c>
      <c r="CY137" s="24">
        <f t="shared" si="1175"/>
        <v>5.79</v>
      </c>
      <c r="CZ137" s="24">
        <f t="shared" si="1176"/>
        <v>5.79</v>
      </c>
      <c r="DA137" s="24">
        <f t="shared" si="1177"/>
        <v>5.79</v>
      </c>
      <c r="DB137" s="24">
        <f t="shared" si="1178"/>
        <v>5.79</v>
      </c>
      <c r="DE137" s="123"/>
      <c r="DF137" s="23">
        <v>37.03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12.1658182</v>
      </c>
      <c r="F138" s="22">
        <f t="shared" si="1180"/>
        <v>11.589960800000002</v>
      </c>
      <c r="G138" s="22">
        <f t="shared" si="1180"/>
        <v>19.299947199999998</v>
      </c>
      <c r="H138" s="22">
        <f t="shared" si="1180"/>
        <v>22.162299999999998</v>
      </c>
      <c r="I138" s="22">
        <f t="shared" si="1180"/>
        <v>25.863499999999998</v>
      </c>
      <c r="J138" s="22">
        <f t="shared" si="1180"/>
        <v>30.522400000000001</v>
      </c>
      <c r="K138" s="22">
        <f t="shared" si="1180"/>
        <v>32.979699999999994</v>
      </c>
      <c r="L138" s="22">
        <f t="shared" si="1180"/>
        <v>32.0869</v>
      </c>
      <c r="M138" s="22">
        <f t="shared" si="1180"/>
        <v>36.796900000000001</v>
      </c>
      <c r="N138" s="22">
        <f t="shared" si="1180"/>
        <v>35.881299999999996</v>
      </c>
      <c r="O138" s="22">
        <f t="shared" si="1180"/>
        <v>36.7102</v>
      </c>
      <c r="P138" s="22">
        <f t="shared" si="1180"/>
        <v>78.315300000000008</v>
      </c>
      <c r="Q138" s="22">
        <f t="shared" si="1180"/>
        <v>80.780699999999982</v>
      </c>
      <c r="R138" s="22">
        <f t="shared" si="1180"/>
        <v>77.005599999999987</v>
      </c>
      <c r="S138" s="22">
        <f t="shared" si="1180"/>
        <v>73.773899999999998</v>
      </c>
      <c r="T138" s="22">
        <f t="shared" si="1180"/>
        <v>71.522500000000008</v>
      </c>
      <c r="U138" s="22">
        <f t="shared" si="1180"/>
        <v>71.244399999999999</v>
      </c>
      <c r="V138" s="22">
        <f t="shared" si="1180"/>
        <v>67.554599999999994</v>
      </c>
      <c r="W138" s="22">
        <f t="shared" si="1180"/>
        <v>78.447200000000009</v>
      </c>
      <c r="X138" s="22">
        <f t="shared" si="1180"/>
        <v>80.2667</v>
      </c>
      <c r="Y138" s="22">
        <f t="shared" si="1180"/>
        <v>119.79090000000001</v>
      </c>
      <c r="Z138" s="22">
        <f>Z134+Z137+Z136+Z135</f>
        <v>163.62389999999999</v>
      </c>
      <c r="AA138" s="22">
        <f>AA134+AA137+AA136+AA135</f>
        <v>162.68510000000001</v>
      </c>
      <c r="AB138" s="161">
        <f t="shared" ref="AB138:AE138" si="1181">AB134+AB137+AB136+AB135</f>
        <v>162.67999999999998</v>
      </c>
      <c r="AC138" s="161">
        <f t="shared" si="1181"/>
        <v>162.67999999999998</v>
      </c>
      <c r="AD138" s="161">
        <f t="shared" si="1181"/>
        <v>162.67999999999995</v>
      </c>
      <c r="AE138" s="161">
        <f t="shared" si="1181"/>
        <v>162.68</v>
      </c>
      <c r="AJ138" s="22">
        <f t="shared" ref="AJ138" si="1182">AJ134+AJ137+AJ135+AJ136</f>
        <v>36.793999999999997</v>
      </c>
      <c r="AK138" s="22">
        <f t="shared" ref="AK138" si="1183">AK134+AK137+AK135+AK136</f>
        <v>36.793999999999997</v>
      </c>
      <c r="AL138" s="22">
        <f t="shared" ref="AL138:AM138" si="1184">AL134+AL137+AL135+AL136</f>
        <v>35.881</v>
      </c>
      <c r="AM138" s="22">
        <f t="shared" si="1184"/>
        <v>35.881</v>
      </c>
      <c r="AN138" s="22">
        <f t="shared" ref="AN138:AO138" si="1185">AN134+AN137+AN135+AN136</f>
        <v>35.67</v>
      </c>
      <c r="AO138" s="22">
        <f t="shared" si="1185"/>
        <v>35.67</v>
      </c>
      <c r="AP138" s="22">
        <f t="shared" ref="AP138:CE138" si="1186">AP134+AP137+AP135+AP136</f>
        <v>36.71</v>
      </c>
      <c r="AQ138" s="22">
        <f t="shared" si="1186"/>
        <v>36.71</v>
      </c>
      <c r="AR138" s="22">
        <f t="shared" si="1186"/>
        <v>41.96</v>
      </c>
      <c r="AS138" s="22">
        <f t="shared" si="1186"/>
        <v>41.96</v>
      </c>
      <c r="AT138" s="22">
        <f t="shared" si="1186"/>
        <v>78.319999999999993</v>
      </c>
      <c r="AU138" s="22">
        <f t="shared" si="1186"/>
        <v>78.319999999999993</v>
      </c>
      <c r="AV138" s="22">
        <f t="shared" si="1186"/>
        <v>80.72</v>
      </c>
      <c r="AW138" s="22">
        <f t="shared" si="1186"/>
        <v>80.72</v>
      </c>
      <c r="AX138" s="22">
        <f t="shared" si="1186"/>
        <v>80.78</v>
      </c>
      <c r="AY138" s="22">
        <f t="shared" si="1186"/>
        <v>80.78</v>
      </c>
      <c r="AZ138" s="22">
        <f t="shared" si="1186"/>
        <v>79.39</v>
      </c>
      <c r="BA138" s="22">
        <f t="shared" si="1186"/>
        <v>79.39</v>
      </c>
      <c r="BB138" s="22">
        <f t="shared" si="1186"/>
        <v>77.010000000000005</v>
      </c>
      <c r="BC138" s="22">
        <f t="shared" si="1186"/>
        <v>77.010000000000005</v>
      </c>
      <c r="BD138" s="22">
        <f t="shared" si="1186"/>
        <v>74.77</v>
      </c>
      <c r="BE138" s="22">
        <f t="shared" si="1186"/>
        <v>74.77</v>
      </c>
      <c r="BF138" s="22">
        <f t="shared" si="1186"/>
        <v>73.78</v>
      </c>
      <c r="BG138" s="22">
        <f t="shared" si="1186"/>
        <v>73.78</v>
      </c>
      <c r="BH138" s="22">
        <f t="shared" si="1186"/>
        <v>72.239999999999995</v>
      </c>
      <c r="BI138" s="22">
        <f t="shared" si="1186"/>
        <v>72.239999999999995</v>
      </c>
      <c r="BJ138" s="22">
        <f t="shared" si="1186"/>
        <v>71.52</v>
      </c>
      <c r="BK138" s="22">
        <f t="shared" si="1186"/>
        <v>71.52</v>
      </c>
      <c r="BL138" s="22">
        <f t="shared" si="1186"/>
        <v>70.699999999999989</v>
      </c>
      <c r="BM138" s="22">
        <f t="shared" si="1186"/>
        <v>70.699999999999989</v>
      </c>
      <c r="BN138" s="22">
        <f t="shared" si="1186"/>
        <v>71.239999999999995</v>
      </c>
      <c r="BO138" s="22">
        <f t="shared" si="1186"/>
        <v>71.239999999999995</v>
      </c>
      <c r="BP138" s="22">
        <f t="shared" si="1186"/>
        <v>69.22</v>
      </c>
      <c r="BQ138" s="22">
        <f t="shared" si="1186"/>
        <v>69.22</v>
      </c>
      <c r="BR138" s="22">
        <f t="shared" si="1186"/>
        <v>67.55</v>
      </c>
      <c r="BS138" s="22">
        <f t="shared" si="1186"/>
        <v>67.55</v>
      </c>
      <c r="BT138" s="22">
        <f t="shared" si="1186"/>
        <v>71.69</v>
      </c>
      <c r="BU138" s="22">
        <f t="shared" si="1186"/>
        <v>71.69</v>
      </c>
      <c r="BV138" s="22">
        <f t="shared" si="1186"/>
        <v>78.45</v>
      </c>
      <c r="BW138" s="22">
        <f t="shared" si="1186"/>
        <v>78.45</v>
      </c>
      <c r="BX138" s="22">
        <f t="shared" si="1186"/>
        <v>76.88</v>
      </c>
      <c r="BY138" s="22">
        <f t="shared" si="1186"/>
        <v>76.88</v>
      </c>
      <c r="BZ138" s="22">
        <f t="shared" si="1186"/>
        <v>80.27</v>
      </c>
      <c r="CA138" s="22">
        <f t="shared" si="1186"/>
        <v>80.27</v>
      </c>
      <c r="CB138" s="22">
        <f t="shared" si="1186"/>
        <v>90.29</v>
      </c>
      <c r="CC138" s="22">
        <f t="shared" si="1186"/>
        <v>90.29</v>
      </c>
      <c r="CD138" s="22">
        <f t="shared" si="1186"/>
        <v>119.78</v>
      </c>
      <c r="CE138" s="22">
        <f t="shared" si="1186"/>
        <v>119.78</v>
      </c>
      <c r="CF138" s="22">
        <f t="shared" ref="CF138:CG138" si="1187">CF134+CF137+CF135+CF136</f>
        <v>135.09</v>
      </c>
      <c r="CG138" s="22">
        <f t="shared" si="1187"/>
        <v>135.09</v>
      </c>
      <c r="CH138" s="22">
        <f t="shared" ref="CH138:CJ138" si="1188">CH134+CH137+CH135+CH136</f>
        <v>163.62389999999999</v>
      </c>
      <c r="CI138" s="22">
        <f t="shared" si="1188"/>
        <v>160.97390000000001</v>
      </c>
      <c r="CJ138" s="22">
        <f t="shared" si="1188"/>
        <v>164.63</v>
      </c>
      <c r="CK138" s="21">
        <f t="shared" ref="CK138:DB138" si="1189">CK134+CK137+CK135+CK136</f>
        <v>164.63</v>
      </c>
      <c r="CL138" s="22">
        <f t="shared" si="1189"/>
        <v>162.67999999999998</v>
      </c>
      <c r="CM138" s="21">
        <f t="shared" si="1189"/>
        <v>162.67999999999998</v>
      </c>
      <c r="CN138" s="21">
        <f t="shared" si="1189"/>
        <v>162.67999999999998</v>
      </c>
      <c r="CO138" s="21">
        <f t="shared" si="1189"/>
        <v>162.67999999999998</v>
      </c>
      <c r="CP138" s="21">
        <f t="shared" si="1189"/>
        <v>162.67999999999998</v>
      </c>
      <c r="CQ138" s="21">
        <f t="shared" si="1189"/>
        <v>162.67999999999998</v>
      </c>
      <c r="CR138" s="21">
        <f t="shared" si="1189"/>
        <v>162.67999999999998</v>
      </c>
      <c r="CS138" s="21">
        <f t="shared" si="1189"/>
        <v>162.67999999999998</v>
      </c>
      <c r="CT138" s="21">
        <f t="shared" si="1189"/>
        <v>162.67999999999998</v>
      </c>
      <c r="CU138" s="21">
        <f t="shared" si="1189"/>
        <v>162.67999999999998</v>
      </c>
      <c r="CV138" s="21">
        <f t="shared" si="1189"/>
        <v>162.67999999999998</v>
      </c>
      <c r="CW138" s="21">
        <f t="shared" si="1189"/>
        <v>162.67999999999998</v>
      </c>
      <c r="CX138" s="21">
        <f t="shared" si="1189"/>
        <v>162.67999999999998</v>
      </c>
      <c r="CY138" s="21">
        <f t="shared" si="1189"/>
        <v>162.67999999999998</v>
      </c>
      <c r="CZ138" s="21">
        <f t="shared" si="1189"/>
        <v>162.67999999999998</v>
      </c>
      <c r="DA138" s="21">
        <f t="shared" si="1189"/>
        <v>162.67999999999998</v>
      </c>
      <c r="DB138" s="21">
        <f t="shared" si="1189"/>
        <v>162.67999999999998</v>
      </c>
      <c r="DE138" s="126"/>
      <c r="DF138" s="22">
        <v>164.63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1E-3</v>
      </c>
      <c r="F140" s="23">
        <f>'Annual Raw'!G71</f>
        <v>1E-3</v>
      </c>
      <c r="G140" s="23">
        <f>'Annual Raw'!H71</f>
        <v>2.5000000000000001E-3</v>
      </c>
      <c r="H140" s="23">
        <f>'Annual Raw'!I71</f>
        <v>2.5000000000000001E-3</v>
      </c>
      <c r="I140" s="23">
        <f>'Annual Raw'!J71</f>
        <v>2.5000000000000001E-3</v>
      </c>
      <c r="J140" s="23">
        <f>'Annual Raw'!K71</f>
        <v>2.5000000000000001E-3</v>
      </c>
      <c r="K140" s="23">
        <f>'Annual Raw'!L71</f>
        <v>2.5000000000000001E-3</v>
      </c>
      <c r="L140" s="23">
        <f>'Annual Raw'!M71</f>
        <v>4.2774999999999999</v>
      </c>
      <c r="M140" s="23">
        <f>'Annual Raw'!N71</f>
        <v>4.2774999999999999</v>
      </c>
      <c r="N140" s="23">
        <f>'Annual Raw'!O71</f>
        <v>4.2774999999999999</v>
      </c>
      <c r="O140" s="23">
        <f>'Annual Raw'!P71</f>
        <v>2.5000000000000001E-3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4.2779999999999996</v>
      </c>
      <c r="AK140" s="23">
        <f t="shared" ref="AK140:CE140" si="1190">+AJ140</f>
        <v>4.2779999999999996</v>
      </c>
      <c r="AL140" s="23">
        <f>+'QTR Raw'!F77</f>
        <v>4.2779999999999996</v>
      </c>
      <c r="AM140" s="23">
        <f t="shared" si="1190"/>
        <v>4.2779999999999996</v>
      </c>
      <c r="AN140" s="23">
        <f>+'QTR Raw'!H77</f>
        <v>4.28</v>
      </c>
      <c r="AO140" s="23">
        <f t="shared" si="1190"/>
        <v>4.28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0</v>
      </c>
      <c r="CK140" s="24">
        <f t="shared" ref="CK140" si="1193">+CJ140</f>
        <v>0</v>
      </c>
      <c r="CL140" s="23">
        <f>+'QTR Raw'!BF77</f>
        <v>0</v>
      </c>
      <c r="CM140" s="24">
        <f t="shared" ref="CM140" si="1194">+CL140</f>
        <v>0</v>
      </c>
      <c r="CN140" s="24">
        <f t="shared" ref="CN140" si="1195">+CM140</f>
        <v>0</v>
      </c>
      <c r="CO140" s="24">
        <f t="shared" ref="CO140" si="1196">+CN140</f>
        <v>0</v>
      </c>
      <c r="CP140" s="24">
        <f t="shared" ref="CP140" si="1197">+CO140</f>
        <v>0</v>
      </c>
      <c r="CQ140" s="24">
        <f t="shared" ref="CQ140" si="1198">+CP140</f>
        <v>0</v>
      </c>
      <c r="CR140" s="24">
        <f t="shared" ref="CR140" si="1199">+CQ140</f>
        <v>0</v>
      </c>
      <c r="CS140" s="24">
        <f t="shared" ref="CS140" si="1200">+CR140</f>
        <v>0</v>
      </c>
      <c r="CT140" s="24">
        <f t="shared" ref="CT140" si="1201">+CS140</f>
        <v>0</v>
      </c>
      <c r="CU140" s="24">
        <f t="shared" ref="CU140" si="1202">+CT140</f>
        <v>0</v>
      </c>
      <c r="CV140" s="24">
        <f t="shared" ref="CV140" si="1203">+CU140</f>
        <v>0</v>
      </c>
      <c r="CW140" s="24">
        <f t="shared" ref="CW140" si="1204">+CV140</f>
        <v>0</v>
      </c>
      <c r="CX140" s="24">
        <f t="shared" ref="CX140" si="1205">+CW140</f>
        <v>0</v>
      </c>
      <c r="CY140" s="24">
        <f t="shared" ref="CY140" si="1206">+CX140</f>
        <v>0</v>
      </c>
      <c r="CZ140" s="24">
        <f t="shared" ref="CZ140" si="1207">+CY140</f>
        <v>0</v>
      </c>
      <c r="DA140" s="24">
        <f t="shared" ref="DA140" si="1208">+CZ140</f>
        <v>0</v>
      </c>
      <c r="DB140" s="24">
        <f t="shared" ref="DB140" si="120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0.43120000000000003</v>
      </c>
      <c r="M142" s="23">
        <f>'Annual Raw'!N72+'Annual Raw'!N61</f>
        <v>0.3947</v>
      </c>
      <c r="N142" s="23">
        <f>'Annual Raw'!O72+'Annual Raw'!O61</f>
        <v>0</v>
      </c>
      <c r="O142" s="23">
        <f>'Annual Raw'!P72+'Annual Raw'!P61</f>
        <v>4.5064000000000002</v>
      </c>
      <c r="P142" s="23">
        <f>'Annual Raw'!Q72+'Annual Raw'!Q61</f>
        <v>5.5754000000000001</v>
      </c>
      <c r="Q142" s="23">
        <f>'Annual Raw'!R72+'Annual Raw'!R61</f>
        <v>2.3361999999999998</v>
      </c>
      <c r="R142" s="23">
        <f>'Annual Raw'!S72+'Annual Raw'!S61</f>
        <v>3.2450999999999999</v>
      </c>
      <c r="S142" s="23">
        <f>'Annual Raw'!T72+'Annual Raw'!T61</f>
        <v>3.7675999999999998</v>
      </c>
      <c r="T142" s="23">
        <f>'Annual Raw'!U72+'Annual Raw'!U61</f>
        <v>6.4509999999999996</v>
      </c>
      <c r="U142" s="23">
        <f>'Annual Raw'!V72+'Annual Raw'!V61</f>
        <v>3.0741999999999998</v>
      </c>
      <c r="V142" s="23">
        <f>'Annual Raw'!W72+'Annual Raw'!W61</f>
        <v>3.2568999999999999</v>
      </c>
      <c r="W142" s="23">
        <f>'Annual Raw'!X72+'Annual Raw'!X61</f>
        <v>13.350899999999999</v>
      </c>
      <c r="X142" s="23">
        <f>'Annual Raw'!Y72+'Annual Raw'!Y61</f>
        <v>4.1144999999999996</v>
      </c>
      <c r="Y142" s="23">
        <f>'Annual Raw'!Z72+'Annual Raw'!Z61</f>
        <v>19.800799999999999</v>
      </c>
      <c r="Z142" s="23">
        <f>'Annual Raw'!AA72+'Annual Raw'!AA61</f>
        <v>7.2995000000000001</v>
      </c>
      <c r="AA142" s="23">
        <f>'Annual Raw'!AB72+'Annual Raw'!AB61</f>
        <v>2.0889000000000002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4.4999999999999998E-2</v>
      </c>
      <c r="AK142" s="23">
        <f t="shared" ref="AK142:CE147" si="1214">+AJ142</f>
        <v>4.4999999999999998E-2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5.53</v>
      </c>
      <c r="AQ142" s="23">
        <f t="shared" si="1214"/>
        <v>5.53</v>
      </c>
      <c r="AR142" s="23">
        <f>+'QTR Raw'!L78</f>
        <v>6.4</v>
      </c>
      <c r="AS142" s="23">
        <f t="shared" si="1214"/>
        <v>6.4</v>
      </c>
      <c r="AT142" s="23">
        <f>+'QTR Raw'!N78</f>
        <v>8.85</v>
      </c>
      <c r="AU142" s="23">
        <f t="shared" si="1214"/>
        <v>8.85</v>
      </c>
      <c r="AV142" s="23">
        <f>+'QTR Raw'!P78</f>
        <v>8.14</v>
      </c>
      <c r="AW142" s="23">
        <f t="shared" si="1214"/>
        <v>8.14</v>
      </c>
      <c r="AX142" s="23">
        <f>+'QTR Raw'!R78</f>
        <v>5.45</v>
      </c>
      <c r="AY142" s="23">
        <f t="shared" si="1214"/>
        <v>5.45</v>
      </c>
      <c r="AZ142" s="23">
        <f>+'QTR Raw'!T78</f>
        <v>5.65</v>
      </c>
      <c r="BA142" s="23">
        <f t="shared" si="1214"/>
        <v>5.65</v>
      </c>
      <c r="BB142" s="23">
        <f>+'QTR Raw'!V78</f>
        <v>0</v>
      </c>
      <c r="BC142" s="23">
        <f t="shared" si="1214"/>
        <v>0</v>
      </c>
      <c r="BD142" s="23">
        <f>+'QTR Raw'!X78</f>
        <v>0.34</v>
      </c>
      <c r="BE142" s="23">
        <f t="shared" si="1214"/>
        <v>0.34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0.04</v>
      </c>
      <c r="BS142" s="23">
        <f t="shared" si="1214"/>
        <v>0.04</v>
      </c>
      <c r="BT142" s="23">
        <f>+'QTR Raw'!AN78</f>
        <v>0</v>
      </c>
      <c r="BU142" s="23">
        <f t="shared" si="1214"/>
        <v>0</v>
      </c>
      <c r="BV142" s="23">
        <f>+'QTR Raw'!AP78</f>
        <v>0.03</v>
      </c>
      <c r="BW142" s="23">
        <f t="shared" si="1214"/>
        <v>0.03</v>
      </c>
      <c r="BX142" s="23">
        <f>+'QTR Raw'!AR78</f>
        <v>0.03</v>
      </c>
      <c r="BY142" s="23">
        <f t="shared" si="1214"/>
        <v>0.03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7.2995000000000001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3.1183000000000001</v>
      </c>
      <c r="R143" s="23">
        <f>'Annual Raw'!S73+'Annual Raw'!S81</f>
        <v>3.5150000000000001</v>
      </c>
      <c r="S143" s="23">
        <f>'Annual Raw'!T73+'Annual Raw'!T81</f>
        <v>3.9030999999999998</v>
      </c>
      <c r="T143" s="23">
        <f>'Annual Raw'!U73+'Annual Raw'!U81</f>
        <v>0.29370000000000002</v>
      </c>
      <c r="U143" s="23">
        <f>'Annual Raw'!V73+'Annual Raw'!V81</f>
        <v>2.4948000000000001</v>
      </c>
      <c r="V143" s="23">
        <f>'Annual Raw'!W73+'Annual Raw'!W81</f>
        <v>2.9807999999999999</v>
      </c>
      <c r="W143" s="23">
        <f>'Annual Raw'!X73+'Annual Raw'!X81</f>
        <v>6.1999999999999998E-3</v>
      </c>
      <c r="X143" s="23">
        <f>'Annual Raw'!Y73+'Annual Raw'!Y81</f>
        <v>6.1999999999999998E-3</v>
      </c>
      <c r="Y143" s="23">
        <f>'Annual Raw'!Z73+'Annual Raw'!Z81</f>
        <v>6.1999999999999998E-3</v>
      </c>
      <c r="Z143" s="23">
        <f>'Annual Raw'!AA73+'Annual Raw'!AA81</f>
        <v>0.4249</v>
      </c>
      <c r="AA143" s="23">
        <f>'Annual Raw'!AB73+'Annual Raw'!AB81</f>
        <v>0.67390000000000005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5.18</v>
      </c>
      <c r="BC143" s="23">
        <f t="shared" si="1214"/>
        <v>5.18</v>
      </c>
      <c r="BD143" s="23">
        <f>+'QTR Raw'!X79+'QTR Raw'!X76</f>
        <v>4.9800000000000004</v>
      </c>
      <c r="BE143" s="23">
        <f t="shared" si="1214"/>
        <v>4.9800000000000004</v>
      </c>
      <c r="BF143" s="23">
        <f>+'QTR Raw'!Z79+'QTR Raw'!Z76</f>
        <v>5.78</v>
      </c>
      <c r="BG143" s="23">
        <f t="shared" si="1214"/>
        <v>5.78</v>
      </c>
      <c r="BH143" s="23">
        <f>+'QTR Raw'!AB79+'QTR Raw'!AB76</f>
        <v>7.09</v>
      </c>
      <c r="BI143" s="23">
        <f t="shared" si="1214"/>
        <v>7.09</v>
      </c>
      <c r="BJ143" s="23">
        <f>+'QTR Raw'!AD79+'QTR Raw'!AD76</f>
        <v>4.8600000000000003</v>
      </c>
      <c r="BK143" s="23">
        <f t="shared" si="1214"/>
        <v>4.8600000000000003</v>
      </c>
      <c r="BL143" s="23">
        <f>+'QTR Raw'!AF79+'QTR Raw'!AF76</f>
        <v>4.5199999999999996</v>
      </c>
      <c r="BM143" s="23">
        <f t="shared" si="1214"/>
        <v>4.5199999999999996</v>
      </c>
      <c r="BN143" s="23">
        <f>+'QTR Raw'!AH79+'QTR Raw'!AH76</f>
        <v>3.68</v>
      </c>
      <c r="BO143" s="23">
        <f t="shared" si="1214"/>
        <v>3.68</v>
      </c>
      <c r="BP143" s="23">
        <f>+'QTR Raw'!AJ79+'QTR Raw'!AJ76</f>
        <v>3.71</v>
      </c>
      <c r="BQ143" s="23">
        <f t="shared" si="1214"/>
        <v>3.71</v>
      </c>
      <c r="BR143" s="23">
        <f>+'QTR Raw'!AL79+'QTR Raw'!AL76</f>
        <v>4.17</v>
      </c>
      <c r="BS143" s="23">
        <f t="shared" si="1214"/>
        <v>4.17</v>
      </c>
      <c r="BT143" s="23">
        <f>+'QTR Raw'!AN79+'QTR Raw'!AN76</f>
        <v>5.3</v>
      </c>
      <c r="BU143" s="23">
        <f t="shared" si="1214"/>
        <v>5.3</v>
      </c>
      <c r="BV143" s="23">
        <f>+'QTR Raw'!AP79+'QTR Raw'!AP76</f>
        <v>4.95</v>
      </c>
      <c r="BW143" s="23">
        <f t="shared" si="1214"/>
        <v>4.95</v>
      </c>
      <c r="BX143" s="23">
        <f>+'QTR Raw'!AR79+'QTR Raw'!AR76</f>
        <v>8.77</v>
      </c>
      <c r="BY143" s="23">
        <f t="shared" si="1214"/>
        <v>8.77</v>
      </c>
      <c r="BZ143" s="23">
        <f>+'QTR Raw'!AT79+'QTR Raw'!AT76</f>
        <v>4.12</v>
      </c>
      <c r="CA143" s="23">
        <f t="shared" si="1214"/>
        <v>4.12</v>
      </c>
      <c r="CB143" s="23">
        <f>+'QTR Raw'!AV79+'QTR Raw'!AV76</f>
        <v>7.11</v>
      </c>
      <c r="CC143" s="23">
        <f t="shared" si="1214"/>
        <v>7.11</v>
      </c>
      <c r="CD143" s="23">
        <f>+'QTR Raw'!AX79+'QTR Raw'!AX76</f>
        <v>3.82</v>
      </c>
      <c r="CE143" s="23">
        <f t="shared" si="1214"/>
        <v>3.82</v>
      </c>
      <c r="CF143" s="23">
        <f>+'QTR Raw'!AZ79+'QTR Raw'!AZ76</f>
        <v>6.24</v>
      </c>
      <c r="CG143" s="23">
        <f t="shared" si="1191"/>
        <v>6.24</v>
      </c>
      <c r="CH143" s="23">
        <f t="shared" si="1192"/>
        <v>0.4249</v>
      </c>
      <c r="CJ143" s="23">
        <f>+'QTR Raw'!BD79+'QTR Raw'!BD76</f>
        <v>3.41</v>
      </c>
      <c r="CK143" s="24"/>
      <c r="CL143" s="23">
        <f>+'QTR Raw'!BF79+'QTR Raw'!BF76</f>
        <v>2.77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2.77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2.6378691999999999</v>
      </c>
      <c r="F144" s="23">
        <f>'Annual Raw'!G76</f>
        <v>3.0415812999999998</v>
      </c>
      <c r="G144" s="23">
        <f>'Annual Raw'!H76</f>
        <v>4.4824099000000004</v>
      </c>
      <c r="H144" s="23">
        <f>'Annual Raw'!I76</f>
        <v>4.9360999999999997</v>
      </c>
      <c r="I144" s="23">
        <f>'Annual Raw'!J76</f>
        <v>5.2972000000000001</v>
      </c>
      <c r="J144" s="23">
        <f>'Annual Raw'!K76</f>
        <v>4.7215999999999996</v>
      </c>
      <c r="K144" s="23">
        <f>'Annual Raw'!L76</f>
        <v>7.4406999999999996</v>
      </c>
      <c r="L144" s="23">
        <f>'Annual Raw'!M76</f>
        <v>9.5119000000000007</v>
      </c>
      <c r="M144" s="23">
        <f>'Annual Raw'!N76</f>
        <v>10.121600000000001</v>
      </c>
      <c r="N144" s="23">
        <f>'Annual Raw'!O76</f>
        <v>11.404299999999999</v>
      </c>
      <c r="O144" s="23">
        <f>'Annual Raw'!P76</f>
        <v>13.7964</v>
      </c>
      <c r="P144" s="23">
        <f>'Annual Raw'!Q76</f>
        <v>20.341200000000001</v>
      </c>
      <c r="Q144" s="23">
        <f>'Annual Raw'!R76</f>
        <v>27.667000000000002</v>
      </c>
      <c r="R144" s="23">
        <f>'Annual Raw'!S76</f>
        <v>22.4785</v>
      </c>
      <c r="S144" s="23">
        <f>'Annual Raw'!T76</f>
        <v>31.349299999999999</v>
      </c>
      <c r="T144" s="23">
        <f>'Annual Raw'!U76</f>
        <v>27.561199999999999</v>
      </c>
      <c r="U144" s="23">
        <f>'Annual Raw'!V76</f>
        <v>28.723199999999999</v>
      </c>
      <c r="V144" s="23">
        <f>'Annual Raw'!W76</f>
        <v>26.093299999999999</v>
      </c>
      <c r="W144" s="23">
        <f>'Annual Raw'!X76</f>
        <v>29.398499999999999</v>
      </c>
      <c r="X144" s="23">
        <f>'Annual Raw'!Y76</f>
        <v>36.373600000000003</v>
      </c>
      <c r="Y144" s="23">
        <f>'Annual Raw'!Z76</f>
        <v>43.276499999999999</v>
      </c>
      <c r="Z144" s="23">
        <f>'Annual Raw'!AA76</f>
        <v>57.011899999999997</v>
      </c>
      <c r="AA144" s="23">
        <f>'Annual Raw'!AB76</f>
        <v>51.846600000000002</v>
      </c>
      <c r="AB144" s="24">
        <f t="shared" si="1210"/>
        <v>58.42905837136901</v>
      </c>
      <c r="AC144" s="24">
        <f t="shared" si="1211"/>
        <v>66.77635945273849</v>
      </c>
      <c r="AD144" s="24">
        <f t="shared" si="1212"/>
        <v>76.396066547478682</v>
      </c>
      <c r="AE144" s="24">
        <f t="shared" si="1213"/>
        <v>87.396934412163901</v>
      </c>
      <c r="AJ144" s="23">
        <f>+'QTR Raw'!D81</f>
        <v>10.116</v>
      </c>
      <c r="AK144" s="23">
        <f>+AK179*AK10/90</f>
        <v>9.2091796610169485</v>
      </c>
      <c r="AL144" s="23">
        <f>+'QTR Raw'!F81</f>
        <v>11.404</v>
      </c>
      <c r="AM144" s="23">
        <f>+AM179*AM10/90</f>
        <v>11.447811144621571</v>
      </c>
      <c r="AN144" s="23">
        <f>+'QTR Raw'!H81</f>
        <v>17.48</v>
      </c>
      <c r="AO144" s="23">
        <f>+AO179*AO10/90</f>
        <v>17.837882421760753</v>
      </c>
      <c r="AP144" s="23">
        <f>+'QTR Raw'!J81</f>
        <v>13.8</v>
      </c>
      <c r="AQ144" s="23">
        <f>+AQ179*AQ10/90</f>
        <v>11.608146528157464</v>
      </c>
      <c r="AR144" s="23">
        <f>+'QTR Raw'!L81</f>
        <v>26.21</v>
      </c>
      <c r="AS144" s="23">
        <f>+AS179*AS10/90</f>
        <v>21.85620574886536</v>
      </c>
      <c r="AT144" s="23">
        <f>+'QTR Raw'!N81</f>
        <v>20.34</v>
      </c>
      <c r="AU144" s="23">
        <f>+AU179*AU10/90</f>
        <v>25.831726384364824</v>
      </c>
      <c r="AV144" s="23">
        <f>+'QTR Raw'!P81</f>
        <v>36.68</v>
      </c>
      <c r="AW144" s="23">
        <f>+AW179*AW10/90</f>
        <v>32.416774193548385</v>
      </c>
      <c r="AX144" s="23">
        <f>+'QTR Raw'!R81</f>
        <v>27.67</v>
      </c>
      <c r="AY144" s="23">
        <f>+AY179*AY10/90</f>
        <v>29.22576978764479</v>
      </c>
      <c r="AZ144" s="23">
        <f>+'QTR Raw'!T81</f>
        <v>30.45</v>
      </c>
      <c r="BA144" s="23">
        <f>+BA179*BA10/90</f>
        <v>32.518360572012256</v>
      </c>
      <c r="BB144" s="23">
        <f>+'QTR Raw'!V81</f>
        <v>22.48</v>
      </c>
      <c r="BC144" s="23">
        <f>+BC179*BC10/90</f>
        <v>20.693540347293155</v>
      </c>
      <c r="BD144" s="23">
        <f>+'QTR Raw'!X81</f>
        <v>30.05</v>
      </c>
      <c r="BE144" s="23">
        <f>+BE179*BE10/90</f>
        <v>32.648606773961085</v>
      </c>
      <c r="BF144" s="23">
        <f>+'QTR Raw'!Z81</f>
        <v>31.35</v>
      </c>
      <c r="BG144" s="23">
        <f>+BG179*BG10/90</f>
        <v>30.619778918278726</v>
      </c>
      <c r="BH144" s="23">
        <f>+'QTR Raw'!AB81</f>
        <v>28.64</v>
      </c>
      <c r="BI144" s="23">
        <f>+BI179*BI10/90</f>
        <v>20.783293413173656</v>
      </c>
      <c r="BJ144" s="23">
        <f>+'QTR Raw'!AD81</f>
        <v>27.56</v>
      </c>
      <c r="BK144" s="23">
        <f>+BK179*BK10/90</f>
        <v>27.330285476140858</v>
      </c>
      <c r="BL144" s="23">
        <f>+'QTR Raw'!AF81</f>
        <v>24.59</v>
      </c>
      <c r="BM144" s="23">
        <f>+BM179*BM10/90</f>
        <v>21.886305135307907</v>
      </c>
      <c r="BN144" s="23">
        <f>+'QTR Raw'!AH81</f>
        <v>28.72</v>
      </c>
      <c r="BO144" s="23">
        <f>+BO179*BO10/90</f>
        <v>24.943246260325967</v>
      </c>
      <c r="BP144" s="23">
        <f>+'QTR Raw'!AJ81</f>
        <v>29.96</v>
      </c>
      <c r="BQ144" s="23">
        <f>+BQ179*BQ10/90</f>
        <v>29.899060650887577</v>
      </c>
      <c r="BR144" s="23">
        <f>+'QTR Raw'!AL81</f>
        <v>26.09</v>
      </c>
      <c r="BS144" s="23">
        <f>+BS179*BS10/90</f>
        <v>30.591408123791098</v>
      </c>
      <c r="BT144" s="23">
        <f>+'QTR Raw'!AN81</f>
        <v>25.53</v>
      </c>
      <c r="BU144" s="23">
        <f>+BU179*BU10/90</f>
        <v>25.23840265939312</v>
      </c>
      <c r="BV144" s="23">
        <f>+'QTR Raw'!AP81</f>
        <v>29.4</v>
      </c>
      <c r="BW144" s="23">
        <f>+BW179*BW10/90</f>
        <v>27.615912496254122</v>
      </c>
      <c r="BX144" s="23">
        <f>+'QTR Raw'!AR81</f>
        <v>36.76</v>
      </c>
      <c r="BY144" s="23">
        <f>+BY179*BY10/90</f>
        <v>29.261805188752522</v>
      </c>
      <c r="BZ144" s="23">
        <f>+'QTR Raw'!AT81</f>
        <v>36.369999999999997</v>
      </c>
      <c r="CA144" s="23">
        <f>+CA179*CA10/90</f>
        <v>36.490394222088476</v>
      </c>
      <c r="CB144" s="23">
        <f>+'QTR Raw'!AV81</f>
        <v>39.369999999999997</v>
      </c>
      <c r="CC144" s="23">
        <f>+CC179*CC10/90</f>
        <v>38.898610184904513</v>
      </c>
      <c r="CD144" s="23">
        <f>+'QTR Raw'!AX81</f>
        <v>43.28</v>
      </c>
      <c r="CE144" s="23">
        <f>+CE179*CE10/90</f>
        <v>39.449418917338946</v>
      </c>
      <c r="CF144" s="23">
        <f>+'QTR Raw'!AZ81</f>
        <v>52.07</v>
      </c>
      <c r="CG144" s="23">
        <f>+CG179*CG10/90</f>
        <v>47.418390915940158</v>
      </c>
      <c r="CH144" s="23">
        <f t="shared" si="1192"/>
        <v>57.011899999999997</v>
      </c>
      <c r="CI144" s="23">
        <f>+CI179*CI10/90</f>
        <v>58.856995485450092</v>
      </c>
      <c r="CJ144" s="23">
        <f>+'QTR Raw'!BD81</f>
        <v>50.91</v>
      </c>
      <c r="CK144" s="24">
        <f t="shared" ref="CK144:DB144" si="1215">+CK179*CK10/90</f>
        <v>39.496843137254899</v>
      </c>
      <c r="CL144" s="23">
        <f>+'QTR Raw'!BF81</f>
        <v>51.84</v>
      </c>
      <c r="CM144" s="24">
        <f t="shared" si="1215"/>
        <v>65.870152690323025</v>
      </c>
      <c r="CN144" s="24">
        <f t="shared" si="1215"/>
        <v>67.369064793160675</v>
      </c>
      <c r="CO144" s="24">
        <f t="shared" si="1215"/>
        <v>50.549096735640482</v>
      </c>
      <c r="CP144" s="24">
        <f t="shared" si="1215"/>
        <v>58.42905837136901</v>
      </c>
      <c r="CQ144" s="24">
        <f t="shared" si="1215"/>
        <v>76.431123796669937</v>
      </c>
      <c r="CR144" s="24">
        <f t="shared" si="1215"/>
        <v>77.103581877258875</v>
      </c>
      <c r="CS144" s="24">
        <f t="shared" si="1215"/>
        <v>57.60167441251361</v>
      </c>
      <c r="CT144" s="24">
        <f t="shared" si="1215"/>
        <v>66.77635945273849</v>
      </c>
      <c r="CU144" s="24">
        <f t="shared" si="1215"/>
        <v>87.651346829298589</v>
      </c>
      <c r="CV144" s="24">
        <f t="shared" si="1215"/>
        <v>88.16175109209739</v>
      </c>
      <c r="CW144" s="24">
        <f t="shared" si="1215"/>
        <v>65.847396217594962</v>
      </c>
      <c r="CX144" s="24">
        <f t="shared" si="1215"/>
        <v>76.396066547478682</v>
      </c>
      <c r="CY144" s="24">
        <f t="shared" si="1215"/>
        <v>100.30449179805171</v>
      </c>
      <c r="CZ144" s="24">
        <f t="shared" si="1215"/>
        <v>100.83470834755509</v>
      </c>
      <c r="DA144" s="24">
        <f t="shared" si="1215"/>
        <v>75.318122575054517</v>
      </c>
      <c r="DB144" s="24">
        <f t="shared" si="1215"/>
        <v>87.396934412163901</v>
      </c>
      <c r="DE144" s="123"/>
      <c r="DF144" s="23">
        <v>59.53341914235628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2.7128956999999998</v>
      </c>
      <c r="F145" s="23">
        <f>'Annual Raw'!G77</f>
        <v>3.5697040000000002</v>
      </c>
      <c r="G145" s="23">
        <f>'Annual Raw'!H77</f>
        <v>6.4148275999999997</v>
      </c>
      <c r="H145" s="23">
        <f>'Annual Raw'!I77</f>
        <v>6.9542000000000002</v>
      </c>
      <c r="I145" s="23">
        <f>'Annual Raw'!J77</f>
        <v>8.9347999999999992</v>
      </c>
      <c r="J145" s="23">
        <f>'Annual Raw'!K77</f>
        <v>11.4598</v>
      </c>
      <c r="K145" s="23">
        <f>'Annual Raw'!L77</f>
        <v>15.0954</v>
      </c>
      <c r="L145" s="23">
        <f>'Annual Raw'!M77</f>
        <v>17.679200000000002</v>
      </c>
      <c r="M145" s="23">
        <f>'Annual Raw'!N77</f>
        <v>19.1126</v>
      </c>
      <c r="N145" s="23">
        <f>'Annual Raw'!O77</f>
        <v>21.8813</v>
      </c>
      <c r="O145" s="23">
        <f>'Annual Raw'!P77</f>
        <v>32.885300000000001</v>
      </c>
      <c r="P145" s="23">
        <f>'Annual Raw'!Q77</f>
        <v>11.892899999999999</v>
      </c>
      <c r="Q145" s="23">
        <f>'Annual Raw'!R77</f>
        <v>25.6571</v>
      </c>
      <c r="R145" s="23">
        <f>'Annual Raw'!S77</f>
        <v>27.237200000000001</v>
      </c>
      <c r="S145" s="23">
        <f>'Annual Raw'!T77</f>
        <v>29.7349</v>
      </c>
      <c r="T145" s="23">
        <f>'Annual Raw'!U77</f>
        <v>26.5806</v>
      </c>
      <c r="U145" s="23">
        <f>'Annual Raw'!V77</f>
        <v>28.242599999999999</v>
      </c>
      <c r="V145" s="23">
        <f>'Annual Raw'!W77</f>
        <v>28.680700000000002</v>
      </c>
      <c r="W145" s="23">
        <f>'Annual Raw'!X77</f>
        <v>41.344299999999997</v>
      </c>
      <c r="X145" s="23">
        <f>'Annual Raw'!Y77</f>
        <v>40.113599999999998</v>
      </c>
      <c r="Y145" s="23">
        <f>'Annual Raw'!Z77</f>
        <v>47.886800000000001</v>
      </c>
      <c r="Z145" s="23">
        <f>'Annual Raw'!AA77</f>
        <v>64.087299999999999</v>
      </c>
      <c r="AA145" s="23">
        <f>'Annual Raw'!AB77</f>
        <v>70.889300000000006</v>
      </c>
      <c r="AB145" s="24">
        <f t="shared" si="1210"/>
        <v>79.900384798347787</v>
      </c>
      <c r="AC145" s="24">
        <f t="shared" si="1211"/>
        <v>91.31512580255847</v>
      </c>
      <c r="AD145" s="24">
        <f t="shared" si="1212"/>
        <v>104.4698525762107</v>
      </c>
      <c r="AE145" s="24">
        <f t="shared" si="1213"/>
        <v>119.51328473144865</v>
      </c>
      <c r="AJ145" s="23">
        <f>+'QTR Raw'!D82</f>
        <v>19.712</v>
      </c>
      <c r="AK145" s="23">
        <f>+AK180*AK10/90</f>
        <v>17.944973258003763</v>
      </c>
      <c r="AL145" s="23">
        <f>+'QTR Raw'!F82</f>
        <v>21.881</v>
      </c>
      <c r="AM145" s="23">
        <f>+AM180*AM10/90</f>
        <v>21.965061001005317</v>
      </c>
      <c r="AN145" s="23">
        <f>+'QTR Raw'!H82</f>
        <v>23.39</v>
      </c>
      <c r="AO145" s="23">
        <f>+AO180*AO10/90</f>
        <v>23.868882714243934</v>
      </c>
      <c r="AP145" s="23">
        <f>+'QTR Raw'!J82</f>
        <v>32.880000000000003</v>
      </c>
      <c r="AQ145" s="23">
        <f>+AQ180*AQ10/90</f>
        <v>27.657670858392567</v>
      </c>
      <c r="AR145" s="23">
        <f>+'QTR Raw'!L82</f>
        <v>23.82</v>
      </c>
      <c r="AS145" s="23">
        <f>+AS180*AS10/90</f>
        <v>19.863213313161875</v>
      </c>
      <c r="AT145" s="23">
        <f>+'QTR Raw'!N82</f>
        <v>11.89</v>
      </c>
      <c r="AU145" s="23">
        <f>+AU180*AU10/90</f>
        <v>15.100256967064787</v>
      </c>
      <c r="AV145" s="23">
        <f>+'QTR Raw'!P82</f>
        <v>22.67</v>
      </c>
      <c r="AW145" s="23">
        <f>+AW180*AW10/90</f>
        <v>20.035121891159815</v>
      </c>
      <c r="AX145" s="23">
        <f>+'QTR Raw'!R82</f>
        <v>25.66</v>
      </c>
      <c r="AY145" s="23">
        <f>+AY180*AY10/90</f>
        <v>27.102755791505796</v>
      </c>
      <c r="AZ145" s="23">
        <f>+'QTR Raw'!T82</f>
        <v>20.309999999999999</v>
      </c>
      <c r="BA145" s="23">
        <f>+BA180*BA10/90</f>
        <v>21.68958631256384</v>
      </c>
      <c r="BB145" s="23">
        <f>+'QTR Raw'!V82</f>
        <v>27.24</v>
      </c>
      <c r="BC145" s="23">
        <f>+BC180*BC10/90</f>
        <v>25.075268641470888</v>
      </c>
      <c r="BD145" s="23">
        <f>+'QTR Raw'!X82</f>
        <v>25.6</v>
      </c>
      <c r="BE145" s="23">
        <f>+BE180*BE10/90</f>
        <v>27.81378813355753</v>
      </c>
      <c r="BF145" s="23">
        <f>+'QTR Raw'!Z82</f>
        <v>29.73</v>
      </c>
      <c r="BG145" s="23">
        <f>+BG180*BG10/90</f>
        <v>29.03751283063561</v>
      </c>
      <c r="BH145" s="23">
        <f>+'QTR Raw'!AB82</f>
        <v>33.75</v>
      </c>
      <c r="BI145" s="23">
        <f>+BI180*BI10/90</f>
        <v>24.491485778443117</v>
      </c>
      <c r="BJ145" s="23">
        <f>+'QTR Raw'!AD82</f>
        <v>26.58</v>
      </c>
      <c r="BK145" s="23">
        <f>+BK180*BK10/90</f>
        <v>26.358453844550947</v>
      </c>
      <c r="BL145" s="23">
        <f>+'QTR Raw'!AF82</f>
        <v>30.08</v>
      </c>
      <c r="BM145" s="23">
        <f>+BM180*BM10/90</f>
        <v>26.772674195610485</v>
      </c>
      <c r="BN145" s="23">
        <f>+'QTR Raw'!AH82</f>
        <v>28.24</v>
      </c>
      <c r="BO145" s="23">
        <f>+BO180*BO10/90</f>
        <v>24.526367492743915</v>
      </c>
      <c r="BP145" s="23">
        <f>+'QTR Raw'!AJ82</f>
        <v>25.76</v>
      </c>
      <c r="BQ145" s="23">
        <f>+BQ180*BQ10/90</f>
        <v>25.707603550295861</v>
      </c>
      <c r="BR145" s="23">
        <f>+'QTR Raw'!AL82</f>
        <v>28.68</v>
      </c>
      <c r="BS145" s="23">
        <f>+BS180*BS10/90</f>
        <v>33.628270793036748</v>
      </c>
      <c r="BT145" s="23">
        <f>+'QTR Raw'!AN82</f>
        <v>31.42</v>
      </c>
      <c r="BU145" s="23">
        <f>+BU180*BU10/90</f>
        <v>31.061128537333797</v>
      </c>
      <c r="BV145" s="23">
        <f>+'QTR Raw'!AP82</f>
        <v>41.34</v>
      </c>
      <c r="BW145" s="23">
        <f>+BW180*BW10/90</f>
        <v>38.831354510038963</v>
      </c>
      <c r="BX145" s="23">
        <f>+'QTR Raw'!AR82</f>
        <v>47.87</v>
      </c>
      <c r="BY145" s="23">
        <f>+BY180*BY10/90</f>
        <v>38.105620630728595</v>
      </c>
      <c r="BZ145" s="23">
        <f>+'QTR Raw'!AT82</f>
        <v>40.11</v>
      </c>
      <c r="CA145" s="23">
        <f>+CA180*CA10/90</f>
        <v>40.242774601263925</v>
      </c>
      <c r="CB145" s="23">
        <f>+'QTR Raw'!AV82</f>
        <v>40.08</v>
      </c>
      <c r="CC145" s="23">
        <f>+CC180*CC10/90</f>
        <v>39.600109123976949</v>
      </c>
      <c r="CD145" s="23">
        <f>+'QTR Raw'!AX82</f>
        <v>47.89</v>
      </c>
      <c r="CE145" s="23">
        <f>+CE180*CE10/90</f>
        <v>43.651401847305031</v>
      </c>
      <c r="CF145" s="23">
        <f>+'QTR Raw'!AZ82</f>
        <v>54.6</v>
      </c>
      <c r="CG145" s="23">
        <f>+CG180*CG10/90</f>
        <v>49.722376493380693</v>
      </c>
      <c r="CH145" s="23">
        <f t="shared" si="1192"/>
        <v>64.087299999999999</v>
      </c>
      <c r="CI145" s="23">
        <f>+CI180*CI10/90</f>
        <v>66.161379059015502</v>
      </c>
      <c r="CJ145" s="23">
        <f>+'QTR Raw'!BD82</f>
        <v>54.39</v>
      </c>
      <c r="CK145" s="24">
        <f t="shared" ref="CK145:DB145" si="1216">+CK180*CK10/90</f>
        <v>42.196686274509801</v>
      </c>
      <c r="CL145" s="23">
        <f>+'QTR Raw'!BF82</f>
        <v>70.89</v>
      </c>
      <c r="CM145" s="24">
        <f t="shared" si="1216"/>
        <v>90.075909031963718</v>
      </c>
      <c r="CN145" s="24">
        <f t="shared" si="1216"/>
        <v>92.125636635554784</v>
      </c>
      <c r="CO145" s="24">
        <f t="shared" si="1216"/>
        <v>69.124719668008368</v>
      </c>
      <c r="CP145" s="24">
        <f t="shared" si="1216"/>
        <v>79.900384798347787</v>
      </c>
      <c r="CQ145" s="24">
        <f t="shared" si="1216"/>
        <v>104.51779255296937</v>
      </c>
      <c r="CR145" s="24">
        <f t="shared" si="1216"/>
        <v>105.43736341201547</v>
      </c>
      <c r="CS145" s="24">
        <f t="shared" si="1216"/>
        <v>78.768956387019472</v>
      </c>
      <c r="CT145" s="24">
        <f t="shared" si="1216"/>
        <v>91.31512580255847</v>
      </c>
      <c r="CU145" s="24">
        <f t="shared" si="1216"/>
        <v>119.86118782270403</v>
      </c>
      <c r="CV145" s="24">
        <f t="shared" si="1216"/>
        <v>120.5591538371679</v>
      </c>
      <c r="CW145" s="24">
        <f t="shared" si="1216"/>
        <v>90.044790082278283</v>
      </c>
      <c r="CX145" s="24">
        <f t="shared" si="1216"/>
        <v>104.4698525762107</v>
      </c>
      <c r="CY145" s="24">
        <f t="shared" si="1216"/>
        <v>137.16407067059967</v>
      </c>
      <c r="CZ145" s="24">
        <f t="shared" si="1216"/>
        <v>137.88912952851427</v>
      </c>
      <c r="DA145" s="24">
        <f t="shared" si="1216"/>
        <v>102.99578914632745</v>
      </c>
      <c r="DB145" s="24">
        <f t="shared" si="1216"/>
        <v>119.51328473144865</v>
      </c>
      <c r="DE145" s="123"/>
      <c r="DF145" s="23">
        <v>63.602880910484345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2.1875</v>
      </c>
      <c r="M146" s="23">
        <f>'Annual Raw'!N79</f>
        <v>2.4950999999999999</v>
      </c>
      <c r="N146" s="23">
        <f>'Annual Raw'!O79</f>
        <v>3.0924</v>
      </c>
      <c r="O146" s="23">
        <f>'Annual Raw'!P79</f>
        <v>6.4880000000000004</v>
      </c>
      <c r="P146" s="23">
        <f>'Annual Raw'!Q79</f>
        <v>12.569699999999999</v>
      </c>
      <c r="Q146" s="23">
        <f>'Annual Raw'!R79</f>
        <v>5.1353</v>
      </c>
      <c r="R146" s="23">
        <f>'Annual Raw'!S79</f>
        <v>6.3945999999999996</v>
      </c>
      <c r="S146" s="23">
        <f>'Annual Raw'!T79</f>
        <v>1.254</v>
      </c>
      <c r="T146" s="23">
        <f>'Annual Raw'!U79</f>
        <v>0.30220000000000002</v>
      </c>
      <c r="U146" s="23">
        <f>'Annual Raw'!V79</f>
        <v>2.9434</v>
      </c>
      <c r="V146" s="23">
        <f>'Annual Raw'!W79</f>
        <v>0.47939999999999999</v>
      </c>
      <c r="W146" s="23">
        <f>'Annual Raw'!X79</f>
        <v>0.93869999999999998</v>
      </c>
      <c r="X146" s="23">
        <f>'Annual Raw'!Y79</f>
        <v>1.3197000000000001</v>
      </c>
      <c r="Y146" s="23">
        <f>'Annual Raw'!Z79</f>
        <v>1.5319</v>
      </c>
      <c r="Z146" s="23">
        <f>'Annual Raw'!AA79</f>
        <v>2.9434999999999998</v>
      </c>
      <c r="AA146" s="23">
        <f>'Annual Raw'!AB79</f>
        <v>2.0327999999999999</v>
      </c>
      <c r="AB146" s="24">
        <f t="shared" si="1210"/>
        <v>6.1539864719844708</v>
      </c>
      <c r="AC146" s="24">
        <f t="shared" si="1211"/>
        <v>7.0331582293972295</v>
      </c>
      <c r="AD146" s="24">
        <f t="shared" si="1212"/>
        <v>8.0463449720145412</v>
      </c>
      <c r="AE146" s="24">
        <f t="shared" si="1213"/>
        <v>9.2050011938737484</v>
      </c>
      <c r="AJ146" s="23">
        <f>+'QTR Raw'!D84</f>
        <v>4.7389999999999999</v>
      </c>
      <c r="AK146" s="23">
        <f t="shared" si="1214"/>
        <v>4.7389999999999999</v>
      </c>
      <c r="AL146" s="23">
        <f>+'QTR Raw'!F84</f>
        <v>0.88400000000000001</v>
      </c>
      <c r="AM146" s="23">
        <f t="shared" si="1214"/>
        <v>0.88400000000000001</v>
      </c>
      <c r="AN146" s="23">
        <f>+'QTR Raw'!H84</f>
        <v>5.08</v>
      </c>
      <c r="AO146" s="23">
        <f t="shared" si="1214"/>
        <v>5.08</v>
      </c>
      <c r="AP146" s="23">
        <f>+'QTR Raw'!J84</f>
        <v>4.84</v>
      </c>
      <c r="AQ146" s="23">
        <f t="shared" si="1214"/>
        <v>4.84</v>
      </c>
      <c r="AR146" s="23">
        <f>+'QTR Raw'!L84</f>
        <v>4.3499999999999996</v>
      </c>
      <c r="AS146" s="23">
        <f t="shared" si="1214"/>
        <v>4.3499999999999996</v>
      </c>
      <c r="AT146" s="23">
        <f>+'QTR Raw'!N84</f>
        <v>4.28</v>
      </c>
      <c r="AU146" s="23">
        <f t="shared" si="1214"/>
        <v>4.28</v>
      </c>
      <c r="AV146" s="23">
        <f>+'QTR Raw'!P84</f>
        <v>4.28</v>
      </c>
      <c r="AW146" s="23">
        <f t="shared" si="1214"/>
        <v>4.28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7.44</v>
      </c>
      <c r="BC146" s="23">
        <f t="shared" si="1214"/>
        <v>7.44</v>
      </c>
      <c r="BD146" s="23">
        <f>+'QTR Raw'!X84</f>
        <v>10.51</v>
      </c>
      <c r="BE146" s="23">
        <f t="shared" si="1214"/>
        <v>10.51</v>
      </c>
      <c r="BF146" s="23">
        <f>+'QTR Raw'!Z84</f>
        <v>13.33</v>
      </c>
      <c r="BG146" s="23">
        <f t="shared" si="1214"/>
        <v>13.33</v>
      </c>
      <c r="BH146" s="23">
        <f>+'QTR Raw'!AB84</f>
        <v>14.47</v>
      </c>
      <c r="BI146" s="23">
        <f t="shared" si="1214"/>
        <v>14.47</v>
      </c>
      <c r="BJ146" s="23">
        <f>+'QTR Raw'!AD84</f>
        <v>15.26</v>
      </c>
      <c r="BK146" s="23">
        <f t="shared" si="1214"/>
        <v>15.26</v>
      </c>
      <c r="BL146" s="23">
        <f>+'QTR Raw'!AF84</f>
        <v>19.72</v>
      </c>
      <c r="BM146" s="23">
        <f t="shared" si="1214"/>
        <v>19.72</v>
      </c>
      <c r="BN146" s="23">
        <f>+'QTR Raw'!AH84</f>
        <v>13.81</v>
      </c>
      <c r="BO146" s="23">
        <f t="shared" si="1214"/>
        <v>13.81</v>
      </c>
      <c r="BP146" s="23">
        <f>+'QTR Raw'!AJ84</f>
        <v>6.79</v>
      </c>
      <c r="BQ146" s="23">
        <f t="shared" si="1214"/>
        <v>6.79</v>
      </c>
      <c r="BR146" s="23">
        <f>+'QTR Raw'!AL84</f>
        <v>7.92</v>
      </c>
      <c r="BS146" s="23">
        <f t="shared" si="1214"/>
        <v>7.92</v>
      </c>
      <c r="BT146" s="23">
        <f>+'QTR Raw'!AN84</f>
        <v>7.57</v>
      </c>
      <c r="BU146" s="23">
        <f t="shared" si="1214"/>
        <v>7.57</v>
      </c>
      <c r="BV146" s="23">
        <f>+'QTR Raw'!AP84</f>
        <v>13.44</v>
      </c>
      <c r="BW146" s="23">
        <f t="shared" si="1214"/>
        <v>13.44</v>
      </c>
      <c r="BX146" s="23">
        <f>+'QTR Raw'!AR84</f>
        <v>10.96</v>
      </c>
      <c r="BY146" s="23">
        <f t="shared" si="1214"/>
        <v>10.96</v>
      </c>
      <c r="BZ146" s="23">
        <f>+'QTR Raw'!AT84</f>
        <v>14.54</v>
      </c>
      <c r="CA146" s="23">
        <f t="shared" si="1214"/>
        <v>14.54</v>
      </c>
      <c r="CB146" s="23">
        <f>+'QTR Raw'!AV84</f>
        <v>10.8</v>
      </c>
      <c r="CC146" s="23">
        <f t="shared" si="1214"/>
        <v>10.8</v>
      </c>
      <c r="CD146" s="23">
        <f>+'QTR Raw'!AX84</f>
        <v>13.75</v>
      </c>
      <c r="CE146" s="23">
        <f t="shared" si="1214"/>
        <v>13.75</v>
      </c>
      <c r="CF146" s="23">
        <f>+'QTR Raw'!AZ84</f>
        <v>13.16</v>
      </c>
      <c r="CG146" s="23">
        <f t="shared" ref="CG146:CG147" si="1217">+CF146</f>
        <v>13.16</v>
      </c>
      <c r="CH146" s="23">
        <f t="shared" si="1192"/>
        <v>2.9434999999999998</v>
      </c>
      <c r="CI146" s="23">
        <f>CI10/90*CI181</f>
        <v>20.535771552896385</v>
      </c>
      <c r="CJ146" s="23">
        <f>+'QTR Raw'!BD84</f>
        <v>5.12</v>
      </c>
      <c r="CK146" s="24">
        <f t="shared" ref="CK146:DB146" si="1218">CK10/90*CK181</f>
        <v>6.6177189542483594</v>
      </c>
      <c r="CL146" s="23">
        <f>+'QTR Raw'!BF84</f>
        <v>2.69</v>
      </c>
      <c r="CM146" s="24">
        <f t="shared" si="1218"/>
        <v>6.9377128412261557</v>
      </c>
      <c r="CN146" s="24">
        <f t="shared" si="1218"/>
        <v>7.0955843705759536</v>
      </c>
      <c r="CO146" s="24">
        <f t="shared" si="1218"/>
        <v>5.3240368089621377</v>
      </c>
      <c r="CP146" s="24">
        <f t="shared" si="1218"/>
        <v>6.1539864719844708</v>
      </c>
      <c r="CQ146" s="24">
        <f t="shared" si="1218"/>
        <v>8.0500373443251956</v>
      </c>
      <c r="CR146" s="24">
        <f t="shared" si="1218"/>
        <v>8.1208633690168543</v>
      </c>
      <c r="CS146" s="24">
        <f t="shared" si="1218"/>
        <v>6.0668430226142842</v>
      </c>
      <c r="CT146" s="24">
        <f t="shared" si="1218"/>
        <v>7.0331582293972295</v>
      </c>
      <c r="CU146" s="24">
        <f t="shared" si="1218"/>
        <v>9.231796946141408</v>
      </c>
      <c r="CV146" s="24">
        <f t="shared" si="1218"/>
        <v>9.2855548025241514</v>
      </c>
      <c r="CW146" s="24">
        <f t="shared" si="1218"/>
        <v>6.9353160368068805</v>
      </c>
      <c r="CX146" s="24">
        <f t="shared" si="1218"/>
        <v>8.0463449720145412</v>
      </c>
      <c r="CY146" s="24">
        <f t="shared" si="1218"/>
        <v>10.56447772410036</v>
      </c>
      <c r="CZ146" s="24">
        <f t="shared" si="1218"/>
        <v>10.620322291235553</v>
      </c>
      <c r="DA146" s="24">
        <f t="shared" si="1218"/>
        <v>7.9328115212152381</v>
      </c>
      <c r="DB146" s="24">
        <f t="shared" si="1218"/>
        <v>9.2050011938737484</v>
      </c>
      <c r="DE146" s="123"/>
      <c r="DF146" s="23">
        <v>9.9748588741759701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0.54886330000000005</v>
      </c>
      <c r="F147" s="23">
        <f>'Annual Raw'!G80</f>
        <v>0.62154469999999995</v>
      </c>
      <c r="G147" s="23">
        <f>'Annual Raw'!H80</f>
        <v>1.4343330000000001</v>
      </c>
      <c r="H147" s="23">
        <f>'Annual Raw'!I80</f>
        <v>2.7079</v>
      </c>
      <c r="I147" s="23">
        <f>'Annual Raw'!J80</f>
        <v>1.5571999999999999</v>
      </c>
      <c r="J147" s="23">
        <f>'Annual Raw'!K80</f>
        <v>2.0678000000000001</v>
      </c>
      <c r="K147" s="23">
        <f>'Annual Raw'!L80</f>
        <v>2.7858000000000001</v>
      </c>
      <c r="L147" s="23">
        <f>'Annual Raw'!M80</f>
        <v>1.5786</v>
      </c>
      <c r="M147" s="23">
        <f>'Annual Raw'!N80</f>
        <v>1.831</v>
      </c>
      <c r="N147" s="23">
        <f>'Annual Raw'!O80</f>
        <v>2.4140999999999999</v>
      </c>
      <c r="O147" s="23">
        <f>'Annual Raw'!P80</f>
        <v>2.7755000000000001</v>
      </c>
      <c r="P147" s="23">
        <f>'Annual Raw'!Q80</f>
        <v>2.5666000000000002</v>
      </c>
      <c r="Q147" s="23">
        <f>'Annual Raw'!R80</f>
        <v>3.9906999999999999</v>
      </c>
      <c r="R147" s="23">
        <f>'Annual Raw'!S80</f>
        <v>1.3211999999999999</v>
      </c>
      <c r="S147" s="23">
        <f>'Annual Raw'!T80</f>
        <v>12.2775</v>
      </c>
      <c r="T147" s="23">
        <f>'Annual Raw'!U80</f>
        <v>15.1561</v>
      </c>
      <c r="U147" s="23">
        <f>'Annual Raw'!V80</f>
        <v>11.0672</v>
      </c>
      <c r="V147" s="23">
        <f>'Annual Raw'!W80</f>
        <v>9.6432000000000002</v>
      </c>
      <c r="W147" s="23">
        <f>'Annual Raw'!X80</f>
        <v>15.5565</v>
      </c>
      <c r="X147" s="23">
        <f>'Annual Raw'!Y80</f>
        <v>13.238300000000001</v>
      </c>
      <c r="Y147" s="23">
        <f>'Annual Raw'!Z80</f>
        <v>12.240500000000001</v>
      </c>
      <c r="Z147" s="23">
        <f>'Annual Raw'!AA80</f>
        <v>9.2241</v>
      </c>
      <c r="AA147" s="23">
        <f>'Annual Raw'!AB80</f>
        <v>0.6583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0.35899999999999999</v>
      </c>
      <c r="AK147" s="23">
        <f t="shared" si="1214"/>
        <v>0.35899999999999999</v>
      </c>
      <c r="AL147" s="23">
        <f>+'QTR Raw'!F85</f>
        <v>4.6239999999999997</v>
      </c>
      <c r="AM147" s="23">
        <f t="shared" si="1214"/>
        <v>4.6239999999999997</v>
      </c>
      <c r="AN147" s="23">
        <f>+'QTR Raw'!H85</f>
        <v>0.5</v>
      </c>
      <c r="AO147" s="23">
        <f t="shared" si="1214"/>
        <v>0.5</v>
      </c>
      <c r="AP147" s="23">
        <f>+'QTR Raw'!J85</f>
        <v>3.4</v>
      </c>
      <c r="AQ147" s="23">
        <f t="shared" si="1214"/>
        <v>3.4</v>
      </c>
      <c r="AR147" s="23">
        <f>+'QTR Raw'!L85</f>
        <v>6.13</v>
      </c>
      <c r="AS147" s="23">
        <f t="shared" si="1214"/>
        <v>6.13</v>
      </c>
      <c r="AT147" s="23">
        <f>+'QTR Raw'!N85</f>
        <v>7.58</v>
      </c>
      <c r="AU147" s="23">
        <f t="shared" si="1214"/>
        <v>7.58</v>
      </c>
      <c r="AV147" s="23">
        <f>+'QTR Raw'!P85</f>
        <v>10.59</v>
      </c>
      <c r="AW147" s="23">
        <f t="shared" si="1214"/>
        <v>10.59</v>
      </c>
      <c r="AX147" s="23">
        <f>+'QTR Raw'!R85</f>
        <v>9.1199999999999992</v>
      </c>
      <c r="AY147" s="23">
        <f t="shared" si="1214"/>
        <v>9.1199999999999992</v>
      </c>
      <c r="AZ147" s="23">
        <f>+'QTR Raw'!T85</f>
        <v>8.94</v>
      </c>
      <c r="BA147" s="23">
        <f t="shared" si="1214"/>
        <v>8.94</v>
      </c>
      <c r="BB147" s="23">
        <f>+'QTR Raw'!V85</f>
        <v>0.27</v>
      </c>
      <c r="BC147" s="23">
        <f t="shared" si="1214"/>
        <v>0.27</v>
      </c>
      <c r="BD147" s="23">
        <f>+'QTR Raw'!X85</f>
        <v>0.22</v>
      </c>
      <c r="BE147" s="23">
        <f t="shared" si="1214"/>
        <v>0.22</v>
      </c>
      <c r="BF147" s="23">
        <f>+'QTR Raw'!Z85</f>
        <v>0.2</v>
      </c>
      <c r="BG147" s="23">
        <f t="shared" si="1214"/>
        <v>0.2</v>
      </c>
      <c r="BH147" s="23">
        <f>+'QTR Raw'!AB85</f>
        <v>0.16</v>
      </c>
      <c r="BI147" s="23">
        <f t="shared" si="1214"/>
        <v>0.16</v>
      </c>
      <c r="BJ147" s="23">
        <f>+'QTR Raw'!AD85</f>
        <v>0.2</v>
      </c>
      <c r="BK147" s="23">
        <f t="shared" si="1214"/>
        <v>0.2</v>
      </c>
      <c r="BL147" s="23">
        <f>+'QTR Raw'!AF85</f>
        <v>0.11</v>
      </c>
      <c r="BM147" s="23">
        <f t="shared" si="1214"/>
        <v>0.11</v>
      </c>
      <c r="BN147" s="23">
        <f>+'QTR Raw'!AH85</f>
        <v>0.16</v>
      </c>
      <c r="BO147" s="23">
        <f t="shared" si="1214"/>
        <v>0.16</v>
      </c>
      <c r="BP147" s="23">
        <f>+'QTR Raw'!AJ85</f>
        <v>0.13</v>
      </c>
      <c r="BQ147" s="23">
        <f t="shared" si="1214"/>
        <v>0.13</v>
      </c>
      <c r="BR147" s="23">
        <f>+'QTR Raw'!AL85</f>
        <v>0.06</v>
      </c>
      <c r="BS147" s="23">
        <f t="shared" si="1214"/>
        <v>0.06</v>
      </c>
      <c r="BT147" s="23">
        <f>+'QTR Raw'!AN85</f>
        <v>0.09</v>
      </c>
      <c r="BU147" s="23">
        <f t="shared" si="1214"/>
        <v>0.09</v>
      </c>
      <c r="BV147" s="23">
        <f>+'QTR Raw'!AP85</f>
        <v>0.04</v>
      </c>
      <c r="BW147" s="23">
        <f t="shared" si="1214"/>
        <v>0.04</v>
      </c>
      <c r="BX147" s="23">
        <f>+'QTR Raw'!AR85</f>
        <v>0.03</v>
      </c>
      <c r="BY147" s="23">
        <f t="shared" si="1214"/>
        <v>0.03</v>
      </c>
      <c r="BZ147" s="23">
        <f>+'QTR Raw'!AT85</f>
        <v>0.03</v>
      </c>
      <c r="CA147" s="23">
        <f t="shared" si="1214"/>
        <v>0.03</v>
      </c>
      <c r="CB147" s="23">
        <f>+'QTR Raw'!AV85</f>
        <v>0.03</v>
      </c>
      <c r="CC147" s="23">
        <f t="shared" si="1214"/>
        <v>0.03</v>
      </c>
      <c r="CD147" s="23">
        <f>+'QTR Raw'!AX85</f>
        <v>0.02</v>
      </c>
      <c r="CE147" s="23">
        <f t="shared" si="1214"/>
        <v>0.02</v>
      </c>
      <c r="CF147" s="23">
        <f>+'QTR Raw'!AZ85</f>
        <v>0</v>
      </c>
      <c r="CG147" s="23">
        <f t="shared" si="1217"/>
        <v>0</v>
      </c>
      <c r="CH147" s="23">
        <f t="shared" si="1192"/>
        <v>9.2241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5.8996281999999995</v>
      </c>
      <c r="F148" s="22">
        <f t="shared" si="1219"/>
        <v>7.2328300000000008</v>
      </c>
      <c r="G148" s="22">
        <f t="shared" si="1219"/>
        <v>12.3315705</v>
      </c>
      <c r="H148" s="22">
        <f t="shared" si="1219"/>
        <v>14.5982</v>
      </c>
      <c r="I148" s="22">
        <f t="shared" si="1219"/>
        <v>15.789199999999999</v>
      </c>
      <c r="J148" s="22">
        <f t="shared" si="1219"/>
        <v>18.249200000000002</v>
      </c>
      <c r="K148" s="22">
        <f t="shared" si="1219"/>
        <v>25.321899999999999</v>
      </c>
      <c r="L148" s="22">
        <f>SUM(L142:L147)</f>
        <v>31.388400000000004</v>
      </c>
      <c r="M148" s="22">
        <f>SUM(M142:M147)</f>
        <v>33.955000000000005</v>
      </c>
      <c r="N148" s="22">
        <f t="shared" si="1219"/>
        <v>38.792099999999998</v>
      </c>
      <c r="O148" s="22">
        <f t="shared" si="1219"/>
        <v>60.451600000000006</v>
      </c>
      <c r="P148" s="22">
        <f t="shared" si="1219"/>
        <v>52.945799999999998</v>
      </c>
      <c r="Q148" s="22">
        <f t="shared" si="1219"/>
        <v>67.904600000000002</v>
      </c>
      <c r="R148" s="22">
        <f t="shared" si="1219"/>
        <v>64.191599999999994</v>
      </c>
      <c r="S148" s="22">
        <f t="shared" si="1219"/>
        <v>82.2864</v>
      </c>
      <c r="T148" s="22">
        <f t="shared" si="1219"/>
        <v>76.344799999999992</v>
      </c>
      <c r="U148" s="22">
        <f t="shared" si="1219"/>
        <v>76.545400000000001</v>
      </c>
      <c r="V148" s="22">
        <f t="shared" si="1219"/>
        <v>71.134299999999996</v>
      </c>
      <c r="W148" s="22">
        <f t="shared" ref="W148" si="1220">SUM(W142:W147)</f>
        <v>100.59509999999999</v>
      </c>
      <c r="X148" s="22">
        <f t="shared" ref="X148:Y148" si="1221">SUM(X142:X147)</f>
        <v>95.165899999999993</v>
      </c>
      <c r="Y148" s="22">
        <f t="shared" si="1221"/>
        <v>124.7427</v>
      </c>
      <c r="Z148" s="22">
        <f t="shared" ref="Z148:AA148" si="1222">SUM(Z142:Z147)</f>
        <v>140.99119999999999</v>
      </c>
      <c r="AA148" s="22">
        <f t="shared" si="1222"/>
        <v>128.18980000000002</v>
      </c>
      <c r="AB148" s="21">
        <f t="shared" ref="AA148:AD148" si="1223">SUM(AB142:AB147)</f>
        <v>144.48342964170126</v>
      </c>
      <c r="AC148" s="21">
        <f t="shared" si="1223"/>
        <v>165.12464348469419</v>
      </c>
      <c r="AD148" s="21">
        <f t="shared" si="1223"/>
        <v>188.9122640957039</v>
      </c>
      <c r="AE148" s="21">
        <f t="shared" ref="AE148" si="1224">SUM(AE142:AE147)</f>
        <v>216.11522033748631</v>
      </c>
      <c r="AJ148" s="22">
        <f t="shared" ref="AJ148" si="1225">SUM(AJ142:AJ147)</f>
        <v>34.970999999999997</v>
      </c>
      <c r="AK148" s="22">
        <f t="shared" ref="AK148" si="1226">SUM(AK142:AK147)</f>
        <v>32.297152919020711</v>
      </c>
      <c r="AL148" s="22">
        <f t="shared" ref="AL148:AM148" si="1227">SUM(AL142:AL147)</f>
        <v>38.792999999999999</v>
      </c>
      <c r="AM148" s="22">
        <f t="shared" si="1227"/>
        <v>38.920872145626895</v>
      </c>
      <c r="AN148" s="22">
        <f t="shared" ref="AN148:AO148" si="1228">SUM(AN142:AN147)</f>
        <v>46.45</v>
      </c>
      <c r="AO148" s="22">
        <f t="shared" si="1228"/>
        <v>47.286765136004689</v>
      </c>
      <c r="AP148" s="22">
        <f t="shared" ref="AP148:CE148" si="1229">SUM(AP142:AP147)</f>
        <v>60.45000000000001</v>
      </c>
      <c r="AQ148" s="22">
        <f t="shared" si="1229"/>
        <v>53.035817386550029</v>
      </c>
      <c r="AR148" s="22">
        <f t="shared" si="1229"/>
        <v>66.91</v>
      </c>
      <c r="AS148" s="22">
        <f t="shared" si="1229"/>
        <v>58.599419062027238</v>
      </c>
      <c r="AT148" s="22">
        <f t="shared" si="1229"/>
        <v>52.94</v>
      </c>
      <c r="AU148" s="22">
        <f t="shared" si="1229"/>
        <v>61.641983351429609</v>
      </c>
      <c r="AV148" s="22">
        <f t="shared" si="1229"/>
        <v>82.360000000000014</v>
      </c>
      <c r="AW148" s="22">
        <f t="shared" si="1229"/>
        <v>75.461896084708201</v>
      </c>
      <c r="AX148" s="22">
        <f t="shared" si="1229"/>
        <v>67.900000000000006</v>
      </c>
      <c r="AY148" s="22">
        <f t="shared" si="1229"/>
        <v>70.898525579150586</v>
      </c>
      <c r="AZ148" s="22">
        <f t="shared" si="1229"/>
        <v>65.349999999999994</v>
      </c>
      <c r="BA148" s="22">
        <f t="shared" si="1229"/>
        <v>68.797946884576092</v>
      </c>
      <c r="BB148" s="22">
        <f t="shared" si="1229"/>
        <v>62.61</v>
      </c>
      <c r="BC148" s="22">
        <f t="shared" si="1229"/>
        <v>58.658808988764044</v>
      </c>
      <c r="BD148" s="22">
        <f t="shared" si="1229"/>
        <v>71.7</v>
      </c>
      <c r="BE148" s="22">
        <f t="shared" si="1229"/>
        <v>76.512394907518612</v>
      </c>
      <c r="BF148" s="22">
        <f t="shared" si="1229"/>
        <v>80.39</v>
      </c>
      <c r="BG148" s="22">
        <f t="shared" si="1229"/>
        <v>78.967291748914334</v>
      </c>
      <c r="BH148" s="22">
        <f t="shared" si="1229"/>
        <v>84.11</v>
      </c>
      <c r="BI148" s="22">
        <f t="shared" si="1229"/>
        <v>66.994779191616772</v>
      </c>
      <c r="BJ148" s="22">
        <f t="shared" si="1229"/>
        <v>74.460000000000008</v>
      </c>
      <c r="BK148" s="22">
        <f t="shared" si="1229"/>
        <v>74.008739320691816</v>
      </c>
      <c r="BL148" s="22">
        <f t="shared" si="1229"/>
        <v>79.02</v>
      </c>
      <c r="BM148" s="22">
        <f t="shared" si="1229"/>
        <v>73.008979330918393</v>
      </c>
      <c r="BN148" s="22">
        <f t="shared" si="1229"/>
        <v>74.61</v>
      </c>
      <c r="BO148" s="22">
        <f t="shared" si="1229"/>
        <v>67.119613753069885</v>
      </c>
      <c r="BP148" s="22">
        <f t="shared" si="1229"/>
        <v>66.350000000000009</v>
      </c>
      <c r="BQ148" s="22">
        <f t="shared" si="1229"/>
        <v>66.236664201183444</v>
      </c>
      <c r="BR148" s="22">
        <f t="shared" si="1229"/>
        <v>66.960000000000008</v>
      </c>
      <c r="BS148" s="22">
        <f t="shared" si="1229"/>
        <v>76.409678916827843</v>
      </c>
      <c r="BT148" s="22">
        <f t="shared" si="1229"/>
        <v>69.91</v>
      </c>
      <c r="BU148" s="22">
        <f t="shared" si="1229"/>
        <v>69.259531196726925</v>
      </c>
      <c r="BV148" s="22">
        <f t="shared" si="1229"/>
        <v>89.2</v>
      </c>
      <c r="BW148" s="22">
        <f t="shared" si="1229"/>
        <v>84.907267006293083</v>
      </c>
      <c r="BX148" s="22">
        <f t="shared" si="1229"/>
        <v>104.41999999999999</v>
      </c>
      <c r="BY148" s="22">
        <f t="shared" si="1229"/>
        <v>87.157425819481119</v>
      </c>
      <c r="BZ148" s="22">
        <f t="shared" si="1229"/>
        <v>95.169999999999987</v>
      </c>
      <c r="CA148" s="22">
        <f t="shared" si="1229"/>
        <v>95.423168823352398</v>
      </c>
      <c r="CB148" s="22">
        <f t="shared" si="1229"/>
        <v>97.39</v>
      </c>
      <c r="CC148" s="22">
        <f t="shared" si="1229"/>
        <v>96.43871930888146</v>
      </c>
      <c r="CD148" s="22">
        <f t="shared" si="1229"/>
        <v>108.76</v>
      </c>
      <c r="CE148" s="22">
        <f t="shared" si="1229"/>
        <v>100.69082076464397</v>
      </c>
      <c r="CF148" s="22">
        <f t="shared" ref="CF148:CG148" si="1230">SUM(CF142:CF147)</f>
        <v>126.07</v>
      </c>
      <c r="CG148" s="22">
        <f t="shared" si="1230"/>
        <v>116.54076740932085</v>
      </c>
      <c r="CH148" s="22">
        <f t="shared" ref="CH148:CI148" si="1231">SUM(CH142:CH147)</f>
        <v>140.99119999999999</v>
      </c>
      <c r="CI148" s="22">
        <f t="shared" si="1231"/>
        <v>145.55414609736198</v>
      </c>
      <c r="CJ148" s="22">
        <f t="shared" ref="CJ148:DB148" si="1232">SUM(CJ142:CJ147)</f>
        <v>113.83</v>
      </c>
      <c r="CK148" s="21">
        <f t="shared" si="1232"/>
        <v>88.311248366013061</v>
      </c>
      <c r="CL148" s="22">
        <f t="shared" ref="CL148" si="1233">SUM(CL142:CL147)</f>
        <v>128.19</v>
      </c>
      <c r="CM148" s="21">
        <f t="shared" si="1232"/>
        <v>162.8837745635129</v>
      </c>
      <c r="CN148" s="21">
        <f t="shared" si="1232"/>
        <v>166.59028579929142</v>
      </c>
      <c r="CO148" s="21">
        <f t="shared" si="1232"/>
        <v>124.99785321261099</v>
      </c>
      <c r="CP148" s="21">
        <f t="shared" si="1232"/>
        <v>144.48342964170126</v>
      </c>
      <c r="CQ148" s="21">
        <f t="shared" si="1232"/>
        <v>188.99895369396452</v>
      </c>
      <c r="CR148" s="21">
        <f t="shared" si="1232"/>
        <v>190.66180865829122</v>
      </c>
      <c r="CS148" s="21">
        <f t="shared" si="1232"/>
        <v>142.43747382214735</v>
      </c>
      <c r="CT148" s="21">
        <f t="shared" si="1232"/>
        <v>165.12464348469419</v>
      </c>
      <c r="CU148" s="21">
        <f t="shared" si="1232"/>
        <v>216.74433159814402</v>
      </c>
      <c r="CV148" s="21">
        <f t="shared" si="1232"/>
        <v>218.00645973178945</v>
      </c>
      <c r="CW148" s="21">
        <f t="shared" si="1232"/>
        <v>162.82750233668011</v>
      </c>
      <c r="CX148" s="21">
        <f t="shared" si="1232"/>
        <v>188.9122640957039</v>
      </c>
      <c r="CY148" s="21">
        <f t="shared" si="1232"/>
        <v>248.03304019275174</v>
      </c>
      <c r="CZ148" s="21">
        <f t="shared" si="1232"/>
        <v>249.34416016730489</v>
      </c>
      <c r="DA148" s="21">
        <f t="shared" si="1232"/>
        <v>186.2467232425972</v>
      </c>
      <c r="DB148" s="21">
        <f t="shared" si="1232"/>
        <v>216.11522033748631</v>
      </c>
      <c r="DE148" s="126"/>
      <c r="DF148" s="22">
        <v>133.11115892701659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0.3931</v>
      </c>
      <c r="Q149" s="23">
        <f>'Annual Raw'!R50+'Annual Raw'!R58</f>
        <v>1.2528999999999999</v>
      </c>
      <c r="R149" s="23">
        <f>'Annual Raw'!S50+'Annual Raw'!S58</f>
        <v>5.8487999999999998</v>
      </c>
      <c r="S149" s="23">
        <f>'Annual Raw'!T50+'Annual Raw'!T58</f>
        <v>7.2099000000000002</v>
      </c>
      <c r="T149" s="23">
        <f>'Annual Raw'!U50+'Annual Raw'!U58</f>
        <v>2.7805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0.39</v>
      </c>
      <c r="AU149" s="23">
        <f t="shared" si="1238"/>
        <v>0.39</v>
      </c>
      <c r="AV149" s="23">
        <f>+'QTR Raw'!P64</f>
        <v>1.01</v>
      </c>
      <c r="AW149" s="23">
        <f t="shared" si="1238"/>
        <v>1.01</v>
      </c>
      <c r="AX149" s="23">
        <f>+'QTR Raw'!R64</f>
        <v>1.25</v>
      </c>
      <c r="AY149" s="23">
        <f t="shared" si="1238"/>
        <v>1.25</v>
      </c>
      <c r="AZ149" s="23">
        <f>+'QTR Raw'!T64</f>
        <v>1.95</v>
      </c>
      <c r="BA149" s="23">
        <f t="shared" si="1238"/>
        <v>1.95</v>
      </c>
      <c r="BB149" s="23">
        <f>+'QTR Raw'!V64</f>
        <v>5.85</v>
      </c>
      <c r="BC149" s="23">
        <f t="shared" si="1238"/>
        <v>5.85</v>
      </c>
      <c r="BD149" s="23">
        <f>+'QTR Raw'!X64</f>
        <v>3.15</v>
      </c>
      <c r="BE149" s="23">
        <f t="shared" si="1238"/>
        <v>3.15</v>
      </c>
      <c r="BF149" s="23">
        <f>+'QTR Raw'!Z64</f>
        <v>7.21</v>
      </c>
      <c r="BG149" s="23">
        <f t="shared" si="1238"/>
        <v>7.21</v>
      </c>
      <c r="BH149" s="23">
        <f>+'QTR Raw'!AB64</f>
        <v>4.3600000000000003</v>
      </c>
      <c r="BI149" s="23">
        <f t="shared" si="1238"/>
        <v>4.3600000000000003</v>
      </c>
      <c r="BJ149" s="23">
        <f>+'QTR Raw'!AD64</f>
        <v>2.78</v>
      </c>
      <c r="BK149" s="23">
        <f t="shared" si="1238"/>
        <v>2.78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0</v>
      </c>
      <c r="CA149" s="23">
        <f t="shared" si="1238"/>
        <v>0</v>
      </c>
      <c r="CB149" s="23">
        <f>+'QTR Raw'!AV64</f>
        <v>0</v>
      </c>
      <c r="CC149" s="23">
        <f t="shared" si="1238"/>
        <v>0</v>
      </c>
      <c r="CD149" s="23">
        <f>+'QTR Raw'!AX64</f>
        <v>0</v>
      </c>
      <c r="CE149" s="23">
        <f t="shared" si="1238"/>
        <v>0</v>
      </c>
      <c r="CF149" s="23">
        <f>+'QTR Raw'!AZ64</f>
        <v>0</v>
      </c>
      <c r="CG149" s="23">
        <f t="shared" ref="CG149:CG152" si="1239">+CF149</f>
        <v>0</v>
      </c>
      <c r="CH149" s="23">
        <f t="shared" si="1192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0.1966</v>
      </c>
      <c r="M151" s="23">
        <f>'Annual Raw'!N52</f>
        <v>0.26829999999999998</v>
      </c>
      <c r="N151" s="23">
        <f>'Annual Raw'!O52</f>
        <v>0.46860000000000002</v>
      </c>
      <c r="O151" s="23">
        <f>'Annual Raw'!P52</f>
        <v>0.56299999999999994</v>
      </c>
      <c r="P151" s="23">
        <f>'Annual Raw'!Q52</f>
        <v>0.73929999999999996</v>
      </c>
      <c r="Q151" s="23">
        <f>'Annual Raw'!R52</f>
        <v>1.0298</v>
      </c>
      <c r="R151" s="23">
        <f>'Annual Raw'!S52</f>
        <v>2.4203000000000001</v>
      </c>
      <c r="S151" s="23">
        <f>'Annual Raw'!T52</f>
        <v>2.7913000000000001</v>
      </c>
      <c r="T151" s="23">
        <f>'Annual Raw'!U52</f>
        <v>2.4356</v>
      </c>
      <c r="U151" s="23">
        <f>'Annual Raw'!V52</f>
        <v>2.5121000000000002</v>
      </c>
      <c r="V151" s="23">
        <f>'Annual Raw'!W52</f>
        <v>2.6983000000000001</v>
      </c>
      <c r="W151" s="23">
        <f>'Annual Raw'!X52</f>
        <v>9.2445000000000004</v>
      </c>
      <c r="X151" s="23">
        <f>'Annual Raw'!Y52</f>
        <v>1.0112000000000001</v>
      </c>
      <c r="Y151" s="23">
        <f>'Annual Raw'!Z52</f>
        <v>17.8215</v>
      </c>
      <c r="Z151" s="23">
        <f>'Annual Raw'!AA52</f>
        <v>6.9057000000000004</v>
      </c>
      <c r="AA151" s="23">
        <f>'Annual Raw'!AB52</f>
        <v>3.3464999999999998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0.316</v>
      </c>
      <c r="AK151" s="23">
        <f t="shared" si="1238"/>
        <v>0.316</v>
      </c>
      <c r="AL151" s="23">
        <f>+'QTR Raw'!F66</f>
        <v>0.46899999999999997</v>
      </c>
      <c r="AM151" s="23">
        <f t="shared" si="1238"/>
        <v>0.46899999999999997</v>
      </c>
      <c r="AN151" s="23">
        <f>+'QTR Raw'!H66</f>
        <v>0.38</v>
      </c>
      <c r="AO151" s="23">
        <f t="shared" si="1238"/>
        <v>0.38</v>
      </c>
      <c r="AP151" s="23">
        <f>+'QTR Raw'!J66</f>
        <v>0.56000000000000005</v>
      </c>
      <c r="AQ151" s="23">
        <f t="shared" si="1238"/>
        <v>0.56000000000000005</v>
      </c>
      <c r="AR151" s="23">
        <f>+'QTR Raw'!L66</f>
        <v>0.7</v>
      </c>
      <c r="AS151" s="23">
        <f t="shared" si="1238"/>
        <v>0.7</v>
      </c>
      <c r="AT151" s="23">
        <f>+'QTR Raw'!N66</f>
        <v>0.74</v>
      </c>
      <c r="AU151" s="23">
        <f t="shared" si="1238"/>
        <v>0.74</v>
      </c>
      <c r="AV151" s="23">
        <f>+'QTR Raw'!P66</f>
        <v>0.82</v>
      </c>
      <c r="AW151" s="23">
        <f t="shared" si="1238"/>
        <v>0.82</v>
      </c>
      <c r="AX151" s="23">
        <f>+'QTR Raw'!R66</f>
        <v>1.03</v>
      </c>
      <c r="AY151" s="23">
        <f t="shared" si="1238"/>
        <v>1.03</v>
      </c>
      <c r="AZ151" s="23">
        <f>+'QTR Raw'!T66</f>
        <v>0.78</v>
      </c>
      <c r="BA151" s="23">
        <f t="shared" si="1238"/>
        <v>0.78</v>
      </c>
      <c r="BB151" s="23">
        <f>+'QTR Raw'!V66</f>
        <v>0.84</v>
      </c>
      <c r="BC151" s="23">
        <f t="shared" si="1238"/>
        <v>0.84</v>
      </c>
      <c r="BD151" s="23">
        <f>+'QTR Raw'!X66</f>
        <v>0.95</v>
      </c>
      <c r="BE151" s="23">
        <f t="shared" si="1238"/>
        <v>0.95</v>
      </c>
      <c r="BF151" s="23">
        <f>+'QTR Raw'!Z66</f>
        <v>0.9</v>
      </c>
      <c r="BG151" s="23">
        <f t="shared" si="1238"/>
        <v>0.9</v>
      </c>
      <c r="BH151" s="23">
        <f>+'QTR Raw'!AB66</f>
        <v>0.57999999999999996</v>
      </c>
      <c r="BI151" s="23">
        <f t="shared" si="1238"/>
        <v>0.57999999999999996</v>
      </c>
      <c r="BJ151" s="23">
        <f>+'QTR Raw'!AD66</f>
        <v>0.55000000000000004</v>
      </c>
      <c r="BK151" s="23">
        <f t="shared" si="1238"/>
        <v>0.55000000000000004</v>
      </c>
      <c r="BL151" s="23">
        <f>+'QTR Raw'!AF66</f>
        <v>0.53</v>
      </c>
      <c r="BM151" s="23">
        <f t="shared" si="1238"/>
        <v>0.53</v>
      </c>
      <c r="BN151" s="23">
        <f>+'QTR Raw'!AH66</f>
        <v>0.62</v>
      </c>
      <c r="BO151" s="23">
        <f t="shared" si="1238"/>
        <v>0.62</v>
      </c>
      <c r="BP151" s="23">
        <f>+'QTR Raw'!AJ66</f>
        <v>0.66</v>
      </c>
      <c r="BQ151" s="23">
        <f t="shared" si="1238"/>
        <v>0.66</v>
      </c>
      <c r="BR151" s="23">
        <f>+'QTR Raw'!AL66</f>
        <v>0.67</v>
      </c>
      <c r="BS151" s="23">
        <f t="shared" si="1238"/>
        <v>0.67</v>
      </c>
      <c r="BT151" s="23">
        <f>+'QTR Raw'!AN66</f>
        <v>0.7</v>
      </c>
      <c r="BU151" s="23">
        <f t="shared" si="1238"/>
        <v>0.7</v>
      </c>
      <c r="BV151" s="23">
        <f>+'QTR Raw'!AP66</f>
        <v>0.87</v>
      </c>
      <c r="BW151" s="23">
        <f t="shared" si="1238"/>
        <v>0.87</v>
      </c>
      <c r="BX151" s="23">
        <f>+'QTR Raw'!AR66</f>
        <v>0.72</v>
      </c>
      <c r="BY151" s="23">
        <f t="shared" si="1238"/>
        <v>0.72</v>
      </c>
      <c r="BZ151" s="23">
        <f>+'QTR Raw'!AT66</f>
        <v>1.01</v>
      </c>
      <c r="CA151" s="23">
        <f t="shared" si="1238"/>
        <v>1.01</v>
      </c>
      <c r="CB151" s="23">
        <f>+'QTR Raw'!AV66</f>
        <v>1.1000000000000001</v>
      </c>
      <c r="CC151" s="23">
        <f t="shared" si="1238"/>
        <v>1.1000000000000001</v>
      </c>
      <c r="CD151" s="23">
        <f>+'QTR Raw'!AX66</f>
        <v>1.83</v>
      </c>
      <c r="CE151" s="23">
        <f t="shared" si="1238"/>
        <v>1.83</v>
      </c>
      <c r="CF151" s="23">
        <f>+'QTR Raw'!AZ66</f>
        <v>2.2400000000000002</v>
      </c>
      <c r="CG151" s="23">
        <f t="shared" si="1239"/>
        <v>2.2400000000000002</v>
      </c>
      <c r="CH151" s="23">
        <f t="shared" si="1192"/>
        <v>6.9057000000000004</v>
      </c>
      <c r="CJ151" s="23">
        <f>+'QTR Raw'!BD66</f>
        <v>3.52</v>
      </c>
      <c r="CK151" s="24"/>
      <c r="CL151" s="23">
        <f>+'QTR Raw'!BF66</f>
        <v>3.34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3.34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7.7093896462223004</v>
      </c>
      <c r="AC152" s="24">
        <f t="shared" si="1235"/>
        <v>8.8107696500141071</v>
      </c>
      <c r="AD152" s="24">
        <f t="shared" si="1236"/>
        <v>10.080036558347881</v>
      </c>
      <c r="AE152" s="24">
        <f t="shared" si="1237"/>
        <v>11.531539957160513</v>
      </c>
      <c r="AJ152" s="23">
        <f>+'QTR Raw'!D87</f>
        <v>18.734000000000002</v>
      </c>
      <c r="AK152" s="23">
        <f t="shared" si="1238"/>
        <v>18.734000000000002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45.664321131357077</v>
      </c>
      <c r="CJ152" s="23">
        <f>+'QTR Raw'!BD87</f>
        <v>0</v>
      </c>
      <c r="CK152" s="24">
        <f t="shared" ref="CK152:DB152" si="1240">CK10/90*CK184</f>
        <v>14.655183006535941</v>
      </c>
      <c r="CL152" s="23">
        <f>+'QTR Raw'!BF87</f>
        <v>0</v>
      </c>
      <c r="CM152" s="24">
        <f t="shared" si="1240"/>
        <v>8.691200702195399</v>
      </c>
      <c r="CN152" s="24">
        <f t="shared" si="1240"/>
        <v>8.8889738268753664</v>
      </c>
      <c r="CO152" s="24">
        <f t="shared" si="1240"/>
        <v>6.6696724859525647</v>
      </c>
      <c r="CP152" s="24">
        <f t="shared" si="1240"/>
        <v>7.7093896462223004</v>
      </c>
      <c r="CQ152" s="24">
        <f t="shared" si="1240"/>
        <v>10.084662167616173</v>
      </c>
      <c r="CR152" s="24">
        <f t="shared" si="1240"/>
        <v>10.173389275471658</v>
      </c>
      <c r="CS152" s="24">
        <f t="shared" si="1240"/>
        <v>7.6002209294288798</v>
      </c>
      <c r="CT152" s="24">
        <f t="shared" si="1240"/>
        <v>8.8107696500141071</v>
      </c>
      <c r="CU152" s="24">
        <f t="shared" si="1240"/>
        <v>11.565108262199121</v>
      </c>
      <c r="CV152" s="24">
        <f t="shared" si="1240"/>
        <v>11.632453269096183</v>
      </c>
      <c r="CW152" s="24">
        <f t="shared" si="1240"/>
        <v>8.6881981120437803</v>
      </c>
      <c r="CX152" s="24">
        <f t="shared" si="1240"/>
        <v>10.080036558347881</v>
      </c>
      <c r="CY152" s="24">
        <f t="shared" si="1240"/>
        <v>13.234620445576269</v>
      </c>
      <c r="CZ152" s="24">
        <f t="shared" si="1240"/>
        <v>13.30457957363574</v>
      </c>
      <c r="DA152" s="24">
        <f t="shared" si="1240"/>
        <v>9.9378078397641403</v>
      </c>
      <c r="DB152" s="24">
        <f t="shared" si="1240"/>
        <v>11.531539957160513</v>
      </c>
      <c r="DE152" s="123"/>
      <c r="DF152" s="23">
        <v>22.089693333315847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2.7796921999999999</v>
      </c>
      <c r="F153" s="23">
        <f>'Annual Raw'!G54</f>
        <v>3.4133909</v>
      </c>
      <c r="G153" s="23">
        <f>'Annual Raw'!H54</f>
        <v>4.1644541000000004</v>
      </c>
      <c r="H153" s="23">
        <f>'Annual Raw'!I54</f>
        <v>5.7112999999999996</v>
      </c>
      <c r="I153" s="23">
        <f>'Annual Raw'!J54</f>
        <v>5.5747</v>
      </c>
      <c r="J153" s="23">
        <f>'Annual Raw'!K54</f>
        <v>5.4305000000000003</v>
      </c>
      <c r="K153" s="23">
        <f>'Annual Raw'!L54</f>
        <v>10.4747</v>
      </c>
      <c r="L153" s="23">
        <f>'Annual Raw'!M54</f>
        <v>8.7356999999999996</v>
      </c>
      <c r="M153" s="23">
        <f>'Annual Raw'!N54</f>
        <v>12.4801</v>
      </c>
      <c r="N153" s="23">
        <f>'Annual Raw'!O54</f>
        <v>13.2029</v>
      </c>
      <c r="O153" s="23">
        <f>'Annual Raw'!P54</f>
        <v>14.5624</v>
      </c>
      <c r="P153" s="23">
        <f>'Annual Raw'!Q54</f>
        <v>16.5502</v>
      </c>
      <c r="Q153" s="23">
        <f>'Annual Raw'!R54</f>
        <v>25.0321</v>
      </c>
      <c r="R153" s="23">
        <f>'Annual Raw'!S54</f>
        <v>20.931000000000001</v>
      </c>
      <c r="S153" s="23">
        <f>'Annual Raw'!T54</f>
        <v>24.0381</v>
      </c>
      <c r="T153" s="23">
        <f>'Annual Raw'!U54</f>
        <v>20.390599999999999</v>
      </c>
      <c r="U153" s="23">
        <f>'Annual Raw'!V54</f>
        <v>22.315799999999999</v>
      </c>
      <c r="V153" s="23">
        <f>'Annual Raw'!W54</f>
        <v>20.7408</v>
      </c>
      <c r="W153" s="23">
        <f>'Annual Raw'!X54</f>
        <v>33.174700000000001</v>
      </c>
      <c r="X153" s="23">
        <f>'Annual Raw'!Y54</f>
        <v>23.717300000000002</v>
      </c>
      <c r="Y153" s="23">
        <f>'Annual Raw'!Z54</f>
        <v>40.631500000000003</v>
      </c>
      <c r="Z153" s="23">
        <f>'Annual Raw'!AA54</f>
        <v>59.777900000000002</v>
      </c>
      <c r="AA153" s="23">
        <f>'Annual Raw'!AB54</f>
        <v>36.730899999999998</v>
      </c>
      <c r="AB153" s="24">
        <f t="shared" si="1234"/>
        <v>41.398520717214183</v>
      </c>
      <c r="AC153" s="24">
        <f t="shared" si="1235"/>
        <v>47.312802521201469</v>
      </c>
      <c r="AD153" s="24">
        <f t="shared" si="1236"/>
        <v>54.128617366683862</v>
      </c>
      <c r="AE153" s="24">
        <f t="shared" si="1237"/>
        <v>61.923020851828298</v>
      </c>
      <c r="AJ153" s="23">
        <f>+'QTR Raw'!D89</f>
        <v>0</v>
      </c>
      <c r="AK153" s="23">
        <f>+AK183*AK10/90</f>
        <v>0</v>
      </c>
      <c r="AL153" s="23">
        <f>+'QTR Raw'!F89</f>
        <v>13.202999999999999</v>
      </c>
      <c r="AM153" s="23">
        <f>+AM183*AM10/90</f>
        <v>13.253722425678585</v>
      </c>
      <c r="AN153" s="23">
        <f>+'QTR Raw'!H89</f>
        <v>12.93</v>
      </c>
      <c r="AO153" s="23">
        <f>+AO183*AO10/90</f>
        <v>13.194726528224628</v>
      </c>
      <c r="AP153" s="23">
        <f>+'QTR Raw'!J89</f>
        <v>14.56</v>
      </c>
      <c r="AQ153" s="23">
        <f>+AQ183*AQ10/90</f>
        <v>12.247435757244398</v>
      </c>
      <c r="AR153" s="23">
        <f>+'QTR Raw'!L89</f>
        <v>17.86</v>
      </c>
      <c r="AS153" s="23">
        <f>+AS183*AS10/90</f>
        <v>14.893240544629348</v>
      </c>
      <c r="AT153" s="23">
        <f>+'QTR Raw'!N89</f>
        <v>16.55</v>
      </c>
      <c r="AU153" s="23">
        <f>+AU183*AU10/90</f>
        <v>21.018440101339127</v>
      </c>
      <c r="AV153" s="23">
        <f>+'QTR Raw'!P89</f>
        <v>23.13</v>
      </c>
      <c r="AW153" s="23">
        <f>+AW183*AW10/90</f>
        <v>20.441657227283919</v>
      </c>
      <c r="AX153" s="23">
        <f>+'QTR Raw'!R89</f>
        <v>25.03</v>
      </c>
      <c r="AY153" s="23">
        <f>+AY183*AY10/90</f>
        <v>26.437333494208495</v>
      </c>
      <c r="AZ153" s="23">
        <f>+'QTR Raw'!T89</f>
        <v>22.64</v>
      </c>
      <c r="BA153" s="23">
        <f>+BA183*BA10/90</f>
        <v>24.177854954034732</v>
      </c>
      <c r="BB153" s="23">
        <f>+'QTR Raw'!V89</f>
        <v>20.93</v>
      </c>
      <c r="BC153" s="23">
        <f>+BC183*BC10/90</f>
        <v>19.266717058222675</v>
      </c>
      <c r="BD153" s="23">
        <f>+'QTR Raw'!X89</f>
        <v>25.37</v>
      </c>
      <c r="BE153" s="23">
        <f>+BE183*BE10/90</f>
        <v>27.563898630795094</v>
      </c>
      <c r="BF153" s="23">
        <f>+'QTR Raw'!Z89</f>
        <v>24.04</v>
      </c>
      <c r="BG153" s="23">
        <f>+BG183*BG10/90</f>
        <v>23.480047374654557</v>
      </c>
      <c r="BH153" s="23">
        <f>+'QTR Raw'!AB89</f>
        <v>22.69</v>
      </c>
      <c r="BI153" s="23">
        <f>+BI183*BI10/90</f>
        <v>16.465535179640721</v>
      </c>
      <c r="BJ153" s="23">
        <f>+'QTR Raw'!AD89</f>
        <v>20.39</v>
      </c>
      <c r="BK153" s="23">
        <f>+BK183*BK10/90</f>
        <v>20.220047926651386</v>
      </c>
      <c r="BL153" s="23">
        <f>+'QTR Raw'!AF89</f>
        <v>21.64</v>
      </c>
      <c r="BM153" s="23">
        <f>+BM183*BM10/90</f>
        <v>19.260660558278289</v>
      </c>
      <c r="BN153" s="23">
        <f>+'QTR Raw'!AH89</f>
        <v>22.31</v>
      </c>
      <c r="BO153" s="23">
        <f>+BO183*BO10/90</f>
        <v>19.37617771824068</v>
      </c>
      <c r="BP153" s="23">
        <f>+'QTR Raw'!AJ89</f>
        <v>23.3</v>
      </c>
      <c r="BQ153" s="23">
        <f>+BQ183*BQ10/90</f>
        <v>23.252607248520714</v>
      </c>
      <c r="BR153" s="23">
        <f>+'QTR Raw'!AL89</f>
        <v>20.74</v>
      </c>
      <c r="BS153" s="23">
        <f>+BS183*BS10/90</f>
        <v>24.318352030947775</v>
      </c>
      <c r="BT153" s="23">
        <f>+'QTR Raw'!AN89</f>
        <v>23.02</v>
      </c>
      <c r="BU153" s="23">
        <f>+BU183*BU10/90</f>
        <v>22.757071258097515</v>
      </c>
      <c r="BV153" s="23">
        <f>+'QTR Raw'!AP89</f>
        <v>33.18</v>
      </c>
      <c r="BW153" s="23">
        <f>+BW183*BW10/90</f>
        <v>31.166529817201081</v>
      </c>
      <c r="BX153" s="23">
        <f>+'QTR Raw'!AR89</f>
        <v>33.869999999999997</v>
      </c>
      <c r="BY153" s="23">
        <f>+BY183*BY10/90</f>
        <v>26.961298741649834</v>
      </c>
      <c r="BZ153" s="23">
        <f>+'QTR Raw'!AT89</f>
        <v>23.72</v>
      </c>
      <c r="CA153" s="23">
        <f>+CA183*CA10/90</f>
        <v>23.798519410171536</v>
      </c>
      <c r="CB153" s="23">
        <f>+'QTR Raw'!AV89</f>
        <v>31.26</v>
      </c>
      <c r="CC153" s="23">
        <f>+CC183*CC10/90</f>
        <v>30.885713852682631</v>
      </c>
      <c r="CD153" s="23">
        <f>+'QTR Raw'!AX89</f>
        <v>40.630000000000003</v>
      </c>
      <c r="CE153" s="23">
        <f>+CE183*CE10/90</f>
        <v>37.033962352390972</v>
      </c>
      <c r="CF153" s="23">
        <f>+'QTR Raw'!AZ89</f>
        <v>52.57</v>
      </c>
      <c r="CG153" s="23">
        <f>+CG183*CG10/90</f>
        <v>47.87372403401141</v>
      </c>
      <c r="CH153" s="23">
        <f t="shared" si="1192"/>
        <v>59.777900000000002</v>
      </c>
      <c r="CI153" s="23">
        <f>+CI183*CI10/90</f>
        <v>61.712512483002442</v>
      </c>
      <c r="CJ153" s="23">
        <f>+'QTR Raw'!BD89</f>
        <v>56.43</v>
      </c>
      <c r="CK153" s="24">
        <f t="shared" ref="CK153:DB153" si="1241">+CK183*CK10/90</f>
        <v>43.779352941176469</v>
      </c>
      <c r="CL153" s="23">
        <f>+'QTR Raw'!BF89</f>
        <v>36.729999999999997</v>
      </c>
      <c r="CM153" s="24">
        <f t="shared" si="1241"/>
        <v>46.670731256087272</v>
      </c>
      <c r="CN153" s="24">
        <f t="shared" si="1241"/>
        <v>47.732749804259079</v>
      </c>
      <c r="CO153" s="24">
        <f t="shared" si="1241"/>
        <v>35.815361170911928</v>
      </c>
      <c r="CP153" s="24">
        <f t="shared" si="1241"/>
        <v>41.398520717214183</v>
      </c>
      <c r="CQ153" s="24">
        <f t="shared" si="1241"/>
        <v>54.153456347447644</v>
      </c>
      <c r="CR153" s="24">
        <f t="shared" si="1241"/>
        <v>54.629910539192096</v>
      </c>
      <c r="CS153" s="24">
        <f t="shared" si="1241"/>
        <v>40.812297476304479</v>
      </c>
      <c r="CT153" s="24">
        <f t="shared" si="1241"/>
        <v>47.312802521201469</v>
      </c>
      <c r="CU153" s="24">
        <f t="shared" si="1241"/>
        <v>62.103278723768057</v>
      </c>
      <c r="CV153" s="24">
        <f t="shared" si="1241"/>
        <v>62.464913534196299</v>
      </c>
      <c r="CW153" s="24">
        <f t="shared" si="1241"/>
        <v>46.654607698153207</v>
      </c>
      <c r="CX153" s="24">
        <f t="shared" si="1241"/>
        <v>54.128617366683862</v>
      </c>
      <c r="CY153" s="24">
        <f t="shared" si="1241"/>
        <v>71.068363883920497</v>
      </c>
      <c r="CZ153" s="24">
        <f t="shared" si="1241"/>
        <v>71.444036219245703</v>
      </c>
      <c r="DA153" s="24">
        <f t="shared" si="1241"/>
        <v>53.36486578282701</v>
      </c>
      <c r="DB153" s="24">
        <f t="shared" si="1241"/>
        <v>61.923020851828298</v>
      </c>
      <c r="DE153" s="123"/>
      <c r="DF153" s="23">
        <v>65.988427464214595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0.75168420000000002</v>
      </c>
      <c r="F154" s="23">
        <f>'Annual Raw'!G55-Template!F126</f>
        <v>0.61479980000000001</v>
      </c>
      <c r="G154" s="23">
        <f>'Annual Raw'!H55-Template!G126</f>
        <v>0.68742440000000005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1.7801</v>
      </c>
      <c r="K154" s="23">
        <f>'Annual Raw'!L55-Template!K126</f>
        <v>0.75329999999999997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7.0199999999999818E-2</v>
      </c>
      <c r="O154" s="23">
        <f>'Annual Raw'!P55-Template!O126</f>
        <v>1.5550000000000002</v>
      </c>
      <c r="P154" s="23">
        <f>'Annual Raw'!Q55-Template!P126</f>
        <v>17.217199999999998</v>
      </c>
      <c r="Q154" s="23">
        <f>'Annual Raw'!R55-Template!Q126</f>
        <v>3.8228</v>
      </c>
      <c r="R154" s="23">
        <f>'Annual Raw'!S55-Template!R126</f>
        <v>3.7393999999999998</v>
      </c>
      <c r="S154" s="23">
        <f>'Annual Raw'!T55-Template!S126</f>
        <v>3.3398000000000003</v>
      </c>
      <c r="T154" s="23">
        <f>'Annual Raw'!U55-Template!T126</f>
        <v>6.9954000000000001</v>
      </c>
      <c r="U154" s="23">
        <f>'Annual Raw'!V55-Template!U126</f>
        <v>2.2281</v>
      </c>
      <c r="V154" s="23">
        <f>'Annual Raw'!W55-Template!V126</f>
        <v>1.9009</v>
      </c>
      <c r="W154" s="23">
        <f>'Annual Raw'!X55-Template!W126</f>
        <v>1.8781000000000001</v>
      </c>
      <c r="X154" s="23">
        <f>'Annual Raw'!Y55-Template!X126</f>
        <v>2.9687000000000001</v>
      </c>
      <c r="Y154" s="23">
        <f>'Annual Raw'!Z55-Template!Y126</f>
        <v>9.2210000000000036</v>
      </c>
      <c r="Z154" s="23">
        <f>'Annual Raw'!AA55-Template!Z126</f>
        <v>37.097400000000007</v>
      </c>
      <c r="AA154" s="23">
        <f>'Annual Raw'!AB55-Template!AA126</f>
        <v>2.2551000000000001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15.191000000000001</v>
      </c>
      <c r="AM154" s="23">
        <f t="shared" si="1238"/>
        <v>15.191000000000001</v>
      </c>
      <c r="AN154" s="23">
        <f>+'QTR Raw'!H91</f>
        <v>8.32</v>
      </c>
      <c r="AO154" s="23">
        <f t="shared" si="1238"/>
        <v>8.32</v>
      </c>
      <c r="AP154" s="23">
        <f>+'QTR Raw'!J91</f>
        <v>1.76</v>
      </c>
      <c r="AQ154" s="23">
        <f t="shared" si="1238"/>
        <v>1.76</v>
      </c>
      <c r="AR154" s="23">
        <f>+'QTR Raw'!L91</f>
        <v>3.09</v>
      </c>
      <c r="AS154" s="23">
        <f t="shared" si="1238"/>
        <v>3.09</v>
      </c>
      <c r="AT154" s="23">
        <f>+'QTR Raw'!N91</f>
        <v>17.5</v>
      </c>
      <c r="AU154" s="23">
        <f t="shared" si="1238"/>
        <v>17.5</v>
      </c>
      <c r="AV154" s="23">
        <f>+'QTR Raw'!P91</f>
        <v>5.25</v>
      </c>
      <c r="AW154" s="23">
        <f t="shared" si="1238"/>
        <v>5.25</v>
      </c>
      <c r="AX154" s="23">
        <f>+'QTR Raw'!R91</f>
        <v>4.1900000000000004</v>
      </c>
      <c r="AY154" s="23">
        <f t="shared" si="1238"/>
        <v>4.1900000000000004</v>
      </c>
      <c r="AZ154" s="23">
        <f>+'QTR Raw'!T91</f>
        <v>3.61</v>
      </c>
      <c r="BA154" s="23">
        <f t="shared" si="1238"/>
        <v>3.61</v>
      </c>
      <c r="BB154" s="23">
        <f>+'QTR Raw'!V91</f>
        <v>21.08</v>
      </c>
      <c r="BC154" s="23">
        <f t="shared" si="1238"/>
        <v>21.08</v>
      </c>
      <c r="BD154" s="23">
        <f>+'QTR Raw'!X91</f>
        <v>19.52</v>
      </c>
      <c r="BE154" s="23">
        <f t="shared" si="1238"/>
        <v>19.52</v>
      </c>
      <c r="BF154" s="23">
        <f>+'QTR Raw'!Z91</f>
        <v>8.31</v>
      </c>
      <c r="BG154" s="23">
        <f t="shared" si="1238"/>
        <v>8.31</v>
      </c>
      <c r="BH154" s="23">
        <f>+'QTR Raw'!AB91</f>
        <v>21.57</v>
      </c>
      <c r="BI154" s="23">
        <f t="shared" si="1238"/>
        <v>21.57</v>
      </c>
      <c r="BJ154" s="23">
        <f>+'QTR Raw'!AD91</f>
        <v>29.15</v>
      </c>
      <c r="BK154" s="23">
        <f t="shared" si="1238"/>
        <v>29.15</v>
      </c>
      <c r="BL154" s="23">
        <f>+'QTR Raw'!AF91</f>
        <v>1.76</v>
      </c>
      <c r="BM154" s="23">
        <f t="shared" si="1238"/>
        <v>1.76</v>
      </c>
      <c r="BN154" s="23">
        <f>+'QTR Raw'!AH91</f>
        <v>2.23</v>
      </c>
      <c r="BO154" s="23">
        <f t="shared" si="1238"/>
        <v>2.23</v>
      </c>
      <c r="BP154" s="23">
        <f>+'QTR Raw'!AJ91</f>
        <v>2.12</v>
      </c>
      <c r="BQ154" s="23">
        <f t="shared" si="1238"/>
        <v>2.12</v>
      </c>
      <c r="BR154" s="23">
        <f>+'QTR Raw'!AL91</f>
        <v>1.9</v>
      </c>
      <c r="BS154" s="23">
        <f t="shared" si="1238"/>
        <v>1.9</v>
      </c>
      <c r="BT154" s="23">
        <f>+'QTR Raw'!AN91</f>
        <v>5.07</v>
      </c>
      <c r="BU154" s="23">
        <f t="shared" si="1238"/>
        <v>5.07</v>
      </c>
      <c r="BV154" s="23">
        <f>+'QTR Raw'!AP91</f>
        <v>1.88</v>
      </c>
      <c r="BW154" s="23">
        <f t="shared" si="1238"/>
        <v>1.88</v>
      </c>
      <c r="BX154" s="23">
        <f>+'QTR Raw'!AR91</f>
        <v>1.1299999999999999</v>
      </c>
      <c r="BY154" s="23">
        <f t="shared" si="1238"/>
        <v>1.1299999999999999</v>
      </c>
      <c r="BZ154" s="23">
        <f>+'QTR Raw'!AT91</f>
        <v>2.97</v>
      </c>
      <c r="CA154" s="23">
        <f t="shared" si="1238"/>
        <v>2.97</v>
      </c>
      <c r="CB154" s="23">
        <f>+'QTR Raw'!AV91</f>
        <v>4.38</v>
      </c>
      <c r="CC154" s="23">
        <f t="shared" si="1238"/>
        <v>4.38</v>
      </c>
      <c r="CD154" s="23">
        <f>+'QTR Raw'!AX91</f>
        <v>9.8800000000000008</v>
      </c>
      <c r="CE154" s="23">
        <f t="shared" si="1238"/>
        <v>9.8800000000000008</v>
      </c>
      <c r="CF154" s="23">
        <f>+'QTR Raw'!AZ91</f>
        <v>14.47</v>
      </c>
      <c r="CG154" s="23">
        <f t="shared" ref="CG154:CG155" si="1242">+CF154</f>
        <v>14.47</v>
      </c>
      <c r="CH154" s="23">
        <f t="shared" si="1192"/>
        <v>37.097400000000007</v>
      </c>
      <c r="CJ154" s="23">
        <f>+'QTR Raw'!BD91</f>
        <v>15.16</v>
      </c>
      <c r="CK154" s="24"/>
      <c r="CL154" s="23">
        <f>+'QTR Raw'!BF91</f>
        <v>3.2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3.2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7.6000000000000004E-4</v>
      </c>
      <c r="F155" s="23">
        <f>'Annual Raw'!G57</f>
        <v>1.4999999999999999E-4</v>
      </c>
      <c r="G155" s="23">
        <f>'Annual Raw'!H57</f>
        <v>9.4249999999999998E-4</v>
      </c>
      <c r="H155" s="23">
        <f>'Annual Raw'!I57</f>
        <v>0</v>
      </c>
      <c r="I155" s="23">
        <f>'Annual Raw'!J57</f>
        <v>0</v>
      </c>
      <c r="J155" s="23">
        <f>'Annual Raw'!K57</f>
        <v>0.24629999999999999</v>
      </c>
      <c r="K155" s="23">
        <f>'Annual Raw'!L57</f>
        <v>0.1986</v>
      </c>
      <c r="L155" s="23">
        <f>'Annual Raw'!M57</f>
        <v>1.3896999999999999</v>
      </c>
      <c r="M155" s="23">
        <f>'Annual Raw'!N57</f>
        <v>0.99370000000000003</v>
      </c>
      <c r="N155" s="23">
        <f>'Annual Raw'!O57</f>
        <v>2.4</v>
      </c>
      <c r="O155" s="23">
        <f>'Annual Raw'!P57</f>
        <v>0.87119999999999997</v>
      </c>
      <c r="P155" s="23">
        <f>'Annual Raw'!Q57</f>
        <v>0.10639999999999999</v>
      </c>
      <c r="Q155" s="23">
        <f>'Annual Raw'!R57</f>
        <v>9.5000000000000001E-2</v>
      </c>
      <c r="R155" s="23">
        <f>'Annual Raw'!S57</f>
        <v>0.11269999999999999</v>
      </c>
      <c r="S155" s="23">
        <f>'Annual Raw'!T57</f>
        <v>0.13830000000000001</v>
      </c>
      <c r="T155" s="23">
        <f>'Annual Raw'!U57</f>
        <v>0.10440000000000001</v>
      </c>
      <c r="U155" s="23">
        <f>'Annual Raw'!V57</f>
        <v>0.23730000000000001</v>
      </c>
      <c r="V155" s="23">
        <f>'Annual Raw'!W57</f>
        <v>2.9876999999999998</v>
      </c>
      <c r="W155" s="23">
        <f>'Annual Raw'!X57</f>
        <v>3.4904000000000002</v>
      </c>
      <c r="X155" s="23">
        <f>'Annual Raw'!Y57</f>
        <v>0.22470000000000001</v>
      </c>
      <c r="Y155" s="23">
        <f>'Annual Raw'!Z57</f>
        <v>0.91769999999999996</v>
      </c>
      <c r="Z155" s="23">
        <f>'Annual Raw'!AA57</f>
        <v>0.22969999999999999</v>
      </c>
      <c r="AA155" s="23">
        <f>'Annual Raw'!AB57</f>
        <v>1.2402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2.3170000000000002</v>
      </c>
      <c r="AK155" s="23">
        <f t="shared" si="1238"/>
        <v>2.3170000000000002</v>
      </c>
      <c r="AL155" s="23">
        <f>+'QTR Raw'!F92</f>
        <v>2.4</v>
      </c>
      <c r="AM155" s="23">
        <f t="shared" si="1238"/>
        <v>2.4</v>
      </c>
      <c r="AN155" s="23">
        <f>+'QTR Raw'!H92</f>
        <v>3.01</v>
      </c>
      <c r="AO155" s="23">
        <f t="shared" si="1238"/>
        <v>3.01</v>
      </c>
      <c r="AP155" s="23">
        <f>+'QTR Raw'!J92</f>
        <v>0.87</v>
      </c>
      <c r="AQ155" s="23">
        <f t="shared" si="1238"/>
        <v>0.87</v>
      </c>
      <c r="AR155" s="23">
        <f>+'QTR Raw'!L92</f>
        <v>0.15</v>
      </c>
      <c r="AS155" s="23">
        <f t="shared" si="1238"/>
        <v>0.15</v>
      </c>
      <c r="AT155" s="23">
        <f>+'QTR Raw'!N92</f>
        <v>0.11</v>
      </c>
      <c r="AU155" s="23">
        <f t="shared" si="1238"/>
        <v>0.11</v>
      </c>
      <c r="AV155" s="23">
        <f>+'QTR Raw'!P92</f>
        <v>0.1</v>
      </c>
      <c r="AW155" s="23">
        <f t="shared" si="1238"/>
        <v>0.1</v>
      </c>
      <c r="AX155" s="23">
        <f>+'QTR Raw'!R92</f>
        <v>0.09</v>
      </c>
      <c r="AY155" s="23">
        <f t="shared" si="1238"/>
        <v>0.09</v>
      </c>
      <c r="AZ155" s="23">
        <f>+'QTR Raw'!T92</f>
        <v>0.11</v>
      </c>
      <c r="BA155" s="23">
        <f t="shared" si="1238"/>
        <v>0.11</v>
      </c>
      <c r="BB155" s="23">
        <f>+'QTR Raw'!V92</f>
        <v>0.11</v>
      </c>
      <c r="BC155" s="23">
        <f t="shared" si="1238"/>
        <v>0.11</v>
      </c>
      <c r="BD155" s="23">
        <f>+'QTR Raw'!X92</f>
        <v>0.15</v>
      </c>
      <c r="BE155" s="23">
        <f t="shared" si="1238"/>
        <v>0.15</v>
      </c>
      <c r="BF155" s="23">
        <f>+'QTR Raw'!Z92</f>
        <v>0.14000000000000001</v>
      </c>
      <c r="BG155" s="23">
        <f t="shared" si="1238"/>
        <v>0.14000000000000001</v>
      </c>
      <c r="BH155" s="23">
        <f>+'QTR Raw'!AB92</f>
        <v>0.14000000000000001</v>
      </c>
      <c r="BI155" s="23">
        <f t="shared" si="1238"/>
        <v>0.14000000000000001</v>
      </c>
      <c r="BJ155" s="23">
        <f>+'QTR Raw'!AD92</f>
        <v>0.1</v>
      </c>
      <c r="BK155" s="23">
        <f t="shared" si="1238"/>
        <v>0.1</v>
      </c>
      <c r="BL155" s="23">
        <f>+'QTR Raw'!AF92</f>
        <v>0.1</v>
      </c>
      <c r="BM155" s="23">
        <f t="shared" si="1238"/>
        <v>0.1</v>
      </c>
      <c r="BN155" s="23">
        <f>+'QTR Raw'!AH92</f>
        <v>0.19</v>
      </c>
      <c r="BO155" s="23">
        <f t="shared" si="1238"/>
        <v>0.19</v>
      </c>
      <c r="BP155" s="23">
        <f>+'QTR Raw'!AJ92</f>
        <v>1.24</v>
      </c>
      <c r="BQ155" s="23">
        <f t="shared" si="1238"/>
        <v>1.24</v>
      </c>
      <c r="BR155" s="23">
        <f>+'QTR Raw'!AL92</f>
        <v>0.84</v>
      </c>
      <c r="BS155" s="23">
        <f t="shared" si="1238"/>
        <v>0.84</v>
      </c>
      <c r="BT155" s="23">
        <f>+'QTR Raw'!AN92</f>
        <v>4.2</v>
      </c>
      <c r="BU155" s="23">
        <f t="shared" si="1238"/>
        <v>4.2</v>
      </c>
      <c r="BV155" s="23">
        <f>+'QTR Raw'!AP92</f>
        <v>0.47</v>
      </c>
      <c r="BW155" s="23">
        <f t="shared" si="1238"/>
        <v>0.47</v>
      </c>
      <c r="BX155" s="23">
        <f>+'QTR Raw'!AR92</f>
        <v>0.39</v>
      </c>
      <c r="BY155" s="23">
        <f t="shared" si="1238"/>
        <v>0.39</v>
      </c>
      <c r="BZ155" s="23">
        <f>+'QTR Raw'!AT92</f>
        <v>0.22</v>
      </c>
      <c r="CA155" s="23">
        <f t="shared" si="1238"/>
        <v>0.22</v>
      </c>
      <c r="CB155" s="23">
        <f>+'QTR Raw'!AV92</f>
        <v>0.28000000000000003</v>
      </c>
      <c r="CC155" s="23">
        <f t="shared" si="1238"/>
        <v>0.28000000000000003</v>
      </c>
      <c r="CD155" s="23">
        <f>+'QTR Raw'!AX92</f>
        <v>0.26</v>
      </c>
      <c r="CE155" s="23">
        <f t="shared" si="1238"/>
        <v>0.26</v>
      </c>
      <c r="CF155" s="23">
        <f>+'QTR Raw'!AZ92</f>
        <v>0.28000000000000003</v>
      </c>
      <c r="CG155" s="23">
        <f t="shared" si="1242"/>
        <v>0.28000000000000003</v>
      </c>
      <c r="CH155" s="23">
        <f t="shared" si="1192"/>
        <v>0.22969999999999999</v>
      </c>
      <c r="CJ155" s="23">
        <f>+'QTR Raw'!BD92</f>
        <v>0.21</v>
      </c>
      <c r="CK155" s="24"/>
      <c r="CL155" s="23">
        <f>+'QTR Raw'!BF92</f>
        <v>0.3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0.3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3.5321364000000002</v>
      </c>
      <c r="F156" s="22">
        <f t="shared" si="1243"/>
        <v>4.0283406999999993</v>
      </c>
      <c r="G156" s="22">
        <f t="shared" si="1243"/>
        <v>4.8528210000000005</v>
      </c>
      <c r="H156" s="22">
        <f t="shared" si="1243"/>
        <v>5.7112999999999996</v>
      </c>
      <c r="I156" s="22">
        <f t="shared" si="1243"/>
        <v>5.5747</v>
      </c>
      <c r="J156" s="22">
        <f t="shared" si="1243"/>
        <v>7.4569000000000001</v>
      </c>
      <c r="K156" s="22">
        <f t="shared" si="1243"/>
        <v>11.426600000000001</v>
      </c>
      <c r="L156" s="22">
        <f t="shared" si="1243"/>
        <v>10.321999999999999</v>
      </c>
      <c r="M156" s="22">
        <f t="shared" si="1243"/>
        <v>13.742100000000001</v>
      </c>
      <c r="N156" s="22">
        <f t="shared" si="1243"/>
        <v>16.1417</v>
      </c>
      <c r="O156" s="22">
        <f t="shared" si="1243"/>
        <v>17.551600000000001</v>
      </c>
      <c r="P156" s="22">
        <f t="shared" si="1243"/>
        <v>35.0062</v>
      </c>
      <c r="Q156" s="22">
        <f t="shared" si="1243"/>
        <v>31.232599999999998</v>
      </c>
      <c r="R156" s="22">
        <f t="shared" si="1243"/>
        <v>33.052199999999992</v>
      </c>
      <c r="S156" s="22">
        <f t="shared" si="1243"/>
        <v>37.517399999999995</v>
      </c>
      <c r="T156" s="22">
        <f t="shared" si="1243"/>
        <v>32.706499999999998</v>
      </c>
      <c r="U156" s="22">
        <f t="shared" si="1243"/>
        <v>27.293300000000002</v>
      </c>
      <c r="V156" s="22">
        <f t="shared" si="1243"/>
        <v>28.3277</v>
      </c>
      <c r="W156" s="22">
        <f t="shared" ref="W156" si="1244">SUM(W149:W155)</f>
        <v>47.787700000000008</v>
      </c>
      <c r="X156" s="22">
        <f t="shared" ref="X156:Y156" si="1245">SUM(X149:X155)</f>
        <v>27.921900000000001</v>
      </c>
      <c r="Y156" s="22">
        <f t="shared" si="1245"/>
        <v>68.591700000000003</v>
      </c>
      <c r="Z156" s="22">
        <f t="shared" ref="Z156:AA156" si="1246">SUM(Z149:Z155)</f>
        <v>104.0107</v>
      </c>
      <c r="AA156" s="22">
        <f t="shared" si="1246"/>
        <v>43.572699999999998</v>
      </c>
      <c r="AB156" s="21">
        <f t="shared" ref="AA156:AD156" si="1247">SUM(AB149:AB155)</f>
        <v>49.107910363436481</v>
      </c>
      <c r="AC156" s="21">
        <f t="shared" si="1247"/>
        <v>56.123572171215578</v>
      </c>
      <c r="AD156" s="21">
        <f t="shared" si="1247"/>
        <v>64.20865392503174</v>
      </c>
      <c r="AE156" s="21">
        <f t="shared" ref="AE156" si="1248">SUM(AE149:AE155)</f>
        <v>73.454560808988816</v>
      </c>
      <c r="AJ156" s="22">
        <f t="shared" ref="AJ156" si="1249">SUM(AJ149:AJ155)</f>
        <v>21.367000000000001</v>
      </c>
      <c r="AK156" s="22">
        <f t="shared" ref="AK156" si="1250">SUM(AK149:AK155)</f>
        <v>21.367000000000001</v>
      </c>
      <c r="AL156" s="22">
        <f t="shared" ref="AL156:AM156" si="1251">SUM(AL149:AL155)</f>
        <v>31.262999999999998</v>
      </c>
      <c r="AM156" s="22">
        <f t="shared" si="1251"/>
        <v>31.313722425678584</v>
      </c>
      <c r="AN156" s="22">
        <f t="shared" ref="AN156:AO156" si="1252">SUM(AN149:AN155)</f>
        <v>24.64</v>
      </c>
      <c r="AO156" s="22">
        <f t="shared" si="1252"/>
        <v>24.904726528224629</v>
      </c>
      <c r="AP156" s="22">
        <f t="shared" ref="AP156:CE156" si="1253">SUM(AP149:AP155)</f>
        <v>17.750000000000004</v>
      </c>
      <c r="AQ156" s="22">
        <f t="shared" si="1253"/>
        <v>15.437435757244398</v>
      </c>
      <c r="AR156" s="22">
        <f t="shared" si="1253"/>
        <v>21.799999999999997</v>
      </c>
      <c r="AS156" s="22">
        <f t="shared" si="1253"/>
        <v>18.833240544629348</v>
      </c>
      <c r="AT156" s="22">
        <f t="shared" si="1253"/>
        <v>35.29</v>
      </c>
      <c r="AU156" s="22">
        <f t="shared" si="1253"/>
        <v>39.758440101339126</v>
      </c>
      <c r="AV156" s="22">
        <f t="shared" si="1253"/>
        <v>30.310000000000002</v>
      </c>
      <c r="AW156" s="22">
        <f t="shared" si="1253"/>
        <v>27.621657227283919</v>
      </c>
      <c r="AX156" s="22">
        <f t="shared" si="1253"/>
        <v>31.590000000000003</v>
      </c>
      <c r="AY156" s="22">
        <f t="shared" si="1253"/>
        <v>32.997333494208497</v>
      </c>
      <c r="AZ156" s="22">
        <f t="shared" si="1253"/>
        <v>29.09</v>
      </c>
      <c r="BA156" s="22">
        <f t="shared" si="1253"/>
        <v>30.627854954034731</v>
      </c>
      <c r="BB156" s="22">
        <f t="shared" si="1253"/>
        <v>48.809999999999995</v>
      </c>
      <c r="BC156" s="22">
        <f t="shared" si="1253"/>
        <v>47.14671705822267</v>
      </c>
      <c r="BD156" s="22">
        <f t="shared" si="1253"/>
        <v>49.139999999999993</v>
      </c>
      <c r="BE156" s="22">
        <f t="shared" si="1253"/>
        <v>51.333898630795098</v>
      </c>
      <c r="BF156" s="22">
        <f t="shared" si="1253"/>
        <v>40.6</v>
      </c>
      <c r="BG156" s="22">
        <f t="shared" si="1253"/>
        <v>40.040047374654556</v>
      </c>
      <c r="BH156" s="22">
        <f t="shared" ref="BH156" si="1254">SUM(BH149:BH155)</f>
        <v>49.34</v>
      </c>
      <c r="BI156" s="22">
        <f t="shared" si="1253"/>
        <v>43.115535179640723</v>
      </c>
      <c r="BJ156" s="22">
        <f t="shared" si="1253"/>
        <v>52.97</v>
      </c>
      <c r="BK156" s="22">
        <f t="shared" si="1253"/>
        <v>52.800047926651388</v>
      </c>
      <c r="BL156" s="22">
        <f t="shared" si="1253"/>
        <v>24.030000000000005</v>
      </c>
      <c r="BM156" s="22">
        <f t="shared" si="1253"/>
        <v>21.650660558278293</v>
      </c>
      <c r="BN156" s="22">
        <f t="shared" si="1253"/>
        <v>25.35</v>
      </c>
      <c r="BO156" s="22">
        <f t="shared" si="1253"/>
        <v>22.416177718240682</v>
      </c>
      <c r="BP156" s="22">
        <f t="shared" si="1253"/>
        <v>27.32</v>
      </c>
      <c r="BQ156" s="22">
        <f t="shared" si="1253"/>
        <v>27.272607248520714</v>
      </c>
      <c r="BR156" s="22">
        <f t="shared" si="1253"/>
        <v>24.15</v>
      </c>
      <c r="BS156" s="22">
        <f t="shared" si="1253"/>
        <v>27.728352030947775</v>
      </c>
      <c r="BT156" s="22">
        <f t="shared" si="1253"/>
        <v>32.99</v>
      </c>
      <c r="BU156" s="22">
        <f t="shared" si="1253"/>
        <v>32.727071258097517</v>
      </c>
      <c r="BV156" s="22">
        <f t="shared" si="1253"/>
        <v>36.4</v>
      </c>
      <c r="BW156" s="22">
        <f t="shared" si="1253"/>
        <v>34.38652981720108</v>
      </c>
      <c r="BX156" s="22">
        <f t="shared" si="1253"/>
        <v>36.11</v>
      </c>
      <c r="BY156" s="22">
        <f t="shared" si="1253"/>
        <v>29.201298741649833</v>
      </c>
      <c r="BZ156" s="22">
        <f t="shared" si="1253"/>
        <v>27.919999999999998</v>
      </c>
      <c r="CA156" s="22">
        <f t="shared" si="1253"/>
        <v>27.998519410171536</v>
      </c>
      <c r="CB156" s="22">
        <f t="shared" si="1253"/>
        <v>37.020000000000003</v>
      </c>
      <c r="CC156" s="22">
        <f t="shared" si="1253"/>
        <v>36.645713852682633</v>
      </c>
      <c r="CD156" s="22">
        <f t="shared" si="1253"/>
        <v>52.6</v>
      </c>
      <c r="CE156" s="22">
        <f t="shared" si="1253"/>
        <v>49.003962352390971</v>
      </c>
      <c r="CF156" s="22">
        <f t="shared" ref="CF156:CG156" si="1255">SUM(CF149:CF155)</f>
        <v>69.56</v>
      </c>
      <c r="CG156" s="22">
        <f t="shared" si="1255"/>
        <v>64.863724034011412</v>
      </c>
      <c r="CH156" s="22">
        <f t="shared" ref="CH156:CI156" si="1256">SUM(CH149:CH155)</f>
        <v>104.0107</v>
      </c>
      <c r="CI156" s="22">
        <f t="shared" si="1256"/>
        <v>107.37683361435953</v>
      </c>
      <c r="CJ156" s="22">
        <f t="shared" ref="CJ156:DB156" si="1257">SUM(CJ149:CJ155)</f>
        <v>75.319999999999993</v>
      </c>
      <c r="CK156" s="21">
        <f t="shared" si="1257"/>
        <v>58.434535947712412</v>
      </c>
      <c r="CL156" s="22">
        <f t="shared" ref="CL156" si="1258">SUM(CL149:CL155)</f>
        <v>43.569999999999993</v>
      </c>
      <c r="CM156" s="21">
        <f t="shared" si="1257"/>
        <v>55.361931958282668</v>
      </c>
      <c r="CN156" s="21">
        <f t="shared" si="1257"/>
        <v>56.621723631134444</v>
      </c>
      <c r="CO156" s="21">
        <f t="shared" si="1257"/>
        <v>42.485033656864495</v>
      </c>
      <c r="CP156" s="21">
        <f t="shared" si="1257"/>
        <v>49.107910363436481</v>
      </c>
      <c r="CQ156" s="21">
        <f t="shared" si="1257"/>
        <v>64.238118515063817</v>
      </c>
      <c r="CR156" s="21">
        <f t="shared" si="1257"/>
        <v>64.80329981466376</v>
      </c>
      <c r="CS156" s="21">
        <f t="shared" si="1257"/>
        <v>48.412518405733358</v>
      </c>
      <c r="CT156" s="21">
        <f t="shared" si="1257"/>
        <v>56.123572171215578</v>
      </c>
      <c r="CU156" s="21">
        <f t="shared" si="1257"/>
        <v>73.668386985967174</v>
      </c>
      <c r="CV156" s="21">
        <f t="shared" si="1257"/>
        <v>74.097366803292488</v>
      </c>
      <c r="CW156" s="21">
        <f t="shared" si="1257"/>
        <v>55.342805810196985</v>
      </c>
      <c r="CX156" s="21">
        <f t="shared" si="1257"/>
        <v>64.20865392503174</v>
      </c>
      <c r="CY156" s="21">
        <f t="shared" si="1257"/>
        <v>84.302984329496766</v>
      </c>
      <c r="CZ156" s="21">
        <f t="shared" si="1257"/>
        <v>84.748615792881438</v>
      </c>
      <c r="DA156" s="21">
        <f t="shared" si="1257"/>
        <v>63.302673622591151</v>
      </c>
      <c r="DB156" s="21">
        <f t="shared" si="1257"/>
        <v>73.454560808988816</v>
      </c>
      <c r="DE156" s="126"/>
      <c r="DF156" s="22">
        <v>88.078120797530445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2.3674917999999994</v>
      </c>
      <c r="F157" s="22">
        <f t="shared" si="1259"/>
        <v>3.2044893000000014</v>
      </c>
      <c r="G157" s="22">
        <f t="shared" si="1259"/>
        <v>7.4787494999999993</v>
      </c>
      <c r="H157" s="22">
        <f t="shared" si="1259"/>
        <v>8.8869000000000007</v>
      </c>
      <c r="I157" s="22">
        <f t="shared" si="1259"/>
        <v>10.214499999999999</v>
      </c>
      <c r="J157" s="22">
        <f t="shared" si="1259"/>
        <v>10.792300000000001</v>
      </c>
      <c r="K157" s="22">
        <f t="shared" si="1259"/>
        <v>13.895299999999999</v>
      </c>
      <c r="L157" s="22">
        <f t="shared" si="1259"/>
        <v>21.066400000000005</v>
      </c>
      <c r="M157" s="22">
        <f t="shared" si="1259"/>
        <v>20.212900000000005</v>
      </c>
      <c r="N157" s="22">
        <f t="shared" si="1259"/>
        <v>22.650399999999998</v>
      </c>
      <c r="O157" s="22">
        <f t="shared" si="1259"/>
        <v>42.900000000000006</v>
      </c>
      <c r="P157" s="22">
        <f t="shared" si="1259"/>
        <v>17.939599999999999</v>
      </c>
      <c r="Q157" s="22">
        <f t="shared" si="1259"/>
        <v>36.672000000000004</v>
      </c>
      <c r="R157" s="22">
        <f t="shared" si="1259"/>
        <v>31.139400000000002</v>
      </c>
      <c r="S157" s="22">
        <f t="shared" si="1259"/>
        <v>44.769000000000005</v>
      </c>
      <c r="T157" s="22">
        <f t="shared" si="1259"/>
        <v>43.638299999999994</v>
      </c>
      <c r="U157" s="22">
        <f t="shared" si="1259"/>
        <v>49.252099999999999</v>
      </c>
      <c r="V157" s="22">
        <f t="shared" si="1259"/>
        <v>42.806599999999996</v>
      </c>
      <c r="W157" s="22">
        <f t="shared" ref="W157" si="1260">W148-W156</f>
        <v>52.80739999999998</v>
      </c>
      <c r="X157" s="22">
        <f t="shared" ref="X157:Y157" si="1261">X148-X156</f>
        <v>67.244</v>
      </c>
      <c r="Y157" s="22">
        <f t="shared" si="1261"/>
        <v>56.150999999999996</v>
      </c>
      <c r="Z157" s="22">
        <f t="shared" ref="Z157:AA157" si="1262">Z148-Z156</f>
        <v>36.980499999999992</v>
      </c>
      <c r="AA157" s="22">
        <f t="shared" si="1262"/>
        <v>84.617100000000022</v>
      </c>
      <c r="AB157" s="21">
        <f t="shared" ref="AA157:AD157" si="1263">AB148-AB156</f>
        <v>95.37551927826479</v>
      </c>
      <c r="AC157" s="21">
        <f t="shared" si="1263"/>
        <v>109.0010713134786</v>
      </c>
      <c r="AD157" s="21">
        <f t="shared" si="1263"/>
        <v>124.70361017067216</v>
      </c>
      <c r="AE157" s="21">
        <f t="shared" ref="AE157" si="1264">AE148-AE156</f>
        <v>142.66065952849749</v>
      </c>
      <c r="AJ157" s="22">
        <f t="shared" ref="AJ157" si="1265">AJ148-AJ156</f>
        <v>13.603999999999996</v>
      </c>
      <c r="AK157" s="22">
        <f t="shared" ref="AK157" si="1266">AK148-AK156</f>
        <v>10.93015291902071</v>
      </c>
      <c r="AL157" s="22">
        <f t="shared" ref="AL157:AM157" si="1267">AL148-AL156</f>
        <v>7.5300000000000011</v>
      </c>
      <c r="AM157" s="22">
        <f t="shared" si="1267"/>
        <v>7.6071497199483105</v>
      </c>
      <c r="AN157" s="22">
        <f t="shared" ref="AN157:AO157" si="1268">AN148-AN156</f>
        <v>21.810000000000002</v>
      </c>
      <c r="AO157" s="22">
        <f t="shared" si="1268"/>
        <v>22.382038607780061</v>
      </c>
      <c r="AP157" s="22">
        <f t="shared" ref="AP157:CE157" si="1269">AP148-AP156</f>
        <v>42.7</v>
      </c>
      <c r="AQ157" s="22">
        <f t="shared" si="1269"/>
        <v>37.598381629305635</v>
      </c>
      <c r="AR157" s="22">
        <f t="shared" si="1269"/>
        <v>45.11</v>
      </c>
      <c r="AS157" s="22">
        <f t="shared" si="1269"/>
        <v>39.76617851739789</v>
      </c>
      <c r="AT157" s="22">
        <f t="shared" si="1269"/>
        <v>17.649999999999999</v>
      </c>
      <c r="AU157" s="22">
        <f t="shared" si="1269"/>
        <v>21.883543250090483</v>
      </c>
      <c r="AV157" s="22">
        <f t="shared" si="1269"/>
        <v>52.050000000000011</v>
      </c>
      <c r="AW157" s="22">
        <f t="shared" si="1269"/>
        <v>47.840238857424282</v>
      </c>
      <c r="AX157" s="22">
        <f t="shared" si="1269"/>
        <v>36.31</v>
      </c>
      <c r="AY157" s="22">
        <f t="shared" si="1269"/>
        <v>37.901192084942089</v>
      </c>
      <c r="AZ157" s="22">
        <f t="shared" si="1269"/>
        <v>36.259999999999991</v>
      </c>
      <c r="BA157" s="22">
        <f t="shared" si="1269"/>
        <v>38.170091930541361</v>
      </c>
      <c r="BB157" s="22">
        <f t="shared" si="1269"/>
        <v>13.800000000000004</v>
      </c>
      <c r="BC157" s="22">
        <f t="shared" si="1269"/>
        <v>11.512091930541374</v>
      </c>
      <c r="BD157" s="22">
        <f t="shared" si="1269"/>
        <v>22.560000000000009</v>
      </c>
      <c r="BE157" s="22">
        <f t="shared" si="1269"/>
        <v>25.178496276723514</v>
      </c>
      <c r="BF157" s="22">
        <f t="shared" si="1269"/>
        <v>39.79</v>
      </c>
      <c r="BG157" s="22">
        <f t="shared" si="1269"/>
        <v>38.927244374259779</v>
      </c>
      <c r="BH157" s="22">
        <f t="shared" ref="BH157" si="1270">BH148-BH156</f>
        <v>34.769999999999996</v>
      </c>
      <c r="BI157" s="22">
        <f t="shared" si="1269"/>
        <v>23.879244011976049</v>
      </c>
      <c r="BJ157" s="22">
        <f t="shared" si="1269"/>
        <v>21.490000000000009</v>
      </c>
      <c r="BK157" s="22">
        <f t="shared" si="1269"/>
        <v>21.208691394040429</v>
      </c>
      <c r="BL157" s="22">
        <f t="shared" si="1269"/>
        <v>54.989999999999995</v>
      </c>
      <c r="BM157" s="22">
        <f t="shared" si="1269"/>
        <v>51.358318772640104</v>
      </c>
      <c r="BN157" s="22">
        <f t="shared" si="1269"/>
        <v>49.26</v>
      </c>
      <c r="BO157" s="22">
        <f t="shared" si="1269"/>
        <v>44.703436034829203</v>
      </c>
      <c r="BP157" s="22">
        <f t="shared" si="1269"/>
        <v>39.030000000000008</v>
      </c>
      <c r="BQ157" s="22">
        <f t="shared" si="1269"/>
        <v>38.96405695266273</v>
      </c>
      <c r="BR157" s="22">
        <f t="shared" si="1269"/>
        <v>42.810000000000009</v>
      </c>
      <c r="BS157" s="22">
        <f t="shared" si="1269"/>
        <v>48.681326885880068</v>
      </c>
      <c r="BT157" s="22">
        <f t="shared" si="1269"/>
        <v>36.919999999999995</v>
      </c>
      <c r="BU157" s="22">
        <f t="shared" si="1269"/>
        <v>36.532459938629408</v>
      </c>
      <c r="BV157" s="22">
        <f t="shared" si="1269"/>
        <v>52.800000000000004</v>
      </c>
      <c r="BW157" s="22">
        <f t="shared" si="1269"/>
        <v>50.520737189092003</v>
      </c>
      <c r="BX157" s="22">
        <f t="shared" si="1269"/>
        <v>68.309999999999988</v>
      </c>
      <c r="BY157" s="22">
        <f t="shared" si="1269"/>
        <v>57.956127077831283</v>
      </c>
      <c r="BZ157" s="22">
        <f t="shared" si="1269"/>
        <v>67.249999999999986</v>
      </c>
      <c r="CA157" s="22">
        <f t="shared" si="1269"/>
        <v>67.424649413180859</v>
      </c>
      <c r="CB157" s="22">
        <f t="shared" si="1269"/>
        <v>60.37</v>
      </c>
      <c r="CC157" s="22">
        <f t="shared" si="1269"/>
        <v>59.793005456198827</v>
      </c>
      <c r="CD157" s="22">
        <f t="shared" si="1269"/>
        <v>56.160000000000004</v>
      </c>
      <c r="CE157" s="22">
        <f t="shared" si="1269"/>
        <v>51.686858412253002</v>
      </c>
      <c r="CF157" s="22">
        <f t="shared" ref="CF157:CG157" si="1271">CF148-CF156</f>
        <v>56.509999999999991</v>
      </c>
      <c r="CG157" s="22">
        <f t="shared" si="1271"/>
        <v>51.677043375309438</v>
      </c>
      <c r="CH157" s="22">
        <f t="shared" ref="CH157:CI157" si="1272">CH148-CH156</f>
        <v>36.980499999999992</v>
      </c>
      <c r="CI157" s="22">
        <f t="shared" si="1272"/>
        <v>38.177312483002453</v>
      </c>
      <c r="CJ157" s="22">
        <f t="shared" ref="CJ157:DB157" si="1273">CJ148-CJ156</f>
        <v>38.510000000000005</v>
      </c>
      <c r="CK157" s="21">
        <f t="shared" si="1273"/>
        <v>29.876712418300649</v>
      </c>
      <c r="CL157" s="22">
        <f t="shared" ref="CL157" si="1274">CL148-CL156</f>
        <v>84.62</v>
      </c>
      <c r="CM157" s="21">
        <f t="shared" si="1273"/>
        <v>107.52184260523023</v>
      </c>
      <c r="CN157" s="21">
        <f t="shared" si="1273"/>
        <v>109.96856216815698</v>
      </c>
      <c r="CO157" s="21">
        <f t="shared" si="1273"/>
        <v>82.512819555746489</v>
      </c>
      <c r="CP157" s="21">
        <f t="shared" si="1273"/>
        <v>95.37551927826479</v>
      </c>
      <c r="CQ157" s="21">
        <f t="shared" si="1273"/>
        <v>124.76083517890071</v>
      </c>
      <c r="CR157" s="21">
        <f t="shared" si="1273"/>
        <v>125.85850884362746</v>
      </c>
      <c r="CS157" s="21">
        <f t="shared" si="1273"/>
        <v>94.024955416414002</v>
      </c>
      <c r="CT157" s="21">
        <f t="shared" si="1273"/>
        <v>109.0010713134786</v>
      </c>
      <c r="CU157" s="21">
        <f t="shared" si="1273"/>
        <v>143.07594461217684</v>
      </c>
      <c r="CV157" s="21">
        <f t="shared" si="1273"/>
        <v>143.90909292849696</v>
      </c>
      <c r="CW157" s="21">
        <f t="shared" si="1273"/>
        <v>107.48469652648313</v>
      </c>
      <c r="CX157" s="21">
        <f t="shared" si="1273"/>
        <v>124.70361017067216</v>
      </c>
      <c r="CY157" s="21">
        <f t="shared" si="1273"/>
        <v>163.73005586325496</v>
      </c>
      <c r="CZ157" s="21">
        <f t="shared" si="1273"/>
        <v>164.59554437442347</v>
      </c>
      <c r="DA157" s="21">
        <f t="shared" si="1273"/>
        <v>122.94404962000604</v>
      </c>
      <c r="DB157" s="21">
        <f t="shared" si="1273"/>
        <v>142.66065952849749</v>
      </c>
      <c r="DE157" s="126"/>
      <c r="DF157" s="22">
        <v>45.033038129486144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0.23271310000000001</v>
      </c>
      <c r="F160" s="23">
        <f>'Annual Raw'!G78</f>
        <v>0.25752380000000002</v>
      </c>
      <c r="G160" s="23">
        <f>'Annual Raw'!H78</f>
        <v>0.16483049999999999</v>
      </c>
      <c r="H160" s="23">
        <f>'Annual Raw'!I78</f>
        <v>0.55600000000000005</v>
      </c>
      <c r="I160" s="23">
        <f>'Annual Raw'!J78</f>
        <v>0.34699999999999998</v>
      </c>
      <c r="J160" s="23">
        <f>'Annual Raw'!K78</f>
        <v>0.51680000000000004</v>
      </c>
      <c r="K160" s="23">
        <f>'Annual Raw'!L78</f>
        <v>0.58699999999999997</v>
      </c>
      <c r="L160" s="23">
        <f>'Annual Raw'!M78</f>
        <v>0.51639999999999997</v>
      </c>
      <c r="M160" s="23">
        <f>'Annual Raw'!N78</f>
        <v>0.75080000000000002</v>
      </c>
      <c r="N160" s="23">
        <f>'Annual Raw'!O78</f>
        <v>0.51700000000000002</v>
      </c>
      <c r="O160" s="23">
        <f>'Annual Raw'!P78</f>
        <v>2.7250999999999999</v>
      </c>
      <c r="P160" s="23">
        <f>'Annual Raw'!Q78</f>
        <v>0.18229999999999999</v>
      </c>
      <c r="Q160" s="23">
        <f>'Annual Raw'!R78</f>
        <v>2.1215999999999999</v>
      </c>
      <c r="R160" s="23">
        <f>'Annual Raw'!S78</f>
        <v>1.2402</v>
      </c>
      <c r="S160" s="23">
        <f>'Annual Raw'!T78</f>
        <v>2.6320999999999999</v>
      </c>
      <c r="T160" s="23">
        <f>'Annual Raw'!U78</f>
        <v>1.8708</v>
      </c>
      <c r="U160" s="23">
        <f>'Annual Raw'!V78</f>
        <v>1.05</v>
      </c>
      <c r="V160" s="23">
        <f>'Annual Raw'!W78</f>
        <v>3.5712999999999999</v>
      </c>
      <c r="W160" s="23">
        <f>'Annual Raw'!X78</f>
        <v>5.8406000000000002</v>
      </c>
      <c r="X160" s="23">
        <f>'Annual Raw'!Y78</f>
        <v>1.7868999999999999</v>
      </c>
      <c r="Y160" s="23">
        <f>'Annual Raw'!Z78</f>
        <v>0.60429999999999995</v>
      </c>
      <c r="Z160" s="23">
        <f>'Annual Raw'!AA78</f>
        <v>3.7229999999999999</v>
      </c>
      <c r="AA160" s="23">
        <f>'Annual Raw'!AB78</f>
        <v>14.132300000000001</v>
      </c>
      <c r="AB160" s="24">
        <f t="shared" si="1275"/>
        <v>39.622912955486797</v>
      </c>
      <c r="AC160" s="24">
        <f t="shared" si="1276"/>
        <v>69.285440021540722</v>
      </c>
      <c r="AD160" s="24">
        <f t="shared" si="1277"/>
        <v>104.39990676660507</v>
      </c>
      <c r="AE160" s="24">
        <f t="shared" si="1278"/>
        <v>145.70450689190164</v>
      </c>
      <c r="AJ160" s="23">
        <f>+'QTR Raw'!D83</f>
        <v>2.2389999999999999</v>
      </c>
      <c r="AK160" s="23">
        <f t="shared" ref="AK160:AM160" si="1280">+AK210</f>
        <v>4.5828470809792892</v>
      </c>
      <c r="AL160" s="23">
        <f>+'QTR Raw'!F83</f>
        <v>0.51700000000000002</v>
      </c>
      <c r="AM160" s="23">
        <f t="shared" si="1280"/>
        <v>0.19985028005169247</v>
      </c>
      <c r="AN160" s="23">
        <f>+'QTR Raw'!H83</f>
        <v>7.0000000000000007E-2</v>
      </c>
      <c r="AO160" s="23">
        <f t="shared" ref="AO160" si="1281">+AO210</f>
        <v>1.1179613922199454</v>
      </c>
      <c r="AP160" s="23">
        <f>+'QTR Raw'!J83</f>
        <v>2.73</v>
      </c>
      <c r="AQ160" s="23">
        <f t="shared" ref="AQ160" si="1282">+AQ210</f>
        <v>7.8616183706943801</v>
      </c>
      <c r="AR160" s="23">
        <f>+'QTR Raw'!L83</f>
        <v>4.3</v>
      </c>
      <c r="AS160" s="23">
        <f t="shared" ref="AS160" si="1283">+AS210</f>
        <v>7.5538214826021024</v>
      </c>
      <c r="AT160" s="23">
        <f>+'QTR Raw'!N83</f>
        <v>0.18</v>
      </c>
      <c r="AU160" s="23">
        <f t="shared" ref="AU160" si="1284">+AU210</f>
        <v>-3.1935432500904808</v>
      </c>
      <c r="AV160" s="23">
        <f>+'QTR Raw'!P83</f>
        <v>0.43</v>
      </c>
      <c r="AW160" s="23">
        <f t="shared" ref="AW160" si="1285">+AW210</f>
        <v>3.0597611425757352</v>
      </c>
      <c r="AX160" s="23">
        <f>+'QTR Raw'!R83</f>
        <v>2.12</v>
      </c>
      <c r="AY160" s="23">
        <f t="shared" ref="AY160" si="1286">+AY210</f>
        <v>-0.15119208494208602</v>
      </c>
      <c r="AZ160" s="23">
        <f>+'QTR Raw'!T83</f>
        <v>0.95</v>
      </c>
      <c r="BA160" s="23">
        <f t="shared" ref="BA160" si="1287">+BA210</f>
        <v>-3.6200919305413715</v>
      </c>
      <c r="BB160" s="23">
        <f>+'QTR Raw'!V83</f>
        <v>1.24</v>
      </c>
      <c r="BC160" s="23">
        <f t="shared" ref="BC160" si="1288">+BC210</f>
        <v>2.5879080694586323</v>
      </c>
      <c r="BD160" s="23">
        <f>+'QTR Raw'!X83</f>
        <v>6.37</v>
      </c>
      <c r="BE160" s="23">
        <f t="shared" ref="BE160" si="1289">+BE210</f>
        <v>4.0815037232764917</v>
      </c>
      <c r="BF160" s="23">
        <f>+'QTR Raw'!Z83</f>
        <v>2.63</v>
      </c>
      <c r="BG160" s="23">
        <f t="shared" ref="BG160" si="1290">+BG210</f>
        <v>3.962755625740213</v>
      </c>
      <c r="BH160" s="23">
        <f>+'QTR Raw'!AB83</f>
        <v>2.83</v>
      </c>
      <c r="BI160" s="23">
        <f t="shared" ref="BI160" si="1291">+BI210</f>
        <v>10.840755988023952</v>
      </c>
      <c r="BJ160" s="23">
        <f>+'QTR Raw'!AD83</f>
        <v>1.87</v>
      </c>
      <c r="BK160" s="23">
        <f t="shared" ref="BK160" si="1292">+BK210</f>
        <v>1.7213086059595752</v>
      </c>
      <c r="BL160" s="23">
        <f>+'QTR Raw'!AF83</f>
        <v>0.01</v>
      </c>
      <c r="BM160" s="23">
        <f t="shared" ref="BM160" si="1293">+BM210</f>
        <v>2.5216812273598936</v>
      </c>
      <c r="BN160" s="23">
        <f>+'QTR Raw'!AH83</f>
        <v>1.05</v>
      </c>
      <c r="BO160" s="23">
        <f t="shared" ref="BO160" si="1294">+BO210</f>
        <v>6.4165639651707913</v>
      </c>
      <c r="BP160" s="23">
        <f>+'QTR Raw'!AJ83</f>
        <v>4.74</v>
      </c>
      <c r="BQ160" s="23">
        <f t="shared" ref="BQ160" si="1295">+BQ210</f>
        <v>8.7459430473372848</v>
      </c>
      <c r="BR160" s="23">
        <f>+'QTR Raw'!AL83</f>
        <v>3.57</v>
      </c>
      <c r="BS160" s="23">
        <f t="shared" ref="BS160" si="1296">+BS210</f>
        <v>14.018673114119952</v>
      </c>
      <c r="BT160" s="23">
        <f>+'QTR Raw'!AN83</f>
        <v>3.09</v>
      </c>
      <c r="BU160" s="23">
        <f t="shared" ref="BU160" si="1297">+BU210</f>
        <v>7.2675400613705836</v>
      </c>
      <c r="BV160" s="23">
        <f>+'QTR Raw'!AP83</f>
        <v>5.84</v>
      </c>
      <c r="BW160" s="23">
        <f t="shared" ref="BW160" si="1298">+BW210</f>
        <v>11.939262810908</v>
      </c>
      <c r="BX160" s="23">
        <f>+'QTR Raw'!AR83</f>
        <v>6</v>
      </c>
      <c r="BY160" s="23">
        <f t="shared" ref="BY160" si="1299">+BY210</f>
        <v>17.353872922168716</v>
      </c>
      <c r="BZ160" s="23">
        <f>+'QTR Raw'!AT83</f>
        <v>1.78</v>
      </c>
      <c r="CA160" s="23">
        <f t="shared" ref="CA160" si="1300">+CA210</f>
        <v>5.4453505868191145</v>
      </c>
      <c r="CB160" s="23">
        <f>+'QTR Raw'!AV83</f>
        <v>8.0500000000000007</v>
      </c>
      <c r="CC160" s="23">
        <f t="shared" ref="CC160" si="1301">+CC210</f>
        <v>13.756994543801174</v>
      </c>
      <c r="CD160" s="23">
        <f>+'QTR Raw'!AX83</f>
        <v>0.6</v>
      </c>
      <c r="CE160" s="23">
        <f t="shared" ref="CE160" si="1302">+CE210</f>
        <v>9.0831415877469883</v>
      </c>
      <c r="CF160" s="23">
        <f>+'QTR Raw'!AZ83</f>
        <v>6.43</v>
      </c>
      <c r="CG160" s="23">
        <f t="shared" ref="CG160:CI160" si="1303">+CG210</f>
        <v>12.892956624690566</v>
      </c>
      <c r="CH160" s="23">
        <f t="shared" si="1279"/>
        <v>3.7229999999999999</v>
      </c>
      <c r="CI160" s="23">
        <f t="shared" si="1303"/>
        <v>11.996187516997544</v>
      </c>
      <c r="CJ160" s="23">
        <f>+'QTR Raw'!BD83</f>
        <v>0.71</v>
      </c>
      <c r="CK160" s="24">
        <f t="shared" ref="CK160:DB160" si="1304">+CK210</f>
        <v>14.233287581699354</v>
      </c>
      <c r="CL160" s="23">
        <f>+'QTR Raw'!BF83</f>
        <v>14.14</v>
      </c>
      <c r="CM160" s="24">
        <f t="shared" si="1304"/>
        <v>0.96204989724894396</v>
      </c>
      <c r="CN160" s="24">
        <f t="shared" si="1304"/>
        <v>8.7605817877341519</v>
      </c>
      <c r="CO160" s="24">
        <f t="shared" si="1304"/>
        <v>43.356964778959892</v>
      </c>
      <c r="CP160" s="24">
        <f t="shared" si="1304"/>
        <v>39.622912955486797</v>
      </c>
      <c r="CQ160" s="24">
        <f t="shared" si="1304"/>
        <v>22.284413993721987</v>
      </c>
      <c r="CR160" s="24">
        <f t="shared" si="1304"/>
        <v>33.53493774601619</v>
      </c>
      <c r="CS160" s="24">
        <f t="shared" si="1304"/>
        <v>73.964158428756946</v>
      </c>
      <c r="CT160" s="24">
        <f t="shared" si="1304"/>
        <v>69.285440021540722</v>
      </c>
      <c r="CU160" s="24">
        <f t="shared" si="1304"/>
        <v>49.472023859846573</v>
      </c>
      <c r="CV160" s="24">
        <f t="shared" si="1304"/>
        <v>63.108656764448114</v>
      </c>
      <c r="CW160" s="24">
        <f t="shared" si="1304"/>
        <v>109.63000245925404</v>
      </c>
      <c r="CX160" s="24">
        <f t="shared" si="1304"/>
        <v>104.39990676660507</v>
      </c>
      <c r="CY160" s="24">
        <f t="shared" si="1304"/>
        <v>82.013137103619442</v>
      </c>
      <c r="CZ160" s="24">
        <f t="shared" si="1304"/>
        <v>97.979390123687082</v>
      </c>
      <c r="DA160" s="24">
        <f t="shared" si="1304"/>
        <v>151.44434811886151</v>
      </c>
      <c r="DB160" s="24">
        <f t="shared" si="1304"/>
        <v>145.70450689190164</v>
      </c>
      <c r="DE160" s="123"/>
      <c r="DF160" s="23">
        <v>8.5684977928513568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0.23271310000000001</v>
      </c>
      <c r="F161" s="22">
        <f t="shared" si="1305"/>
        <v>0.25752380000000002</v>
      </c>
      <c r="G161" s="22">
        <f t="shared" si="1305"/>
        <v>0.16483049999999999</v>
      </c>
      <c r="H161" s="22">
        <f t="shared" si="1305"/>
        <v>0.55600000000000005</v>
      </c>
      <c r="I161" s="22">
        <f t="shared" si="1305"/>
        <v>0.34699999999999998</v>
      </c>
      <c r="J161" s="22">
        <f t="shared" si="1305"/>
        <v>0.51680000000000004</v>
      </c>
      <c r="K161" s="22">
        <f t="shared" si="1305"/>
        <v>0.58699999999999997</v>
      </c>
      <c r="L161" s="22">
        <f t="shared" si="1305"/>
        <v>0.51639999999999997</v>
      </c>
      <c r="M161" s="22">
        <f t="shared" si="1305"/>
        <v>0.75080000000000002</v>
      </c>
      <c r="N161" s="22">
        <f t="shared" si="1305"/>
        <v>0.51700000000000002</v>
      </c>
      <c r="O161" s="22">
        <f t="shared" si="1305"/>
        <v>2.7250999999999999</v>
      </c>
      <c r="P161" s="22">
        <f t="shared" si="1305"/>
        <v>0.18229999999999999</v>
      </c>
      <c r="Q161" s="22">
        <f t="shared" si="1305"/>
        <v>2.1215999999999999</v>
      </c>
      <c r="R161" s="22">
        <f t="shared" si="1305"/>
        <v>1.2402</v>
      </c>
      <c r="S161" s="22">
        <f t="shared" si="1305"/>
        <v>2.6320999999999999</v>
      </c>
      <c r="T161" s="22">
        <f t="shared" si="1305"/>
        <v>1.8708</v>
      </c>
      <c r="U161" s="22">
        <f t="shared" si="1305"/>
        <v>1.05</v>
      </c>
      <c r="V161" s="22">
        <f t="shared" si="1305"/>
        <v>3.5712999999999999</v>
      </c>
      <c r="W161" s="22">
        <f t="shared" ref="W161" si="1306">W159+W160</f>
        <v>5.8406000000000002</v>
      </c>
      <c r="X161" s="22">
        <f t="shared" ref="X161:Y161" si="1307">X159+X160</f>
        <v>1.7868999999999999</v>
      </c>
      <c r="Y161" s="22">
        <f t="shared" si="1307"/>
        <v>0.60429999999999995</v>
      </c>
      <c r="Z161" s="22">
        <f t="shared" ref="Z161:AA161" si="1308">Z159+Z160</f>
        <v>3.7229999999999999</v>
      </c>
      <c r="AA161" s="22">
        <f t="shared" si="1308"/>
        <v>14.132300000000001</v>
      </c>
      <c r="AB161" s="21">
        <f t="shared" ref="AA161:AD161" si="1309">AB159+AB160</f>
        <v>39.622912955486797</v>
      </c>
      <c r="AC161" s="21">
        <f t="shared" si="1309"/>
        <v>69.285440021540722</v>
      </c>
      <c r="AD161" s="21">
        <f t="shared" si="1309"/>
        <v>104.39990676660507</v>
      </c>
      <c r="AE161" s="21">
        <f t="shared" ref="AE161" si="1310">AE159+AE160</f>
        <v>145.70450689190164</v>
      </c>
      <c r="AJ161" s="22">
        <f t="shared" ref="AJ161" si="1311">AJ159+AJ160</f>
        <v>2.2389999999999999</v>
      </c>
      <c r="AK161" s="22">
        <f t="shared" ref="AK161" si="1312">AK159+AK160</f>
        <v>4.5828470809792892</v>
      </c>
      <c r="AL161" s="22">
        <f t="shared" ref="AL161:AM161" si="1313">AL159+AL160</f>
        <v>0.51700000000000002</v>
      </c>
      <c r="AM161" s="22">
        <f t="shared" si="1313"/>
        <v>0.19985028005169247</v>
      </c>
      <c r="AN161" s="22">
        <f t="shared" ref="AN161:AO161" si="1314">AN159+AN160</f>
        <v>7.0000000000000007E-2</v>
      </c>
      <c r="AO161" s="22">
        <f t="shared" si="1314"/>
        <v>1.1179613922199454</v>
      </c>
      <c r="AP161" s="22">
        <f t="shared" ref="AP161:CE161" si="1315">AP159+AP160</f>
        <v>2.73</v>
      </c>
      <c r="AQ161" s="22">
        <f t="shared" si="1315"/>
        <v>7.8616183706943801</v>
      </c>
      <c r="AR161" s="22">
        <f t="shared" si="1315"/>
        <v>4.3</v>
      </c>
      <c r="AS161" s="22">
        <f t="shared" si="1315"/>
        <v>7.5538214826021024</v>
      </c>
      <c r="AT161" s="22">
        <f t="shared" si="1315"/>
        <v>0.18</v>
      </c>
      <c r="AU161" s="22">
        <f t="shared" si="1315"/>
        <v>-3.1935432500904808</v>
      </c>
      <c r="AV161" s="22">
        <f t="shared" si="1315"/>
        <v>0.43</v>
      </c>
      <c r="AW161" s="22">
        <f t="shared" si="1315"/>
        <v>3.0597611425757352</v>
      </c>
      <c r="AX161" s="22">
        <f t="shared" si="1315"/>
        <v>2.12</v>
      </c>
      <c r="AY161" s="22">
        <f t="shared" si="1315"/>
        <v>-0.15119208494208602</v>
      </c>
      <c r="AZ161" s="22">
        <f t="shared" si="1315"/>
        <v>0.95</v>
      </c>
      <c r="BA161" s="22">
        <f t="shared" si="1315"/>
        <v>-3.6200919305413715</v>
      </c>
      <c r="BB161" s="22">
        <f t="shared" si="1315"/>
        <v>1.24</v>
      </c>
      <c r="BC161" s="22">
        <f t="shared" si="1315"/>
        <v>2.5879080694586323</v>
      </c>
      <c r="BD161" s="22">
        <f t="shared" si="1315"/>
        <v>6.37</v>
      </c>
      <c r="BE161" s="22">
        <f t="shared" si="1315"/>
        <v>4.0815037232764917</v>
      </c>
      <c r="BF161" s="22">
        <f t="shared" si="1315"/>
        <v>2.63</v>
      </c>
      <c r="BG161" s="22">
        <f t="shared" si="1315"/>
        <v>3.962755625740213</v>
      </c>
      <c r="BH161" s="22">
        <f t="shared" si="1315"/>
        <v>2.83</v>
      </c>
      <c r="BI161" s="22">
        <f t="shared" si="1315"/>
        <v>10.840755988023952</v>
      </c>
      <c r="BJ161" s="22">
        <f t="shared" si="1315"/>
        <v>1.87</v>
      </c>
      <c r="BK161" s="22">
        <f t="shared" si="1315"/>
        <v>1.7213086059595752</v>
      </c>
      <c r="BL161" s="22">
        <f t="shared" si="1315"/>
        <v>0.01</v>
      </c>
      <c r="BM161" s="22">
        <f t="shared" si="1315"/>
        <v>2.5216812273598936</v>
      </c>
      <c r="BN161" s="22">
        <f t="shared" si="1315"/>
        <v>1.05</v>
      </c>
      <c r="BO161" s="22">
        <f t="shared" si="1315"/>
        <v>6.4165639651707913</v>
      </c>
      <c r="BP161" s="22">
        <f t="shared" si="1315"/>
        <v>4.74</v>
      </c>
      <c r="BQ161" s="22">
        <f t="shared" si="1315"/>
        <v>8.7459430473372848</v>
      </c>
      <c r="BR161" s="22">
        <f t="shared" si="1315"/>
        <v>3.57</v>
      </c>
      <c r="BS161" s="22">
        <f t="shared" si="1315"/>
        <v>14.018673114119952</v>
      </c>
      <c r="BT161" s="22">
        <f t="shared" si="1315"/>
        <v>3.09</v>
      </c>
      <c r="BU161" s="22">
        <f t="shared" si="1315"/>
        <v>7.2675400613705836</v>
      </c>
      <c r="BV161" s="22">
        <f t="shared" si="1315"/>
        <v>5.84</v>
      </c>
      <c r="BW161" s="22">
        <f t="shared" si="1315"/>
        <v>11.939262810908</v>
      </c>
      <c r="BX161" s="22">
        <f t="shared" si="1315"/>
        <v>6</v>
      </c>
      <c r="BY161" s="22">
        <f t="shared" si="1315"/>
        <v>17.353872922168716</v>
      </c>
      <c r="BZ161" s="22">
        <f t="shared" si="1315"/>
        <v>1.78</v>
      </c>
      <c r="CA161" s="22">
        <f t="shared" si="1315"/>
        <v>5.4453505868191145</v>
      </c>
      <c r="CB161" s="22">
        <f t="shared" si="1315"/>
        <v>8.0500000000000007</v>
      </c>
      <c r="CC161" s="22">
        <f t="shared" si="1315"/>
        <v>13.756994543801174</v>
      </c>
      <c r="CD161" s="22">
        <f t="shared" si="1315"/>
        <v>0.6</v>
      </c>
      <c r="CE161" s="22">
        <f t="shared" si="1315"/>
        <v>9.0831415877469883</v>
      </c>
      <c r="CF161" s="22">
        <f t="shared" ref="CF161:CG161" si="1316">CF159+CF160</f>
        <v>6.43</v>
      </c>
      <c r="CG161" s="22">
        <f t="shared" si="1316"/>
        <v>12.892956624690566</v>
      </c>
      <c r="CH161" s="22">
        <f t="shared" ref="CH161:CI161" si="1317">CH159+CH160</f>
        <v>3.7229999999999999</v>
      </c>
      <c r="CI161" s="22">
        <f t="shared" si="1317"/>
        <v>11.996187516997544</v>
      </c>
      <c r="CJ161" s="22">
        <f t="shared" ref="CJ161:DB161" si="1318">CJ159+CJ160</f>
        <v>0.71</v>
      </c>
      <c r="CK161" s="21">
        <f t="shared" si="1318"/>
        <v>14.233287581699354</v>
      </c>
      <c r="CL161" s="22">
        <f t="shared" ref="CL161" si="1319">CL159+CL160</f>
        <v>14.14</v>
      </c>
      <c r="CM161" s="21">
        <f t="shared" si="1318"/>
        <v>0.96204989724894396</v>
      </c>
      <c r="CN161" s="21">
        <f t="shared" si="1318"/>
        <v>8.7605817877341519</v>
      </c>
      <c r="CO161" s="21">
        <f t="shared" si="1318"/>
        <v>43.356964778959892</v>
      </c>
      <c r="CP161" s="21">
        <f t="shared" si="1318"/>
        <v>39.622912955486797</v>
      </c>
      <c r="CQ161" s="21">
        <f t="shared" si="1318"/>
        <v>22.284413993721987</v>
      </c>
      <c r="CR161" s="21">
        <f t="shared" si="1318"/>
        <v>33.53493774601619</v>
      </c>
      <c r="CS161" s="21">
        <f t="shared" si="1318"/>
        <v>73.964158428756946</v>
      </c>
      <c r="CT161" s="21">
        <f t="shared" si="1318"/>
        <v>69.285440021540722</v>
      </c>
      <c r="CU161" s="21">
        <f t="shared" si="1318"/>
        <v>49.472023859846573</v>
      </c>
      <c r="CV161" s="21">
        <f t="shared" si="1318"/>
        <v>63.108656764448114</v>
      </c>
      <c r="CW161" s="21">
        <f t="shared" si="1318"/>
        <v>109.63000245925404</v>
      </c>
      <c r="CX161" s="21">
        <f t="shared" si="1318"/>
        <v>104.39990676660507</v>
      </c>
      <c r="CY161" s="21">
        <f t="shared" si="1318"/>
        <v>82.013137103619442</v>
      </c>
      <c r="CZ161" s="21">
        <f t="shared" si="1318"/>
        <v>97.979390123687082</v>
      </c>
      <c r="DA161" s="21">
        <f t="shared" si="1318"/>
        <v>151.44434811886151</v>
      </c>
      <c r="DB161" s="21">
        <f t="shared" si="1318"/>
        <v>145.70450689190164</v>
      </c>
      <c r="DE161" s="126"/>
      <c r="DF161" s="22">
        <v>8.5684977928513568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1.3445682999999999</v>
      </c>
      <c r="F163" s="23">
        <f>-'Annual Raw'!G49</f>
        <v>1.0644247</v>
      </c>
      <c r="G163" s="23">
        <f>-'Annual Raw'!H49</f>
        <v>0.7011754</v>
      </c>
      <c r="H163" s="23">
        <f>-'Annual Raw'!I49</f>
        <v>1.167</v>
      </c>
      <c r="I163" s="23">
        <f>-'Annual Raw'!J49</f>
        <v>1.1371</v>
      </c>
      <c r="J163" s="23">
        <f>-'Annual Raw'!K49</f>
        <v>2.5550000000000002</v>
      </c>
      <c r="K163" s="23">
        <f>-'Annual Raw'!L49</f>
        <v>2.1078000000000001</v>
      </c>
      <c r="L163" s="23">
        <f>-'Annual Raw'!M49</f>
        <v>1.5713999999999999</v>
      </c>
      <c r="M163" s="23">
        <f>-'Annual Raw'!N49</f>
        <v>1.8863000000000001</v>
      </c>
      <c r="N163" s="23">
        <f>-'Annual Raw'!O49</f>
        <v>1.9032</v>
      </c>
      <c r="O163" s="23">
        <f>-'Annual Raw'!P49</f>
        <v>-5.0296000000000003</v>
      </c>
      <c r="P163" s="23">
        <f>-'Annual Raw'!Q49</f>
        <v>-4.0258000000000003</v>
      </c>
      <c r="Q163" s="23">
        <f>-'Annual Raw'!R49</f>
        <v>-1.3943000000000001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-0.379</v>
      </c>
      <c r="V163" s="23">
        <f>-'Annual Raw'!W49</f>
        <v>9.7999999999999997E-3</v>
      </c>
      <c r="W163" s="23">
        <f>-'Annual Raw'!X49</f>
        <v>-4.8825000000000003</v>
      </c>
      <c r="X163" s="23">
        <f>-'Annual Raw'!Y49</f>
        <v>-6.1775000000000002</v>
      </c>
      <c r="Y163" s="23">
        <f>-'Annual Raw'!Z49</f>
        <v>-8.8826999999999998</v>
      </c>
      <c r="Z163" s="23">
        <f>-'Annual Raw'!AA49</f>
        <v>-8.2608999999999995</v>
      </c>
      <c r="AA163" s="23">
        <f>-'Annual Raw'!AB49</f>
        <v>-9.2466000000000008</v>
      </c>
      <c r="AB163" s="24">
        <f t="shared" ref="AB163:AB164" si="1320">+CP163</f>
        <v>-9.26</v>
      </c>
      <c r="AC163" s="24">
        <f t="shared" ref="AC163:AC164" si="1321">+CT163</f>
        <v>-9.26</v>
      </c>
      <c r="AD163" s="24">
        <f t="shared" ref="AD163:AD164" si="1322">+CX163</f>
        <v>-9.26</v>
      </c>
      <c r="AE163" s="24">
        <f t="shared" ref="AE163:AE164" si="1323">+DB163</f>
        <v>-9.26</v>
      </c>
      <c r="AJ163" s="23">
        <f>+'QTR Raw'!D96</f>
        <v>1.97</v>
      </c>
      <c r="AK163" s="23">
        <f t="shared" ref="AK163:CE163" si="1324">+AJ163</f>
        <v>1.97</v>
      </c>
      <c r="AL163" s="23">
        <f>+'QTR Raw'!F96</f>
        <v>1.903</v>
      </c>
      <c r="AM163" s="23">
        <f t="shared" si="1324"/>
        <v>1.903</v>
      </c>
      <c r="AN163" s="23">
        <f>+'QTR Raw'!H96</f>
        <v>1.87</v>
      </c>
      <c r="AO163" s="23">
        <f t="shared" si="1324"/>
        <v>1.87</v>
      </c>
      <c r="AP163" s="23">
        <f>+'QTR Raw'!J96</f>
        <v>-5.03</v>
      </c>
      <c r="AQ163" s="23">
        <f t="shared" si="1324"/>
        <v>-5.03</v>
      </c>
      <c r="AR163" s="23">
        <f>+'QTR Raw'!L96</f>
        <v>-4.82</v>
      </c>
      <c r="AS163" s="23">
        <f t="shared" si="1324"/>
        <v>-4.82</v>
      </c>
      <c r="AT163" s="23">
        <f>+'QTR Raw'!N96</f>
        <v>-4.03</v>
      </c>
      <c r="AU163" s="23">
        <f t="shared" si="1324"/>
        <v>-4.03</v>
      </c>
      <c r="AV163" s="23">
        <f>+'QTR Raw'!P96</f>
        <v>-4.26</v>
      </c>
      <c r="AW163" s="23">
        <f t="shared" si="1324"/>
        <v>-4.26</v>
      </c>
      <c r="AX163" s="23">
        <f>+'QTR Raw'!R96</f>
        <v>-1.4</v>
      </c>
      <c r="AY163" s="23">
        <f t="shared" si="1324"/>
        <v>-1.4</v>
      </c>
      <c r="AZ163" s="23">
        <f>+'QTR Raw'!T96</f>
        <v>-0.98</v>
      </c>
      <c r="BA163" s="23">
        <f t="shared" si="1324"/>
        <v>-0.98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-0.38</v>
      </c>
      <c r="BO163" s="23">
        <f t="shared" si="1324"/>
        <v>-0.38</v>
      </c>
      <c r="BP163" s="23">
        <f>+'QTR Raw'!AJ96</f>
        <v>1.1100000000000001</v>
      </c>
      <c r="BQ163" s="23">
        <f t="shared" si="1324"/>
        <v>1.1100000000000001</v>
      </c>
      <c r="BR163" s="23">
        <f>+'QTR Raw'!AL96</f>
        <v>0.01</v>
      </c>
      <c r="BS163" s="23">
        <f t="shared" si="1324"/>
        <v>0.01</v>
      </c>
      <c r="BT163" s="23">
        <f>+'QTR Raw'!AN96</f>
        <v>-1.06</v>
      </c>
      <c r="BU163" s="23">
        <f t="shared" si="1324"/>
        <v>-1.06</v>
      </c>
      <c r="BV163" s="23">
        <f>+'QTR Raw'!AP96</f>
        <v>-4.88</v>
      </c>
      <c r="BW163" s="23">
        <f t="shared" si="1324"/>
        <v>-4.88</v>
      </c>
      <c r="BX163" s="23">
        <f>+'QTR Raw'!AR96</f>
        <v>-6.17</v>
      </c>
      <c r="BY163" s="23">
        <f t="shared" si="1324"/>
        <v>-6.17</v>
      </c>
      <c r="BZ163" s="23">
        <f>+'QTR Raw'!AT96</f>
        <v>-6.18</v>
      </c>
      <c r="CA163" s="23">
        <f t="shared" si="1324"/>
        <v>-6.18</v>
      </c>
      <c r="CB163" s="23">
        <f>+'QTR Raw'!AV96</f>
        <v>-7.45</v>
      </c>
      <c r="CC163" s="23">
        <f t="shared" si="1324"/>
        <v>-7.45</v>
      </c>
      <c r="CD163" s="23">
        <f>+'QTR Raw'!AX96</f>
        <v>-8.8800000000000008</v>
      </c>
      <c r="CE163" s="23">
        <f t="shared" si="1324"/>
        <v>-8.8800000000000008</v>
      </c>
      <c r="CF163" s="23">
        <f>+'QTR Raw'!AZ96</f>
        <v>-7.95</v>
      </c>
      <c r="CG163" s="23">
        <f t="shared" ref="CG163:CI164" si="1325">+CF163</f>
        <v>-7.95</v>
      </c>
      <c r="CH163" s="23">
        <f t="shared" ref="CH163:CH164" si="1326">Z163</f>
        <v>-8.2608999999999995</v>
      </c>
      <c r="CI163" s="23">
        <f t="shared" si="1325"/>
        <v>-8.2608999999999995</v>
      </c>
      <c r="CJ163" s="23">
        <f>+'QTR Raw'!BD96</f>
        <v>-8.41</v>
      </c>
      <c r="CK163" s="24">
        <f t="shared" ref="CK163:CK164" si="1327">+CJ163</f>
        <v>-8.41</v>
      </c>
      <c r="CL163" s="23">
        <f>+'QTR Raw'!BF96</f>
        <v>-9.26</v>
      </c>
      <c r="CM163" s="24">
        <f t="shared" ref="CM163:CM164" si="1328">+CL163</f>
        <v>-9.26</v>
      </c>
      <c r="CN163" s="24">
        <f t="shared" ref="CN163:CN164" si="1329">+CM163</f>
        <v>-9.26</v>
      </c>
      <c r="CO163" s="24">
        <f t="shared" ref="CO163:CO164" si="1330">+CN163</f>
        <v>-9.26</v>
      </c>
      <c r="CP163" s="24">
        <f t="shared" ref="CP163:CP164" si="1331">+CO163</f>
        <v>-9.26</v>
      </c>
      <c r="CQ163" s="24">
        <f t="shared" ref="CQ163:CQ164" si="1332">+CP163</f>
        <v>-9.26</v>
      </c>
      <c r="CR163" s="24">
        <f t="shared" ref="CR163:CR164" si="1333">+CQ163</f>
        <v>-9.26</v>
      </c>
      <c r="CS163" s="24">
        <f t="shared" ref="CS163:CS164" si="1334">+CR163</f>
        <v>-9.26</v>
      </c>
      <c r="CT163" s="24">
        <f t="shared" ref="CT163:CT164" si="1335">+CS163</f>
        <v>-9.26</v>
      </c>
      <c r="CU163" s="24">
        <f t="shared" ref="CU163:CU164" si="1336">+CT163</f>
        <v>-9.26</v>
      </c>
      <c r="CV163" s="24">
        <f t="shared" ref="CV163:CV164" si="1337">+CU163</f>
        <v>-9.26</v>
      </c>
      <c r="CW163" s="24">
        <f t="shared" ref="CW163:CW164" si="1338">+CV163</f>
        <v>-9.26</v>
      </c>
      <c r="CX163" s="24">
        <f t="shared" ref="CX163:CX164" si="1339">+CW163</f>
        <v>-9.26</v>
      </c>
      <c r="CY163" s="24">
        <f t="shared" ref="CY163:CY164" si="1340">+CX163</f>
        <v>-9.26</v>
      </c>
      <c r="CZ163" s="24">
        <f t="shared" ref="CZ163:CZ164" si="1341">+CY163</f>
        <v>-9.26</v>
      </c>
      <c r="DA163" s="24">
        <f t="shared" ref="DA163:DA164" si="1342">+CZ163</f>
        <v>-9.26</v>
      </c>
      <c r="DB163" s="24">
        <f t="shared" ref="DB163:DB164" si="1343">+DA163</f>
        <v>-9.26</v>
      </c>
      <c r="DE163" s="123"/>
      <c r="DF163" s="23">
        <v>-8.41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0.36451869999999997</v>
      </c>
      <c r="F164" s="23">
        <f>'Annual Raw'!G83</f>
        <v>0.22807920000000001</v>
      </c>
      <c r="G164" s="23">
        <f>'Annual Raw'!H83</f>
        <v>9.1639399999999996E-2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16.4761101</v>
      </c>
      <c r="F165" s="26">
        <f t="shared" si="1345"/>
        <v>16.345477800000005</v>
      </c>
      <c r="G165" s="26">
        <f t="shared" si="1345"/>
        <v>27.738841999999995</v>
      </c>
      <c r="H165" s="26">
        <f t="shared" si="1345"/>
        <v>32.774699999999996</v>
      </c>
      <c r="I165" s="26">
        <f t="shared" si="1345"/>
        <v>37.564599999999999</v>
      </c>
      <c r="J165" s="26">
        <f t="shared" si="1345"/>
        <v>44.389000000000003</v>
      </c>
      <c r="K165" s="26">
        <f t="shared" si="1345"/>
        <v>49.572299999999998</v>
      </c>
      <c r="L165" s="26">
        <f t="shared" si="1345"/>
        <v>59.518600000000006</v>
      </c>
      <c r="M165" s="26">
        <f t="shared" si="1345"/>
        <v>63.924400000000006</v>
      </c>
      <c r="N165" s="26">
        <f t="shared" si="1345"/>
        <v>65.229399999999998</v>
      </c>
      <c r="O165" s="26">
        <f t="shared" si="1345"/>
        <v>77.308199999999999</v>
      </c>
      <c r="P165" s="26">
        <f t="shared" si="1345"/>
        <v>92.4114</v>
      </c>
      <c r="Q165" s="26">
        <f t="shared" si="1345"/>
        <v>118.17999999999998</v>
      </c>
      <c r="R165" s="26">
        <f t="shared" si="1345"/>
        <v>109.3852</v>
      </c>
      <c r="S165" s="26">
        <f t="shared" si="1345"/>
        <v>121.17500000000001</v>
      </c>
      <c r="T165" s="26">
        <f t="shared" si="1345"/>
        <v>117.0316</v>
      </c>
      <c r="U165" s="26">
        <f t="shared" si="1345"/>
        <v>121.16749999999999</v>
      </c>
      <c r="V165" s="26">
        <f t="shared" si="1345"/>
        <v>113.94229999999999</v>
      </c>
      <c r="W165" s="26">
        <f t="shared" si="1345"/>
        <v>132.21269999999998</v>
      </c>
      <c r="X165" s="26">
        <f t="shared" ref="X165:Y165" si="1346">X163+X161+X157+X140+X138+X164</f>
        <v>143.12010000000001</v>
      </c>
      <c r="Y165" s="26">
        <f t="shared" si="1346"/>
        <v>167.6635</v>
      </c>
      <c r="Z165" s="26">
        <f t="shared" ref="Z165:AA165" si="1347">Z163+Z161+Z157+Z140+Z138+Z164</f>
        <v>196.06649999999999</v>
      </c>
      <c r="AA165" s="26">
        <f t="shared" si="1347"/>
        <v>252.18790000000001</v>
      </c>
      <c r="AB165" s="27">
        <f t="shared" ref="AA165:AD165" si="1348">AB163+AB161+AB157+AB140+AB138+AB164</f>
        <v>288.41843223375156</v>
      </c>
      <c r="AC165" s="27">
        <f t="shared" si="1348"/>
        <v>331.70651133501929</v>
      </c>
      <c r="AD165" s="27">
        <f t="shared" si="1348"/>
        <v>382.52351693727718</v>
      </c>
      <c r="AE165" s="27">
        <f t="shared" ref="AE165" si="1349">AE163+AE161+AE157+AE140+AE138+AE164</f>
        <v>441.78516642039915</v>
      </c>
      <c r="AJ165" s="26">
        <f t="shared" ref="AJ165" si="1350">AJ163+AJ161+AJ157+AJ140+AJ138+AJ164</f>
        <v>58.884999999999991</v>
      </c>
      <c r="AK165" s="26">
        <f t="shared" ref="AK165:AL165" si="1351">AK163+AK161+AK157+AK140+AK138+AK164</f>
        <v>58.554999999999993</v>
      </c>
      <c r="AL165" s="26">
        <f t="shared" si="1351"/>
        <v>50.109000000000002</v>
      </c>
      <c r="AM165" s="26">
        <f t="shared" ref="AM165:AO165" si="1352">AM163+AM161+AM157+AM140+AM138+AM164</f>
        <v>49.869</v>
      </c>
      <c r="AN165" s="26">
        <f t="shared" si="1352"/>
        <v>63.7</v>
      </c>
      <c r="AO165" s="26">
        <f t="shared" si="1352"/>
        <v>65.320000000000007</v>
      </c>
      <c r="AP165" s="26">
        <f t="shared" ref="AP165:CE165" si="1353">AP163+AP161+AP157+AP140+AP138+AP164</f>
        <v>77.110000000000014</v>
      </c>
      <c r="AQ165" s="26">
        <f t="shared" si="1353"/>
        <v>77.140000000000015</v>
      </c>
      <c r="AR165" s="26">
        <f t="shared" si="1353"/>
        <v>86.55</v>
      </c>
      <c r="AS165" s="26">
        <f t="shared" si="1353"/>
        <v>84.46</v>
      </c>
      <c r="AT165" s="26">
        <f t="shared" si="1353"/>
        <v>92.11999999999999</v>
      </c>
      <c r="AU165" s="26">
        <f t="shared" si="1353"/>
        <v>92.97999999999999</v>
      </c>
      <c r="AV165" s="26">
        <f t="shared" si="1353"/>
        <v>128.94</v>
      </c>
      <c r="AW165" s="26">
        <f t="shared" si="1353"/>
        <v>127.36000000000001</v>
      </c>
      <c r="AX165" s="26">
        <f t="shared" si="1353"/>
        <v>117.81</v>
      </c>
      <c r="AY165" s="26">
        <f t="shared" si="1353"/>
        <v>117.13</v>
      </c>
      <c r="AZ165" s="26">
        <f t="shared" si="1353"/>
        <v>115.61999999999999</v>
      </c>
      <c r="BA165" s="26">
        <f t="shared" si="1353"/>
        <v>112.96</v>
      </c>
      <c r="BB165" s="26">
        <f t="shared" si="1353"/>
        <v>92.050000000000011</v>
      </c>
      <c r="BC165" s="26">
        <f t="shared" si="1353"/>
        <v>91.110000000000014</v>
      </c>
      <c r="BD165" s="26">
        <f t="shared" si="1353"/>
        <v>103.7</v>
      </c>
      <c r="BE165" s="26">
        <f t="shared" si="1353"/>
        <v>104.03</v>
      </c>
      <c r="BF165" s="26">
        <f t="shared" si="1353"/>
        <v>116.2</v>
      </c>
      <c r="BG165" s="26">
        <f t="shared" si="1353"/>
        <v>116.66999999999999</v>
      </c>
      <c r="BH165" s="26">
        <f t="shared" ref="BH165" si="1354">BH163+BH161+BH157+BH140+BH138+BH164</f>
        <v>109.83999999999999</v>
      </c>
      <c r="BI165" s="26">
        <f t="shared" si="1353"/>
        <v>106.96</v>
      </c>
      <c r="BJ165" s="26">
        <f t="shared" si="1353"/>
        <v>94.88000000000001</v>
      </c>
      <c r="BK165" s="26">
        <f t="shared" si="1353"/>
        <v>94.45</v>
      </c>
      <c r="BL165" s="26">
        <f t="shared" si="1353"/>
        <v>125.69999999999999</v>
      </c>
      <c r="BM165" s="26">
        <f t="shared" si="1353"/>
        <v>124.57999999999998</v>
      </c>
      <c r="BN165" s="26">
        <f t="shared" si="1353"/>
        <v>121.16999999999999</v>
      </c>
      <c r="BO165" s="26">
        <f t="shared" si="1353"/>
        <v>121.97999999999999</v>
      </c>
      <c r="BP165" s="26">
        <f t="shared" si="1353"/>
        <v>114.10000000000001</v>
      </c>
      <c r="BQ165" s="26">
        <f t="shared" si="1353"/>
        <v>118.04000000000002</v>
      </c>
      <c r="BR165" s="26">
        <f t="shared" si="1353"/>
        <v>113.94</v>
      </c>
      <c r="BS165" s="26">
        <f t="shared" si="1353"/>
        <v>130.26000000000002</v>
      </c>
      <c r="BT165" s="26">
        <f t="shared" si="1353"/>
        <v>110.63999999999999</v>
      </c>
      <c r="BU165" s="26">
        <f t="shared" si="1353"/>
        <v>114.42999999999999</v>
      </c>
      <c r="BV165" s="26">
        <f t="shared" si="1353"/>
        <v>132.21</v>
      </c>
      <c r="BW165" s="26">
        <f t="shared" si="1353"/>
        <v>136.03</v>
      </c>
      <c r="BX165" s="26">
        <f t="shared" si="1353"/>
        <v>145.01999999999998</v>
      </c>
      <c r="BY165" s="26">
        <f t="shared" si="1353"/>
        <v>146.01999999999998</v>
      </c>
      <c r="BZ165" s="26">
        <f t="shared" si="1353"/>
        <v>143.11999999999998</v>
      </c>
      <c r="CA165" s="26">
        <f t="shared" si="1353"/>
        <v>146.95999999999998</v>
      </c>
      <c r="CB165" s="26">
        <f t="shared" si="1353"/>
        <v>151.26</v>
      </c>
      <c r="CC165" s="26">
        <f t="shared" si="1353"/>
        <v>156.38999999999999</v>
      </c>
      <c r="CD165" s="26">
        <f t="shared" si="1353"/>
        <v>167.66</v>
      </c>
      <c r="CE165" s="26">
        <f t="shared" si="1353"/>
        <v>171.67</v>
      </c>
      <c r="CF165" s="26">
        <f t="shared" ref="CF165:CG165" si="1355">CF163+CF161+CF157+CF140+CF138+CF164</f>
        <v>190.07999999999998</v>
      </c>
      <c r="CG165" s="26">
        <f t="shared" si="1355"/>
        <v>191.71</v>
      </c>
      <c r="CH165" s="26">
        <f t="shared" ref="CH165:CI165" si="1356">CH163+CH161+CH157+CH140+CH138+CH164</f>
        <v>196.06649999999999</v>
      </c>
      <c r="CI165" s="26">
        <f t="shared" si="1356"/>
        <v>202.88650000000001</v>
      </c>
      <c r="CJ165" s="26">
        <f t="shared" ref="CJ165:DB165" si="1357">CJ163+CJ161+CJ157+CJ140+CJ138+CJ164</f>
        <v>195.44</v>
      </c>
      <c r="CK165" s="27">
        <f t="shared" si="1357"/>
        <v>200.32999999999998</v>
      </c>
      <c r="CL165" s="26">
        <f t="shared" ref="CL165" si="1358">CL163+CL161+CL157+CL140+CL138+CL164</f>
        <v>252.17999999999998</v>
      </c>
      <c r="CM165" s="27">
        <f t="shared" si="1357"/>
        <v>261.90389250247915</v>
      </c>
      <c r="CN165" s="27">
        <f t="shared" si="1357"/>
        <v>272.14914395589108</v>
      </c>
      <c r="CO165" s="27">
        <f t="shared" si="1357"/>
        <v>279.28978433470638</v>
      </c>
      <c r="CP165" s="27">
        <f t="shared" si="1357"/>
        <v>288.41843223375156</v>
      </c>
      <c r="CQ165" s="27">
        <f t="shared" si="1357"/>
        <v>300.46524917262263</v>
      </c>
      <c r="CR165" s="27">
        <f t="shared" si="1357"/>
        <v>312.8134465896436</v>
      </c>
      <c r="CS165" s="27">
        <f t="shared" si="1357"/>
        <v>321.40911384517096</v>
      </c>
      <c r="CT165" s="27">
        <f t="shared" si="1357"/>
        <v>331.70651133501929</v>
      </c>
      <c r="CU165" s="27">
        <f t="shared" si="1357"/>
        <v>345.96796847202336</v>
      </c>
      <c r="CV165" s="27">
        <f t="shared" si="1357"/>
        <v>360.43774969294509</v>
      </c>
      <c r="CW165" s="27">
        <f t="shared" si="1357"/>
        <v>370.53469898573712</v>
      </c>
      <c r="CX165" s="27">
        <f t="shared" si="1357"/>
        <v>382.52351693727724</v>
      </c>
      <c r="CY165" s="27">
        <f t="shared" si="1357"/>
        <v>399.16319296687436</v>
      </c>
      <c r="CZ165" s="27">
        <f t="shared" si="1357"/>
        <v>415.99493449811052</v>
      </c>
      <c r="DA165" s="27">
        <f t="shared" si="1357"/>
        <v>427.80839773886748</v>
      </c>
      <c r="DB165" s="27">
        <f t="shared" si="1357"/>
        <v>441.78516642039915</v>
      </c>
      <c r="DE165" s="121"/>
      <c r="DF165" s="26">
        <v>209.82153592233749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14.3770931</v>
      </c>
      <c r="F168" s="22">
        <f t="shared" si="1374"/>
        <v>14.960769000000001</v>
      </c>
      <c r="G168" s="22">
        <f t="shared" si="1374"/>
        <v>22.608240899999998</v>
      </c>
      <c r="H168" s="22">
        <f t="shared" si="1374"/>
        <v>24.505700000000001</v>
      </c>
      <c r="I168" s="22">
        <f t="shared" si="1374"/>
        <v>25.766199999999998</v>
      </c>
      <c r="J168" s="22">
        <f t="shared" si="1374"/>
        <v>28.762</v>
      </c>
      <c r="K168" s="22">
        <f t="shared" si="1374"/>
        <v>30.933499999999999</v>
      </c>
      <c r="L168" s="22">
        <f t="shared" si="1374"/>
        <v>39.449500000000008</v>
      </c>
      <c r="M168" s="22">
        <f t="shared" si="1374"/>
        <v>42.557200000000002</v>
      </c>
      <c r="N168" s="22">
        <f t="shared" si="1374"/>
        <v>43.253700000000002</v>
      </c>
      <c r="O168" s="22">
        <f t="shared" si="1374"/>
        <v>53.528999999999996</v>
      </c>
      <c r="P168" s="22">
        <f t="shared" si="1374"/>
        <v>74.582799999999992</v>
      </c>
      <c r="Q168" s="22">
        <f t="shared" si="1374"/>
        <v>99.257599999999996</v>
      </c>
      <c r="R168" s="22">
        <f t="shared" si="1374"/>
        <v>98.306699999999992</v>
      </c>
      <c r="S168" s="22">
        <f t="shared" si="1374"/>
        <v>107.45309999999999</v>
      </c>
      <c r="T168" s="22">
        <f t="shared" si="1374"/>
        <v>103.8905</v>
      </c>
      <c r="U168" s="22">
        <f t="shared" si="1374"/>
        <v>108.2959</v>
      </c>
      <c r="V168" s="22">
        <f t="shared" si="1374"/>
        <v>84.228500000000011</v>
      </c>
      <c r="W168" s="22">
        <f t="shared" si="1374"/>
        <v>72.699900000000014</v>
      </c>
      <c r="X168" s="22">
        <f t="shared" ref="X168:Y168" si="1375">X128-X161</f>
        <v>75.334400000000002</v>
      </c>
      <c r="Y168" s="22">
        <f t="shared" si="1375"/>
        <v>84.869</v>
      </c>
      <c r="Z168" s="22">
        <f t="shared" ref="Z168:AA168" si="1376">Z128-Z161</f>
        <v>96.654899999999998</v>
      </c>
      <c r="AA168" s="22">
        <f t="shared" si="1376"/>
        <v>-14.132300000000001</v>
      </c>
      <c r="AB168" s="21">
        <f t="shared" ref="AA168:AD168" si="1377">AB128-AB161</f>
        <v>-39.622912955486797</v>
      </c>
      <c r="AC168" s="21">
        <f t="shared" si="1377"/>
        <v>-69.285440021540722</v>
      </c>
      <c r="AD168" s="21">
        <f t="shared" si="1377"/>
        <v>-104.39990676660507</v>
      </c>
      <c r="AE168" s="21">
        <f t="shared" ref="AE168" si="1378">AE128-AE161</f>
        <v>-145.70450689190164</v>
      </c>
      <c r="AJ168" s="22">
        <f t="shared" ref="AJ168:AM168" si="1379">AJ128-AJ161</f>
        <v>35.220999999999997</v>
      </c>
      <c r="AK168" s="22">
        <f t="shared" si="1379"/>
        <v>32.877152919020702</v>
      </c>
      <c r="AL168" s="22">
        <f t="shared" si="1379"/>
        <v>28.132999999999999</v>
      </c>
      <c r="AM168" s="22">
        <f t="shared" si="1379"/>
        <v>28.450149719948307</v>
      </c>
      <c r="AN168" s="22">
        <f t="shared" ref="AN168:AO168" si="1380">AN128-AN161</f>
        <v>41.29</v>
      </c>
      <c r="AO168" s="22">
        <f t="shared" si="1380"/>
        <v>40.242038607780053</v>
      </c>
      <c r="AP168" s="22">
        <f t="shared" ref="AP168:CE168" si="1381">AP128-AP161</f>
        <v>53.330000000000005</v>
      </c>
      <c r="AQ168" s="22">
        <f t="shared" si="1381"/>
        <v>48.198381629305622</v>
      </c>
      <c r="AR168" s="22">
        <f t="shared" si="1381"/>
        <v>61.66</v>
      </c>
      <c r="AS168" s="22">
        <f t="shared" si="1381"/>
        <v>58.40617851739789</v>
      </c>
      <c r="AT168" s="22">
        <f t="shared" si="1381"/>
        <v>74.299999999999983</v>
      </c>
      <c r="AU168" s="22">
        <f t="shared" si="1381"/>
        <v>77.673543250090475</v>
      </c>
      <c r="AV168" s="22">
        <f t="shared" si="1381"/>
        <v>110.35</v>
      </c>
      <c r="AW168" s="22">
        <f t="shared" si="1381"/>
        <v>107.72023885742426</v>
      </c>
      <c r="AX168" s="22">
        <f t="shared" si="1381"/>
        <v>98.889999999999986</v>
      </c>
      <c r="AY168" s="22">
        <f t="shared" si="1381"/>
        <v>101.16119208494207</v>
      </c>
      <c r="AZ168" s="22">
        <f t="shared" si="1381"/>
        <v>98.73</v>
      </c>
      <c r="BA168" s="22">
        <f t="shared" si="1381"/>
        <v>103.30009193054138</v>
      </c>
      <c r="BB168" s="22">
        <f t="shared" si="1381"/>
        <v>80.970000000000013</v>
      </c>
      <c r="BC168" s="22">
        <f t="shared" si="1381"/>
        <v>79.622091930541373</v>
      </c>
      <c r="BD168" s="22">
        <f t="shared" si="1381"/>
        <v>88</v>
      </c>
      <c r="BE168" s="22">
        <f t="shared" si="1381"/>
        <v>90.288496276723507</v>
      </c>
      <c r="BF168" s="22">
        <f t="shared" si="1381"/>
        <v>102.47999999999999</v>
      </c>
      <c r="BG168" s="22">
        <f t="shared" si="1381"/>
        <v>101.14724437425977</v>
      </c>
      <c r="BH168" s="22">
        <f t="shared" si="1381"/>
        <v>95.23</v>
      </c>
      <c r="BI168" s="22">
        <f t="shared" si="1381"/>
        <v>87.219244011976045</v>
      </c>
      <c r="BJ168" s="22">
        <f t="shared" si="1381"/>
        <v>81.740000000000009</v>
      </c>
      <c r="BK168" s="22">
        <f t="shared" si="1381"/>
        <v>81.888691394040436</v>
      </c>
      <c r="BL168" s="22">
        <f t="shared" si="1381"/>
        <v>113.53999999999999</v>
      </c>
      <c r="BM168" s="22">
        <f t="shared" si="1381"/>
        <v>111.02831877264011</v>
      </c>
      <c r="BN168" s="22">
        <f t="shared" si="1381"/>
        <v>108.3</v>
      </c>
      <c r="BO168" s="22">
        <f t="shared" si="1381"/>
        <v>102.9334360348292</v>
      </c>
      <c r="BP168" s="22">
        <f t="shared" si="1381"/>
        <v>90.64</v>
      </c>
      <c r="BQ168" s="22">
        <f t="shared" si="1381"/>
        <v>86.634056952662718</v>
      </c>
      <c r="BR168" s="22">
        <f t="shared" si="1381"/>
        <v>84.23</v>
      </c>
      <c r="BS168" s="22">
        <f t="shared" si="1381"/>
        <v>73.781326885880048</v>
      </c>
      <c r="BT168" s="22">
        <f t="shared" si="1381"/>
        <v>60.429999999999993</v>
      </c>
      <c r="BU168" s="22">
        <f t="shared" si="1381"/>
        <v>56.252459938629414</v>
      </c>
      <c r="BV168" s="22">
        <f t="shared" si="1381"/>
        <v>72.699999999999989</v>
      </c>
      <c r="BW168" s="22">
        <f t="shared" si="1381"/>
        <v>66.600737189091987</v>
      </c>
      <c r="BX168" s="22">
        <f t="shared" si="1381"/>
        <v>77.47999999999999</v>
      </c>
      <c r="BY168" s="22">
        <f t="shared" si="1381"/>
        <v>66.126127077831271</v>
      </c>
      <c r="BZ168" s="22">
        <f t="shared" si="1381"/>
        <v>75.34</v>
      </c>
      <c r="CA168" s="22">
        <f t="shared" si="1381"/>
        <v>71.674649413180887</v>
      </c>
      <c r="CB168" s="22">
        <f t="shared" si="1381"/>
        <v>70.89</v>
      </c>
      <c r="CC168" s="22">
        <f t="shared" si="1381"/>
        <v>65.183005456198828</v>
      </c>
      <c r="CD168" s="22">
        <f t="shared" si="1381"/>
        <v>84.87</v>
      </c>
      <c r="CE168" s="22">
        <f t="shared" si="1381"/>
        <v>76.386858412253005</v>
      </c>
      <c r="CF168" s="22">
        <f t="shared" ref="CF168:CG168" si="1382">CF128-CF161</f>
        <v>95.300000000000011</v>
      </c>
      <c r="CG168" s="22">
        <f t="shared" si="1382"/>
        <v>88.837043375309435</v>
      </c>
      <c r="CH168" s="22">
        <f t="shared" ref="CH168:CI168" si="1383">CH128-CH161</f>
        <v>96.654899999999998</v>
      </c>
      <c r="CI168" s="22">
        <f t="shared" si="1383"/>
        <v>88.381712483002445</v>
      </c>
      <c r="CJ168" s="22">
        <f t="shared" ref="CJ168:DB168" si="1384">CJ128-CJ161</f>
        <v>86.940000000000012</v>
      </c>
      <c r="CK168" s="21">
        <f t="shared" si="1384"/>
        <v>73.416712418300648</v>
      </c>
      <c r="CL168" s="22">
        <f t="shared" ref="CL168" si="1385">CL128-CL161</f>
        <v>-14.14</v>
      </c>
      <c r="CM168" s="21">
        <f t="shared" si="1384"/>
        <v>-0.96204989724894396</v>
      </c>
      <c r="CN168" s="21">
        <f t="shared" si="1384"/>
        <v>-8.7605817877341519</v>
      </c>
      <c r="CO168" s="21">
        <f t="shared" si="1384"/>
        <v>-43.356964778959892</v>
      </c>
      <c r="CP168" s="21">
        <f t="shared" si="1384"/>
        <v>-39.622912955486797</v>
      </c>
      <c r="CQ168" s="21">
        <f t="shared" si="1384"/>
        <v>-22.284413993721987</v>
      </c>
      <c r="CR168" s="21">
        <f t="shared" si="1384"/>
        <v>-33.53493774601619</v>
      </c>
      <c r="CS168" s="21">
        <f t="shared" si="1384"/>
        <v>-73.964158428756946</v>
      </c>
      <c r="CT168" s="21">
        <f t="shared" si="1384"/>
        <v>-69.285440021540722</v>
      </c>
      <c r="CU168" s="21">
        <f t="shared" si="1384"/>
        <v>-49.472023859846573</v>
      </c>
      <c r="CV168" s="21">
        <f t="shared" si="1384"/>
        <v>-63.108656764448114</v>
      </c>
      <c r="CW168" s="21">
        <f t="shared" si="1384"/>
        <v>-109.63000245925404</v>
      </c>
      <c r="CX168" s="21">
        <f t="shared" si="1384"/>
        <v>-104.39990676660507</v>
      </c>
      <c r="CY168" s="21">
        <f t="shared" si="1384"/>
        <v>-82.013137103619442</v>
      </c>
      <c r="CZ168" s="21">
        <f t="shared" si="1384"/>
        <v>-97.979390123687082</v>
      </c>
      <c r="DA168" s="21">
        <f t="shared" si="1384"/>
        <v>-151.44434811886151</v>
      </c>
      <c r="DB168" s="21">
        <f t="shared" si="1384"/>
        <v>-145.70450689190164</v>
      </c>
      <c r="DE168" s="126"/>
      <c r="DF168" s="22">
        <v>79.081502207148645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1.0303</v>
      </c>
      <c r="F170" s="49">
        <f>'Annual Raw'!G85</f>
        <v>2.2496999999999998</v>
      </c>
      <c r="G170" s="49">
        <f>'Annual Raw'!H85</f>
        <v>2.4243999999999999</v>
      </c>
      <c r="H170" s="49">
        <f>'Annual Raw'!I85</f>
        <v>4.0762999999999998</v>
      </c>
      <c r="I170" s="49">
        <f>'Annual Raw'!J85</f>
        <v>3.6684999999999999</v>
      </c>
      <c r="J170" s="49">
        <f>'Annual Raw'!K85</f>
        <v>3.7791999999999999</v>
      </c>
      <c r="K170" s="49">
        <f>'Annual Raw'!L85</f>
        <v>4.2962999999999996</v>
      </c>
      <c r="L170" s="49">
        <f>'Annual Raw'!M85</f>
        <v>3.6836000000000002</v>
      </c>
      <c r="M170" s="49">
        <f>'Annual Raw'!N85</f>
        <v>3.9836999999999998</v>
      </c>
      <c r="N170" s="49">
        <f>'Annual Raw'!O85</f>
        <v>4.0514000000000001</v>
      </c>
      <c r="O170" s="49">
        <f>'Annual Raw'!P85</f>
        <v>14.120200000000001</v>
      </c>
      <c r="P170" s="49">
        <f>'Annual Raw'!Q85</f>
        <v>13.7461</v>
      </c>
      <c r="Q170" s="49">
        <f>'Annual Raw'!R85</f>
        <v>24.1995</v>
      </c>
      <c r="R170" s="49">
        <f>'Annual Raw'!S85</f>
        <v>15.8576</v>
      </c>
      <c r="S170" s="49">
        <f>'Annual Raw'!T85</f>
        <v>15.261799999999999</v>
      </c>
      <c r="T170" s="49">
        <f>'Annual Raw'!U85</f>
        <v>13.8408</v>
      </c>
      <c r="U170" s="49">
        <f>'Annual Raw'!V85</f>
        <v>10.478199999999999</v>
      </c>
      <c r="V170" s="49">
        <f>'Annual Raw'!W85</f>
        <v>6.4875999999999996</v>
      </c>
      <c r="W170" s="49">
        <f>'Annual Raw'!X85</f>
        <v>5.8121</v>
      </c>
      <c r="X170" s="49">
        <f>'Annual Raw'!Y85</f>
        <v>5.0876000000000001</v>
      </c>
      <c r="Y170" s="49">
        <f>'Annual Raw'!Z85</f>
        <v>4.6756000000000002</v>
      </c>
      <c r="Z170" s="49">
        <f>'Annual Raw'!AA85</f>
        <v>16.802800000000001</v>
      </c>
      <c r="AA170" s="49">
        <f>'Annual Raw'!AB85</f>
        <v>16.620699999999999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0.47549999999999998</v>
      </c>
      <c r="F171" s="29">
        <f>'Annual Raw'!G95</f>
        <v>1.5969</v>
      </c>
      <c r="G171" s="29">
        <f>'Annual Raw'!H95</f>
        <v>1.1994</v>
      </c>
      <c r="H171" s="29">
        <f>'Annual Raw'!I95</f>
        <v>2.5442</v>
      </c>
      <c r="I171" s="29">
        <f>'Annual Raw'!J95</f>
        <v>2.4897</v>
      </c>
      <c r="J171" s="29">
        <f>'Annual Raw'!K95</f>
        <v>3.0929000000000002</v>
      </c>
      <c r="K171" s="29">
        <f>'Annual Raw'!L95</f>
        <v>3.0598000000000001</v>
      </c>
      <c r="L171" s="29">
        <f>'Annual Raw'!M95</f>
        <v>2.4470999999999998</v>
      </c>
      <c r="M171" s="29">
        <f>'Annual Raw'!N95</f>
        <v>2.7269999999999999</v>
      </c>
      <c r="N171" s="29">
        <f>'Annual Raw'!O95</f>
        <v>2.7947000000000002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1.9</v>
      </c>
      <c r="S171" s="29">
        <f>'Annual Raw'!T95</f>
        <v>1.4551000000000001</v>
      </c>
      <c r="T171" s="29">
        <f>'Annual Raw'!U95</f>
        <v>1.4</v>
      </c>
      <c r="U171" s="29">
        <f>'Annual Raw'!V95</f>
        <v>1.41</v>
      </c>
      <c r="V171" s="29">
        <f>'Annual Raw'!W95</f>
        <v>1.4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0.55479999999999996</v>
      </c>
      <c r="F172" s="29">
        <f>'Annual Raw'!G93</f>
        <v>0.65280000000000005</v>
      </c>
      <c r="G172" s="29">
        <f>'Annual Raw'!H93</f>
        <v>1.0185999999999999</v>
      </c>
      <c r="H172" s="29">
        <f>'Annual Raw'!I93</f>
        <v>1.5321</v>
      </c>
      <c r="I172" s="29">
        <f>'Annual Raw'!J93</f>
        <v>1.1788000000000001</v>
      </c>
      <c r="J172" s="29">
        <f>'Annual Raw'!K93</f>
        <v>0.68630000000000002</v>
      </c>
      <c r="K172" s="29">
        <f>'Annual Raw'!L93</f>
        <v>1.2364999999999999</v>
      </c>
      <c r="L172" s="29">
        <f>'Annual Raw'!M93</f>
        <v>1.2364999999999999</v>
      </c>
      <c r="M172" s="29">
        <f>'Annual Raw'!N93</f>
        <v>1.2566999999999999</v>
      </c>
      <c r="N172" s="29">
        <f>'Annual Raw'!O93</f>
        <v>1.2566999999999999</v>
      </c>
      <c r="O172" s="29">
        <f>'Annual Raw'!P93</f>
        <v>14.120200000000001</v>
      </c>
      <c r="P172" s="29">
        <f>'Annual Raw'!Q93</f>
        <v>13.7461</v>
      </c>
      <c r="Q172" s="29">
        <f>'Annual Raw'!R93</f>
        <v>24.1995</v>
      </c>
      <c r="R172" s="29">
        <f>'Annual Raw'!S93</f>
        <v>13.957599999999999</v>
      </c>
      <c r="S172" s="29">
        <f>'Annual Raw'!T93</f>
        <v>13.806699999999999</v>
      </c>
      <c r="T172" s="29">
        <f>'Annual Raw'!U93</f>
        <v>12.440799999999999</v>
      </c>
      <c r="U172" s="29">
        <f>'Annual Raw'!V93</f>
        <v>9.0681999999999992</v>
      </c>
      <c r="V172" s="29">
        <f>'Annual Raw'!W93</f>
        <v>5.0876000000000001</v>
      </c>
      <c r="W172" s="29">
        <f>'Annual Raw'!X93</f>
        <v>5.8121</v>
      </c>
      <c r="X172" s="29">
        <f>'Annual Raw'!Y93</f>
        <v>5.0876000000000001</v>
      </c>
      <c r="Y172" s="29">
        <f>'Annual Raw'!Z93</f>
        <v>4.6756000000000002</v>
      </c>
      <c r="Z172" s="29">
        <f>'Annual Raw'!AA93</f>
        <v>16.802800000000001</v>
      </c>
      <c r="AA172" s="29">
        <f>'Annual Raw'!AB93</f>
        <v>16.620699999999999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0.20639999999999992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>
        <f t="shared" si="1392"/>
        <v>0.55205371429594075</v>
      </c>
      <c r="F175" s="95">
        <f t="shared" si="1392"/>
        <v>1.9958569356405567</v>
      </c>
      <c r="G175" s="95">
        <f t="shared" si="1392"/>
        <v>0.48822231135687183</v>
      </c>
      <c r="H175" s="95">
        <f t="shared" si="1392"/>
        <v>0.52849734214961752</v>
      </c>
      <c r="I175" s="95">
        <f t="shared" si="1392"/>
        <v>0.32035384319821159</v>
      </c>
      <c r="J175" s="95">
        <f t="shared" si="1392"/>
        <v>0.25010919776045321</v>
      </c>
      <c r="K175" s="95">
        <f t="shared" si="1392"/>
        <v>0.23799842674968699</v>
      </c>
      <c r="L175" s="95">
        <f t="shared" si="1392"/>
        <v>0.18839341881172419</v>
      </c>
      <c r="M175" s="95">
        <f t="shared" si="1392"/>
        <v>0.19322966182262666</v>
      </c>
      <c r="N175" s="95">
        <f t="shared" si="1392"/>
        <v>0.18879988070106762</v>
      </c>
      <c r="O175" s="95">
        <f t="shared" si="1392"/>
        <v>0.670662721275191</v>
      </c>
      <c r="P175" s="95">
        <f t="shared" si="1392"/>
        <v>0.77897916277066581</v>
      </c>
      <c r="Q175" s="95">
        <f t="shared" si="1392"/>
        <v>1.4403778391505169</v>
      </c>
      <c r="R175" s="95">
        <f t="shared" si="1392"/>
        <v>1.611823180834087</v>
      </c>
      <c r="S175" s="95">
        <f t="shared" si="1392"/>
        <v>1.3762015545816875</v>
      </c>
      <c r="T175" s="95">
        <f t="shared" si="1392"/>
        <v>1.2280773360070272</v>
      </c>
      <c r="U175" s="95">
        <f t="shared" si="1392"/>
        <v>0.88636056033024291</v>
      </c>
      <c r="V175" s="95">
        <f t="shared" si="1392"/>
        <v>0.2481629530458066</v>
      </c>
      <c r="W175" s="95">
        <f t="shared" si="1392"/>
        <v>0.10828883481578919</v>
      </c>
      <c r="X175" s="95">
        <f t="shared" ref="X175:Y175" si="1393">X170/X120</f>
        <v>7.7086250053031269E-2</v>
      </c>
      <c r="Y175" s="95">
        <f t="shared" si="1393"/>
        <v>5.6887560804086135E-2</v>
      </c>
      <c r="Z175" s="95">
        <f t="shared" ref="Z175:AA175" si="1394">Z170/Z120</f>
        <v>0.17559876516115819</v>
      </c>
      <c r="AA175" s="95">
        <f t="shared" si="1394"/>
        <v>6.5906016902476286E-2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>
        <f t="shared" si="1397"/>
        <v>40.120687388330971</v>
      </c>
      <c r="F179" s="67">
        <f t="shared" si="1397"/>
        <v>55.376461911039989</v>
      </c>
      <c r="G179" s="67">
        <f t="shared" si="1397"/>
        <v>53.255176858460146</v>
      </c>
      <c r="H179" s="67">
        <f t="shared" si="1397"/>
        <v>48.289502250073035</v>
      </c>
      <c r="I179" s="67">
        <f t="shared" si="1397"/>
        <v>40.800315686406911</v>
      </c>
      <c r="J179" s="67">
        <f t="shared" si="1397"/>
        <v>25.173480104527727</v>
      </c>
      <c r="K179" s="67">
        <f t="shared" si="1397"/>
        <v>39.937583177089074</v>
      </c>
      <c r="L179" s="67">
        <f t="shared" si="1397"/>
        <v>40.882155877310332</v>
      </c>
      <c r="M179" s="67">
        <f t="shared" si="1397"/>
        <v>36.694136401785848</v>
      </c>
      <c r="N179" s="67">
        <f t="shared" si="1397"/>
        <v>37.216839343957425</v>
      </c>
      <c r="O179" s="67">
        <f t="shared" si="1397"/>
        <v>35.823282601860143</v>
      </c>
      <c r="P179" s="67">
        <f t="shared" si="1397"/>
        <v>58.284881256299869</v>
      </c>
      <c r="Q179" s="67">
        <f t="shared" si="1397"/>
        <v>63.699869679143241</v>
      </c>
      <c r="R179" s="67">
        <f t="shared" si="1397"/>
        <v>46.860244894415771</v>
      </c>
      <c r="S179" s="67">
        <f t="shared" si="1397"/>
        <v>61.763283902890848</v>
      </c>
      <c r="T179" s="67">
        <f t="shared" si="1397"/>
        <v>53.033322965485617</v>
      </c>
      <c r="U179" s="67">
        <f t="shared" si="1397"/>
        <v>57.897716667016418</v>
      </c>
      <c r="V179" s="67">
        <f t="shared" si="1397"/>
        <v>47.943145614138416</v>
      </c>
      <c r="W179" s="67">
        <f t="shared" si="1397"/>
        <v>43.976507371594423</v>
      </c>
      <c r="X179" s="67">
        <f t="shared" si="1397"/>
        <v>54.242376205262303</v>
      </c>
      <c r="Y179" s="67">
        <f t="shared" si="1397"/>
        <v>55.742038652614156</v>
      </c>
      <c r="Z179" s="67">
        <f t="shared" si="1397"/>
        <v>56.888024378695377</v>
      </c>
      <c r="AA179" s="67">
        <f t="shared" ref="AA179" si="1398">AA144/AA8*365</f>
        <v>42.920061989567557</v>
      </c>
      <c r="AB179" s="18">
        <f t="shared" si="1397"/>
        <v>41.619188917130444</v>
      </c>
      <c r="AC179" s="18">
        <f t="shared" si="1397"/>
        <v>41.455704198539998</v>
      </c>
      <c r="AD179" s="18">
        <f t="shared" si="1397"/>
        <v>41.441613291074127</v>
      </c>
      <c r="AE179" s="18">
        <f t="shared" si="1397"/>
        <v>41.441813562149022</v>
      </c>
      <c r="AI179" s="67">
        <f>AJ144/AI8*90</f>
        <v>34.089938967311937</v>
      </c>
      <c r="AJ179" s="67">
        <f>AJ144/AJ8*90</f>
        <v>34.291525423728814</v>
      </c>
      <c r="AK179" s="67">
        <f t="shared" ref="AK179:CE179" si="1399">+AJ179</f>
        <v>34.291525423728814</v>
      </c>
      <c r="AL179" s="67">
        <f>AL144/AL8*90</f>
        <v>36.850495476087893</v>
      </c>
      <c r="AM179" s="67">
        <f t="shared" ref="AM179:AM180" si="1400">+AL179</f>
        <v>36.850495476087893</v>
      </c>
      <c r="AN179" s="67">
        <f>AN144/AN8*90</f>
        <v>46.013454226381988</v>
      </c>
      <c r="AO179" s="67">
        <f t="shared" ref="AO179:AO180" si="1401">+AN179</f>
        <v>46.013454226381988</v>
      </c>
      <c r="AP179" s="67">
        <f>AP144/AP8*90</f>
        <v>33.952979770366326</v>
      </c>
      <c r="AQ179" s="67">
        <f t="shared" ref="AQ179:AQ180" si="1402">+AP179</f>
        <v>33.952979770366326</v>
      </c>
      <c r="AR179" s="67">
        <f>AR144/AR8*90</f>
        <v>71.373676248108936</v>
      </c>
      <c r="AS179" s="67">
        <f t="shared" ref="AS179:AS180" si="1403">+AR179</f>
        <v>71.373676248108936</v>
      </c>
      <c r="AT179" s="67">
        <f>AT144/AT8*90</f>
        <v>66.254071661237788</v>
      </c>
      <c r="AU179" s="67">
        <f t="shared" ref="AU179:AU180" si="1404">+AT179</f>
        <v>66.254071661237788</v>
      </c>
      <c r="AV179" s="67">
        <f>AV144/AV8*90</f>
        <v>81.290322580645153</v>
      </c>
      <c r="AW179" s="67">
        <f t="shared" ref="AW179:AW180" si="1405">+AV179</f>
        <v>81.290322580645153</v>
      </c>
      <c r="AX179" s="67">
        <f>AX144/AX8*90</f>
        <v>60.094111969111978</v>
      </c>
      <c r="AY179" s="67">
        <f t="shared" ref="AY179:AY180" si="1406">+AX179</f>
        <v>60.094111969111978</v>
      </c>
      <c r="AZ179" s="67">
        <f>AZ144/AZ8*90</f>
        <v>69.982124616956071</v>
      </c>
      <c r="BA179" s="67">
        <f t="shared" ref="BA179:BA180" si="1407">+AZ179</f>
        <v>69.982124616956071</v>
      </c>
      <c r="BB179" s="67">
        <f>BB144/BB8*90</f>
        <v>41.331971399387129</v>
      </c>
      <c r="BC179" s="67">
        <f t="shared" ref="BC179:BC180" si="1408">+BB179</f>
        <v>41.331971399387129</v>
      </c>
      <c r="BD179" s="67">
        <f>BD144/BD8*90</f>
        <v>64.965169349027136</v>
      </c>
      <c r="BE179" s="67">
        <f t="shared" ref="BE179:BE180" si="1409">+BD179</f>
        <v>64.965169349027136</v>
      </c>
      <c r="BF179" s="67">
        <f>BF144/BF8*90</f>
        <v>55.694828266877231</v>
      </c>
      <c r="BG179" s="67">
        <f t="shared" ref="BG179:BG180" si="1410">+BF179</f>
        <v>55.694828266877231</v>
      </c>
      <c r="BH179" s="67">
        <f>BH144/BH8*90</f>
        <v>48.233532934131745</v>
      </c>
      <c r="BI179" s="67">
        <f t="shared" ref="BI179:BI180" si="1411">+BH179</f>
        <v>48.233532934131745</v>
      </c>
      <c r="BJ179" s="67">
        <f>BJ144/BJ8*90</f>
        <v>51.685767868305888</v>
      </c>
      <c r="BK179" s="67">
        <f t="shared" ref="BK179:BK180" si="1412">+BJ179</f>
        <v>51.685767868305888</v>
      </c>
      <c r="BL179" s="67">
        <f>BL144/BL8*90</f>
        <v>47.157468570210952</v>
      </c>
      <c r="BM179" s="67">
        <f t="shared" ref="BM179:BM180" si="1413">+BL179</f>
        <v>47.157468570210952</v>
      </c>
      <c r="BN179" s="67">
        <f>BN144/BN8*90</f>
        <v>57.709310113864703</v>
      </c>
      <c r="BO179" s="67">
        <f t="shared" ref="BO179:BO180" si="1414">+BN179</f>
        <v>57.709310113864703</v>
      </c>
      <c r="BP179" s="67">
        <f>BP144/BP8*90</f>
        <v>49.859467455621306</v>
      </c>
      <c r="BQ179" s="67">
        <f t="shared" ref="BQ179:BQ180" si="1415">+BP179</f>
        <v>49.859467455621306</v>
      </c>
      <c r="BR179" s="67">
        <f>BR144/BR8*90</f>
        <v>45.417794970986456</v>
      </c>
      <c r="BS179" s="67">
        <f t="shared" ref="BS179:BS180" si="1416">+BR179</f>
        <v>45.417794970986456</v>
      </c>
      <c r="BT179" s="67">
        <f>BT144/BT8*90</f>
        <v>39.169792021820669</v>
      </c>
      <c r="BU179" s="67">
        <f t="shared" ref="BU179:BU180" si="1417">+BT179</f>
        <v>39.169792021820669</v>
      </c>
      <c r="BV179" s="67">
        <f>BV144/BV8*90</f>
        <v>39.646388972130659</v>
      </c>
      <c r="BW179" s="67">
        <f t="shared" ref="BW179:BW180" si="1418">+BV179</f>
        <v>39.646388972130659</v>
      </c>
      <c r="BX179" s="67">
        <f>BX144/BX8*90</f>
        <v>51.396613329190608</v>
      </c>
      <c r="BY179" s="67">
        <f t="shared" ref="BY179:BY180" si="1419">+BX179</f>
        <v>51.396613329190608</v>
      </c>
      <c r="BZ179" s="67">
        <f>BZ144/BZ8*90</f>
        <v>49.252181763466744</v>
      </c>
      <c r="CA179" s="67">
        <f t="shared" ref="CA179:CA180" si="1420">+BZ179</f>
        <v>49.252181763466744</v>
      </c>
      <c r="CB179" s="67">
        <f>CB144/CB8*90</f>
        <v>53.702637162776597</v>
      </c>
      <c r="CC179" s="67">
        <f t="shared" ref="CC179:CC180" si="1421">+CB179</f>
        <v>53.702637162776597</v>
      </c>
      <c r="CD179" s="67">
        <f>CD144/CD8*90</f>
        <v>45.541915117502633</v>
      </c>
      <c r="CE179" s="67">
        <f t="shared" si="1399"/>
        <v>45.541915117502633</v>
      </c>
      <c r="CF179" s="67">
        <f>CF144/CF8*90</f>
        <v>50.439134646432038</v>
      </c>
      <c r="CG179" s="67">
        <f t="shared" ref="CG179:CI180" si="1422">+CF179</f>
        <v>50.439134646432038</v>
      </c>
      <c r="CH179" s="67">
        <f>CH144/CH8*90</f>
        <v>46.515012238237688</v>
      </c>
      <c r="CI179" s="67">
        <f t="shared" si="1422"/>
        <v>46.515012238237688</v>
      </c>
      <c r="CJ179" s="67">
        <f>CJ144/CJ8*90</f>
        <v>37.433823529411761</v>
      </c>
      <c r="CK179" s="30">
        <f t="shared" ref="CK179:CK180" si="1423">+CJ179</f>
        <v>37.433823529411761</v>
      </c>
      <c r="CL179" s="67">
        <f>CL144/CL8*90</f>
        <v>42.542171970456828</v>
      </c>
      <c r="CM179" s="30">
        <f t="shared" ref="CM179:CM180" si="1424">+CL179</f>
        <v>42.542171970456828</v>
      </c>
      <c r="CN179" s="30">
        <f t="shared" ref="CN179:CN180" si="1425">+CM179</f>
        <v>42.542171970456828</v>
      </c>
      <c r="CO179" s="30">
        <f t="shared" ref="CO179:CO180" si="1426">+CN179</f>
        <v>42.542171970456828</v>
      </c>
      <c r="CP179" s="30">
        <f t="shared" ref="CP179:CP180" si="1427">+CO179</f>
        <v>42.542171970456828</v>
      </c>
      <c r="CQ179" s="30">
        <f t="shared" ref="CQ179:CQ180" si="1428">+CP179</f>
        <v>42.542171970456828</v>
      </c>
      <c r="CR179" s="30">
        <f t="shared" ref="CR179:CR180" si="1429">+CQ179</f>
        <v>42.542171970456828</v>
      </c>
      <c r="CS179" s="30">
        <f t="shared" ref="CS179:CS180" si="1430">+CR179</f>
        <v>42.542171970456828</v>
      </c>
      <c r="CT179" s="30">
        <f t="shared" ref="CT179:CT180" si="1431">+CS179</f>
        <v>42.542171970456828</v>
      </c>
      <c r="CU179" s="30">
        <f t="shared" ref="CU179:CU180" si="1432">+CT179</f>
        <v>42.542171970456828</v>
      </c>
      <c r="CV179" s="30">
        <f t="shared" ref="CV179:CV180" si="1433">+CU179</f>
        <v>42.542171970456828</v>
      </c>
      <c r="CW179" s="30">
        <f t="shared" ref="CW179:CW180" si="1434">+CV179</f>
        <v>42.542171970456828</v>
      </c>
      <c r="CX179" s="30">
        <f t="shared" ref="CX179:CX180" si="1435">+CW179</f>
        <v>42.542171970456828</v>
      </c>
      <c r="CY179" s="30">
        <f t="shared" ref="CY179:CY180" si="1436">+CX179</f>
        <v>42.542171970456828</v>
      </c>
      <c r="CZ179" s="30">
        <f t="shared" ref="CZ179:CZ180" si="1437">+CY179</f>
        <v>42.542171970456828</v>
      </c>
      <c r="DA179" s="30">
        <f t="shared" ref="DA179:DA180" si="1438">+CZ179</f>
        <v>42.542171970456828</v>
      </c>
      <c r="DB179" s="30">
        <f t="shared" ref="DB179:DB180" si="1439">+DA179</f>
        <v>42.542171970456828</v>
      </c>
      <c r="DE179" s="139"/>
      <c r="DF179" s="62">
        <v>37.433823529411761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>
        <f t="shared" si="1440"/>
        <v>41.261803389207969</v>
      </c>
      <c r="F180" s="67">
        <f t="shared" si="1440"/>
        <v>64.991712564016325</v>
      </c>
      <c r="G180" s="67">
        <f t="shared" si="1440"/>
        <v>76.214087059403326</v>
      </c>
      <c r="H180" s="67">
        <f t="shared" si="1440"/>
        <v>68.032425710066235</v>
      </c>
      <c r="I180" s="67">
        <f t="shared" si="1440"/>
        <v>68.817990748868922</v>
      </c>
      <c r="J180" s="67">
        <f t="shared" si="1440"/>
        <v>61.098578300124295</v>
      </c>
      <c r="K180" s="67">
        <f t="shared" si="1440"/>
        <v>81.023800595566343</v>
      </c>
      <c r="L180" s="67">
        <f t="shared" si="1440"/>
        <v>75.985219586638294</v>
      </c>
      <c r="M180" s="67">
        <f t="shared" si="1440"/>
        <v>69.289475121796187</v>
      </c>
      <c r="N180" s="67">
        <f t="shared" si="1440"/>
        <v>71.407524068722807</v>
      </c>
      <c r="O180" s="67">
        <f t="shared" si="1440"/>
        <v>85.388898215980348</v>
      </c>
      <c r="P180" s="67">
        <f t="shared" si="1440"/>
        <v>34.077451885486042</v>
      </c>
      <c r="Q180" s="67">
        <f t="shared" si="1440"/>
        <v>59.072321767620124</v>
      </c>
      <c r="R180" s="67">
        <f t="shared" si="1440"/>
        <v>56.780561969801418</v>
      </c>
      <c r="S180" s="67">
        <f t="shared" si="1440"/>
        <v>58.582650028041108</v>
      </c>
      <c r="T180" s="67">
        <f t="shared" si="1440"/>
        <v>51.146450242238622</v>
      </c>
      <c r="U180" s="67">
        <f t="shared" si="1440"/>
        <v>56.928965182844458</v>
      </c>
      <c r="V180" s="67">
        <f t="shared" si="1440"/>
        <v>52.697166568253913</v>
      </c>
      <c r="W180" s="67">
        <f t="shared" si="1440"/>
        <v>61.845941586251378</v>
      </c>
      <c r="X180" s="67">
        <f t="shared" si="1440"/>
        <v>59.819676417715314</v>
      </c>
      <c r="Y180" s="67">
        <f t="shared" si="1440"/>
        <v>61.680308170716302</v>
      </c>
      <c r="Z180" s="67">
        <f t="shared" si="1440"/>
        <v>63.948050929100141</v>
      </c>
      <c r="AA180" s="67">
        <f t="shared" ref="AA180" si="1441">AA145/AA8*365</f>
        <v>58.684140337014419</v>
      </c>
      <c r="AB180" s="18">
        <f t="shared" si="1440"/>
        <v>56.91327743702503</v>
      </c>
      <c r="AC180" s="18">
        <f t="shared" si="1440"/>
        <v>56.689715868721073</v>
      </c>
      <c r="AD180" s="18">
        <f t="shared" si="1440"/>
        <v>56.670446878939899</v>
      </c>
      <c r="AE180" s="18">
        <f t="shared" si="1440"/>
        <v>56.67072074499891</v>
      </c>
      <c r="AI180" s="67">
        <f>AJ145/AI8*90</f>
        <v>66.427528363350433</v>
      </c>
      <c r="AJ180" s="67">
        <f>AJ145/AJ8*90</f>
        <v>66.820338983050846</v>
      </c>
      <c r="AK180" s="67">
        <f>+AJ180</f>
        <v>66.820338983050846</v>
      </c>
      <c r="AL180" s="67">
        <f>AL145/AL8*90</f>
        <v>70.705514864282648</v>
      </c>
      <c r="AM180" s="67">
        <f t="shared" si="1400"/>
        <v>70.705514864282648</v>
      </c>
      <c r="AN180" s="67">
        <f>AN145/AN8*90</f>
        <v>61.570634688505415</v>
      </c>
      <c r="AO180" s="67">
        <f t="shared" si="1401"/>
        <v>61.570634688505415</v>
      </c>
      <c r="AP180" s="67">
        <f>AP145/AP8*90</f>
        <v>80.896664844177153</v>
      </c>
      <c r="AQ180" s="67">
        <f t="shared" si="1402"/>
        <v>80.896664844177153</v>
      </c>
      <c r="AR180" s="67">
        <f>AR145/AR8*90</f>
        <v>64.865355521936465</v>
      </c>
      <c r="AS180" s="67">
        <f t="shared" si="1403"/>
        <v>64.865355521936465</v>
      </c>
      <c r="AT180" s="67">
        <f>AT145/AT8*90</f>
        <v>38.729641693811075</v>
      </c>
      <c r="AU180" s="67">
        <f t="shared" si="1404"/>
        <v>38.729641693811075</v>
      </c>
      <c r="AV180" s="67">
        <f>AV145/AV8*90</f>
        <v>50.241319871952726</v>
      </c>
      <c r="AW180" s="67">
        <f t="shared" si="1405"/>
        <v>50.241319871952726</v>
      </c>
      <c r="AX180" s="67">
        <f>AX145/AX8*90</f>
        <v>55.728764478764482</v>
      </c>
      <c r="AY180" s="67">
        <f t="shared" si="1406"/>
        <v>55.728764478764482</v>
      </c>
      <c r="AZ180" s="67">
        <f>AZ145/AZ8*90</f>
        <v>46.677732379979567</v>
      </c>
      <c r="BA180" s="67">
        <f t="shared" si="1407"/>
        <v>46.677732379979567</v>
      </c>
      <c r="BB180" s="67">
        <f>BB145/BB8*90</f>
        <v>50.08375893769152</v>
      </c>
      <c r="BC180" s="67">
        <f t="shared" si="1408"/>
        <v>50.08375893769152</v>
      </c>
      <c r="BD180" s="67">
        <f>BD145/BD8*90</f>
        <v>55.344703338938274</v>
      </c>
      <c r="BE180" s="67">
        <f t="shared" si="1409"/>
        <v>55.344703338938274</v>
      </c>
      <c r="BF180" s="67">
        <f>BF145/BF8*90</f>
        <v>52.816818002368734</v>
      </c>
      <c r="BG180" s="67">
        <f t="shared" si="1410"/>
        <v>52.816818002368734</v>
      </c>
      <c r="BH180" s="67">
        <f>BH145/BH8*90</f>
        <v>56.839446107784433</v>
      </c>
      <c r="BI180" s="67">
        <f t="shared" si="1411"/>
        <v>56.839446107784433</v>
      </c>
      <c r="BJ180" s="67">
        <f>BJ145/BJ8*90</f>
        <v>49.847884976036674</v>
      </c>
      <c r="BK180" s="67">
        <f t="shared" si="1412"/>
        <v>49.847884976036674</v>
      </c>
      <c r="BL180" s="67">
        <f>BL145/BL8*90</f>
        <v>57.685915192840397</v>
      </c>
      <c r="BM180" s="67">
        <f t="shared" si="1413"/>
        <v>57.685915192840397</v>
      </c>
      <c r="BN180" s="67">
        <f>BN145/BN8*90</f>
        <v>56.74480910917616</v>
      </c>
      <c r="BO180" s="67">
        <f t="shared" si="1414"/>
        <v>56.74480910917616</v>
      </c>
      <c r="BP180" s="67">
        <f>BP145/BP8*90</f>
        <v>42.869822485207102</v>
      </c>
      <c r="BQ180" s="67">
        <f t="shared" si="1415"/>
        <v>42.869822485207102</v>
      </c>
      <c r="BR180" s="67">
        <f>BR145/BR8*90</f>
        <v>49.926499032882006</v>
      </c>
      <c r="BS180" s="67">
        <f t="shared" si="1416"/>
        <v>49.926499032882006</v>
      </c>
      <c r="BT180" s="67">
        <f>BT145/BT8*90</f>
        <v>48.206614387998648</v>
      </c>
      <c r="BU180" s="67">
        <f t="shared" si="1417"/>
        <v>48.206614387998648</v>
      </c>
      <c r="BV180" s="67">
        <f>BV145/BV8*90</f>
        <v>55.747677554689844</v>
      </c>
      <c r="BW180" s="67">
        <f t="shared" si="1418"/>
        <v>55.747677554689844</v>
      </c>
      <c r="BX180" s="67">
        <f>BX145/BX8*90</f>
        <v>66.93024700947646</v>
      </c>
      <c r="BY180" s="67">
        <f t="shared" si="1419"/>
        <v>66.93024700947646</v>
      </c>
      <c r="BZ180" s="67">
        <f>BZ145/BZ8*90</f>
        <v>54.316882335239242</v>
      </c>
      <c r="CA180" s="67">
        <f t="shared" si="1420"/>
        <v>54.316882335239242</v>
      </c>
      <c r="CB180" s="67">
        <f>CB145/CB8*90</f>
        <v>54.671112458320692</v>
      </c>
      <c r="CC180" s="67">
        <f t="shared" si="1421"/>
        <v>54.671112458320692</v>
      </c>
      <c r="CD180" s="67">
        <f>CD145/CD8*90</f>
        <v>50.392844615924233</v>
      </c>
      <c r="CE180" s="114">
        <f t="shared" ref="CE180" si="1442">+CD180</f>
        <v>50.392844615924233</v>
      </c>
      <c r="CF180" s="67">
        <f>CF145/CF8*90</f>
        <v>52.889893445269621</v>
      </c>
      <c r="CG180" s="67">
        <f t="shared" si="1422"/>
        <v>52.889893445269621</v>
      </c>
      <c r="CH180" s="67">
        <f>CH145/CH8*90</f>
        <v>52.287707370138698</v>
      </c>
      <c r="CI180" s="67">
        <f t="shared" si="1422"/>
        <v>52.287707370138698</v>
      </c>
      <c r="CJ180" s="67">
        <f>CJ145/CJ8*90</f>
        <v>39.992647058823529</v>
      </c>
      <c r="CK180" s="30">
        <f t="shared" si="1423"/>
        <v>39.992647058823529</v>
      </c>
      <c r="CL180" s="67">
        <f>CL145/CL8*90</f>
        <v>58.175435397100394</v>
      </c>
      <c r="CM180" s="30">
        <f t="shared" si="1424"/>
        <v>58.175435397100394</v>
      </c>
      <c r="CN180" s="30">
        <f t="shared" si="1425"/>
        <v>58.175435397100394</v>
      </c>
      <c r="CO180" s="30">
        <f t="shared" si="1426"/>
        <v>58.175435397100394</v>
      </c>
      <c r="CP180" s="30">
        <f t="shared" si="1427"/>
        <v>58.175435397100394</v>
      </c>
      <c r="CQ180" s="30">
        <f t="shared" si="1428"/>
        <v>58.175435397100394</v>
      </c>
      <c r="CR180" s="30">
        <f t="shared" si="1429"/>
        <v>58.175435397100394</v>
      </c>
      <c r="CS180" s="30">
        <f t="shared" si="1430"/>
        <v>58.175435397100394</v>
      </c>
      <c r="CT180" s="30">
        <f t="shared" si="1431"/>
        <v>58.175435397100394</v>
      </c>
      <c r="CU180" s="30">
        <f t="shared" si="1432"/>
        <v>58.175435397100394</v>
      </c>
      <c r="CV180" s="30">
        <f t="shared" si="1433"/>
        <v>58.175435397100394</v>
      </c>
      <c r="CW180" s="30">
        <f t="shared" si="1434"/>
        <v>58.175435397100394</v>
      </c>
      <c r="CX180" s="30">
        <f t="shared" si="1435"/>
        <v>58.175435397100394</v>
      </c>
      <c r="CY180" s="30">
        <f t="shared" si="1436"/>
        <v>58.175435397100394</v>
      </c>
      <c r="CZ180" s="30">
        <f t="shared" si="1437"/>
        <v>58.175435397100394</v>
      </c>
      <c r="DA180" s="30">
        <f t="shared" si="1438"/>
        <v>58.175435397100394</v>
      </c>
      <c r="DB180" s="30">
        <f t="shared" si="1439"/>
        <v>58.175435397100394</v>
      </c>
      <c r="DE180" s="139"/>
      <c r="DF180" s="62">
        <v>39.992647058823529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>
        <f t="shared" si="1443"/>
        <v>8.3479396469801017</v>
      </c>
      <c r="F181" s="67">
        <f t="shared" si="1443"/>
        <v>11.316135592219361</v>
      </c>
      <c r="G181" s="67">
        <f t="shared" si="1443"/>
        <v>17.041203123553188</v>
      </c>
      <c r="H181" s="67">
        <f t="shared" si="1443"/>
        <v>26.491185985489103</v>
      </c>
      <c r="I181" s="67">
        <f t="shared" si="1443"/>
        <v>11.993931055439255</v>
      </c>
      <c r="J181" s="67">
        <f t="shared" si="1443"/>
        <v>11.024593815685897</v>
      </c>
      <c r="K181" s="67">
        <f t="shared" si="1443"/>
        <v>14.952641447005639</v>
      </c>
      <c r="L181" s="67">
        <f t="shared" si="1443"/>
        <v>18.039999670290349</v>
      </c>
      <c r="M181" s="67">
        <f t="shared" si="1443"/>
        <v>17.114456126062159</v>
      </c>
      <c r="N181" s="67">
        <f t="shared" si="1443"/>
        <v>17.969934660391395</v>
      </c>
      <c r="O181" s="67">
        <f t="shared" si="1443"/>
        <v>35.754473565520996</v>
      </c>
      <c r="P181" s="67">
        <f t="shared" si="1443"/>
        <v>59.346497508313462</v>
      </c>
      <c r="Q181" s="67">
        <f t="shared" si="1443"/>
        <v>33.569810599513779</v>
      </c>
      <c r="R181" s="67">
        <f t="shared" si="1443"/>
        <v>30.177468205933351</v>
      </c>
      <c r="S181" s="67">
        <f t="shared" si="1443"/>
        <v>41.771825781305225</v>
      </c>
      <c r="T181" s="67">
        <f t="shared" si="1443"/>
        <v>42.72306248649101</v>
      </c>
      <c r="U181" s="67">
        <f t="shared" si="1443"/>
        <v>39.466846773810524</v>
      </c>
      <c r="V181" s="67">
        <f>V182-V180-V179</f>
        <v>30.05998647894242</v>
      </c>
      <c r="W181" s="67">
        <f t="shared" ref="W181" si="1444">W182-W180-W179</f>
        <v>44.655335850776325</v>
      </c>
      <c r="X181" s="67">
        <f t="shared" ref="X181:Y181" si="1445">X182-X180-X179</f>
        <v>27.854737293675427</v>
      </c>
      <c r="Y181" s="67">
        <f t="shared" si="1445"/>
        <v>43.251746623030812</v>
      </c>
      <c r="Z181" s="67">
        <f t="shared" ref="Z181:AA181" si="1446">Z182-Z180-Z179</f>
        <v>19.848778604835275</v>
      </c>
      <c r="AA181" s="67">
        <f t="shared" si="1446"/>
        <v>4.5148905826978663</v>
      </c>
      <c r="AB181" s="18">
        <f t="shared" ref="AA181:AD181" si="1447">AB182-AB180-AB179</f>
        <v>4.3835025364107167</v>
      </c>
      <c r="AC181" s="18">
        <f t="shared" si="1447"/>
        <v>4.366283659799933</v>
      </c>
      <c r="AD181" s="18">
        <f t="shared" si="1447"/>
        <v>4.3647995480182189</v>
      </c>
      <c r="AE181" s="18">
        <f t="shared" ref="AE181" si="1448">AE182-AE180-AE179</f>
        <v>4.3648206413837514</v>
      </c>
      <c r="AI181" s="67">
        <f t="shared" ref="AI181:AK181" si="1449">AI182-AI180-AI179</f>
        <v>-100.51746733066237</v>
      </c>
      <c r="AJ181" s="67">
        <f t="shared" ref="AJ181:AM181" si="1450">AJ182-AJ180-AJ179</f>
        <v>17.433898305084739</v>
      </c>
      <c r="AK181" s="67">
        <f t="shared" si="1449"/>
        <v>19.150599917252791</v>
      </c>
      <c r="AL181" s="67">
        <f t="shared" si="1450"/>
        <v>17.798362774666082</v>
      </c>
      <c r="AM181" s="67">
        <f t="shared" si="1450"/>
        <v>17.730247862942186</v>
      </c>
      <c r="AN181" s="67">
        <f t="shared" ref="AN181:AY181" si="1451">AN182-AN180-AN179</f>
        <v>14.688505410938873</v>
      </c>
      <c r="AO181" s="67">
        <f t="shared" si="1451"/>
        <v>14.393809114359442</v>
      </c>
      <c r="AP181" s="67">
        <f t="shared" si="1451"/>
        <v>33.87916894477857</v>
      </c>
      <c r="AQ181" s="67">
        <f t="shared" si="1451"/>
        <v>40.276243093922631</v>
      </c>
      <c r="AR181" s="67">
        <f t="shared" si="1451"/>
        <v>45.966717095310131</v>
      </c>
      <c r="AS181" s="67">
        <f t="shared" si="1451"/>
        <v>55.123367198838892</v>
      </c>
      <c r="AT181" s="67">
        <f t="shared" si="1451"/>
        <v>67.459283387622122</v>
      </c>
      <c r="AU181" s="67">
        <f t="shared" si="1451"/>
        <v>53.11769734967227</v>
      </c>
      <c r="AV181" s="67">
        <f t="shared" si="1451"/>
        <v>50.994828859886752</v>
      </c>
      <c r="AW181" s="67">
        <f t="shared" si="1451"/>
        <v>57.701309556979652</v>
      </c>
      <c r="AX181" s="67">
        <f t="shared" si="1451"/>
        <v>31.6433397683398</v>
      </c>
      <c r="AY181" s="67">
        <f t="shared" si="1451"/>
        <v>21.105606430311369</v>
      </c>
      <c r="AZ181" s="67">
        <f t="shared" ref="AZ181:BC181" si="1452">AZ182-AZ180-AZ179</f>
        <v>33.531664964249217</v>
      </c>
      <c r="BA181" s="67">
        <f t="shared" si="1452"/>
        <v>28.551569354186483</v>
      </c>
      <c r="BB181" s="67">
        <f t="shared" si="1452"/>
        <v>23.699693564862116</v>
      </c>
      <c r="BC181" s="67">
        <f t="shared" si="1452"/>
        <v>19.168534618697713</v>
      </c>
      <c r="BD181" s="67">
        <f t="shared" ref="BD181:CE181" si="1453">BD182-BD180-BD179</f>
        <v>34.698534710545275</v>
      </c>
      <c r="BE181" s="67">
        <f t="shared" si="1453"/>
        <v>31.936767632102587</v>
      </c>
      <c r="BF181" s="67">
        <f t="shared" si="1453"/>
        <v>34.305171733122769</v>
      </c>
      <c r="BG181" s="67">
        <f t="shared" si="1453"/>
        <v>35.123282134195655</v>
      </c>
      <c r="BH181" s="67">
        <f t="shared" si="1453"/>
        <v>36.579341317365277</v>
      </c>
      <c r="BI181" s="67">
        <f t="shared" si="1453"/>
        <v>50.407426508509559</v>
      </c>
      <c r="BJ181" s="67">
        <f t="shared" si="1453"/>
        <v>38.107939153990444</v>
      </c>
      <c r="BK181" s="67">
        <f t="shared" si="1453"/>
        <v>38.428241227148547</v>
      </c>
      <c r="BL181" s="67">
        <f t="shared" si="1453"/>
        <v>46.697208608565944</v>
      </c>
      <c r="BM181" s="67">
        <f t="shared" si="1453"/>
        <v>52.465884606176672</v>
      </c>
      <c r="BN181" s="67">
        <f t="shared" si="1453"/>
        <v>35.465505693235087</v>
      </c>
      <c r="BO181" s="67">
        <f t="shared" si="1453"/>
        <v>40.835475578406175</v>
      </c>
      <c r="BP181" s="67">
        <f t="shared" si="1453"/>
        <v>17.690458579881671</v>
      </c>
      <c r="BQ181" s="67">
        <f t="shared" si="1453"/>
        <v>17.726514730405775</v>
      </c>
      <c r="BR181" s="67">
        <f t="shared" si="1453"/>
        <v>21.220502901353974</v>
      </c>
      <c r="BS181" s="67">
        <f t="shared" si="1453"/>
        <v>18.097987462883545</v>
      </c>
      <c r="BT181" s="67">
        <f t="shared" si="1453"/>
        <v>19.884077736106356</v>
      </c>
      <c r="BU181" s="67">
        <f t="shared" si="1453"/>
        <v>20.113812726332135</v>
      </c>
      <c r="BV181" s="67">
        <f t="shared" si="1453"/>
        <v>24.893617021276604</v>
      </c>
      <c r="BW181" s="67">
        <f t="shared" si="1453"/>
        <v>26.501834423353024</v>
      </c>
      <c r="BX181" s="67">
        <f t="shared" si="1453"/>
        <v>27.669721920149136</v>
      </c>
      <c r="BY181" s="67">
        <f t="shared" si="1453"/>
        <v>34.759953161592513</v>
      </c>
      <c r="BZ181" s="67">
        <f t="shared" si="1453"/>
        <v>25.309960878724034</v>
      </c>
      <c r="CA181" s="67">
        <f t="shared" si="1453"/>
        <v>25.226454709058167</v>
      </c>
      <c r="CB181" s="67">
        <f t="shared" si="1453"/>
        <v>24.471051833889078</v>
      </c>
      <c r="CC181" s="67">
        <f t="shared" si="1453"/>
        <v>24.767602393005063</v>
      </c>
      <c r="CD181" s="67">
        <f t="shared" si="1453"/>
        <v>18.509294984216076</v>
      </c>
      <c r="CE181" s="114">
        <f t="shared" si="1453"/>
        <v>20.30656747049769</v>
      </c>
      <c r="CF181" s="67">
        <f t="shared" ref="CF181:CG181" si="1454">CF182-CF180-CF179</f>
        <v>18.792379722311907</v>
      </c>
      <c r="CG181" s="67">
        <f t="shared" si="1454"/>
        <v>20.635858645550172</v>
      </c>
      <c r="CH181" s="67">
        <f t="shared" ref="CH181" si="1455">CH182-CH180-CH179</f>
        <v>16.22953494696764</v>
      </c>
      <c r="CI181" s="67">
        <f>CH181</f>
        <v>16.22953494696764</v>
      </c>
      <c r="CJ181" s="67">
        <f t="shared" ref="CJ181:CL181" si="1456">CJ182-CJ180-CJ179</f>
        <v>6.2720588235294059</v>
      </c>
      <c r="CK181" s="30">
        <f t="shared" ref="CK181:DB181" si="1457">CJ181</f>
        <v>6.2720588235294059</v>
      </c>
      <c r="CL181" s="67">
        <f t="shared" si="1456"/>
        <v>4.4807148718883951</v>
      </c>
      <c r="CM181" s="30">
        <f t="shared" si="1457"/>
        <v>4.4807148718883951</v>
      </c>
      <c r="CN181" s="30">
        <f t="shared" si="1457"/>
        <v>4.4807148718883951</v>
      </c>
      <c r="CO181" s="30">
        <f t="shared" si="1457"/>
        <v>4.4807148718883951</v>
      </c>
      <c r="CP181" s="30">
        <f t="shared" si="1457"/>
        <v>4.4807148718883951</v>
      </c>
      <c r="CQ181" s="30">
        <f t="shared" si="1457"/>
        <v>4.4807148718883951</v>
      </c>
      <c r="CR181" s="30">
        <f t="shared" si="1457"/>
        <v>4.4807148718883951</v>
      </c>
      <c r="CS181" s="30">
        <f t="shared" si="1457"/>
        <v>4.4807148718883951</v>
      </c>
      <c r="CT181" s="30">
        <f t="shared" si="1457"/>
        <v>4.4807148718883951</v>
      </c>
      <c r="CU181" s="30">
        <f t="shared" si="1457"/>
        <v>4.4807148718883951</v>
      </c>
      <c r="CV181" s="30">
        <f t="shared" si="1457"/>
        <v>4.4807148718883951</v>
      </c>
      <c r="CW181" s="30">
        <f t="shared" si="1457"/>
        <v>4.4807148718883951</v>
      </c>
      <c r="CX181" s="30">
        <f t="shared" si="1457"/>
        <v>4.4807148718883951</v>
      </c>
      <c r="CY181" s="30">
        <f t="shared" si="1457"/>
        <v>4.4807148718883951</v>
      </c>
      <c r="CZ181" s="30">
        <f t="shared" si="1457"/>
        <v>4.4807148718883951</v>
      </c>
      <c r="DA181" s="30">
        <f t="shared" si="1457"/>
        <v>4.4807148718883951</v>
      </c>
      <c r="DB181" s="30">
        <f t="shared" si="1457"/>
        <v>4.4807148718883951</v>
      </c>
      <c r="DE181" s="139"/>
      <c r="DF181" s="62">
        <v>6.2720588235294059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>
        <f t="shared" si="1458"/>
        <v>89.730430424519042</v>
      </c>
      <c r="F182" s="70">
        <f t="shared" si="1458"/>
        <v>131.68431006727567</v>
      </c>
      <c r="G182" s="70">
        <f t="shared" si="1458"/>
        <v>146.51046704141666</v>
      </c>
      <c r="H182" s="70">
        <f t="shared" si="1458"/>
        <v>142.81311394562837</v>
      </c>
      <c r="I182" s="70">
        <f t="shared" si="1458"/>
        <v>121.61223749071509</v>
      </c>
      <c r="J182" s="70">
        <f t="shared" si="1458"/>
        <v>97.296652220337918</v>
      </c>
      <c r="K182" s="70">
        <f t="shared" si="1458"/>
        <v>135.91402521966106</v>
      </c>
      <c r="L182" s="70">
        <f t="shared" si="1458"/>
        <v>134.90737513423898</v>
      </c>
      <c r="M182" s="70">
        <f t="shared" si="1458"/>
        <v>123.09806764964419</v>
      </c>
      <c r="N182" s="70">
        <f t="shared" si="1458"/>
        <v>126.59429807307163</v>
      </c>
      <c r="O182" s="70">
        <f t="shared" si="1458"/>
        <v>156.96665438336149</v>
      </c>
      <c r="P182" s="70">
        <f t="shared" si="1458"/>
        <v>151.70883065009937</v>
      </c>
      <c r="Q182" s="70">
        <f t="shared" si="1458"/>
        <v>156.34200204627714</v>
      </c>
      <c r="R182" s="70">
        <f t="shared" si="1458"/>
        <v>133.81827507015055</v>
      </c>
      <c r="S182" s="70">
        <f t="shared" si="1458"/>
        <v>162.11775971223719</v>
      </c>
      <c r="T182" s="70">
        <f t="shared" si="1458"/>
        <v>146.90283569421524</v>
      </c>
      <c r="U182" s="70">
        <f t="shared" si="1458"/>
        <v>154.29352862367139</v>
      </c>
      <c r="V182" s="70">
        <f t="shared" si="1458"/>
        <v>130.70029866133476</v>
      </c>
      <c r="W182" s="70">
        <f t="shared" si="1458"/>
        <v>150.47778480862212</v>
      </c>
      <c r="X182" s="70">
        <f t="shared" si="1458"/>
        <v>141.91678991665304</v>
      </c>
      <c r="Y182" s="70">
        <f t="shared" si="1458"/>
        <v>160.67409344636127</v>
      </c>
      <c r="Z182" s="70">
        <f t="shared" si="1458"/>
        <v>140.68485391263079</v>
      </c>
      <c r="AA182" s="70">
        <f t="shared" ref="AA182" si="1459">AA148/AA8*365</f>
        <v>106.11909290927984</v>
      </c>
      <c r="AB182" s="71">
        <f t="shared" si="1458"/>
        <v>102.91596889056619</v>
      </c>
      <c r="AC182" s="71">
        <f t="shared" si="1458"/>
        <v>102.511703727061</v>
      </c>
      <c r="AD182" s="71">
        <f t="shared" si="1458"/>
        <v>102.47685971803224</v>
      </c>
      <c r="AE182" s="71">
        <f t="shared" si="1458"/>
        <v>102.47735494853168</v>
      </c>
      <c r="AI182" s="70">
        <f t="shared" ref="AI182:CD182" si="1460">AI148/AI8*90</f>
        <v>0</v>
      </c>
      <c r="AJ182" s="70">
        <f t="shared" si="1460"/>
        <v>118.5457627118644</v>
      </c>
      <c r="AK182" s="70">
        <f t="shared" si="1460"/>
        <v>120.26246432403245</v>
      </c>
      <c r="AL182" s="70">
        <f t="shared" si="1460"/>
        <v>125.35437311503662</v>
      </c>
      <c r="AM182" s="70">
        <f t="shared" si="1460"/>
        <v>125.28625820331273</v>
      </c>
      <c r="AN182" s="70">
        <f t="shared" si="1460"/>
        <v>122.27259432582628</v>
      </c>
      <c r="AO182" s="70">
        <f t="shared" si="1460"/>
        <v>121.97789802924684</v>
      </c>
      <c r="AP182" s="70">
        <f t="shared" si="1460"/>
        <v>148.72881355932205</v>
      </c>
      <c r="AQ182" s="70">
        <f t="shared" si="1460"/>
        <v>155.12588770846611</v>
      </c>
      <c r="AR182" s="70">
        <f t="shared" si="1460"/>
        <v>182.20574886535553</v>
      </c>
      <c r="AS182" s="70">
        <f t="shared" si="1460"/>
        <v>191.36239896888429</v>
      </c>
      <c r="AT182" s="70">
        <f t="shared" si="1460"/>
        <v>172.442996742671</v>
      </c>
      <c r="AU182" s="70">
        <f t="shared" si="1460"/>
        <v>158.10141070472113</v>
      </c>
      <c r="AV182" s="70">
        <f t="shared" si="1460"/>
        <v>182.52647131248463</v>
      </c>
      <c r="AW182" s="70">
        <f t="shared" si="1460"/>
        <v>189.23295200957753</v>
      </c>
      <c r="AX182" s="70">
        <f t="shared" si="1460"/>
        <v>147.46621621621625</v>
      </c>
      <c r="AY182" s="70">
        <f t="shared" si="1460"/>
        <v>136.92848287818782</v>
      </c>
      <c r="AZ182" s="70">
        <f t="shared" si="1460"/>
        <v>150.19152196118486</v>
      </c>
      <c r="BA182" s="70">
        <f t="shared" si="1460"/>
        <v>145.21142635112213</v>
      </c>
      <c r="BB182" s="70">
        <f t="shared" si="1460"/>
        <v>115.11542390194076</v>
      </c>
      <c r="BC182" s="70">
        <f t="shared" si="1460"/>
        <v>110.58426495577636</v>
      </c>
      <c r="BD182" s="70">
        <f t="shared" si="1460"/>
        <v>155.00840739851068</v>
      </c>
      <c r="BE182" s="70">
        <f t="shared" si="1460"/>
        <v>152.246640320068</v>
      </c>
      <c r="BF182" s="70">
        <f t="shared" si="1460"/>
        <v>142.81681800236873</v>
      </c>
      <c r="BG182" s="70">
        <f t="shared" si="1460"/>
        <v>143.63492840344162</v>
      </c>
      <c r="BH182" s="70">
        <f t="shared" si="1460"/>
        <v>141.65232035928145</v>
      </c>
      <c r="BI182" s="70">
        <f t="shared" si="1460"/>
        <v>155.48040555042573</v>
      </c>
      <c r="BJ182" s="70">
        <f t="shared" si="1460"/>
        <v>139.64159199833301</v>
      </c>
      <c r="BK182" s="70">
        <f t="shared" si="1460"/>
        <v>139.96189407149112</v>
      </c>
      <c r="BL182" s="70">
        <f t="shared" si="1460"/>
        <v>151.54059237161729</v>
      </c>
      <c r="BM182" s="70">
        <f t="shared" si="1460"/>
        <v>157.30926836922802</v>
      </c>
      <c r="BN182" s="70">
        <f t="shared" si="1460"/>
        <v>149.91962491627595</v>
      </c>
      <c r="BO182" s="70">
        <f t="shared" si="1460"/>
        <v>155.28959480144704</v>
      </c>
      <c r="BP182" s="70">
        <f t="shared" si="1460"/>
        <v>110.41974852071007</v>
      </c>
      <c r="BQ182" s="70">
        <f t="shared" si="1460"/>
        <v>110.45580467123419</v>
      </c>
      <c r="BR182" s="70">
        <f t="shared" si="1460"/>
        <v>116.56479690522244</v>
      </c>
      <c r="BS182" s="70">
        <f t="shared" si="1460"/>
        <v>113.44228146675201</v>
      </c>
      <c r="BT182" s="70">
        <f t="shared" si="1460"/>
        <v>107.26048414592567</v>
      </c>
      <c r="BU182" s="70">
        <f t="shared" si="1460"/>
        <v>107.49021913615145</v>
      </c>
      <c r="BV182" s="70">
        <f t="shared" si="1460"/>
        <v>120.28768354809711</v>
      </c>
      <c r="BW182" s="70">
        <f t="shared" si="1460"/>
        <v>121.89590095017353</v>
      </c>
      <c r="BX182" s="70">
        <f t="shared" si="1460"/>
        <v>145.9965822588162</v>
      </c>
      <c r="BY182" s="70">
        <f t="shared" si="1460"/>
        <v>153.08681350025958</v>
      </c>
      <c r="BZ182" s="70">
        <f t="shared" si="1460"/>
        <v>128.87902497743002</v>
      </c>
      <c r="CA182" s="70">
        <f t="shared" si="1460"/>
        <v>128.79551880776415</v>
      </c>
      <c r="CB182" s="70">
        <f t="shared" si="1460"/>
        <v>132.84480145498637</v>
      </c>
      <c r="CC182" s="70">
        <f t="shared" si="1460"/>
        <v>133.14135201410235</v>
      </c>
      <c r="CD182" s="70">
        <f t="shared" si="1460"/>
        <v>114.44405471764294</v>
      </c>
      <c r="CE182" s="115">
        <f>CE148/CE10*90</f>
        <v>116.24132720392456</v>
      </c>
      <c r="CF182" s="70">
        <f>CF148/CF8*90</f>
        <v>122.12140781401357</v>
      </c>
      <c r="CG182" s="70">
        <f>CG148/CG10*90</f>
        <v>123.96488673725183</v>
      </c>
      <c r="CH182" s="70">
        <f>CH148/CH8*90</f>
        <v>115.03225455534402</v>
      </c>
      <c r="CI182" s="70">
        <f>CI179+CI180+CI181</f>
        <v>115.03225455534402</v>
      </c>
      <c r="CJ182" s="70">
        <f>CJ148/CJ8*90</f>
        <v>83.698529411764696</v>
      </c>
      <c r="CK182" s="50">
        <f t="shared" ref="CK182:DB182" si="1461">CK179+CK180+CK181</f>
        <v>83.698529411764696</v>
      </c>
      <c r="CL182" s="70">
        <f>CL148/CL8*90</f>
        <v>105.19832223944562</v>
      </c>
      <c r="CM182" s="50">
        <f t="shared" si="1461"/>
        <v>105.19832223944562</v>
      </c>
      <c r="CN182" s="50">
        <f t="shared" si="1461"/>
        <v>105.19832223944562</v>
      </c>
      <c r="CO182" s="50">
        <f t="shared" si="1461"/>
        <v>105.19832223944562</v>
      </c>
      <c r="CP182" s="50">
        <f t="shared" si="1461"/>
        <v>105.19832223944562</v>
      </c>
      <c r="CQ182" s="50">
        <f t="shared" si="1461"/>
        <v>105.19832223944562</v>
      </c>
      <c r="CR182" s="50">
        <f t="shared" si="1461"/>
        <v>105.19832223944562</v>
      </c>
      <c r="CS182" s="50">
        <f t="shared" si="1461"/>
        <v>105.19832223944562</v>
      </c>
      <c r="CT182" s="50">
        <f t="shared" si="1461"/>
        <v>105.19832223944562</v>
      </c>
      <c r="CU182" s="50">
        <f t="shared" si="1461"/>
        <v>105.19832223944562</v>
      </c>
      <c r="CV182" s="50">
        <f t="shared" si="1461"/>
        <v>105.19832223944562</v>
      </c>
      <c r="CW182" s="50">
        <f t="shared" si="1461"/>
        <v>105.19832223944562</v>
      </c>
      <c r="CX182" s="50">
        <f t="shared" si="1461"/>
        <v>105.19832223944562</v>
      </c>
      <c r="CY182" s="50">
        <f t="shared" si="1461"/>
        <v>105.19832223944562</v>
      </c>
      <c r="CZ182" s="50">
        <f t="shared" si="1461"/>
        <v>105.19832223944562</v>
      </c>
      <c r="DA182" s="50">
        <f t="shared" si="1461"/>
        <v>105.19832223944562</v>
      </c>
      <c r="DB182" s="50">
        <f t="shared" si="1461"/>
        <v>105.19832223944562</v>
      </c>
      <c r="DE182" s="138"/>
      <c r="DF182" s="7">
        <v>83.698529411764696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>
        <f t="shared" si="1462"/>
        <v>42.277745155818174</v>
      </c>
      <c r="F183" s="67">
        <f t="shared" si="1462"/>
        <v>62.145802632775435</v>
      </c>
      <c r="G183" s="67">
        <f t="shared" si="1462"/>
        <v>49.477567773183672</v>
      </c>
      <c r="H183" s="67">
        <f t="shared" si="1462"/>
        <v>55.873226677101783</v>
      </c>
      <c r="I183" s="67">
        <f t="shared" si="1462"/>
        <v>42.93768780808967</v>
      </c>
      <c r="J183" s="67">
        <f t="shared" si="1462"/>
        <v>28.953020947907035</v>
      </c>
      <c r="K183" s="67">
        <f t="shared" si="1462"/>
        <v>56.222425646115958</v>
      </c>
      <c r="L183" s="67">
        <f t="shared" si="1462"/>
        <v>37.546047487612341</v>
      </c>
      <c r="M183" s="67">
        <f t="shared" si="1462"/>
        <v>45.244476338516399</v>
      </c>
      <c r="N183" s="67">
        <f t="shared" si="1462"/>
        <v>43.086397952906843</v>
      </c>
      <c r="O183" s="67">
        <f t="shared" si="1462"/>
        <v>37.812253237172605</v>
      </c>
      <c r="P183" s="67">
        <f t="shared" si="1462"/>
        <v>47.422297689812503</v>
      </c>
      <c r="Q183" s="67">
        <f t="shared" si="1462"/>
        <v>57.633336024696625</v>
      </c>
      <c r="R183" s="67">
        <f t="shared" si="1462"/>
        <v>43.634218737238534</v>
      </c>
      <c r="S183" s="67">
        <f t="shared" si="1462"/>
        <v>47.359015824470738</v>
      </c>
      <c r="T183" s="67">
        <f t="shared" si="1462"/>
        <v>39.23563833432619</v>
      </c>
      <c r="U183" s="67">
        <f t="shared" si="1462"/>
        <v>44.982239638961012</v>
      </c>
      <c r="V183" s="67">
        <f t="shared" si="1462"/>
        <v>38.108602382746604</v>
      </c>
      <c r="W183" s="67">
        <f t="shared" si="1462"/>
        <v>49.625233909908111</v>
      </c>
      <c r="X183" s="67">
        <f t="shared" si="1462"/>
        <v>35.368583510377512</v>
      </c>
      <c r="Y183" s="67">
        <f t="shared" si="1462"/>
        <v>52.335162120635736</v>
      </c>
      <c r="Z183" s="67">
        <f t="shared" si="1462"/>
        <v>59.648014405890962</v>
      </c>
      <c r="AA183" s="67">
        <f t="shared" ref="AA183" si="1463">AA153/AA8*365</f>
        <v>30.406863804619913</v>
      </c>
      <c r="AB183" s="18">
        <f t="shared" si="1462"/>
        <v>29.488287209224552</v>
      </c>
      <c r="AC183" s="18">
        <f t="shared" si="1462"/>
        <v>29.372453997152277</v>
      </c>
      <c r="AD183" s="18">
        <f t="shared" si="1462"/>
        <v>29.362470219543837</v>
      </c>
      <c r="AE183" s="18">
        <f t="shared" si="1462"/>
        <v>29.362612116854418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42.663722533390775</v>
      </c>
      <c r="AM183" s="67">
        <f t="shared" ref="AM183" si="1465">+AL183</f>
        <v>42.663722533390775</v>
      </c>
      <c r="AN183" s="67">
        <f>AN153/AN8*90</f>
        <v>34.036267914594916</v>
      </c>
      <c r="AO183" s="67">
        <f t="shared" ref="AO183" si="1466">+AN183</f>
        <v>34.036267914594916</v>
      </c>
      <c r="AP183" s="67">
        <f>AP153/AP8*90</f>
        <v>35.822854018589396</v>
      </c>
      <c r="AQ183" s="67">
        <f t="shared" ref="AQ183" si="1467">+AP183</f>
        <v>35.822854018589396</v>
      </c>
      <c r="AR183" s="67">
        <f>AR153/AR8*90</f>
        <v>48.635400907715585</v>
      </c>
      <c r="AS183" s="67">
        <f t="shared" ref="AS183" si="1468">+AR183</f>
        <v>48.635400907715585</v>
      </c>
      <c r="AT183" s="67">
        <f>AT153/AT8*90</f>
        <v>53.908794788273617</v>
      </c>
      <c r="AU183" s="67">
        <f t="shared" ref="AU183" si="1469">+AT183</f>
        <v>53.908794788273617</v>
      </c>
      <c r="AV183" s="67">
        <f>AV153/AV8*90</f>
        <v>51.260773208569312</v>
      </c>
      <c r="AW183" s="67">
        <f t="shared" ref="AW183" si="1470">+AV183</f>
        <v>51.260773208569312</v>
      </c>
      <c r="AX183" s="67">
        <f>AX153/AX8*90</f>
        <v>54.36052123552124</v>
      </c>
      <c r="AY183" s="67">
        <f t="shared" ref="AY183" si="1471">+AX183</f>
        <v>54.36052123552124</v>
      </c>
      <c r="AZ183" s="67">
        <f>AZ153/AZ8*90</f>
        <v>52.032686414708898</v>
      </c>
      <c r="BA183" s="67">
        <f t="shared" ref="BA183" si="1472">+AZ183</f>
        <v>52.032686414708898</v>
      </c>
      <c r="BB183" s="67">
        <f>BB153/BB8*90</f>
        <v>38.482124616956071</v>
      </c>
      <c r="BC183" s="67">
        <f t="shared" ref="BC183" si="1473">+BB183</f>
        <v>38.482124616956071</v>
      </c>
      <c r="BD183" s="67">
        <f>BD153/BD8*90</f>
        <v>54.847465769877488</v>
      </c>
      <c r="BE183" s="67">
        <f t="shared" ref="BE183" si="1474">+BD183</f>
        <v>54.847465769877488</v>
      </c>
      <c r="BF183" s="67">
        <f>BF153/BF8*90</f>
        <v>42.708251085669168</v>
      </c>
      <c r="BG183" s="67">
        <f t="shared" ref="BG183" si="1475">+BF183</f>
        <v>42.708251085669168</v>
      </c>
      <c r="BH183" s="67">
        <f>BH153/BH8*90</f>
        <v>38.212949101796411</v>
      </c>
      <c r="BI183" s="67">
        <f t="shared" ref="BI183" si="1476">+BH183</f>
        <v>38.212949101796411</v>
      </c>
      <c r="BJ183" s="67">
        <f>BJ153/BJ8*90</f>
        <v>38.239216503438215</v>
      </c>
      <c r="BK183" s="67">
        <f t="shared" ref="BK183" si="1477">+BJ183</f>
        <v>38.239216503438215</v>
      </c>
      <c r="BL183" s="67">
        <f>BL153/BL8*90</f>
        <v>41.500106541657786</v>
      </c>
      <c r="BM183" s="67">
        <f t="shared" ref="BM183" si="1478">+BL183</f>
        <v>41.500106541657786</v>
      </c>
      <c r="BN183" s="67">
        <f>BN153/BN8*90</f>
        <v>44.829202947086401</v>
      </c>
      <c r="BO183" s="67">
        <f t="shared" ref="BO183" si="1479">+BN183</f>
        <v>44.829202947086401</v>
      </c>
      <c r="BP183" s="67">
        <f>BP153/BP8*90</f>
        <v>38.775887573964503</v>
      </c>
      <c r="BQ183" s="67">
        <f t="shared" ref="BQ183" si="1480">+BP183</f>
        <v>38.775887573964503</v>
      </c>
      <c r="BR183" s="67">
        <f>BR153/BR8*90</f>
        <v>36.104448742746612</v>
      </c>
      <c r="BS183" s="67">
        <f t="shared" ref="BS183" si="1481">+BR183</f>
        <v>36.104448742746612</v>
      </c>
      <c r="BT183" s="67">
        <f>BT153/BT8*90</f>
        <v>35.31878622570747</v>
      </c>
      <c r="BU183" s="67">
        <f t="shared" ref="BU183" si="1482">+BT183</f>
        <v>35.31878622570747</v>
      </c>
      <c r="BV183" s="67">
        <f>BV153/BV8*90</f>
        <v>44.74378183997603</v>
      </c>
      <c r="BW183" s="67">
        <f t="shared" ref="BW183" si="1483">+BV183</f>
        <v>44.74378183997603</v>
      </c>
      <c r="BX183" s="67">
        <f>BX153/BX8*90</f>
        <v>47.355911138729212</v>
      </c>
      <c r="BY183" s="67">
        <f t="shared" ref="BY183" si="1484">+BX183</f>
        <v>47.355911138729212</v>
      </c>
      <c r="BZ183" s="67">
        <f>BZ153/BZ8*90</f>
        <v>32.1215768883539</v>
      </c>
      <c r="CA183" s="67">
        <f t="shared" ref="CA183" si="1485">+BZ183</f>
        <v>32.1215768883539</v>
      </c>
      <c r="CB183" s="67">
        <f>CB153/CB8*90</f>
        <v>42.640193998181267</v>
      </c>
      <c r="CC183" s="67">
        <f t="shared" ref="CC183" si="1486">+CB183</f>
        <v>42.640193998181267</v>
      </c>
      <c r="CD183" s="67">
        <f>CD153/CD8*90</f>
        <v>42.753419852683272</v>
      </c>
      <c r="CE183" s="114">
        <f t="shared" si="1464"/>
        <v>42.753419852683272</v>
      </c>
      <c r="CF183" s="67">
        <f>CF153/CF8*90</f>
        <v>50.923474329996772</v>
      </c>
      <c r="CG183" s="67">
        <f t="shared" ref="CG183:CI183" si="1487">+CF183</f>
        <v>50.923474329996772</v>
      </c>
      <c r="CH183" s="67">
        <f>CH153/CH8*90</f>
        <v>48.771743268969267</v>
      </c>
      <c r="CI183" s="67">
        <f t="shared" si="1487"/>
        <v>48.771743268969267</v>
      </c>
      <c r="CJ183" s="67">
        <f>CJ153/CJ8*90</f>
        <v>41.492647058823529</v>
      </c>
      <c r="CK183" s="30">
        <f t="shared" ref="CK183" si="1488">+CJ183</f>
        <v>41.492647058823529</v>
      </c>
      <c r="CL183" s="67">
        <f>CL153/CL8*90</f>
        <v>30.142244916567879</v>
      </c>
      <c r="CM183" s="30">
        <f t="shared" ref="CM183" si="1489">+CL183</f>
        <v>30.142244916567879</v>
      </c>
      <c r="CN183" s="30">
        <f t="shared" ref="CN183" si="1490">+CM183</f>
        <v>30.142244916567879</v>
      </c>
      <c r="CO183" s="30">
        <f t="shared" ref="CO183" si="1491">+CN183</f>
        <v>30.142244916567879</v>
      </c>
      <c r="CP183" s="30">
        <f t="shared" ref="CP183" si="1492">+CO183</f>
        <v>30.142244916567879</v>
      </c>
      <c r="CQ183" s="30">
        <f t="shared" ref="CQ183" si="1493">+CP183</f>
        <v>30.142244916567879</v>
      </c>
      <c r="CR183" s="30">
        <f t="shared" ref="CR183" si="1494">+CQ183</f>
        <v>30.142244916567879</v>
      </c>
      <c r="CS183" s="30">
        <f t="shared" ref="CS183" si="1495">+CR183</f>
        <v>30.142244916567879</v>
      </c>
      <c r="CT183" s="30">
        <f t="shared" ref="CT183" si="1496">+CS183</f>
        <v>30.142244916567879</v>
      </c>
      <c r="CU183" s="30">
        <f t="shared" ref="CU183" si="1497">+CT183</f>
        <v>30.142244916567879</v>
      </c>
      <c r="CV183" s="30">
        <f t="shared" ref="CV183" si="1498">+CU183</f>
        <v>30.142244916567879</v>
      </c>
      <c r="CW183" s="30">
        <f t="shared" ref="CW183" si="1499">+CV183</f>
        <v>30.142244916567879</v>
      </c>
      <c r="CX183" s="30">
        <f t="shared" ref="CX183" si="1500">+CW183</f>
        <v>30.142244916567879</v>
      </c>
      <c r="CY183" s="30">
        <f t="shared" ref="CY183" si="1501">+CX183</f>
        <v>30.142244916567879</v>
      </c>
      <c r="CZ183" s="30">
        <f t="shared" ref="CZ183" si="1502">+CY183</f>
        <v>30.142244916567879</v>
      </c>
      <c r="DA183" s="30">
        <f t="shared" ref="DA183" si="1503">+CZ183</f>
        <v>30.142244916567879</v>
      </c>
      <c r="DB183" s="30">
        <f t="shared" ref="DB183" si="1504">+DA183</f>
        <v>30.142244916567879</v>
      </c>
      <c r="DE183" s="139"/>
      <c r="DF183" s="62">
        <v>41.492647058823529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>
        <f t="shared" si="1505"/>
        <v>11.444304564215244</v>
      </c>
      <c r="F184" s="67">
        <f t="shared" si="1505"/>
        <v>11.196065736234509</v>
      </c>
      <c r="G184" s="67">
        <f t="shared" si="1505"/>
        <v>8.1784356676104011</v>
      </c>
      <c r="H184" s="67">
        <f t="shared" si="1505"/>
        <v>0</v>
      </c>
      <c r="I184" s="67">
        <f t="shared" si="1505"/>
        <v>0</v>
      </c>
      <c r="J184" s="67">
        <f t="shared" si="1505"/>
        <v>10.803867350858816</v>
      </c>
      <c r="K184" s="67">
        <f t="shared" si="1505"/>
        <v>5.1092753942869678</v>
      </c>
      <c r="L184" s="67">
        <f t="shared" si="1505"/>
        <v>6.8179190138854793</v>
      </c>
      <c r="M184" s="67">
        <f t="shared" si="1505"/>
        <v>4.5751659954012922</v>
      </c>
      <c r="N184" s="67">
        <f t="shared" si="1505"/>
        <v>9.5904919604028365</v>
      </c>
      <c r="O184" s="67">
        <f t="shared" si="1505"/>
        <v>7.7616592990548483</v>
      </c>
      <c r="P184" s="67">
        <f t="shared" si="1505"/>
        <v>52.883102691398271</v>
      </c>
      <c r="Q184" s="67">
        <f t="shared" si="1505"/>
        <v>14.275889758395458</v>
      </c>
      <c r="R184" s="67">
        <f t="shared" si="1505"/>
        <v>25.268696773102839</v>
      </c>
      <c r="S184" s="67">
        <f t="shared" si="1505"/>
        <v>26.556440900187134</v>
      </c>
      <c r="T184" s="67">
        <f t="shared" si="1505"/>
        <v>23.698282451802683</v>
      </c>
      <c r="U184" s="67">
        <f t="shared" si="1505"/>
        <v>10.033209555692771</v>
      </c>
      <c r="V184" s="67">
        <f t="shared" si="1505"/>
        <v>13.939971236290802</v>
      </c>
      <c r="W184" s="67">
        <f t="shared" ref="W184" si="1506">W185-W183</f>
        <v>21.859234390227719</v>
      </c>
      <c r="X184" s="67">
        <f t="shared" ref="X184:Y184" si="1507">X185-X183</f>
        <v>6.270138094459881</v>
      </c>
      <c r="Y184" s="67">
        <f t="shared" si="1507"/>
        <v>36.013969455358513</v>
      </c>
      <c r="Z184" s="67">
        <f t="shared" ref="Z184:AA184" si="1508">Z185-Z183</f>
        <v>44.13669084415632</v>
      </c>
      <c r="AA184" s="67">
        <f t="shared" si="1508"/>
        <v>5.6638329248248347</v>
      </c>
      <c r="AB184" s="18">
        <f t="shared" ref="AA184:AD184" si="1509">AB185-AB183</f>
        <v>5.4914207598991567</v>
      </c>
      <c r="AC184" s="18">
        <f t="shared" si="1509"/>
        <v>5.4698498595295817</v>
      </c>
      <c r="AD184" s="18">
        <f t="shared" si="1509"/>
        <v>5.4679906425722749</v>
      </c>
      <c r="AE184" s="18">
        <f t="shared" ref="AE184" si="1510">AE185-AE183</f>
        <v>5.4680170672280006</v>
      </c>
      <c r="AI184" s="67">
        <f t="shared" ref="AI184:AK184" si="1511">AI185-AI183</f>
        <v>0</v>
      </c>
      <c r="AJ184" s="67">
        <f t="shared" ref="AJ184:AM184" si="1512">AJ185-AJ183</f>
        <v>72.430508474576271</v>
      </c>
      <c r="AK184" s="67">
        <f t="shared" si="1511"/>
        <v>79.562681009515941</v>
      </c>
      <c r="AL184" s="67">
        <f t="shared" si="1512"/>
        <v>58.358466178371394</v>
      </c>
      <c r="AM184" s="67">
        <f t="shared" si="1512"/>
        <v>58.13512643513716</v>
      </c>
      <c r="AN184" s="67">
        <f t="shared" ref="AN184:AY184" si="1513">AN185-AN183</f>
        <v>30.824802573851997</v>
      </c>
      <c r="AO184" s="67">
        <f t="shared" si="1513"/>
        <v>30.206362854686148</v>
      </c>
      <c r="AP184" s="67">
        <f t="shared" si="1513"/>
        <v>7.8485511208310612</v>
      </c>
      <c r="AQ184" s="67">
        <f t="shared" si="1513"/>
        <v>9.3305167370815738</v>
      </c>
      <c r="AR184" s="67">
        <f t="shared" si="1513"/>
        <v>10.72919818456883</v>
      </c>
      <c r="AS184" s="67">
        <f t="shared" si="1513"/>
        <v>12.866473149492016</v>
      </c>
      <c r="AT184" s="67">
        <f t="shared" si="1513"/>
        <v>61.042345276872972</v>
      </c>
      <c r="AU184" s="67">
        <f t="shared" si="1513"/>
        <v>48.064975776574506</v>
      </c>
      <c r="AV184" s="67">
        <f t="shared" si="1513"/>
        <v>15.912336862841677</v>
      </c>
      <c r="AW184" s="67">
        <f t="shared" si="1513"/>
        <v>18.005015324602958</v>
      </c>
      <c r="AX184" s="67">
        <f t="shared" si="1513"/>
        <v>14.247104247104254</v>
      </c>
      <c r="AY184" s="67">
        <f t="shared" si="1513"/>
        <v>9.3682344399887327</v>
      </c>
      <c r="AZ184" s="67">
        <f t="shared" ref="AZ184:BC184" si="1514">AZ185-AZ183</f>
        <v>14.82379979570991</v>
      </c>
      <c r="BA184" s="67">
        <f t="shared" si="1514"/>
        <v>12.613348901030456</v>
      </c>
      <c r="BB184" s="67">
        <f t="shared" si="1514"/>
        <v>51.260469867211427</v>
      </c>
      <c r="BC184" s="67">
        <f t="shared" si="1514"/>
        <v>50.399411521293615</v>
      </c>
      <c r="BD184" s="67">
        <f t="shared" ref="BD184:CE184" si="1515">BD185-BD183</f>
        <v>51.388421811193837</v>
      </c>
      <c r="BE184" s="67">
        <f t="shared" si="1515"/>
        <v>47.298253371655989</v>
      </c>
      <c r="BF184" s="67">
        <f t="shared" si="1515"/>
        <v>29.419660481642318</v>
      </c>
      <c r="BG184" s="67">
        <f t="shared" si="1515"/>
        <v>30.121261115602259</v>
      </c>
      <c r="BH184" s="67">
        <f t="shared" si="1515"/>
        <v>44.882110778443121</v>
      </c>
      <c r="BI184" s="67">
        <f t="shared" si="1515"/>
        <v>61.848891181021145</v>
      </c>
      <c r="BJ184" s="67">
        <f t="shared" si="1515"/>
        <v>61.100229214419656</v>
      </c>
      <c r="BK184" s="67">
        <f t="shared" si="1515"/>
        <v>61.613784408489181</v>
      </c>
      <c r="BL184" s="67">
        <f t="shared" si="1515"/>
        <v>4.5834221180481691</v>
      </c>
      <c r="BM184" s="67">
        <f t="shared" si="1515"/>
        <v>5.1496289202777277</v>
      </c>
      <c r="BN184" s="67">
        <f t="shared" si="1515"/>
        <v>6.1085063630274661</v>
      </c>
      <c r="BO184" s="67">
        <f t="shared" si="1515"/>
        <v>7.0334190231362541</v>
      </c>
      <c r="BP184" s="67">
        <f t="shared" si="1515"/>
        <v>6.6900887573964454</v>
      </c>
      <c r="BQ184" s="67">
        <f t="shared" si="1515"/>
        <v>6.703724291272934</v>
      </c>
      <c r="BR184" s="67">
        <f t="shared" si="1515"/>
        <v>5.9361702127659512</v>
      </c>
      <c r="BS184" s="67">
        <f t="shared" si="1515"/>
        <v>5.062685582316071</v>
      </c>
      <c r="BT184" s="67">
        <f t="shared" si="1515"/>
        <v>15.296624616433689</v>
      </c>
      <c r="BU184" s="67">
        <f t="shared" si="1515"/>
        <v>15.473357475426809</v>
      </c>
      <c r="BV184" s="67">
        <f t="shared" si="1515"/>
        <v>4.3422235540905021</v>
      </c>
      <c r="BW184" s="67">
        <f t="shared" si="1515"/>
        <v>4.6227468495772825</v>
      </c>
      <c r="BX184" s="67">
        <f t="shared" si="1515"/>
        <v>3.1318937393195654</v>
      </c>
      <c r="BY184" s="67">
        <f t="shared" si="1515"/>
        <v>3.9344262295081975</v>
      </c>
      <c r="BZ184" s="67">
        <f t="shared" si="1515"/>
        <v>5.6876316581402335</v>
      </c>
      <c r="CA184" s="67">
        <f t="shared" si="1515"/>
        <v>5.6688662267546519</v>
      </c>
      <c r="CB184" s="67">
        <f t="shared" si="1515"/>
        <v>7.8569263413155497</v>
      </c>
      <c r="CC184" s="67">
        <f t="shared" si="1515"/>
        <v>7.9521398987574869</v>
      </c>
      <c r="CD184" s="67">
        <f t="shared" si="1515"/>
        <v>12.595580498070845</v>
      </c>
      <c r="CE184" s="114">
        <f t="shared" si="1515"/>
        <v>13.818624935864541</v>
      </c>
      <c r="CF184" s="67">
        <f t="shared" ref="CF184:CG184" si="1516">CF185-CF183</f>
        <v>16.45786244752987</v>
      </c>
      <c r="CG184" s="67">
        <f t="shared" si="1516"/>
        <v>18.072331875664823</v>
      </c>
      <c r="CH184" s="67">
        <f t="shared" ref="CH184" si="1517">CH185-CH183</f>
        <v>36.088768017405492</v>
      </c>
      <c r="CI184" s="67">
        <f>CH184</f>
        <v>36.088768017405492</v>
      </c>
      <c r="CJ184" s="67">
        <f t="shared" ref="CJ184:CL184" si="1518">CJ185-CJ183</f>
        <v>13.889705882352935</v>
      </c>
      <c r="CK184" s="30">
        <f t="shared" ref="CK184:DB184" si="1519">CJ184</f>
        <v>13.889705882352935</v>
      </c>
      <c r="CL184" s="67">
        <f t="shared" si="1518"/>
        <v>5.6132032461019428</v>
      </c>
      <c r="CM184" s="30">
        <f t="shared" si="1519"/>
        <v>5.6132032461019428</v>
      </c>
      <c r="CN184" s="30">
        <f t="shared" si="1519"/>
        <v>5.6132032461019428</v>
      </c>
      <c r="CO184" s="30">
        <f t="shared" si="1519"/>
        <v>5.6132032461019428</v>
      </c>
      <c r="CP184" s="30">
        <f t="shared" si="1519"/>
        <v>5.6132032461019428</v>
      </c>
      <c r="CQ184" s="30">
        <f t="shared" si="1519"/>
        <v>5.6132032461019428</v>
      </c>
      <c r="CR184" s="30">
        <f t="shared" si="1519"/>
        <v>5.6132032461019428</v>
      </c>
      <c r="CS184" s="30">
        <f t="shared" si="1519"/>
        <v>5.6132032461019428</v>
      </c>
      <c r="CT184" s="30">
        <f t="shared" si="1519"/>
        <v>5.6132032461019428</v>
      </c>
      <c r="CU184" s="30">
        <f t="shared" si="1519"/>
        <v>5.6132032461019428</v>
      </c>
      <c r="CV184" s="30">
        <f t="shared" si="1519"/>
        <v>5.6132032461019428</v>
      </c>
      <c r="CW184" s="30">
        <f t="shared" si="1519"/>
        <v>5.6132032461019428</v>
      </c>
      <c r="CX184" s="30">
        <f t="shared" si="1519"/>
        <v>5.6132032461019428</v>
      </c>
      <c r="CY184" s="30">
        <f t="shared" si="1519"/>
        <v>5.6132032461019428</v>
      </c>
      <c r="CZ184" s="30">
        <f t="shared" si="1519"/>
        <v>5.6132032461019428</v>
      </c>
      <c r="DA184" s="30">
        <f t="shared" si="1519"/>
        <v>5.6132032461019428</v>
      </c>
      <c r="DB184" s="30">
        <f t="shared" si="1519"/>
        <v>5.6132032461019428</v>
      </c>
      <c r="DE184" s="139"/>
      <c r="DF184" s="62">
        <v>13.889705882352935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>
        <f t="shared" si="1520"/>
        <v>53.722049720033418</v>
      </c>
      <c r="F185" s="70">
        <f t="shared" si="1520"/>
        <v>73.341868369009944</v>
      </c>
      <c r="G185" s="70">
        <f t="shared" si="1520"/>
        <v>57.656003440794073</v>
      </c>
      <c r="H185" s="70">
        <f t="shared" si="1520"/>
        <v>55.873226677101783</v>
      </c>
      <c r="I185" s="70">
        <f t="shared" si="1520"/>
        <v>42.93768780808967</v>
      </c>
      <c r="J185" s="70">
        <f t="shared" si="1520"/>
        <v>39.756888298765851</v>
      </c>
      <c r="K185" s="70">
        <f t="shared" si="1520"/>
        <v>61.331701040402926</v>
      </c>
      <c r="L185" s="70">
        <f t="shared" si="1520"/>
        <v>44.363966501497821</v>
      </c>
      <c r="M185" s="70">
        <f t="shared" si="1520"/>
        <v>49.819642333917692</v>
      </c>
      <c r="N185" s="70">
        <f t="shared" si="1520"/>
        <v>52.67688991330968</v>
      </c>
      <c r="O185" s="70">
        <f t="shared" si="1520"/>
        <v>45.573912536227454</v>
      </c>
      <c r="P185" s="70">
        <f t="shared" si="1520"/>
        <v>100.30540038121077</v>
      </c>
      <c r="Q185" s="70">
        <f t="shared" si="1520"/>
        <v>71.909225783092083</v>
      </c>
      <c r="R185" s="70">
        <f t="shared" si="1520"/>
        <v>68.902915510341373</v>
      </c>
      <c r="S185" s="70">
        <f t="shared" si="1520"/>
        <v>73.915456724657872</v>
      </c>
      <c r="T185" s="70">
        <f t="shared" si="1520"/>
        <v>62.933920786128873</v>
      </c>
      <c r="U185" s="70">
        <f t="shared" si="1520"/>
        <v>55.015449194653783</v>
      </c>
      <c r="V185" s="70">
        <f t="shared" si="1520"/>
        <v>52.048573619037406</v>
      </c>
      <c r="W185" s="70">
        <f t="shared" si="1520"/>
        <v>71.484468300135831</v>
      </c>
      <c r="X185" s="70">
        <f t="shared" si="1520"/>
        <v>41.638721604837393</v>
      </c>
      <c r="Y185" s="70">
        <f t="shared" si="1520"/>
        <v>88.349131575994249</v>
      </c>
      <c r="Z185" s="70">
        <f t="shared" si="1520"/>
        <v>103.78470525004728</v>
      </c>
      <c r="AA185" s="70">
        <f t="shared" ref="AA185" si="1521">AA156/AA8*365</f>
        <v>36.070696729444748</v>
      </c>
      <c r="AB185" s="71">
        <f t="shared" si="1520"/>
        <v>34.979707969123709</v>
      </c>
      <c r="AC185" s="71">
        <f t="shared" si="1520"/>
        <v>34.842303856681859</v>
      </c>
      <c r="AD185" s="71">
        <f t="shared" si="1520"/>
        <v>34.830460862116112</v>
      </c>
      <c r="AE185" s="71">
        <f t="shared" si="1520"/>
        <v>34.830629184082419</v>
      </c>
      <c r="AI185" s="70">
        <f t="shared" ref="AI185:CD185" si="1522">AI156/AI8*90</f>
        <v>0</v>
      </c>
      <c r="AJ185" s="70">
        <f t="shared" si="1522"/>
        <v>72.430508474576271</v>
      </c>
      <c r="AK185" s="70">
        <f>AK156/AK8*90</f>
        <v>79.562681009515941</v>
      </c>
      <c r="AL185" s="70">
        <f t="shared" si="1522"/>
        <v>101.02218871176217</v>
      </c>
      <c r="AM185" s="70">
        <f t="shared" si="1522"/>
        <v>100.79884896852793</v>
      </c>
      <c r="AN185" s="70">
        <f t="shared" si="1522"/>
        <v>64.861070488446913</v>
      </c>
      <c r="AO185" s="70">
        <f t="shared" si="1522"/>
        <v>64.242630769281064</v>
      </c>
      <c r="AP185" s="70">
        <f t="shared" si="1522"/>
        <v>43.671405139420457</v>
      </c>
      <c r="AQ185" s="70">
        <f t="shared" si="1522"/>
        <v>45.15337075567097</v>
      </c>
      <c r="AR185" s="70">
        <f t="shared" si="1522"/>
        <v>59.364599092284415</v>
      </c>
      <c r="AS185" s="70">
        <f t="shared" si="1522"/>
        <v>61.501874057207601</v>
      </c>
      <c r="AT185" s="70">
        <f t="shared" si="1522"/>
        <v>114.95114006514659</v>
      </c>
      <c r="AU185" s="70">
        <f t="shared" si="1522"/>
        <v>101.97377056484812</v>
      </c>
      <c r="AV185" s="70">
        <f t="shared" si="1522"/>
        <v>67.173110071410989</v>
      </c>
      <c r="AW185" s="70">
        <f t="shared" si="1522"/>
        <v>69.26578853317227</v>
      </c>
      <c r="AX185" s="70">
        <f t="shared" si="1522"/>
        <v>68.607625482625494</v>
      </c>
      <c r="AY185" s="70">
        <f t="shared" si="1522"/>
        <v>63.728755675509973</v>
      </c>
      <c r="AZ185" s="70">
        <f t="shared" si="1522"/>
        <v>66.856486210418808</v>
      </c>
      <c r="BA185" s="70">
        <f t="shared" si="1522"/>
        <v>64.646035315739354</v>
      </c>
      <c r="BB185" s="70">
        <f t="shared" si="1522"/>
        <v>89.742594484167498</v>
      </c>
      <c r="BC185" s="70">
        <f t="shared" si="1522"/>
        <v>88.881536138249686</v>
      </c>
      <c r="BD185" s="70">
        <f t="shared" si="1522"/>
        <v>106.23588758107132</v>
      </c>
      <c r="BE185" s="70">
        <f t="shared" si="1522"/>
        <v>102.14571914153348</v>
      </c>
      <c r="BF185" s="70">
        <f t="shared" si="1522"/>
        <v>72.127911567311486</v>
      </c>
      <c r="BG185" s="70">
        <f t="shared" si="1522"/>
        <v>72.829512201271427</v>
      </c>
      <c r="BH185" s="70">
        <f t="shared" si="1522"/>
        <v>83.095059880239532</v>
      </c>
      <c r="BI185" s="70">
        <f t="shared" si="1522"/>
        <v>100.06184028281756</v>
      </c>
      <c r="BJ185" s="70">
        <f t="shared" si="1522"/>
        <v>99.33944571785787</v>
      </c>
      <c r="BK185" s="70">
        <f t="shared" si="1522"/>
        <v>99.853000911927396</v>
      </c>
      <c r="BL185" s="70">
        <f t="shared" si="1522"/>
        <v>46.083528659705955</v>
      </c>
      <c r="BM185" s="70">
        <f t="shared" si="1522"/>
        <v>46.649735461935514</v>
      </c>
      <c r="BN185" s="70">
        <f t="shared" si="1522"/>
        <v>50.937709310113867</v>
      </c>
      <c r="BO185" s="70">
        <f t="shared" si="1522"/>
        <v>51.862621970222655</v>
      </c>
      <c r="BP185" s="70">
        <f t="shared" si="1522"/>
        <v>45.465976331360949</v>
      </c>
      <c r="BQ185" s="70">
        <f t="shared" si="1522"/>
        <v>45.479611865237437</v>
      </c>
      <c r="BR185" s="70">
        <f t="shared" si="1522"/>
        <v>42.040618955512564</v>
      </c>
      <c r="BS185" s="70">
        <f t="shared" si="1522"/>
        <v>41.167134325062683</v>
      </c>
      <c r="BT185" s="70">
        <f t="shared" si="1522"/>
        <v>50.615410842141159</v>
      </c>
      <c r="BU185" s="70">
        <f t="shared" si="1522"/>
        <v>50.792143701134279</v>
      </c>
      <c r="BV185" s="70">
        <f t="shared" si="1522"/>
        <v>49.086005394066532</v>
      </c>
      <c r="BW185" s="70">
        <f t="shared" si="1522"/>
        <v>49.366528689553313</v>
      </c>
      <c r="BX185" s="70">
        <f t="shared" si="1522"/>
        <v>50.487804878048777</v>
      </c>
      <c r="BY185" s="70">
        <f t="shared" si="1522"/>
        <v>51.29033736823741</v>
      </c>
      <c r="BZ185" s="70">
        <f t="shared" si="1522"/>
        <v>37.809208546494133</v>
      </c>
      <c r="CA185" s="70">
        <f t="shared" si="1522"/>
        <v>37.790443115108552</v>
      </c>
      <c r="CB185" s="70">
        <f t="shared" si="1522"/>
        <v>50.497120339496817</v>
      </c>
      <c r="CC185" s="70">
        <f t="shared" si="1522"/>
        <v>50.592333896938754</v>
      </c>
      <c r="CD185" s="70">
        <f t="shared" si="1522"/>
        <v>55.349000350754118</v>
      </c>
      <c r="CE185" s="115">
        <f>CE156/CE10*90</f>
        <v>56.572044788547814</v>
      </c>
      <c r="CF185" s="70">
        <f>CF156/CF8*90</f>
        <v>67.381336777526641</v>
      </c>
      <c r="CG185" s="70">
        <f>CG156/CG10*90</f>
        <v>68.995806205661594</v>
      </c>
      <c r="CH185" s="70">
        <f>CH156/CH8*90</f>
        <v>84.860511286374759</v>
      </c>
      <c r="CI185" s="70">
        <f>CI183+CI184</f>
        <v>84.860511286374759</v>
      </c>
      <c r="CJ185" s="70">
        <f>CJ156/CJ8*90</f>
        <v>55.382352941176464</v>
      </c>
      <c r="CK185" s="50">
        <f t="shared" ref="CK185:DB185" si="1523">CK183+CK184</f>
        <v>55.382352941176464</v>
      </c>
      <c r="CL185" s="70">
        <f>CL156/CL8*90</f>
        <v>35.755448162669822</v>
      </c>
      <c r="CM185" s="50">
        <f t="shared" si="1523"/>
        <v>35.755448162669822</v>
      </c>
      <c r="CN185" s="50">
        <f t="shared" si="1523"/>
        <v>35.755448162669822</v>
      </c>
      <c r="CO185" s="50">
        <f t="shared" si="1523"/>
        <v>35.755448162669822</v>
      </c>
      <c r="CP185" s="50">
        <f t="shared" si="1523"/>
        <v>35.755448162669822</v>
      </c>
      <c r="CQ185" s="50">
        <f t="shared" si="1523"/>
        <v>35.755448162669822</v>
      </c>
      <c r="CR185" s="50">
        <f t="shared" si="1523"/>
        <v>35.755448162669822</v>
      </c>
      <c r="CS185" s="50">
        <f t="shared" si="1523"/>
        <v>35.755448162669822</v>
      </c>
      <c r="CT185" s="50">
        <f t="shared" si="1523"/>
        <v>35.755448162669822</v>
      </c>
      <c r="CU185" s="50">
        <f t="shared" si="1523"/>
        <v>35.755448162669822</v>
      </c>
      <c r="CV185" s="50">
        <f t="shared" si="1523"/>
        <v>35.755448162669822</v>
      </c>
      <c r="CW185" s="50">
        <f t="shared" si="1523"/>
        <v>35.755448162669822</v>
      </c>
      <c r="CX185" s="50">
        <f t="shared" si="1523"/>
        <v>35.755448162669822</v>
      </c>
      <c r="CY185" s="50">
        <f t="shared" si="1523"/>
        <v>35.755448162669822</v>
      </c>
      <c r="CZ185" s="50">
        <f t="shared" si="1523"/>
        <v>35.755448162669822</v>
      </c>
      <c r="DA185" s="50">
        <f t="shared" si="1523"/>
        <v>35.755448162669822</v>
      </c>
      <c r="DB185" s="50">
        <f t="shared" si="1523"/>
        <v>35.755448162669822</v>
      </c>
      <c r="DE185" s="138"/>
      <c r="DF185" s="7">
        <v>55.382352941176464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>
        <f t="shared" si="1524"/>
        <v>36.008380704485624</v>
      </c>
      <c r="F186" s="70">
        <f t="shared" si="1524"/>
        <v>58.342441698265731</v>
      </c>
      <c r="G186" s="70">
        <f t="shared" si="1524"/>
        <v>88.85446360062258</v>
      </c>
      <c r="H186" s="70">
        <f t="shared" si="1524"/>
        <v>86.93988726852659</v>
      </c>
      <c r="I186" s="70">
        <f t="shared" si="1524"/>
        <v>78.674549682625411</v>
      </c>
      <c r="J186" s="70">
        <f t="shared" si="1524"/>
        <v>57.539763921572067</v>
      </c>
      <c r="K186" s="70">
        <f t="shared" si="1524"/>
        <v>74.582324179258137</v>
      </c>
      <c r="L186" s="70">
        <f t="shared" si="1524"/>
        <v>90.543408632741148</v>
      </c>
      <c r="M186" s="70">
        <f t="shared" si="1524"/>
        <v>73.278425315726508</v>
      </c>
      <c r="N186" s="70">
        <f t="shared" si="1524"/>
        <v>73.917408159761948</v>
      </c>
      <c r="O186" s="70">
        <f t="shared" si="1524"/>
        <v>111.39274184713403</v>
      </c>
      <c r="P186" s="70">
        <f t="shared" si="1524"/>
        <v>51.403430268888599</v>
      </c>
      <c r="Q186" s="70">
        <f t="shared" si="1524"/>
        <v>84.432776263185062</v>
      </c>
      <c r="R186" s="70">
        <f t="shared" si="1524"/>
        <v>64.915359559809175</v>
      </c>
      <c r="S186" s="70">
        <f t="shared" si="1524"/>
        <v>88.202302987579316</v>
      </c>
      <c r="T186" s="70">
        <f t="shared" si="1524"/>
        <v>83.968914908086361</v>
      </c>
      <c r="U186" s="70">
        <f t="shared" si="1524"/>
        <v>99.278079429017609</v>
      </c>
      <c r="V186" s="70">
        <f t="shared" si="1524"/>
        <v>78.651725042297358</v>
      </c>
      <c r="W186" s="70">
        <f t="shared" ref="W186" si="1525">W182-W185</f>
        <v>78.993316508486288</v>
      </c>
      <c r="X186" s="70">
        <f t="shared" ref="X186:Y186" si="1526">X182-X185</f>
        <v>100.27806831181564</v>
      </c>
      <c r="Y186" s="70">
        <f t="shared" si="1526"/>
        <v>72.324961870367019</v>
      </c>
      <c r="Z186" s="70">
        <f t="shared" ref="Z186:AA186" si="1527">Z182-Z185</f>
        <v>36.900148662583504</v>
      </c>
      <c r="AA186" s="70">
        <f t="shared" si="1527"/>
        <v>70.048396179835095</v>
      </c>
      <c r="AB186" s="71">
        <f t="shared" ref="AA186:AD186" si="1528">AB182-AB185</f>
        <v>67.936260921442482</v>
      </c>
      <c r="AC186" s="71">
        <f t="shared" si="1528"/>
        <v>67.669399870379152</v>
      </c>
      <c r="AD186" s="71">
        <f t="shared" si="1528"/>
        <v>67.646398855916132</v>
      </c>
      <c r="AE186" s="71">
        <f t="shared" ref="AE186" si="1529">AE182-AE185</f>
        <v>67.646725764449258</v>
      </c>
      <c r="AI186" s="70">
        <f t="shared" ref="AI186:AK186" si="1530">AI182-AI185</f>
        <v>0</v>
      </c>
      <c r="AJ186" s="70">
        <f t="shared" ref="AJ186:AM186" si="1531">AJ182-AJ185</f>
        <v>46.115254237288127</v>
      </c>
      <c r="AK186" s="70">
        <f t="shared" si="1530"/>
        <v>40.699783314516509</v>
      </c>
      <c r="AL186" s="70">
        <f t="shared" si="1531"/>
        <v>24.332184403274454</v>
      </c>
      <c r="AM186" s="70">
        <f t="shared" si="1531"/>
        <v>24.487409234784792</v>
      </c>
      <c r="AN186" s="70">
        <f t="shared" ref="AN186:AY186" si="1532">AN182-AN185</f>
        <v>57.411523837379363</v>
      </c>
      <c r="AO186" s="70">
        <f t="shared" si="1532"/>
        <v>57.735267259965781</v>
      </c>
      <c r="AP186" s="70">
        <f t="shared" si="1532"/>
        <v>105.05740841990159</v>
      </c>
      <c r="AQ186" s="70">
        <f t="shared" si="1532"/>
        <v>109.97251695279513</v>
      </c>
      <c r="AR186" s="70">
        <f t="shared" si="1532"/>
        <v>122.84114977307112</v>
      </c>
      <c r="AS186" s="70">
        <f t="shared" si="1532"/>
        <v>129.86052491167669</v>
      </c>
      <c r="AT186" s="70">
        <f t="shared" si="1532"/>
        <v>57.49185667752441</v>
      </c>
      <c r="AU186" s="70">
        <f t="shared" si="1532"/>
        <v>56.127640139873009</v>
      </c>
      <c r="AV186" s="70">
        <f t="shared" si="1532"/>
        <v>115.35336124107364</v>
      </c>
      <c r="AW186" s="70">
        <f t="shared" si="1532"/>
        <v>119.96716347640526</v>
      </c>
      <c r="AX186" s="70">
        <f t="shared" si="1532"/>
        <v>78.858590733590759</v>
      </c>
      <c r="AY186" s="70">
        <f t="shared" si="1532"/>
        <v>73.199727202677849</v>
      </c>
      <c r="AZ186" s="70">
        <f t="shared" ref="AZ186:BC186" si="1533">AZ182-AZ185</f>
        <v>83.335035750766053</v>
      </c>
      <c r="BA186" s="70">
        <f t="shared" si="1533"/>
        <v>80.565391035382774</v>
      </c>
      <c r="BB186" s="70">
        <f t="shared" si="1533"/>
        <v>25.372829417773261</v>
      </c>
      <c r="BC186" s="70">
        <f t="shared" si="1533"/>
        <v>21.702728817526676</v>
      </c>
      <c r="BD186" s="70">
        <f t="shared" ref="BD186:CE186" si="1534">BD182-BD185</f>
        <v>48.77251981743936</v>
      </c>
      <c r="BE186" s="70">
        <f t="shared" si="1534"/>
        <v>50.10092117853452</v>
      </c>
      <c r="BF186" s="70">
        <f t="shared" si="1534"/>
        <v>70.688906435057248</v>
      </c>
      <c r="BG186" s="70">
        <f t="shared" si="1534"/>
        <v>70.805416202170193</v>
      </c>
      <c r="BH186" s="70">
        <f t="shared" si="1534"/>
        <v>58.557260479041915</v>
      </c>
      <c r="BI186" s="70">
        <f t="shared" si="1534"/>
        <v>55.418565267608173</v>
      </c>
      <c r="BJ186" s="70">
        <f t="shared" si="1534"/>
        <v>40.302146280475142</v>
      </c>
      <c r="BK186" s="70">
        <f t="shared" si="1534"/>
        <v>40.108893159563721</v>
      </c>
      <c r="BL186" s="70">
        <f t="shared" si="1534"/>
        <v>105.45706371191133</v>
      </c>
      <c r="BM186" s="70">
        <f t="shared" si="1534"/>
        <v>110.65953290729252</v>
      </c>
      <c r="BN186" s="70">
        <f t="shared" si="1534"/>
        <v>98.98191560616209</v>
      </c>
      <c r="BO186" s="70">
        <f t="shared" si="1534"/>
        <v>103.42697283122439</v>
      </c>
      <c r="BP186" s="70">
        <f t="shared" si="1534"/>
        <v>64.953772189349124</v>
      </c>
      <c r="BQ186" s="70">
        <f t="shared" si="1534"/>
        <v>64.97619280599676</v>
      </c>
      <c r="BR186" s="70">
        <f t="shared" si="1534"/>
        <v>74.524177949709866</v>
      </c>
      <c r="BS186" s="70">
        <f t="shared" si="1534"/>
        <v>72.275147141689331</v>
      </c>
      <c r="BT186" s="70">
        <f t="shared" si="1534"/>
        <v>56.645073303784514</v>
      </c>
      <c r="BU186" s="70">
        <f t="shared" si="1534"/>
        <v>56.698075435017174</v>
      </c>
      <c r="BV186" s="70">
        <f t="shared" si="1534"/>
        <v>71.201678154030574</v>
      </c>
      <c r="BW186" s="70">
        <f t="shared" si="1534"/>
        <v>72.529372260620221</v>
      </c>
      <c r="BX186" s="70">
        <f t="shared" si="1534"/>
        <v>95.508777380767427</v>
      </c>
      <c r="BY186" s="70">
        <f t="shared" si="1534"/>
        <v>101.79647613202218</v>
      </c>
      <c r="BZ186" s="70">
        <f t="shared" si="1534"/>
        <v>91.069816430935887</v>
      </c>
      <c r="CA186" s="70">
        <f t="shared" si="1534"/>
        <v>91.005075692655595</v>
      </c>
      <c r="CB186" s="70">
        <f t="shared" si="1534"/>
        <v>82.34768111548955</v>
      </c>
      <c r="CC186" s="70">
        <f t="shared" si="1534"/>
        <v>82.549018117163598</v>
      </c>
      <c r="CD186" s="70">
        <f t="shared" si="1534"/>
        <v>59.095054366888824</v>
      </c>
      <c r="CE186" s="115">
        <f t="shared" si="1534"/>
        <v>59.669282415376742</v>
      </c>
      <c r="CF186" s="70">
        <f t="shared" ref="CF186:CG186" si="1535">CF182-CF185</f>
        <v>54.740071036486924</v>
      </c>
      <c r="CG186" s="70">
        <f t="shared" si="1535"/>
        <v>54.969080531590237</v>
      </c>
      <c r="CH186" s="70">
        <f t="shared" ref="CH186:CI186" si="1536">CH182-CH185</f>
        <v>30.171743268969266</v>
      </c>
      <c r="CI186" s="70">
        <f t="shared" si="1536"/>
        <v>30.171743268969266</v>
      </c>
      <c r="CJ186" s="70">
        <f t="shared" ref="CJ186:DB186" si="1537">CJ182-CJ185</f>
        <v>28.316176470588232</v>
      </c>
      <c r="CK186" s="50">
        <f t="shared" si="1537"/>
        <v>28.316176470588232</v>
      </c>
      <c r="CL186" s="70">
        <f t="shared" ref="CL186" si="1538">CL182-CL185</f>
        <v>69.442874076775794</v>
      </c>
      <c r="CM186" s="50">
        <f t="shared" si="1537"/>
        <v>69.442874076775794</v>
      </c>
      <c r="CN186" s="50">
        <f t="shared" si="1537"/>
        <v>69.442874076775794</v>
      </c>
      <c r="CO186" s="50">
        <f t="shared" si="1537"/>
        <v>69.442874076775794</v>
      </c>
      <c r="CP186" s="50">
        <f t="shared" si="1537"/>
        <v>69.442874076775794</v>
      </c>
      <c r="CQ186" s="50">
        <f t="shared" si="1537"/>
        <v>69.442874076775794</v>
      </c>
      <c r="CR186" s="50">
        <f t="shared" si="1537"/>
        <v>69.442874076775794</v>
      </c>
      <c r="CS186" s="50">
        <f t="shared" si="1537"/>
        <v>69.442874076775794</v>
      </c>
      <c r="CT186" s="50">
        <f t="shared" si="1537"/>
        <v>69.442874076775794</v>
      </c>
      <c r="CU186" s="50">
        <f t="shared" si="1537"/>
        <v>69.442874076775794</v>
      </c>
      <c r="CV186" s="50">
        <f t="shared" si="1537"/>
        <v>69.442874076775794</v>
      </c>
      <c r="CW186" s="50">
        <f t="shared" si="1537"/>
        <v>69.442874076775794</v>
      </c>
      <c r="CX186" s="50">
        <f t="shared" si="1537"/>
        <v>69.442874076775794</v>
      </c>
      <c r="CY186" s="50">
        <f t="shared" si="1537"/>
        <v>69.442874076775794</v>
      </c>
      <c r="CZ186" s="50">
        <f t="shared" si="1537"/>
        <v>69.442874076775794</v>
      </c>
      <c r="DA186" s="50">
        <f t="shared" si="1537"/>
        <v>69.442874076775794</v>
      </c>
      <c r="DB186" s="50">
        <f t="shared" si="1537"/>
        <v>69.442874076775794</v>
      </c>
      <c r="DE186" s="138"/>
      <c r="DF186" s="7">
        <v>28.316176470588232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>
        <f t="shared" si="1539"/>
        <v>-0.16639002854773899</v>
      </c>
      <c r="G188" s="86">
        <f t="shared" si="1539"/>
        <v>0.5667969412462428</v>
      </c>
      <c r="H188" s="86">
        <f t="shared" si="1539"/>
        <v>0.22397675089940994</v>
      </c>
      <c r="I188" s="86">
        <f t="shared" si="1539"/>
        <v>0.25502563259449684</v>
      </c>
      <c r="J188" s="86">
        <f t="shared" si="1539"/>
        <v>0.50148862689055629</v>
      </c>
      <c r="K188" s="86">
        <f t="shared" si="1539"/>
        <v>2.3209073604060881E-2</v>
      </c>
      <c r="L188" s="86">
        <f t="shared" si="1539"/>
        <v>0.22695343324584383</v>
      </c>
      <c r="M188" s="86">
        <f t="shared" si="1539"/>
        <v>0.19125297091441618</v>
      </c>
      <c r="N188" s="86">
        <f t="shared" si="1539"/>
        <v>0.11691212736732148</v>
      </c>
      <c r="O188" s="86">
        <f t="shared" si="1539"/>
        <v>0.26924486803519043</v>
      </c>
      <c r="P188" s="86">
        <f t="shared" si="1539"/>
        <v>-0.10959016853407155</v>
      </c>
      <c r="Q188" s="86">
        <f t="shared" si="1539"/>
        <v>0.2623609833158973</v>
      </c>
      <c r="R188" s="86">
        <f t="shared" si="1539"/>
        <v>0.10313730006210564</v>
      </c>
      <c r="S188" s="86">
        <f t="shared" si="1539"/>
        <v>0.10647892253291658</v>
      </c>
      <c r="T188" s="86">
        <f t="shared" si="1539"/>
        <v>3.4472227690888202E-2</v>
      </c>
      <c r="U188" s="86">
        <f t="shared" si="1539"/>
        <v>-4.5398520736574022E-2</v>
      </c>
      <c r="V188" s="86">
        <f t="shared" si="1539"/>
        <v>9.7061808928115667E-2</v>
      </c>
      <c r="W188" s="86">
        <f t="shared" si="1539"/>
        <v>0.22829293879632395</v>
      </c>
      <c r="X188" s="86">
        <f t="shared" si="1539"/>
        <v>3.0974876661957751E-3</v>
      </c>
      <c r="Y188" s="86">
        <f t="shared" si="1539"/>
        <v>0.15776842621343357</v>
      </c>
      <c r="Z188" s="86">
        <f>Z10/Y10-1</f>
        <v>0.29084881750497749</v>
      </c>
      <c r="AA188" s="86">
        <f>AA10/Z10-1</f>
        <v>0.20535584431489995</v>
      </c>
      <c r="AB188" s="87">
        <f t="shared" ref="AA188:AE188" si="1540">AB10/AA10-1</f>
        <v>0.16218518277573546</v>
      </c>
      <c r="AC188" s="87">
        <f t="shared" si="1540"/>
        <v>0.14736914436371351</v>
      </c>
      <c r="AD188" s="87">
        <f t="shared" si="1540"/>
        <v>0.14444757449353651</v>
      </c>
      <c r="AE188" s="87">
        <f t="shared" si="1540"/>
        <v>0.14399230233612936</v>
      </c>
      <c r="AN188" s="86">
        <f t="shared" ref="AN188:CI188" si="1541">+(AN10+AM10)/(AJ10+AI10)-1</f>
        <v>0.16696396717802342</v>
      </c>
      <c r="AO188" s="86">
        <f t="shared" si="1541"/>
        <v>0.36198738170347</v>
      </c>
      <c r="AP188" s="86">
        <f t="shared" si="1541"/>
        <v>0.37384183614624589</v>
      </c>
      <c r="AQ188" s="86">
        <f t="shared" si="1541"/>
        <v>0.20675135725932159</v>
      </c>
      <c r="AR188" s="86">
        <f t="shared" si="1541"/>
        <v>2.6886997377270738E-2</v>
      </c>
      <c r="AS188" s="86">
        <f t="shared" si="1541"/>
        <v>-0.12261146496815289</v>
      </c>
      <c r="AT188" s="86">
        <f t="shared" si="1541"/>
        <v>-0.22778788302784392</v>
      </c>
      <c r="AU188" s="86">
        <f t="shared" si="1541"/>
        <v>-6.8745360059391136E-2</v>
      </c>
      <c r="AV188" s="86">
        <f t="shared" si="1541"/>
        <v>0.18614854277655923</v>
      </c>
      <c r="AW188" s="86">
        <f t="shared" si="1541"/>
        <v>0.26216795908265955</v>
      </c>
      <c r="AX188" s="86">
        <f t="shared" si="1541"/>
        <v>0.35042580177568405</v>
      </c>
      <c r="AY188" s="86">
        <f t="shared" si="1541"/>
        <v>0.31393494897959173</v>
      </c>
      <c r="AZ188" s="86">
        <f t="shared" si="1541"/>
        <v>5.587846763540294E-2</v>
      </c>
      <c r="BA188" s="86">
        <f t="shared" si="1541"/>
        <v>1.9346405228757968E-2</v>
      </c>
      <c r="BB188" s="86">
        <f t="shared" si="1541"/>
        <v>0.14437139406950217</v>
      </c>
      <c r="BC188" s="86">
        <f t="shared" si="1541"/>
        <v>7.4262832180560734E-2</v>
      </c>
      <c r="BD188" s="86">
        <f t="shared" si="1541"/>
        <v>8.4574002251970315E-2</v>
      </c>
      <c r="BE188" s="86">
        <f t="shared" si="1541"/>
        <v>0.11387535265452686</v>
      </c>
      <c r="BF188" s="86">
        <f t="shared" si="1541"/>
        <v>0.12428186188298751</v>
      </c>
      <c r="BG188" s="86">
        <f t="shared" si="1541"/>
        <v>0.13114198576753622</v>
      </c>
      <c r="BH188" s="86">
        <f t="shared" si="1541"/>
        <v>0.18721882570077275</v>
      </c>
      <c r="BI188" s="86">
        <f t="shared" si="1541"/>
        <v>6.1708496431038373E-2</v>
      </c>
      <c r="BJ188" s="86">
        <f t="shared" si="1541"/>
        <v>-9.5108979038481367E-2</v>
      </c>
      <c r="BK188" s="86">
        <f t="shared" si="1541"/>
        <v>-4.5536249251048266E-2</v>
      </c>
      <c r="BL188" s="86">
        <f t="shared" si="1541"/>
        <v>-8.1616789739603401E-2</v>
      </c>
      <c r="BM188" s="86">
        <f t="shared" si="1541"/>
        <v>-3.8169594448058897E-2</v>
      </c>
      <c r="BN188" s="86">
        <f t="shared" si="1541"/>
        <v>-2.4201913103608641E-3</v>
      </c>
      <c r="BO188" s="86">
        <f t="shared" si="1541"/>
        <v>-0.12439840970914429</v>
      </c>
      <c r="BP188" s="86">
        <f t="shared" si="1541"/>
        <v>-1.6292848074481836E-2</v>
      </c>
      <c r="BQ188" s="86">
        <f t="shared" si="1541"/>
        <v>0.21815107102593001</v>
      </c>
      <c r="BR188" s="86">
        <f t="shared" si="1541"/>
        <v>0.22077171903881698</v>
      </c>
      <c r="BS188" s="86">
        <f t="shared" si="1541"/>
        <v>0.34209582984824949</v>
      </c>
      <c r="BT188" s="86">
        <f t="shared" si="1541"/>
        <v>0.282856528285653</v>
      </c>
      <c r="BU188" s="86">
        <f t="shared" si="1541"/>
        <v>7.9592781119852019E-2</v>
      </c>
      <c r="BV188" s="86">
        <f t="shared" si="1541"/>
        <v>0.18037285890034993</v>
      </c>
      <c r="BW188" s="86">
        <f t="shared" si="1541"/>
        <v>0.15233262108262124</v>
      </c>
      <c r="BX188" s="86">
        <f t="shared" si="1541"/>
        <v>6.5224681421864439E-2</v>
      </c>
      <c r="BY188" s="86">
        <f t="shared" si="1541"/>
        <v>-8.9155593656236043E-3</v>
      </c>
      <c r="BZ188" s="86">
        <f t="shared" si="1541"/>
        <v>-5.6361741361340534E-2</v>
      </c>
      <c r="CA188" s="86">
        <f t="shared" si="1541"/>
        <v>2.866414277988083E-2</v>
      </c>
      <c r="CB188" s="86">
        <f t="shared" si="1541"/>
        <v>4.4073665984574406E-2</v>
      </c>
      <c r="CC188" s="86">
        <f t="shared" si="1541"/>
        <v>0.13459043335351617</v>
      </c>
      <c r="CD188" s="86">
        <f t="shared" si="1541"/>
        <v>0.28054375531011067</v>
      </c>
      <c r="CE188" s="86">
        <f t="shared" si="1541"/>
        <v>0.22795553552651371</v>
      </c>
      <c r="CF188" s="86">
        <f t="shared" si="1541"/>
        <v>0.28802954922357893</v>
      </c>
      <c r="CG188" s="86">
        <f t="shared" si="1541"/>
        <v>0.35335823740184469</v>
      </c>
      <c r="CH188" s="86">
        <f t="shared" si="1541"/>
        <v>0.29325902335456489</v>
      </c>
      <c r="CI188" s="86">
        <f t="shared" si="1541"/>
        <v>0.37127653067465882</v>
      </c>
      <c r="CJ188" s="86">
        <f>+(CJ10+CI10)/(CF10+CE10)-1</f>
        <v>0.38280564171592446</v>
      </c>
      <c r="CK188" s="87"/>
      <c r="CL188" s="86">
        <f>+(CL10+CK10)/(CH10+CG10)-1</f>
        <v>4.9815308844654016E-2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0.20534791637278604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>
        <f t="shared" ref="F189" si="1544">F186/E186-1</f>
        <v>0.62024619149280191</v>
      </c>
      <c r="G189" s="86">
        <f t="shared" ref="G189" si="1545">G186/F186-1</f>
        <v>0.52298157249157162</v>
      </c>
      <c r="H189" s="86">
        <f t="shared" ref="H189" si="1546">H186/G186-1</f>
        <v>-2.1547328682344102E-2</v>
      </c>
      <c r="I189" s="86">
        <f t="shared" ref="I189" si="1547">I186/H186-1</f>
        <v>-9.5069568705241969E-2</v>
      </c>
      <c r="J189" s="86">
        <f t="shared" ref="J189" si="1548">J186/I186-1</f>
        <v>-0.26863561146916581</v>
      </c>
      <c r="K189" s="86">
        <f>K186/J186-1</f>
        <v>0.29618752487263311</v>
      </c>
      <c r="L189" s="86">
        <f t="shared" ref="L189" si="1549">L186/K186-1</f>
        <v>0.21400626259810096</v>
      </c>
      <c r="M189" s="86">
        <f t="shared" ref="M189" si="1550">M186/L186-1</f>
        <v>-0.19068183512997872</v>
      </c>
      <c r="N189" s="86">
        <f t="shared" ref="N189" si="1551">N186/M186-1</f>
        <v>8.7199314297807806E-3</v>
      </c>
      <c r="O189" s="86">
        <f t="shared" ref="O189" si="1552">O186/N186-1</f>
        <v>0.50698928196148985</v>
      </c>
      <c r="P189" s="86">
        <f t="shared" ref="P189" si="1553">P186/O186-1</f>
        <v>-0.53853878254087406</v>
      </c>
      <c r="Q189" s="86">
        <f t="shared" ref="Q189" si="1554">Q186/P186-1</f>
        <v>0.64255139825341856</v>
      </c>
      <c r="R189" s="86">
        <f t="shared" ref="R189" si="1555">R186/Q186-1</f>
        <v>-0.23115924368681451</v>
      </c>
      <c r="S189" s="86">
        <f t="shared" ref="S189" si="1556">S186/R186-1</f>
        <v>0.35872778931948957</v>
      </c>
      <c r="T189" s="86">
        <f t="shared" ref="T189" si="1557">T186/S186-1</f>
        <v>-4.7996344042049555E-2</v>
      </c>
      <c r="U189" s="86">
        <f t="shared" ref="U189" si="1558">U186/T186-1</f>
        <v>0.18231942782265187</v>
      </c>
      <c r="V189" s="86">
        <f t="shared" ref="V189" si="1559">V186/U186-1</f>
        <v>-0.20776343081322191</v>
      </c>
      <c r="W189" s="86">
        <f t="shared" ref="W189:AA189" si="1560">W186/V186-1</f>
        <v>4.3430893092966105E-3</v>
      </c>
      <c r="X189" s="86">
        <f t="shared" si="1560"/>
        <v>0.2694500338018182</v>
      </c>
      <c r="Y189" s="86">
        <f t="shared" si="1560"/>
        <v>-0.27875593249890063</v>
      </c>
      <c r="Z189" s="86">
        <f t="shared" si="1560"/>
        <v>-0.48980064823646685</v>
      </c>
      <c r="AA189" s="86">
        <f t="shared" si="1560"/>
        <v>0.89832287182256487</v>
      </c>
      <c r="AB189" s="87">
        <f t="shared" ref="AB189" si="1561">AB186/AA186-1</f>
        <v>-3.0152514169919487E-2</v>
      </c>
      <c r="AC189" s="87">
        <f t="shared" ref="AC189" si="1562">AC186/AB186-1</f>
        <v>-3.9281091929965761E-3</v>
      </c>
      <c r="AD189" s="87">
        <f t="shared" ref="AD189" si="1563">AD186/AC186-1</f>
        <v>-3.3990274048656399E-4</v>
      </c>
      <c r="AE189" s="87">
        <f t="shared" ref="AE189" si="1564">AE186/AD186-1</f>
        <v>4.8326080714922171E-6</v>
      </c>
      <c r="AN189" s="86">
        <f t="shared" ref="AN189:CI189" si="1565">+AN186/AJ186-1</f>
        <v>0.24495733108107287</v>
      </c>
      <c r="AO189" s="86">
        <f t="shared" si="1565"/>
        <v>0.41856448752574016</v>
      </c>
      <c r="AP189" s="86">
        <f t="shared" si="1565"/>
        <v>3.3176316058891819</v>
      </c>
      <c r="AQ189" s="86">
        <f t="shared" si="1565"/>
        <v>3.4909821164983539</v>
      </c>
      <c r="AR189" s="86">
        <f t="shared" si="1565"/>
        <v>1.1396601511749456</v>
      </c>
      <c r="AS189" s="86">
        <f t="shared" si="1565"/>
        <v>1.2492409072422066</v>
      </c>
      <c r="AT189" s="86">
        <f t="shared" si="1565"/>
        <v>-0.45275771083428495</v>
      </c>
      <c r="AU189" s="86">
        <f t="shared" si="1565"/>
        <v>-0.48962120996134539</v>
      </c>
      <c r="AV189" s="86">
        <f t="shared" si="1565"/>
        <v>-6.0955050859015425E-2</v>
      </c>
      <c r="AW189" s="86">
        <f t="shared" si="1565"/>
        <v>-7.6184517519856776E-2</v>
      </c>
      <c r="AX189" s="86">
        <f t="shared" si="1565"/>
        <v>0.37164800879390203</v>
      </c>
      <c r="AY189" s="86">
        <f t="shared" si="1565"/>
        <v>0.30416541690084076</v>
      </c>
      <c r="AZ189" s="86">
        <f t="shared" si="1565"/>
        <v>-0.27756733870453432</v>
      </c>
      <c r="BA189" s="86">
        <f t="shared" si="1565"/>
        <v>-0.32843797668661134</v>
      </c>
      <c r="BB189" s="86">
        <f t="shared" si="1565"/>
        <v>-0.67824901279949712</v>
      </c>
      <c r="BC189" s="86">
        <f t="shared" si="1565"/>
        <v>-0.70351352871253958</v>
      </c>
      <c r="BD189" s="86">
        <f t="shared" si="1565"/>
        <v>-0.41474171843754182</v>
      </c>
      <c r="BE189" s="86">
        <f t="shared" si="1565"/>
        <v>-0.3781334573733881</v>
      </c>
      <c r="BF189" s="86">
        <f t="shared" si="1565"/>
        <v>1.7860080273720205</v>
      </c>
      <c r="BG189" s="86">
        <f t="shared" si="1565"/>
        <v>2.2625121383348437</v>
      </c>
      <c r="BH189" s="86">
        <f t="shared" si="1565"/>
        <v>0.20061995357688844</v>
      </c>
      <c r="BI189" s="86">
        <f t="shared" si="1565"/>
        <v>0.10613864903050874</v>
      </c>
      <c r="BJ189" s="86">
        <f t="shared" si="1565"/>
        <v>-0.42986603820924563</v>
      </c>
      <c r="BK189" s="86">
        <f t="shared" si="1565"/>
        <v>-0.43353354431190561</v>
      </c>
      <c r="BL189" s="86">
        <f t="shared" si="1565"/>
        <v>0.80092208633385797</v>
      </c>
      <c r="BM189" s="86">
        <f t="shared" si="1565"/>
        <v>0.99679534056743924</v>
      </c>
      <c r="BN189" s="86">
        <f t="shared" si="1565"/>
        <v>1.455996137707313</v>
      </c>
      <c r="BO189" s="86">
        <f t="shared" si="1565"/>
        <v>1.578654375222091</v>
      </c>
      <c r="BP189" s="86">
        <f t="shared" si="1565"/>
        <v>-0.38407376516009883</v>
      </c>
      <c r="BQ189" s="86">
        <f t="shared" si="1565"/>
        <v>-0.41282787755455275</v>
      </c>
      <c r="BR189" s="86">
        <f t="shared" si="1565"/>
        <v>-0.24709299175181465</v>
      </c>
      <c r="BS189" s="86">
        <f t="shared" si="1565"/>
        <v>-0.30119634014977559</v>
      </c>
      <c r="BT189" s="86">
        <f t="shared" si="1565"/>
        <v>-0.12791711097769065</v>
      </c>
      <c r="BU189" s="86">
        <f t="shared" si="1565"/>
        <v>-0.12740231480930331</v>
      </c>
      <c r="BV189" s="86">
        <f t="shared" si="1565"/>
        <v>-4.4582843945241035E-2</v>
      </c>
      <c r="BW189" s="86">
        <f t="shared" si="1565"/>
        <v>3.5174624886269434E-3</v>
      </c>
      <c r="BX189" s="86">
        <f t="shared" si="1565"/>
        <v>0.68609151352949871</v>
      </c>
      <c r="BY189" s="86">
        <f t="shared" si="1565"/>
        <v>0.7954132543474639</v>
      </c>
      <c r="BZ189" s="86">
        <f t="shared" si="1565"/>
        <v>0.2790403090489606</v>
      </c>
      <c r="CA189" s="86">
        <f t="shared" si="1565"/>
        <v>0.254734087117789</v>
      </c>
      <c r="CB189" s="86">
        <f t="shared" si="1565"/>
        <v>-0.13779986118771237</v>
      </c>
      <c r="CC189" s="86">
        <f t="shared" si="1565"/>
        <v>-0.18907784184882892</v>
      </c>
      <c r="CD189" s="86">
        <f t="shared" si="1565"/>
        <v>-0.35110164176399306</v>
      </c>
      <c r="CE189" s="86">
        <f t="shared" si="1565"/>
        <v>-0.34433017102372188</v>
      </c>
      <c r="CF189" s="86">
        <f t="shared" si="1565"/>
        <v>-0.33525667881629817</v>
      </c>
      <c r="CG189" s="86">
        <f t="shared" si="1565"/>
        <v>-0.3341037630081628</v>
      </c>
      <c r="CH189" s="86">
        <f t="shared" si="1565"/>
        <v>-0.48943708416529341</v>
      </c>
      <c r="CI189" s="86">
        <f t="shared" si="1565"/>
        <v>-0.49435049245381868</v>
      </c>
      <c r="CJ189" s="86">
        <f>+CJ186/CF186-1</f>
        <v>-0.48271575220072105</v>
      </c>
      <c r="CK189" s="87"/>
      <c r="CL189" s="86">
        <f>+CL186/CH186-1</f>
        <v>1.3015864034676348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0.89840041748407429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str">
        <f t="shared" si="1566"/>
        <v>RF</v>
      </c>
      <c r="G190" s="103">
        <f t="shared" si="1566"/>
        <v>0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 t="str">
        <f t="shared" si="1566"/>
        <v>RF</v>
      </c>
      <c r="P190" s="103">
        <f t="shared" si="1566"/>
        <v>0</v>
      </c>
      <c r="Q190" s="103" t="str">
        <f t="shared" si="1566"/>
        <v>RF</v>
      </c>
      <c r="R190" s="103">
        <f t="shared" si="1566"/>
        <v>0</v>
      </c>
      <c r="S190" s="103" t="str">
        <f t="shared" si="1566"/>
        <v>RF</v>
      </c>
      <c r="T190" s="103">
        <f t="shared" si="1566"/>
        <v>0</v>
      </c>
      <c r="U190" s="103" t="str">
        <f t="shared" si="1566"/>
        <v>RF</v>
      </c>
      <c r="V190" s="103">
        <f>IF(V189&gt;V188,"RF",0)</f>
        <v>0</v>
      </c>
      <c r="W190" s="103">
        <f t="shared" ref="W190" si="1567">IF(W189&gt;W188,"RF",0)</f>
        <v>0</v>
      </c>
      <c r="X190" s="103" t="str">
        <f t="shared" ref="X190:Y190" si="1568">IF(X189&gt;X188,"RF",0)</f>
        <v>RF</v>
      </c>
      <c r="Y190" s="103">
        <f t="shared" si="1568"/>
        <v>0</v>
      </c>
      <c r="Z190" s="103">
        <f t="shared" ref="Z190:AA190" si="1569">IF(Z189&gt;Z188,"RF",0)</f>
        <v>0</v>
      </c>
      <c r="AA190" s="103" t="str">
        <f t="shared" si="1569"/>
        <v>RF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0.2286253000000058</v>
      </c>
      <c r="F193" s="23">
        <f t="shared" si="1572"/>
        <v>-1.1267504000000019</v>
      </c>
      <c r="G193" s="23">
        <f t="shared" si="1572"/>
        <v>0.36480319999999861</v>
      </c>
      <c r="H193" s="23">
        <f t="shared" si="1572"/>
        <v>-2.3255000000000061</v>
      </c>
      <c r="I193" s="23">
        <f t="shared" si="1572"/>
        <v>-0.28449999999999837</v>
      </c>
      <c r="J193" s="23">
        <f t="shared" si="1572"/>
        <v>3.6588000000000047</v>
      </c>
      <c r="K193" s="23">
        <f t="shared" si="1572"/>
        <v>2.9416000000000033</v>
      </c>
      <c r="L193" s="23">
        <f t="shared" si="1572"/>
        <v>1.5967999999999836</v>
      </c>
      <c r="M193" s="23">
        <f t="shared" si="1572"/>
        <v>0.96840000000000148</v>
      </c>
      <c r="N193" s="23">
        <f t="shared" si="1572"/>
        <v>0.84230000000001359</v>
      </c>
      <c r="O193" s="23">
        <f t="shared" si="1572"/>
        <v>-0.40459999999999319</v>
      </c>
      <c r="P193" s="23">
        <f t="shared" si="1572"/>
        <v>-3.1834000000000007</v>
      </c>
      <c r="Q193" s="23">
        <f t="shared" si="1572"/>
        <v>-0.84549999999999459</v>
      </c>
      <c r="R193" s="23">
        <f t="shared" si="1572"/>
        <v>-6.6709999999999861</v>
      </c>
      <c r="S193" s="23">
        <f t="shared" si="1572"/>
        <v>1.2047999999999954</v>
      </c>
      <c r="T193" s="23">
        <f t="shared" si="1572"/>
        <v>0.2225999999999817</v>
      </c>
      <c r="U193" s="23">
        <f t="shared" si="1572"/>
        <v>0.64359999999998796</v>
      </c>
      <c r="V193" s="23">
        <f t="shared" si="1572"/>
        <v>14.183800000000007</v>
      </c>
      <c r="W193" s="23">
        <f t="shared" si="1572"/>
        <v>27.475199999999987</v>
      </c>
      <c r="X193" s="23">
        <f t="shared" si="1572"/>
        <v>13.661099999999966</v>
      </c>
      <c r="Y193" s="23">
        <f t="shared" si="1572"/>
        <v>18.846700000000006</v>
      </c>
      <c r="Z193" s="23">
        <f t="shared" si="1572"/>
        <v>14.584100000000044</v>
      </c>
      <c r="AA193" s="23">
        <f t="shared" ref="AA193" si="1573">AA48</f>
        <v>29.604599999999991</v>
      </c>
      <c r="AB193" s="24">
        <f t="shared" si="1572"/>
        <v>36.238432233751517</v>
      </c>
      <c r="AC193" s="24">
        <f t="shared" si="1572"/>
        <v>43.288079101267805</v>
      </c>
      <c r="AD193" s="24">
        <f t="shared" si="1572"/>
        <v>50.817005602257936</v>
      </c>
      <c r="AE193" s="24">
        <f t="shared" si="1572"/>
        <v>59.261649483121914</v>
      </c>
      <c r="AI193" s="23">
        <f t="shared" ref="AI193:BN193" si="1574">AI48</f>
        <v>0.64099999999999935</v>
      </c>
      <c r="AJ193" s="23">
        <f t="shared" si="1574"/>
        <v>0.21000000000000071</v>
      </c>
      <c r="AK193" s="23">
        <f t="shared" si="1574"/>
        <v>-0.33000000000000068</v>
      </c>
      <c r="AL193" s="23">
        <f t="shared" si="1574"/>
        <v>0.373000000000002</v>
      </c>
      <c r="AM193" s="23">
        <f t="shared" si="1574"/>
        <v>-0.2400000000000011</v>
      </c>
      <c r="AN193" s="23">
        <f t="shared" si="1574"/>
        <v>1.1200000000000012</v>
      </c>
      <c r="AO193" s="23">
        <f t="shared" si="1574"/>
        <v>1.6200000000000008</v>
      </c>
      <c r="AP193" s="23">
        <f t="shared" si="1574"/>
        <v>-2.8950000000000045</v>
      </c>
      <c r="AQ193" s="23">
        <f t="shared" si="1574"/>
        <v>2.9999999999998334E-2</v>
      </c>
      <c r="AR193" s="23">
        <f t="shared" si="1574"/>
        <v>-0.27000000000000379</v>
      </c>
      <c r="AS193" s="23">
        <f t="shared" si="1574"/>
        <v>-2.0900000000000047</v>
      </c>
      <c r="AT193" s="23">
        <f t="shared" si="1574"/>
        <v>-0.85000000000000031</v>
      </c>
      <c r="AU193" s="23">
        <f t="shared" si="1574"/>
        <v>0.85999999999999743</v>
      </c>
      <c r="AV193" s="23">
        <f t="shared" si="1574"/>
        <v>-0.33999999999999797</v>
      </c>
      <c r="AW193" s="23">
        <f t="shared" si="1574"/>
        <v>-1.5799999999999983</v>
      </c>
      <c r="AX193" s="23">
        <f t="shared" si="1574"/>
        <v>0.24000000000000266</v>
      </c>
      <c r="AY193" s="23">
        <f t="shared" si="1574"/>
        <v>-0.67999999999999794</v>
      </c>
      <c r="AZ193" s="23">
        <f t="shared" si="1574"/>
        <v>-0.35000000000000397</v>
      </c>
      <c r="BA193" s="23">
        <f t="shared" si="1574"/>
        <v>-2.6600000000000028</v>
      </c>
      <c r="BB193" s="23">
        <f t="shared" si="1574"/>
        <v>-2.9300000000000033</v>
      </c>
      <c r="BC193" s="23">
        <f t="shared" si="1574"/>
        <v>-0.94</v>
      </c>
      <c r="BD193" s="23">
        <f t="shared" si="1574"/>
        <v>0.46000000000000174</v>
      </c>
      <c r="BE193" s="23">
        <f t="shared" si="1574"/>
        <v>0.32999999999999652</v>
      </c>
      <c r="BF193" s="23">
        <f t="shared" si="1574"/>
        <v>1.3599999999999994</v>
      </c>
      <c r="BG193" s="23">
        <f t="shared" si="1574"/>
        <v>0.46999999999999154</v>
      </c>
      <c r="BH193" s="23">
        <f t="shared" si="1574"/>
        <v>0.19999999999999696</v>
      </c>
      <c r="BI193" s="23">
        <f t="shared" si="1574"/>
        <v>-2.8800000000000008</v>
      </c>
      <c r="BJ193" s="23">
        <f t="shared" si="1574"/>
        <v>2.4600000000000004</v>
      </c>
      <c r="BK193" s="23">
        <f t="shared" si="1574"/>
        <v>-0.42999999999999838</v>
      </c>
      <c r="BL193" s="23">
        <f t="shared" si="1574"/>
        <v>1.3299999999999954</v>
      </c>
      <c r="BM193" s="23">
        <f t="shared" si="1574"/>
        <v>-1.1199999999999999</v>
      </c>
      <c r="BN193" s="23">
        <f t="shared" si="1574"/>
        <v>0.85000000000000309</v>
      </c>
      <c r="BO193" s="23">
        <f t="shared" ref="BO193:CT193" si="1575">BO48</f>
        <v>0.81000000000000072</v>
      </c>
      <c r="BP193" s="23">
        <f t="shared" si="1575"/>
        <v>6.139999999999997</v>
      </c>
      <c r="BQ193" s="23">
        <f t="shared" si="1575"/>
        <v>3.9399999999999995</v>
      </c>
      <c r="BR193" s="23">
        <f t="shared" si="1575"/>
        <v>3.3000000000000025</v>
      </c>
      <c r="BS193" s="23">
        <f t="shared" si="1575"/>
        <v>16.320000000000007</v>
      </c>
      <c r="BT193" s="23">
        <f t="shared" si="1575"/>
        <v>4.5799999999999992</v>
      </c>
      <c r="BU193" s="23">
        <f t="shared" si="1575"/>
        <v>3.790000000000004</v>
      </c>
      <c r="BV193" s="23">
        <f t="shared" si="1575"/>
        <v>2.790000000000004</v>
      </c>
      <c r="BW193" s="23">
        <f t="shared" si="1575"/>
        <v>3.8199999999999941</v>
      </c>
      <c r="BX193" s="23">
        <f t="shared" si="1575"/>
        <v>5.4900000000000091</v>
      </c>
      <c r="BY193" s="23">
        <f t="shared" si="1575"/>
        <v>1.0000000000000067</v>
      </c>
      <c r="BZ193" s="23">
        <f t="shared" si="1575"/>
        <v>3.3499999999999992</v>
      </c>
      <c r="CA193" s="23">
        <f t="shared" si="1575"/>
        <v>3.84</v>
      </c>
      <c r="CB193" s="23">
        <f t="shared" si="1575"/>
        <v>3.8800000000000088</v>
      </c>
      <c r="CC193" s="23">
        <f t="shared" si="1575"/>
        <v>5.1300000000000008</v>
      </c>
      <c r="CD193" s="23">
        <f t="shared" si="1575"/>
        <v>5.9900000000000038</v>
      </c>
      <c r="CE193" s="23">
        <f t="shared" si="1575"/>
        <v>4.00999999999999</v>
      </c>
      <c r="CF193" s="23">
        <f t="shared" si="1575"/>
        <v>3.1899999999999959</v>
      </c>
      <c r="CG193" s="23">
        <f t="shared" si="1575"/>
        <v>1.6300000000000063</v>
      </c>
      <c r="CH193" s="23">
        <f t="shared" si="1575"/>
        <v>5.7400000000000144</v>
      </c>
      <c r="CI193" s="23">
        <f t="shared" si="1575"/>
        <v>6.8200000000000038</v>
      </c>
      <c r="CJ193" s="23">
        <f t="shared" si="1575"/>
        <v>7.230000000000012</v>
      </c>
      <c r="CK193" s="24">
        <f t="shared" si="1575"/>
        <v>4.8899999999999952</v>
      </c>
      <c r="CL193" s="23">
        <f t="shared" ref="CL193" si="1576">CL48</f>
        <v>10.660000000000007</v>
      </c>
      <c r="CM193" s="24">
        <f t="shared" si="1575"/>
        <v>9.7238925024791314</v>
      </c>
      <c r="CN193" s="24">
        <f t="shared" si="1575"/>
        <v>10.245251453411941</v>
      </c>
      <c r="CO193" s="24">
        <f t="shared" si="1575"/>
        <v>7.1406403788152417</v>
      </c>
      <c r="CP193" s="24">
        <f t="shared" si="1575"/>
        <v>9.1286478990451805</v>
      </c>
      <c r="CQ193" s="24">
        <f t="shared" si="1575"/>
        <v>12.046816938871101</v>
      </c>
      <c r="CR193" s="24">
        <f t="shared" si="1575"/>
        <v>12.348197417020948</v>
      </c>
      <c r="CS193" s="24">
        <f t="shared" si="1575"/>
        <v>8.5956672555272675</v>
      </c>
      <c r="CT193" s="24">
        <f t="shared" si="1575"/>
        <v>10.297397489848375</v>
      </c>
      <c r="CU193" s="24">
        <f t="shared" ref="CU193:DB193" si="1577">CU48</f>
        <v>14.261457137004063</v>
      </c>
      <c r="CV193" s="24">
        <f t="shared" si="1577"/>
        <v>14.469781220921648</v>
      </c>
      <c r="CW193" s="24">
        <f t="shared" si="1577"/>
        <v>10.096949292792088</v>
      </c>
      <c r="CX193" s="24">
        <f t="shared" si="1577"/>
        <v>11.988817951540051</v>
      </c>
      <c r="CY193" s="24">
        <f t="shared" si="1577"/>
        <v>16.639676029597172</v>
      </c>
      <c r="CZ193" s="24">
        <f t="shared" si="1577"/>
        <v>16.831741531236105</v>
      </c>
      <c r="DA193" s="24">
        <f t="shared" si="1577"/>
        <v>11.813463240757015</v>
      </c>
      <c r="DB193" s="24">
        <f t="shared" si="1577"/>
        <v>13.976768681531567</v>
      </c>
      <c r="DE193" s="123"/>
      <c r="DF193" s="23">
        <v>9.491535922337496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1.0659175999999999</v>
      </c>
      <c r="F194" s="23">
        <f t="shared" si="1578"/>
        <v>0.85072110000000001</v>
      </c>
      <c r="G194" s="23">
        <f t="shared" si="1578"/>
        <v>0.924404</v>
      </c>
      <c r="H194" s="23">
        <f t="shared" si="1578"/>
        <v>1.1910000000000001</v>
      </c>
      <c r="I194" s="23">
        <f t="shared" si="1578"/>
        <v>1.3940999999999999</v>
      </c>
      <c r="J194" s="23">
        <f t="shared" si="1578"/>
        <v>1.5287999999999999</v>
      </c>
      <c r="K194" s="23">
        <f t="shared" si="1578"/>
        <v>1.8113999999999999</v>
      </c>
      <c r="L194" s="23">
        <f t="shared" si="1578"/>
        <v>1.9352</v>
      </c>
      <c r="M194" s="23">
        <f t="shared" si="1578"/>
        <v>2.2389000000000001</v>
      </c>
      <c r="N194" s="23">
        <f t="shared" si="1578"/>
        <v>2.4817</v>
      </c>
      <c r="O194" s="23">
        <f t="shared" si="1578"/>
        <v>2.3012999999999999</v>
      </c>
      <c r="P194" s="23">
        <f t="shared" si="1578"/>
        <v>3.2656000000000001</v>
      </c>
      <c r="Q194" s="23">
        <f t="shared" si="1578"/>
        <v>5.4836</v>
      </c>
      <c r="R194" s="23">
        <f t="shared" si="1578"/>
        <v>5.9843999999999999</v>
      </c>
      <c r="S194" s="23">
        <f t="shared" si="1578"/>
        <v>5.9649000000000001</v>
      </c>
      <c r="T194" s="23">
        <f t="shared" si="1578"/>
        <v>5.8619000000000003</v>
      </c>
      <c r="U194" s="23">
        <f t="shared" si="1578"/>
        <v>6.0895999999999999</v>
      </c>
      <c r="V194" s="23">
        <f t="shared" si="1578"/>
        <v>5.7994000000000003</v>
      </c>
      <c r="W194" s="23">
        <f t="shared" si="1578"/>
        <v>5.8056999999999999</v>
      </c>
      <c r="X194" s="23">
        <f t="shared" si="1578"/>
        <v>6.4493999999999998</v>
      </c>
      <c r="Y194" s="23">
        <f t="shared" si="1578"/>
        <v>7.3800999999999997</v>
      </c>
      <c r="Z194" s="23">
        <f t="shared" si="1578"/>
        <v>9.7673000000000005</v>
      </c>
      <c r="AA194" s="23">
        <f t="shared" ref="AA194" si="1579">AA32</f>
        <v>10.713200000000001</v>
      </c>
      <c r="AB194" s="24">
        <f t="shared" si="1578"/>
        <v>13.377454545454546</v>
      </c>
      <c r="AC194" s="24">
        <f t="shared" si="1578"/>
        <v>13.377454545454546</v>
      </c>
      <c r="AD194" s="24">
        <f t="shared" si="1578"/>
        <v>13.377454545454546</v>
      </c>
      <c r="AE194" s="24">
        <f t="shared" si="1578"/>
        <v>13.377454545454546</v>
      </c>
      <c r="AI194" s="23">
        <f t="shared" ref="AI194:BN194" si="1580">AI32</f>
        <v>0.61799999999999999</v>
      </c>
      <c r="AJ194" s="23">
        <f t="shared" si="1580"/>
        <v>0.64</v>
      </c>
      <c r="AK194" s="23">
        <f t="shared" si="1580"/>
        <v>0.61</v>
      </c>
      <c r="AL194" s="23">
        <f t="shared" si="1580"/>
        <v>0.61699999999999999</v>
      </c>
      <c r="AM194" s="23">
        <f t="shared" si="1580"/>
        <v>0.70399999999999996</v>
      </c>
      <c r="AN194" s="23">
        <f t="shared" si="1580"/>
        <v>0.71</v>
      </c>
      <c r="AO194" s="23">
        <f t="shared" si="1580"/>
        <v>0.73</v>
      </c>
      <c r="AP194" s="23">
        <f t="shared" si="1580"/>
        <v>0.16</v>
      </c>
      <c r="AQ194" s="23">
        <f t="shared" si="1580"/>
        <v>0.66</v>
      </c>
      <c r="AR194" s="23">
        <f t="shared" si="1580"/>
        <v>0.96</v>
      </c>
      <c r="AS194" s="23">
        <f t="shared" si="1580"/>
        <v>0.83</v>
      </c>
      <c r="AT194" s="23">
        <f t="shared" si="1580"/>
        <v>0.82</v>
      </c>
      <c r="AU194" s="23">
        <f t="shared" si="1580"/>
        <v>1.21</v>
      </c>
      <c r="AV194" s="23">
        <f t="shared" si="1580"/>
        <v>1.39</v>
      </c>
      <c r="AW194" s="23">
        <f t="shared" si="1580"/>
        <v>1.27</v>
      </c>
      <c r="AX194" s="23">
        <f t="shared" si="1580"/>
        <v>1.61</v>
      </c>
      <c r="AY194" s="23">
        <f t="shared" si="1580"/>
        <v>1.53</v>
      </c>
      <c r="AZ194" s="23">
        <f t="shared" si="1580"/>
        <v>1.5</v>
      </c>
      <c r="BA194" s="23">
        <f t="shared" si="1580"/>
        <v>1.48</v>
      </c>
      <c r="BB194" s="23">
        <f t="shared" si="1580"/>
        <v>1.48</v>
      </c>
      <c r="BC194" s="23">
        <f t="shared" si="1580"/>
        <v>1.47</v>
      </c>
      <c r="BD194" s="23">
        <f t="shared" si="1580"/>
        <v>1.51</v>
      </c>
      <c r="BE194" s="23">
        <f t="shared" si="1580"/>
        <v>1.5</v>
      </c>
      <c r="BF194" s="23">
        <f t="shared" si="1580"/>
        <v>1.48</v>
      </c>
      <c r="BG194" s="23">
        <f t="shared" si="1580"/>
        <v>1.47</v>
      </c>
      <c r="BH194" s="23">
        <f t="shared" si="1580"/>
        <v>1.49</v>
      </c>
      <c r="BI194" s="23">
        <f t="shared" si="1580"/>
        <v>1.46</v>
      </c>
      <c r="BJ194" s="23">
        <f t="shared" si="1580"/>
        <v>1.44</v>
      </c>
      <c r="BK194" s="23">
        <f t="shared" si="1580"/>
        <v>1.43</v>
      </c>
      <c r="BL194" s="23">
        <f t="shared" si="1580"/>
        <v>1.44</v>
      </c>
      <c r="BM194" s="23">
        <f t="shared" si="1580"/>
        <v>1.55</v>
      </c>
      <c r="BN194" s="23">
        <f t="shared" si="1580"/>
        <v>1.67</v>
      </c>
      <c r="BO194" s="23">
        <f t="shared" ref="BO194:CT194" si="1581">BO32</f>
        <v>1.45</v>
      </c>
      <c r="BP194" s="23">
        <f t="shared" si="1581"/>
        <v>1.46</v>
      </c>
      <c r="BQ194" s="23">
        <f t="shared" si="1581"/>
        <v>1.46</v>
      </c>
      <c r="BR194" s="23">
        <f t="shared" si="1581"/>
        <v>1.42</v>
      </c>
      <c r="BS194" s="23">
        <f t="shared" si="1581"/>
        <v>1.44</v>
      </c>
      <c r="BT194" s="23">
        <f t="shared" si="1581"/>
        <v>1.43</v>
      </c>
      <c r="BU194" s="23">
        <f t="shared" si="1581"/>
        <v>1.43</v>
      </c>
      <c r="BV194" s="23">
        <f t="shared" si="1581"/>
        <v>1.51</v>
      </c>
      <c r="BW194" s="23">
        <f t="shared" si="1581"/>
        <v>1.52</v>
      </c>
      <c r="BX194" s="23">
        <f t="shared" si="1581"/>
        <v>1.72</v>
      </c>
      <c r="BY194" s="23">
        <f t="shared" si="1581"/>
        <v>1.57</v>
      </c>
      <c r="BZ194" s="23">
        <f t="shared" si="1581"/>
        <v>1.64</v>
      </c>
      <c r="CA194" s="23">
        <f t="shared" si="1581"/>
        <v>1.83</v>
      </c>
      <c r="CB194" s="23">
        <f t="shared" si="1581"/>
        <v>1.85</v>
      </c>
      <c r="CC194" s="23">
        <f t="shared" si="1581"/>
        <v>1.86</v>
      </c>
      <c r="CD194" s="23">
        <f t="shared" si="1581"/>
        <v>1.84</v>
      </c>
      <c r="CE194" s="23">
        <f t="shared" si="1581"/>
        <v>2.17</v>
      </c>
      <c r="CF194" s="23">
        <f t="shared" si="1581"/>
        <v>2.54</v>
      </c>
      <c r="CG194" s="23">
        <f t="shared" si="1581"/>
        <v>2.54</v>
      </c>
      <c r="CH194" s="23">
        <f t="shared" si="1581"/>
        <v>2.52</v>
      </c>
      <c r="CI194" s="23">
        <f t="shared" si="1581"/>
        <v>2.65</v>
      </c>
      <c r="CJ194" s="23">
        <f t="shared" si="1581"/>
        <v>2.65</v>
      </c>
      <c r="CK194" s="24">
        <f t="shared" si="1581"/>
        <v>2.69</v>
      </c>
      <c r="CL194" s="23">
        <f t="shared" ref="CL194" si="1582">CL32</f>
        <v>2.72</v>
      </c>
      <c r="CM194" s="24">
        <f t="shared" si="1581"/>
        <v>3.3443636363636364</v>
      </c>
      <c r="CN194" s="24">
        <f t="shared" si="1581"/>
        <v>3.3443636363636364</v>
      </c>
      <c r="CO194" s="24">
        <f t="shared" si="1581"/>
        <v>3.3443636363636364</v>
      </c>
      <c r="CP194" s="24">
        <f t="shared" si="1581"/>
        <v>3.3443636363636364</v>
      </c>
      <c r="CQ194" s="24">
        <f t="shared" si="1581"/>
        <v>3.3443636363636364</v>
      </c>
      <c r="CR194" s="24">
        <f t="shared" si="1581"/>
        <v>3.3443636363636364</v>
      </c>
      <c r="CS194" s="24">
        <f t="shared" si="1581"/>
        <v>3.3443636363636364</v>
      </c>
      <c r="CT194" s="24">
        <f t="shared" si="1581"/>
        <v>3.3443636363636364</v>
      </c>
      <c r="CU194" s="24">
        <f t="shared" ref="CU194:DB194" si="1583">CU32</f>
        <v>3.3443636363636364</v>
      </c>
      <c r="CV194" s="24">
        <f t="shared" si="1583"/>
        <v>3.3443636363636364</v>
      </c>
      <c r="CW194" s="24">
        <f t="shared" si="1583"/>
        <v>3.3443636363636364</v>
      </c>
      <c r="CX194" s="24">
        <f t="shared" si="1583"/>
        <v>3.3443636363636364</v>
      </c>
      <c r="CY194" s="24">
        <f t="shared" si="1583"/>
        <v>3.3443636363636364</v>
      </c>
      <c r="CZ194" s="24">
        <f t="shared" si="1583"/>
        <v>3.3443636363636364</v>
      </c>
      <c r="DA194" s="24">
        <f t="shared" si="1583"/>
        <v>3.3443636363636364</v>
      </c>
      <c r="DB194" s="24">
        <f t="shared" si="1583"/>
        <v>3.3443636363636364</v>
      </c>
      <c r="DE194" s="123"/>
      <c r="DF194" s="23">
        <v>2.69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1.2945429000000057</v>
      </c>
      <c r="F195" s="22">
        <f t="shared" si="1584"/>
        <v>-0.27602930000000192</v>
      </c>
      <c r="G195" s="22">
        <f t="shared" si="1584"/>
        <v>1.2892071999999986</v>
      </c>
      <c r="H195" s="22">
        <f t="shared" si="1584"/>
        <v>-1.1345000000000061</v>
      </c>
      <c r="I195" s="22">
        <f t="shared" si="1584"/>
        <v>1.1096000000000015</v>
      </c>
      <c r="J195" s="22">
        <f t="shared" si="1584"/>
        <v>5.1876000000000051</v>
      </c>
      <c r="K195" s="22">
        <f t="shared" si="1584"/>
        <v>4.7530000000000037</v>
      </c>
      <c r="L195" s="22">
        <f t="shared" si="1584"/>
        <v>3.5319999999999836</v>
      </c>
      <c r="M195" s="22">
        <f t="shared" si="1584"/>
        <v>3.2073000000000018</v>
      </c>
      <c r="N195" s="22">
        <f t="shared" si="1584"/>
        <v>3.3240000000000136</v>
      </c>
      <c r="O195" s="22">
        <f t="shared" si="1584"/>
        <v>1.8967000000000067</v>
      </c>
      <c r="P195" s="22">
        <f t="shared" si="1584"/>
        <v>8.2199999999999385E-2</v>
      </c>
      <c r="Q195" s="22">
        <f t="shared" si="1584"/>
        <v>4.638100000000005</v>
      </c>
      <c r="R195" s="22">
        <f t="shared" si="1584"/>
        <v>-0.68659999999998611</v>
      </c>
      <c r="S195" s="22">
        <f t="shared" si="1584"/>
        <v>7.1696999999999953</v>
      </c>
      <c r="T195" s="22">
        <f t="shared" si="1584"/>
        <v>6.0844999999999825</v>
      </c>
      <c r="U195" s="22">
        <f t="shared" si="1584"/>
        <v>6.7331999999999876</v>
      </c>
      <c r="V195" s="22">
        <f t="shared" si="1584"/>
        <v>19.983200000000007</v>
      </c>
      <c r="W195" s="22">
        <f t="shared" si="1584"/>
        <v>33.280899999999988</v>
      </c>
      <c r="X195" s="22">
        <f t="shared" ref="X195:Y195" si="1585">X193+X194</f>
        <v>20.110499999999966</v>
      </c>
      <c r="Y195" s="22">
        <f t="shared" si="1585"/>
        <v>26.226800000000004</v>
      </c>
      <c r="Z195" s="22">
        <f t="shared" ref="Z195:AA195" si="1586">Z193+Z194</f>
        <v>24.351400000000044</v>
      </c>
      <c r="AA195" s="22">
        <f t="shared" si="1586"/>
        <v>40.317799999999991</v>
      </c>
      <c r="AB195" s="21">
        <f t="shared" ref="AA195:AD195" si="1587">AB193+AB194</f>
        <v>49.615886779206065</v>
      </c>
      <c r="AC195" s="21">
        <f t="shared" si="1587"/>
        <v>56.665533646722352</v>
      </c>
      <c r="AD195" s="21">
        <f t="shared" si="1587"/>
        <v>64.194460147712476</v>
      </c>
      <c r="AE195" s="21">
        <f t="shared" ref="AE195" si="1588">AE193+AE194</f>
        <v>72.639104028576455</v>
      </c>
      <c r="AI195" s="22">
        <f t="shared" ref="AI195" si="1589">AI193+AI194</f>
        <v>1.2589999999999995</v>
      </c>
      <c r="AJ195" s="22">
        <f t="shared" ref="AJ195:AL195" si="1590">AJ193+AJ194</f>
        <v>0.85000000000000075</v>
      </c>
      <c r="AK195" s="22">
        <f t="shared" si="1590"/>
        <v>0.27999999999999931</v>
      </c>
      <c r="AL195" s="22">
        <f t="shared" si="1590"/>
        <v>0.99000000000000199</v>
      </c>
      <c r="AM195" s="22">
        <f t="shared" ref="AM195" si="1591">AM193+AM194</f>
        <v>0.46399999999999886</v>
      </c>
      <c r="AN195" s="22">
        <f t="shared" ref="AN195:CD195" si="1592">AN193+AN194</f>
        <v>1.8300000000000012</v>
      </c>
      <c r="AO195" s="22">
        <f t="shared" si="1592"/>
        <v>2.3500000000000005</v>
      </c>
      <c r="AP195" s="22">
        <f t="shared" si="1592"/>
        <v>-2.7350000000000043</v>
      </c>
      <c r="AQ195" s="22">
        <f t="shared" si="1592"/>
        <v>0.68999999999999839</v>
      </c>
      <c r="AR195" s="22">
        <f t="shared" si="1592"/>
        <v>0.68999999999999617</v>
      </c>
      <c r="AS195" s="22">
        <f t="shared" si="1592"/>
        <v>-1.2600000000000047</v>
      </c>
      <c r="AT195" s="22">
        <f t="shared" si="1592"/>
        <v>-3.000000000000036E-2</v>
      </c>
      <c r="AU195" s="22">
        <f t="shared" si="1592"/>
        <v>2.0699999999999976</v>
      </c>
      <c r="AV195" s="22">
        <f t="shared" si="1592"/>
        <v>1.050000000000002</v>
      </c>
      <c r="AW195" s="22">
        <f t="shared" si="1592"/>
        <v>-0.30999999999999828</v>
      </c>
      <c r="AX195" s="22">
        <f t="shared" si="1592"/>
        <v>1.8500000000000028</v>
      </c>
      <c r="AY195" s="22">
        <f t="shared" si="1592"/>
        <v>0.85000000000000209</v>
      </c>
      <c r="AZ195" s="22">
        <f t="shared" si="1592"/>
        <v>1.1499999999999959</v>
      </c>
      <c r="BA195" s="22">
        <f t="shared" si="1592"/>
        <v>-1.1800000000000028</v>
      </c>
      <c r="BB195" s="22">
        <f t="shared" si="1592"/>
        <v>-1.4500000000000033</v>
      </c>
      <c r="BC195" s="22">
        <f t="shared" si="1592"/>
        <v>0.53</v>
      </c>
      <c r="BD195" s="22">
        <f t="shared" si="1592"/>
        <v>1.9700000000000017</v>
      </c>
      <c r="BE195" s="22">
        <f t="shared" si="1592"/>
        <v>1.8299999999999965</v>
      </c>
      <c r="BF195" s="22">
        <f t="shared" si="1592"/>
        <v>2.8399999999999994</v>
      </c>
      <c r="BG195" s="22">
        <f t="shared" si="1592"/>
        <v>1.9399999999999915</v>
      </c>
      <c r="BH195" s="22">
        <f t="shared" si="1592"/>
        <v>1.6899999999999968</v>
      </c>
      <c r="BI195" s="22">
        <f t="shared" si="1592"/>
        <v>-1.4200000000000008</v>
      </c>
      <c r="BJ195" s="22">
        <f t="shared" si="1592"/>
        <v>3.9000000000000004</v>
      </c>
      <c r="BK195" s="22">
        <f t="shared" si="1592"/>
        <v>1.0000000000000016</v>
      </c>
      <c r="BL195" s="22">
        <f t="shared" si="1592"/>
        <v>2.7699999999999951</v>
      </c>
      <c r="BM195" s="22">
        <f t="shared" si="1592"/>
        <v>0.43000000000000016</v>
      </c>
      <c r="BN195" s="22">
        <f t="shared" si="1592"/>
        <v>2.5200000000000031</v>
      </c>
      <c r="BO195" s="22">
        <f t="shared" si="1592"/>
        <v>2.2600000000000007</v>
      </c>
      <c r="BP195" s="22">
        <f t="shared" si="1592"/>
        <v>7.599999999999997</v>
      </c>
      <c r="BQ195" s="22">
        <f t="shared" si="1592"/>
        <v>5.3999999999999995</v>
      </c>
      <c r="BR195" s="22">
        <f t="shared" si="1592"/>
        <v>4.7200000000000024</v>
      </c>
      <c r="BS195" s="22">
        <f t="shared" si="1592"/>
        <v>17.760000000000009</v>
      </c>
      <c r="BT195" s="22">
        <f t="shared" si="1592"/>
        <v>6.0099999999999989</v>
      </c>
      <c r="BU195" s="22">
        <f t="shared" si="1592"/>
        <v>5.2200000000000042</v>
      </c>
      <c r="BV195" s="22">
        <f t="shared" si="1592"/>
        <v>4.3000000000000043</v>
      </c>
      <c r="BW195" s="22">
        <f t="shared" si="1592"/>
        <v>5.3399999999999945</v>
      </c>
      <c r="BX195" s="22">
        <f t="shared" si="1592"/>
        <v>7.2100000000000088</v>
      </c>
      <c r="BY195" s="22">
        <f t="shared" si="1592"/>
        <v>2.5700000000000065</v>
      </c>
      <c r="BZ195" s="22">
        <f t="shared" si="1592"/>
        <v>4.9899999999999993</v>
      </c>
      <c r="CA195" s="22">
        <f t="shared" si="1592"/>
        <v>5.67</v>
      </c>
      <c r="CB195" s="22">
        <f t="shared" si="1592"/>
        <v>5.7300000000000093</v>
      </c>
      <c r="CC195" s="22">
        <f t="shared" si="1592"/>
        <v>6.9900000000000011</v>
      </c>
      <c r="CD195" s="22">
        <f t="shared" si="1592"/>
        <v>7.8300000000000036</v>
      </c>
      <c r="CE195" s="22">
        <f t="shared" ref="CE195:CF195" si="1593">CE193+CE194</f>
        <v>6.1799999999999899</v>
      </c>
      <c r="CF195" s="22">
        <f t="shared" si="1593"/>
        <v>5.729999999999996</v>
      </c>
      <c r="CG195" s="22">
        <f t="shared" ref="CG195:CH195" si="1594">CG193+CG194</f>
        <v>4.1700000000000061</v>
      </c>
      <c r="CH195" s="22">
        <f t="shared" si="1594"/>
        <v>8.260000000000014</v>
      </c>
      <c r="CI195" s="22">
        <f t="shared" ref="CI195:CJ195" si="1595">CI193+CI194</f>
        <v>9.4700000000000042</v>
      </c>
      <c r="CJ195" s="22">
        <f t="shared" si="1595"/>
        <v>9.8800000000000114</v>
      </c>
      <c r="CK195" s="21">
        <f t="shared" ref="CK195:DB195" si="1596">CK193+CK194</f>
        <v>7.5799999999999947</v>
      </c>
      <c r="CL195" s="22">
        <f t="shared" si="1596"/>
        <v>13.380000000000008</v>
      </c>
      <c r="CM195" s="21">
        <f t="shared" si="1596"/>
        <v>13.068256138842768</v>
      </c>
      <c r="CN195" s="21">
        <f t="shared" si="1596"/>
        <v>13.589615089775577</v>
      </c>
      <c r="CO195" s="21">
        <f t="shared" si="1596"/>
        <v>10.485004015178879</v>
      </c>
      <c r="CP195" s="21">
        <f t="shared" si="1596"/>
        <v>12.473011535408817</v>
      </c>
      <c r="CQ195" s="21">
        <f t="shared" si="1596"/>
        <v>15.391180575234738</v>
      </c>
      <c r="CR195" s="21">
        <f t="shared" si="1596"/>
        <v>15.692561053384585</v>
      </c>
      <c r="CS195" s="21">
        <f t="shared" si="1596"/>
        <v>11.940030891890904</v>
      </c>
      <c r="CT195" s="21">
        <f t="shared" si="1596"/>
        <v>13.641761126212012</v>
      </c>
      <c r="CU195" s="21">
        <f t="shared" si="1596"/>
        <v>17.6058207733677</v>
      </c>
      <c r="CV195" s="21">
        <f t="shared" si="1596"/>
        <v>17.814144857285285</v>
      </c>
      <c r="CW195" s="21">
        <f t="shared" si="1596"/>
        <v>13.441312929155725</v>
      </c>
      <c r="CX195" s="21">
        <f t="shared" si="1596"/>
        <v>15.333181587903688</v>
      </c>
      <c r="CY195" s="21">
        <f t="shared" si="1596"/>
        <v>19.984039665960807</v>
      </c>
      <c r="CZ195" s="21">
        <f t="shared" si="1596"/>
        <v>20.17610516759974</v>
      </c>
      <c r="DA195" s="21">
        <f t="shared" si="1596"/>
        <v>15.157826877120652</v>
      </c>
      <c r="DB195" s="21">
        <f t="shared" si="1596"/>
        <v>17.321132317895202</v>
      </c>
      <c r="DE195" s="126"/>
      <c r="DF195" s="22">
        <v>12.181535922337495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-7.6087151999999989</v>
      </c>
      <c r="F196" s="23">
        <f t="shared" si="1597"/>
        <v>-0.91661870000000134</v>
      </c>
      <c r="G196" s="23">
        <f t="shared" si="1597"/>
        <v>-4.5990513999999996</v>
      </c>
      <c r="H196" s="23">
        <f t="shared" si="1597"/>
        <v>-2.6408147000000008</v>
      </c>
      <c r="I196" s="23">
        <f t="shared" si="1597"/>
        <v>-1.1610999999999989</v>
      </c>
      <c r="J196" s="23">
        <f>I148-J148+I163+I164-J163-J164</f>
        <v>-3.877900000000003</v>
      </c>
      <c r="K196" s="23">
        <f>J148-K148+J163+J164-K163-K164</f>
        <v>-6.6254999999999979</v>
      </c>
      <c r="L196" s="23">
        <f t="shared" si="1597"/>
        <v>-5.5301000000000045</v>
      </c>
      <c r="M196" s="23">
        <f t="shared" si="1597"/>
        <v>-2.8815000000000013</v>
      </c>
      <c r="N196" s="23">
        <f t="shared" si="1597"/>
        <v>-4.8539999999999921</v>
      </c>
      <c r="O196" s="23">
        <f t="shared" si="1597"/>
        <v>-14.72670000000001</v>
      </c>
      <c r="P196" s="23">
        <f t="shared" si="1597"/>
        <v>6.5020000000000078</v>
      </c>
      <c r="Q196" s="23">
        <f t="shared" si="1597"/>
        <v>-17.590300000000003</v>
      </c>
      <c r="R196" s="23">
        <f t="shared" si="1597"/>
        <v>2.3187000000000078</v>
      </c>
      <c r="S196" s="23">
        <f t="shared" si="1597"/>
        <v>-18.094800000000006</v>
      </c>
      <c r="T196" s="23">
        <f t="shared" si="1597"/>
        <v>5.9416000000000082</v>
      </c>
      <c r="U196" s="23">
        <f t="shared" si="1597"/>
        <v>0.17839999999999145</v>
      </c>
      <c r="V196" s="23">
        <f t="shared" si="1597"/>
        <v>5.0223000000000049</v>
      </c>
      <c r="W196" s="23">
        <f t="shared" si="1597"/>
        <v>-24.568499999999993</v>
      </c>
      <c r="X196" s="23">
        <f t="shared" si="1597"/>
        <v>6.7241999999999944</v>
      </c>
      <c r="Y196" s="23">
        <f t="shared" si="1597"/>
        <v>-26.871600000000008</v>
      </c>
      <c r="Z196" s="23">
        <f t="shared" si="1597"/>
        <v>-16.870299999999993</v>
      </c>
      <c r="AA196" s="23">
        <f t="shared" si="1597"/>
        <v>13.787099999999974</v>
      </c>
      <c r="AB196" s="24">
        <f t="shared" ref="AB196" si="1598">AA148-AB148+AA163+AA164-AB163-AB164</f>
        <v>-16.280229641701247</v>
      </c>
      <c r="AC196" s="24">
        <f t="shared" ref="AC196" si="1599">AB148-AC148+AB163+AB164-AC163-AC164</f>
        <v>-20.641213842992926</v>
      </c>
      <c r="AD196" s="24">
        <f t="shared" ref="AD196" si="1600">AC148-AD148+AC163+AC164-AD163-AD164</f>
        <v>-23.787620611009714</v>
      </c>
      <c r="AE196" s="24">
        <f t="shared" ref="AE196" si="1601">AD148-AE148+AD163+AD164-AE163-AE164</f>
        <v>-27.202956241782402</v>
      </c>
      <c r="AI196" s="23">
        <f>AH148-AI148+AH163+AH164-AI163-AJ164</f>
        <v>0</v>
      </c>
      <c r="AJ196" s="23">
        <f t="shared" ref="AJ196:AL196" si="1602">AI148-AJ148+AI163+AI164-AJ163-AK164</f>
        <v>-36.940999999999995</v>
      </c>
      <c r="AK196" s="23">
        <f t="shared" si="1602"/>
        <v>2.6738470809792858</v>
      </c>
      <c r="AL196" s="23">
        <f t="shared" si="1602"/>
        <v>-6.4288470809792884</v>
      </c>
      <c r="AM196" s="23">
        <f t="shared" ref="AM196" si="1603">AL148-AM148+AL163+AL164-AM163-AM164</f>
        <v>-0.12787214562689542</v>
      </c>
      <c r="AN196" s="23">
        <f t="shared" ref="AN196" si="1604">AM148-AN148+AM163+AM164-AN163-AN164</f>
        <v>-7.4961278543731078</v>
      </c>
      <c r="AO196" s="23">
        <f t="shared" ref="AO196" si="1605">AN148-AO148+AN163+AN164-AO163-AO164</f>
        <v>-0.83676513600468638</v>
      </c>
      <c r="AP196" s="23">
        <f t="shared" ref="AP196" si="1606">AO148-AP148+AO163+AO164-AP163-AP164</f>
        <v>-6.2632348639953195</v>
      </c>
      <c r="AQ196" s="23">
        <f t="shared" ref="AQ196" si="1607">AP148-AQ148+AP163+AP164-AQ163-AQ164</f>
        <v>7.4141826134499809</v>
      </c>
      <c r="AR196" s="23">
        <f t="shared" ref="AR196" si="1608">AQ148-AR148+AQ163+AQ164-AR163-AR164</f>
        <v>-14.084182613449968</v>
      </c>
      <c r="AS196" s="23">
        <f t="shared" ref="AS196" si="1609">AR148-AS148+AR163+AR164-AS163-AS164</f>
        <v>8.3105809379727589</v>
      </c>
      <c r="AT196" s="23">
        <f t="shared" ref="AT196" si="1610">AS148-AT148+AS163+AS164-AT163-AT164</f>
        <v>4.86941906202724</v>
      </c>
      <c r="AU196" s="23">
        <f t="shared" ref="AU196" si="1611">AT148-AU148+AT163+AT164-AU163-AU164</f>
        <v>-8.701983351429611</v>
      </c>
      <c r="AV196" s="23">
        <f t="shared" ref="AV196" si="1612">AU148-AV148+AU163+AU164-AV163-AV164</f>
        <v>-20.488016648570408</v>
      </c>
      <c r="AW196" s="23">
        <f t="shared" ref="AW196" si="1613">AV148-AW148+AV163+AV164-AW163-AW164</f>
        <v>6.8981039152918129</v>
      </c>
      <c r="AX196" s="23">
        <f t="shared" ref="AX196" si="1614">AW148-AX148+AW163+AW164-AX163-AX164</f>
        <v>4.7018960847081956</v>
      </c>
      <c r="AY196" s="23">
        <f t="shared" ref="AY196" si="1615">AX148-AY148+AX163+AX164-AY163-AY164</f>
        <v>-2.9985255791505812</v>
      </c>
      <c r="AZ196" s="23">
        <f t="shared" ref="AZ196" si="1616">AY148-AZ148+AY163+AY164-AZ163-AZ164</f>
        <v>5.1285255791505922</v>
      </c>
      <c r="BA196" s="23">
        <f t="shared" ref="BA196" si="1617">AZ148-BA148+AZ163+AZ164-BA163-BA164</f>
        <v>-3.4479468845760981</v>
      </c>
      <c r="BB196" s="23">
        <f t="shared" ref="BB196" si="1618">BA148-BB148+BA163+BA164-BB163-BB164</f>
        <v>5.2079468845760921</v>
      </c>
      <c r="BC196" s="23">
        <f t="shared" ref="BC196" si="1619">BB148-BC148+BB163+BB164-BC163-BC164</f>
        <v>3.9511910112359558</v>
      </c>
      <c r="BD196" s="23">
        <f t="shared" ref="BD196" si="1620">BC148-BD148+BC163+BC164-BD163-BD164</f>
        <v>-13.041191011235959</v>
      </c>
      <c r="BE196" s="23">
        <f t="shared" ref="BE196" si="1621">BD148-BE148+BD163+BD164-BE163-BE164</f>
        <v>-4.812394907518609</v>
      </c>
      <c r="BF196" s="23">
        <f t="shared" ref="BF196" si="1622">BE148-BF148+BE163+BE164-BF163-BF164</f>
        <v>-3.8776050924813887</v>
      </c>
      <c r="BG196" s="23">
        <f t="shared" ref="BG196" si="1623">BF148-BG148+BF163+BF164-BG163-BG164</f>
        <v>1.4227082510856661</v>
      </c>
      <c r="BH196" s="23">
        <f t="shared" ref="BH196" si="1624">BG148-BH148+BG163+BG164-BH163-BH164</f>
        <v>-5.142708251085665</v>
      </c>
      <c r="BI196" s="23">
        <f t="shared" ref="BI196" si="1625">BH148-BI148+BH163+BH164-BI163-BI164</f>
        <v>17.115220808383228</v>
      </c>
      <c r="BJ196" s="23">
        <f t="shared" ref="BJ196" si="1626">BI148-BJ148+BI163+BI164-BJ163-BJ164</f>
        <v>-7.4652208083832363</v>
      </c>
      <c r="BK196" s="23">
        <f t="shared" ref="BK196" si="1627">BJ148-BK148+BJ163+BJ164-BK163-BK164</f>
        <v>0.45126067930819147</v>
      </c>
      <c r="BL196" s="23">
        <f t="shared" ref="BL196" si="1628">BK148-BL148+BK163+BK164-BL163-BL164</f>
        <v>-5.0112606793081795</v>
      </c>
      <c r="BM196" s="23">
        <f t="shared" ref="BM196" si="1629">BL148-BM148+BL163+BL164-BM163-BM164</f>
        <v>6.0110206690816028</v>
      </c>
      <c r="BN196" s="23">
        <f t="shared" ref="BN196" si="1630">BM148-BN148+BM163+BM164-BN163-BN164</f>
        <v>-1.2210206690816063</v>
      </c>
      <c r="BO196" s="23">
        <f t="shared" ref="BO196" si="1631">BN148-BO148+BN163+BN164-BO163-BO164</f>
        <v>7.4903862469301146</v>
      </c>
      <c r="BP196" s="23">
        <f t="shared" ref="BP196" si="1632">BO148-BP148+BO163+BO164-BP163-BP164</f>
        <v>-0.72038624693012376</v>
      </c>
      <c r="BQ196" s="23">
        <f t="shared" ref="BQ196" si="1633">BP148-BQ148+BP163+BP164-BQ163-BQ164</f>
        <v>0.11333579881656419</v>
      </c>
      <c r="BR196" s="23">
        <f t="shared" ref="BR196" si="1634">BQ148-BR148+BQ163+BQ164-BR163-BR164</f>
        <v>0.37666420118343646</v>
      </c>
      <c r="BS196" s="23">
        <f t="shared" ref="BS196" si="1635">BR148-BS148+BR163+BR164-BS163-BS164</f>
        <v>-9.4496789168278355</v>
      </c>
      <c r="BT196" s="23">
        <f t="shared" ref="BT196" si="1636">BS148-BT148+BS163+BS164-BT163-BT164</f>
        <v>7.5696789168278471</v>
      </c>
      <c r="BU196" s="23">
        <f t="shared" ref="BU196" si="1637">BT148-BU148+BT163+BT164-BU163-BU164</f>
        <v>0.65046880327307122</v>
      </c>
      <c r="BV196" s="23">
        <f t="shared" ref="BV196" si="1638">BU148-BV148+BU163+BU164-BV163-BV164</f>
        <v>-16.120468803273077</v>
      </c>
      <c r="BW196" s="23">
        <f t="shared" ref="BW196" si="1639">BV148-BW148+BV163+BV164-BW163-BW164</f>
        <v>4.2927329937069203</v>
      </c>
      <c r="BX196" s="23">
        <f t="shared" ref="BX196" si="1640">BW148-BX148+BW163+BW164-BX163-BX164</f>
        <v>-18.222732993706906</v>
      </c>
      <c r="BY196" s="23">
        <f t="shared" ref="BY196" si="1641">BX148-BY148+BX163+BX164-BY163-BY164</f>
        <v>17.262574180518868</v>
      </c>
      <c r="BZ196" s="23">
        <f t="shared" ref="BZ196" si="1642">BY148-BZ148+BY163+BY164-BZ163-BZ164</f>
        <v>-8.0025741805188684</v>
      </c>
      <c r="CA196" s="23">
        <f t="shared" ref="CA196" si="1643">BZ148-CA148+BZ163+BZ164-CA163-CA164</f>
        <v>-0.25316882335241075</v>
      </c>
      <c r="CB196" s="23">
        <f t="shared" ref="CB196" si="1644">CA148-CB148+CA163+CA164-CB163-CB164</f>
        <v>-0.69683117664760186</v>
      </c>
      <c r="CC196" s="23">
        <f t="shared" ref="CC196" si="1645">CB148-CC148+CB163+CB164-CC163-CC164</f>
        <v>0.95128069111854074</v>
      </c>
      <c r="CD196" s="23">
        <f t="shared" ref="CD196" si="1646">CC148-CD148+CC163+CC164-CD163-CD164</f>
        <v>-10.891280691118544</v>
      </c>
      <c r="CE196" s="23">
        <f t="shared" ref="CE196" si="1647">CD148-CE148+CD163+CD164-CE163-CE164</f>
        <v>8.0691792353560317</v>
      </c>
      <c r="CF196" s="23">
        <f t="shared" ref="CF196" si="1648">CE148-CF148+CE163+CE164-CF163-CF164</f>
        <v>-26.309179235356023</v>
      </c>
      <c r="CG196" s="23">
        <f t="shared" ref="CG196" si="1649">CF148-CG148+CF163+CF164-CG163-CG164</f>
        <v>9.5292325906791433</v>
      </c>
      <c r="CH196" s="23">
        <f t="shared" ref="CH196:CL196" si="1650">CG148-CH148+CG163+CG164-CH163-CH164</f>
        <v>-24.139532590679146</v>
      </c>
      <c r="CI196" s="23">
        <f t="shared" si="1650"/>
        <v>-4.5629460973619871</v>
      </c>
      <c r="CJ196" s="23">
        <f t="shared" si="1650"/>
        <v>31.873246097361982</v>
      </c>
      <c r="CK196" s="24">
        <f t="shared" ref="CK196" si="1651">CJ148-CK148+CJ163+CJ164-CK163-CK164</f>
        <v>25.518751633986938</v>
      </c>
      <c r="CL196" s="23">
        <f t="shared" si="1650"/>
        <v>-39.028751633986936</v>
      </c>
      <c r="CM196" s="24">
        <f t="shared" ref="CM196" si="1652">CL148-CM148+CL163+CL164-CM163-CM164</f>
        <v>-34.693774563512903</v>
      </c>
      <c r="CN196" s="24">
        <f t="shared" ref="CN196" si="1653">CM148-CN148+CM163+CM164-CN163-CN164</f>
        <v>-3.706511235778521</v>
      </c>
      <c r="CO196" s="24">
        <f t="shared" ref="CO196" si="1654">CN148-CO148+CN163+CN164-CO163-CO164</f>
        <v>41.592432586680431</v>
      </c>
      <c r="CP196" s="24">
        <f t="shared" ref="CP196" si="1655">CO148-CP148+CO163+CO164-CP163-CP164</f>
        <v>-19.485576429090273</v>
      </c>
      <c r="CQ196" s="24">
        <f t="shared" ref="CQ196" si="1656">CP148-CQ148+CP163+CP164-CQ163-CQ164</f>
        <v>-44.51552405226326</v>
      </c>
      <c r="CR196" s="24">
        <f t="shared" ref="CR196" si="1657">CQ148-CR148+CQ163+CQ164-CR163-CR164</f>
        <v>-1.6628549643266979</v>
      </c>
      <c r="CS196" s="24">
        <f t="shared" ref="CS196" si="1658">CR148-CS148+CR163+CR164-CS163-CS164</f>
        <v>48.224334836143868</v>
      </c>
      <c r="CT196" s="24">
        <f t="shared" ref="CT196" si="1659">CS148-CT148+CS163+CS164-CT163-CT164</f>
        <v>-22.687169662546836</v>
      </c>
      <c r="CU196" s="24">
        <f t="shared" ref="CU196" si="1660">CT148-CU148+CT163+CT164-CU163-CU164</f>
        <v>-51.619688113449826</v>
      </c>
      <c r="CV196" s="24">
        <f t="shared" ref="CV196" si="1661">CU148-CV148+CU163+CU164-CV163-CV164</f>
        <v>-1.2621281336454331</v>
      </c>
      <c r="CW196" s="24">
        <f t="shared" ref="CW196" si="1662">CV148-CW148+CV163+CV164-CW163-CW164</f>
        <v>55.178957395109336</v>
      </c>
      <c r="CX196" s="24">
        <f t="shared" ref="CX196" si="1663">CW148-CX148+CW163+CW164-CX163-CX164</f>
        <v>-26.084761759023792</v>
      </c>
      <c r="CY196" s="24">
        <f t="shared" ref="CY196" si="1664">CX148-CY148+CX163+CX164-CY163-CY164</f>
        <v>-59.120776097047845</v>
      </c>
      <c r="CZ196" s="24">
        <f t="shared" ref="CZ196" si="1665">CY148-CZ148+CY163+CY164-CZ163-CZ164</f>
        <v>-1.3111199745531508</v>
      </c>
      <c r="DA196" s="24">
        <f t="shared" ref="DA196" si="1666">CZ148-DA148+CZ163+CZ164-DA163-DA164</f>
        <v>63.097436924707694</v>
      </c>
      <c r="DB196" s="24">
        <f t="shared" ref="DB196" si="1667">DA148-DB148+DA163+DA164-DB163-DB164</f>
        <v>-29.868497094889108</v>
      </c>
      <c r="DE196" s="123"/>
      <c r="DF196" s="23">
        <v>-44.799910561003529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-3.5321364000000002</v>
      </c>
      <c r="F197" s="23">
        <f t="shared" si="1668"/>
        <v>-0.49620429999999915</v>
      </c>
      <c r="G197" s="23">
        <f t="shared" si="1668"/>
        <v>-0.82448030000000117</v>
      </c>
      <c r="H197" s="23">
        <f t="shared" si="1668"/>
        <v>-0.8584789999999991</v>
      </c>
      <c r="I197" s="23">
        <f t="shared" si="1668"/>
        <v>0.13659999999999961</v>
      </c>
      <c r="J197" s="23">
        <f>I156-J156</f>
        <v>-1.8822000000000001</v>
      </c>
      <c r="K197" s="23">
        <f>J156-K156</f>
        <v>-3.9697000000000005</v>
      </c>
      <c r="L197" s="23">
        <f t="shared" si="1668"/>
        <v>1.1046000000000014</v>
      </c>
      <c r="M197" s="23">
        <f t="shared" si="1668"/>
        <v>-3.4201000000000015</v>
      </c>
      <c r="N197" s="23">
        <f t="shared" si="1668"/>
        <v>-2.3995999999999995</v>
      </c>
      <c r="O197" s="23">
        <f t="shared" si="1668"/>
        <v>-1.4099000000000004</v>
      </c>
      <c r="P197" s="23">
        <f t="shared" si="1668"/>
        <v>-17.454599999999999</v>
      </c>
      <c r="Q197" s="23">
        <f t="shared" si="1668"/>
        <v>3.7736000000000018</v>
      </c>
      <c r="R197" s="23">
        <f t="shared" si="1668"/>
        <v>-1.8195999999999941</v>
      </c>
      <c r="S197" s="23">
        <f t="shared" si="1668"/>
        <v>-4.4652000000000029</v>
      </c>
      <c r="T197" s="23">
        <f t="shared" si="1668"/>
        <v>4.8108999999999966</v>
      </c>
      <c r="U197" s="23">
        <f t="shared" si="1668"/>
        <v>5.4131999999999962</v>
      </c>
      <c r="V197" s="23">
        <f t="shared" si="1668"/>
        <v>-1.034399999999998</v>
      </c>
      <c r="W197" s="23">
        <f t="shared" si="1668"/>
        <v>-19.460000000000008</v>
      </c>
      <c r="X197" s="23">
        <f t="shared" si="1668"/>
        <v>19.865800000000007</v>
      </c>
      <c r="Y197" s="23">
        <f t="shared" si="1668"/>
        <v>-40.669800000000002</v>
      </c>
      <c r="Z197" s="23">
        <f t="shared" si="1668"/>
        <v>-35.418999999999997</v>
      </c>
      <c r="AA197" s="23">
        <f t="shared" si="1668"/>
        <v>60.438000000000002</v>
      </c>
      <c r="AB197" s="24">
        <f t="shared" ref="AB197" si="1669">AA156-AB156</f>
        <v>-5.5352103634364838</v>
      </c>
      <c r="AC197" s="24">
        <f t="shared" ref="AC197" si="1670">AB156-AC156</f>
        <v>-7.0156618077790966</v>
      </c>
      <c r="AD197" s="24">
        <f t="shared" ref="AD197" si="1671">AC156-AD156</f>
        <v>-8.0850817538161621</v>
      </c>
      <c r="AE197" s="24">
        <f t="shared" ref="AE197" si="1672">AD156-AE156</f>
        <v>-9.2459068839570762</v>
      </c>
      <c r="AI197" s="23">
        <f t="shared" ref="AI197" si="1673">AH156-AI156</f>
        <v>0</v>
      </c>
      <c r="AJ197" s="23">
        <f t="shared" ref="AJ197" si="1674">AI156-AJ156</f>
        <v>-21.367000000000001</v>
      </c>
      <c r="AK197" s="23">
        <f t="shared" ref="AK197" si="1675">AJ156-AK156</f>
        <v>0</v>
      </c>
      <c r="AL197" s="23">
        <f t="shared" ref="AL197" si="1676">AK156-AL156</f>
        <v>-9.8959999999999972</v>
      </c>
      <c r="AM197" s="23">
        <f t="shared" ref="AM197" si="1677">AL156-AM156</f>
        <v>-5.0722425678586092E-2</v>
      </c>
      <c r="AN197" s="23">
        <f t="shared" ref="AN197" si="1678">AM156-AN156</f>
        <v>6.6737224256785836</v>
      </c>
      <c r="AO197" s="23">
        <f t="shared" ref="AO197" si="1679">AN156-AO156</f>
        <v>-0.26472652822462805</v>
      </c>
      <c r="AP197" s="23">
        <f t="shared" ref="AP197" si="1680">AO156-AP156</f>
        <v>7.1547265282246251</v>
      </c>
      <c r="AQ197" s="23">
        <f t="shared" ref="AQ197" si="1681">AP156-AQ156</f>
        <v>2.3125642427556059</v>
      </c>
      <c r="AR197" s="23">
        <f t="shared" ref="AR197" si="1682">AQ156-AR156</f>
        <v>-6.3625642427555995</v>
      </c>
      <c r="AS197" s="23">
        <f t="shared" ref="AS197" si="1683">AR156-AS156</f>
        <v>2.9667594553706493</v>
      </c>
      <c r="AT197" s="23">
        <f t="shared" ref="AT197" si="1684">AS156-AT156</f>
        <v>-16.456759455370651</v>
      </c>
      <c r="AU197" s="23">
        <f t="shared" ref="AU197" si="1685">AT156-AU156</f>
        <v>-4.4684401013391266</v>
      </c>
      <c r="AV197" s="23">
        <f t="shared" ref="AV197" si="1686">AU156-AV156</f>
        <v>9.4484401013391235</v>
      </c>
      <c r="AW197" s="23">
        <f t="shared" ref="AW197" si="1687">AV156-AW156</f>
        <v>2.6883427727160836</v>
      </c>
      <c r="AX197" s="23">
        <f t="shared" ref="AX197" si="1688">AW156-AX156</f>
        <v>-3.9683427727160847</v>
      </c>
      <c r="AY197" s="23">
        <f t="shared" ref="AY197" si="1689">AX156-AY156</f>
        <v>-1.4073334942084941</v>
      </c>
      <c r="AZ197" s="23">
        <f t="shared" ref="AZ197" si="1690">AY156-AZ156</f>
        <v>3.9073334942084976</v>
      </c>
      <c r="BA197" s="23">
        <f t="shared" ref="BA197" si="1691">AZ156-BA156</f>
        <v>-1.5378549540347315</v>
      </c>
      <c r="BB197" s="23">
        <f t="shared" ref="BB197" si="1692">BA156-BB156</f>
        <v>-18.182145045965264</v>
      </c>
      <c r="BC197" s="23">
        <f t="shared" ref="BC197" si="1693">BB156-BC156</f>
        <v>1.6632829417773252</v>
      </c>
      <c r="BD197" s="23">
        <f t="shared" ref="BD197" si="1694">BC156-BD156</f>
        <v>-1.9932829417773235</v>
      </c>
      <c r="BE197" s="23">
        <f t="shared" ref="BE197" si="1695">BD156-BE156</f>
        <v>-2.1938986307951041</v>
      </c>
      <c r="BF197" s="23">
        <f t="shared" ref="BF197" si="1696">BE156-BF156</f>
        <v>10.733898630795096</v>
      </c>
      <c r="BG197" s="23">
        <f t="shared" ref="BG197" si="1697">BF156-BG156</f>
        <v>0.55995262534544565</v>
      </c>
      <c r="BH197" s="23">
        <f t="shared" ref="BH197" si="1698">BG156-BH156</f>
        <v>-9.2999526253454476</v>
      </c>
      <c r="BI197" s="23">
        <f t="shared" ref="BI197" si="1699">BH156-BI156</f>
        <v>6.2244648203592803</v>
      </c>
      <c r="BJ197" s="23">
        <f t="shared" ref="BJ197" si="1700">BI156-BJ156</f>
        <v>-9.8544648203592757</v>
      </c>
      <c r="BK197" s="23">
        <f t="shared" ref="BK197" si="1701">BJ156-BK156</f>
        <v>0.16995207334861107</v>
      </c>
      <c r="BL197" s="23">
        <f t="shared" ref="BL197" si="1702">BK156-BL156</f>
        <v>28.770047926651383</v>
      </c>
      <c r="BM197" s="23">
        <f t="shared" ref="BM197" si="1703">BL156-BM156</f>
        <v>2.3793394417217115</v>
      </c>
      <c r="BN197" s="23">
        <f t="shared" ref="BN197" si="1704">BM156-BN156</f>
        <v>-3.6993394417217083</v>
      </c>
      <c r="BO197" s="23">
        <f t="shared" ref="BO197" si="1705">BN156-BO156</f>
        <v>2.9338222817593191</v>
      </c>
      <c r="BP197" s="23">
        <f t="shared" ref="BP197" si="1706">BO156-BP156</f>
        <v>-4.903822281759318</v>
      </c>
      <c r="BQ197" s="23">
        <f t="shared" ref="BQ197" si="1707">BP156-BQ156</f>
        <v>4.7392751479286233E-2</v>
      </c>
      <c r="BR197" s="23">
        <f t="shared" ref="BR197" si="1708">BQ156-BR156</f>
        <v>3.1226072485207155</v>
      </c>
      <c r="BS197" s="23">
        <f t="shared" ref="BS197" si="1709">BR156-BS156</f>
        <v>-3.5783520309477765</v>
      </c>
      <c r="BT197" s="23">
        <f t="shared" ref="BT197" si="1710">BS156-BT156</f>
        <v>-5.2616479690522269</v>
      </c>
      <c r="BU197" s="23">
        <f t="shared" ref="BU197" si="1711">BT156-BU156</f>
        <v>0.26292874190248483</v>
      </c>
      <c r="BV197" s="23">
        <f t="shared" ref="BV197" si="1712">BU156-BV156</f>
        <v>-3.6729287419024814</v>
      </c>
      <c r="BW197" s="23">
        <f t="shared" ref="BW197" si="1713">BV156-BW156</f>
        <v>2.013470182798919</v>
      </c>
      <c r="BX197" s="23">
        <f t="shared" ref="BX197" si="1714">BW156-BX156</f>
        <v>-1.7234701827989198</v>
      </c>
      <c r="BY197" s="23">
        <f t="shared" ref="BY197" si="1715">BX156-BY156</f>
        <v>6.9087012583501668</v>
      </c>
      <c r="BZ197" s="23">
        <f t="shared" ref="BZ197" si="1716">BY156-BZ156</f>
        <v>1.2812987416498345</v>
      </c>
      <c r="CA197" s="23">
        <f t="shared" ref="CA197" si="1717">BZ156-CA156</f>
        <v>-7.8519410171537629E-2</v>
      </c>
      <c r="CB197" s="23">
        <f t="shared" ref="CB197" si="1718">CA156-CB156</f>
        <v>-9.0214805898284673</v>
      </c>
      <c r="CC197" s="23">
        <f t="shared" ref="CC197" si="1719">CB156-CC156</f>
        <v>0.37428614731737042</v>
      </c>
      <c r="CD197" s="23">
        <f t="shared" ref="CD197" si="1720">CC156-CD156</f>
        <v>-15.954286147317369</v>
      </c>
      <c r="CE197" s="23">
        <f t="shared" ref="CE197" si="1721">CD156-CE156</f>
        <v>3.5960376476090303</v>
      </c>
      <c r="CF197" s="23">
        <f t="shared" ref="CF197" si="1722">CE156-CF156</f>
        <v>-20.556037647609031</v>
      </c>
      <c r="CG197" s="23">
        <f t="shared" ref="CG197" si="1723">CF156-CG156</f>
        <v>4.6962759659885904</v>
      </c>
      <c r="CH197" s="23">
        <f t="shared" ref="CH197:CL197" si="1724">CG156-CH156</f>
        <v>-39.146975965988588</v>
      </c>
      <c r="CI197" s="23">
        <f t="shared" si="1724"/>
        <v>-3.3661336143595264</v>
      </c>
      <c r="CJ197" s="23">
        <f t="shared" si="1724"/>
        <v>32.056833614359533</v>
      </c>
      <c r="CK197" s="24">
        <f t="shared" ref="CK197" si="1725">CJ156-CK156</f>
        <v>16.885464052287581</v>
      </c>
      <c r="CL197" s="23">
        <f t="shared" si="1724"/>
        <v>14.864535947712419</v>
      </c>
      <c r="CM197" s="24">
        <f t="shared" ref="CM197" si="1726">CL156-CM156</f>
        <v>-11.791931958282674</v>
      </c>
      <c r="CN197" s="24">
        <f t="shared" ref="CN197" si="1727">CM156-CN156</f>
        <v>-1.259791672851776</v>
      </c>
      <c r="CO197" s="24">
        <f t="shared" ref="CO197" si="1728">CN156-CO156</f>
        <v>14.136689974269949</v>
      </c>
      <c r="CP197" s="24">
        <f t="shared" ref="CP197" si="1729">CO156-CP156</f>
        <v>-6.6228767065719865</v>
      </c>
      <c r="CQ197" s="24">
        <f t="shared" ref="CQ197" si="1730">CP156-CQ156</f>
        <v>-15.130208151627336</v>
      </c>
      <c r="CR197" s="24">
        <f t="shared" ref="CR197" si="1731">CQ156-CR156</f>
        <v>-0.56518129959994212</v>
      </c>
      <c r="CS197" s="24">
        <f t="shared" ref="CS197" si="1732">CR156-CS156</f>
        <v>16.390781408930401</v>
      </c>
      <c r="CT197" s="24">
        <f t="shared" ref="CT197" si="1733">CS156-CT156</f>
        <v>-7.7110537654822195</v>
      </c>
      <c r="CU197" s="24">
        <f t="shared" ref="CU197" si="1734">CT156-CU156</f>
        <v>-17.544814814751597</v>
      </c>
      <c r="CV197" s="24">
        <f t="shared" ref="CV197" si="1735">CU156-CV156</f>
        <v>-0.42897981732531321</v>
      </c>
      <c r="CW197" s="24">
        <f t="shared" ref="CW197" si="1736">CV156-CW156</f>
        <v>18.754560993095502</v>
      </c>
      <c r="CX197" s="24">
        <f t="shared" ref="CX197" si="1737">CW156-CX156</f>
        <v>-8.8658481148347548</v>
      </c>
      <c r="CY197" s="24">
        <f t="shared" ref="CY197" si="1738">CX156-CY156</f>
        <v>-20.094330404465026</v>
      </c>
      <c r="CZ197" s="24">
        <f t="shared" ref="CZ197" si="1739">CY156-CZ156</f>
        <v>-0.44563146338467163</v>
      </c>
      <c r="DA197" s="24">
        <f t="shared" ref="DA197" si="1740">CZ156-DA156</f>
        <v>21.445942170290287</v>
      </c>
      <c r="DB197" s="24">
        <f t="shared" ref="DB197" si="1741">DA156-DB156</f>
        <v>-10.151887186397666</v>
      </c>
      <c r="DE197" s="123"/>
      <c r="DF197" s="23">
        <v>-29.643584849818033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-4.0765787999999983</v>
      </c>
      <c r="F198" s="22">
        <f t="shared" si="1742"/>
        <v>-0.42041440000000219</v>
      </c>
      <c r="G198" s="22">
        <f t="shared" si="1742"/>
        <v>-3.7745710999999984</v>
      </c>
      <c r="H198" s="22">
        <f t="shared" si="1742"/>
        <v>-1.7823357000000017</v>
      </c>
      <c r="I198" s="22">
        <f t="shared" si="1742"/>
        <v>-1.2976999999999985</v>
      </c>
      <c r="J198" s="22">
        <f>J196-J197</f>
        <v>-1.9957000000000029</v>
      </c>
      <c r="K198" s="22">
        <f t="shared" si="1742"/>
        <v>-2.6557999999999975</v>
      </c>
      <c r="L198" s="22">
        <f t="shared" si="1742"/>
        <v>-6.6347000000000058</v>
      </c>
      <c r="M198" s="22">
        <f t="shared" si="1742"/>
        <v>0.53860000000000019</v>
      </c>
      <c r="N198" s="22">
        <f t="shared" si="1742"/>
        <v>-2.4543999999999926</v>
      </c>
      <c r="O198" s="22">
        <f t="shared" si="1742"/>
        <v>-13.31680000000001</v>
      </c>
      <c r="P198" s="22">
        <f t="shared" si="1742"/>
        <v>23.956600000000009</v>
      </c>
      <c r="Q198" s="22">
        <f t="shared" si="1742"/>
        <v>-21.363900000000005</v>
      </c>
      <c r="R198" s="22">
        <f t="shared" si="1742"/>
        <v>4.1383000000000019</v>
      </c>
      <c r="S198" s="22">
        <f t="shared" si="1742"/>
        <v>-13.629600000000003</v>
      </c>
      <c r="T198" s="22">
        <f t="shared" si="1742"/>
        <v>1.1307000000000116</v>
      </c>
      <c r="U198" s="22">
        <f t="shared" si="1742"/>
        <v>-5.2348000000000052</v>
      </c>
      <c r="V198" s="22">
        <f t="shared" si="1742"/>
        <v>6.0567000000000029</v>
      </c>
      <c r="W198" s="22">
        <f t="shared" si="1742"/>
        <v>-5.1084999999999852</v>
      </c>
      <c r="X198" s="22">
        <f t="shared" ref="X198:Y198" si="1743">X196-X197</f>
        <v>-13.141600000000013</v>
      </c>
      <c r="Y198" s="22">
        <f t="shared" si="1743"/>
        <v>13.798199999999994</v>
      </c>
      <c r="Z198" s="22">
        <f t="shared" ref="Z198:AA198" si="1744">Z196-Z197</f>
        <v>18.548700000000004</v>
      </c>
      <c r="AA198" s="22">
        <f t="shared" si="1744"/>
        <v>-46.650900000000028</v>
      </c>
      <c r="AB198" s="21">
        <f t="shared" ref="AA198:AD198" si="1745">AB196-AB197</f>
        <v>-10.745019278264763</v>
      </c>
      <c r="AC198" s="21">
        <f t="shared" si="1745"/>
        <v>-13.625552035213829</v>
      </c>
      <c r="AD198" s="21">
        <f t="shared" si="1745"/>
        <v>-15.702538857193552</v>
      </c>
      <c r="AE198" s="21">
        <f t="shared" ref="AE198" si="1746">AE196-AE197</f>
        <v>-17.957049357825326</v>
      </c>
      <c r="AI198" s="22">
        <f t="shared" ref="AI198" si="1747">AI196-AI197</f>
        <v>0</v>
      </c>
      <c r="AJ198" s="22">
        <f t="shared" ref="AJ198:AL198" si="1748">AJ196-AJ197</f>
        <v>-15.573999999999995</v>
      </c>
      <c r="AK198" s="22">
        <f t="shared" si="1748"/>
        <v>2.6738470809792858</v>
      </c>
      <c r="AL198" s="22">
        <f t="shared" si="1748"/>
        <v>3.4671529190207089</v>
      </c>
      <c r="AM198" s="22">
        <f t="shared" ref="AM198" si="1749">AM196-AM197</f>
        <v>-7.7149719948309325E-2</v>
      </c>
      <c r="AN198" s="22">
        <f t="shared" ref="AN198:CD198" si="1750">AN196-AN197</f>
        <v>-14.169850280051691</v>
      </c>
      <c r="AO198" s="22">
        <f t="shared" si="1750"/>
        <v>-0.57203860778005833</v>
      </c>
      <c r="AP198" s="22">
        <f t="shared" si="1750"/>
        <v>-13.417961392219944</v>
      </c>
      <c r="AQ198" s="22">
        <f t="shared" si="1750"/>
        <v>5.101618370694375</v>
      </c>
      <c r="AR198" s="22">
        <f t="shared" si="1750"/>
        <v>-7.7216183706943688</v>
      </c>
      <c r="AS198" s="22">
        <f t="shared" si="1750"/>
        <v>5.3438214826021095</v>
      </c>
      <c r="AT198" s="22">
        <f t="shared" si="1750"/>
        <v>21.326178517397892</v>
      </c>
      <c r="AU198" s="22">
        <f t="shared" si="1750"/>
        <v>-4.2335432500904844</v>
      </c>
      <c r="AV198" s="22">
        <f t="shared" si="1750"/>
        <v>-29.936456749909532</v>
      </c>
      <c r="AW198" s="22">
        <f t="shared" si="1750"/>
        <v>4.2097611425757293</v>
      </c>
      <c r="AX198" s="22">
        <f t="shared" si="1750"/>
        <v>8.6702388574242804</v>
      </c>
      <c r="AY198" s="22">
        <f t="shared" si="1750"/>
        <v>-1.5911920849420871</v>
      </c>
      <c r="AZ198" s="22">
        <f t="shared" si="1750"/>
        <v>1.2211920849420945</v>
      </c>
      <c r="BA198" s="22">
        <f t="shared" si="1750"/>
        <v>-1.9100919305413666</v>
      </c>
      <c r="BB198" s="22">
        <f t="shared" si="1750"/>
        <v>23.390091930541356</v>
      </c>
      <c r="BC198" s="22">
        <f t="shared" si="1750"/>
        <v>2.2879080694586307</v>
      </c>
      <c r="BD198" s="22">
        <f t="shared" si="1750"/>
        <v>-11.047908069458636</v>
      </c>
      <c r="BE198" s="22">
        <f t="shared" si="1750"/>
        <v>-2.6184962767235049</v>
      </c>
      <c r="BF198" s="22">
        <f t="shared" si="1750"/>
        <v>-14.611503723276485</v>
      </c>
      <c r="BG198" s="22">
        <f t="shared" si="1750"/>
        <v>0.86275562574022047</v>
      </c>
      <c r="BH198" s="22">
        <f t="shared" si="1750"/>
        <v>4.1572443742597827</v>
      </c>
      <c r="BI198" s="22">
        <f t="shared" si="1750"/>
        <v>10.890755988023948</v>
      </c>
      <c r="BJ198" s="22">
        <f t="shared" si="1750"/>
        <v>2.3892440119760394</v>
      </c>
      <c r="BK198" s="22">
        <f t="shared" si="1750"/>
        <v>0.2813086059595804</v>
      </c>
      <c r="BL198" s="22">
        <f t="shared" si="1750"/>
        <v>-33.781308605959566</v>
      </c>
      <c r="BM198" s="22">
        <f t="shared" si="1750"/>
        <v>3.6316812273598913</v>
      </c>
      <c r="BN198" s="22">
        <f t="shared" si="1750"/>
        <v>2.4783187726401019</v>
      </c>
      <c r="BO198" s="22">
        <f t="shared" si="1750"/>
        <v>4.5565639651707954</v>
      </c>
      <c r="BP198" s="22">
        <f t="shared" si="1750"/>
        <v>4.1834360348291941</v>
      </c>
      <c r="BQ198" s="22">
        <f t="shared" si="1750"/>
        <v>6.594304733727796E-2</v>
      </c>
      <c r="BR198" s="22">
        <f t="shared" si="1750"/>
        <v>-2.745943047337279</v>
      </c>
      <c r="BS198" s="22">
        <f t="shared" si="1750"/>
        <v>-5.8713268858800589</v>
      </c>
      <c r="BT198" s="22">
        <f t="shared" si="1750"/>
        <v>12.831326885880074</v>
      </c>
      <c r="BU198" s="22">
        <f t="shared" si="1750"/>
        <v>0.38754006137058639</v>
      </c>
      <c r="BV198" s="22">
        <f t="shared" si="1750"/>
        <v>-12.447540061370596</v>
      </c>
      <c r="BW198" s="22">
        <f t="shared" si="1750"/>
        <v>2.2792628109080013</v>
      </c>
      <c r="BX198" s="22">
        <f t="shared" si="1750"/>
        <v>-16.499262810907986</v>
      </c>
      <c r="BY198" s="22">
        <f t="shared" si="1750"/>
        <v>10.353872922168701</v>
      </c>
      <c r="BZ198" s="22">
        <f t="shared" si="1750"/>
        <v>-9.2838729221687029</v>
      </c>
      <c r="CA198" s="22">
        <f t="shared" si="1750"/>
        <v>-0.17464941318087313</v>
      </c>
      <c r="CB198" s="22">
        <f t="shared" si="1750"/>
        <v>8.3246494131808646</v>
      </c>
      <c r="CC198" s="22">
        <f t="shared" si="1750"/>
        <v>0.57699454380117032</v>
      </c>
      <c r="CD198" s="22">
        <f t="shared" si="1750"/>
        <v>5.0630054561988249</v>
      </c>
      <c r="CE198" s="22">
        <f t="shared" ref="CE198:CF198" si="1751">CE196-CE197</f>
        <v>4.4731415877470013</v>
      </c>
      <c r="CF198" s="22">
        <f t="shared" si="1751"/>
        <v>-5.7531415877469918</v>
      </c>
      <c r="CG198" s="22">
        <f t="shared" ref="CG198:CH198" si="1752">CG196-CG197</f>
        <v>4.8329566246905529</v>
      </c>
      <c r="CH198" s="22">
        <f t="shared" si="1752"/>
        <v>15.007443375309443</v>
      </c>
      <c r="CI198" s="22">
        <f t="shared" ref="CI198:CJ198" si="1753">CI196-CI197</f>
        <v>-1.1968124830024607</v>
      </c>
      <c r="CJ198" s="22">
        <f t="shared" si="1753"/>
        <v>-0.1835875169975516</v>
      </c>
      <c r="CK198" s="21">
        <f t="shared" ref="CK198:DB198" si="1754">CK196-CK197</f>
        <v>8.6332875816993564</v>
      </c>
      <c r="CL198" s="22">
        <f t="shared" si="1754"/>
        <v>-53.893287581699354</v>
      </c>
      <c r="CM198" s="21">
        <f t="shared" si="1754"/>
        <v>-22.901842605230229</v>
      </c>
      <c r="CN198" s="21">
        <f t="shared" si="1754"/>
        <v>-2.4467195629267451</v>
      </c>
      <c r="CO198" s="21">
        <f t="shared" si="1754"/>
        <v>27.455742612410482</v>
      </c>
      <c r="CP198" s="21">
        <f t="shared" si="1754"/>
        <v>-12.862699722518286</v>
      </c>
      <c r="CQ198" s="21">
        <f t="shared" si="1754"/>
        <v>-29.385315900635923</v>
      </c>
      <c r="CR198" s="21">
        <f t="shared" si="1754"/>
        <v>-1.0976736647267558</v>
      </c>
      <c r="CS198" s="21">
        <f t="shared" si="1754"/>
        <v>31.833553427213467</v>
      </c>
      <c r="CT198" s="21">
        <f t="shared" si="1754"/>
        <v>-14.976115897064616</v>
      </c>
      <c r="CU198" s="21">
        <f t="shared" si="1754"/>
        <v>-34.074873298698229</v>
      </c>
      <c r="CV198" s="21">
        <f t="shared" si="1754"/>
        <v>-0.83314831632011987</v>
      </c>
      <c r="CW198" s="21">
        <f t="shared" si="1754"/>
        <v>36.424396402013834</v>
      </c>
      <c r="CX198" s="21">
        <f t="shared" si="1754"/>
        <v>-17.218913644189037</v>
      </c>
      <c r="CY198" s="21">
        <f t="shared" si="1754"/>
        <v>-39.026445692582818</v>
      </c>
      <c r="CZ198" s="21">
        <f t="shared" si="1754"/>
        <v>-0.86548851116847914</v>
      </c>
      <c r="DA198" s="21">
        <f t="shared" si="1754"/>
        <v>41.651494754417406</v>
      </c>
      <c r="DB198" s="21">
        <f t="shared" si="1754"/>
        <v>-19.716609908491442</v>
      </c>
      <c r="DE198" s="126"/>
      <c r="DF198" s="22">
        <v>-15.156325711185495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-2.7820358999999923</v>
      </c>
      <c r="F199" s="22">
        <f t="shared" si="1755"/>
        <v>-0.69644370000000411</v>
      </c>
      <c r="G199" s="22">
        <f t="shared" si="1755"/>
        <v>-2.4853638999999998</v>
      </c>
      <c r="H199" s="22">
        <f t="shared" si="1755"/>
        <v>-2.916835700000008</v>
      </c>
      <c r="I199" s="22">
        <f t="shared" si="1755"/>
        <v>-0.18809999999999705</v>
      </c>
      <c r="J199" s="22">
        <f>J195+J198</f>
        <v>3.1919000000000022</v>
      </c>
      <c r="K199" s="22">
        <f t="shared" si="1755"/>
        <v>2.0972000000000062</v>
      </c>
      <c r="L199" s="22">
        <f t="shared" si="1755"/>
        <v>-3.1027000000000222</v>
      </c>
      <c r="M199" s="22">
        <f t="shared" si="1755"/>
        <v>3.745900000000002</v>
      </c>
      <c r="N199" s="22">
        <f t="shared" si="1755"/>
        <v>0.86960000000002102</v>
      </c>
      <c r="O199" s="22">
        <f t="shared" si="1755"/>
        <v>-11.420100000000003</v>
      </c>
      <c r="P199" s="22">
        <f t="shared" si="1755"/>
        <v>24.038800000000009</v>
      </c>
      <c r="Q199" s="22">
        <f t="shared" si="1755"/>
        <v>-16.7258</v>
      </c>
      <c r="R199" s="22">
        <f t="shared" si="1755"/>
        <v>3.4517000000000158</v>
      </c>
      <c r="S199" s="22">
        <f t="shared" si="1755"/>
        <v>-6.4599000000000082</v>
      </c>
      <c r="T199" s="22">
        <f t="shared" si="1755"/>
        <v>7.2151999999999941</v>
      </c>
      <c r="U199" s="22">
        <f t="shared" si="1755"/>
        <v>1.4983999999999824</v>
      </c>
      <c r="V199" s="22">
        <f t="shared" si="1755"/>
        <v>26.03990000000001</v>
      </c>
      <c r="W199" s="22">
        <f t="shared" si="1755"/>
        <v>28.172400000000003</v>
      </c>
      <c r="X199" s="22">
        <f t="shared" ref="X199:Y199" si="1756">X195+X198</f>
        <v>6.9688999999999535</v>
      </c>
      <c r="Y199" s="22">
        <f t="shared" si="1756"/>
        <v>40.024999999999999</v>
      </c>
      <c r="Z199" s="22">
        <f t="shared" ref="Z199:AA199" si="1757">Z195+Z198</f>
        <v>42.900100000000052</v>
      </c>
      <c r="AA199" s="22">
        <f t="shared" si="1757"/>
        <v>-6.3331000000000373</v>
      </c>
      <c r="AB199" s="21">
        <f t="shared" ref="AA199:AD199" si="1758">AB195+AB198</f>
        <v>38.870867500941301</v>
      </c>
      <c r="AC199" s="21">
        <f t="shared" si="1758"/>
        <v>43.039981611508523</v>
      </c>
      <c r="AD199" s="21">
        <f t="shared" si="1758"/>
        <v>48.491921290518924</v>
      </c>
      <c r="AE199" s="21">
        <f t="shared" ref="AE199" si="1759">AE195+AE198</f>
        <v>54.682054670751128</v>
      </c>
      <c r="AI199" s="22">
        <f t="shared" ref="AI199" si="1760">AI195+AI198</f>
        <v>1.2589999999999995</v>
      </c>
      <c r="AJ199" s="22">
        <f t="shared" ref="AJ199:AL199" si="1761">AJ195+AJ198</f>
        <v>-14.723999999999993</v>
      </c>
      <c r="AK199" s="22">
        <f t="shared" si="1761"/>
        <v>2.9538470809792852</v>
      </c>
      <c r="AL199" s="22">
        <f t="shared" si="1761"/>
        <v>4.4571529190207109</v>
      </c>
      <c r="AM199" s="22">
        <f t="shared" ref="AM199" si="1762">AM195+AM198</f>
        <v>0.38685028005168953</v>
      </c>
      <c r="AN199" s="22">
        <f t="shared" ref="AN199:CD199" si="1763">AN195+AN198</f>
        <v>-12.339850280051689</v>
      </c>
      <c r="AO199" s="22">
        <f t="shared" si="1763"/>
        <v>1.7779613922199422</v>
      </c>
      <c r="AP199" s="22">
        <f t="shared" si="1763"/>
        <v>-16.152961392219947</v>
      </c>
      <c r="AQ199" s="22">
        <f t="shared" si="1763"/>
        <v>5.7916183706943736</v>
      </c>
      <c r="AR199" s="22">
        <f t="shared" si="1763"/>
        <v>-7.0316183706943729</v>
      </c>
      <c r="AS199" s="22">
        <f t="shared" si="1763"/>
        <v>4.0838214826021044</v>
      </c>
      <c r="AT199" s="22">
        <f t="shared" si="1763"/>
        <v>21.296178517397891</v>
      </c>
      <c r="AU199" s="22">
        <f t="shared" si="1763"/>
        <v>-2.1635432500904868</v>
      </c>
      <c r="AV199" s="22">
        <f t="shared" si="1763"/>
        <v>-28.886456749909531</v>
      </c>
      <c r="AW199" s="22">
        <f t="shared" si="1763"/>
        <v>3.899761142575731</v>
      </c>
      <c r="AX199" s="22">
        <f t="shared" si="1763"/>
        <v>10.520238857424284</v>
      </c>
      <c r="AY199" s="22">
        <f t="shared" si="1763"/>
        <v>-0.74119208494208499</v>
      </c>
      <c r="AZ199" s="22">
        <f t="shared" si="1763"/>
        <v>2.3711920849420904</v>
      </c>
      <c r="BA199" s="22">
        <f t="shared" si="1763"/>
        <v>-3.0900919305413694</v>
      </c>
      <c r="BB199" s="22">
        <f t="shared" si="1763"/>
        <v>21.940091930541353</v>
      </c>
      <c r="BC199" s="22">
        <f t="shared" si="1763"/>
        <v>2.8179080694586309</v>
      </c>
      <c r="BD199" s="22">
        <f t="shared" si="1763"/>
        <v>-9.0779080694586334</v>
      </c>
      <c r="BE199" s="22">
        <f t="shared" si="1763"/>
        <v>-0.78849627672350842</v>
      </c>
      <c r="BF199" s="22">
        <f t="shared" si="1763"/>
        <v>-11.771503723276485</v>
      </c>
      <c r="BG199" s="22">
        <f t="shared" si="1763"/>
        <v>2.802755625740212</v>
      </c>
      <c r="BH199" s="22">
        <f t="shared" si="1763"/>
        <v>5.8472443742597795</v>
      </c>
      <c r="BI199" s="22">
        <f t="shared" si="1763"/>
        <v>9.4707559880239458</v>
      </c>
      <c r="BJ199" s="22">
        <f t="shared" si="1763"/>
        <v>6.2892440119760398</v>
      </c>
      <c r="BK199" s="22">
        <f t="shared" si="1763"/>
        <v>1.281308605959582</v>
      </c>
      <c r="BL199" s="22">
        <f t="shared" si="1763"/>
        <v>-31.01130860595957</v>
      </c>
      <c r="BM199" s="22">
        <f t="shared" si="1763"/>
        <v>4.061681227359891</v>
      </c>
      <c r="BN199" s="22">
        <f t="shared" si="1763"/>
        <v>4.998318772640105</v>
      </c>
      <c r="BO199" s="22">
        <f t="shared" si="1763"/>
        <v>6.8165639651707961</v>
      </c>
      <c r="BP199" s="22">
        <f t="shared" si="1763"/>
        <v>11.78343603482919</v>
      </c>
      <c r="BQ199" s="22">
        <f t="shared" si="1763"/>
        <v>5.4659430473372774</v>
      </c>
      <c r="BR199" s="22">
        <f t="shared" si="1763"/>
        <v>1.9740569526627234</v>
      </c>
      <c r="BS199" s="22">
        <f t="shared" si="1763"/>
        <v>11.88867311411995</v>
      </c>
      <c r="BT199" s="22">
        <f t="shared" si="1763"/>
        <v>18.841326885880072</v>
      </c>
      <c r="BU199" s="22">
        <f t="shared" si="1763"/>
        <v>5.6075400613705906</v>
      </c>
      <c r="BV199" s="22">
        <f t="shared" si="1763"/>
        <v>-8.1475400613705915</v>
      </c>
      <c r="BW199" s="22">
        <f t="shared" si="1763"/>
        <v>7.6192628109079958</v>
      </c>
      <c r="BX199" s="22">
        <f t="shared" si="1763"/>
        <v>-9.289262810907978</v>
      </c>
      <c r="BY199" s="22">
        <f t="shared" si="1763"/>
        <v>12.923872922168709</v>
      </c>
      <c r="BZ199" s="22">
        <f t="shared" si="1763"/>
        <v>-4.2938729221687035</v>
      </c>
      <c r="CA199" s="22">
        <f t="shared" si="1763"/>
        <v>5.4953505868191268</v>
      </c>
      <c r="CB199" s="22">
        <f t="shared" si="1763"/>
        <v>14.054649413180874</v>
      </c>
      <c r="CC199" s="22">
        <f t="shared" si="1763"/>
        <v>7.5669945438011714</v>
      </c>
      <c r="CD199" s="22">
        <f t="shared" si="1763"/>
        <v>12.893005456198829</v>
      </c>
      <c r="CE199" s="22">
        <f t="shared" ref="CE199:CF199" si="1764">CE195+CE198</f>
        <v>10.65314158774699</v>
      </c>
      <c r="CF199" s="22">
        <f t="shared" si="1764"/>
        <v>-2.3141587746995818E-2</v>
      </c>
      <c r="CG199" s="22">
        <f t="shared" ref="CG199:CH199" si="1765">CG195+CG198</f>
        <v>9.0029566246905581</v>
      </c>
      <c r="CH199" s="22">
        <f t="shared" si="1765"/>
        <v>23.267443375309455</v>
      </c>
      <c r="CI199" s="22">
        <f t="shared" ref="CI199:CJ199" si="1766">CI195+CI198</f>
        <v>8.2731875169975435</v>
      </c>
      <c r="CJ199" s="22">
        <f t="shared" si="1766"/>
        <v>9.6964124830024598</v>
      </c>
      <c r="CK199" s="21">
        <f t="shared" ref="CK199:DB199" si="1767">CK195+CK198</f>
        <v>16.213287581699351</v>
      </c>
      <c r="CL199" s="22">
        <f t="shared" si="1767"/>
        <v>-40.513287581699345</v>
      </c>
      <c r="CM199" s="21">
        <f t="shared" si="1767"/>
        <v>-9.8335864663874606</v>
      </c>
      <c r="CN199" s="21">
        <f t="shared" si="1767"/>
        <v>11.142895526848832</v>
      </c>
      <c r="CO199" s="21">
        <f t="shared" si="1767"/>
        <v>37.940746627589363</v>
      </c>
      <c r="CP199" s="21">
        <f t="shared" si="1767"/>
        <v>-0.38968818710946884</v>
      </c>
      <c r="CQ199" s="21">
        <f t="shared" si="1767"/>
        <v>-13.994135325401185</v>
      </c>
      <c r="CR199" s="21">
        <f t="shared" si="1767"/>
        <v>14.594887388657829</v>
      </c>
      <c r="CS199" s="21">
        <f t="shared" si="1767"/>
        <v>43.773584319104373</v>
      </c>
      <c r="CT199" s="21">
        <f t="shared" si="1767"/>
        <v>-1.3343547708526042</v>
      </c>
      <c r="CU199" s="21">
        <f t="shared" si="1767"/>
        <v>-16.469052525330529</v>
      </c>
      <c r="CV199" s="21">
        <f t="shared" si="1767"/>
        <v>16.980996540965165</v>
      </c>
      <c r="CW199" s="21">
        <f t="shared" si="1767"/>
        <v>49.865709331169555</v>
      </c>
      <c r="CX199" s="21">
        <f t="shared" si="1767"/>
        <v>-1.8857320562853488</v>
      </c>
      <c r="CY199" s="21">
        <f t="shared" si="1767"/>
        <v>-19.042406026622011</v>
      </c>
      <c r="CZ199" s="21">
        <f t="shared" si="1767"/>
        <v>19.310616656431261</v>
      </c>
      <c r="DA199" s="21">
        <f t="shared" si="1767"/>
        <v>56.809321631538054</v>
      </c>
      <c r="DB199" s="21">
        <f t="shared" si="1767"/>
        <v>-2.39547759059624</v>
      </c>
      <c r="DE199" s="126"/>
      <c r="DF199" s="22">
        <v>-2.9747897888479997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-13.2327358</v>
      </c>
      <c r="F201" s="22">
        <f t="shared" si="1768"/>
        <v>-0.27486370000000093</v>
      </c>
      <c r="G201" s="22">
        <f t="shared" si="1768"/>
        <v>-8.6358903999999974</v>
      </c>
      <c r="H201" s="22">
        <f t="shared" si="1768"/>
        <v>-4.053352799999999</v>
      </c>
      <c r="I201" s="22">
        <f t="shared" si="1768"/>
        <v>-5.0952999999999982</v>
      </c>
      <c r="J201" s="22">
        <f t="shared" si="1768"/>
        <v>-6.1877000000000031</v>
      </c>
      <c r="K201" s="22">
        <f t="shared" si="1768"/>
        <v>-4.2686999999999919</v>
      </c>
      <c r="L201" s="22">
        <f t="shared" si="1768"/>
        <v>-5.3174000000000072</v>
      </c>
      <c r="M201" s="22">
        <f t="shared" si="1768"/>
        <v>-6.9489000000000019</v>
      </c>
      <c r="N201" s="22">
        <f t="shared" si="1768"/>
        <v>-1.5660999999999916</v>
      </c>
      <c r="O201" s="22">
        <f t="shared" si="1768"/>
        <v>1.1447999999999974</v>
      </c>
      <c r="P201" s="22">
        <f t="shared" si="1768"/>
        <v>-44.868200000000009</v>
      </c>
      <c r="Q201" s="22">
        <f t="shared" si="1768"/>
        <v>-7.9489999999999696</v>
      </c>
      <c r="R201" s="22">
        <f t="shared" si="1768"/>
        <v>-2.2092999999999989</v>
      </c>
      <c r="S201" s="22">
        <f t="shared" si="1768"/>
        <v>-2.7332000000000107</v>
      </c>
      <c r="T201" s="22">
        <f t="shared" si="1768"/>
        <v>-3.610500000000016</v>
      </c>
      <c r="U201" s="22">
        <f t="shared" si="1768"/>
        <v>-5.8114999999999952</v>
      </c>
      <c r="V201" s="22">
        <f t="shared" si="1768"/>
        <v>-2.1096000000000004</v>
      </c>
      <c r="W201" s="22">
        <f t="shared" si="1768"/>
        <v>-16.698300000000017</v>
      </c>
      <c r="X201" s="22">
        <f t="shared" ref="X201:Y201" si="1769">X202+X203</f>
        <v>-8.2688999999999879</v>
      </c>
      <c r="Y201" s="22">
        <f t="shared" si="1769"/>
        <v>-46.904300000000006</v>
      </c>
      <c r="Z201" s="22">
        <f t="shared" ref="Z201:AA201" si="1770">Z202+Z203</f>
        <v>-53.60029999999999</v>
      </c>
      <c r="AA201" s="22">
        <f t="shared" si="1770"/>
        <v>-9.7744000000000142</v>
      </c>
      <c r="AB201" s="21">
        <f t="shared" ref="AA201:AD201" si="1771">AB202+AB203</f>
        <v>-13.372354545454527</v>
      </c>
      <c r="AC201" s="21">
        <f t="shared" si="1771"/>
        <v>-13.377454545454555</v>
      </c>
      <c r="AD201" s="21">
        <f t="shared" si="1771"/>
        <v>-13.377454545454526</v>
      </c>
      <c r="AE201" s="21">
        <f t="shared" ref="AE201" si="1772">AE202+AE203</f>
        <v>-13.377454545454611</v>
      </c>
      <c r="AI201" s="22">
        <f t="shared" ref="AI201" si="1773">AI202+AI203</f>
        <v>-0.61799999999999999</v>
      </c>
      <c r="AJ201" s="22">
        <f t="shared" ref="AJ201:AL201" si="1774">AJ202+AJ203</f>
        <v>-41.711999999999996</v>
      </c>
      <c r="AK201" s="22">
        <f t="shared" si="1774"/>
        <v>-0.60999999999999943</v>
      </c>
      <c r="AL201" s="22">
        <f t="shared" si="1774"/>
        <v>0.29599999999999937</v>
      </c>
      <c r="AM201" s="22">
        <f t="shared" ref="AM201" si="1775">AM202+AM203</f>
        <v>-0.70400000000000063</v>
      </c>
      <c r="AN201" s="22">
        <f t="shared" ref="AN201:CD201" si="1776">AN202+AN203</f>
        <v>-0.501000000000003</v>
      </c>
      <c r="AO201" s="22">
        <f t="shared" si="1776"/>
        <v>-0.72999999999999687</v>
      </c>
      <c r="AP201" s="22">
        <f t="shared" si="1776"/>
        <v>3.0800000000000045</v>
      </c>
      <c r="AQ201" s="22">
        <f t="shared" si="1776"/>
        <v>-0.65999999999999659</v>
      </c>
      <c r="AR201" s="22">
        <f t="shared" si="1776"/>
        <v>-6.2100000000000009</v>
      </c>
      <c r="AS201" s="22">
        <f t="shared" si="1776"/>
        <v>-0.82999999999999829</v>
      </c>
      <c r="AT201" s="22">
        <f t="shared" si="1776"/>
        <v>-37.179999999999993</v>
      </c>
      <c r="AU201" s="22">
        <f t="shared" si="1776"/>
        <v>-1.2099999999999937</v>
      </c>
      <c r="AV201" s="22">
        <f t="shared" si="1776"/>
        <v>-3.7900000000000063</v>
      </c>
      <c r="AW201" s="22">
        <f t="shared" si="1776"/>
        <v>-1.269999999999996</v>
      </c>
      <c r="AX201" s="22">
        <f t="shared" si="1776"/>
        <v>-1.6700000000000017</v>
      </c>
      <c r="AY201" s="22">
        <f t="shared" si="1776"/>
        <v>-1.5300000000000011</v>
      </c>
      <c r="AZ201" s="22">
        <f t="shared" si="1776"/>
        <v>-0.10999999999999943</v>
      </c>
      <c r="BA201" s="22">
        <f t="shared" si="1776"/>
        <v>-1.480000000000004</v>
      </c>
      <c r="BB201" s="22">
        <f t="shared" si="1776"/>
        <v>0.89999999999999147</v>
      </c>
      <c r="BC201" s="22">
        <f t="shared" si="1776"/>
        <v>-1.4699999999999989</v>
      </c>
      <c r="BD201" s="22">
        <f t="shared" si="1776"/>
        <v>0.73000000000000398</v>
      </c>
      <c r="BE201" s="22">
        <f t="shared" si="1776"/>
        <v>-1.5</v>
      </c>
      <c r="BF201" s="22">
        <f t="shared" si="1776"/>
        <v>-0.49000000000000909</v>
      </c>
      <c r="BG201" s="22">
        <f t="shared" si="1776"/>
        <v>-1.4699999999999989</v>
      </c>
      <c r="BH201" s="22">
        <f t="shared" si="1776"/>
        <v>5.0000000000011369E-2</v>
      </c>
      <c r="BI201" s="22">
        <f t="shared" si="1776"/>
        <v>-1.4599999999999937</v>
      </c>
      <c r="BJ201" s="22">
        <f t="shared" si="1776"/>
        <v>-0.71999999999999886</v>
      </c>
      <c r="BK201" s="22">
        <f t="shared" si="1776"/>
        <v>-1.4300000000000068</v>
      </c>
      <c r="BL201" s="22">
        <f t="shared" si="1776"/>
        <v>-0.61999999999999034</v>
      </c>
      <c r="BM201" s="22">
        <f t="shared" si="1776"/>
        <v>-1.5499999999999972</v>
      </c>
      <c r="BN201" s="22">
        <f t="shared" si="1776"/>
        <v>-2.210000000000008</v>
      </c>
      <c r="BO201" s="22">
        <f t="shared" si="1776"/>
        <v>-1.4500000000000028</v>
      </c>
      <c r="BP201" s="22">
        <f t="shared" si="1776"/>
        <v>0.56000000000000227</v>
      </c>
      <c r="BQ201" s="22">
        <f t="shared" si="1776"/>
        <v>-1.4599999999999937</v>
      </c>
      <c r="BR201" s="22">
        <f t="shared" si="1776"/>
        <v>0.25</v>
      </c>
      <c r="BS201" s="22">
        <f t="shared" si="1776"/>
        <v>-1.4399999999999977</v>
      </c>
      <c r="BT201" s="22">
        <f t="shared" si="1776"/>
        <v>-5.5700000000000074</v>
      </c>
      <c r="BU201" s="22">
        <f t="shared" si="1776"/>
        <v>-1.4300000000000068</v>
      </c>
      <c r="BV201" s="22">
        <f t="shared" si="1776"/>
        <v>-8.2700000000000102</v>
      </c>
      <c r="BW201" s="22">
        <f t="shared" si="1776"/>
        <v>-1.519999999999996</v>
      </c>
      <c r="BX201" s="22">
        <f t="shared" si="1776"/>
        <v>-0.14999999999999147</v>
      </c>
      <c r="BY201" s="22">
        <f t="shared" si="1776"/>
        <v>-1.5699999999999932</v>
      </c>
      <c r="BZ201" s="22">
        <f t="shared" si="1776"/>
        <v>-5.0300000000000011</v>
      </c>
      <c r="CA201" s="22">
        <f t="shared" si="1776"/>
        <v>-1.8299999999999983</v>
      </c>
      <c r="CB201" s="22">
        <f t="shared" si="1776"/>
        <v>-11.870000000000005</v>
      </c>
      <c r="CC201" s="22">
        <f t="shared" si="1776"/>
        <v>-1.8599999999999994</v>
      </c>
      <c r="CD201" s="22">
        <f t="shared" si="1776"/>
        <v>-31.33</v>
      </c>
      <c r="CE201" s="22">
        <f t="shared" ref="CE201:CF201" si="1777">CE202+CE203</f>
        <v>-2.1700000000000017</v>
      </c>
      <c r="CF201" s="22">
        <f t="shared" si="1777"/>
        <v>-17.850000000000009</v>
      </c>
      <c r="CG201" s="22">
        <f t="shared" ref="CG201:CH201" si="1778">CG202+CG203</f>
        <v>-2.539999999999992</v>
      </c>
      <c r="CH201" s="22">
        <f t="shared" si="1778"/>
        <v>-31.053899999999999</v>
      </c>
      <c r="CI201" s="22">
        <f t="shared" ref="CI201:CJ201" si="1779">CI202+CI203</f>
        <v>0</v>
      </c>
      <c r="CJ201" s="22">
        <f t="shared" si="1779"/>
        <v>-6.3060999999999865</v>
      </c>
      <c r="CK201" s="21">
        <f t="shared" ref="CK201:DB201" si="1780">CK202+CK203</f>
        <v>-2.6899999999999977</v>
      </c>
      <c r="CL201" s="22">
        <f t="shared" si="1780"/>
        <v>-0.76999999999998181</v>
      </c>
      <c r="CM201" s="21">
        <f t="shared" si="1780"/>
        <v>-3.3443636363636244</v>
      </c>
      <c r="CN201" s="21">
        <f t="shared" si="1780"/>
        <v>-3.3443636363636244</v>
      </c>
      <c r="CO201" s="21">
        <f t="shared" si="1780"/>
        <v>-3.3443636363636244</v>
      </c>
      <c r="CP201" s="21">
        <f t="shared" si="1780"/>
        <v>-3.3443636363636244</v>
      </c>
      <c r="CQ201" s="21">
        <f t="shared" si="1780"/>
        <v>-3.3443636363636244</v>
      </c>
      <c r="CR201" s="21">
        <f t="shared" si="1780"/>
        <v>-3.3443636363636244</v>
      </c>
      <c r="CS201" s="21">
        <f t="shared" si="1780"/>
        <v>-3.3443636363636244</v>
      </c>
      <c r="CT201" s="21">
        <f t="shared" si="1780"/>
        <v>-3.3443636363636244</v>
      </c>
      <c r="CU201" s="21">
        <f t="shared" si="1780"/>
        <v>-3.3443636363636244</v>
      </c>
      <c r="CV201" s="21">
        <f t="shared" si="1780"/>
        <v>-3.3443636363636244</v>
      </c>
      <c r="CW201" s="21">
        <f t="shared" si="1780"/>
        <v>-3.3443636363636244</v>
      </c>
      <c r="CX201" s="21">
        <f t="shared" si="1780"/>
        <v>-3.3443636363636244</v>
      </c>
      <c r="CY201" s="21">
        <f t="shared" si="1780"/>
        <v>-3.3443636363636244</v>
      </c>
      <c r="CZ201" s="21">
        <f t="shared" si="1780"/>
        <v>-3.3443636363636244</v>
      </c>
      <c r="DA201" s="21">
        <f t="shared" si="1780"/>
        <v>-3.3443636363636244</v>
      </c>
      <c r="DB201" s="21">
        <f t="shared" si="1780"/>
        <v>-3.3443636363636244</v>
      </c>
      <c r="DE201" s="126"/>
      <c r="DF201" s="22">
        <v>-2.6899999999999977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-1E-3</v>
      </c>
      <c r="F202" s="23">
        <f t="shared" si="1781"/>
        <v>0</v>
      </c>
      <c r="G202" s="23">
        <f t="shared" si="1781"/>
        <v>-1.5E-3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-4.2749999999999995</v>
      </c>
      <c r="M202" s="23">
        <f t="shared" si="1781"/>
        <v>0</v>
      </c>
      <c r="N202" s="23">
        <f t="shared" si="1781"/>
        <v>0</v>
      </c>
      <c r="O202" s="23">
        <f t="shared" si="1781"/>
        <v>4.2749999999999995</v>
      </c>
      <c r="P202" s="23">
        <f t="shared" si="1781"/>
        <v>2.5000000000000001E-3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0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-4.2779999999999996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-2.0000000000006679E-3</v>
      </c>
      <c r="AO202" s="23">
        <f t="shared" ref="AO202" si="1792">AN140-AO140</f>
        <v>0</v>
      </c>
      <c r="AP202" s="23">
        <f t="shared" ref="AP202" si="1793">AO140-AP140</f>
        <v>4.28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0</v>
      </c>
      <c r="CI202" s="23">
        <f t="shared" si="1837"/>
        <v>0</v>
      </c>
      <c r="CJ202" s="23">
        <f t="shared" si="1837"/>
        <v>0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-13.231735800000001</v>
      </c>
      <c r="F203" s="23">
        <f t="shared" si="1855"/>
        <v>-0.27486370000000093</v>
      </c>
      <c r="G203" s="23">
        <f t="shared" si="1855"/>
        <v>-8.6343903999999974</v>
      </c>
      <c r="H203" s="23">
        <f t="shared" si="1855"/>
        <v>-4.053352799999999</v>
      </c>
      <c r="I203" s="23">
        <f t="shared" si="1855"/>
        <v>-5.0952999999999982</v>
      </c>
      <c r="J203" s="23">
        <f t="shared" si="1855"/>
        <v>-6.1877000000000031</v>
      </c>
      <c r="K203" s="23">
        <f t="shared" si="1855"/>
        <v>-4.2686999999999919</v>
      </c>
      <c r="L203" s="23">
        <f t="shared" si="1855"/>
        <v>-1.0424000000000078</v>
      </c>
      <c r="M203" s="23">
        <f t="shared" si="1855"/>
        <v>-6.9489000000000019</v>
      </c>
      <c r="N203" s="23">
        <f t="shared" si="1855"/>
        <v>-1.5660999999999916</v>
      </c>
      <c r="O203" s="23">
        <f t="shared" si="1855"/>
        <v>-3.1302000000000021</v>
      </c>
      <c r="P203" s="23">
        <f t="shared" si="1855"/>
        <v>-44.870700000000006</v>
      </c>
      <c r="Q203" s="23">
        <f t="shared" si="1855"/>
        <v>-7.9489999999999696</v>
      </c>
      <c r="R203" s="23">
        <f t="shared" si="1855"/>
        <v>-2.2092999999999989</v>
      </c>
      <c r="S203" s="23">
        <f t="shared" si="1855"/>
        <v>-2.7332000000000107</v>
      </c>
      <c r="T203" s="23">
        <f t="shared" si="1855"/>
        <v>-3.610500000000016</v>
      </c>
      <c r="U203" s="23">
        <f t="shared" si="1855"/>
        <v>-5.8114999999999952</v>
      </c>
      <c r="V203" s="23">
        <f t="shared" si="1855"/>
        <v>-2.1096000000000004</v>
      </c>
      <c r="W203" s="23">
        <f t="shared" si="1855"/>
        <v>-16.698300000000017</v>
      </c>
      <c r="X203" s="23">
        <f t="shared" si="1855"/>
        <v>-8.2688999999999879</v>
      </c>
      <c r="Y203" s="23">
        <f t="shared" si="1855"/>
        <v>-46.904300000000006</v>
      </c>
      <c r="Z203" s="23">
        <f t="shared" si="1855"/>
        <v>-53.60029999999999</v>
      </c>
      <c r="AA203" s="23">
        <f t="shared" si="1855"/>
        <v>-9.7744000000000142</v>
      </c>
      <c r="AB203" s="24">
        <f t="shared" si="1855"/>
        <v>-13.372354545454527</v>
      </c>
      <c r="AC203" s="24">
        <f t="shared" si="1855"/>
        <v>-13.377454545454555</v>
      </c>
      <c r="AD203" s="24">
        <f t="shared" si="1855"/>
        <v>-13.377454545454526</v>
      </c>
      <c r="AE203" s="24">
        <f t="shared" si="1855"/>
        <v>-13.377454545454611</v>
      </c>
      <c r="AI203" s="23">
        <f t="shared" ref="AI203:BN203" si="1856">AH138-AI32-AI138</f>
        <v>-0.61799999999999999</v>
      </c>
      <c r="AJ203" s="23">
        <f t="shared" si="1856"/>
        <v>-37.433999999999997</v>
      </c>
      <c r="AK203" s="23">
        <f t="shared" si="1856"/>
        <v>-0.60999999999999943</v>
      </c>
      <c r="AL203" s="23">
        <f t="shared" si="1856"/>
        <v>0.29599999999999937</v>
      </c>
      <c r="AM203" s="23">
        <f t="shared" si="1856"/>
        <v>-0.70400000000000063</v>
      </c>
      <c r="AN203" s="23">
        <f t="shared" si="1856"/>
        <v>-0.49900000000000233</v>
      </c>
      <c r="AO203" s="23">
        <f t="shared" si="1856"/>
        <v>-0.72999999999999687</v>
      </c>
      <c r="AP203" s="23">
        <f t="shared" si="1856"/>
        <v>-1.1999999999999957</v>
      </c>
      <c r="AQ203" s="23">
        <f t="shared" si="1856"/>
        <v>-0.65999999999999659</v>
      </c>
      <c r="AR203" s="23">
        <f t="shared" si="1856"/>
        <v>-6.2100000000000009</v>
      </c>
      <c r="AS203" s="23">
        <f t="shared" si="1856"/>
        <v>-0.82999999999999829</v>
      </c>
      <c r="AT203" s="23">
        <f t="shared" si="1856"/>
        <v>-37.179999999999993</v>
      </c>
      <c r="AU203" s="23">
        <f t="shared" si="1856"/>
        <v>-1.2099999999999937</v>
      </c>
      <c r="AV203" s="23">
        <f t="shared" si="1856"/>
        <v>-3.7900000000000063</v>
      </c>
      <c r="AW203" s="23">
        <f t="shared" si="1856"/>
        <v>-1.269999999999996</v>
      </c>
      <c r="AX203" s="23">
        <f t="shared" si="1856"/>
        <v>-1.6700000000000017</v>
      </c>
      <c r="AY203" s="23">
        <f t="shared" si="1856"/>
        <v>-1.5300000000000011</v>
      </c>
      <c r="AZ203" s="23">
        <f t="shared" si="1856"/>
        <v>-0.10999999999999943</v>
      </c>
      <c r="BA203" s="23">
        <f t="shared" si="1856"/>
        <v>-1.480000000000004</v>
      </c>
      <c r="BB203" s="23">
        <f t="shared" si="1856"/>
        <v>0.89999999999999147</v>
      </c>
      <c r="BC203" s="23">
        <f t="shared" si="1856"/>
        <v>-1.4699999999999989</v>
      </c>
      <c r="BD203" s="23">
        <f t="shared" si="1856"/>
        <v>0.73000000000000398</v>
      </c>
      <c r="BE203" s="23">
        <f t="shared" si="1856"/>
        <v>-1.5</v>
      </c>
      <c r="BF203" s="23">
        <f t="shared" si="1856"/>
        <v>-0.49000000000000909</v>
      </c>
      <c r="BG203" s="23">
        <f t="shared" si="1856"/>
        <v>-1.4699999999999989</v>
      </c>
      <c r="BH203" s="23">
        <f t="shared" si="1856"/>
        <v>5.0000000000011369E-2</v>
      </c>
      <c r="BI203" s="23">
        <f t="shared" si="1856"/>
        <v>-1.4599999999999937</v>
      </c>
      <c r="BJ203" s="23">
        <f t="shared" si="1856"/>
        <v>-0.71999999999999886</v>
      </c>
      <c r="BK203" s="23">
        <f t="shared" si="1856"/>
        <v>-1.4300000000000068</v>
      </c>
      <c r="BL203" s="23">
        <f t="shared" si="1856"/>
        <v>-0.61999999999999034</v>
      </c>
      <c r="BM203" s="23">
        <f t="shared" si="1856"/>
        <v>-1.5499999999999972</v>
      </c>
      <c r="BN203" s="23">
        <f t="shared" si="1856"/>
        <v>-2.210000000000008</v>
      </c>
      <c r="BO203" s="23">
        <f t="shared" ref="BO203:CT203" si="1857">BN138-BO32-BO138</f>
        <v>-1.4500000000000028</v>
      </c>
      <c r="BP203" s="23">
        <f t="shared" si="1857"/>
        <v>0.56000000000000227</v>
      </c>
      <c r="BQ203" s="23">
        <f t="shared" si="1857"/>
        <v>-1.4599999999999937</v>
      </c>
      <c r="BR203" s="23">
        <f t="shared" si="1857"/>
        <v>0.25</v>
      </c>
      <c r="BS203" s="23">
        <f t="shared" si="1857"/>
        <v>-1.4399999999999977</v>
      </c>
      <c r="BT203" s="23">
        <f t="shared" si="1857"/>
        <v>-5.5700000000000074</v>
      </c>
      <c r="BU203" s="23">
        <f t="shared" si="1857"/>
        <v>-1.4300000000000068</v>
      </c>
      <c r="BV203" s="23">
        <f t="shared" si="1857"/>
        <v>-8.2700000000000102</v>
      </c>
      <c r="BW203" s="23">
        <f t="shared" si="1857"/>
        <v>-1.519999999999996</v>
      </c>
      <c r="BX203" s="23">
        <f t="shared" si="1857"/>
        <v>-0.14999999999999147</v>
      </c>
      <c r="BY203" s="23">
        <f t="shared" si="1857"/>
        <v>-1.5699999999999932</v>
      </c>
      <c r="BZ203" s="23">
        <f t="shared" si="1857"/>
        <v>-5.0300000000000011</v>
      </c>
      <c r="CA203" s="23">
        <f t="shared" si="1857"/>
        <v>-1.8299999999999983</v>
      </c>
      <c r="CB203" s="23">
        <f t="shared" si="1857"/>
        <v>-11.870000000000005</v>
      </c>
      <c r="CC203" s="23">
        <f t="shared" si="1857"/>
        <v>-1.8599999999999994</v>
      </c>
      <c r="CD203" s="23">
        <f t="shared" si="1857"/>
        <v>-31.33</v>
      </c>
      <c r="CE203" s="23">
        <f t="shared" si="1857"/>
        <v>-2.1700000000000017</v>
      </c>
      <c r="CF203" s="23">
        <f t="shared" si="1857"/>
        <v>-17.850000000000009</v>
      </c>
      <c r="CG203" s="23">
        <f t="shared" si="1857"/>
        <v>-2.539999999999992</v>
      </c>
      <c r="CH203" s="23">
        <f t="shared" si="1857"/>
        <v>-31.053899999999999</v>
      </c>
      <c r="CI203" s="23">
        <f t="shared" si="1857"/>
        <v>0</v>
      </c>
      <c r="CJ203" s="23">
        <f t="shared" si="1857"/>
        <v>-6.3060999999999865</v>
      </c>
      <c r="CK203" s="24">
        <f t="shared" si="1857"/>
        <v>-2.6899999999999977</v>
      </c>
      <c r="CL203" s="23">
        <f t="shared" si="1857"/>
        <v>-0.76999999999998181</v>
      </c>
      <c r="CM203" s="24">
        <f t="shared" si="1857"/>
        <v>-3.3443636363636244</v>
      </c>
      <c r="CN203" s="24">
        <f t="shared" si="1857"/>
        <v>-3.3443636363636244</v>
      </c>
      <c r="CO203" s="24">
        <f t="shared" si="1857"/>
        <v>-3.3443636363636244</v>
      </c>
      <c r="CP203" s="24">
        <f t="shared" si="1857"/>
        <v>-3.3443636363636244</v>
      </c>
      <c r="CQ203" s="24">
        <f t="shared" si="1857"/>
        <v>-3.3443636363636244</v>
      </c>
      <c r="CR203" s="24">
        <f t="shared" si="1857"/>
        <v>-3.3443636363636244</v>
      </c>
      <c r="CS203" s="24">
        <f t="shared" si="1857"/>
        <v>-3.3443636363636244</v>
      </c>
      <c r="CT203" s="24">
        <f t="shared" si="1857"/>
        <v>-3.3443636363636244</v>
      </c>
      <c r="CU203" s="24">
        <f t="shared" ref="CU203:DB203" si="1858">CT138-CU32-CU138</f>
        <v>-3.3443636363636244</v>
      </c>
      <c r="CV203" s="24">
        <f t="shared" si="1858"/>
        <v>-3.3443636363636244</v>
      </c>
      <c r="CW203" s="24">
        <f t="shared" si="1858"/>
        <v>-3.3443636363636244</v>
      </c>
      <c r="CX203" s="24">
        <f t="shared" si="1858"/>
        <v>-3.3443636363636244</v>
      </c>
      <c r="CY203" s="24">
        <f t="shared" si="1858"/>
        <v>-3.3443636363636244</v>
      </c>
      <c r="CZ203" s="24">
        <f t="shared" si="1858"/>
        <v>-3.3443636363636244</v>
      </c>
      <c r="DA203" s="24">
        <f t="shared" si="1858"/>
        <v>-3.3443636363636244</v>
      </c>
      <c r="DB203" s="24">
        <f t="shared" si="1858"/>
        <v>-3.3443636363636244</v>
      </c>
      <c r="DE203" s="123"/>
      <c r="DF203" s="23">
        <v>-2.6899999999999977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16.247484799999995</v>
      </c>
      <c r="F205" s="22">
        <f t="shared" si="1859"/>
        <v>0.99611810000000212</v>
      </c>
      <c r="G205" s="22">
        <f t="shared" si="1859"/>
        <v>11.028561</v>
      </c>
      <c r="H205" s="22">
        <f t="shared" si="1859"/>
        <v>7.3613580000000098</v>
      </c>
      <c r="I205" s="22">
        <f t="shared" si="1859"/>
        <v>5.0743999999999945</v>
      </c>
      <c r="J205" s="22">
        <f t="shared" si="1859"/>
        <v>3.1655999999999977</v>
      </c>
      <c r="K205" s="22">
        <f t="shared" si="1859"/>
        <v>2.2416999999999945</v>
      </c>
      <c r="L205" s="22">
        <f t="shared" si="1859"/>
        <v>8.3495000000000239</v>
      </c>
      <c r="M205" s="22">
        <f t="shared" si="1859"/>
        <v>3.4373999999999896</v>
      </c>
      <c r="N205" s="22">
        <f t="shared" si="1859"/>
        <v>0.46269999999999456</v>
      </c>
      <c r="O205" s="22">
        <f t="shared" si="1859"/>
        <v>12.483399999999982</v>
      </c>
      <c r="P205" s="22">
        <f t="shared" si="1859"/>
        <v>18.286599999999996</v>
      </c>
      <c r="Q205" s="22">
        <f t="shared" si="1859"/>
        <v>26.614100000000001</v>
      </c>
      <c r="R205" s="22">
        <f t="shared" si="1859"/>
        <v>-2.123800000000017</v>
      </c>
      <c r="S205" s="22">
        <f t="shared" si="1859"/>
        <v>10.584999999999997</v>
      </c>
      <c r="T205" s="22">
        <f t="shared" si="1859"/>
        <v>-4.3659999999999624</v>
      </c>
      <c r="U205" s="22">
        <f t="shared" si="1859"/>
        <v>3.4923000000000055</v>
      </c>
      <c r="V205" s="22">
        <f t="shared" si="1859"/>
        <v>-21.408999999999999</v>
      </c>
      <c r="W205" s="22">
        <f t="shared" si="1859"/>
        <v>-9.2047999999999881</v>
      </c>
      <c r="X205" s="22">
        <f t="shared" ref="X205:Y205" si="1860">X206+X207</f>
        <v>-2.7536999999999594</v>
      </c>
      <c r="Y205" s="22">
        <f t="shared" si="1860"/>
        <v>5.6966999999999857</v>
      </c>
      <c r="Z205" s="22">
        <f t="shared" ref="Z205:AA205" si="1861">Z206+Z207</f>
        <v>13.818899999999942</v>
      </c>
      <c r="AA205" s="22">
        <f t="shared" si="1861"/>
        <v>26.516800000000018</v>
      </c>
      <c r="AB205" s="21">
        <f t="shared" ref="AA205:AD205" si="1862">AB206+AB207</f>
        <v>-7.9000000000348791E-3</v>
      </c>
      <c r="AC205" s="21">
        <f t="shared" si="1862"/>
        <v>-1.1368683772161603E-13</v>
      </c>
      <c r="AD205" s="21">
        <f t="shared" si="1862"/>
        <v>-5.6843418860808015E-14</v>
      </c>
      <c r="AE205" s="21">
        <f t="shared" ref="AE205" si="1863">AE206+AE207</f>
        <v>-5.6843418860808015E-14</v>
      </c>
      <c r="AI205" s="22">
        <f t="shared" ref="AI205" si="1864">AI206+AI207</f>
        <v>-0.64099999999999935</v>
      </c>
      <c r="AJ205" s="22">
        <f t="shared" ref="AJ205:AL205" si="1865">AJ206+AJ207</f>
        <v>58.67499999999999</v>
      </c>
      <c r="AK205" s="22">
        <f t="shared" si="1865"/>
        <v>3.5527136788005009E-15</v>
      </c>
      <c r="AL205" s="22">
        <f t="shared" si="1865"/>
        <v>-8.8189999999999955</v>
      </c>
      <c r="AM205" s="22">
        <f t="shared" ref="AM205" si="1866">AM206+AM207</f>
        <v>3.5527136788005009E-15</v>
      </c>
      <c r="AN205" s="22">
        <f t="shared" ref="AN205:CD205" si="1867">AN206+AN207</f>
        <v>12.710999999999999</v>
      </c>
      <c r="AO205" s="22">
        <f t="shared" si="1867"/>
        <v>0</v>
      </c>
      <c r="AP205" s="22">
        <f t="shared" si="1867"/>
        <v>14.685000000000002</v>
      </c>
      <c r="AQ205" s="22">
        <f t="shared" si="1867"/>
        <v>3.5527136788005009E-15</v>
      </c>
      <c r="AR205" s="22">
        <f t="shared" si="1867"/>
        <v>9.6799999999999962</v>
      </c>
      <c r="AS205" s="22">
        <f t="shared" si="1867"/>
        <v>-3.5527136788005009E-15</v>
      </c>
      <c r="AT205" s="22">
        <f t="shared" si="1867"/>
        <v>8.5100000000000051</v>
      </c>
      <c r="AU205" s="22">
        <f t="shared" si="1867"/>
        <v>0</v>
      </c>
      <c r="AV205" s="22">
        <f t="shared" si="1867"/>
        <v>36.300000000000011</v>
      </c>
      <c r="AW205" s="22">
        <f t="shared" si="1867"/>
        <v>0</v>
      </c>
      <c r="AX205" s="22">
        <f t="shared" si="1867"/>
        <v>-9.7900000000000169</v>
      </c>
      <c r="AY205" s="22">
        <f t="shared" si="1867"/>
        <v>0</v>
      </c>
      <c r="AZ205" s="22">
        <f t="shared" si="1867"/>
        <v>-1.1599999999999824</v>
      </c>
      <c r="BA205" s="22">
        <f t="shared" si="1867"/>
        <v>1.7763568394002505E-15</v>
      </c>
      <c r="BB205" s="22">
        <f t="shared" si="1867"/>
        <v>-17.979999999999993</v>
      </c>
      <c r="BC205" s="22">
        <f t="shared" si="1867"/>
        <v>0</v>
      </c>
      <c r="BD205" s="22">
        <f t="shared" si="1867"/>
        <v>12.129999999999994</v>
      </c>
      <c r="BE205" s="22">
        <f t="shared" si="1867"/>
        <v>0</v>
      </c>
      <c r="BF205" s="22">
        <f t="shared" si="1867"/>
        <v>10.809999999999985</v>
      </c>
      <c r="BG205" s="22">
        <f t="shared" si="1867"/>
        <v>0</v>
      </c>
      <c r="BH205" s="22">
        <f t="shared" si="1867"/>
        <v>-7.0299999999999727</v>
      </c>
      <c r="BI205" s="22">
        <f t="shared" si="1867"/>
        <v>0</v>
      </c>
      <c r="BJ205" s="22">
        <f t="shared" si="1867"/>
        <v>-14.539999999999988</v>
      </c>
      <c r="BK205" s="22">
        <f t="shared" si="1867"/>
        <v>0</v>
      </c>
      <c r="BL205" s="22">
        <f t="shared" si="1867"/>
        <v>29.919999999999987</v>
      </c>
      <c r="BM205" s="22">
        <f t="shared" si="1867"/>
        <v>0</v>
      </c>
      <c r="BN205" s="22">
        <f t="shared" si="1867"/>
        <v>-4.2600000000000051</v>
      </c>
      <c r="BO205" s="22">
        <f t="shared" si="1867"/>
        <v>-1.7763568394002505E-15</v>
      </c>
      <c r="BP205" s="22">
        <f t="shared" si="1867"/>
        <v>-14.019999999999996</v>
      </c>
      <c r="BQ205" s="22">
        <f t="shared" si="1867"/>
        <v>0</v>
      </c>
      <c r="BR205" s="22">
        <f t="shared" si="1867"/>
        <v>-7.3999999999999986</v>
      </c>
      <c r="BS205" s="22">
        <f t="shared" si="1867"/>
        <v>0</v>
      </c>
      <c r="BT205" s="22">
        <f t="shared" si="1867"/>
        <v>-24.200000000000003</v>
      </c>
      <c r="BU205" s="22">
        <f t="shared" si="1867"/>
        <v>0</v>
      </c>
      <c r="BV205" s="22">
        <f t="shared" si="1867"/>
        <v>14.989999999999981</v>
      </c>
      <c r="BW205" s="22">
        <f t="shared" si="1867"/>
        <v>0</v>
      </c>
      <c r="BX205" s="22">
        <f t="shared" si="1867"/>
        <v>3.4999999999999929</v>
      </c>
      <c r="BY205" s="22">
        <f t="shared" si="1867"/>
        <v>0</v>
      </c>
      <c r="BZ205" s="22">
        <f t="shared" si="1867"/>
        <v>-6.2499999999999929</v>
      </c>
      <c r="CA205" s="22">
        <f t="shared" si="1867"/>
        <v>-1.4210854715202004E-14</v>
      </c>
      <c r="CB205" s="22">
        <f t="shared" si="1867"/>
        <v>0.41999999999998749</v>
      </c>
      <c r="CC205" s="22">
        <f t="shared" si="1867"/>
        <v>0</v>
      </c>
      <c r="CD205" s="22">
        <f t="shared" si="1867"/>
        <v>5.2800000000000011</v>
      </c>
      <c r="CE205" s="22">
        <f t="shared" ref="CE205:CF205" si="1868">CE206+CE207</f>
        <v>0</v>
      </c>
      <c r="CF205" s="22">
        <f t="shared" si="1868"/>
        <v>15.220000000000013</v>
      </c>
      <c r="CG205" s="22">
        <f t="shared" ref="CG205:CH205" si="1869">CG206+CG207</f>
        <v>0</v>
      </c>
      <c r="CH205" s="22">
        <f t="shared" si="1869"/>
        <v>-1.3835000000000264</v>
      </c>
      <c r="CI205" s="22">
        <f t="shared" ref="CI205:CJ205" si="1870">CI206+CI207</f>
        <v>0</v>
      </c>
      <c r="CJ205" s="22">
        <f t="shared" si="1870"/>
        <v>-14.676500000000019</v>
      </c>
      <c r="CK205" s="21">
        <f t="shared" ref="CK205:DB205" si="1871">CK206+CK207</f>
        <v>0</v>
      </c>
      <c r="CL205" s="22">
        <f t="shared" si="1871"/>
        <v>41.189999999999969</v>
      </c>
      <c r="CM205" s="21">
        <f t="shared" si="1871"/>
        <v>2.8421709430404007E-14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14.6098062</v>
      </c>
      <c r="F206" s="23">
        <f t="shared" si="1872"/>
        <v>0.60848660000000088</v>
      </c>
      <c r="G206" s="23">
        <f t="shared" si="1872"/>
        <v>7.5547785999999988</v>
      </c>
      <c r="H206" s="23">
        <f t="shared" si="1872"/>
        <v>2.2886286000000027</v>
      </c>
      <c r="I206" s="23">
        <f t="shared" si="1872"/>
        <v>1.0514999999999972</v>
      </c>
      <c r="J206" s="23">
        <f>J128-I128</f>
        <v>3.1656000000000013</v>
      </c>
      <c r="K206" s="23">
        <f>K128-J128</f>
        <v>2.241699999999998</v>
      </c>
      <c r="L206" s="23">
        <f t="shared" si="1872"/>
        <v>8.4454000000000065</v>
      </c>
      <c r="M206" s="23">
        <f t="shared" si="1872"/>
        <v>3.342099999999995</v>
      </c>
      <c r="N206" s="23">
        <f t="shared" si="1872"/>
        <v>0.46270000000000522</v>
      </c>
      <c r="O206" s="23">
        <f t="shared" si="1872"/>
        <v>12.483399999999989</v>
      </c>
      <c r="P206" s="23">
        <f t="shared" si="1872"/>
        <v>18.510999999999996</v>
      </c>
      <c r="Q206" s="23">
        <f t="shared" si="1872"/>
        <v>26.614100000000008</v>
      </c>
      <c r="R206" s="23">
        <f t="shared" si="1872"/>
        <v>-1.8323000000000036</v>
      </c>
      <c r="S206" s="23">
        <f t="shared" si="1872"/>
        <v>10.538299999999992</v>
      </c>
      <c r="T206" s="23">
        <f t="shared" si="1872"/>
        <v>-4.3238999999999805</v>
      </c>
      <c r="U206" s="23">
        <f t="shared" si="1872"/>
        <v>3.5845999999999947</v>
      </c>
      <c r="V206" s="23">
        <f t="shared" si="1872"/>
        <v>-21.546099999999996</v>
      </c>
      <c r="W206" s="23">
        <f t="shared" si="1872"/>
        <v>-9.2592999999999961</v>
      </c>
      <c r="X206" s="23">
        <f t="shared" si="1872"/>
        <v>-1.4192000000000036</v>
      </c>
      <c r="Y206" s="23">
        <f t="shared" si="1872"/>
        <v>8.3519999999999897</v>
      </c>
      <c r="Z206" s="23">
        <f t="shared" si="1872"/>
        <v>14.904600000000002</v>
      </c>
      <c r="AA206" s="23">
        <f t="shared" si="1872"/>
        <v>-100.3779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37.459999999999994</v>
      </c>
      <c r="AK206" s="23">
        <f t="shared" ref="AK206" si="1879">AK128-AJ128</f>
        <v>0</v>
      </c>
      <c r="AL206" s="23">
        <f t="shared" ref="AL206" si="1880">AL128-AK128</f>
        <v>-8.8099999999999952</v>
      </c>
      <c r="AM206" s="23">
        <f t="shared" ref="AM206" si="1881">AM128-AL128</f>
        <v>0</v>
      </c>
      <c r="AN206" s="23">
        <f t="shared" ref="AN206" si="1882">AN128-AM128</f>
        <v>12.71</v>
      </c>
      <c r="AO206" s="23">
        <f t="shared" ref="AO206" si="1883">AO128-AN128</f>
        <v>0</v>
      </c>
      <c r="AP206" s="23">
        <f t="shared" ref="AP206" si="1884">AP128-AO128</f>
        <v>14.700000000000003</v>
      </c>
      <c r="AQ206" s="23">
        <f t="shared" ref="AQ206" si="1885">AQ128-AP128</f>
        <v>0</v>
      </c>
      <c r="AR206" s="23">
        <f t="shared" ref="AR206" si="1886">AR128-AQ128</f>
        <v>9.8999999999999915</v>
      </c>
      <c r="AS206" s="23">
        <f t="shared" ref="AS206" si="1887">AS128-AR128</f>
        <v>0</v>
      </c>
      <c r="AT206" s="23">
        <f t="shared" ref="AT206" si="1888">AT128-AS128</f>
        <v>8.519999999999996</v>
      </c>
      <c r="AU206" s="23">
        <f t="shared" ref="AU206" si="1889">AU128-AT128</f>
        <v>0</v>
      </c>
      <c r="AV206" s="23">
        <f t="shared" ref="AV206" si="1890">AV128-AU128</f>
        <v>36.300000000000011</v>
      </c>
      <c r="AW206" s="23">
        <f t="shared" ref="AW206" si="1891">AW128-AV128</f>
        <v>0</v>
      </c>
      <c r="AX206" s="23">
        <f t="shared" ref="AX206" si="1892">AX128-AW128</f>
        <v>-9.7700000000000102</v>
      </c>
      <c r="AY206" s="23">
        <f t="shared" ref="AY206" si="1893">AY128-AX128</f>
        <v>0</v>
      </c>
      <c r="AZ206" s="23">
        <f t="shared" ref="AZ206" si="1894">AZ128-AY128</f>
        <v>-1.3299999999999841</v>
      </c>
      <c r="BA206" s="23">
        <f t="shared" ref="BA206" si="1895">BA128-AZ128</f>
        <v>0</v>
      </c>
      <c r="BB206" s="23">
        <f t="shared" ref="BB206" si="1896">BB128-BA128</f>
        <v>-17.47</v>
      </c>
      <c r="BC206" s="23">
        <f t="shared" ref="BC206" si="1897">BC128-BB128</f>
        <v>0</v>
      </c>
      <c r="BD206" s="23">
        <f t="shared" ref="BD206" si="1898">BD128-BC128</f>
        <v>12.159999999999997</v>
      </c>
      <c r="BE206" s="23">
        <f t="shared" ref="BE206" si="1899">BE128-BD128</f>
        <v>0</v>
      </c>
      <c r="BF206" s="23">
        <f t="shared" ref="BF206" si="1900">BF128-BE128</f>
        <v>10.739999999999981</v>
      </c>
      <c r="BG206" s="23">
        <f t="shared" ref="BG206" si="1901">BG128-BF128</f>
        <v>0</v>
      </c>
      <c r="BH206" s="23">
        <f t="shared" ref="BH206" si="1902">BH128-BG128</f>
        <v>-7.0499999999999829</v>
      </c>
      <c r="BI206" s="23">
        <f t="shared" ref="BI206" si="1903">BI128-BH128</f>
        <v>0</v>
      </c>
      <c r="BJ206" s="23">
        <f t="shared" ref="BJ206" si="1904">BJ128-BI128</f>
        <v>-14.449999999999989</v>
      </c>
      <c r="BK206" s="23">
        <f t="shared" ref="BK206" si="1905">BK128-BJ128</f>
        <v>0</v>
      </c>
      <c r="BL206" s="23">
        <f t="shared" ref="BL206" si="1906">BL128-BK128</f>
        <v>29.939999999999984</v>
      </c>
      <c r="BM206" s="23">
        <f t="shared" ref="BM206" si="1907">BM128-BL128</f>
        <v>0</v>
      </c>
      <c r="BN206" s="23">
        <f t="shared" ref="BN206" si="1908">BN128-BM128</f>
        <v>-4.2000000000000028</v>
      </c>
      <c r="BO206" s="23">
        <f t="shared" ref="BO206" si="1909">BO128-BN128</f>
        <v>0</v>
      </c>
      <c r="BP206" s="23">
        <f t="shared" ref="BP206" si="1910">BP128-BO128</f>
        <v>-13.969999999999999</v>
      </c>
      <c r="BQ206" s="23">
        <f t="shared" ref="BQ206" si="1911">BQ128-BP128</f>
        <v>0</v>
      </c>
      <c r="BR206" s="23">
        <f t="shared" ref="BR206" si="1912">BR128-BQ128</f>
        <v>-7.5799999999999983</v>
      </c>
      <c r="BS206" s="23">
        <f t="shared" ref="BS206" si="1913">BS128-BR128</f>
        <v>0</v>
      </c>
      <c r="BT206" s="23">
        <f t="shared" ref="BT206" si="1914">BT128-BS128</f>
        <v>-24.28</v>
      </c>
      <c r="BU206" s="23">
        <f t="shared" ref="BU206" si="1915">BU128-BT128</f>
        <v>0</v>
      </c>
      <c r="BV206" s="23">
        <f t="shared" ref="BV206" si="1916">BV128-BU128</f>
        <v>15.019999999999996</v>
      </c>
      <c r="BW206" s="23">
        <f t="shared" ref="BW206" si="1917">BW128-BV128</f>
        <v>0</v>
      </c>
      <c r="BX206" s="23">
        <f t="shared" ref="BX206" si="1918">BX128-BW128</f>
        <v>4.9399999999999977</v>
      </c>
      <c r="BY206" s="23">
        <f t="shared" ref="BY206" si="1919">BY128-BX128</f>
        <v>0</v>
      </c>
      <c r="BZ206" s="23">
        <f t="shared" ref="BZ206" si="1920">BZ128-BY128</f>
        <v>-6.3599999999999852</v>
      </c>
      <c r="CA206" s="23">
        <f t="shared" ref="CA206" si="1921">CA128-BZ128</f>
        <v>0</v>
      </c>
      <c r="CB206" s="23">
        <f t="shared" ref="CB206" si="1922">CB128-CA128</f>
        <v>1.8199999999999932</v>
      </c>
      <c r="CC206" s="23">
        <f t="shared" ref="CC206" si="1923">CC128-CB128</f>
        <v>0</v>
      </c>
      <c r="CD206" s="23">
        <f t="shared" ref="CD206" si="1924">CD128-CC128</f>
        <v>6.5300000000000011</v>
      </c>
      <c r="CE206" s="23">
        <f t="shared" ref="CE206" si="1925">CE128-CD128</f>
        <v>0</v>
      </c>
      <c r="CF206" s="23">
        <f t="shared" ref="CF206" si="1926">CF128-CE128</f>
        <v>16.260000000000005</v>
      </c>
      <c r="CG206" s="23">
        <f t="shared" ref="CG206" si="1927">CG128-CF128</f>
        <v>0</v>
      </c>
      <c r="CH206" s="23">
        <f t="shared" ref="CH206:CL206" si="1928">CH128-CG128</f>
        <v>-1.3521000000000072</v>
      </c>
      <c r="CI206" s="23">
        <f t="shared" si="1928"/>
        <v>0</v>
      </c>
      <c r="CJ206" s="23">
        <f t="shared" si="1928"/>
        <v>-12.727899999999991</v>
      </c>
      <c r="CK206" s="24">
        <f t="shared" ref="CK206" si="1929">CK128-CJ128</f>
        <v>0</v>
      </c>
      <c r="CL206" s="23">
        <f t="shared" si="1928"/>
        <v>-87.65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1.6376785999999943</v>
      </c>
      <c r="F207" s="23">
        <f t="shared" si="1946"/>
        <v>0.38763150000000124</v>
      </c>
      <c r="G207" s="23">
        <f t="shared" si="1946"/>
        <v>3.4737824000000006</v>
      </c>
      <c r="H207" s="23">
        <f t="shared" si="1946"/>
        <v>5.0727294000000072</v>
      </c>
      <c r="I207" s="23">
        <f t="shared" si="1946"/>
        <v>4.0228999999999973</v>
      </c>
      <c r="J207" s="23">
        <f t="shared" si="1946"/>
        <v>-3.5527136788005009E-15</v>
      </c>
      <c r="K207" s="23">
        <f t="shared" si="1946"/>
        <v>-3.5527136788005009E-15</v>
      </c>
      <c r="L207" s="23">
        <f t="shared" si="1946"/>
        <v>-9.5899999999982555E-2</v>
      </c>
      <c r="M207" s="23">
        <f t="shared" si="1946"/>
        <v>9.5299999999994611E-2</v>
      </c>
      <c r="N207" s="23">
        <f t="shared" si="1946"/>
        <v>-1.0658141036401503E-14</v>
      </c>
      <c r="O207" s="23">
        <f t="shared" si="1946"/>
        <v>-7.1054273576010019E-15</v>
      </c>
      <c r="P207" s="23">
        <f t="shared" si="1946"/>
        <v>-0.22439999999999927</v>
      </c>
      <c r="Q207" s="23">
        <f t="shared" si="1946"/>
        <v>-7.1054273576010019E-15</v>
      </c>
      <c r="R207" s="23">
        <f t="shared" si="1946"/>
        <v>-0.29150000000001342</v>
      </c>
      <c r="S207" s="23">
        <f t="shared" si="1946"/>
        <v>4.6700000000004849E-2</v>
      </c>
      <c r="T207" s="23">
        <f t="shared" si="1946"/>
        <v>-4.2099999999981819E-2</v>
      </c>
      <c r="U207" s="23">
        <f t="shared" si="1946"/>
        <v>-9.2299999999989168E-2</v>
      </c>
      <c r="V207" s="23">
        <f t="shared" si="1946"/>
        <v>0.13709999999999489</v>
      </c>
      <c r="W207" s="23">
        <f t="shared" si="1946"/>
        <v>5.4500000000007987E-2</v>
      </c>
      <c r="X207" s="23">
        <f t="shared" si="1946"/>
        <v>-1.3344999999999558</v>
      </c>
      <c r="Y207" s="23">
        <f t="shared" si="1946"/>
        <v>-2.655300000000004</v>
      </c>
      <c r="Z207" s="23">
        <f t="shared" si="1946"/>
        <v>-1.0857000000000596</v>
      </c>
      <c r="AA207" s="23">
        <f t="shared" si="1946"/>
        <v>126.89470000000001</v>
      </c>
      <c r="AB207" s="24">
        <f t="shared" si="1946"/>
        <v>-7.9000000000348791E-3</v>
      </c>
      <c r="AC207" s="24">
        <f t="shared" si="1946"/>
        <v>-1.1368683772161603E-13</v>
      </c>
      <c r="AD207" s="24">
        <f t="shared" si="1946"/>
        <v>-5.6843418860808015E-14</v>
      </c>
      <c r="AE207" s="24">
        <f t="shared" si="1946"/>
        <v>-5.6843418860808015E-14</v>
      </c>
      <c r="AI207" s="23">
        <f t="shared" ref="AI207:BN207" si="1947">AI120-AI48-AH120+AI122-AH122</f>
        <v>-0.64099999999999935</v>
      </c>
      <c r="AJ207" s="23">
        <f t="shared" si="1947"/>
        <v>21.214999999999996</v>
      </c>
      <c r="AK207" s="23">
        <f t="shared" si="1947"/>
        <v>3.5527136788005009E-15</v>
      </c>
      <c r="AL207" s="23">
        <f t="shared" si="1947"/>
        <v>-9.0000000000003411E-3</v>
      </c>
      <c r="AM207" s="23">
        <f t="shared" si="1947"/>
        <v>3.5527136788005009E-15</v>
      </c>
      <c r="AN207" s="23">
        <f t="shared" si="1947"/>
        <v>9.9999999999766942E-4</v>
      </c>
      <c r="AO207" s="23">
        <f t="shared" si="1947"/>
        <v>0</v>
      </c>
      <c r="AP207" s="23">
        <f t="shared" si="1947"/>
        <v>-1.5000000000000568E-2</v>
      </c>
      <c r="AQ207" s="23">
        <f t="shared" si="1947"/>
        <v>3.5527136788005009E-15</v>
      </c>
      <c r="AR207" s="23">
        <f t="shared" si="1947"/>
        <v>-0.21999999999999531</v>
      </c>
      <c r="AS207" s="23">
        <f t="shared" si="1947"/>
        <v>-3.5527136788005009E-15</v>
      </c>
      <c r="AT207" s="23">
        <f t="shared" si="1947"/>
        <v>-9.9999999999909051E-3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-2.0000000000006679E-2</v>
      </c>
      <c r="AY207" s="23">
        <f t="shared" si="1947"/>
        <v>0</v>
      </c>
      <c r="AZ207" s="23">
        <f t="shared" si="1947"/>
        <v>0.17000000000000171</v>
      </c>
      <c r="BA207" s="23">
        <f t="shared" si="1947"/>
        <v>1.7763568394002505E-15</v>
      </c>
      <c r="BB207" s="23">
        <f t="shared" si="1947"/>
        <v>-0.50999999999999446</v>
      </c>
      <c r="BC207" s="23">
        <f t="shared" si="1947"/>
        <v>0</v>
      </c>
      <c r="BD207" s="23">
        <f t="shared" si="1947"/>
        <v>-3.0000000000002913E-2</v>
      </c>
      <c r="BE207" s="23">
        <f t="shared" si="1947"/>
        <v>0</v>
      </c>
      <c r="BF207" s="23">
        <f t="shared" si="1947"/>
        <v>7.0000000000003837E-2</v>
      </c>
      <c r="BG207" s="23">
        <f t="shared" si="1947"/>
        <v>0</v>
      </c>
      <c r="BH207" s="23">
        <f t="shared" si="1947"/>
        <v>2.0000000000010232E-2</v>
      </c>
      <c r="BI207" s="23">
        <f t="shared" si="1947"/>
        <v>0</v>
      </c>
      <c r="BJ207" s="23">
        <f t="shared" si="1947"/>
        <v>-8.9999999999999858E-2</v>
      </c>
      <c r="BK207" s="23">
        <f t="shared" si="1947"/>
        <v>0</v>
      </c>
      <c r="BL207" s="23">
        <f t="shared" si="1947"/>
        <v>-1.9999999999997797E-2</v>
      </c>
      <c r="BM207" s="23">
        <f t="shared" si="1947"/>
        <v>0</v>
      </c>
      <c r="BN207" s="23">
        <f t="shared" si="1947"/>
        <v>-6.0000000000002274E-2</v>
      </c>
      <c r="BO207" s="23">
        <f t="shared" ref="BO207:CT207" si="1948">BO120-BO48-BN120+BO122-BN122</f>
        <v>-1.7763568394002505E-15</v>
      </c>
      <c r="BP207" s="23">
        <f t="shared" si="1948"/>
        <v>-4.9999999999997158E-2</v>
      </c>
      <c r="BQ207" s="23">
        <f t="shared" si="1948"/>
        <v>0</v>
      </c>
      <c r="BR207" s="23">
        <f t="shared" si="1948"/>
        <v>0.17999999999999972</v>
      </c>
      <c r="BS207" s="23">
        <f t="shared" si="1948"/>
        <v>0</v>
      </c>
      <c r="BT207" s="23">
        <f t="shared" si="1948"/>
        <v>7.9999999999998295E-2</v>
      </c>
      <c r="BU207" s="23">
        <f t="shared" si="1948"/>
        <v>0</v>
      </c>
      <c r="BV207" s="23">
        <f t="shared" si="1948"/>
        <v>-3.0000000000015348E-2</v>
      </c>
      <c r="BW207" s="23">
        <f t="shared" si="1948"/>
        <v>0</v>
      </c>
      <c r="BX207" s="23">
        <f t="shared" si="1948"/>
        <v>-1.4400000000000048</v>
      </c>
      <c r="BY207" s="23">
        <f t="shared" si="1948"/>
        <v>0</v>
      </c>
      <c r="BZ207" s="23">
        <f t="shared" si="1948"/>
        <v>0.10999999999999233</v>
      </c>
      <c r="CA207" s="23">
        <f t="shared" si="1948"/>
        <v>-1.4210854715202004E-14</v>
      </c>
      <c r="CB207" s="23">
        <f t="shared" si="1948"/>
        <v>-1.4000000000000057</v>
      </c>
      <c r="CC207" s="23">
        <f t="shared" si="1948"/>
        <v>0</v>
      </c>
      <c r="CD207" s="23">
        <f t="shared" si="1948"/>
        <v>-1.25</v>
      </c>
      <c r="CE207" s="23">
        <f t="shared" si="1948"/>
        <v>0</v>
      </c>
      <c r="CF207" s="23">
        <f t="shared" si="1948"/>
        <v>-1.039999999999992</v>
      </c>
      <c r="CG207" s="23">
        <f t="shared" si="1948"/>
        <v>0</v>
      </c>
      <c r="CH207" s="23">
        <f t="shared" si="1948"/>
        <v>-3.140000000001919E-2</v>
      </c>
      <c r="CI207" s="23">
        <f t="shared" si="1948"/>
        <v>0</v>
      </c>
      <c r="CJ207" s="23">
        <f t="shared" si="1948"/>
        <v>-1.9486000000000274</v>
      </c>
      <c r="CK207" s="24">
        <f t="shared" si="1948"/>
        <v>0</v>
      </c>
      <c r="CL207" s="23">
        <f t="shared" si="1948"/>
        <v>128.83999999999997</v>
      </c>
      <c r="CM207" s="24">
        <f t="shared" si="1948"/>
        <v>2.8421709430404007E-14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0.23271310000000001</v>
      </c>
      <c r="G209" s="23">
        <f t="shared" ref="G209" si="1953">F161</f>
        <v>0.25752380000000002</v>
      </c>
      <c r="H209" s="23">
        <f t="shared" ref="H209" si="1954">G161</f>
        <v>0.16483049999999999</v>
      </c>
      <c r="I209" s="23">
        <f t="shared" ref="I209" si="1955">H161</f>
        <v>0.55600000000000005</v>
      </c>
      <c r="J209" s="23">
        <f>I161</f>
        <v>0.34699999999999998</v>
      </c>
      <c r="K209" s="23">
        <f>J161</f>
        <v>0.51680000000000004</v>
      </c>
      <c r="L209" s="23">
        <f t="shared" ref="L209" si="1956">K161</f>
        <v>0.58699999999999997</v>
      </c>
      <c r="M209" s="23">
        <f t="shared" ref="M209" si="1957">L161</f>
        <v>0.51639999999999997</v>
      </c>
      <c r="N209" s="23">
        <f t="shared" ref="N209" si="1958">M161</f>
        <v>0.75080000000000002</v>
      </c>
      <c r="O209" s="23">
        <f t="shared" ref="O209" si="1959">N161</f>
        <v>0.51700000000000002</v>
      </c>
      <c r="P209" s="23">
        <f t="shared" ref="P209" si="1960">O161</f>
        <v>2.7250999999999999</v>
      </c>
      <c r="Q209" s="23">
        <f t="shared" ref="Q209" si="1961">P161</f>
        <v>0.18229999999999999</v>
      </c>
      <c r="R209" s="23">
        <f t="shared" ref="R209" si="1962">Q161</f>
        <v>2.1215999999999999</v>
      </c>
      <c r="S209" s="23">
        <f t="shared" ref="S209" si="1963">R161</f>
        <v>1.2402</v>
      </c>
      <c r="T209" s="23">
        <f t="shared" ref="T209" si="1964">S161</f>
        <v>2.6320999999999999</v>
      </c>
      <c r="U209" s="23">
        <f t="shared" ref="U209" si="1965">T161</f>
        <v>1.8708</v>
      </c>
      <c r="V209" s="23">
        <f t="shared" ref="V209" si="1966">U161</f>
        <v>1.05</v>
      </c>
      <c r="W209" s="23">
        <f t="shared" ref="W209:AA209" si="1967">V161</f>
        <v>3.5712999999999999</v>
      </c>
      <c r="X209" s="23">
        <f t="shared" si="1967"/>
        <v>5.8406000000000002</v>
      </c>
      <c r="Y209" s="23">
        <f t="shared" si="1967"/>
        <v>1.7868999999999999</v>
      </c>
      <c r="Z209" s="23">
        <f t="shared" si="1967"/>
        <v>0.60429999999999995</v>
      </c>
      <c r="AA209" s="23">
        <f t="shared" si="1967"/>
        <v>3.7229999999999999</v>
      </c>
      <c r="AB209" s="24">
        <f t="shared" ref="AB209" si="1968">AA161</f>
        <v>14.132300000000001</v>
      </c>
      <c r="AC209" s="24">
        <f t="shared" ref="AC209" si="1969">AB161</f>
        <v>39.622912955486797</v>
      </c>
      <c r="AD209" s="24">
        <f t="shared" ref="AD209" si="1970">AC161</f>
        <v>69.285440021540722</v>
      </c>
      <c r="AE209" s="24">
        <f t="shared" ref="AE209" si="1971">AD161</f>
        <v>104.39990676660507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2.2389999999999999</v>
      </c>
      <c r="AL209" s="23">
        <f t="shared" ref="AL209" si="1975">AK161</f>
        <v>4.5828470809792892</v>
      </c>
      <c r="AM209" s="23">
        <f t="shared" ref="AM209" si="1976">AL161</f>
        <v>0.51700000000000002</v>
      </c>
      <c r="AN209" s="23">
        <f t="shared" ref="AN209" si="1977">AM161</f>
        <v>0.19985028005169247</v>
      </c>
      <c r="AO209" s="23">
        <f t="shared" ref="AO209" si="1978">AN161</f>
        <v>7.0000000000000007E-2</v>
      </c>
      <c r="AP209" s="23">
        <f t="shared" ref="AP209" si="1979">AO161</f>
        <v>1.1179613922199454</v>
      </c>
      <c r="AQ209" s="23">
        <f t="shared" ref="AQ209" si="1980">AP161</f>
        <v>2.73</v>
      </c>
      <c r="AR209" s="23">
        <f t="shared" ref="AR209" si="1981">AQ161</f>
        <v>7.8616183706943801</v>
      </c>
      <c r="AS209" s="23">
        <f t="shared" ref="AS209" si="1982">AR161</f>
        <v>4.3</v>
      </c>
      <c r="AT209" s="23">
        <f t="shared" ref="AT209" si="1983">AS161</f>
        <v>7.5538214826021024</v>
      </c>
      <c r="AU209" s="23">
        <f t="shared" ref="AU209" si="1984">AT161</f>
        <v>0.18</v>
      </c>
      <c r="AV209" s="23">
        <f t="shared" ref="AV209" si="1985">AU161</f>
        <v>-3.1935432500904808</v>
      </c>
      <c r="AW209" s="23">
        <f t="shared" ref="AW209" si="1986">AV161</f>
        <v>0.43</v>
      </c>
      <c r="AX209" s="23">
        <f t="shared" ref="AX209" si="1987">AW161</f>
        <v>3.0597611425757352</v>
      </c>
      <c r="AY209" s="23">
        <f t="shared" ref="AY209" si="1988">AX161</f>
        <v>2.12</v>
      </c>
      <c r="AZ209" s="23">
        <f t="shared" ref="AZ209" si="1989">AY161</f>
        <v>-0.15119208494208602</v>
      </c>
      <c r="BA209" s="23">
        <f t="shared" ref="BA209" si="1990">AZ161</f>
        <v>0.95</v>
      </c>
      <c r="BB209" s="23">
        <f t="shared" ref="BB209" si="1991">BA161</f>
        <v>-3.6200919305413715</v>
      </c>
      <c r="BC209" s="23">
        <f t="shared" ref="BC209" si="1992">BB161</f>
        <v>1.24</v>
      </c>
      <c r="BD209" s="23">
        <f t="shared" ref="BD209" si="1993">BC161</f>
        <v>2.5879080694586323</v>
      </c>
      <c r="BE209" s="23">
        <f t="shared" ref="BE209" si="1994">BD161</f>
        <v>6.37</v>
      </c>
      <c r="BF209" s="23">
        <f t="shared" ref="BF209" si="1995">BE161</f>
        <v>4.0815037232764917</v>
      </c>
      <c r="BG209" s="23">
        <f t="shared" ref="BG209" si="1996">BF161</f>
        <v>2.63</v>
      </c>
      <c r="BH209" s="23">
        <f t="shared" ref="BH209" si="1997">BG161</f>
        <v>3.962755625740213</v>
      </c>
      <c r="BI209" s="23">
        <f t="shared" ref="BI209" si="1998">BH161</f>
        <v>2.83</v>
      </c>
      <c r="BJ209" s="23">
        <f t="shared" ref="BJ209" si="1999">BI161</f>
        <v>10.840755988023952</v>
      </c>
      <c r="BK209" s="23">
        <f t="shared" ref="BK209" si="2000">BJ161</f>
        <v>1.87</v>
      </c>
      <c r="BL209" s="23">
        <f t="shared" ref="BL209" si="2001">BK161</f>
        <v>1.7213086059595752</v>
      </c>
      <c r="BM209" s="23">
        <f t="shared" ref="BM209" si="2002">BL161</f>
        <v>0.01</v>
      </c>
      <c r="BN209" s="23">
        <f t="shared" ref="BN209" si="2003">BM161</f>
        <v>2.5216812273598936</v>
      </c>
      <c r="BO209" s="23">
        <f t="shared" ref="BO209" si="2004">BN161</f>
        <v>1.05</v>
      </c>
      <c r="BP209" s="23">
        <f t="shared" ref="BP209" si="2005">BO161</f>
        <v>6.4165639651707913</v>
      </c>
      <c r="BQ209" s="23">
        <f t="shared" ref="BQ209" si="2006">BP161</f>
        <v>4.74</v>
      </c>
      <c r="BR209" s="23">
        <f t="shared" ref="BR209" si="2007">BQ161</f>
        <v>8.7459430473372848</v>
      </c>
      <c r="BS209" s="23">
        <f t="shared" ref="BS209" si="2008">BR161</f>
        <v>3.57</v>
      </c>
      <c r="BT209" s="23">
        <f t="shared" ref="BT209" si="2009">BS161</f>
        <v>14.018673114119952</v>
      </c>
      <c r="BU209" s="23">
        <f t="shared" ref="BU209" si="2010">BT161</f>
        <v>3.09</v>
      </c>
      <c r="BV209" s="23">
        <f t="shared" ref="BV209" si="2011">BU161</f>
        <v>7.2675400613705836</v>
      </c>
      <c r="BW209" s="23">
        <f t="shared" ref="BW209" si="2012">BV161</f>
        <v>5.84</v>
      </c>
      <c r="BX209" s="23">
        <f t="shared" ref="BX209" si="2013">BW161</f>
        <v>11.939262810908</v>
      </c>
      <c r="BY209" s="23">
        <f t="shared" ref="BY209" si="2014">BX161</f>
        <v>6</v>
      </c>
      <c r="BZ209" s="23">
        <f t="shared" ref="BZ209" si="2015">BY161</f>
        <v>17.353872922168716</v>
      </c>
      <c r="CA209" s="23">
        <f t="shared" ref="CA209" si="2016">BZ161</f>
        <v>1.78</v>
      </c>
      <c r="CB209" s="23">
        <f t="shared" ref="CB209" si="2017">CA161</f>
        <v>5.4453505868191145</v>
      </c>
      <c r="CC209" s="23">
        <f t="shared" ref="CC209" si="2018">CB161</f>
        <v>8.0500000000000007</v>
      </c>
      <c r="CD209" s="23">
        <f t="shared" ref="CD209" si="2019">CC161</f>
        <v>13.756994543801174</v>
      </c>
      <c r="CE209" s="23">
        <f t="shared" ref="CE209" si="2020">CD161</f>
        <v>0.6</v>
      </c>
      <c r="CF209" s="23">
        <f t="shared" ref="CF209" si="2021">CE161</f>
        <v>9.0831415877469883</v>
      </c>
      <c r="CG209" s="23">
        <f t="shared" ref="CG209" si="2022">CF161</f>
        <v>6.43</v>
      </c>
      <c r="CH209" s="23">
        <f t="shared" ref="CH209:CL209" si="2023">CG161</f>
        <v>12.892956624690566</v>
      </c>
      <c r="CI209" s="23">
        <f t="shared" si="2023"/>
        <v>3.7229999999999999</v>
      </c>
      <c r="CJ209" s="23">
        <f t="shared" si="2023"/>
        <v>11.996187516997544</v>
      </c>
      <c r="CK209" s="24">
        <f t="shared" ref="CK209" si="2024">CJ161</f>
        <v>0.71</v>
      </c>
      <c r="CL209" s="23">
        <f t="shared" si="2023"/>
        <v>14.233287581699354</v>
      </c>
      <c r="CM209" s="24">
        <f t="shared" ref="CM209" si="2025">CL161</f>
        <v>14.14</v>
      </c>
      <c r="CN209" s="24">
        <f t="shared" ref="CN209" si="2026">CM161</f>
        <v>0.96204989724894396</v>
      </c>
      <c r="CO209" s="24">
        <f t="shared" ref="CO209" si="2027">CN161</f>
        <v>8.7605817877341519</v>
      </c>
      <c r="CP209" s="24">
        <f t="shared" ref="CP209" si="2028">CO161</f>
        <v>43.356964778959892</v>
      </c>
      <c r="CQ209" s="24">
        <f t="shared" ref="CQ209" si="2029">CP161</f>
        <v>39.622912955486797</v>
      </c>
      <c r="CR209" s="24">
        <f t="shared" ref="CR209" si="2030">CQ161</f>
        <v>22.284413993721987</v>
      </c>
      <c r="CS209" s="24">
        <f t="shared" ref="CS209" si="2031">CR161</f>
        <v>33.53493774601619</v>
      </c>
      <c r="CT209" s="24">
        <f t="shared" ref="CT209" si="2032">CS161</f>
        <v>73.964158428756946</v>
      </c>
      <c r="CU209" s="24">
        <f t="shared" ref="CU209" si="2033">CT161</f>
        <v>69.285440021540722</v>
      </c>
      <c r="CV209" s="24">
        <f t="shared" ref="CV209" si="2034">CU161</f>
        <v>49.472023859846573</v>
      </c>
      <c r="CW209" s="24">
        <f t="shared" ref="CW209" si="2035">CV161</f>
        <v>63.108656764448114</v>
      </c>
      <c r="CX209" s="24">
        <f t="shared" ref="CX209" si="2036">CW161</f>
        <v>109.63000245925404</v>
      </c>
      <c r="CY209" s="24">
        <f t="shared" ref="CY209" si="2037">CX161</f>
        <v>104.39990676660507</v>
      </c>
      <c r="CZ209" s="24">
        <f t="shared" ref="CZ209" si="2038">CY161</f>
        <v>82.013137103619442</v>
      </c>
      <c r="DA209" s="24">
        <f t="shared" ref="DA209" si="2039">CZ161</f>
        <v>97.979390123687082</v>
      </c>
      <c r="DB209" s="24">
        <f t="shared" ref="DB209" si="2040">DA161</f>
        <v>151.44434811886151</v>
      </c>
      <c r="DE209" s="123"/>
      <c r="DF209" s="23">
        <v>14.233287581699354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0.23271310000000245</v>
      </c>
      <c r="F210" s="23">
        <f t="shared" si="2041"/>
        <v>0.25752379999999708</v>
      </c>
      <c r="G210" s="23">
        <f t="shared" si="2041"/>
        <v>0.1648305000000021</v>
      </c>
      <c r="H210" s="23">
        <f t="shared" si="2041"/>
        <v>0.55600000000000271</v>
      </c>
      <c r="I210" s="23">
        <f t="shared" si="2041"/>
        <v>0.34699999999999931</v>
      </c>
      <c r="J210" s="23">
        <f>J209+J205+J201+J199</f>
        <v>0.51679999999999682</v>
      </c>
      <c r="K210" s="23">
        <f>K209+K205+K201+K199</f>
        <v>0.58700000000000863</v>
      </c>
      <c r="L210" s="23">
        <f>L209+L205+L201+L199</f>
        <v>0.5163999999999942</v>
      </c>
      <c r="M210" s="23">
        <f>M209+M205+M201+M199</f>
        <v>0.7507999999999897</v>
      </c>
      <c r="N210" s="23">
        <f t="shared" si="2041"/>
        <v>0.51700000000002388</v>
      </c>
      <c r="O210" s="23">
        <f t="shared" si="2041"/>
        <v>2.7250999999999745</v>
      </c>
      <c r="P210" s="23">
        <f t="shared" si="2041"/>
        <v>0.18229999999999791</v>
      </c>
      <c r="Q210" s="23">
        <f t="shared" si="2041"/>
        <v>2.1216000000000328</v>
      </c>
      <c r="R210" s="23">
        <f t="shared" si="2041"/>
        <v>1.2401999999999997</v>
      </c>
      <c r="S210" s="23">
        <f t="shared" si="2041"/>
        <v>2.6320999999999781</v>
      </c>
      <c r="T210" s="23">
        <f t="shared" si="2041"/>
        <v>1.8708000000000151</v>
      </c>
      <c r="U210" s="23">
        <f t="shared" si="2041"/>
        <v>1.0499999999999927</v>
      </c>
      <c r="V210" s="23">
        <f t="shared" si="2041"/>
        <v>3.5713000000000115</v>
      </c>
      <c r="W210" s="23">
        <f t="shared" si="2041"/>
        <v>5.8405999999999985</v>
      </c>
      <c r="X210" s="23">
        <f t="shared" ref="X210:Y210" si="2042">X209+X205+X201+X199</f>
        <v>1.7869000000000064</v>
      </c>
      <c r="Y210" s="23">
        <f t="shared" si="2042"/>
        <v>0.60429999999998074</v>
      </c>
      <c r="Z210" s="23">
        <f t="shared" ref="Z210:AA210" si="2043">Z209+Z205+Z201+Z199</f>
        <v>3.7230000000000061</v>
      </c>
      <c r="AA210" s="23">
        <f t="shared" si="2043"/>
        <v>14.132299999999965</v>
      </c>
      <c r="AB210" s="24">
        <f t="shared" ref="AA210:AD210" si="2044">AB209+AB205+AB201+AB199</f>
        <v>39.62291295548674</v>
      </c>
      <c r="AC210" s="24">
        <f t="shared" si="2044"/>
        <v>69.285440021540651</v>
      </c>
      <c r="AD210" s="24">
        <f t="shared" si="2044"/>
        <v>104.39990676660506</v>
      </c>
      <c r="AE210" s="24">
        <f t="shared" ref="AE210" si="2045">AE209+AE205+AE201+AE199</f>
        <v>145.70450689190153</v>
      </c>
      <c r="AI210" s="23">
        <f t="shared" ref="AI210" si="2046">AI209+AI205+AI201+AI199</f>
        <v>0</v>
      </c>
      <c r="AJ210" s="23">
        <f t="shared" ref="AJ210:AL210" si="2047">AJ209+AJ205+AJ201+AJ199</f>
        <v>2.2390000000000008</v>
      </c>
      <c r="AK210" s="23">
        <f t="shared" si="2047"/>
        <v>4.5828470809792892</v>
      </c>
      <c r="AL210" s="23">
        <f t="shared" si="2047"/>
        <v>0.5170000000000039</v>
      </c>
      <c r="AM210" s="23">
        <f t="shared" ref="AM210" si="2048">AM209+AM205+AM201+AM199</f>
        <v>0.19985028005169247</v>
      </c>
      <c r="AN210" s="23">
        <f t="shared" ref="AN210:CD210" si="2049">AN209+AN205+AN201+AN199</f>
        <v>6.9999999999998508E-2</v>
      </c>
      <c r="AO210" s="23">
        <f t="shared" si="2049"/>
        <v>1.1179613922199454</v>
      </c>
      <c r="AP210" s="23">
        <f t="shared" si="2049"/>
        <v>2.730000000000004</v>
      </c>
      <c r="AQ210" s="23">
        <f t="shared" si="2049"/>
        <v>7.8616183706943801</v>
      </c>
      <c r="AR210" s="23">
        <f t="shared" si="2049"/>
        <v>4.3000000000000025</v>
      </c>
      <c r="AS210" s="23">
        <f t="shared" si="2049"/>
        <v>7.5538214826021024</v>
      </c>
      <c r="AT210" s="23">
        <f t="shared" si="2049"/>
        <v>0.18000000000000682</v>
      </c>
      <c r="AU210" s="23">
        <f t="shared" si="2049"/>
        <v>-3.1935432500904808</v>
      </c>
      <c r="AV210" s="23">
        <f t="shared" si="2049"/>
        <v>0.42999999999999616</v>
      </c>
      <c r="AW210" s="23">
        <f t="shared" si="2049"/>
        <v>3.0597611425757352</v>
      </c>
      <c r="AX210" s="23">
        <f t="shared" si="2049"/>
        <v>2.1199999999999992</v>
      </c>
      <c r="AY210" s="23">
        <f t="shared" si="2049"/>
        <v>-0.15119208494208602</v>
      </c>
      <c r="AZ210" s="23">
        <f t="shared" si="2049"/>
        <v>0.9500000000000226</v>
      </c>
      <c r="BA210" s="23">
        <f t="shared" si="2049"/>
        <v>-3.6200919305413715</v>
      </c>
      <c r="BB210" s="23">
        <f t="shared" si="2049"/>
        <v>1.2399999999999807</v>
      </c>
      <c r="BC210" s="23">
        <f t="shared" si="2049"/>
        <v>2.5879080694586323</v>
      </c>
      <c r="BD210" s="23">
        <f t="shared" si="2049"/>
        <v>6.3699999999999974</v>
      </c>
      <c r="BE210" s="23">
        <f t="shared" si="2049"/>
        <v>4.0815037232764917</v>
      </c>
      <c r="BF210" s="23">
        <f t="shared" si="2049"/>
        <v>2.6299999999999812</v>
      </c>
      <c r="BG210" s="23">
        <f t="shared" si="2049"/>
        <v>3.962755625740213</v>
      </c>
      <c r="BH210" s="23">
        <f t="shared" si="2049"/>
        <v>2.8300000000000312</v>
      </c>
      <c r="BI210" s="23">
        <f t="shared" si="2049"/>
        <v>10.840755988023952</v>
      </c>
      <c r="BJ210" s="23">
        <f t="shared" si="2049"/>
        <v>1.8700000000000045</v>
      </c>
      <c r="BK210" s="23">
        <f t="shared" si="2049"/>
        <v>1.7213086059595752</v>
      </c>
      <c r="BL210" s="23">
        <f t="shared" si="2049"/>
        <v>1.0000000000001563E-2</v>
      </c>
      <c r="BM210" s="23">
        <f t="shared" si="2049"/>
        <v>2.5216812273598936</v>
      </c>
      <c r="BN210" s="23">
        <f t="shared" si="2049"/>
        <v>1.0499999999999856</v>
      </c>
      <c r="BO210" s="23">
        <f t="shared" si="2049"/>
        <v>6.4165639651707913</v>
      </c>
      <c r="BP210" s="23">
        <f t="shared" si="2049"/>
        <v>4.7399999999999878</v>
      </c>
      <c r="BQ210" s="23">
        <f t="shared" si="2049"/>
        <v>8.7459430473372848</v>
      </c>
      <c r="BR210" s="23">
        <f t="shared" si="2049"/>
        <v>3.5700000000000096</v>
      </c>
      <c r="BS210" s="23">
        <f t="shared" si="2049"/>
        <v>14.018673114119952</v>
      </c>
      <c r="BT210" s="23">
        <f t="shared" si="2049"/>
        <v>3.0900000000000141</v>
      </c>
      <c r="BU210" s="23">
        <f t="shared" si="2049"/>
        <v>7.2675400613705836</v>
      </c>
      <c r="BV210" s="23">
        <f t="shared" si="2049"/>
        <v>5.8399999999999608</v>
      </c>
      <c r="BW210" s="23">
        <f t="shared" si="2049"/>
        <v>11.939262810908</v>
      </c>
      <c r="BX210" s="23">
        <f t="shared" si="2049"/>
        <v>6.0000000000000231</v>
      </c>
      <c r="BY210" s="23">
        <f t="shared" si="2049"/>
        <v>17.353872922168716</v>
      </c>
      <c r="BZ210" s="23">
        <f t="shared" si="2049"/>
        <v>1.780000000000018</v>
      </c>
      <c r="CA210" s="23">
        <f t="shared" si="2049"/>
        <v>5.4453505868191145</v>
      </c>
      <c r="CB210" s="23">
        <f t="shared" si="2049"/>
        <v>8.0499999999999723</v>
      </c>
      <c r="CC210" s="23">
        <f t="shared" si="2049"/>
        <v>13.756994543801174</v>
      </c>
      <c r="CD210" s="23">
        <f t="shared" si="2049"/>
        <v>0.60000000000000497</v>
      </c>
      <c r="CE210" s="23">
        <f t="shared" ref="CE210:CF210" si="2050">CE209+CE205+CE201+CE199</f>
        <v>9.0831415877469883</v>
      </c>
      <c r="CF210" s="23">
        <f t="shared" si="2050"/>
        <v>6.4299999999999953</v>
      </c>
      <c r="CG210" s="23">
        <f t="shared" ref="CG210:CH210" si="2051">CG209+CG205+CG201+CG199</f>
        <v>12.892956624690566</v>
      </c>
      <c r="CH210" s="23">
        <f t="shared" si="2051"/>
        <v>3.7229999999999954</v>
      </c>
      <c r="CI210" s="23">
        <f t="shared" ref="CI210:CJ210" si="2052">CI209+CI205+CI201+CI199</f>
        <v>11.996187516997544</v>
      </c>
      <c r="CJ210" s="23">
        <f t="shared" si="2052"/>
        <v>0.70999999999999908</v>
      </c>
      <c r="CK210" s="24">
        <f t="shared" ref="CK210:DB210" si="2053">CK209+CK205+CK201+CK199</f>
        <v>14.233287581699354</v>
      </c>
      <c r="CL210" s="23">
        <f t="shared" si="2053"/>
        <v>14.14</v>
      </c>
      <c r="CM210" s="24">
        <f t="shared" si="2053"/>
        <v>0.96204989724894396</v>
      </c>
      <c r="CN210" s="24">
        <f t="shared" si="2053"/>
        <v>8.7605817877341519</v>
      </c>
      <c r="CO210" s="24">
        <f t="shared" si="2053"/>
        <v>43.356964778959892</v>
      </c>
      <c r="CP210" s="24">
        <f t="shared" si="2053"/>
        <v>39.622912955486797</v>
      </c>
      <c r="CQ210" s="24">
        <f t="shared" si="2053"/>
        <v>22.284413993721987</v>
      </c>
      <c r="CR210" s="24">
        <f t="shared" si="2053"/>
        <v>33.53493774601619</v>
      </c>
      <c r="CS210" s="24">
        <f t="shared" si="2053"/>
        <v>73.964158428756946</v>
      </c>
      <c r="CT210" s="24">
        <f t="shared" si="2053"/>
        <v>69.285440021540722</v>
      </c>
      <c r="CU210" s="24">
        <f t="shared" si="2053"/>
        <v>49.472023859846573</v>
      </c>
      <c r="CV210" s="24">
        <f t="shared" si="2053"/>
        <v>63.108656764448114</v>
      </c>
      <c r="CW210" s="24">
        <f t="shared" si="2053"/>
        <v>109.63000245925404</v>
      </c>
      <c r="CX210" s="24">
        <f t="shared" si="2053"/>
        <v>104.39990676660507</v>
      </c>
      <c r="CY210" s="24">
        <f t="shared" si="2053"/>
        <v>82.013137103619442</v>
      </c>
      <c r="CZ210" s="24">
        <f t="shared" si="2053"/>
        <v>97.979390123687082</v>
      </c>
      <c r="DA210" s="24">
        <f t="shared" si="2053"/>
        <v>151.44434811886151</v>
      </c>
      <c r="DB210" s="24">
        <f t="shared" si="2053"/>
        <v>145.70450689190164</v>
      </c>
      <c r="DE210" s="123"/>
      <c r="DF210" s="23">
        <v>8.5684977928513568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2.4424906541753444E-15</v>
      </c>
      <c r="F211" s="28">
        <f t="shared" si="2054"/>
        <v>-2.9420910152566648E-15</v>
      </c>
      <c r="G211" s="28">
        <f t="shared" si="2054"/>
        <v>2.1094237467877974E-15</v>
      </c>
      <c r="H211" s="28">
        <f t="shared" si="2054"/>
        <v>2.6645352591003757E-15</v>
      </c>
      <c r="I211" s="28">
        <f t="shared" si="2054"/>
        <v>-6.6613381477509392E-16</v>
      </c>
      <c r="J211" s="28">
        <f>J210-J161</f>
        <v>-3.219646771412954E-15</v>
      </c>
      <c r="K211" s="28">
        <f t="shared" si="2054"/>
        <v>8.659739592076221E-15</v>
      </c>
      <c r="L211" s="28">
        <f t="shared" si="2054"/>
        <v>-5.773159728050814E-15</v>
      </c>
      <c r="M211" s="28">
        <f t="shared" si="2054"/>
        <v>-1.0325074129013956E-14</v>
      </c>
      <c r="N211" s="28">
        <f t="shared" si="2054"/>
        <v>2.3869795029440866E-14</v>
      </c>
      <c r="O211" s="28">
        <f t="shared" si="2054"/>
        <v>-2.5313084961453569E-14</v>
      </c>
      <c r="P211" s="28">
        <f t="shared" si="2054"/>
        <v>-2.0816681711721685E-15</v>
      </c>
      <c r="Q211" s="28">
        <f t="shared" si="2054"/>
        <v>3.2862601528904634E-14</v>
      </c>
      <c r="R211" s="28">
        <f t="shared" si="2054"/>
        <v>0</v>
      </c>
      <c r="S211" s="28">
        <f t="shared" si="2054"/>
        <v>-2.1760371282653068E-14</v>
      </c>
      <c r="T211" s="28">
        <f t="shared" si="2054"/>
        <v>1.5099033134902129E-14</v>
      </c>
      <c r="U211" s="28">
        <f t="shared" si="2054"/>
        <v>-7.3274719625260332E-15</v>
      </c>
      <c r="V211" s="28">
        <f t="shared" si="2054"/>
        <v>1.1546319456101628E-14</v>
      </c>
      <c r="W211" s="28">
        <f t="shared" si="2054"/>
        <v>0</v>
      </c>
      <c r="X211" s="28">
        <f t="shared" ref="X211:Y211" si="2055">X210-X161</f>
        <v>6.4392935428259079E-15</v>
      </c>
      <c r="Y211" s="28">
        <f t="shared" si="2055"/>
        <v>-1.9206858326015208E-14</v>
      </c>
      <c r="Z211" s="28">
        <f t="shared" ref="Z211:AA211" si="2056">Z210-Z161</f>
        <v>6.2172489379008766E-15</v>
      </c>
      <c r="AA211" s="28">
        <f t="shared" si="2056"/>
        <v>-3.5527136788005009E-14</v>
      </c>
      <c r="AB211" s="30">
        <f t="shared" ref="AA211:AD211" si="2057">AB210-AB161</f>
        <v>-5.6843418860808015E-14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3.8857805861880479E-15</v>
      </c>
      <c r="AM211" s="28">
        <f t="shared" ref="AM211" si="2061">AM210-AM161</f>
        <v>0</v>
      </c>
      <c r="AN211" s="28">
        <f t="shared" ref="AN211:CD211" si="2062">AN210-AN161</f>
        <v>-1.4988010832439613E-15</v>
      </c>
      <c r="AO211" s="28">
        <f t="shared" si="2062"/>
        <v>0</v>
      </c>
      <c r="AP211" s="28">
        <f t="shared" si="2062"/>
        <v>3.9968028886505635E-15</v>
      </c>
      <c r="AQ211" s="28">
        <f t="shared" si="2062"/>
        <v>0</v>
      </c>
      <c r="AR211" s="28">
        <f t="shared" si="2062"/>
        <v>0</v>
      </c>
      <c r="AS211" s="28">
        <f t="shared" si="2062"/>
        <v>0</v>
      </c>
      <c r="AT211" s="28">
        <f t="shared" si="2062"/>
        <v>6.8278716014447127E-15</v>
      </c>
      <c r="AU211" s="28">
        <f t="shared" si="2062"/>
        <v>0</v>
      </c>
      <c r="AV211" s="28">
        <f t="shared" si="2062"/>
        <v>-3.8302694349567901E-15</v>
      </c>
      <c r="AW211" s="28">
        <f t="shared" si="2062"/>
        <v>0</v>
      </c>
      <c r="AX211" s="28">
        <f t="shared" si="2062"/>
        <v>0</v>
      </c>
      <c r="AY211" s="28">
        <f t="shared" si="2062"/>
        <v>0</v>
      </c>
      <c r="AZ211" s="28">
        <f t="shared" si="2062"/>
        <v>2.2648549702353193E-14</v>
      </c>
      <c r="BA211" s="28">
        <f t="shared" si="2062"/>
        <v>0</v>
      </c>
      <c r="BB211" s="28">
        <f t="shared" si="2062"/>
        <v>-1.9317880628477724E-14</v>
      </c>
      <c r="BC211" s="28">
        <f t="shared" si="2062"/>
        <v>0</v>
      </c>
      <c r="BD211" s="28">
        <f t="shared" si="2062"/>
        <v>0</v>
      </c>
      <c r="BE211" s="28">
        <f t="shared" si="2062"/>
        <v>0</v>
      </c>
      <c r="BF211" s="28">
        <f t="shared" si="2062"/>
        <v>-1.865174681370263E-14</v>
      </c>
      <c r="BG211" s="28">
        <f t="shared" si="2062"/>
        <v>0</v>
      </c>
      <c r="BH211" s="28">
        <f t="shared" si="2062"/>
        <v>3.1086244689504383E-14</v>
      </c>
      <c r="BI211" s="28">
        <f t="shared" si="2062"/>
        <v>0</v>
      </c>
      <c r="BJ211" s="28">
        <f t="shared" si="2062"/>
        <v>4.4408920985006262E-15</v>
      </c>
      <c r="BK211" s="28">
        <f t="shared" si="2062"/>
        <v>0</v>
      </c>
      <c r="BL211" s="28">
        <f t="shared" si="2062"/>
        <v>1.5629858518551032E-15</v>
      </c>
      <c r="BM211" s="28">
        <f t="shared" si="2062"/>
        <v>0</v>
      </c>
      <c r="BN211" s="28">
        <f t="shared" si="2062"/>
        <v>-1.4432899320127035E-14</v>
      </c>
      <c r="BO211" s="28">
        <f t="shared" si="2062"/>
        <v>0</v>
      </c>
      <c r="BP211" s="28">
        <f t="shared" si="2062"/>
        <v>-1.2434497875801753E-14</v>
      </c>
      <c r="BQ211" s="28">
        <f t="shared" si="2062"/>
        <v>0</v>
      </c>
      <c r="BR211" s="28">
        <f t="shared" si="2062"/>
        <v>9.7699626167013776E-15</v>
      </c>
      <c r="BS211" s="28">
        <f t="shared" si="2062"/>
        <v>0</v>
      </c>
      <c r="BT211" s="28">
        <f t="shared" si="2062"/>
        <v>1.4210854715202004E-14</v>
      </c>
      <c r="BU211" s="28">
        <f t="shared" si="2062"/>
        <v>0</v>
      </c>
      <c r="BV211" s="28">
        <f t="shared" si="2062"/>
        <v>-3.907985046680551E-14</v>
      </c>
      <c r="BW211" s="28">
        <f t="shared" si="2062"/>
        <v>0</v>
      </c>
      <c r="BX211" s="28">
        <f t="shared" si="2062"/>
        <v>2.3092638912203256E-14</v>
      </c>
      <c r="BY211" s="28">
        <f t="shared" si="2062"/>
        <v>0</v>
      </c>
      <c r="BZ211" s="28">
        <f t="shared" si="2062"/>
        <v>1.7985612998927536E-14</v>
      </c>
      <c r="CA211" s="28">
        <f t="shared" si="2062"/>
        <v>0</v>
      </c>
      <c r="CB211" s="28">
        <f t="shared" si="2062"/>
        <v>-2.8421709430404007E-14</v>
      </c>
      <c r="CC211" s="28">
        <f t="shared" si="2062"/>
        <v>0</v>
      </c>
      <c r="CD211" s="28">
        <f t="shared" si="2062"/>
        <v>4.9960036108132044E-15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-4.4408920985006262E-15</v>
      </c>
      <c r="CI211" s="28">
        <f t="shared" ref="CI211:CJ211" si="2065">CI210-CI161</f>
        <v>0</v>
      </c>
      <c r="CJ211" s="28">
        <f t="shared" si="2065"/>
        <v>-8.8817841970012523E-16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-16.014771699999994</v>
      </c>
      <c r="F213" s="22">
        <f t="shared" si="2067"/>
        <v>-0.97130740000000504</v>
      </c>
      <c r="G213" s="22">
        <f t="shared" si="2067"/>
        <v>-11.121254299999997</v>
      </c>
      <c r="H213" s="22">
        <f t="shared" si="2067"/>
        <v>-6.970188500000007</v>
      </c>
      <c r="I213" s="22">
        <f t="shared" si="2067"/>
        <v>-5.283399999999995</v>
      </c>
      <c r="J213" s="22">
        <f>J199+J201</f>
        <v>-2.9958000000000009</v>
      </c>
      <c r="K213" s="22">
        <f t="shared" si="2067"/>
        <v>-2.1714999999999858</v>
      </c>
      <c r="L213" s="22">
        <f t="shared" si="2067"/>
        <v>-8.4201000000000299</v>
      </c>
      <c r="M213" s="22">
        <f t="shared" si="2067"/>
        <v>-3.2029999999999998</v>
      </c>
      <c r="N213" s="22">
        <f t="shared" si="2067"/>
        <v>-0.69649999999997059</v>
      </c>
      <c r="O213" s="22">
        <f t="shared" si="2067"/>
        <v>-10.275300000000005</v>
      </c>
      <c r="P213" s="22">
        <f t="shared" si="2067"/>
        <v>-20.8294</v>
      </c>
      <c r="Q213" s="22">
        <f t="shared" si="2067"/>
        <v>-24.674799999999969</v>
      </c>
      <c r="R213" s="22">
        <f t="shared" si="2067"/>
        <v>1.2424000000000168</v>
      </c>
      <c r="S213" s="22">
        <f t="shared" si="2067"/>
        <v>-9.1931000000000189</v>
      </c>
      <c r="T213" s="22">
        <f t="shared" si="2067"/>
        <v>3.604699999999978</v>
      </c>
      <c r="U213" s="22">
        <f t="shared" si="2067"/>
        <v>-4.3131000000000128</v>
      </c>
      <c r="V213" s="22">
        <f t="shared" si="2067"/>
        <v>23.93030000000001</v>
      </c>
      <c r="W213" s="22">
        <f t="shared" si="2067"/>
        <v>11.474099999999986</v>
      </c>
      <c r="X213" s="22">
        <f t="shared" ref="X213:Y213" si="2068">X199+X201</f>
        <v>-1.3000000000000345</v>
      </c>
      <c r="Y213" s="22">
        <f t="shared" si="2068"/>
        <v>-6.8793000000000077</v>
      </c>
      <c r="Z213" s="22">
        <f t="shared" ref="Z213:AA213" si="2069">Z199+Z201</f>
        <v>-10.700199999999938</v>
      </c>
      <c r="AA213" s="22">
        <f t="shared" si="2069"/>
        <v>-16.107500000000051</v>
      </c>
      <c r="AB213" s="21">
        <f t="shared" ref="AA213:AD213" si="2070">AB199+AB201</f>
        <v>25.498512955486774</v>
      </c>
      <c r="AC213" s="21">
        <f t="shared" si="2070"/>
        <v>29.662527066053968</v>
      </c>
      <c r="AD213" s="21">
        <f t="shared" si="2070"/>
        <v>35.114466745064398</v>
      </c>
      <c r="AE213" s="21">
        <f t="shared" ref="AE213" si="2071">AE199+AE201</f>
        <v>41.304600125296517</v>
      </c>
      <c r="AI213" s="22">
        <f t="shared" ref="AI213" si="2072">AI199+AI201</f>
        <v>0.64099999999999946</v>
      </c>
      <c r="AJ213" s="22">
        <f t="shared" ref="AJ213:AL213" si="2073">AJ199+AJ201</f>
        <v>-56.435999999999993</v>
      </c>
      <c r="AK213" s="22">
        <f t="shared" si="2073"/>
        <v>2.3438470809792857</v>
      </c>
      <c r="AL213" s="22">
        <f t="shared" si="2073"/>
        <v>4.7531529190207102</v>
      </c>
      <c r="AM213" s="22">
        <f t="shared" ref="AM213" si="2074">AM199+AM201</f>
        <v>-0.31714971994831109</v>
      </c>
      <c r="AN213" s="22">
        <f t="shared" ref="AN213:CD213" si="2075">AN199+AN201</f>
        <v>-12.840850280051692</v>
      </c>
      <c r="AO213" s="22">
        <f t="shared" si="2075"/>
        <v>1.0479613922199453</v>
      </c>
      <c r="AP213" s="22">
        <f t="shared" si="2075"/>
        <v>-13.072961392219941</v>
      </c>
      <c r="AQ213" s="22">
        <f t="shared" si="2075"/>
        <v>5.131618370694377</v>
      </c>
      <c r="AR213" s="22">
        <f t="shared" si="2075"/>
        <v>-13.241618370694374</v>
      </c>
      <c r="AS213" s="22">
        <f t="shared" si="2075"/>
        <v>3.2538214826021061</v>
      </c>
      <c r="AT213" s="22">
        <f t="shared" si="2075"/>
        <v>-15.883821482602102</v>
      </c>
      <c r="AU213" s="22">
        <f t="shared" si="2075"/>
        <v>-3.3735432500904805</v>
      </c>
      <c r="AV213" s="22">
        <f t="shared" si="2075"/>
        <v>-32.676456749909534</v>
      </c>
      <c r="AW213" s="22">
        <f t="shared" si="2075"/>
        <v>2.629761142575735</v>
      </c>
      <c r="AX213" s="22">
        <f t="shared" si="2075"/>
        <v>8.8502388574242818</v>
      </c>
      <c r="AY213" s="22">
        <f t="shared" si="2075"/>
        <v>-2.2711920849420864</v>
      </c>
      <c r="AZ213" s="22">
        <f t="shared" si="2075"/>
        <v>2.261192084942091</v>
      </c>
      <c r="BA213" s="22">
        <f t="shared" si="2075"/>
        <v>-4.5700919305413734</v>
      </c>
      <c r="BB213" s="22">
        <f t="shared" si="2075"/>
        <v>22.840091930541345</v>
      </c>
      <c r="BC213" s="22">
        <f t="shared" si="2075"/>
        <v>1.3479080694586321</v>
      </c>
      <c r="BD213" s="22">
        <f t="shared" si="2075"/>
        <v>-8.3479080694586294</v>
      </c>
      <c r="BE213" s="22">
        <f t="shared" si="2075"/>
        <v>-2.2884962767235084</v>
      </c>
      <c r="BF213" s="22">
        <f t="shared" si="2075"/>
        <v>-12.261503723276494</v>
      </c>
      <c r="BG213" s="22">
        <f t="shared" si="2075"/>
        <v>1.3327556257402131</v>
      </c>
      <c r="BH213" s="22">
        <f t="shared" si="2075"/>
        <v>5.8972443742597909</v>
      </c>
      <c r="BI213" s="22">
        <f t="shared" si="2075"/>
        <v>8.0107559880239521</v>
      </c>
      <c r="BJ213" s="22">
        <f t="shared" si="2075"/>
        <v>5.5692440119760409</v>
      </c>
      <c r="BK213" s="22">
        <f t="shared" si="2075"/>
        <v>-0.14869139404042486</v>
      </c>
      <c r="BL213" s="22">
        <f t="shared" si="2075"/>
        <v>-31.631308605959561</v>
      </c>
      <c r="BM213" s="22">
        <f t="shared" si="2075"/>
        <v>2.5116812273598939</v>
      </c>
      <c r="BN213" s="22">
        <f t="shared" si="2075"/>
        <v>2.7883187726400971</v>
      </c>
      <c r="BO213" s="22">
        <f t="shared" si="2075"/>
        <v>5.3665639651707933</v>
      </c>
      <c r="BP213" s="22">
        <f t="shared" si="2075"/>
        <v>12.343436034829192</v>
      </c>
      <c r="BQ213" s="22">
        <f t="shared" si="2075"/>
        <v>4.0059430473372837</v>
      </c>
      <c r="BR213" s="22">
        <f t="shared" si="2075"/>
        <v>2.2240569526627234</v>
      </c>
      <c r="BS213" s="22">
        <f t="shared" si="2075"/>
        <v>10.448673114119952</v>
      </c>
      <c r="BT213" s="22">
        <f t="shared" si="2075"/>
        <v>13.271326885880065</v>
      </c>
      <c r="BU213" s="22">
        <f t="shared" si="2075"/>
        <v>4.1775400613705838</v>
      </c>
      <c r="BV213" s="22">
        <f t="shared" si="2075"/>
        <v>-16.417540061370602</v>
      </c>
      <c r="BW213" s="22">
        <f t="shared" si="2075"/>
        <v>6.0992628109079998</v>
      </c>
      <c r="BX213" s="22">
        <f t="shared" si="2075"/>
        <v>-9.4392628109079695</v>
      </c>
      <c r="BY213" s="22">
        <f t="shared" si="2075"/>
        <v>11.353872922168716</v>
      </c>
      <c r="BZ213" s="22">
        <f t="shared" si="2075"/>
        <v>-9.3238729221687038</v>
      </c>
      <c r="CA213" s="22">
        <f t="shared" si="2075"/>
        <v>3.6653505868191285</v>
      </c>
      <c r="CB213" s="22">
        <f t="shared" si="2075"/>
        <v>2.1846494131808694</v>
      </c>
      <c r="CC213" s="22">
        <f t="shared" si="2075"/>
        <v>5.706994543801172</v>
      </c>
      <c r="CD213" s="22">
        <f t="shared" si="2075"/>
        <v>-18.43699454380117</v>
      </c>
      <c r="CE213" s="22">
        <f t="shared" ref="CE213:CF213" si="2076">CE199+CE201</f>
        <v>8.4831415877469887</v>
      </c>
      <c r="CF213" s="22">
        <f t="shared" si="2076"/>
        <v>-17.873141587747003</v>
      </c>
      <c r="CG213" s="22">
        <f t="shared" ref="CG213:CH213" si="2077">CG199+CG201</f>
        <v>6.4629566246905661</v>
      </c>
      <c r="CH213" s="22">
        <f t="shared" si="2077"/>
        <v>-7.786456624690544</v>
      </c>
      <c r="CI213" s="22">
        <f t="shared" ref="CI213:CJ213" si="2078">CI199+CI201</f>
        <v>8.2731875169975435</v>
      </c>
      <c r="CJ213" s="22">
        <f t="shared" si="2078"/>
        <v>3.3903124830024733</v>
      </c>
      <c r="CK213" s="21">
        <f t="shared" ref="CK213:DB213" si="2079">CK199+CK201</f>
        <v>13.523287581699353</v>
      </c>
      <c r="CL213" s="22">
        <f t="shared" si="2079"/>
        <v>-41.283287581699327</v>
      </c>
      <c r="CM213" s="21">
        <f t="shared" si="2079"/>
        <v>-13.177950102751085</v>
      </c>
      <c r="CN213" s="21">
        <f t="shared" si="2079"/>
        <v>7.7985318904852079</v>
      </c>
      <c r="CO213" s="21">
        <f t="shared" si="2079"/>
        <v>34.596382991225738</v>
      </c>
      <c r="CP213" s="21">
        <f t="shared" si="2079"/>
        <v>-3.7340518234730933</v>
      </c>
      <c r="CQ213" s="21">
        <f t="shared" si="2079"/>
        <v>-17.33849896176481</v>
      </c>
      <c r="CR213" s="21">
        <f t="shared" si="2079"/>
        <v>11.250523752294205</v>
      </c>
      <c r="CS213" s="21">
        <f t="shared" si="2079"/>
        <v>40.429220682740748</v>
      </c>
      <c r="CT213" s="21">
        <f t="shared" si="2079"/>
        <v>-4.6787184072162287</v>
      </c>
      <c r="CU213" s="21">
        <f t="shared" si="2079"/>
        <v>-19.813416161694153</v>
      </c>
      <c r="CV213" s="21">
        <f t="shared" si="2079"/>
        <v>13.636632904601541</v>
      </c>
      <c r="CW213" s="21">
        <f t="shared" si="2079"/>
        <v>46.52134569480593</v>
      </c>
      <c r="CX213" s="21">
        <f t="shared" si="2079"/>
        <v>-5.2300956926489732</v>
      </c>
      <c r="CY213" s="21">
        <f t="shared" si="2079"/>
        <v>-22.386769662985635</v>
      </c>
      <c r="CZ213" s="21">
        <f t="shared" si="2079"/>
        <v>15.966253020067636</v>
      </c>
      <c r="DA213" s="21">
        <f t="shared" si="2079"/>
        <v>53.46495799517443</v>
      </c>
      <c r="DB213" s="21">
        <f t="shared" si="2079"/>
        <v>-5.7398412269598644</v>
      </c>
      <c r="DE213" s="126"/>
      <c r="DF213" s="22">
        <v>-5.6647897888479974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105.27900000000001</v>
      </c>
      <c r="AM225" s="66">
        <f t="shared" si="2080"/>
        <v>106.53100000000001</v>
      </c>
      <c r="AN225" s="66">
        <f t="shared" si="2080"/>
        <v>114.17099999999999</v>
      </c>
      <c r="AO225" s="66">
        <f t="shared" si="2080"/>
        <v>124.89100000000001</v>
      </c>
      <c r="AP225" s="66">
        <f t="shared" si="2080"/>
        <v>133.619</v>
      </c>
      <c r="AQ225" s="66">
        <f t="shared" si="2080"/>
        <v>136.43</v>
      </c>
      <c r="AR225" s="66">
        <f t="shared" si="2080"/>
        <v>135.29</v>
      </c>
      <c r="AS225" s="66">
        <f t="shared" si="2080"/>
        <v>127.96</v>
      </c>
      <c r="AT225" s="66">
        <f t="shared" si="2080"/>
        <v>119.00999999999999</v>
      </c>
      <c r="AU225" s="66">
        <f t="shared" si="2080"/>
        <v>123.33</v>
      </c>
      <c r="AV225" s="66">
        <f t="shared" si="2080"/>
        <v>130.88999999999999</v>
      </c>
      <c r="AW225" s="66">
        <f t="shared" si="2080"/>
        <v>139.22</v>
      </c>
      <c r="AX225" s="66">
        <f t="shared" si="2080"/>
        <v>150.23000000000002</v>
      </c>
      <c r="AY225" s="66">
        <f t="shared" si="2080"/>
        <v>158.91</v>
      </c>
      <c r="AZ225" s="66">
        <f t="shared" si="2080"/>
        <v>154.46</v>
      </c>
      <c r="BA225" s="66">
        <f t="shared" si="2080"/>
        <v>160.38999999999999</v>
      </c>
      <c r="BB225" s="66">
        <f t="shared" si="2080"/>
        <v>165.22</v>
      </c>
      <c r="BC225" s="66">
        <f t="shared" si="2080"/>
        <v>166.51</v>
      </c>
      <c r="BD225" s="66">
        <f t="shared" si="2080"/>
        <v>171.98</v>
      </c>
      <c r="BE225" s="66">
        <f t="shared" si="2080"/>
        <v>175.39</v>
      </c>
      <c r="BF225" s="66">
        <f t="shared" si="2080"/>
        <v>182.57999999999998</v>
      </c>
      <c r="BG225" s="66">
        <f t="shared" si="2080"/>
        <v>186.99999999999997</v>
      </c>
      <c r="BH225" s="66">
        <f t="shared" si="2080"/>
        <v>198.80999999999997</v>
      </c>
      <c r="BI225" s="66">
        <f t="shared" si="2080"/>
        <v>192.35999999999999</v>
      </c>
      <c r="BJ225" s="66">
        <f t="shared" si="2080"/>
        <v>189.69</v>
      </c>
      <c r="BK225" s="66">
        <f t="shared" si="2080"/>
        <v>187.8</v>
      </c>
      <c r="BL225" s="66">
        <f t="shared" si="2080"/>
        <v>181.29000000000002</v>
      </c>
      <c r="BM225" s="66">
        <f t="shared" si="2080"/>
        <v>184.28000000000003</v>
      </c>
      <c r="BN225" s="66">
        <f t="shared" si="2080"/>
        <v>181.08</v>
      </c>
      <c r="BO225" s="66">
        <f t="shared" si="2080"/>
        <v>172.39000000000001</v>
      </c>
      <c r="BP225" s="66">
        <f t="shared" si="2080"/>
        <v>179.54000000000002</v>
      </c>
      <c r="BQ225" s="66">
        <f t="shared" si="2080"/>
        <v>191.73999999999998</v>
      </c>
      <c r="BR225" s="66">
        <f t="shared" ref="BR225:CW225" si="2081">SUM(BO10:BR10)</f>
        <v>198.64999999999998</v>
      </c>
      <c r="BS225" s="66">
        <f t="shared" si="2081"/>
        <v>220.37</v>
      </c>
      <c r="BT225" s="66">
        <f t="shared" si="2081"/>
        <v>224.95</v>
      </c>
      <c r="BU225" s="66">
        <f t="shared" si="2081"/>
        <v>228.97</v>
      </c>
      <c r="BV225" s="66">
        <f t="shared" si="2081"/>
        <v>244.01</v>
      </c>
      <c r="BW225" s="66">
        <f t="shared" si="2081"/>
        <v>246.07999999999998</v>
      </c>
      <c r="BX225" s="66">
        <f t="shared" si="2081"/>
        <v>251.79</v>
      </c>
      <c r="BY225" s="66">
        <f t="shared" si="2081"/>
        <v>245.04000000000002</v>
      </c>
      <c r="BZ225" s="66">
        <f t="shared" si="2081"/>
        <v>244.76</v>
      </c>
      <c r="CA225" s="66">
        <f t="shared" si="2081"/>
        <v>248.75</v>
      </c>
      <c r="CB225" s="66">
        <f t="shared" si="2081"/>
        <v>250.36</v>
      </c>
      <c r="CC225" s="66">
        <f t="shared" si="2081"/>
        <v>264.31</v>
      </c>
      <c r="CD225" s="66">
        <f t="shared" si="2081"/>
        <v>283.38</v>
      </c>
      <c r="CE225" s="66">
        <f t="shared" si="2081"/>
        <v>294.66000000000003</v>
      </c>
      <c r="CF225" s="66">
        <f t="shared" si="2081"/>
        <v>321.59000000000003</v>
      </c>
      <c r="CG225" s="66">
        <f t="shared" si="2081"/>
        <v>341.01</v>
      </c>
      <c r="CH225" s="66">
        <f t="shared" si="2081"/>
        <v>365.79</v>
      </c>
      <c r="CI225" s="66">
        <f t="shared" si="2081"/>
        <v>401.71</v>
      </c>
      <c r="CJ225" s="66">
        <f t="shared" si="2081"/>
        <v>431.20000000000005</v>
      </c>
      <c r="CK225" s="50">
        <f t="shared" si="2081"/>
        <v>441.55</v>
      </c>
      <c r="CL225" s="66">
        <f t="shared" si="2081"/>
        <v>440.91</v>
      </c>
      <c r="CM225" s="50">
        <f t="shared" si="2081"/>
        <v>466.38145921195462</v>
      </c>
      <c r="CN225" s="50">
        <f t="shared" si="2081"/>
        <v>486.503938684677</v>
      </c>
      <c r="CO225" s="50">
        <f t="shared" si="2081"/>
        <v>498.48297107274976</v>
      </c>
      <c r="CP225" s="50">
        <f t="shared" si="2081"/>
        <v>512.4224392746795</v>
      </c>
      <c r="CQ225" s="50">
        <f t="shared" si="2081"/>
        <v>534.76467888179877</v>
      </c>
      <c r="CR225" s="50">
        <f t="shared" si="2081"/>
        <v>555.35851546769868</v>
      </c>
      <c r="CS225" s="50">
        <f t="shared" si="2081"/>
        <v>570.27858093495718</v>
      </c>
      <c r="CT225" s="50">
        <f t="shared" si="2081"/>
        <v>587.93769570335598</v>
      </c>
      <c r="CU225" s="50">
        <f t="shared" si="2081"/>
        <v>611.67461429881087</v>
      </c>
      <c r="CV225" s="50">
        <f t="shared" si="2081"/>
        <v>635.06870029015613</v>
      </c>
      <c r="CW225" s="50">
        <f t="shared" si="2081"/>
        <v>652.512919240065</v>
      </c>
      <c r="CX225" s="50">
        <f t="shared" ref="CX225:DB225" si="2082">SUM(CU10:CX10)</f>
        <v>672.86386980102475</v>
      </c>
      <c r="CY225" s="50">
        <f t="shared" si="2082"/>
        <v>699.6322033026288</v>
      </c>
      <c r="CZ225" s="50">
        <f t="shared" si="2082"/>
        <v>726.44245064456641</v>
      </c>
      <c r="DA225" s="50">
        <f t="shared" si="2082"/>
        <v>746.47822532864416</v>
      </c>
      <c r="DB225" s="50">
        <f t="shared" si="2082"/>
        <v>769.75108757247187</v>
      </c>
      <c r="DE225" s="138"/>
      <c r="DF225" s="66">
        <v>474.37279322381477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7.8820000000000014</v>
      </c>
      <c r="AM226" s="66">
        <f t="shared" si="2083"/>
        <v>6.838000000000001</v>
      </c>
      <c r="AN226" s="66">
        <f t="shared" si="2083"/>
        <v>7.6980000000000013</v>
      </c>
      <c r="AO226" s="66">
        <f t="shared" si="2083"/>
        <v>11.178000000000003</v>
      </c>
      <c r="AP226" s="66">
        <f t="shared" si="2083"/>
        <v>10.987999999999996</v>
      </c>
      <c r="AQ226" s="66">
        <f t="shared" si="2083"/>
        <v>11.124999999999996</v>
      </c>
      <c r="AR226" s="66">
        <f t="shared" si="2083"/>
        <v>9.6949999999999896</v>
      </c>
      <c r="AS226" s="66">
        <f t="shared" si="2083"/>
        <v>4.034999999999985</v>
      </c>
      <c r="AT226" s="66">
        <f t="shared" si="2083"/>
        <v>2.1699999999999893</v>
      </c>
      <c r="AU226" s="66">
        <f t="shared" si="2083"/>
        <v>4.5799999999999885</v>
      </c>
      <c r="AV226" s="66">
        <f t="shared" si="2083"/>
        <v>7.8899999999999944</v>
      </c>
      <c r="AW226" s="66">
        <f t="shared" si="2083"/>
        <v>10.5</v>
      </c>
      <c r="AX226" s="66">
        <f t="shared" si="2083"/>
        <v>9.8100000000000041</v>
      </c>
      <c r="AY226" s="66">
        <f t="shared" si="2083"/>
        <v>7.2800000000000082</v>
      </c>
      <c r="AZ226" s="66">
        <f t="shared" si="2083"/>
        <v>6.0700000000000021</v>
      </c>
      <c r="BA226" s="66">
        <f t="shared" si="2083"/>
        <v>4.6799999999999979</v>
      </c>
      <c r="BB226" s="66">
        <f t="shared" si="2083"/>
        <v>5.8199999999999914</v>
      </c>
      <c r="BC226" s="66">
        <f t="shared" si="2083"/>
        <v>6.6399999999999899</v>
      </c>
      <c r="BD226" s="66">
        <f t="shared" si="2083"/>
        <v>7.3699999999999957</v>
      </c>
      <c r="BE226" s="66">
        <f t="shared" si="2083"/>
        <v>10.989999999999995</v>
      </c>
      <c r="BF226" s="66">
        <f t="shared" si="2083"/>
        <v>15.339999999999998</v>
      </c>
      <c r="BG226" s="66">
        <f t="shared" si="2083"/>
        <v>17.559999999999988</v>
      </c>
      <c r="BH226" s="66">
        <f t="shared" si="2083"/>
        <v>17.179999999999986</v>
      </c>
      <c r="BI226" s="66">
        <f t="shared" si="2083"/>
        <v>14.649999999999988</v>
      </c>
      <c r="BJ226" s="66">
        <f t="shared" si="2083"/>
        <v>16.279999999999987</v>
      </c>
      <c r="BK226" s="66">
        <f t="shared" si="2083"/>
        <v>15.159999999999998</v>
      </c>
      <c r="BL226" s="66">
        <f t="shared" si="2083"/>
        <v>16.259999999999998</v>
      </c>
      <c r="BM226" s="66">
        <f t="shared" si="2083"/>
        <v>18.479999999999997</v>
      </c>
      <c r="BN226" s="66">
        <f t="shared" si="2083"/>
        <v>16.86</v>
      </c>
      <c r="BO226" s="66">
        <f t="shared" si="2083"/>
        <v>18.059999999999999</v>
      </c>
      <c r="BP226" s="66">
        <f t="shared" si="2083"/>
        <v>21.89</v>
      </c>
      <c r="BQ226" s="66">
        <f t="shared" si="2083"/>
        <v>27.16</v>
      </c>
      <c r="BR226" s="66">
        <f t="shared" ref="BR226:CW226" si="2084">SUM(BO28:BR28)</f>
        <v>29.42</v>
      </c>
      <c r="BS226" s="66">
        <f t="shared" si="2084"/>
        <v>32.08</v>
      </c>
      <c r="BT226" s="66">
        <f t="shared" si="2084"/>
        <v>32.220000000000006</v>
      </c>
      <c r="BU226" s="66">
        <f t="shared" si="2084"/>
        <v>31.750000000000011</v>
      </c>
      <c r="BV226" s="66">
        <f t="shared" si="2084"/>
        <v>31.300000000000011</v>
      </c>
      <c r="BW226" s="66">
        <f t="shared" si="2084"/>
        <v>32.49</v>
      </c>
      <c r="BX226" s="66">
        <f t="shared" si="2084"/>
        <v>34.310000000000009</v>
      </c>
      <c r="BY226" s="66">
        <f t="shared" si="2084"/>
        <v>30.760000000000016</v>
      </c>
      <c r="BZ226" s="66">
        <f t="shared" si="2084"/>
        <v>31.150000000000006</v>
      </c>
      <c r="CA226" s="66">
        <f t="shared" si="2084"/>
        <v>31.350000000000016</v>
      </c>
      <c r="CB226" s="66">
        <f t="shared" si="2084"/>
        <v>29.510000000000012</v>
      </c>
      <c r="CC226" s="66">
        <f t="shared" si="2084"/>
        <v>35.590000000000011</v>
      </c>
      <c r="CD226" s="66">
        <f t="shared" si="2084"/>
        <v>40.430000000000014</v>
      </c>
      <c r="CE226" s="66">
        <f t="shared" si="2084"/>
        <v>39.46</v>
      </c>
      <c r="CF226" s="66">
        <f t="shared" si="2084"/>
        <v>38.279999999999987</v>
      </c>
      <c r="CG226" s="66">
        <f t="shared" si="2084"/>
        <v>34.399999999999991</v>
      </c>
      <c r="CH226" s="66">
        <f t="shared" si="2084"/>
        <v>33.760000000000005</v>
      </c>
      <c r="CI226" s="66">
        <f t="shared" si="2084"/>
        <v>38.680000000000021</v>
      </c>
      <c r="CJ226" s="66">
        <f t="shared" si="2084"/>
        <v>44.950000000000038</v>
      </c>
      <c r="CK226" s="50">
        <f t="shared" si="2084"/>
        <v>47.240000000000023</v>
      </c>
      <c r="CL226" s="66">
        <f t="shared" si="2084"/>
        <v>52.22000000000002</v>
      </c>
      <c r="CM226" s="50">
        <f t="shared" si="2084"/>
        <v>56.023665159001666</v>
      </c>
      <c r="CN226" s="50">
        <f t="shared" si="2084"/>
        <v>59.051880221209863</v>
      </c>
      <c r="CO226" s="50">
        <f t="shared" si="2084"/>
        <v>62.899369625981407</v>
      </c>
      <c r="CP226" s="50">
        <f t="shared" si="2084"/>
        <v>62.122910607605988</v>
      </c>
      <c r="CQ226" s="50">
        <f t="shared" si="2084"/>
        <v>65.327465814963148</v>
      </c>
      <c r="CR226" s="50">
        <f t="shared" si="2084"/>
        <v>68.224257939431041</v>
      </c>
      <c r="CS226" s="50">
        <f t="shared" si="2084"/>
        <v>70.278005253956678</v>
      </c>
      <c r="CT226" s="50">
        <f t="shared" si="2084"/>
        <v>71.994371269650372</v>
      </c>
      <c r="CU226" s="50">
        <f t="shared" si="2084"/>
        <v>75.084056104419616</v>
      </c>
      <c r="CV226" s="50">
        <f t="shared" si="2084"/>
        <v>78.041603242539964</v>
      </c>
      <c r="CW226" s="50">
        <f t="shared" si="2084"/>
        <v>80.184244232468401</v>
      </c>
      <c r="CX226" s="50">
        <f t="shared" ref="CX226:DB226" si="2085">SUM(CU28:CX28)</f>
        <v>82.61087773155802</v>
      </c>
      <c r="CY226" s="50">
        <f t="shared" si="2085"/>
        <v>85.948677309284022</v>
      </c>
      <c r="CZ226" s="50">
        <f t="shared" si="2085"/>
        <v>89.25421095636186</v>
      </c>
      <c r="DA226" s="50">
        <f t="shared" si="2085"/>
        <v>91.70886654244967</v>
      </c>
      <c r="DB226" s="50">
        <f t="shared" si="2085"/>
        <v>94.558288620283946</v>
      </c>
      <c r="DE226" s="138"/>
      <c r="DF226" s="66">
        <v>50.942639842843704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0.89400000000000146</v>
      </c>
      <c r="AM227" s="66">
        <f t="shared" si="2086"/>
        <v>1.30000000000009E-2</v>
      </c>
      <c r="AN227" s="66">
        <f t="shared" si="2086"/>
        <v>0.92300000000000137</v>
      </c>
      <c r="AO227" s="66">
        <f t="shared" si="2086"/>
        <v>2.8730000000000029</v>
      </c>
      <c r="AP227" s="66">
        <f t="shared" si="2086"/>
        <v>-0.39500000000000357</v>
      </c>
      <c r="AQ227" s="66">
        <f t="shared" si="2086"/>
        <v>-0.12500000000000414</v>
      </c>
      <c r="AR227" s="66">
        <f t="shared" si="2086"/>
        <v>-1.5150000000000092</v>
      </c>
      <c r="AS227" s="66">
        <f t="shared" si="2086"/>
        <v>-5.2250000000000139</v>
      </c>
      <c r="AT227" s="66">
        <f t="shared" si="2086"/>
        <v>-3.1800000000000104</v>
      </c>
      <c r="AU227" s="66">
        <f t="shared" si="2086"/>
        <v>-2.3500000000000112</v>
      </c>
      <c r="AV227" s="66">
        <f t="shared" si="2086"/>
        <v>-2.4200000000000053</v>
      </c>
      <c r="AW227" s="66">
        <f t="shared" si="2086"/>
        <v>-1.9099999999999993</v>
      </c>
      <c r="AX227" s="66">
        <f t="shared" si="2086"/>
        <v>-0.81999999999999607</v>
      </c>
      <c r="AY227" s="66">
        <f t="shared" si="2086"/>
        <v>-2.3599999999999914</v>
      </c>
      <c r="AZ227" s="66">
        <f t="shared" si="2086"/>
        <v>-2.3699999999999974</v>
      </c>
      <c r="BA227" s="66">
        <f t="shared" si="2086"/>
        <v>-3.450000000000002</v>
      </c>
      <c r="BB227" s="66">
        <f t="shared" si="2086"/>
        <v>-6.6200000000000081</v>
      </c>
      <c r="BC227" s="66">
        <f t="shared" si="2086"/>
        <v>-6.8800000000000097</v>
      </c>
      <c r="BD227" s="66">
        <f t="shared" si="2086"/>
        <v>-6.0700000000000047</v>
      </c>
      <c r="BE227" s="66">
        <f t="shared" si="2086"/>
        <v>-3.080000000000005</v>
      </c>
      <c r="BF227" s="66">
        <f t="shared" si="2086"/>
        <v>1.2099999999999977</v>
      </c>
      <c r="BG227" s="66">
        <f t="shared" si="2086"/>
        <v>3.9799999999999893</v>
      </c>
      <c r="BH227" s="66">
        <f t="shared" si="2086"/>
        <v>3.7199999999999847</v>
      </c>
      <c r="BI227" s="66">
        <f t="shared" si="2086"/>
        <v>0.50999999999998735</v>
      </c>
      <c r="BJ227" s="66">
        <f t="shared" si="2086"/>
        <v>1.9799999999999884</v>
      </c>
      <c r="BK227" s="66">
        <f t="shared" si="2086"/>
        <v>-0.28000000000000158</v>
      </c>
      <c r="BL227" s="66">
        <f t="shared" si="2086"/>
        <v>1.0199999999999967</v>
      </c>
      <c r="BM227" s="66">
        <f t="shared" si="2086"/>
        <v>3.5099999999999976</v>
      </c>
      <c r="BN227" s="66">
        <f t="shared" si="2086"/>
        <v>1.6700000000000002</v>
      </c>
      <c r="BO227" s="66">
        <f t="shared" si="2086"/>
        <v>2.9099999999999993</v>
      </c>
      <c r="BP227" s="66">
        <f t="shared" si="2086"/>
        <v>7.5500000000000007</v>
      </c>
      <c r="BQ227" s="66">
        <f t="shared" si="2086"/>
        <v>11.88</v>
      </c>
      <c r="BR227" s="66">
        <f t="shared" ref="BR227:CW227" si="2087">SUM(BO41:BR41)</f>
        <v>14.19</v>
      </c>
      <c r="BS227" s="66">
        <f t="shared" si="2087"/>
        <v>11.880000000000004</v>
      </c>
      <c r="BT227" s="66">
        <f t="shared" si="2087"/>
        <v>10.320000000000007</v>
      </c>
      <c r="BU227" s="66">
        <f t="shared" si="2087"/>
        <v>10.170000000000011</v>
      </c>
      <c r="BV227" s="66">
        <f t="shared" si="2087"/>
        <v>9.6600000000000126</v>
      </c>
      <c r="BW227" s="66">
        <f t="shared" si="2087"/>
        <v>14.98</v>
      </c>
      <c r="BX227" s="66">
        <f t="shared" si="2087"/>
        <v>15.890000000000011</v>
      </c>
      <c r="BY227" s="66">
        <f t="shared" si="2087"/>
        <v>13.100000000000014</v>
      </c>
      <c r="BZ227" s="66">
        <f t="shared" si="2087"/>
        <v>13.660000000000009</v>
      </c>
      <c r="CA227" s="66">
        <f t="shared" si="2087"/>
        <v>13.680000000000016</v>
      </c>
      <c r="CB227" s="66">
        <f t="shared" si="2087"/>
        <v>12.070000000000014</v>
      </c>
      <c r="CC227" s="66">
        <f t="shared" si="2087"/>
        <v>16.20000000000001</v>
      </c>
      <c r="CD227" s="66">
        <f t="shared" si="2087"/>
        <v>18.840000000000011</v>
      </c>
      <c r="CE227" s="66">
        <f t="shared" si="2087"/>
        <v>19.010000000000002</v>
      </c>
      <c r="CF227" s="66">
        <f t="shared" si="2087"/>
        <v>18.319999999999993</v>
      </c>
      <c r="CG227" s="66">
        <f t="shared" si="2087"/>
        <v>14.819999999999995</v>
      </c>
      <c r="CH227" s="66">
        <f t="shared" si="2087"/>
        <v>14.570000000000007</v>
      </c>
      <c r="CI227" s="66">
        <f t="shared" si="2087"/>
        <v>17.38000000000002</v>
      </c>
      <c r="CJ227" s="66">
        <f t="shared" si="2087"/>
        <v>21.420000000000037</v>
      </c>
      <c r="CK227" s="50">
        <f t="shared" si="2087"/>
        <v>24.680000000000028</v>
      </c>
      <c r="CL227" s="66">
        <f t="shared" si="2087"/>
        <v>29.600000000000019</v>
      </c>
      <c r="CM227" s="50">
        <f t="shared" si="2087"/>
        <v>32.503892502479147</v>
      </c>
      <c r="CN227" s="50">
        <f t="shared" si="2087"/>
        <v>35.519143955891074</v>
      </c>
      <c r="CO227" s="50">
        <f t="shared" si="2087"/>
        <v>37.769784334706323</v>
      </c>
      <c r="CP227" s="50">
        <f t="shared" si="2087"/>
        <v>36.238432233751496</v>
      </c>
      <c r="CQ227" s="50">
        <f t="shared" si="2087"/>
        <v>38.561356670143461</v>
      </c>
      <c r="CR227" s="50">
        <f t="shared" si="2087"/>
        <v>40.66430263375247</v>
      </c>
      <c r="CS227" s="50">
        <f t="shared" si="2087"/>
        <v>42.119329510464496</v>
      </c>
      <c r="CT227" s="50">
        <f t="shared" si="2087"/>
        <v>43.288079101267698</v>
      </c>
      <c r="CU227" s="50">
        <f t="shared" si="2087"/>
        <v>45.502719299400653</v>
      </c>
      <c r="CV227" s="50">
        <f t="shared" si="2087"/>
        <v>47.624303103301351</v>
      </c>
      <c r="CW227" s="50">
        <f t="shared" si="2087"/>
        <v>49.125585140566173</v>
      </c>
      <c r="CX227" s="50">
        <f t="shared" ref="CX227:DB227" si="2088">SUM(CU41:CX41)</f>
        <v>50.817005602257851</v>
      </c>
      <c r="CY227" s="50">
        <f t="shared" si="2088"/>
        <v>53.195224494850962</v>
      </c>
      <c r="CZ227" s="50">
        <f t="shared" si="2088"/>
        <v>55.55718480516542</v>
      </c>
      <c r="DA227" s="50">
        <f t="shared" si="2088"/>
        <v>57.273698753130347</v>
      </c>
      <c r="DB227" s="50">
        <f t="shared" si="2088"/>
        <v>59.261649483121857</v>
      </c>
      <c r="DE227" s="138"/>
      <c r="DF227" s="66">
        <v>28.43153592233751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23.998149600000001</v>
      </c>
      <c r="F231" s="64">
        <f t="shared" si="2089"/>
        <v>20.047816999999998</v>
      </c>
      <c r="G231" s="64">
        <f t="shared" si="2089"/>
        <v>30.721513099999999</v>
      </c>
      <c r="H231" s="64">
        <f t="shared" si="2089"/>
        <v>37.309899999999999</v>
      </c>
      <c r="I231" s="64">
        <f t="shared" si="2089"/>
        <v>47.388800000000003</v>
      </c>
      <c r="J231" s="64">
        <f t="shared" si="2089"/>
        <v>68.460300000000004</v>
      </c>
      <c r="K231" s="64">
        <f t="shared" si="2089"/>
        <v>68.002499999999998</v>
      </c>
      <c r="L231" s="64">
        <f t="shared" si="2089"/>
        <v>84.923199999999994</v>
      </c>
      <c r="M231" s="64">
        <f t="shared" si="2089"/>
        <v>100.68049999999999</v>
      </c>
      <c r="N231" s="64">
        <f t="shared" si="2089"/>
        <v>111.8464</v>
      </c>
      <c r="O231" s="64">
        <f t="shared" si="2089"/>
        <v>140.5702</v>
      </c>
      <c r="P231" s="64">
        <f t="shared" si="2089"/>
        <v>127.3836</v>
      </c>
      <c r="Q231" s="64">
        <f t="shared" si="2089"/>
        <v>158.5318</v>
      </c>
      <c r="R231" s="64">
        <f t="shared" si="2089"/>
        <v>175.08770000000001</v>
      </c>
      <c r="S231" s="64">
        <f t="shared" si="2089"/>
        <v>185.2637</v>
      </c>
      <c r="T231" s="64">
        <f t="shared" si="2089"/>
        <v>189.68899999999999</v>
      </c>
      <c r="U231" s="64">
        <f t="shared" si="2089"/>
        <v>181.07740000000001</v>
      </c>
      <c r="V231" s="64">
        <f t="shared" si="2089"/>
        <v>198.65309999999999</v>
      </c>
      <c r="W231" s="64">
        <f t="shared" si="2089"/>
        <v>244.0042</v>
      </c>
      <c r="X231" s="64">
        <f t="shared" si="2089"/>
        <v>244.76</v>
      </c>
      <c r="Y231" s="64">
        <f t="shared" si="2089"/>
        <v>283.37540000000001</v>
      </c>
      <c r="Z231" s="64">
        <f t="shared" si="2089"/>
        <v>365.79480000000001</v>
      </c>
      <c r="AA231" s="64">
        <f t="shared" ref="AA231" si="2090">AA8-AA237</f>
        <v>440.91289999999998</v>
      </c>
      <c r="AB231" s="30"/>
      <c r="AC231" s="30"/>
      <c r="AD231" s="30"/>
      <c r="AE231" s="30"/>
      <c r="AI231" s="64">
        <f t="shared" ref="AI231:BN231" si="2091">AI8-AI237</f>
        <v>26.707000000000001</v>
      </c>
      <c r="AJ231" s="64">
        <f t="shared" si="2091"/>
        <v>26.55</v>
      </c>
      <c r="AK231" s="64">
        <f t="shared" si="2091"/>
        <v>24.169999999999998</v>
      </c>
      <c r="AL231" s="64">
        <f t="shared" si="2091"/>
        <v>27.852</v>
      </c>
      <c r="AM231" s="64">
        <f t="shared" si="2091"/>
        <v>27.959</v>
      </c>
      <c r="AN231" s="64">
        <f t="shared" si="2091"/>
        <v>34.19</v>
      </c>
      <c r="AO231" s="64">
        <f t="shared" si="2091"/>
        <v>34.89</v>
      </c>
      <c r="AP231" s="64">
        <f t="shared" si="2091"/>
        <v>36.58</v>
      </c>
      <c r="AQ231" s="64">
        <f t="shared" si="2091"/>
        <v>30.77</v>
      </c>
      <c r="AR231" s="64">
        <f t="shared" si="2091"/>
        <v>33.049999999999997</v>
      </c>
      <c r="AS231" s="64">
        <f t="shared" si="2091"/>
        <v>27.56</v>
      </c>
      <c r="AT231" s="64">
        <f t="shared" si="2091"/>
        <v>27.63</v>
      </c>
      <c r="AU231" s="64">
        <f t="shared" si="2091"/>
        <v>35.090000000000003</v>
      </c>
      <c r="AV231" s="64">
        <f t="shared" si="2091"/>
        <v>40.61</v>
      </c>
      <c r="AW231" s="64">
        <f t="shared" si="2091"/>
        <v>35.89</v>
      </c>
      <c r="AX231" s="64">
        <f t="shared" si="2091"/>
        <v>41.44</v>
      </c>
      <c r="AY231" s="64">
        <f t="shared" si="2091"/>
        <v>46.6</v>
      </c>
      <c r="AZ231" s="64">
        <f t="shared" si="2091"/>
        <v>39.159999999999997</v>
      </c>
      <c r="BA231" s="64">
        <f t="shared" si="2091"/>
        <v>42.64</v>
      </c>
      <c r="BB231" s="64">
        <f t="shared" si="2091"/>
        <v>48.95</v>
      </c>
      <c r="BC231" s="64">
        <f t="shared" si="2091"/>
        <v>47.74</v>
      </c>
      <c r="BD231" s="64">
        <f t="shared" si="2091"/>
        <v>41.63</v>
      </c>
      <c r="BE231" s="64">
        <f t="shared" si="2091"/>
        <v>45.23</v>
      </c>
      <c r="BF231" s="64">
        <f t="shared" si="2091"/>
        <v>50.66</v>
      </c>
      <c r="BG231" s="64">
        <f t="shared" si="2091"/>
        <v>49.48</v>
      </c>
      <c r="BH231" s="64">
        <f t="shared" si="2091"/>
        <v>53.44</v>
      </c>
      <c r="BI231" s="64">
        <f t="shared" si="2091"/>
        <v>38.78</v>
      </c>
      <c r="BJ231" s="64">
        <f t="shared" si="2091"/>
        <v>47.99</v>
      </c>
      <c r="BK231" s="64">
        <f t="shared" si="2091"/>
        <v>47.59</v>
      </c>
      <c r="BL231" s="64">
        <f t="shared" si="2091"/>
        <v>46.93</v>
      </c>
      <c r="BM231" s="64">
        <f t="shared" si="2091"/>
        <v>41.77</v>
      </c>
      <c r="BN231" s="64">
        <f t="shared" si="2091"/>
        <v>44.79</v>
      </c>
      <c r="BO231" s="64">
        <f t="shared" ref="BO231:CT231" si="2092">BO8-BO237</f>
        <v>38.9</v>
      </c>
      <c r="BP231" s="64">
        <f t="shared" si="2092"/>
        <v>54.08</v>
      </c>
      <c r="BQ231" s="64">
        <f t="shared" si="2092"/>
        <v>53.97</v>
      </c>
      <c r="BR231" s="64">
        <f t="shared" si="2092"/>
        <v>51.7</v>
      </c>
      <c r="BS231" s="64">
        <f t="shared" si="2092"/>
        <v>60.62</v>
      </c>
      <c r="BT231" s="64">
        <f t="shared" si="2092"/>
        <v>58.66</v>
      </c>
      <c r="BU231" s="64">
        <f t="shared" si="2092"/>
        <v>57.99</v>
      </c>
      <c r="BV231" s="64">
        <f t="shared" si="2092"/>
        <v>66.739999999999995</v>
      </c>
      <c r="BW231" s="64">
        <f t="shared" si="2092"/>
        <v>62.69</v>
      </c>
      <c r="BX231" s="64">
        <f t="shared" si="2092"/>
        <v>64.37</v>
      </c>
      <c r="BY231" s="64">
        <f t="shared" si="2092"/>
        <v>51.24</v>
      </c>
      <c r="BZ231" s="64">
        <f t="shared" si="2092"/>
        <v>66.459999999999994</v>
      </c>
      <c r="CA231" s="64">
        <f t="shared" si="2092"/>
        <v>66.680000000000007</v>
      </c>
      <c r="CB231" s="64">
        <f t="shared" si="2092"/>
        <v>65.98</v>
      </c>
      <c r="CC231" s="64">
        <f t="shared" si="2092"/>
        <v>65.19</v>
      </c>
      <c r="CD231" s="64">
        <f t="shared" si="2092"/>
        <v>85.53</v>
      </c>
      <c r="CE231" s="64">
        <f t="shared" si="2092"/>
        <v>77.959999999999994</v>
      </c>
      <c r="CF231" s="64">
        <f t="shared" si="2092"/>
        <v>92.91</v>
      </c>
      <c r="CG231" s="64">
        <f t="shared" si="2092"/>
        <v>84.61</v>
      </c>
      <c r="CH231" s="64">
        <f t="shared" si="2092"/>
        <v>110.31</v>
      </c>
      <c r="CI231" s="64">
        <f t="shared" si="2092"/>
        <v>113.88</v>
      </c>
      <c r="CJ231" s="64">
        <f t="shared" si="2092"/>
        <v>122.4</v>
      </c>
      <c r="CK231" s="30">
        <f t="shared" si="2092"/>
        <v>94.96</v>
      </c>
      <c r="CL231" s="64">
        <f t="shared" ref="CL231" si="2093">CL8-CL237</f>
        <v>109.67</v>
      </c>
      <c r="CM231" s="30">
        <f t="shared" si="2092"/>
        <v>139.35145921195459</v>
      </c>
      <c r="CN231" s="30">
        <f t="shared" si="2092"/>
        <v>142.52247947272241</v>
      </c>
      <c r="CO231" s="30">
        <f t="shared" si="2092"/>
        <v>106.93903238807276</v>
      </c>
      <c r="CP231" s="30">
        <f t="shared" si="2092"/>
        <v>123.60946820192976</v>
      </c>
      <c r="CQ231" s="30">
        <f t="shared" si="2092"/>
        <v>161.69369881907392</v>
      </c>
      <c r="CR231" s="30">
        <f t="shared" si="2092"/>
        <v>163.11631605862232</v>
      </c>
      <c r="CS231" s="30">
        <f t="shared" si="2092"/>
        <v>121.85909785533116</v>
      </c>
      <c r="CT231" s="30">
        <f t="shared" si="2092"/>
        <v>141.26858297032851</v>
      </c>
      <c r="CU231" s="30">
        <f t="shared" ref="CU231:DB231" si="2094">CU8-CU237</f>
        <v>185.43061741452885</v>
      </c>
      <c r="CV231" s="30">
        <f t="shared" si="2094"/>
        <v>186.51040204996758</v>
      </c>
      <c r="CW231" s="30">
        <f t="shared" si="2094"/>
        <v>139.30331680523994</v>
      </c>
      <c r="CX231" s="30">
        <f t="shared" si="2094"/>
        <v>161.61953353128831</v>
      </c>
      <c r="CY231" s="30">
        <f t="shared" si="2094"/>
        <v>212.19895091613296</v>
      </c>
      <c r="CZ231" s="30">
        <f t="shared" si="2094"/>
        <v>213.32064939190519</v>
      </c>
      <c r="DA231" s="30">
        <f t="shared" si="2094"/>
        <v>159.3390914893177</v>
      </c>
      <c r="DB231" s="30">
        <f t="shared" si="2094"/>
        <v>184.892395775116</v>
      </c>
      <c r="DE231" s="139"/>
      <c r="DF231" s="64">
        <v>143.13279322381476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1.1384192000000057</v>
      </c>
      <c r="F232" s="64">
        <f t="shared" si="2095"/>
        <v>1.099063199999998</v>
      </c>
      <c r="G232" s="64">
        <f t="shared" si="2095"/>
        <v>2.8166158999999986</v>
      </c>
      <c r="H232" s="64">
        <f t="shared" si="2095"/>
        <v>0.85109999999999353</v>
      </c>
      <c r="I232" s="64">
        <f t="shared" si="2095"/>
        <v>3.2340000000000018</v>
      </c>
      <c r="J232" s="64">
        <f t="shared" si="2095"/>
        <v>6.5284000000000049</v>
      </c>
      <c r="K232" s="64">
        <f t="shared" si="2095"/>
        <v>8.9328000000000038</v>
      </c>
      <c r="L232" s="64">
        <f t="shared" si="2095"/>
        <v>8.0236999999999838</v>
      </c>
      <c r="M232" s="64">
        <f t="shared" si="2095"/>
        <v>7.6442000000000014</v>
      </c>
      <c r="N232" s="64">
        <f t="shared" si="2095"/>
        <v>8.4089000000000134</v>
      </c>
      <c r="O232" s="64">
        <f t="shared" si="2095"/>
        <v>10.884600000000006</v>
      </c>
      <c r="P232" s="64">
        <f t="shared" si="2095"/>
        <v>2.1572999999999993</v>
      </c>
      <c r="Q232" s="64">
        <f t="shared" si="2095"/>
        <v>9.807300000000005</v>
      </c>
      <c r="R232" s="64">
        <f t="shared" si="2095"/>
        <v>7.1556000000000139</v>
      </c>
      <c r="S232" s="64">
        <f t="shared" si="2095"/>
        <v>15.515699999999995</v>
      </c>
      <c r="T232" s="64">
        <f t="shared" si="2095"/>
        <v>16.243899999999982</v>
      </c>
      <c r="U232" s="64">
        <f t="shared" si="2095"/>
        <v>17.07889999999999</v>
      </c>
      <c r="V232" s="64">
        <f t="shared" si="2095"/>
        <v>29.533500000000004</v>
      </c>
      <c r="W232" s="64">
        <f t="shared" si="2095"/>
        <v>31.239499999999985</v>
      </c>
      <c r="X232" s="64">
        <f t="shared" si="2095"/>
        <v>31.15789999999997</v>
      </c>
      <c r="Y232" s="64">
        <f t="shared" si="2095"/>
        <v>40.433900000000001</v>
      </c>
      <c r="Z232" s="64">
        <f t="shared" si="2095"/>
        <v>33.775300000000044</v>
      </c>
      <c r="AA232" s="64">
        <f t="shared" ref="AA232" si="2096">AA28-AA238</f>
        <v>52.239799999999988</v>
      </c>
      <c r="AB232" s="30"/>
      <c r="AC232" s="30"/>
      <c r="AD232" s="30"/>
      <c r="AE232" s="30"/>
      <c r="AI232" s="64">
        <f t="shared" ref="AI232:BN232" si="2097">AI28-AI238</f>
        <v>2.5269999999999992</v>
      </c>
      <c r="AJ232" s="64">
        <f t="shared" si="2097"/>
        <v>2.0000000000000009</v>
      </c>
      <c r="AK232" s="64">
        <f t="shared" si="2097"/>
        <v>0.98999999999999932</v>
      </c>
      <c r="AL232" s="64">
        <f t="shared" si="2097"/>
        <v>2.365000000000002</v>
      </c>
      <c r="AM232" s="64">
        <f t="shared" si="2097"/>
        <v>1.4829999999999988</v>
      </c>
      <c r="AN232" s="64">
        <f t="shared" si="2097"/>
        <v>2.8600000000000012</v>
      </c>
      <c r="AO232" s="64">
        <f t="shared" si="2097"/>
        <v>4.4700000000000006</v>
      </c>
      <c r="AP232" s="64">
        <f t="shared" si="2097"/>
        <v>2.1749999999999954</v>
      </c>
      <c r="AQ232" s="64">
        <f t="shared" si="2097"/>
        <v>1.6199999999999983</v>
      </c>
      <c r="AR232" s="64">
        <f t="shared" si="2097"/>
        <v>1.4299999999999962</v>
      </c>
      <c r="AS232" s="64">
        <f t="shared" si="2097"/>
        <v>-1.1900000000000048</v>
      </c>
      <c r="AT232" s="64">
        <f t="shared" si="2097"/>
        <v>0.30999999999999961</v>
      </c>
      <c r="AU232" s="64">
        <f t="shared" si="2097"/>
        <v>4.0299999999999976</v>
      </c>
      <c r="AV232" s="64">
        <f t="shared" si="2097"/>
        <v>4.740000000000002</v>
      </c>
      <c r="AW232" s="64">
        <f t="shared" si="2097"/>
        <v>1.4200000000000017</v>
      </c>
      <c r="AX232" s="64">
        <f t="shared" si="2097"/>
        <v>-0.37999999999999723</v>
      </c>
      <c r="AY232" s="64">
        <f t="shared" si="2097"/>
        <v>1.5000000000000018</v>
      </c>
      <c r="AZ232" s="64">
        <f t="shared" si="2097"/>
        <v>3.5299999999999958</v>
      </c>
      <c r="BA232" s="64">
        <f t="shared" si="2097"/>
        <v>2.9999999999997584E-2</v>
      </c>
      <c r="BB232" s="64">
        <f t="shared" si="2097"/>
        <v>0.75999999999999623</v>
      </c>
      <c r="BC232" s="64">
        <f t="shared" si="2097"/>
        <v>2.3200000000000003</v>
      </c>
      <c r="BD232" s="64">
        <f t="shared" si="2097"/>
        <v>4.2600000000000016</v>
      </c>
      <c r="BE232" s="64">
        <f t="shared" si="2097"/>
        <v>3.6499999999999968</v>
      </c>
      <c r="BF232" s="64">
        <f t="shared" si="2097"/>
        <v>5.1099999999999994</v>
      </c>
      <c r="BG232" s="64">
        <f t="shared" si="2097"/>
        <v>4.539999999999992</v>
      </c>
      <c r="BH232" s="64">
        <f t="shared" si="2097"/>
        <v>3.8799999999999972</v>
      </c>
      <c r="BI232" s="64">
        <f t="shared" si="2097"/>
        <v>1.1199999999999992</v>
      </c>
      <c r="BJ232" s="64">
        <f t="shared" si="2097"/>
        <v>6.74</v>
      </c>
      <c r="BK232" s="64">
        <f t="shared" si="2097"/>
        <v>3.4200000000000017</v>
      </c>
      <c r="BL232" s="64">
        <f t="shared" si="2097"/>
        <v>4.9799999999999951</v>
      </c>
      <c r="BM232" s="64">
        <f t="shared" si="2097"/>
        <v>3.34</v>
      </c>
      <c r="BN232" s="64">
        <f t="shared" si="2097"/>
        <v>5.1200000000000028</v>
      </c>
      <c r="BO232" s="64">
        <f t="shared" ref="BO232:CT232" si="2098">BO28-BO238</f>
        <v>4.620000000000001</v>
      </c>
      <c r="BP232" s="64">
        <f t="shared" si="2098"/>
        <v>8.8099999999999969</v>
      </c>
      <c r="BQ232" s="64">
        <f t="shared" si="2098"/>
        <v>8.61</v>
      </c>
      <c r="BR232" s="64">
        <f t="shared" si="2098"/>
        <v>7.3800000000000026</v>
      </c>
      <c r="BS232" s="64">
        <f t="shared" si="2098"/>
        <v>7.2800000000000047</v>
      </c>
      <c r="BT232" s="64">
        <f t="shared" si="2098"/>
        <v>8.9499999999999993</v>
      </c>
      <c r="BU232" s="64">
        <f t="shared" si="2098"/>
        <v>8.1400000000000041</v>
      </c>
      <c r="BV232" s="64">
        <f t="shared" si="2098"/>
        <v>6.9300000000000033</v>
      </c>
      <c r="BW232" s="64">
        <f t="shared" si="2098"/>
        <v>8.4699999999999935</v>
      </c>
      <c r="BX232" s="64">
        <f t="shared" si="2098"/>
        <v>10.77000000000001</v>
      </c>
      <c r="BY232" s="64">
        <f t="shared" si="2098"/>
        <v>4.590000000000007</v>
      </c>
      <c r="BZ232" s="64">
        <f t="shared" si="2098"/>
        <v>7.3199999999999985</v>
      </c>
      <c r="CA232" s="64">
        <f t="shared" si="2098"/>
        <v>8.67</v>
      </c>
      <c r="CB232" s="64">
        <f t="shared" si="2098"/>
        <v>8.9300000000000086</v>
      </c>
      <c r="CC232" s="64">
        <f t="shared" si="2098"/>
        <v>10.67</v>
      </c>
      <c r="CD232" s="64">
        <f t="shared" si="2098"/>
        <v>12.160000000000004</v>
      </c>
      <c r="CE232" s="64">
        <f t="shared" si="2098"/>
        <v>7.6999999999999904</v>
      </c>
      <c r="CF232" s="64">
        <f t="shared" si="2098"/>
        <v>7.7499999999999964</v>
      </c>
      <c r="CG232" s="64">
        <f t="shared" si="2098"/>
        <v>6.7900000000000063</v>
      </c>
      <c r="CH232" s="64">
        <f t="shared" si="2098"/>
        <v>11.520000000000014</v>
      </c>
      <c r="CI232" s="64">
        <f t="shared" si="2098"/>
        <v>12.620000000000005</v>
      </c>
      <c r="CJ232" s="64">
        <f t="shared" si="2098"/>
        <v>14.020000000000014</v>
      </c>
      <c r="CK232" s="30">
        <f t="shared" si="2098"/>
        <v>9.0799999999999947</v>
      </c>
      <c r="CL232" s="64">
        <f t="shared" ref="CL232" si="2099">CL28-CL238</f>
        <v>16.500000000000007</v>
      </c>
      <c r="CM232" s="30">
        <f t="shared" si="2098"/>
        <v>16.423665159001654</v>
      </c>
      <c r="CN232" s="30">
        <f t="shared" si="2098"/>
        <v>17.048215062208207</v>
      </c>
      <c r="CO232" s="30">
        <f t="shared" si="2098"/>
        <v>12.927489404771539</v>
      </c>
      <c r="CP232" s="30">
        <f t="shared" si="2098"/>
        <v>15.723540981624595</v>
      </c>
      <c r="CQ232" s="30">
        <f t="shared" si="2098"/>
        <v>19.628220366358811</v>
      </c>
      <c r="CR232" s="30">
        <f t="shared" si="2098"/>
        <v>19.945007186676094</v>
      </c>
      <c r="CS232" s="30">
        <f t="shared" si="2098"/>
        <v>14.981236719297172</v>
      </c>
      <c r="CT232" s="30">
        <f t="shared" si="2098"/>
        <v>17.439906997318296</v>
      </c>
      <c r="CU232" s="30">
        <f t="shared" ref="CU232:DB232" si="2100">CU28-CU238</f>
        <v>22.717905201128051</v>
      </c>
      <c r="CV232" s="30">
        <f t="shared" si="2100"/>
        <v>22.902554324796448</v>
      </c>
      <c r="CW232" s="30">
        <f t="shared" si="2100"/>
        <v>17.123877709225603</v>
      </c>
      <c r="CX232" s="30">
        <f t="shared" si="2100"/>
        <v>19.866540496407922</v>
      </c>
      <c r="CY232" s="30">
        <f t="shared" si="2100"/>
        <v>26.05570477885405</v>
      </c>
      <c r="CZ232" s="30">
        <f t="shared" si="2100"/>
        <v>26.208087971874289</v>
      </c>
      <c r="DA232" s="30">
        <f t="shared" si="2100"/>
        <v>19.578533295313406</v>
      </c>
      <c r="DB232" s="30">
        <f t="shared" si="2100"/>
        <v>22.715962574242202</v>
      </c>
      <c r="DE232" s="139"/>
      <c r="DF232" s="64">
        <v>15.222639842843687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>
        <f t="shared" ref="E233" si="2103">+E232/E231</f>
        <v>4.7437790787003248E-2</v>
      </c>
      <c r="F233" s="86">
        <f t="shared" ref="F233" si="2104">+F232/F231</f>
        <v>5.4822088609448004E-2</v>
      </c>
      <c r="G233" s="86">
        <f t="shared" ref="G233" si="2105">+G232/G231</f>
        <v>9.1682199728632466E-2</v>
      </c>
      <c r="H233" s="86">
        <f t="shared" ref="H233" si="2106">+H232/H231</f>
        <v>2.2811639806056664E-2</v>
      </c>
      <c r="I233" s="86">
        <f t="shared" ref="I233" si="2107">+I232/I231</f>
        <v>6.824397325950439E-2</v>
      </c>
      <c r="J233" s="86">
        <f t="shared" ref="J233" si="2108">+J232/J231</f>
        <v>9.5360376743893971E-2</v>
      </c>
      <c r="K233" s="86">
        <f t="shared" ref="K233" si="2109">+K232/K231</f>
        <v>0.13135987647512964</v>
      </c>
      <c r="L233" s="86">
        <f t="shared" ref="L233" si="2110">+L232/L231</f>
        <v>9.4481837707481406E-2</v>
      </c>
      <c r="M233" s="86">
        <f t="shared" ref="M233" si="2111">+M232/M231</f>
        <v>7.592532814199375E-2</v>
      </c>
      <c r="N233" s="86">
        <f t="shared" ref="N233" si="2112">+N232/N231</f>
        <v>7.5182571812771923E-2</v>
      </c>
      <c r="O233" s="86">
        <f t="shared" ref="O233" si="2113">+O232/O231</f>
        <v>7.7431774302092526E-2</v>
      </c>
      <c r="P233" s="86">
        <f t="shared" ref="P233" si="2114">+P232/P231</f>
        <v>1.6935461079762223E-2</v>
      </c>
      <c r="Q233" s="86">
        <f t="shared" ref="Q233" si="2115">+Q232/Q231</f>
        <v>6.1863298089090045E-2</v>
      </c>
      <c r="R233" s="86">
        <f t="shared" ref="R233" si="2116">+R232/R231</f>
        <v>4.0868661819191257E-2</v>
      </c>
      <c r="S233" s="86">
        <f t="shared" ref="S233" si="2117">+S232/S231</f>
        <v>8.3749271983664345E-2</v>
      </c>
      <c r="T233" s="86">
        <f t="shared" ref="T233" si="2118">+T232/T231</f>
        <v>8.5634380485953232E-2</v>
      </c>
      <c r="U233" s="86">
        <f t="shared" ref="U233" si="2119">+U232/U231</f>
        <v>9.4318230767616446E-2</v>
      </c>
      <c r="V233" s="86">
        <f t="shared" ref="V233" si="2120">+V232/V231</f>
        <v>0.14866870942361335</v>
      </c>
      <c r="W233" s="86">
        <f t="shared" ref="W233" si="2121">+W232/W231</f>
        <v>0.12802853393507155</v>
      </c>
      <c r="X233" s="86">
        <f t="shared" ref="X233:Y233" si="2122">+X232/X231</f>
        <v>0.1272998038895243</v>
      </c>
      <c r="Y233" s="86">
        <f t="shared" si="2122"/>
        <v>0.14268669757501887</v>
      </c>
      <c r="Z233" s="86">
        <f t="shared" ref="Z233:AA233" si="2123">+Z232/Z231</f>
        <v>9.2334008028545078E-2</v>
      </c>
      <c r="AA233" s="86">
        <f t="shared" si="2123"/>
        <v>0.11848099704045853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9.4619388175384705E-2</v>
      </c>
      <c r="AJ233" s="86">
        <f t="shared" ref="AJ233" si="2125">+AJ232/AJ231</f>
        <v>7.5329566854990621E-2</v>
      </c>
      <c r="AK233" s="86">
        <f t="shared" ref="AK233" si="2126">+AK232/AK231</f>
        <v>4.0959867604468327E-2</v>
      </c>
      <c r="AL233" s="86">
        <f t="shared" ref="AL233" si="2127">+AL232/AL231</f>
        <v>8.4913112164297075E-2</v>
      </c>
      <c r="AM233" s="86">
        <f t="shared" ref="AM233" si="2128">+AM232/AM231</f>
        <v>5.3041954290210622E-2</v>
      </c>
      <c r="AN233" s="86">
        <f t="shared" ref="AN233" si="2129">+AN232/AN231</f>
        <v>8.3650190114068476E-2</v>
      </c>
      <c r="AO233" s="86">
        <f t="shared" ref="AO233" si="2130">+AO232/AO231</f>
        <v>0.12811693895098883</v>
      </c>
      <c r="AP233" s="86">
        <f t="shared" ref="AP233" si="2131">+AP232/AP231</f>
        <v>5.9458720612356353E-2</v>
      </c>
      <c r="AQ233" s="86">
        <f t="shared" ref="AQ233" si="2132">+AQ232/AQ231</f>
        <v>5.2648683782905374E-2</v>
      </c>
      <c r="AR233" s="86">
        <f t="shared" ref="AR233" si="2133">+AR232/AR231</f>
        <v>4.3267776096822884E-2</v>
      </c>
      <c r="AS233" s="86">
        <f t="shared" ref="AS233" si="2134">+AS232/AS231</f>
        <v>-4.3178519593614108E-2</v>
      </c>
      <c r="AT233" s="86">
        <f t="shared" ref="AT233" si="2135">+AT232/AT231</f>
        <v>1.1219688744118697E-2</v>
      </c>
      <c r="AU233" s="86">
        <f t="shared" ref="AU233" si="2136">+AU232/AU231</f>
        <v>0.11484753491023075</v>
      </c>
      <c r="AV233" s="86">
        <f t="shared" ref="AV233" si="2137">+AV232/AV231</f>
        <v>0.11672001969958143</v>
      </c>
      <c r="AW233" s="86">
        <f t="shared" ref="AW233" si="2138">+AW232/AW231</f>
        <v>3.9565338534410743E-2</v>
      </c>
      <c r="AX233" s="86">
        <f t="shared" ref="AX233" si="2139">+AX232/AX231</f>
        <v>-9.169884169884103E-3</v>
      </c>
      <c r="AY233" s="86">
        <f t="shared" ref="AY233" si="2140">+AY232/AY231</f>
        <v>3.2188841201716778E-2</v>
      </c>
      <c r="AZ233" s="86">
        <f t="shared" ref="AZ233" si="2141">+AZ232/AZ231</f>
        <v>9.0143003064351274E-2</v>
      </c>
      <c r="BA233" s="86">
        <f t="shared" ref="BA233" si="2142">+BA232/BA231</f>
        <v>7.0356472795491515E-4</v>
      </c>
      <c r="BB233" s="86">
        <f t="shared" ref="BB233" si="2143">+BB232/BB231</f>
        <v>1.5526046986721066E-2</v>
      </c>
      <c r="BC233" s="86">
        <f t="shared" ref="BC233" si="2144">+BC232/BC231</f>
        <v>4.8596564725596987E-2</v>
      </c>
      <c r="BD233" s="86">
        <f t="shared" ref="BD233" si="2145">+BD232/BD231</f>
        <v>0.1023300504443911</v>
      </c>
      <c r="BE233" s="86">
        <f t="shared" ref="BE233" si="2146">+BE232/BE231</f>
        <v>8.0698651337607716E-2</v>
      </c>
      <c r="BF233" s="86">
        <f t="shared" ref="BF233" si="2147">+BF232/BF231</f>
        <v>0.10086853533359652</v>
      </c>
      <c r="BG233" s="86">
        <f t="shared" ref="BG233" si="2148">+BG232/BG231</f>
        <v>9.1754244139045926E-2</v>
      </c>
      <c r="BH233" s="86">
        <f t="shared" ref="BH233" si="2149">+BH232/BH231</f>
        <v>7.2604790419161624E-2</v>
      </c>
      <c r="BI233" s="86">
        <f t="shared" ref="BI233" si="2150">+BI232/BI231</f>
        <v>2.888086642599276E-2</v>
      </c>
      <c r="BJ233" s="86">
        <f t="shared" ref="BJ233" si="2151">+BJ232/BJ231</f>
        <v>0.1404459262346322</v>
      </c>
      <c r="BK233" s="86">
        <f t="shared" ref="BK233" si="2152">+BK232/BK231</f>
        <v>7.1863836940533762E-2</v>
      </c>
      <c r="BL233" s="86">
        <f t="shared" ref="BL233" si="2153">+BL232/BL231</f>
        <v>0.1061154911570423</v>
      </c>
      <c r="BM233" s="86">
        <f t="shared" ref="BM233" si="2154">+BM232/BM231</f>
        <v>7.99616949964089E-2</v>
      </c>
      <c r="BN233" s="86">
        <f t="shared" ref="BN233" si="2155">+BN232/BN231</f>
        <v>0.11431123018530928</v>
      </c>
      <c r="BO233" s="86">
        <f t="shared" ref="BO233" si="2156">+BO232/BO231</f>
        <v>0.1187660668380463</v>
      </c>
      <c r="BP233" s="86">
        <f t="shared" ref="BP233" si="2157">+BP232/BP231</f>
        <v>0.16290680473372776</v>
      </c>
      <c r="BQ233" s="86">
        <f t="shared" ref="BQ233" si="2158">+BQ232/BQ231</f>
        <v>0.15953307392996108</v>
      </c>
      <c r="BR233" s="86">
        <f t="shared" ref="BR233" si="2159">+BR232/BR231</f>
        <v>0.14274661508704067</v>
      </c>
      <c r="BS233" s="86">
        <f t="shared" ref="BS233" si="2160">+BS232/BS231</f>
        <v>0.12009237875288692</v>
      </c>
      <c r="BT233" s="86">
        <f t="shared" ref="BT233" si="2161">+BT232/BT231</f>
        <v>0.15257415615410841</v>
      </c>
      <c r="BU233" s="86">
        <f t="shared" ref="BU233" si="2162">+BU232/BU231</f>
        <v>0.14036902914295574</v>
      </c>
      <c r="BV233" s="86">
        <f t="shared" ref="BV233" si="2163">+BV232/BV231</f>
        <v>0.10383578064129463</v>
      </c>
      <c r="BW233" s="86">
        <f t="shared" ref="BW233" si="2164">+BW232/BW231</f>
        <v>0.13510926782580945</v>
      </c>
      <c r="BX233" s="86">
        <f t="shared" ref="BX233" si="2165">+BX232/BX231</f>
        <v>0.16731396613329205</v>
      </c>
      <c r="BY233" s="86">
        <f t="shared" ref="BY233" si="2166">+BY232/BY231</f>
        <v>8.957845433255282E-2</v>
      </c>
      <c r="BZ233" s="86">
        <f t="shared" ref="BZ233" si="2167">+BZ232/BZ231</f>
        <v>0.11014143845922358</v>
      </c>
      <c r="CA233" s="86">
        <f t="shared" ref="CA233" si="2168">+CA232/CA231</f>
        <v>0.13002399520095978</v>
      </c>
      <c r="CB233" s="86">
        <f t="shared" ref="CB233:CC233" si="2169">+CB232/CB231</f>
        <v>0.13534404364959091</v>
      </c>
      <c r="CC233" s="86">
        <f t="shared" si="2169"/>
        <v>0.16367541033900906</v>
      </c>
      <c r="CD233" s="86">
        <f t="shared" ref="CD233" si="2170">+CD232/CD231</f>
        <v>0.14217233719162872</v>
      </c>
      <c r="CE233" s="86">
        <f t="shared" ref="CE233:CF233" si="2171">+CE232/CE231</f>
        <v>9.8768599281682801E-2</v>
      </c>
      <c r="CF233" s="86">
        <f t="shared" si="2171"/>
        <v>8.3414056613927423E-2</v>
      </c>
      <c r="CG233" s="86">
        <f t="shared" ref="CG233:CH233" si="2172">+CG232/CG231</f>
        <v>8.0250561399361847E-2</v>
      </c>
      <c r="CH233" s="86">
        <f t="shared" si="2172"/>
        <v>0.10443296165352202</v>
      </c>
      <c r="CI233" s="86">
        <f t="shared" ref="CI233:CJ233" si="2173">+CI232/CI231</f>
        <v>0.11081840533895333</v>
      </c>
      <c r="CJ233" s="86">
        <f t="shared" si="2173"/>
        <v>0.11454248366013083</v>
      </c>
      <c r="CK233" s="47">
        <f t="shared" ref="CK233:DB233" si="2174">+CK232/CK231</f>
        <v>9.5619208087615787E-2</v>
      </c>
      <c r="CL233" s="86">
        <f t="shared" si="2174"/>
        <v>0.15045135406218663</v>
      </c>
      <c r="CM233" s="47">
        <f t="shared" si="2174"/>
        <v>0.11785786278722162</v>
      </c>
      <c r="CN233" s="47">
        <f t="shared" si="2174"/>
        <v>0.11961772714928869</v>
      </c>
      <c r="CO233" s="47">
        <f t="shared" si="2174"/>
        <v>0.12088653802157819</v>
      </c>
      <c r="CP233" s="47">
        <f t="shared" si="2174"/>
        <v>0.12720337050506883</v>
      </c>
      <c r="CQ233" s="47">
        <f t="shared" si="2174"/>
        <v>0.1213913746157893</v>
      </c>
      <c r="CR233" s="47">
        <f t="shared" si="2174"/>
        <v>0.12227475257293123</v>
      </c>
      <c r="CS233" s="47">
        <f t="shared" si="2174"/>
        <v>0.12293900892884187</v>
      </c>
      <c r="CT233" s="47">
        <f t="shared" si="2174"/>
        <v>0.12345212665565779</v>
      </c>
      <c r="CU233" s="47">
        <f t="shared" si="2174"/>
        <v>0.12251431569330502</v>
      </c>
      <c r="CV233" s="47">
        <f t="shared" si="2174"/>
        <v>0.12279505096268398</v>
      </c>
      <c r="CW233" s="47">
        <f t="shared" si="2174"/>
        <v>0.12292512556012221</v>
      </c>
      <c r="CX233" s="47">
        <f t="shared" si="2174"/>
        <v>0.12292165471794231</v>
      </c>
      <c r="CY233" s="47">
        <f t="shared" si="2174"/>
        <v>0.12278903673351337</v>
      </c>
      <c r="CZ233" s="47">
        <f t="shared" si="2174"/>
        <v>0.12285771699356546</v>
      </c>
      <c r="DA233" s="47">
        <f t="shared" si="2174"/>
        <v>0.12287338350128585</v>
      </c>
      <c r="DB233" s="47">
        <f t="shared" si="2174"/>
        <v>0.12286044798657675</v>
      </c>
      <c r="DE233" s="130"/>
      <c r="DF233" s="89">
        <v>0.10635326468505549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0.2286253000000058</v>
      </c>
      <c r="F234" s="64">
        <f t="shared" si="2175"/>
        <v>-1.1267504000000019</v>
      </c>
      <c r="G234" s="64">
        <f t="shared" si="2175"/>
        <v>0.36480319999999861</v>
      </c>
      <c r="H234" s="64">
        <f t="shared" si="2175"/>
        <v>-2.3255000000000061</v>
      </c>
      <c r="I234" s="64">
        <f t="shared" si="2175"/>
        <v>-0.28449999999999837</v>
      </c>
      <c r="J234" s="64">
        <f t="shared" si="2175"/>
        <v>3.6588000000000047</v>
      </c>
      <c r="K234" s="64">
        <f t="shared" si="2175"/>
        <v>2.9416000000000033</v>
      </c>
      <c r="L234" s="64">
        <f t="shared" si="2175"/>
        <v>1.5967999999999836</v>
      </c>
      <c r="M234" s="64">
        <f t="shared" si="2175"/>
        <v>0.96840000000000148</v>
      </c>
      <c r="N234" s="64">
        <f t="shared" si="2175"/>
        <v>0.84230000000001359</v>
      </c>
      <c r="O234" s="64">
        <f t="shared" si="2175"/>
        <v>-0.40459999999999319</v>
      </c>
      <c r="P234" s="64">
        <f t="shared" si="2175"/>
        <v>-3.1834000000000007</v>
      </c>
      <c r="Q234" s="64">
        <f t="shared" si="2175"/>
        <v>-0.84549999999999459</v>
      </c>
      <c r="R234" s="64">
        <f t="shared" si="2175"/>
        <v>-6.6709999999999861</v>
      </c>
      <c r="S234" s="64">
        <f t="shared" si="2175"/>
        <v>1.2047999999999954</v>
      </c>
      <c r="T234" s="64">
        <f t="shared" si="2175"/>
        <v>1.9582999999999817</v>
      </c>
      <c r="U234" s="64">
        <f t="shared" si="2175"/>
        <v>1.679899999999988</v>
      </c>
      <c r="V234" s="64">
        <f t="shared" si="2175"/>
        <v>14.183800000000007</v>
      </c>
      <c r="W234" s="64">
        <f t="shared" si="2175"/>
        <v>9.6551999999999847</v>
      </c>
      <c r="X234" s="64">
        <f t="shared" si="2175"/>
        <v>13.661099999999966</v>
      </c>
      <c r="Y234" s="64">
        <f t="shared" si="2175"/>
        <v>18.846700000000006</v>
      </c>
      <c r="Z234" s="64">
        <f t="shared" si="2175"/>
        <v>14.584100000000044</v>
      </c>
      <c r="AA234" s="64">
        <f t="shared" ref="AA234" si="2176">AA41-AA240</f>
        <v>29.604599999999991</v>
      </c>
      <c r="AB234" s="30"/>
      <c r="AC234" s="30"/>
      <c r="AD234" s="30"/>
      <c r="AE234" s="30"/>
      <c r="AI234" s="64">
        <f t="shared" ref="AI234:BN234" si="2177">AI41-AI240</f>
        <v>0.64099999999999935</v>
      </c>
      <c r="AJ234" s="64">
        <f t="shared" si="2177"/>
        <v>0.21000000000000071</v>
      </c>
      <c r="AK234" s="64">
        <f t="shared" si="2177"/>
        <v>-0.33000000000000068</v>
      </c>
      <c r="AL234" s="64">
        <f t="shared" si="2177"/>
        <v>0.373000000000002</v>
      </c>
      <c r="AM234" s="64">
        <f t="shared" si="2177"/>
        <v>-0.2400000000000011</v>
      </c>
      <c r="AN234" s="64">
        <f t="shared" si="2177"/>
        <v>1.1200000000000012</v>
      </c>
      <c r="AO234" s="64">
        <f t="shared" si="2177"/>
        <v>1.6200000000000008</v>
      </c>
      <c r="AP234" s="64">
        <f t="shared" si="2177"/>
        <v>-2.8950000000000045</v>
      </c>
      <c r="AQ234" s="64">
        <f t="shared" si="2177"/>
        <v>2.9999999999998334E-2</v>
      </c>
      <c r="AR234" s="64">
        <f t="shared" si="2177"/>
        <v>-0.27000000000000379</v>
      </c>
      <c r="AS234" s="64">
        <f t="shared" si="2177"/>
        <v>-2.0900000000000047</v>
      </c>
      <c r="AT234" s="64">
        <f t="shared" si="2177"/>
        <v>-0.85000000000000031</v>
      </c>
      <c r="AU234" s="64">
        <f t="shared" si="2177"/>
        <v>0.85999999999999743</v>
      </c>
      <c r="AV234" s="64">
        <f t="shared" si="2177"/>
        <v>-0.33999999999999797</v>
      </c>
      <c r="AW234" s="64">
        <f t="shared" si="2177"/>
        <v>-1.5799999999999983</v>
      </c>
      <c r="AX234" s="64">
        <f t="shared" si="2177"/>
        <v>0.24000000000000266</v>
      </c>
      <c r="AY234" s="64">
        <f t="shared" si="2177"/>
        <v>-0.67999999999999794</v>
      </c>
      <c r="AZ234" s="64">
        <f t="shared" si="2177"/>
        <v>-0.35000000000000397</v>
      </c>
      <c r="BA234" s="64">
        <f t="shared" si="2177"/>
        <v>-2.6600000000000028</v>
      </c>
      <c r="BB234" s="64">
        <f t="shared" si="2177"/>
        <v>-2.9300000000000033</v>
      </c>
      <c r="BC234" s="64">
        <f t="shared" si="2177"/>
        <v>-0.94</v>
      </c>
      <c r="BD234" s="64">
        <f t="shared" si="2177"/>
        <v>0.46000000000000174</v>
      </c>
      <c r="BE234" s="64">
        <f t="shared" si="2177"/>
        <v>0.32999999999999652</v>
      </c>
      <c r="BF234" s="64">
        <f t="shared" si="2177"/>
        <v>1.3599999999999994</v>
      </c>
      <c r="BG234" s="64">
        <f t="shared" si="2177"/>
        <v>1.8299999999999916</v>
      </c>
      <c r="BH234" s="64">
        <f t="shared" si="2177"/>
        <v>0.19999999999999696</v>
      </c>
      <c r="BI234" s="64">
        <f t="shared" si="2177"/>
        <v>-2.8800000000000008</v>
      </c>
      <c r="BJ234" s="64">
        <f t="shared" si="2177"/>
        <v>2.8300000000000005</v>
      </c>
      <c r="BK234" s="64">
        <f t="shared" si="2177"/>
        <v>-0.42999999999999838</v>
      </c>
      <c r="BL234" s="64">
        <f t="shared" si="2177"/>
        <v>1.4999999999999953</v>
      </c>
      <c r="BM234" s="64">
        <f t="shared" si="2177"/>
        <v>-0.38999999999999996</v>
      </c>
      <c r="BN234" s="64">
        <f t="shared" si="2177"/>
        <v>0.9900000000000031</v>
      </c>
      <c r="BO234" s="64">
        <f t="shared" ref="BO234:CT234" si="2178">BO41-BO240</f>
        <v>0.81000000000000072</v>
      </c>
      <c r="BP234" s="64">
        <f t="shared" si="2178"/>
        <v>6.139999999999997</v>
      </c>
      <c r="BQ234" s="64">
        <f t="shared" si="2178"/>
        <v>3.9399999999999995</v>
      </c>
      <c r="BR234" s="64">
        <f t="shared" si="2178"/>
        <v>3.3000000000000025</v>
      </c>
      <c r="BS234" s="64">
        <f t="shared" si="2178"/>
        <v>-1.4999999999999947</v>
      </c>
      <c r="BT234" s="64">
        <f t="shared" si="2178"/>
        <v>4.5799999999999992</v>
      </c>
      <c r="BU234" s="64">
        <f t="shared" si="2178"/>
        <v>3.790000000000004</v>
      </c>
      <c r="BV234" s="64">
        <f t="shared" si="2178"/>
        <v>2.790000000000004</v>
      </c>
      <c r="BW234" s="64">
        <f t="shared" si="2178"/>
        <v>3.8199999999999941</v>
      </c>
      <c r="BX234" s="64">
        <f t="shared" si="2178"/>
        <v>5.4900000000000091</v>
      </c>
      <c r="BY234" s="64">
        <f t="shared" si="2178"/>
        <v>1.0000000000000067</v>
      </c>
      <c r="BZ234" s="64">
        <f t="shared" si="2178"/>
        <v>3.3499999999999992</v>
      </c>
      <c r="CA234" s="64">
        <f t="shared" si="2178"/>
        <v>3.84</v>
      </c>
      <c r="CB234" s="64">
        <f t="shared" si="2178"/>
        <v>3.8800000000000088</v>
      </c>
      <c r="CC234" s="64">
        <f t="shared" si="2178"/>
        <v>5.1300000000000008</v>
      </c>
      <c r="CD234" s="64">
        <f t="shared" si="2178"/>
        <v>5.9900000000000038</v>
      </c>
      <c r="CE234" s="64">
        <f t="shared" si="2178"/>
        <v>4.00999999999999</v>
      </c>
      <c r="CF234" s="64">
        <f t="shared" si="2178"/>
        <v>3.1899999999999959</v>
      </c>
      <c r="CG234" s="64">
        <f t="shared" si="2178"/>
        <v>1.6300000000000063</v>
      </c>
      <c r="CH234" s="64">
        <f t="shared" si="2178"/>
        <v>5.7400000000000144</v>
      </c>
      <c r="CI234" s="64">
        <f t="shared" si="2178"/>
        <v>6.8200000000000038</v>
      </c>
      <c r="CJ234" s="64">
        <f t="shared" si="2178"/>
        <v>7.230000000000012</v>
      </c>
      <c r="CK234" s="30">
        <f t="shared" si="2178"/>
        <v>4.8899999999999952</v>
      </c>
      <c r="CL234" s="64">
        <f t="shared" ref="CL234" si="2179">CL41-CL240</f>
        <v>10.660000000000007</v>
      </c>
      <c r="CM234" s="30">
        <f t="shared" si="2178"/>
        <v>9.7238925024791314</v>
      </c>
      <c r="CN234" s="30">
        <f t="shared" si="2178"/>
        <v>10.245251453411941</v>
      </c>
      <c r="CO234" s="30">
        <f t="shared" si="2178"/>
        <v>7.1406403788152417</v>
      </c>
      <c r="CP234" s="30">
        <f t="shared" si="2178"/>
        <v>9.1286478990451805</v>
      </c>
      <c r="CQ234" s="30">
        <f t="shared" si="2178"/>
        <v>12.046816938871101</v>
      </c>
      <c r="CR234" s="30">
        <f t="shared" si="2178"/>
        <v>12.348197417020948</v>
      </c>
      <c r="CS234" s="30">
        <f t="shared" si="2178"/>
        <v>8.5956672555272675</v>
      </c>
      <c r="CT234" s="30">
        <f t="shared" si="2178"/>
        <v>10.297397489848375</v>
      </c>
      <c r="CU234" s="30">
        <f t="shared" ref="CU234:DB234" si="2180">CU41-CU240</f>
        <v>14.261457137004063</v>
      </c>
      <c r="CV234" s="30">
        <f t="shared" si="2180"/>
        <v>14.469781220921648</v>
      </c>
      <c r="CW234" s="30">
        <f t="shared" si="2180"/>
        <v>10.096949292792088</v>
      </c>
      <c r="CX234" s="30">
        <f t="shared" si="2180"/>
        <v>11.988817951540051</v>
      </c>
      <c r="CY234" s="30">
        <f t="shared" si="2180"/>
        <v>16.639676029597172</v>
      </c>
      <c r="CZ234" s="30">
        <f t="shared" si="2180"/>
        <v>16.831741531236105</v>
      </c>
      <c r="DA234" s="30">
        <f t="shared" si="2180"/>
        <v>11.813463240757015</v>
      </c>
      <c r="DB234" s="30">
        <f t="shared" si="2180"/>
        <v>13.976768681531567</v>
      </c>
      <c r="DE234" s="139"/>
      <c r="DF234" s="64">
        <v>9.491535922337496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>
        <f t="shared" ref="E244:Y244" si="2235">E10/(E161+E148+E138)</f>
        <v>1.1436295491904529</v>
      </c>
      <c r="F244" s="84">
        <f t="shared" si="2235"/>
        <v>0.91426090007970806</v>
      </c>
      <c r="G244" s="84">
        <f t="shared" si="2235"/>
        <v>0.85958959274449009</v>
      </c>
      <c r="H244" s="84">
        <f t="shared" si="2235"/>
        <v>0.89648010933501265</v>
      </c>
      <c r="I244" s="84">
        <f t="shared" si="2235"/>
        <v>0.99964999749998218</v>
      </c>
      <c r="J244" s="84">
        <f t="shared" si="2235"/>
        <v>1.2790027673854294</v>
      </c>
      <c r="K244" s="84">
        <f t="shared" si="2235"/>
        <v>1.0953410337484675</v>
      </c>
      <c r="L244" s="84">
        <f t="shared" si="2235"/>
        <v>1.2367588296607213</v>
      </c>
      <c r="M244" s="84">
        <f t="shared" si="2235"/>
        <v>1.3185306289133136</v>
      </c>
      <c r="N244" s="84">
        <f t="shared" si="2235"/>
        <v>1.4004553772822064</v>
      </c>
      <c r="O244" s="84">
        <f t="shared" si="2235"/>
        <v>1.3380383213414373</v>
      </c>
      <c r="P244" s="84">
        <f t="shared" si="2235"/>
        <v>0.9053744805749091</v>
      </c>
      <c r="Q244" s="84">
        <f t="shared" si="2235"/>
        <v>0.99616065312661439</v>
      </c>
      <c r="R244" s="84">
        <f t="shared" si="2235"/>
        <v>1.1634725149434071</v>
      </c>
      <c r="S244" s="84">
        <f t="shared" si="2235"/>
        <v>1.1554926385888675</v>
      </c>
      <c r="T244" s="84">
        <f t="shared" si="2235"/>
        <v>1.2668051751691787</v>
      </c>
      <c r="U244" s="84">
        <f t="shared" si="2235"/>
        <v>1.2165926049349705</v>
      </c>
      <c r="V244" s="84">
        <f t="shared" si="2235"/>
        <v>1.396406725141677</v>
      </c>
      <c r="W244" s="84">
        <f t="shared" si="2235"/>
        <v>1.3197770047960087</v>
      </c>
      <c r="X244" s="84">
        <f t="shared" si="2235"/>
        <v>1.3811121236658495</v>
      </c>
      <c r="Y244" s="84">
        <f t="shared" si="2235"/>
        <v>1.1559836320699493</v>
      </c>
      <c r="Z244" s="84">
        <f>Z10/(Z161+Z148+Z138)</f>
        <v>1.186343173289321</v>
      </c>
      <c r="AA244" s="84">
        <f>AA10/(AA161+AA148+AA138)</f>
        <v>1.4455819403607519</v>
      </c>
      <c r="AB244" s="50">
        <f t="shared" ref="AA244:AE244" si="2236">AB10/(AB161+AB148+AB138)</f>
        <v>1.4776315452246258</v>
      </c>
      <c r="AC244" s="50">
        <f t="shared" si="2236"/>
        <v>1.480615407244549</v>
      </c>
      <c r="AD244" s="50">
        <f t="shared" si="2236"/>
        <v>1.4756039967278347</v>
      </c>
      <c r="AE244" s="50">
        <f t="shared" si="2236"/>
        <v>1.467591015992701</v>
      </c>
      <c r="AL244" s="84">
        <f>SUM(AI10:AL10)/(AL161+AL148+AL138)</f>
        <v>1.4001542737827666</v>
      </c>
      <c r="AM244" s="84">
        <f t="shared" ref="AM244:CL244" si="2237">SUM(AJ10:AM10)/(AM161+AM148+AM138)</f>
        <v>1.4203807133304798</v>
      </c>
      <c r="AN244" s="84">
        <f t="shared" si="2237"/>
        <v>1.389110597396277</v>
      </c>
      <c r="AO244" s="84">
        <f t="shared" si="2237"/>
        <v>1.4854761372084033</v>
      </c>
      <c r="AP244" s="84">
        <f t="shared" si="2237"/>
        <v>1.3376614275703271</v>
      </c>
      <c r="AQ244" s="84">
        <f t="shared" si="2237"/>
        <v>1.3977418722412671</v>
      </c>
      <c r="AR244" s="84">
        <f t="shared" si="2237"/>
        <v>1.1954581602898295</v>
      </c>
      <c r="AS244" s="84">
        <f t="shared" si="2237"/>
        <v>1.1835738097886157</v>
      </c>
      <c r="AT244" s="84">
        <f t="shared" si="2237"/>
        <v>0.90543213633597075</v>
      </c>
      <c r="AU244" s="84">
        <f t="shared" si="2237"/>
        <v>0.9017431207712695</v>
      </c>
      <c r="AV244" s="84">
        <f t="shared" si="2237"/>
        <v>0.80050149837930384</v>
      </c>
      <c r="AW244" s="84">
        <f t="shared" si="2237"/>
        <v>0.87426872103756592</v>
      </c>
      <c r="AX244" s="84">
        <f t="shared" si="2237"/>
        <v>0.99622015915119366</v>
      </c>
      <c r="AY244" s="84">
        <f t="shared" si="2237"/>
        <v>1.0487216816632865</v>
      </c>
      <c r="AZ244" s="84">
        <f t="shared" si="2237"/>
        <v>1.0601963072276752</v>
      </c>
      <c r="BA244" s="84">
        <f t="shared" si="2237"/>
        <v>1.1094444200683196</v>
      </c>
      <c r="BB244" s="84">
        <f t="shared" si="2237"/>
        <v>1.1729376686071276</v>
      </c>
      <c r="BC244" s="84">
        <f t="shared" si="2237"/>
        <v>1.204353781450483</v>
      </c>
      <c r="BD244" s="84">
        <f t="shared" si="2237"/>
        <v>1.1252289976445955</v>
      </c>
      <c r="BE244" s="84">
        <f t="shared" si="2237"/>
        <v>1.1288980358094298</v>
      </c>
      <c r="BF244" s="84">
        <f t="shared" si="2237"/>
        <v>1.1644132653061223</v>
      </c>
      <c r="BG244" s="84">
        <f t="shared" si="2237"/>
        <v>1.1932866024405551</v>
      </c>
      <c r="BH244" s="84">
        <f t="shared" si="2237"/>
        <v>1.2489634376177909</v>
      </c>
      <c r="BI244" s="84">
        <f t="shared" si="2237"/>
        <v>1.2817545495989382</v>
      </c>
      <c r="BJ244" s="84">
        <f t="shared" si="2237"/>
        <v>1.2829895164017584</v>
      </c>
      <c r="BK244" s="84">
        <f t="shared" si="2237"/>
        <v>1.2753815882867994</v>
      </c>
      <c r="BL244" s="84">
        <f t="shared" si="2237"/>
        <v>1.2107794029252656</v>
      </c>
      <c r="BM244" s="84">
        <f t="shared" si="2237"/>
        <v>1.2602008313198976</v>
      </c>
      <c r="BN244" s="84">
        <f t="shared" si="2237"/>
        <v>1.2326752893124577</v>
      </c>
      <c r="BO244" s="84">
        <f t="shared" si="2237"/>
        <v>1.1907345719231557</v>
      </c>
      <c r="BP244" s="84">
        <f t="shared" si="2237"/>
        <v>1.2795951820967859</v>
      </c>
      <c r="BQ244" s="84">
        <f t="shared" si="2237"/>
        <v>1.3296569573777031</v>
      </c>
      <c r="BR244" s="84">
        <f t="shared" si="2237"/>
        <v>1.4386587485515643</v>
      </c>
      <c r="BS244" s="84">
        <f t="shared" si="2237"/>
        <v>1.3949379593276789</v>
      </c>
      <c r="BT244" s="84">
        <f t="shared" si="2237"/>
        <v>1.5547031584767432</v>
      </c>
      <c r="BU244" s="84">
        <f t="shared" si="2237"/>
        <v>1.5448287977657009</v>
      </c>
      <c r="BV244" s="84">
        <f t="shared" si="2237"/>
        <v>1.4064787595826846</v>
      </c>
      <c r="BW244" s="84">
        <f t="shared" si="2237"/>
        <v>1.4037927633628104</v>
      </c>
      <c r="BX244" s="84">
        <f t="shared" si="2237"/>
        <v>1.3443139348638549</v>
      </c>
      <c r="BY244" s="84">
        <f t="shared" si="2237"/>
        <v>1.3508917004282719</v>
      </c>
      <c r="BZ244" s="84">
        <f t="shared" si="2237"/>
        <v>1.3811082270624084</v>
      </c>
      <c r="CA244" s="84">
        <f t="shared" si="2237"/>
        <v>1.3732584367476721</v>
      </c>
      <c r="CB244" s="84">
        <f t="shared" si="2237"/>
        <v>1.2791089766515096</v>
      </c>
      <c r="CC244" s="84">
        <f t="shared" si="2237"/>
        <v>1.3183482998405343</v>
      </c>
      <c r="CD244" s="84">
        <f t="shared" si="2237"/>
        <v>1.2367111809374183</v>
      </c>
      <c r="CE244" s="84">
        <f t="shared" si="2237"/>
        <v>1.2836197510181246</v>
      </c>
      <c r="CF244" s="84">
        <f t="shared" si="2237"/>
        <v>1.2018012631264248</v>
      </c>
      <c r="CG244" s="84">
        <f t="shared" si="2237"/>
        <v>1.2891471313028779</v>
      </c>
      <c r="CH244" s="84">
        <f t="shared" si="2237"/>
        <v>1.1863276059624159</v>
      </c>
      <c r="CI244" s="84">
        <f t="shared" si="2237"/>
        <v>1.2611599294713451</v>
      </c>
      <c r="CJ244" s="84">
        <f t="shared" si="2237"/>
        <v>1.5445785721961534</v>
      </c>
      <c r="CK244" s="50">
        <f t="shared" ref="CK244" si="2238">SUM(CH10:CK10)/(CK161+CK148+CK138)</f>
        <v>1.6526649833366376</v>
      </c>
      <c r="CL244" s="84">
        <f t="shared" si="2237"/>
        <v>1.4455591619946888</v>
      </c>
      <c r="CM244" s="50">
        <f t="shared" ref="CM244:DB244" si="2239">SUM(CJ10:CM10)/(CM161+CM148+CM138)</f>
        <v>1.4283141616200072</v>
      </c>
      <c r="CN244" s="50">
        <f t="shared" si="2239"/>
        <v>1.4392293288405895</v>
      </c>
      <c r="CO244" s="50">
        <f t="shared" si="2239"/>
        <v>1.5058324501848703</v>
      </c>
      <c r="CP244" s="50">
        <f t="shared" si="2239"/>
        <v>1.4776315452246258</v>
      </c>
      <c r="CQ244" s="50">
        <f t="shared" si="2239"/>
        <v>1.4299921465259791</v>
      </c>
      <c r="CR244" s="50">
        <f t="shared" si="2239"/>
        <v>1.4354921060241719</v>
      </c>
      <c r="CS244" s="50">
        <f t="shared" si="2239"/>
        <v>1.5043688019088846</v>
      </c>
      <c r="CT244" s="50">
        <f t="shared" si="2239"/>
        <v>1.480615407244549</v>
      </c>
      <c r="CU244" s="50">
        <f t="shared" si="2239"/>
        <v>1.4261595057053895</v>
      </c>
      <c r="CV244" s="50">
        <f t="shared" si="2239"/>
        <v>1.430995242363241</v>
      </c>
      <c r="CW244" s="50">
        <f t="shared" si="2239"/>
        <v>1.4995556853828842</v>
      </c>
      <c r="CX244" s="50">
        <f t="shared" si="2239"/>
        <v>1.4756039967278345</v>
      </c>
      <c r="CY244" s="50">
        <f t="shared" si="2239"/>
        <v>1.4199209125473462</v>
      </c>
      <c r="CZ244" s="50">
        <f t="shared" si="2239"/>
        <v>1.4243870463844444</v>
      </c>
      <c r="DA244" s="50">
        <f t="shared" si="2239"/>
        <v>1.4918492855663157</v>
      </c>
      <c r="DB244" s="50">
        <f t="shared" si="2239"/>
        <v>1.467591015992701</v>
      </c>
      <c r="DE244" s="138"/>
      <c r="DF244" s="84">
        <v>1.5486707089278844</v>
      </c>
    </row>
    <row r="245" spans="1:110" s="84" customFormat="1" x14ac:dyDescent="0.2">
      <c r="A245" s="84" t="s">
        <v>513</v>
      </c>
      <c r="E245" s="181">
        <f>+E42</f>
        <v>1.092525321191418E-2</v>
      </c>
      <c r="F245" s="181">
        <f t="shared" ref="F245:AE245" si="2240">+F42</f>
        <v>-6.4591005142651869E-2</v>
      </c>
      <c r="G245" s="181">
        <f t="shared" si="2240"/>
        <v>1.3347202398962917E-2</v>
      </c>
      <c r="H245" s="181">
        <f t="shared" si="2240"/>
        <v>-6.9514400585888064E-2</v>
      </c>
      <c r="I245" s="181">
        <f t="shared" si="2240"/>
        <v>-6.7762296058115606E-3</v>
      </c>
      <c r="J245" s="181">
        <f t="shared" si="2240"/>
        <v>5.803934010152291E-2</v>
      </c>
      <c r="K245" s="181">
        <f t="shared" si="2240"/>
        <v>4.5604009729764979E-2</v>
      </c>
      <c r="L245" s="181">
        <f t="shared" si="2240"/>
        <v>2.0176315320631112E-2</v>
      </c>
      <c r="M245" s="181">
        <f t="shared" si="2240"/>
        <v>1.0271695031210738E-2</v>
      </c>
      <c r="N245" s="181">
        <f t="shared" si="2240"/>
        <v>7.9989895613329955E-3</v>
      </c>
      <c r="O245" s="181">
        <f t="shared" si="2240"/>
        <v>-3.0272535119058243E-3</v>
      </c>
      <c r="P245" s="181">
        <f t="shared" si="2240"/>
        <v>-2.6750024158547301E-2</v>
      </c>
      <c r="Q245" s="181">
        <f t="shared" si="2240"/>
        <v>-5.6281156829057358E-3</v>
      </c>
      <c r="R245" s="181">
        <f t="shared" si="2240"/>
        <v>-4.0254160582179711E-2</v>
      </c>
      <c r="S245" s="181">
        <f t="shared" si="2240"/>
        <v>6.5703975450446643E-3</v>
      </c>
      <c r="T245" s="181">
        <f t="shared" si="2240"/>
        <v>1.0323740438296274E-2</v>
      </c>
      <c r="U245" s="181">
        <f t="shared" si="2240"/>
        <v>9.2772482927189585E-3</v>
      </c>
      <c r="V245" s="181">
        <f t="shared" si="2240"/>
        <v>7.1399842237548805E-2</v>
      </c>
      <c r="W245" s="181">
        <f t="shared" si="2240"/>
        <v>3.9569810683586532E-2</v>
      </c>
      <c r="X245" s="181">
        <f t="shared" si="2240"/>
        <v>5.5814267037097423E-2</v>
      </c>
      <c r="Y245" s="181">
        <f t="shared" si="2240"/>
        <v>6.6507890240296103E-2</v>
      </c>
      <c r="Z245" s="181">
        <f t="shared" si="2240"/>
        <v>3.9869620891275777E-2</v>
      </c>
      <c r="AA245" s="181">
        <f t="shared" ref="AA245" si="2241">+AA42</f>
        <v>6.7143873540556398E-2</v>
      </c>
      <c r="AB245" s="182">
        <f t="shared" si="2240"/>
        <v>7.07198386648447E-2</v>
      </c>
      <c r="AC245" s="182">
        <f t="shared" si="2240"/>
        <v>7.3626983637240379E-2</v>
      </c>
      <c r="AD245" s="182">
        <f t="shared" si="2240"/>
        <v>7.5523457095839061E-2</v>
      </c>
      <c r="AE245" s="182">
        <f t="shared" si="2240"/>
        <v>7.6988068532663739E-2</v>
      </c>
      <c r="AL245" s="181">
        <f t="shared" ref="AL245:CW245" si="2242">+AL42</f>
        <v>1.3392215998851141E-2</v>
      </c>
      <c r="AM245" s="181">
        <f t="shared" si="2242"/>
        <v>-8.5839979970671731E-3</v>
      </c>
      <c r="AN245" s="181">
        <f t="shared" si="2242"/>
        <v>3.2758116408306559E-2</v>
      </c>
      <c r="AO245" s="181">
        <f t="shared" si="2242"/>
        <v>4.6431642304385234E-2</v>
      </c>
      <c r="AP245" s="181">
        <f t="shared" si="2242"/>
        <v>-7.9141607435757363E-2</v>
      </c>
      <c r="AQ245" s="181">
        <f t="shared" si="2242"/>
        <v>9.7497562560930567E-4</v>
      </c>
      <c r="AR245" s="181">
        <f t="shared" si="2242"/>
        <v>-8.1694402420576049E-3</v>
      </c>
      <c r="AS245" s="181">
        <f t="shared" si="2242"/>
        <v>-7.583454281567506E-2</v>
      </c>
      <c r="AT245" s="181">
        <f t="shared" si="2242"/>
        <v>-3.0763662685486803E-2</v>
      </c>
      <c r="AU245" s="181">
        <f t="shared" si="2242"/>
        <v>2.4508406953547945E-2</v>
      </c>
      <c r="AV245" s="181">
        <f t="shared" si="2242"/>
        <v>-8.3723220881555763E-3</v>
      </c>
      <c r="AW245" s="181">
        <f t="shared" si="2242"/>
        <v>-4.4023404848147069E-2</v>
      </c>
      <c r="AX245" s="181">
        <f t="shared" si="2242"/>
        <v>6.2111801242236715E-3</v>
      </c>
      <c r="AY245" s="181">
        <f t="shared" si="2242"/>
        <v>-1.5535755083390402E-2</v>
      </c>
      <c r="AZ245" s="181">
        <f t="shared" si="2242"/>
        <v>-9.6792035398231193E-3</v>
      </c>
      <c r="BA245" s="181">
        <f t="shared" si="2242"/>
        <v>-6.3605930176948891E-2</v>
      </c>
      <c r="BB245" s="181">
        <f t="shared" si="2242"/>
        <v>-6.7402806533241391E-2</v>
      </c>
      <c r="BC245" s="181">
        <f t="shared" si="2242"/>
        <v>-2.086107412339103E-2</v>
      </c>
      <c r="BD245" s="181">
        <f t="shared" si="2242"/>
        <v>1.1049723756906119E-2</v>
      </c>
      <c r="BE245" s="181">
        <f t="shared" si="2242"/>
        <v>7.2960424497014488E-3</v>
      </c>
      <c r="BF245" s="181">
        <f t="shared" si="2242"/>
        <v>2.6845637583892606E-2</v>
      </c>
      <c r="BG245" s="181">
        <f t="shared" si="2242"/>
        <v>3.6984640258690214E-2</v>
      </c>
      <c r="BH245" s="181">
        <f t="shared" si="2242"/>
        <v>3.7425149700598234E-3</v>
      </c>
      <c r="BI245" s="181">
        <f t="shared" si="2242"/>
        <v>-7.4265085095410022E-2</v>
      </c>
      <c r="BJ245" s="181">
        <f t="shared" si="2242"/>
        <v>5.8970618878933116E-2</v>
      </c>
      <c r="BK245" s="181">
        <f t="shared" si="2242"/>
        <v>-9.0355116621138546E-3</v>
      </c>
      <c r="BL245" s="181">
        <f t="shared" si="2242"/>
        <v>3.1962497336458458E-2</v>
      </c>
      <c r="BM245" s="181">
        <f t="shared" si="2242"/>
        <v>-9.3368446253291812E-3</v>
      </c>
      <c r="BN245" s="181">
        <f t="shared" si="2242"/>
        <v>2.2103148024112593E-2</v>
      </c>
      <c r="BO245" s="181">
        <f t="shared" si="2242"/>
        <v>2.0822622107969171E-2</v>
      </c>
      <c r="BP245" s="181">
        <f t="shared" si="2242"/>
        <v>0.11353550295857984</v>
      </c>
      <c r="BQ245" s="181">
        <f t="shared" si="2242"/>
        <v>7.3003520474337585E-2</v>
      </c>
      <c r="BR245" s="181">
        <f t="shared" si="2242"/>
        <v>6.3829787234042604E-2</v>
      </c>
      <c r="BS245" s="181">
        <f t="shared" si="2242"/>
        <v>-2.4744308808973849E-2</v>
      </c>
      <c r="BT245" s="181">
        <f t="shared" si="2242"/>
        <v>7.8077054210705751E-2</v>
      </c>
      <c r="BU245" s="181">
        <f t="shared" si="2242"/>
        <v>6.5356095878599821E-2</v>
      </c>
      <c r="BV245" s="181">
        <f t="shared" si="2242"/>
        <v>4.1804015582858921E-2</v>
      </c>
      <c r="BW245" s="181">
        <f t="shared" si="2242"/>
        <v>6.0934758334662532E-2</v>
      </c>
      <c r="BX245" s="181">
        <f t="shared" si="2242"/>
        <v>8.5288177722541686E-2</v>
      </c>
      <c r="BY245" s="181">
        <f t="shared" si="2242"/>
        <v>1.9516003122560629E-2</v>
      </c>
      <c r="BZ245" s="181">
        <f t="shared" si="2242"/>
        <v>5.0406259404152866E-2</v>
      </c>
      <c r="CA245" s="181">
        <f t="shared" si="2242"/>
        <v>5.7588482303539287E-2</v>
      </c>
      <c r="CB245" s="181">
        <f t="shared" si="2242"/>
        <v>5.880569869657485E-2</v>
      </c>
      <c r="CC245" s="181">
        <f t="shared" si="2242"/>
        <v>7.8693051081454232E-2</v>
      </c>
      <c r="CD245" s="181">
        <f t="shared" si="2242"/>
        <v>7.0033906231731599E-2</v>
      </c>
      <c r="CE245" s="181">
        <f t="shared" si="2242"/>
        <v>5.1436634171369809E-2</v>
      </c>
      <c r="CF245" s="181">
        <f t="shared" si="2242"/>
        <v>3.4334302012700421E-2</v>
      </c>
      <c r="CG245" s="181">
        <f t="shared" si="2242"/>
        <v>1.9264862309419765E-2</v>
      </c>
      <c r="CH245" s="181">
        <f t="shared" si="2242"/>
        <v>5.2035173601668157E-2</v>
      </c>
      <c r="CI245" s="181">
        <f t="shared" si="2242"/>
        <v>5.9887600983491433E-2</v>
      </c>
      <c r="CJ245" s="181">
        <f t="shared" si="2242"/>
        <v>5.9068627450980488E-2</v>
      </c>
      <c r="CK245" s="182">
        <f t="shared" si="2242"/>
        <v>5.1495366470092625E-2</v>
      </c>
      <c r="CL245" s="181">
        <f t="shared" ref="CL245" si="2243">+CL42</f>
        <v>9.7200692988055143E-2</v>
      </c>
      <c r="CM245" s="182">
        <f t="shared" si="2242"/>
        <v>6.9779624536898607E-2</v>
      </c>
      <c r="CN245" s="182">
        <f t="shared" si="2242"/>
        <v>7.1885161493929761E-2</v>
      </c>
      <c r="CO245" s="182">
        <f t="shared" si="2242"/>
        <v>6.677300345212081E-2</v>
      </c>
      <c r="CP245" s="182">
        <f t="shared" si="2242"/>
        <v>7.3850717358742476E-2</v>
      </c>
      <c r="CQ245" s="182">
        <f t="shared" si="2242"/>
        <v>7.4503935693565934E-2</v>
      </c>
      <c r="CR245" s="182">
        <f t="shared" si="2242"/>
        <v>7.5701791919964234E-2</v>
      </c>
      <c r="CS245" s="182">
        <f t="shared" si="2242"/>
        <v>7.0537755545604666E-2</v>
      </c>
      <c r="CT245" s="182">
        <f t="shared" si="2242"/>
        <v>7.2892339353408817E-2</v>
      </c>
      <c r="CU245" s="182">
        <f t="shared" si="2242"/>
        <v>7.6909937182178909E-2</v>
      </c>
      <c r="CV245" s="182">
        <f t="shared" si="2242"/>
        <v>7.7581631168459342E-2</v>
      </c>
      <c r="CW245" s="182">
        <f t="shared" si="2242"/>
        <v>7.2481757967820956E-2</v>
      </c>
      <c r="CX245" s="182">
        <f t="shared" ref="CX245:DB245" si="2244">+CX42</f>
        <v>7.4179263419412778E-2</v>
      </c>
      <c r="CY245" s="182">
        <f t="shared" si="2244"/>
        <v>7.841544907624752E-2</v>
      </c>
      <c r="CZ245" s="182">
        <f t="shared" si="2244"/>
        <v>7.8903479711021421E-2</v>
      </c>
      <c r="DA245" s="182">
        <f t="shared" si="2244"/>
        <v>7.4140395369010903E-2</v>
      </c>
      <c r="DB245" s="182">
        <f t="shared" si="2244"/>
        <v>7.5594069853102366E-2</v>
      </c>
      <c r="DE245" s="138"/>
      <c r="DF245" s="84">
        <v>6.6312797427880224E-2</v>
      </c>
    </row>
    <row r="246" spans="1:110" s="84" customFormat="1" x14ac:dyDescent="0.2">
      <c r="A246" s="84" t="s">
        <v>514</v>
      </c>
      <c r="E246" s="84">
        <f>(E161+E148+E138+E140)/E120</f>
        <v>9.8050266625923044</v>
      </c>
      <c r="F246" s="84">
        <f t="shared" ref="F246:AE246" si="2245">(F161+F148+F138+F140)/F120</f>
        <v>16.928290032248487</v>
      </c>
      <c r="G246" s="84">
        <f t="shared" si="2245"/>
        <v>6.4036079717415868</v>
      </c>
      <c r="H246" s="84">
        <f t="shared" si="2245"/>
        <v>4.8384545572410209</v>
      </c>
      <c r="I246" s="84">
        <f t="shared" si="2245"/>
        <v>3.6678659377892657</v>
      </c>
      <c r="J246" s="84">
        <f t="shared" si="2245"/>
        <v>3.2620944792259534</v>
      </c>
      <c r="K246" s="84">
        <f t="shared" si="2245"/>
        <v>3.2623394896907785</v>
      </c>
      <c r="L246" s="84">
        <f t="shared" si="2245"/>
        <v>3.4915484817953533</v>
      </c>
      <c r="M246" s="84">
        <f t="shared" si="2245"/>
        <v>3.6757241807493068</v>
      </c>
      <c r="N246" s="84">
        <f t="shared" si="2245"/>
        <v>3.7032951669952046</v>
      </c>
      <c r="O246" s="84">
        <f t="shared" si="2245"/>
        <v>4.7444155770135028</v>
      </c>
      <c r="P246" s="84">
        <f t="shared" si="2245"/>
        <v>7.4487796308574596</v>
      </c>
      <c r="Q246" s="84">
        <f t="shared" si="2245"/>
        <v>8.9761737536307784</v>
      </c>
      <c r="R246" s="84">
        <f t="shared" si="2245"/>
        <v>14.477846782472579</v>
      </c>
      <c r="S246" s="84">
        <f t="shared" si="2245"/>
        <v>14.309762123753357</v>
      </c>
      <c r="T246" s="84">
        <f t="shared" si="2245"/>
        <v>13.286079341277517</v>
      </c>
      <c r="U246" s="84">
        <f t="shared" si="2245"/>
        <v>12.590495364417675</v>
      </c>
      <c r="V246" s="84">
        <f t="shared" si="2245"/>
        <v>5.4417213349909144</v>
      </c>
      <c r="W246" s="84">
        <f t="shared" si="2245"/>
        <v>3.4446678168586349</v>
      </c>
      <c r="X246" s="84">
        <f t="shared" si="2245"/>
        <v>2.6851927610805042</v>
      </c>
      <c r="Y246" s="84">
        <f t="shared" si="2245"/>
        <v>2.9825684814004587</v>
      </c>
      <c r="Z246" s="84">
        <f t="shared" si="2245"/>
        <v>3.2223075685086835</v>
      </c>
      <c r="AA246" s="84">
        <f t="shared" ref="AA246" si="2246">(AA161+AA148+AA138+AA140)/AA120</f>
        <v>1.2094442278951527</v>
      </c>
      <c r="AB246" s="50">
        <f t="shared" si="2245"/>
        <v>1.2023723307535759</v>
      </c>
      <c r="AC246" s="50">
        <f t="shared" si="2245"/>
        <v>1.1971127184331307</v>
      </c>
      <c r="AD246" s="50">
        <f t="shared" si="2245"/>
        <v>1.1920631037622678</v>
      </c>
      <c r="AE246" s="50">
        <f t="shared" si="2245"/>
        <v>1.1872280173623542</v>
      </c>
      <c r="AL246" s="84">
        <f t="shared" ref="AL246:CW246" si="2247">(AL161+AL148+AL138+AL140)/AL120</f>
        <v>3.7032946549233428</v>
      </c>
      <c r="AM246" s="84">
        <f t="shared" si="2247"/>
        <v>3.7362610125679154</v>
      </c>
      <c r="AN246" s="84">
        <f t="shared" si="2247"/>
        <v>3.8706356311548791</v>
      </c>
      <c r="AO246" s="84">
        <f t="shared" si="2247"/>
        <v>3.6875929268875054</v>
      </c>
      <c r="AP246" s="84">
        <f t="shared" si="2247"/>
        <v>4.7453681710213793</v>
      </c>
      <c r="AQ246" s="84">
        <f t="shared" si="2247"/>
        <v>4.6303337645751625</v>
      </c>
      <c r="AR246" s="84">
        <f t="shared" si="2247"/>
        <v>5.4963574550752785</v>
      </c>
      <c r="AS246" s="84">
        <f t="shared" si="2247"/>
        <v>5.8439589483583454</v>
      </c>
      <c r="AT246" s="84">
        <f t="shared" si="2247"/>
        <v>7.4512471655328794</v>
      </c>
      <c r="AU246" s="84">
        <f t="shared" si="2247"/>
        <v>7.3928886541264411</v>
      </c>
      <c r="AV246" s="84">
        <f t="shared" si="2247"/>
        <v>9.0038546255506624</v>
      </c>
      <c r="AW246" s="84">
        <f t="shared" si="2247"/>
        <v>9.6044425348180908</v>
      </c>
      <c r="AX246" s="84">
        <f t="shared" si="2247"/>
        <v>8.9761904761904781</v>
      </c>
      <c r="AY246" s="84">
        <f t="shared" si="2247"/>
        <v>9.3999586534868786</v>
      </c>
      <c r="AZ246" s="84">
        <f t="shared" si="2247"/>
        <v>9.1398996235884571</v>
      </c>
      <c r="BA246" s="84">
        <f t="shared" si="2247"/>
        <v>10.886133656177314</v>
      </c>
      <c r="BB246" s="84">
        <f t="shared" si="2247"/>
        <v>14.315040650406505</v>
      </c>
      <c r="BC246" s="84">
        <f t="shared" si="2247"/>
        <v>15.534462590811536</v>
      </c>
      <c r="BD246" s="84">
        <f t="shared" si="2247"/>
        <v>16.381564844587352</v>
      </c>
      <c r="BE246" s="84">
        <f t="shared" si="2247"/>
        <v>16.083219319958094</v>
      </c>
      <c r="BF246" s="84">
        <f t="shared" si="2247"/>
        <v>14.138863841298468</v>
      </c>
      <c r="BG246" s="84">
        <f t="shared" si="2247"/>
        <v>13.556232471855941</v>
      </c>
      <c r="BH246" s="84">
        <f t="shared" si="2247"/>
        <v>13.512733446519526</v>
      </c>
      <c r="BI246" s="84">
        <f t="shared" si="2247"/>
        <v>16.862419683105703</v>
      </c>
      <c r="BJ246" s="84">
        <f t="shared" si="2247"/>
        <v>13.118899733806568</v>
      </c>
      <c r="BK246" s="84">
        <f t="shared" si="2247"/>
        <v>13.583952760761198</v>
      </c>
      <c r="BL246" s="84">
        <f t="shared" si="2247"/>
        <v>12.323456790123457</v>
      </c>
      <c r="BM246" s="84">
        <f t="shared" si="2247"/>
        <v>13.257539488511176</v>
      </c>
      <c r="BN246" s="84">
        <f t="shared" si="2247"/>
        <v>12.428087986463618</v>
      </c>
      <c r="BO246" s="84">
        <f t="shared" si="2247"/>
        <v>11.462880262726895</v>
      </c>
      <c r="BP246" s="84">
        <f t="shared" si="2247"/>
        <v>7.4951923076923084</v>
      </c>
      <c r="BQ246" s="84">
        <f t="shared" si="2247"/>
        <v>6.3637514231474297</v>
      </c>
      <c r="BR246" s="84">
        <f t="shared" si="2247"/>
        <v>5.2823259372609019</v>
      </c>
      <c r="BS246" s="84">
        <f t="shared" si="2247"/>
        <v>3.7206394731735228</v>
      </c>
      <c r="BT246" s="84">
        <f t="shared" si="2247"/>
        <v>3.0706706281833611</v>
      </c>
      <c r="BU246" s="84">
        <f t="shared" si="2247"/>
        <v>2.9113547683774796</v>
      </c>
      <c r="BV246" s="84">
        <f t="shared" si="2247"/>
        <v>3.2325321408608163</v>
      </c>
      <c r="BW246" s="84">
        <f t="shared" si="2247"/>
        <v>3.0491655908366861</v>
      </c>
      <c r="BX246" s="84">
        <f t="shared" si="2247"/>
        <v>3.043548911277218</v>
      </c>
      <c r="BY246" s="84">
        <f t="shared" si="2247"/>
        <v>2.9004045209729745</v>
      </c>
      <c r="BZ246" s="84">
        <f t="shared" si="2247"/>
        <v>2.6851515151515146</v>
      </c>
      <c r="CA246" s="84">
        <f t="shared" si="2247"/>
        <v>2.5936214119440368</v>
      </c>
      <c r="CB246" s="84">
        <f t="shared" si="2247"/>
        <v>2.7064435840707968</v>
      </c>
      <c r="CC246" s="84">
        <f t="shared" si="2247"/>
        <v>2.5885824900281817</v>
      </c>
      <c r="CD246" s="84">
        <f t="shared" si="2247"/>
        <v>2.7879304051587783</v>
      </c>
      <c r="CE246" s="84">
        <f t="shared" si="2247"/>
        <v>2.6630390064082481</v>
      </c>
      <c r="CF246" s="84">
        <f t="shared" si="2247"/>
        <v>3.0287492925863049</v>
      </c>
      <c r="CG246" s="84">
        <f t="shared" si="2247"/>
        <v>2.9398057794400025</v>
      </c>
      <c r="CH246" s="84">
        <f t="shared" si="2247"/>
        <v>3.2223075685086835</v>
      </c>
      <c r="CI246" s="84">
        <f t="shared" si="2247"/>
        <v>3.1072927892328992</v>
      </c>
      <c r="CJ246" s="84">
        <f t="shared" si="2247"/>
        <v>2.5899434084794506</v>
      </c>
      <c r="CK246" s="50">
        <f t="shared" si="2247"/>
        <v>2.3710910183503056</v>
      </c>
      <c r="CL246" s="84">
        <f t="shared" ref="CL246" si="2248">(CL161+CL148+CL138+CL140)/CL120</f>
        <v>1.2094932191291936</v>
      </c>
      <c r="CM246" s="50">
        <f t="shared" si="2247"/>
        <v>1.2467391047182352</v>
      </c>
      <c r="CN246" s="50">
        <f t="shared" si="2247"/>
        <v>1.2420794813957319</v>
      </c>
      <c r="CO246" s="50">
        <f t="shared" si="2247"/>
        <v>1.1852736353394591</v>
      </c>
      <c r="CP246" s="50">
        <f t="shared" si="2247"/>
        <v>1.2023723307535759</v>
      </c>
      <c r="CQ246" s="50">
        <f t="shared" si="2247"/>
        <v>1.2446143729348147</v>
      </c>
      <c r="CR246" s="50">
        <f t="shared" si="2247"/>
        <v>1.2367650771477925</v>
      </c>
      <c r="CS246" s="50">
        <f t="shared" si="2247"/>
        <v>1.1794364749517199</v>
      </c>
      <c r="CT246" s="50">
        <f t="shared" si="2247"/>
        <v>1.1971127184331307</v>
      </c>
      <c r="CU246" s="50">
        <f t="shared" si="2247"/>
        <v>1.2396996096263557</v>
      </c>
      <c r="CV246" s="50">
        <f t="shared" si="2247"/>
        <v>1.2312670270367194</v>
      </c>
      <c r="CW246" s="50">
        <f t="shared" si="2247"/>
        <v>1.1743502187164496</v>
      </c>
      <c r="CX246" s="50">
        <f t="shared" ref="CX246:DB246" si="2249">(CX161+CX148+CX138+CX140)/CX120</f>
        <v>1.192063103762268</v>
      </c>
      <c r="CY246" s="50">
        <f t="shared" si="2249"/>
        <v>1.2343978251954244</v>
      </c>
      <c r="CZ246" s="50">
        <f t="shared" si="2249"/>
        <v>1.2259850012507991</v>
      </c>
      <c r="DA246" s="50">
        <f t="shared" si="2249"/>
        <v>1.1696148883615027</v>
      </c>
      <c r="DB246" s="50">
        <f t="shared" si="2249"/>
        <v>1.1872280173623542</v>
      </c>
      <c r="DE246" s="138"/>
      <c r="DF246" s="84">
        <v>2.5072096737376217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>
        <f t="shared" si="2250"/>
        <v>0.22846631209606244</v>
      </c>
      <c r="G248" s="88">
        <f t="shared" si="2250"/>
        <v>3.3193337606050512E-2</v>
      </c>
      <c r="H248" s="88">
        <f t="shared" si="2250"/>
        <v>7.2086088422144437E-2</v>
      </c>
      <c r="I248" s="88">
        <f t="shared" si="2250"/>
        <v>3.0301971811306914E-2</v>
      </c>
      <c r="J248" s="88">
        <f t="shared" si="2250"/>
        <v>3.4202062183161047E-2</v>
      </c>
      <c r="K248" s="88">
        <f t="shared" si="2250"/>
        <v>3.2517532877607773E-2</v>
      </c>
      <c r="L248" s="88">
        <f t="shared" si="2250"/>
        <v>2.6410674740572911E-2</v>
      </c>
      <c r="M248" s="88">
        <f t="shared" si="2250"/>
        <v>3.6417609281930892E-2</v>
      </c>
      <c r="N248" s="88">
        <f t="shared" si="2250"/>
        <v>2.4092792200832297E-2</v>
      </c>
      <c r="O248" s="88">
        <f t="shared" si="2250"/>
        <v>0.1294332220327632</v>
      </c>
      <c r="P248" s="88">
        <f t="shared" si="2250"/>
        <v>1.0330777556768273E-2</v>
      </c>
      <c r="Q248" s="88">
        <f t="shared" si="2250"/>
        <v>0.12627970096662064</v>
      </c>
      <c r="R248" s="88">
        <f t="shared" si="2250"/>
        <v>0.12605836374170334</v>
      </c>
      <c r="S248" s="88">
        <f t="shared" si="2250"/>
        <v>0.23734422622590126</v>
      </c>
      <c r="T248" s="88">
        <f t="shared" si="2250"/>
        <v>0.16599380673096545</v>
      </c>
      <c r="U248" s="88">
        <f t="shared" si="2250"/>
        <v>8.8820464234959734E-2</v>
      </c>
      <c r="V248" s="88">
        <f t="shared" si="2250"/>
        <v>0.1366089700678971</v>
      </c>
      <c r="W248" s="88">
        <f t="shared" si="2250"/>
        <v>0.10881983596722326</v>
      </c>
      <c r="X248" s="88">
        <f t="shared" si="2250"/>
        <v>2.7074734692145917E-2</v>
      </c>
      <c r="Y248" s="88">
        <f t="shared" si="2250"/>
        <v>7.3524580789437171E-3</v>
      </c>
      <c r="Z248" s="88">
        <f t="shared" si="2250"/>
        <v>3.8907456060596562E-2</v>
      </c>
      <c r="AA248" s="88">
        <f t="shared" ref="AA248" si="2251">AA161/AA120</f>
        <v>5.6038771090920696E-2</v>
      </c>
      <c r="AB248" s="42">
        <f t="shared" si="2250"/>
        <v>0.13737996094290542</v>
      </c>
      <c r="AC248" s="42">
        <f t="shared" si="2250"/>
        <v>0.20887573096677425</v>
      </c>
      <c r="AD248" s="42">
        <f t="shared" si="2250"/>
        <v>0.27292415274881954</v>
      </c>
      <c r="AE248" s="42">
        <f t="shared" si="2250"/>
        <v>0.3298085086751204</v>
      </c>
      <c r="AL248" s="88">
        <f t="shared" ref="AL248:CW248" si="2252">AL161/AL120</f>
        <v>2.4092455380027029E-2</v>
      </c>
      <c r="AM248" s="88">
        <f t="shared" si="2252"/>
        <v>9.4184589307550991E-3</v>
      </c>
      <c r="AN248" s="88">
        <f t="shared" si="2252"/>
        <v>3.1333930170098483E-3</v>
      </c>
      <c r="AO248" s="88">
        <f t="shared" si="2252"/>
        <v>4.6659490493319924E-2</v>
      </c>
      <c r="AP248" s="88">
        <f t="shared" si="2252"/>
        <v>0.1296912114014252</v>
      </c>
      <c r="AQ248" s="88">
        <f t="shared" si="2252"/>
        <v>0.37294204794565372</v>
      </c>
      <c r="AR248" s="88">
        <f t="shared" si="2252"/>
        <v>0.20883924235065565</v>
      </c>
      <c r="AS248" s="88">
        <f t="shared" si="2252"/>
        <v>0.40831467473524896</v>
      </c>
      <c r="AT248" s="88">
        <f t="shared" si="2252"/>
        <v>1.020408163265306E-2</v>
      </c>
      <c r="AU248" s="88">
        <f t="shared" si="2252"/>
        <v>-0.17262395946435036</v>
      </c>
      <c r="AV248" s="88">
        <f t="shared" si="2252"/>
        <v>2.36784140969163E-2</v>
      </c>
      <c r="AW248" s="88">
        <f t="shared" si="2252"/>
        <v>0.18454530413605155</v>
      </c>
      <c r="AX248" s="88">
        <f t="shared" si="2252"/>
        <v>0.12619047619047621</v>
      </c>
      <c r="AY248" s="88">
        <f t="shared" si="2252"/>
        <v>-9.3791615969035982E-3</v>
      </c>
      <c r="AZ248" s="88">
        <f t="shared" si="2252"/>
        <v>5.9598494353826852E-2</v>
      </c>
      <c r="BA248" s="88">
        <f t="shared" si="2252"/>
        <v>-0.27259728392630816</v>
      </c>
      <c r="BB248" s="88">
        <f t="shared" si="2252"/>
        <v>0.12601626016260162</v>
      </c>
      <c r="BC248" s="88">
        <f t="shared" si="2252"/>
        <v>0.29077618757962159</v>
      </c>
      <c r="BD248" s="88">
        <f t="shared" si="2252"/>
        <v>0.68274383708467312</v>
      </c>
      <c r="BE248" s="88">
        <f t="shared" si="2252"/>
        <v>0.42251591338265976</v>
      </c>
      <c r="BF248" s="88">
        <f t="shared" si="2252"/>
        <v>0.23715058611361586</v>
      </c>
      <c r="BG248" s="88">
        <f t="shared" si="2252"/>
        <v>0.3427989295623024</v>
      </c>
      <c r="BH248" s="88">
        <f t="shared" si="2252"/>
        <v>0.24023769100169781</v>
      </c>
      <c r="BI248" s="88">
        <f t="shared" si="2252"/>
        <v>1.2180624705644891</v>
      </c>
      <c r="BJ248" s="88">
        <f t="shared" si="2252"/>
        <v>0.16592724046140198</v>
      </c>
      <c r="BK248" s="88">
        <f t="shared" si="2252"/>
        <v>0.15879230682283901</v>
      </c>
      <c r="BL248" s="88">
        <f t="shared" si="2252"/>
        <v>8.2304526748971203E-4</v>
      </c>
      <c r="BM248" s="88">
        <f t="shared" si="2252"/>
        <v>0.22862023820125962</v>
      </c>
      <c r="BN248" s="88">
        <f t="shared" si="2252"/>
        <v>8.8832487309644673E-2</v>
      </c>
      <c r="BO248" s="88">
        <f t="shared" si="2252"/>
        <v>0.50804148576174124</v>
      </c>
      <c r="BP248" s="88">
        <f t="shared" si="2252"/>
        <v>0.25320512820512825</v>
      </c>
      <c r="BQ248" s="88">
        <f t="shared" si="2252"/>
        <v>0.38596394736704703</v>
      </c>
      <c r="BR248" s="88">
        <f t="shared" si="2252"/>
        <v>0.13657230298393266</v>
      </c>
      <c r="BS248" s="88">
        <f t="shared" si="2252"/>
        <v>0.33016187268299457</v>
      </c>
      <c r="BT248" s="88">
        <f t="shared" si="2252"/>
        <v>6.5577249575551777E-2</v>
      </c>
      <c r="BU248" s="88">
        <f t="shared" si="2252"/>
        <v>0.14275270205009982</v>
      </c>
      <c r="BV248" s="88">
        <f t="shared" si="2252"/>
        <v>0.10881311719768957</v>
      </c>
      <c r="BW248" s="88">
        <f t="shared" si="2252"/>
        <v>0.20767547070634895</v>
      </c>
      <c r="BX248" s="88">
        <f t="shared" si="2252"/>
        <v>9.7497562560935974E-2</v>
      </c>
      <c r="BY248" s="88">
        <f t="shared" si="2252"/>
        <v>0.27748437675357712</v>
      </c>
      <c r="BZ248" s="88">
        <f t="shared" si="2252"/>
        <v>2.696969696969697E-2</v>
      </c>
      <c r="CA248" s="88">
        <f t="shared" si="2252"/>
        <v>7.796893738286248E-2</v>
      </c>
      <c r="CB248" s="88">
        <f t="shared" si="2252"/>
        <v>0.11131084070796463</v>
      </c>
      <c r="CC248" s="88">
        <f t="shared" si="2252"/>
        <v>0.17762420327696804</v>
      </c>
      <c r="CD248" s="88">
        <f t="shared" si="2252"/>
        <v>7.300158170093685E-3</v>
      </c>
      <c r="CE248" s="88">
        <f t="shared" si="2252"/>
        <v>0.10537287224764488</v>
      </c>
      <c r="CF248" s="88">
        <f t="shared" si="2252"/>
        <v>7.2778720996038479E-2</v>
      </c>
      <c r="CG248" s="88">
        <f t="shared" si="2252"/>
        <v>0.1432869151443717</v>
      </c>
      <c r="CH248" s="88">
        <f t="shared" si="2252"/>
        <v>3.8907456060596562E-2</v>
      </c>
      <c r="CI248" s="88">
        <f t="shared" si="2252"/>
        <v>0.11702615699558422</v>
      </c>
      <c r="CJ248" s="88">
        <f t="shared" si="2252"/>
        <v>6.5868818999907227E-3</v>
      </c>
      <c r="CK248" s="42">
        <f t="shared" si="2252"/>
        <v>0.12631600622736383</v>
      </c>
      <c r="CL248" s="88">
        <f t="shared" ref="CL248" si="2253">CL161/CL120</f>
        <v>5.6071060353715604E-2</v>
      </c>
      <c r="CM248" s="42">
        <f t="shared" si="2252"/>
        <v>3.6732936194899713E-3</v>
      </c>
      <c r="CN248" s="42">
        <f t="shared" si="2252"/>
        <v>3.2190370546063649E-2</v>
      </c>
      <c r="CO248" s="42">
        <f t="shared" si="2252"/>
        <v>0.15524006680817248</v>
      </c>
      <c r="CP248" s="42">
        <f t="shared" si="2252"/>
        <v>0.13737996094290542</v>
      </c>
      <c r="CQ248" s="42">
        <f t="shared" si="2252"/>
        <v>7.416636051951285E-2</v>
      </c>
      <c r="CR248" s="42">
        <f t="shared" si="2252"/>
        <v>0.10720427178441647</v>
      </c>
      <c r="CS248" s="42">
        <f t="shared" si="2252"/>
        <v>0.23012464563897514</v>
      </c>
      <c r="CT248" s="42">
        <f t="shared" si="2252"/>
        <v>0.20887573096677425</v>
      </c>
      <c r="CU248" s="42">
        <f t="shared" si="2252"/>
        <v>0.14299596600905304</v>
      </c>
      <c r="CV248" s="42">
        <f t="shared" si="2252"/>
        <v>0.17508892123039294</v>
      </c>
      <c r="CW248" s="42">
        <f t="shared" si="2252"/>
        <v>0.29586973300838965</v>
      </c>
      <c r="CX248" s="42">
        <f t="shared" ref="CX248:DB248" si="2254">CX161/CX120</f>
        <v>0.27292415274881954</v>
      </c>
      <c r="CY248" s="42">
        <f t="shared" si="2254"/>
        <v>0.20546267428626755</v>
      </c>
      <c r="CZ248" s="42">
        <f t="shared" si="2254"/>
        <v>0.23553024808318226</v>
      </c>
      <c r="DA248" s="42">
        <f t="shared" si="2254"/>
        <v>0.35400040980799674</v>
      </c>
      <c r="DB248" s="42">
        <f t="shared" si="2254"/>
        <v>0.3298085086751204</v>
      </c>
      <c r="DE248" s="125"/>
      <c r="DF248" s="88">
        <v>7.013497643426711E-2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>
        <f t="shared" si="2255"/>
        <v>4.1649190391040314E-2</v>
      </c>
      <c r="G249" s="89">
        <f t="shared" si="2255"/>
        <v>0.49642747049787328</v>
      </c>
      <c r="H249" s="89">
        <f t="shared" si="2255"/>
        <v>0.1004971424276131</v>
      </c>
      <c r="I249" s="89">
        <f t="shared" si="2255"/>
        <v>4.1956451477752843E-2</v>
      </c>
      <c r="J249" s="89">
        <f t="shared" si="2255"/>
        <v>0.12122604659712333</v>
      </c>
      <c r="K249" s="89">
        <f>K128/J128-1</f>
        <v>7.6563930215719056E-2</v>
      </c>
      <c r="L249" s="89">
        <f t="shared" si="2255"/>
        <v>0.26793356704367022</v>
      </c>
      <c r="M249" s="89">
        <f t="shared" si="2255"/>
        <v>8.3623789280361294E-2</v>
      </c>
      <c r="N249" s="89">
        <f t="shared" si="2255"/>
        <v>1.0683938302392226E-2</v>
      </c>
      <c r="O249" s="89">
        <f t="shared" si="2255"/>
        <v>0.28519991683934665</v>
      </c>
      <c r="P249" s="89">
        <f t="shared" si="2255"/>
        <v>0.32906045959316743</v>
      </c>
      <c r="Q249" s="89">
        <f t="shared" si="2255"/>
        <v>0.35596956333904473</v>
      </c>
      <c r="R249" s="89">
        <f t="shared" si="2255"/>
        <v>-1.8073727155077157E-2</v>
      </c>
      <c r="S249" s="89">
        <f t="shared" si="2255"/>
        <v>0.1058626637293576</v>
      </c>
      <c r="T249" s="89">
        <f t="shared" si="2255"/>
        <v>-3.9277759408167356E-2</v>
      </c>
      <c r="U249" s="89">
        <f t="shared" si="2255"/>
        <v>3.3893305017997921E-2</v>
      </c>
      <c r="V249" s="89">
        <f t="shared" si="2255"/>
        <v>-0.19704533960578308</v>
      </c>
      <c r="W249" s="89">
        <f t="shared" si="2255"/>
        <v>-0.10545923794815015</v>
      </c>
      <c r="X249" s="89">
        <f t="shared" si="2255"/>
        <v>-1.8069658329142313E-2</v>
      </c>
      <c r="Y249" s="89">
        <f t="shared" si="2255"/>
        <v>0.10829692964200532</v>
      </c>
      <c r="Z249" s="89">
        <f t="shared" si="2255"/>
        <v>0.1743772616711885</v>
      </c>
      <c r="AA249" s="89">
        <f t="shared" si="2255"/>
        <v>-1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>
        <f t="shared" ref="AL249:CW249" si="2256">AL128/AK128-1</f>
        <v>-0.23518419647624123</v>
      </c>
      <c r="AM249" s="89">
        <f t="shared" si="2256"/>
        <v>0</v>
      </c>
      <c r="AN249" s="89">
        <f t="shared" si="2256"/>
        <v>0.44363001745200714</v>
      </c>
      <c r="AO249" s="89">
        <f t="shared" si="2256"/>
        <v>0</v>
      </c>
      <c r="AP249" s="89">
        <f t="shared" si="2256"/>
        <v>0.35541586073500975</v>
      </c>
      <c r="AQ249" s="89">
        <f t="shared" si="2256"/>
        <v>0</v>
      </c>
      <c r="AR249" s="89">
        <f t="shared" si="2256"/>
        <v>0.17659650374598623</v>
      </c>
      <c r="AS249" s="89">
        <f t="shared" si="2256"/>
        <v>0</v>
      </c>
      <c r="AT249" s="89">
        <f t="shared" si="2256"/>
        <v>0.12916919345057609</v>
      </c>
      <c r="AU249" s="89">
        <f t="shared" si="2256"/>
        <v>0</v>
      </c>
      <c r="AV249" s="89">
        <f t="shared" si="2256"/>
        <v>0.48737916219119248</v>
      </c>
      <c r="AW249" s="89">
        <f t="shared" si="2256"/>
        <v>0</v>
      </c>
      <c r="AX249" s="89">
        <f t="shared" si="2256"/>
        <v>-8.8192814587470747E-2</v>
      </c>
      <c r="AY249" s="89">
        <f t="shared" si="2256"/>
        <v>0</v>
      </c>
      <c r="AZ249" s="89">
        <f t="shared" si="2256"/>
        <v>-1.3167013167012964E-2</v>
      </c>
      <c r="BA249" s="89">
        <f t="shared" si="2256"/>
        <v>0</v>
      </c>
      <c r="BB249" s="89">
        <f t="shared" si="2256"/>
        <v>-0.175260834670947</v>
      </c>
      <c r="BC249" s="89">
        <f t="shared" si="2256"/>
        <v>0</v>
      </c>
      <c r="BD249" s="89">
        <f t="shared" si="2256"/>
        <v>0.14791387909013487</v>
      </c>
      <c r="BE249" s="89">
        <f t="shared" si="2256"/>
        <v>0</v>
      </c>
      <c r="BF249" s="89">
        <f t="shared" si="2256"/>
        <v>0.11380735403200148</v>
      </c>
      <c r="BG249" s="89">
        <f t="shared" si="2256"/>
        <v>0</v>
      </c>
      <c r="BH249" s="89">
        <f t="shared" si="2256"/>
        <v>-6.7072590619351002E-2</v>
      </c>
      <c r="BI249" s="89">
        <f t="shared" si="2256"/>
        <v>0</v>
      </c>
      <c r="BJ249" s="89">
        <f t="shared" si="2256"/>
        <v>-0.14735875994289194</v>
      </c>
      <c r="BK249" s="89">
        <f t="shared" si="2256"/>
        <v>0</v>
      </c>
      <c r="BL249" s="89">
        <f t="shared" si="2256"/>
        <v>0.35809113742375298</v>
      </c>
      <c r="BM249" s="89">
        <f t="shared" si="2256"/>
        <v>0</v>
      </c>
      <c r="BN249" s="89">
        <f t="shared" si="2256"/>
        <v>-3.6988110964332965E-2</v>
      </c>
      <c r="BO249" s="89">
        <f t="shared" si="2256"/>
        <v>0</v>
      </c>
      <c r="BP249" s="89">
        <f t="shared" si="2256"/>
        <v>-0.12775491540923645</v>
      </c>
      <c r="BQ249" s="89">
        <f t="shared" si="2256"/>
        <v>0</v>
      </c>
      <c r="BR249" s="89">
        <f t="shared" si="2256"/>
        <v>-7.947158733487103E-2</v>
      </c>
      <c r="BS249" s="89">
        <f t="shared" si="2256"/>
        <v>0</v>
      </c>
      <c r="BT249" s="89">
        <f t="shared" si="2256"/>
        <v>-0.27653758542141227</v>
      </c>
      <c r="BU249" s="89">
        <f t="shared" si="2256"/>
        <v>0</v>
      </c>
      <c r="BV249" s="89">
        <f t="shared" si="2256"/>
        <v>0.23646095717884119</v>
      </c>
      <c r="BW249" s="89">
        <f t="shared" si="2256"/>
        <v>0</v>
      </c>
      <c r="BX249" s="89">
        <f t="shared" si="2256"/>
        <v>6.2897886427298211E-2</v>
      </c>
      <c r="BY249" s="89">
        <f t="shared" si="2256"/>
        <v>0</v>
      </c>
      <c r="BZ249" s="89">
        <f t="shared" si="2256"/>
        <v>-7.6185912793483301E-2</v>
      </c>
      <c r="CA249" s="89">
        <f t="shared" si="2256"/>
        <v>0</v>
      </c>
      <c r="CB249" s="89">
        <f t="shared" si="2256"/>
        <v>2.359958506224058E-2</v>
      </c>
      <c r="CC249" s="89">
        <f t="shared" si="2256"/>
        <v>0</v>
      </c>
      <c r="CD249" s="89">
        <f t="shared" si="2256"/>
        <v>8.2721053965036706E-2</v>
      </c>
      <c r="CE249" s="89">
        <f t="shared" si="2256"/>
        <v>0</v>
      </c>
      <c r="CF249" s="89">
        <f t="shared" si="2256"/>
        <v>0.19024219024219025</v>
      </c>
      <c r="CG249" s="89">
        <f t="shared" si="2256"/>
        <v>0</v>
      </c>
      <c r="CH249" s="89">
        <f t="shared" si="2256"/>
        <v>-1.3291064582719003E-2</v>
      </c>
      <c r="CI249" s="89">
        <f t="shared" si="2256"/>
        <v>0</v>
      </c>
      <c r="CJ249" s="89">
        <f t="shared" si="2256"/>
        <v>-0.12679982346711771</v>
      </c>
      <c r="CK249" s="47">
        <f t="shared" si="2256"/>
        <v>0</v>
      </c>
      <c r="CL249" s="89">
        <f t="shared" si="2256"/>
        <v>-1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>
        <f t="shared" ref="F250:AE250" si="2258">F28/E28-1</f>
        <v>-3.4570745117446622E-2</v>
      </c>
      <c r="G250" s="89">
        <f t="shared" si="2258"/>
        <v>1.5627424337381179</v>
      </c>
      <c r="H250" s="89">
        <f t="shared" si="2258"/>
        <v>-0.69782887329436938</v>
      </c>
      <c r="I250" s="89">
        <f t="shared" si="2258"/>
        <v>2.7997885089883989</v>
      </c>
      <c r="J250" s="89">
        <f t="shared" si="2258"/>
        <v>1.018676561533705</v>
      </c>
      <c r="K250" s="89">
        <f t="shared" si="2258"/>
        <v>0.3682985111206416</v>
      </c>
      <c r="L250" s="89">
        <f t="shared" si="2258"/>
        <v>-0.10177100125380845</v>
      </c>
      <c r="M250" s="89">
        <f t="shared" si="2258"/>
        <v>-4.7297381507282577E-2</v>
      </c>
      <c r="N250" s="89">
        <f t="shared" si="2258"/>
        <v>0.10003662907825706</v>
      </c>
      <c r="O250" s="89">
        <f t="shared" si="2258"/>
        <v>0.29441425156679091</v>
      </c>
      <c r="P250" s="89">
        <f t="shared" si="2258"/>
        <v>-0.80180254671738072</v>
      </c>
      <c r="Q250" s="89">
        <f t="shared" si="2258"/>
        <v>3.5460992907801456</v>
      </c>
      <c r="R250" s="89">
        <f t="shared" si="2258"/>
        <v>-0.27038022697378383</v>
      </c>
      <c r="S250" s="89">
        <f t="shared" si="2258"/>
        <v>1.1683296998155241</v>
      </c>
      <c r="T250" s="89">
        <f t="shared" si="2258"/>
        <v>4.6933106466352514E-2</v>
      </c>
      <c r="U250" s="89">
        <f t="shared" si="2258"/>
        <v>5.1403911622209586E-2</v>
      </c>
      <c r="V250" s="89">
        <f t="shared" si="2258"/>
        <v>0.72923900251187268</v>
      </c>
      <c r="W250" s="89">
        <f t="shared" si="2258"/>
        <v>5.776491103323278E-2</v>
      </c>
      <c r="X250" s="89">
        <f t="shared" si="2258"/>
        <v>-2.6120776580936811E-3</v>
      </c>
      <c r="Y250" s="89">
        <f t="shared" si="2258"/>
        <v>0.29770940917070932</v>
      </c>
      <c r="Z250" s="89">
        <f t="shared" si="2258"/>
        <v>-0.16467864836189328</v>
      </c>
      <c r="AA250" s="89">
        <f t="shared" si="2258"/>
        <v>0.5466864839098371</v>
      </c>
      <c r="AB250" s="47">
        <f t="shared" si="2258"/>
        <v>0.18918737452298884</v>
      </c>
      <c r="AC250" s="47">
        <f t="shared" si="2258"/>
        <v>0.15890209530581556</v>
      </c>
      <c r="AD250" s="47">
        <f t="shared" si="2258"/>
        <v>0.1474630068251328</v>
      </c>
      <c r="AE250" s="47">
        <f t="shared" si="2258"/>
        <v>0.14462273270535508</v>
      </c>
      <c r="AL250" s="89">
        <f t="shared" ref="AL250:CW250" si="2259">AL28/AK28-1</f>
        <v>1.3888888888888924</v>
      </c>
      <c r="AM250" s="89">
        <f t="shared" si="2259"/>
        <v>-0.37293868921776008</v>
      </c>
      <c r="AN250" s="89">
        <f t="shared" si="2259"/>
        <v>0.92852326365475624</v>
      </c>
      <c r="AO250" s="89">
        <f t="shared" si="2259"/>
        <v>0.56293706293706247</v>
      </c>
      <c r="AP250" s="89">
        <f t="shared" si="2259"/>
        <v>-0.5134228187919474</v>
      </c>
      <c r="AQ250" s="89">
        <f t="shared" si="2259"/>
        <v>-0.25517241379310263</v>
      </c>
      <c r="AR250" s="89">
        <f t="shared" si="2259"/>
        <v>-0.11728395061728536</v>
      </c>
      <c r="AS250" s="89">
        <f t="shared" si="2259"/>
        <v>-1.8321678321678379</v>
      </c>
      <c r="AT250" s="89">
        <f t="shared" si="2259"/>
        <v>-1.2605042016806709</v>
      </c>
      <c r="AU250" s="89">
        <f t="shared" si="2259"/>
        <v>12.000000000000009</v>
      </c>
      <c r="AV250" s="89">
        <f t="shared" si="2259"/>
        <v>0.1761786600496289</v>
      </c>
      <c r="AW250" s="89">
        <f t="shared" si="2259"/>
        <v>-0.70042194092826981</v>
      </c>
      <c r="AX250" s="89">
        <f t="shared" si="2259"/>
        <v>-1.2676056338028145</v>
      </c>
      <c r="AY250" s="89">
        <f t="shared" si="2259"/>
        <v>-4.9473684210526656</v>
      </c>
      <c r="AZ250" s="89">
        <f t="shared" si="2259"/>
        <v>1.3533333333333277</v>
      </c>
      <c r="BA250" s="89">
        <f t="shared" si="2259"/>
        <v>-0.99150141643059553</v>
      </c>
      <c r="BB250" s="89">
        <f t="shared" si="2259"/>
        <v>24.333333333335247</v>
      </c>
      <c r="BC250" s="89">
        <f t="shared" si="2259"/>
        <v>2.0526315789473841</v>
      </c>
      <c r="BD250" s="89">
        <f t="shared" si="2259"/>
        <v>0.83620689655172464</v>
      </c>
      <c r="BE250" s="89">
        <f t="shared" si="2259"/>
        <v>-0.14319248826291187</v>
      </c>
      <c r="BF250" s="89">
        <f t="shared" si="2259"/>
        <v>0.40000000000000102</v>
      </c>
      <c r="BG250" s="89">
        <f t="shared" si="2259"/>
        <v>-0.11154598825831852</v>
      </c>
      <c r="BH250" s="89">
        <f t="shared" si="2259"/>
        <v>-0.14537444933920618</v>
      </c>
      <c r="BI250" s="89">
        <f t="shared" si="2259"/>
        <v>-0.71134020618556693</v>
      </c>
      <c r="BJ250" s="89">
        <f t="shared" si="2259"/>
        <v>5.0178571428571477</v>
      </c>
      <c r="BK250" s="89">
        <f t="shared" si="2259"/>
        <v>-0.49258160237388704</v>
      </c>
      <c r="BL250" s="89">
        <f t="shared" si="2259"/>
        <v>0.45614035087719085</v>
      </c>
      <c r="BM250" s="89">
        <f t="shared" si="2259"/>
        <v>-0.32931726907630454</v>
      </c>
      <c r="BN250" s="89">
        <f t="shared" si="2259"/>
        <v>0.53293413173652793</v>
      </c>
      <c r="BO250" s="89">
        <f t="shared" si="2259"/>
        <v>-9.7656250000000333E-2</v>
      </c>
      <c r="BP250" s="89">
        <f t="shared" si="2259"/>
        <v>0.9069264069264058</v>
      </c>
      <c r="BQ250" s="89">
        <f t="shared" si="2259"/>
        <v>-2.2701475595913512E-2</v>
      </c>
      <c r="BR250" s="89">
        <f t="shared" si="2259"/>
        <v>-0.14285714285714246</v>
      </c>
      <c r="BS250" s="89">
        <f t="shared" si="2259"/>
        <v>-1.3550135501354754E-2</v>
      </c>
      <c r="BT250" s="89">
        <f t="shared" si="2259"/>
        <v>0.22939560439560358</v>
      </c>
      <c r="BU250" s="89">
        <f t="shared" si="2259"/>
        <v>-9.0502793296088901E-2</v>
      </c>
      <c r="BV250" s="89">
        <f t="shared" si="2259"/>
        <v>-0.14864864864864868</v>
      </c>
      <c r="BW250" s="89">
        <f t="shared" si="2259"/>
        <v>0.22222222222222077</v>
      </c>
      <c r="BX250" s="89">
        <f t="shared" si="2259"/>
        <v>0.27154663518300093</v>
      </c>
      <c r="BY250" s="89">
        <f t="shared" si="2259"/>
        <v>-0.57381615598885771</v>
      </c>
      <c r="BZ250" s="89">
        <f t="shared" si="2259"/>
        <v>0.59477124183006258</v>
      </c>
      <c r="CA250" s="89">
        <f t="shared" si="2259"/>
        <v>0.18442622950819687</v>
      </c>
      <c r="CB250" s="89">
        <f t="shared" si="2259"/>
        <v>2.9988465974626122E-2</v>
      </c>
      <c r="CC250" s="89">
        <f t="shared" si="2259"/>
        <v>0.19484882418812877</v>
      </c>
      <c r="CD250" s="89">
        <f t="shared" si="2259"/>
        <v>0.13964386129334616</v>
      </c>
      <c r="CE250" s="89">
        <f t="shared" si="2259"/>
        <v>-0.36677631578947467</v>
      </c>
      <c r="CF250" s="89">
        <f t="shared" si="2259"/>
        <v>6.4935064935072173E-3</v>
      </c>
      <c r="CG250" s="89">
        <f t="shared" si="2259"/>
        <v>-0.12387096774193429</v>
      </c>
      <c r="CH250" s="89">
        <f t="shared" si="2259"/>
        <v>0.69661266568483104</v>
      </c>
      <c r="CI250" s="89">
        <f t="shared" si="2259"/>
        <v>9.5486111111110272E-2</v>
      </c>
      <c r="CJ250" s="89">
        <f t="shared" si="2259"/>
        <v>0.11093502377179143</v>
      </c>
      <c r="CK250" s="47">
        <f t="shared" si="2259"/>
        <v>-0.35235378031383835</v>
      </c>
      <c r="CL250" s="89">
        <f t="shared" si="2259"/>
        <v>0.8171806167400899</v>
      </c>
      <c r="CM250" s="47">
        <f t="shared" si="2259"/>
        <v>-4.6263539999001901E-3</v>
      </c>
      <c r="CN250" s="47">
        <f t="shared" si="2259"/>
        <v>3.8027437673632924E-2</v>
      </c>
      <c r="CO250" s="47">
        <f t="shared" si="2259"/>
        <v>-0.24171009354353623</v>
      </c>
      <c r="CP250" s="47">
        <f t="shared" si="2259"/>
        <v>0.21628728435244615</v>
      </c>
      <c r="CQ250" s="47">
        <f t="shared" si="2259"/>
        <v>0.24833333593860574</v>
      </c>
      <c r="CR250" s="47">
        <f t="shared" si="2259"/>
        <v>1.6139355193924176E-2</v>
      </c>
      <c r="CS250" s="47">
        <f t="shared" si="2259"/>
        <v>-0.24887283423466899</v>
      </c>
      <c r="CT250" s="47">
        <f t="shared" si="2259"/>
        <v>0.16411664297742101</v>
      </c>
      <c r="CU250" s="47">
        <f t="shared" si="2259"/>
        <v>0.30263912557683614</v>
      </c>
      <c r="CV250" s="47">
        <f t="shared" si="2259"/>
        <v>8.1279115320556095E-3</v>
      </c>
      <c r="CW250" s="47">
        <f t="shared" si="2259"/>
        <v>-0.25231581305821027</v>
      </c>
      <c r="CX250" s="47">
        <f t="shared" ref="CX250:DB250" si="2260">CX28/CW28-1</f>
        <v>0.16016598773680157</v>
      </c>
      <c r="CY250" s="47">
        <f t="shared" si="2260"/>
        <v>0.31153709341418523</v>
      </c>
      <c r="CZ250" s="47">
        <f t="shared" si="2260"/>
        <v>5.8483619734557291E-3</v>
      </c>
      <c r="DA250" s="47">
        <f t="shared" si="2260"/>
        <v>-0.25295834948644547</v>
      </c>
      <c r="DB250" s="47">
        <f t="shared" si="2260"/>
        <v>0.16024843289358226</v>
      </c>
      <c r="DE250" s="130"/>
      <c r="DF250" s="89">
        <v>0.67650218533520889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str">
        <f t="shared" si="2261"/>
        <v>RF</v>
      </c>
      <c r="G251" s="103">
        <f t="shared" si="2261"/>
        <v>0</v>
      </c>
      <c r="H251" s="103" t="str">
        <f t="shared" si="2261"/>
        <v>RF</v>
      </c>
      <c r="I251" s="103">
        <f t="shared" si="2261"/>
        <v>0</v>
      </c>
      <c r="J251" s="103">
        <f t="shared" si="2261"/>
        <v>0</v>
      </c>
      <c r="K251" s="103">
        <f t="shared" si="2261"/>
        <v>0</v>
      </c>
      <c r="L251" s="103" t="str">
        <f t="shared" si="2261"/>
        <v>RF</v>
      </c>
      <c r="M251" s="103" t="str">
        <f t="shared" si="2261"/>
        <v>RF</v>
      </c>
      <c r="N251" s="103">
        <f t="shared" si="2261"/>
        <v>0</v>
      </c>
      <c r="O251" s="103">
        <f t="shared" si="2261"/>
        <v>0</v>
      </c>
      <c r="P251" s="103" t="str">
        <f t="shared" si="2261"/>
        <v>RF</v>
      </c>
      <c r="Q251" s="103">
        <f t="shared" si="2261"/>
        <v>0</v>
      </c>
      <c r="R251" s="103" t="str">
        <f t="shared" si="2261"/>
        <v>RF</v>
      </c>
      <c r="S251" s="103">
        <f t="shared" si="2261"/>
        <v>0</v>
      </c>
      <c r="T251" s="103">
        <f t="shared" si="2261"/>
        <v>0</v>
      </c>
      <c r="U251" s="103">
        <f t="shared" si="2261"/>
        <v>0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 t="str">
        <f t="shared" si="2262"/>
        <v>RF</v>
      </c>
      <c r="AA251" s="103">
        <f t="shared" ref="AA251" si="2263">IF(AA249&gt;AA250,"RF",0)</f>
        <v>0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>
        <f t="shared" ref="AL251:CW251" si="2264">IF(AL249&gt;AL250,"RF",0)</f>
        <v>0</v>
      </c>
      <c r="AM251" s="103" t="str">
        <f t="shared" si="2264"/>
        <v>RF</v>
      </c>
      <c r="AN251" s="103">
        <f t="shared" si="2264"/>
        <v>0</v>
      </c>
      <c r="AO251" s="103">
        <f t="shared" si="2264"/>
        <v>0</v>
      </c>
      <c r="AP251" s="103" t="str">
        <f t="shared" si="2264"/>
        <v>RF</v>
      </c>
      <c r="AQ251" s="103" t="str">
        <f t="shared" si="2264"/>
        <v>RF</v>
      </c>
      <c r="AR251" s="103" t="str">
        <f t="shared" si="2264"/>
        <v>RF</v>
      </c>
      <c r="AS251" s="103" t="str">
        <f t="shared" si="2264"/>
        <v>RF</v>
      </c>
      <c r="AT251" s="103" t="str">
        <f t="shared" si="2264"/>
        <v>RF</v>
      </c>
      <c r="AU251" s="103">
        <f t="shared" si="2264"/>
        <v>0</v>
      </c>
      <c r="AV251" s="103" t="str">
        <f t="shared" si="2264"/>
        <v>RF</v>
      </c>
      <c r="AW251" s="103" t="str">
        <f t="shared" si="2264"/>
        <v>RF</v>
      </c>
      <c r="AX251" s="103" t="str">
        <f t="shared" si="2264"/>
        <v>RF</v>
      </c>
      <c r="AY251" s="103" t="str">
        <f t="shared" si="2264"/>
        <v>RF</v>
      </c>
      <c r="AZ251" s="103">
        <f t="shared" si="2264"/>
        <v>0</v>
      </c>
      <c r="BA251" s="103" t="str">
        <f t="shared" si="2264"/>
        <v>RF</v>
      </c>
      <c r="BB251" s="103">
        <f t="shared" si="2264"/>
        <v>0</v>
      </c>
      <c r="BC251" s="103">
        <f t="shared" si="2264"/>
        <v>0</v>
      </c>
      <c r="BD251" s="103">
        <f t="shared" si="2264"/>
        <v>0</v>
      </c>
      <c r="BE251" s="103" t="str">
        <f t="shared" si="2264"/>
        <v>RF</v>
      </c>
      <c r="BF251" s="103">
        <f t="shared" si="2264"/>
        <v>0</v>
      </c>
      <c r="BG251" s="103" t="str">
        <f t="shared" si="2264"/>
        <v>RF</v>
      </c>
      <c r="BH251" s="103" t="str">
        <f t="shared" si="2264"/>
        <v>RF</v>
      </c>
      <c r="BI251" s="103" t="str">
        <f t="shared" si="2264"/>
        <v>RF</v>
      </c>
      <c r="BJ251" s="103">
        <f t="shared" si="2264"/>
        <v>0</v>
      </c>
      <c r="BK251" s="103" t="str">
        <f t="shared" si="2264"/>
        <v>RF</v>
      </c>
      <c r="BL251" s="103">
        <f t="shared" si="2264"/>
        <v>0</v>
      </c>
      <c r="BM251" s="103" t="str">
        <f t="shared" si="2264"/>
        <v>RF</v>
      </c>
      <c r="BN251" s="103">
        <f t="shared" si="2264"/>
        <v>0</v>
      </c>
      <c r="BO251" s="103" t="str">
        <f t="shared" si="2264"/>
        <v>RF</v>
      </c>
      <c r="BP251" s="103">
        <f t="shared" si="2264"/>
        <v>0</v>
      </c>
      <c r="BQ251" s="103" t="str">
        <f t="shared" si="2264"/>
        <v>RF</v>
      </c>
      <c r="BR251" s="103" t="str">
        <f t="shared" si="2264"/>
        <v>RF</v>
      </c>
      <c r="BS251" s="103" t="str">
        <f t="shared" si="2264"/>
        <v>RF</v>
      </c>
      <c r="BT251" s="103">
        <f t="shared" si="2264"/>
        <v>0</v>
      </c>
      <c r="BU251" s="103" t="str">
        <f t="shared" si="2264"/>
        <v>RF</v>
      </c>
      <c r="BV251" s="103" t="str">
        <f t="shared" si="2264"/>
        <v>RF</v>
      </c>
      <c r="BW251" s="103">
        <f t="shared" si="2264"/>
        <v>0</v>
      </c>
      <c r="BX251" s="103">
        <f t="shared" si="2264"/>
        <v>0</v>
      </c>
      <c r="BY251" s="103" t="str">
        <f t="shared" si="2264"/>
        <v>RF</v>
      </c>
      <c r="BZ251" s="103">
        <f t="shared" si="2264"/>
        <v>0</v>
      </c>
      <c r="CA251" s="103">
        <f t="shared" si="2264"/>
        <v>0</v>
      </c>
      <c r="CB251" s="103">
        <f t="shared" si="2264"/>
        <v>0</v>
      </c>
      <c r="CC251" s="103">
        <f t="shared" si="2264"/>
        <v>0</v>
      </c>
      <c r="CD251" s="103">
        <f t="shared" si="2264"/>
        <v>0</v>
      </c>
      <c r="CE251" s="103" t="str">
        <f t="shared" si="2264"/>
        <v>RF</v>
      </c>
      <c r="CF251" s="103" t="str">
        <f t="shared" si="2264"/>
        <v>RF</v>
      </c>
      <c r="CG251" s="103" t="str">
        <f t="shared" si="2264"/>
        <v>RF</v>
      </c>
      <c r="CH251" s="103">
        <f t="shared" si="2264"/>
        <v>0</v>
      </c>
      <c r="CI251" s="103">
        <f t="shared" si="2264"/>
        <v>0</v>
      </c>
      <c r="CJ251" s="103">
        <f t="shared" si="2264"/>
        <v>0</v>
      </c>
      <c r="CK251" s="73" t="str">
        <f t="shared" si="2264"/>
        <v>RF</v>
      </c>
      <c r="CL251" s="103">
        <f t="shared" ref="CL251" si="2265">IF(CL249&gt;CL250,"RF",0)</f>
        <v>0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>
        <f t="shared" ref="F252:AE252" si="2267">F36/F8</f>
        <v>5.8460694249154413E-2</v>
      </c>
      <c r="G252" s="86">
        <f t="shared" si="2267"/>
        <v>3.7667978664761792E-2</v>
      </c>
      <c r="H252" s="86">
        <f t="shared" si="2267"/>
        <v>7.0563040908713237E-2</v>
      </c>
      <c r="I252" s="86">
        <f t="shared" si="2267"/>
        <v>5.858135255587818E-2</v>
      </c>
      <c r="J252" s="86">
        <f t="shared" si="2267"/>
        <v>4.6178588174460231E-2</v>
      </c>
      <c r="K252" s="86">
        <f t="shared" si="2267"/>
        <v>5.221866843130768E-2</v>
      </c>
      <c r="L252" s="86">
        <f t="shared" si="2267"/>
        <v>4.817882510315203E-2</v>
      </c>
      <c r="M252" s="86">
        <f t="shared" si="2267"/>
        <v>5.4674937053351941E-2</v>
      </c>
      <c r="N252" s="86">
        <f t="shared" si="2267"/>
        <v>4.5576791027695122E-2</v>
      </c>
      <c r="O252" s="86">
        <f t="shared" si="2267"/>
        <v>2.5396563425249447E-2</v>
      </c>
      <c r="P252" s="86">
        <f t="shared" si="2267"/>
        <v>2.7410906898533247E-2</v>
      </c>
      <c r="Q252" s="86">
        <f t="shared" si="2267"/>
        <v>6.8103686452812617E-2</v>
      </c>
      <c r="R252" s="86">
        <f t="shared" si="2267"/>
        <v>5.325331248283003E-2</v>
      </c>
      <c r="S252" s="86">
        <f t="shared" si="2267"/>
        <v>5.2304363995753077E-2</v>
      </c>
      <c r="T252" s="86">
        <f t="shared" si="2267"/>
        <v>5.6433952416850744E-2</v>
      </c>
      <c r="U252" s="86">
        <f t="shared" si="2267"/>
        <v>5.5244331981793418E-2</v>
      </c>
      <c r="V252" s="86">
        <f t="shared" si="2267"/>
        <v>3.7096325202073364E-2</v>
      </c>
      <c r="W252" s="86">
        <f t="shared" si="2267"/>
        <v>1.960212160282487E-2</v>
      </c>
      <c r="X252" s="86">
        <f t="shared" si="2267"/>
        <v>3.04081549272757E-2</v>
      </c>
      <c r="Y252" s="86">
        <f t="shared" si="2267"/>
        <v>2.7492859295478716E-2</v>
      </c>
      <c r="Z252" s="86">
        <f t="shared" si="2267"/>
        <v>2.4890457710169744E-2</v>
      </c>
      <c r="AA252" s="86">
        <f t="shared" ref="AA252" si="2268">AA36/AA8</f>
        <v>1.141858176524207E-2</v>
      </c>
      <c r="AB252" s="87">
        <f t="shared" si="2267"/>
        <v>6.0750764212923018E-4</v>
      </c>
      <c r="AC252" s="87">
        <f t="shared" si="2267"/>
        <v>1.3343893001185115E-3</v>
      </c>
      <c r="AD252" s="87">
        <f t="shared" si="2267"/>
        <v>2.0062708265741473E-3</v>
      </c>
      <c r="AE252" s="87">
        <f t="shared" si="2267"/>
        <v>2.6221501231264428E-3</v>
      </c>
      <c r="AL252" s="86">
        <f t="shared" ref="AL252:CW252" si="2269">AL36/AL8</f>
        <v>3.9817607353152373E-2</v>
      </c>
      <c r="AM252" s="86">
        <f t="shared" si="2269"/>
        <v>3.6589291462498653E-2</v>
      </c>
      <c r="AN252" s="86">
        <f t="shared" si="2269"/>
        <v>2.8370868675051186E-2</v>
      </c>
      <c r="AO252" s="86">
        <f t="shared" si="2269"/>
        <v>2.2929206076239612E-2</v>
      </c>
      <c r="AP252" s="86">
        <f t="shared" si="2269"/>
        <v>2.2416621104428651E-2</v>
      </c>
      <c r="AQ252" s="86">
        <f t="shared" si="2269"/>
        <v>2.8599285017874555E-2</v>
      </c>
      <c r="AR252" s="86">
        <f t="shared" si="2269"/>
        <v>2.7231467473524965E-2</v>
      </c>
      <c r="AS252" s="86">
        <f t="shared" si="2269"/>
        <v>2.9027576197387522E-2</v>
      </c>
      <c r="AT252" s="86">
        <f t="shared" si="2269"/>
        <v>3.2935215345638799E-2</v>
      </c>
      <c r="AU252" s="86">
        <f t="shared" si="2269"/>
        <v>4.6166999145055572E-2</v>
      </c>
      <c r="AV252" s="86">
        <f t="shared" si="2269"/>
        <v>9.8251662152179273E-2</v>
      </c>
      <c r="AW252" s="86">
        <f t="shared" si="2269"/>
        <v>7.0214544441348559E-2</v>
      </c>
      <c r="AX252" s="86">
        <f t="shared" si="2269"/>
        <v>6.4430501930501927E-2</v>
      </c>
      <c r="AY252" s="86">
        <f t="shared" si="2269"/>
        <v>5.0214592274678109E-2</v>
      </c>
      <c r="AZ252" s="86">
        <f t="shared" si="2269"/>
        <v>6.5117466802860069E-2</v>
      </c>
      <c r="BA252" s="86">
        <f t="shared" si="2269"/>
        <v>5.1594746716697941E-2</v>
      </c>
      <c r="BB252" s="86">
        <f t="shared" si="2269"/>
        <v>4.555669050051072E-2</v>
      </c>
      <c r="BC252" s="86">
        <f t="shared" si="2269"/>
        <v>5.0481776288227899E-2</v>
      </c>
      <c r="BD252" s="86">
        <f t="shared" si="2269"/>
        <v>5.9572423732884933E-2</v>
      </c>
      <c r="BE252" s="86">
        <f t="shared" si="2269"/>
        <v>5.5051956665929699E-2</v>
      </c>
      <c r="BF252" s="86">
        <f t="shared" si="2269"/>
        <v>4.5598105013817614E-2</v>
      </c>
      <c r="BG252" s="86">
        <f t="shared" si="2269"/>
        <v>5.1333872271624906E-2</v>
      </c>
      <c r="BH252" s="86">
        <f t="shared" si="2269"/>
        <v>4.9775449101796411E-2</v>
      </c>
      <c r="BI252" s="86">
        <f t="shared" si="2269"/>
        <v>7.0654976792160915E-2</v>
      </c>
      <c r="BJ252" s="86">
        <f t="shared" si="2269"/>
        <v>5.7720358408001667E-2</v>
      </c>
      <c r="BK252" s="86">
        <f t="shared" si="2269"/>
        <v>5.7785249001891151E-2</v>
      </c>
      <c r="BL252" s="86">
        <f t="shared" si="2269"/>
        <v>5.2418495631792031E-2</v>
      </c>
      <c r="BM252" s="86">
        <f t="shared" si="2269"/>
        <v>5.5542255207086416E-2</v>
      </c>
      <c r="BN252" s="86">
        <f t="shared" si="2269"/>
        <v>5.5146237999553475E-2</v>
      </c>
      <c r="BO252" s="86">
        <f t="shared" si="2269"/>
        <v>5.6041131105398462E-2</v>
      </c>
      <c r="BP252" s="86">
        <f t="shared" si="2269"/>
        <v>3.6612426035502958E-2</v>
      </c>
      <c r="BQ252" s="86">
        <f t="shared" si="2269"/>
        <v>3.3166574022605151E-2</v>
      </c>
      <c r="BR252" s="86">
        <f t="shared" si="2269"/>
        <v>2.7466150870406186E-2</v>
      </c>
      <c r="BS252" s="86">
        <f t="shared" si="2269"/>
        <v>1.930056087099967E-2</v>
      </c>
      <c r="BT252" s="86">
        <f t="shared" si="2269"/>
        <v>1.8922604841459259E-2</v>
      </c>
      <c r="BU252" s="86">
        <f t="shared" si="2269"/>
        <v>1.9313674771512333E-2</v>
      </c>
      <c r="BV252" s="86">
        <f t="shared" si="2269"/>
        <v>2.0677255019478574E-2</v>
      </c>
      <c r="BW252" s="86">
        <f t="shared" si="2269"/>
        <v>3.3498165576646997E-2</v>
      </c>
      <c r="BX252" s="86">
        <f t="shared" si="2269"/>
        <v>2.3768836414478793E-2</v>
      </c>
      <c r="BY252" s="86">
        <f t="shared" si="2269"/>
        <v>3.6690085870413738E-2</v>
      </c>
      <c r="BZ252" s="86">
        <f t="shared" si="2269"/>
        <v>2.9040024074631358E-2</v>
      </c>
      <c r="CA252" s="86">
        <f t="shared" si="2269"/>
        <v>2.8644271145770842E-2</v>
      </c>
      <c r="CB252" s="86">
        <f t="shared" si="2269"/>
        <v>2.8493482873598056E-2</v>
      </c>
      <c r="CC252" s="86">
        <f t="shared" si="2269"/>
        <v>2.9145574474612669E-2</v>
      </c>
      <c r="CD252" s="86">
        <f t="shared" si="2269"/>
        <v>2.4552788495264821E-2</v>
      </c>
      <c r="CE252" s="86">
        <f t="shared" si="2269"/>
        <v>2.6167265264238074E-2</v>
      </c>
      <c r="CF252" s="86">
        <f t="shared" si="2269"/>
        <v>2.4647508341405663E-2</v>
      </c>
      <c r="CG252" s="86">
        <f t="shared" si="2269"/>
        <v>2.8601820115825551E-2</v>
      </c>
      <c r="CH252" s="86">
        <f t="shared" si="2269"/>
        <v>2.1303598948418094E-2</v>
      </c>
      <c r="CI252" s="86">
        <f t="shared" si="2269"/>
        <v>1.9933263083948015E-2</v>
      </c>
      <c r="CJ252" s="86">
        <f t="shared" si="2269"/>
        <v>1.6013071895424835E-2</v>
      </c>
      <c r="CK252" s="87">
        <f t="shared" si="2269"/>
        <v>7.7927548441449031E-3</v>
      </c>
      <c r="CL252" s="86">
        <f t="shared" ref="CL252" si="2270">CL36/CL8</f>
        <v>5.4709583295340562E-4</v>
      </c>
      <c r="CM252" s="87">
        <f t="shared" si="2269"/>
        <v>4.6991777486409317E-4</v>
      </c>
      <c r="CN252" s="87">
        <f t="shared" si="2269"/>
        <v>3.126066499794989E-5</v>
      </c>
      <c r="CO252" s="87">
        <f t="shared" si="2269"/>
        <v>3.7938545989874397E-4</v>
      </c>
      <c r="CP252" s="87">
        <f t="shared" si="2269"/>
        <v>1.6243930313150456E-3</v>
      </c>
      <c r="CQ252" s="87">
        <f t="shared" si="2269"/>
        <v>1.1348469337651335E-3</v>
      </c>
      <c r="CR252" s="87">
        <f t="shared" si="2269"/>
        <v>6.3268537809231106E-4</v>
      </c>
      <c r="CS252" s="87">
        <f t="shared" si="2269"/>
        <v>1.274452136978502E-3</v>
      </c>
      <c r="CT252" s="87">
        <f t="shared" si="2269"/>
        <v>2.4247095072107692E-3</v>
      </c>
      <c r="CU252" s="87">
        <f t="shared" si="2269"/>
        <v>1.7303920818455773E-3</v>
      </c>
      <c r="CV252" s="87">
        <f t="shared" si="2269"/>
        <v>1.2284022496438667E-3</v>
      </c>
      <c r="CW252" s="87">
        <f t="shared" si="2269"/>
        <v>2.0980288867688194E-3</v>
      </c>
      <c r="CX252" s="87">
        <f t="shared" ref="CX252:DB252" si="2271">CX36/CX8</f>
        <v>3.1413733779474852E-3</v>
      </c>
      <c r="CY252" s="87">
        <f t="shared" si="2271"/>
        <v>2.2784571341801455E-3</v>
      </c>
      <c r="CZ252" s="87">
        <f t="shared" si="2271"/>
        <v>1.7804693892290019E-3</v>
      </c>
      <c r="DA252" s="87">
        <f t="shared" si="2271"/>
        <v>2.8477140586459187E-3</v>
      </c>
      <c r="DB252" s="87">
        <f t="shared" si="2271"/>
        <v>3.7933071031692476E-3</v>
      </c>
      <c r="DE252" s="141"/>
      <c r="DF252" s="86">
        <v>-1.1209590601879813E-3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>
        <f t="shared" ref="F253:AE253" si="2272">F32/F8</f>
        <v>4.2434600236025702E-2</v>
      </c>
      <c r="G253" s="86">
        <f t="shared" si="2272"/>
        <v>3.0089793982185076E-2</v>
      </c>
      <c r="H253" s="86">
        <f t="shared" si="2272"/>
        <v>3.1921822358140874E-2</v>
      </c>
      <c r="I253" s="86">
        <f t="shared" si="2272"/>
        <v>2.9418343574853126E-2</v>
      </c>
      <c r="J253" s="86">
        <f t="shared" si="2272"/>
        <v>2.2331190485580691E-2</v>
      </c>
      <c r="K253" s="86">
        <f t="shared" si="2272"/>
        <v>2.6637255983235911E-2</v>
      </c>
      <c r="L253" s="86">
        <f t="shared" si="2272"/>
        <v>2.2787648133843288E-2</v>
      </c>
      <c r="M253" s="86">
        <f t="shared" si="2272"/>
        <v>2.2237672637700451E-2</v>
      </c>
      <c r="N253" s="86">
        <f t="shared" si="2272"/>
        <v>2.2188465609979401E-2</v>
      </c>
      <c r="O253" s="86">
        <f t="shared" si="2272"/>
        <v>1.6371179666814159E-2</v>
      </c>
      <c r="P253" s="86">
        <f t="shared" si="2272"/>
        <v>2.563595313682452E-2</v>
      </c>
      <c r="Q253" s="86">
        <f t="shared" si="2272"/>
        <v>3.4589905621458909E-2</v>
      </c>
      <c r="R253" s="86">
        <f t="shared" si="2272"/>
        <v>3.4179442645028743E-2</v>
      </c>
      <c r="S253" s="86">
        <f t="shared" si="2272"/>
        <v>3.2196809196836727E-2</v>
      </c>
      <c r="T253" s="86">
        <f t="shared" si="2272"/>
        <v>3.0902688084179897E-2</v>
      </c>
      <c r="U253" s="86">
        <f t="shared" si="2272"/>
        <v>3.362981796734435E-2</v>
      </c>
      <c r="V253" s="86">
        <f t="shared" si="2272"/>
        <v>2.9193604328349269E-2</v>
      </c>
      <c r="W253" s="86">
        <f t="shared" si="2272"/>
        <v>2.3793442899753364E-2</v>
      </c>
      <c r="X253" s="86">
        <f t="shared" si="2272"/>
        <v>2.6349893773492401E-2</v>
      </c>
      <c r="Y253" s="86">
        <f t="shared" si="2272"/>
        <v>2.6043545064250457E-2</v>
      </c>
      <c r="Z253" s="86">
        <f t="shared" si="2272"/>
        <v>2.6701582417245955E-2</v>
      </c>
      <c r="AA253" s="86">
        <f t="shared" ref="AA253" si="2273">AA32/AA8</f>
        <v>2.429776946875449E-2</v>
      </c>
      <c r="AB253" s="87">
        <f t="shared" si="2272"/>
        <v>2.6106301208022781E-2</v>
      </c>
      <c r="AC253" s="87">
        <f t="shared" si="2272"/>
        <v>2.2753183956764258E-2</v>
      </c>
      <c r="AD253" s="87">
        <f t="shared" si="2272"/>
        <v>1.9881368499411991E-2</v>
      </c>
      <c r="AE253" s="87">
        <f t="shared" si="2272"/>
        <v>1.7378935556482813E-2</v>
      </c>
      <c r="AL253" s="86">
        <f t="shared" ref="AL253:CW253" si="2274">AL32/AL8</f>
        <v>2.2152807697831393E-2</v>
      </c>
      <c r="AM253" s="86">
        <f t="shared" si="2274"/>
        <v>2.5179727458063593E-2</v>
      </c>
      <c r="AN253" s="86">
        <f t="shared" si="2274"/>
        <v>2.0766305937408601E-2</v>
      </c>
      <c r="AO253" s="86">
        <f t="shared" si="2274"/>
        <v>2.0922900544568645E-2</v>
      </c>
      <c r="AP253" s="86">
        <f t="shared" si="2274"/>
        <v>4.3739748496446152E-3</v>
      </c>
      <c r="AQ253" s="86">
        <f t="shared" si="2274"/>
        <v>2.1449463763405917E-2</v>
      </c>
      <c r="AR253" s="86">
        <f t="shared" si="2274"/>
        <v>2.9046898638426629E-2</v>
      </c>
      <c r="AS253" s="86">
        <f t="shared" si="2274"/>
        <v>3.0116110304789549E-2</v>
      </c>
      <c r="AT253" s="86">
        <f t="shared" si="2274"/>
        <v>2.9677886355410785E-2</v>
      </c>
      <c r="AU253" s="86">
        <f t="shared" si="2274"/>
        <v>3.4482758620689648E-2</v>
      </c>
      <c r="AV253" s="86">
        <f t="shared" si="2274"/>
        <v>3.4228022654518589E-2</v>
      </c>
      <c r="AW253" s="86">
        <f t="shared" si="2274"/>
        <v>3.5385901365282808E-2</v>
      </c>
      <c r="AX253" s="86">
        <f t="shared" si="2274"/>
        <v>3.8851351351351357E-2</v>
      </c>
      <c r="AY253" s="86">
        <f t="shared" si="2274"/>
        <v>3.2832618025751076E-2</v>
      </c>
      <c r="AZ253" s="86">
        <f t="shared" si="2274"/>
        <v>3.8304392236976507E-2</v>
      </c>
      <c r="BA253" s="86">
        <f t="shared" si="2274"/>
        <v>3.4709193245778612E-2</v>
      </c>
      <c r="BB253" s="86">
        <f t="shared" si="2274"/>
        <v>3.0234933605720122E-2</v>
      </c>
      <c r="BC253" s="86">
        <f t="shared" si="2274"/>
        <v>3.0791788856304982E-2</v>
      </c>
      <c r="BD253" s="86">
        <f t="shared" si="2274"/>
        <v>3.6271919288974296E-2</v>
      </c>
      <c r="BE253" s="86">
        <f t="shared" si="2274"/>
        <v>3.3163829316825121E-2</v>
      </c>
      <c r="BF253" s="86">
        <f t="shared" si="2274"/>
        <v>2.9214370311883144E-2</v>
      </c>
      <c r="BG253" s="86">
        <f t="shared" si="2274"/>
        <v>2.9708973322554569E-2</v>
      </c>
      <c r="BH253" s="86">
        <f t="shared" si="2274"/>
        <v>2.7881736526946109E-2</v>
      </c>
      <c r="BI253" s="86">
        <f t="shared" si="2274"/>
        <v>3.7648272305312015E-2</v>
      </c>
      <c r="BJ253" s="86">
        <f t="shared" si="2274"/>
        <v>3.0006251302354656E-2</v>
      </c>
      <c r="BK253" s="86">
        <f t="shared" si="2274"/>
        <v>3.0048329480983398E-2</v>
      </c>
      <c r="BL253" s="86">
        <f t="shared" si="2274"/>
        <v>3.068399744300021E-2</v>
      </c>
      <c r="BM253" s="86">
        <f t="shared" si="2274"/>
        <v>3.7107972228872396E-2</v>
      </c>
      <c r="BN253" s="86">
        <f t="shared" si="2274"/>
        <v>3.7285108283098903E-2</v>
      </c>
      <c r="BO253" s="86">
        <f t="shared" si="2274"/>
        <v>3.7275064267352186E-2</v>
      </c>
      <c r="BP253" s="86">
        <f t="shared" si="2274"/>
        <v>2.6997041420118342E-2</v>
      </c>
      <c r="BQ253" s="86">
        <f t="shared" si="2274"/>
        <v>2.70520659625718E-2</v>
      </c>
      <c r="BR253" s="86">
        <f t="shared" si="2274"/>
        <v>2.7466150870406186E-2</v>
      </c>
      <c r="BS253" s="86">
        <f t="shared" si="2274"/>
        <v>2.3754536456614978E-2</v>
      </c>
      <c r="BT253" s="86">
        <f t="shared" si="2274"/>
        <v>2.4377770201159225E-2</v>
      </c>
      <c r="BU253" s="86">
        <f t="shared" si="2274"/>
        <v>2.4659424038627347E-2</v>
      </c>
      <c r="BV253" s="86">
        <f t="shared" si="2274"/>
        <v>2.2625112376385977E-2</v>
      </c>
      <c r="BW253" s="86">
        <f t="shared" si="2274"/>
        <v>2.4246291274525444E-2</v>
      </c>
      <c r="BX253" s="86">
        <f t="shared" si="2274"/>
        <v>2.6720521982289885E-2</v>
      </c>
      <c r="BY253" s="86">
        <f t="shared" si="2274"/>
        <v>3.0640124902419984E-2</v>
      </c>
      <c r="BZ253" s="86">
        <f t="shared" si="2274"/>
        <v>2.4676497141137527E-2</v>
      </c>
      <c r="CA253" s="86">
        <f t="shared" si="2274"/>
        <v>2.7444511097780441E-2</v>
      </c>
      <c r="CB253" s="86">
        <f t="shared" si="2274"/>
        <v>2.8038799636253411E-2</v>
      </c>
      <c r="CC253" s="86">
        <f t="shared" si="2274"/>
        <v>2.853198343304188E-2</v>
      </c>
      <c r="CD253" s="86">
        <f t="shared" si="2274"/>
        <v>2.1512919443470127E-2</v>
      </c>
      <c r="CE253" s="86">
        <f t="shared" si="2274"/>
        <v>2.7834787070292459E-2</v>
      </c>
      <c r="CF253" s="86">
        <f t="shared" si="2274"/>
        <v>2.7338284361209775E-2</v>
      </c>
      <c r="CG253" s="86">
        <f t="shared" si="2274"/>
        <v>3.0020092187684672E-2</v>
      </c>
      <c r="CH253" s="86">
        <f t="shared" si="2274"/>
        <v>2.2844710361707914E-2</v>
      </c>
      <c r="CI253" s="86">
        <f t="shared" si="2274"/>
        <v>2.3270108886547243E-2</v>
      </c>
      <c r="CJ253" s="86">
        <f t="shared" si="2274"/>
        <v>2.165032679738562E-2</v>
      </c>
      <c r="CK253" s="87">
        <f t="shared" si="2274"/>
        <v>2.8327716933445664E-2</v>
      </c>
      <c r="CL253" s="86">
        <f t="shared" ref="CL253" si="2275">CL32/CL8</f>
        <v>2.4801677760554391E-2</v>
      </c>
      <c r="CM253" s="87">
        <f t="shared" si="2274"/>
        <v>2.3999487736090619E-2</v>
      </c>
      <c r="CN253" s="87">
        <f t="shared" si="2274"/>
        <v>2.3465516799430361E-2</v>
      </c>
      <c r="CO253" s="87">
        <f t="shared" si="2274"/>
        <v>3.127355430173729E-2</v>
      </c>
      <c r="CP253" s="87">
        <f t="shared" si="2274"/>
        <v>2.7055885645428455E-2</v>
      </c>
      <c r="CQ253" s="87">
        <f t="shared" si="2274"/>
        <v>2.0683326937222149E-2</v>
      </c>
      <c r="CR253" s="87">
        <f t="shared" si="2274"/>
        <v>2.0502937518290364E-2</v>
      </c>
      <c r="CS253" s="87">
        <f t="shared" si="2274"/>
        <v>2.744451333731358E-2</v>
      </c>
      <c r="CT253" s="87">
        <f t="shared" si="2274"/>
        <v>2.3673796155130069E-2</v>
      </c>
      <c r="CU253" s="87">
        <f t="shared" si="2274"/>
        <v>1.8035660361780143E-2</v>
      </c>
      <c r="CV253" s="87">
        <f t="shared" si="2274"/>
        <v>1.7931244582635425E-2</v>
      </c>
      <c r="CW253" s="87">
        <f t="shared" si="2274"/>
        <v>2.4007781817854297E-2</v>
      </c>
      <c r="CX253" s="87">
        <f t="shared" ref="CX253:DB253" si="2276">CX32/CX8</f>
        <v>2.0692818270733302E-2</v>
      </c>
      <c r="CY253" s="87">
        <f t="shared" si="2276"/>
        <v>1.5760509757116677E-2</v>
      </c>
      <c r="CZ253" s="87">
        <f t="shared" si="2276"/>
        <v>1.56776366746357E-2</v>
      </c>
      <c r="DA253" s="87">
        <f t="shared" si="2276"/>
        <v>2.0988971413759109E-2</v>
      </c>
      <c r="DB253" s="87">
        <f t="shared" si="2276"/>
        <v>1.8088162156930317E-2</v>
      </c>
      <c r="DE253" s="141"/>
      <c r="DF253" s="86">
        <v>1.8793736497503297E-2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130845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Sunshield Chemicals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26.693999999999999</v>
      </c>
      <c r="D6">
        <f>_xll.EQNXTDZ($A$1,$B6,D$1,$B$1)</f>
        <v>26.52</v>
      </c>
      <c r="E6">
        <f>_xll.EQNXTDZ($A$1,$B6,E$1,$B$1)</f>
        <v>24.08</v>
      </c>
      <c r="F6">
        <f>_xll.EQNXTDZ($A$1,$B6,F$1,$B$1)</f>
        <v>27.846</v>
      </c>
      <c r="G6">
        <f>_xll.EQNXTDZ($A$1,$B6,G$1,$B$1)</f>
        <v>27.965</v>
      </c>
      <c r="H6">
        <f>_xll.EQNXTDZ($A$1,$B6,H$1,$B$1)</f>
        <v>34.18</v>
      </c>
      <c r="I6">
        <f>_xll.EQNXTDZ($A$1,$B6,I$1,$B$1)</f>
        <v>34.799999999999997</v>
      </c>
      <c r="J6">
        <f>_xll.EQNXTDZ($A$1,$B6,J$1,$B$1)</f>
        <v>36.39</v>
      </c>
      <c r="K6">
        <f>_xll.EQNXTDZ($A$1,$B6,K$1,$B$1)</f>
        <v>30.71</v>
      </c>
      <c r="L6">
        <f>_xll.EQNXTDZ($A$1,$B6,L$1,$B$1)</f>
        <v>33.01</v>
      </c>
      <c r="M6">
        <f>_xll.EQNXTDZ($A$1,$B6,M$1,$B$1)</f>
        <v>27.36</v>
      </c>
      <c r="N6">
        <f>_xll.EQNXTDZ($A$1,$B6,N$1,$B$1)</f>
        <v>27.48</v>
      </c>
      <c r="O6">
        <f>_xll.EQNXTDZ($A$1,$B6,O$1,$B$1)</f>
        <v>34.840000000000003</v>
      </c>
      <c r="P6">
        <f>_xll.EQNXTDZ($A$1,$B6,P$1,$B$1)</f>
        <v>40.47</v>
      </c>
      <c r="Q6">
        <f>_xll.EQNXTDZ($A$1,$B6,Q$1,$B$1)</f>
        <v>35.78</v>
      </c>
      <c r="R6">
        <f>_xll.EQNXTDZ($A$1,$B6,R$1,$B$1)</f>
        <v>41.44</v>
      </c>
      <c r="S6">
        <f>_xll.EQNXTDZ($A$1,$B6,S$1,$B$1)</f>
        <v>46.6</v>
      </c>
      <c r="T6">
        <f>_xll.EQNXTDZ($A$1,$B6,T$1,$B$1)</f>
        <v>39.159999999999997</v>
      </c>
      <c r="U6">
        <f>_xll.EQNXTDZ($A$1,$B6,U$1,$B$1)</f>
        <v>42.64</v>
      </c>
      <c r="V6">
        <f>_xll.EQNXTDZ($A$1,$B6,V$1,$B$1)</f>
        <v>48.95</v>
      </c>
      <c r="W6">
        <f>_xll.EQNXTDZ($A$1,$B6,W$1,$B$1)</f>
        <v>47.74</v>
      </c>
      <c r="X6">
        <f>_xll.EQNXTDZ($A$1,$B6,X$1,$B$1)</f>
        <v>41.63</v>
      </c>
      <c r="Y6">
        <f>_xll.EQNXTDZ($A$1,$B6,Y$1,$B$1)</f>
        <v>45.23</v>
      </c>
      <c r="Z6">
        <f>_xll.EQNXTDZ($A$1,$B6,Z$1,$B$1)</f>
        <v>50.66</v>
      </c>
      <c r="AA6">
        <f>_xll.EQNXTDZ($A$1,$B6,AA$1,$B$1)</f>
        <v>49.48</v>
      </c>
      <c r="AB6">
        <f>_xll.EQNXTDZ($A$1,$B6,AB$1,$B$1)</f>
        <v>53.44</v>
      </c>
      <c r="AC6">
        <f>_xll.EQNXTDZ($A$1,$B6,AC$1,$B$1)</f>
        <v>38.78</v>
      </c>
      <c r="AD6">
        <f>_xll.EQNXTDZ($A$1,$B6,AD$1,$B$1)</f>
        <v>47.99</v>
      </c>
      <c r="AE6">
        <f>_xll.EQNXTDZ($A$1,$B6,AE$1,$B$1)</f>
        <v>47.59</v>
      </c>
      <c r="AF6">
        <f>_xll.EQNXTDZ($A$1,$B6,AF$1,$B$1)</f>
        <v>46.93</v>
      </c>
      <c r="AG6">
        <f>_xll.EQNXTDZ($A$1,$B6,AG$1,$B$1)</f>
        <v>41.77</v>
      </c>
      <c r="AH6">
        <f>_xll.EQNXTDZ($A$1,$B6,AH$1,$B$1)</f>
        <v>44.79</v>
      </c>
      <c r="AI6">
        <f>_xll.EQNXTDZ($A$1,$B6,AI$1,$B$1)</f>
        <v>38.9</v>
      </c>
      <c r="AJ6">
        <f>_xll.EQNXTDZ($A$1,$B6,AJ$1,$B$1)</f>
        <v>54.08</v>
      </c>
      <c r="AK6">
        <f>_xll.EQNXTDZ($A$1,$B6,AK$1,$B$1)</f>
        <v>53.97</v>
      </c>
      <c r="AL6">
        <f>_xll.EQNXTDZ($A$1,$B6,AL$1,$B$1)</f>
        <v>51.7</v>
      </c>
      <c r="AM6">
        <f>_xll.EQNXTDZ($A$1,$B6,AM$1,$B$1)</f>
        <v>60.62</v>
      </c>
      <c r="AN6">
        <f>_xll.EQNXTDZ($A$1,$B6,AN$1,$B$1)</f>
        <v>58.66</v>
      </c>
      <c r="AO6">
        <f>_xll.EQNXTDZ($A$1,$B6,AO$1,$B$1)</f>
        <v>57.99</v>
      </c>
      <c r="AP6">
        <f>_xll.EQNXTDZ($A$1,$B6,AP$1,$B$1)</f>
        <v>66.739999999999995</v>
      </c>
      <c r="AQ6">
        <f>_xll.EQNXTDZ($A$1,$B6,AQ$1,$B$1)</f>
        <v>62.69</v>
      </c>
      <c r="AR6">
        <f>_xll.EQNXTDZ($A$1,$B6,AR$1,$B$1)</f>
        <v>64.37</v>
      </c>
      <c r="AS6">
        <f>_xll.EQNXTDZ($A$1,$B6,AS$1,$B$1)</f>
        <v>51.24</v>
      </c>
      <c r="AT6">
        <f>_xll.EQNXTDZ($A$1,$B6,AT$1,$B$1)</f>
        <v>66.459999999999994</v>
      </c>
      <c r="AU6">
        <f>_xll.EQNXTDZ($A$1,$B6,AU$1,$B$1)</f>
        <v>66.680000000000007</v>
      </c>
      <c r="AV6">
        <f>_xll.EQNXTDZ($A$1,$B6,AV$1,$B$1)</f>
        <v>65.98</v>
      </c>
      <c r="AW6">
        <f>_xll.EQNXTDZ($A$1,$B6,AW$1,$B$1)</f>
        <v>65.19</v>
      </c>
      <c r="AX6">
        <f>_xll.EQNXTDZ($A$1,$B6,AX$1,$B$1)</f>
        <v>85.53</v>
      </c>
      <c r="AY6">
        <f>_xll.EQNXTDZ($A$1,$B6,AY$1,$B$1)</f>
        <v>77.959999999999994</v>
      </c>
      <c r="AZ6">
        <f>_xll.EQNXTDZ($A$1,$B6,AZ$1,$B$1)</f>
        <v>92.91</v>
      </c>
      <c r="BA6">
        <f>_xll.EQNXTDZ($A$1,$B6,BA$1,$B$1)</f>
        <v>84.61</v>
      </c>
      <c r="BB6">
        <f>_xll.EQNXTDZ($A$1,$B6,BB$1,$B$1)</f>
        <v>110.31</v>
      </c>
      <c r="BC6">
        <f>_xll.EQNXTDZ($A$1,$B6,BC$1,$B$1)</f>
        <v>113.88</v>
      </c>
      <c r="BD6">
        <f>_xll.EQNXTDZ($A$1,$B6,BD$1,$B$1)</f>
        <v>122.4</v>
      </c>
      <c r="BE6">
        <f>_xll.EQNXTDZ($A$1,$B6,BE$1,$B$1)</f>
        <v>94.96</v>
      </c>
      <c r="BF6">
        <f>_xll.EQNXTDZ($A$1,$B6,BF$1,$B$1)</f>
        <v>109.67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1.2999999999999999E-2</v>
      </c>
      <c r="D8">
        <f>_xll.EQNXTDZ($A$1,$B8,D$1,$B$1)</f>
        <v>0.03</v>
      </c>
      <c r="E8">
        <f>_xll.EQNXTDZ($A$1,$B8,E$1,$B$1)</f>
        <v>0.09</v>
      </c>
      <c r="F8">
        <f>_xll.EQNXTDZ($A$1,$B8,F$1,$B$1)</f>
        <v>6.0000000000000001E-3</v>
      </c>
      <c r="G8">
        <f>_xll.EQNXTDZ($A$1,$B8,G$1,$B$1)</f>
        <v>-6.0000000000000001E-3</v>
      </c>
      <c r="H8">
        <f>_xll.EQNXTDZ($A$1,$B8,H$1,$B$1)</f>
        <v>0.01</v>
      </c>
      <c r="I8">
        <f>_xll.EQNXTDZ($A$1,$B8,I$1,$B$1)</f>
        <v>0.09</v>
      </c>
      <c r="J8">
        <f>_xll.EQNXTDZ($A$1,$B8,J$1,$B$1)</f>
        <v>0.19</v>
      </c>
      <c r="K8">
        <f>_xll.EQNXTDZ($A$1,$B8,K$1,$B$1)</f>
        <v>0.06</v>
      </c>
      <c r="L8">
        <f>_xll.EQNXTDZ($A$1,$B8,L$1,$B$1)</f>
        <v>0.04</v>
      </c>
      <c r="M8">
        <f>_xll.EQNXTDZ($A$1,$B8,M$1,$B$1)</f>
        <v>0.2</v>
      </c>
      <c r="N8">
        <f>_xll.EQNXTDZ($A$1,$B8,N$1,$B$1)</f>
        <v>0.15</v>
      </c>
      <c r="O8">
        <f>_xll.EQNXTDZ($A$1,$B8,O$1,$B$1)</f>
        <v>0.25</v>
      </c>
      <c r="P8">
        <f>_xll.EQNXTDZ($A$1,$B8,P$1,$B$1)</f>
        <v>0.14000000000000001</v>
      </c>
      <c r="Q8">
        <f>_xll.EQNXTDZ($A$1,$B8,Q$1,$B$1)</f>
        <v>0.11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26.707999999999998</v>
      </c>
      <c r="D9">
        <f>_xll.EQNXTDZ($A$1,$B9,D$1,$B$1)</f>
        <v>26.55</v>
      </c>
      <c r="E9">
        <f>_xll.EQNXTDZ($A$1,$B9,E$1,$B$1)</f>
        <v>24.17</v>
      </c>
      <c r="F9">
        <f>_xll.EQNXTDZ($A$1,$B9,F$1,$B$1)</f>
        <v>27.852</v>
      </c>
      <c r="G9">
        <f>_xll.EQNXTDZ($A$1,$B9,G$1,$B$1)</f>
        <v>27.959</v>
      </c>
      <c r="H9">
        <f>_xll.EQNXTDZ($A$1,$B9,H$1,$B$1)</f>
        <v>34.19</v>
      </c>
      <c r="I9">
        <f>_xll.EQNXTDZ($A$1,$B9,I$1,$B$1)</f>
        <v>34.89</v>
      </c>
      <c r="J9">
        <f>_xll.EQNXTDZ($A$1,$B9,J$1,$B$1)</f>
        <v>36.58</v>
      </c>
      <c r="K9">
        <f>_xll.EQNXTDZ($A$1,$B9,K$1,$B$1)</f>
        <v>30.77</v>
      </c>
      <c r="L9">
        <f>_xll.EQNXTDZ($A$1,$B9,L$1,$B$1)</f>
        <v>33.049999999999997</v>
      </c>
      <c r="M9">
        <f>_xll.EQNXTDZ($A$1,$B9,M$1,$B$1)</f>
        <v>27.56</v>
      </c>
      <c r="N9">
        <f>_xll.EQNXTDZ($A$1,$B9,N$1,$B$1)</f>
        <v>27.63</v>
      </c>
      <c r="O9">
        <f>_xll.EQNXTDZ($A$1,$B9,O$1,$B$1)</f>
        <v>35.090000000000003</v>
      </c>
      <c r="P9">
        <f>_xll.EQNXTDZ($A$1,$B9,P$1,$B$1)</f>
        <v>40.61</v>
      </c>
      <c r="Q9">
        <f>_xll.EQNXTDZ($A$1,$B9,Q$1,$B$1)</f>
        <v>35.89</v>
      </c>
      <c r="R9">
        <f>_xll.EQNXTDZ($A$1,$B9,R$1,$B$1)</f>
        <v>41.44</v>
      </c>
      <c r="S9">
        <f>_xll.EQNXTDZ($A$1,$B9,S$1,$B$1)</f>
        <v>46.6</v>
      </c>
      <c r="T9">
        <f>_xll.EQNXTDZ($A$1,$B9,T$1,$B$1)</f>
        <v>39.159999999999997</v>
      </c>
      <c r="U9">
        <f>_xll.EQNXTDZ($A$1,$B9,U$1,$B$1)</f>
        <v>42.64</v>
      </c>
      <c r="V9">
        <f>_xll.EQNXTDZ($A$1,$B9,V$1,$B$1)</f>
        <v>48.95</v>
      </c>
      <c r="W9">
        <f>_xll.EQNXTDZ($A$1,$B9,W$1,$B$1)</f>
        <v>47.74</v>
      </c>
      <c r="X9">
        <f>_xll.EQNXTDZ($A$1,$B9,X$1,$B$1)</f>
        <v>41.63</v>
      </c>
      <c r="Y9">
        <f>_xll.EQNXTDZ($A$1,$B9,Y$1,$B$1)</f>
        <v>45.23</v>
      </c>
      <c r="Z9">
        <f>_xll.EQNXTDZ($A$1,$B9,Z$1,$B$1)</f>
        <v>50.66</v>
      </c>
      <c r="AA9">
        <f>_xll.EQNXTDZ($A$1,$B9,AA$1,$B$1)</f>
        <v>49.48</v>
      </c>
      <c r="AB9">
        <f>_xll.EQNXTDZ($A$1,$B9,AB$1,$B$1)</f>
        <v>53.44</v>
      </c>
      <c r="AC9">
        <f>_xll.EQNXTDZ($A$1,$B9,AC$1,$B$1)</f>
        <v>38.78</v>
      </c>
      <c r="AD9">
        <f>_xll.EQNXTDZ($A$1,$B9,AD$1,$B$1)</f>
        <v>47.99</v>
      </c>
      <c r="AE9">
        <f>_xll.EQNXTDZ($A$1,$B9,AE$1,$B$1)</f>
        <v>47.59</v>
      </c>
      <c r="AF9">
        <f>_xll.EQNXTDZ($A$1,$B9,AF$1,$B$1)</f>
        <v>46.93</v>
      </c>
      <c r="AG9">
        <f>_xll.EQNXTDZ($A$1,$B9,AG$1,$B$1)</f>
        <v>41.77</v>
      </c>
      <c r="AH9">
        <f>_xll.EQNXTDZ($A$1,$B9,AH$1,$B$1)</f>
        <v>44.79</v>
      </c>
      <c r="AI9">
        <f>_xll.EQNXTDZ($A$1,$B9,AI$1,$B$1)</f>
        <v>38.9</v>
      </c>
      <c r="AJ9">
        <f>_xll.EQNXTDZ($A$1,$B9,AJ$1,$B$1)</f>
        <v>54.08</v>
      </c>
      <c r="AK9">
        <f>_xll.EQNXTDZ($A$1,$B9,AK$1,$B$1)</f>
        <v>53.97</v>
      </c>
      <c r="AL9">
        <f>_xll.EQNXTDZ($A$1,$B9,AL$1,$B$1)</f>
        <v>51.7</v>
      </c>
      <c r="AM9">
        <f>_xll.EQNXTDZ($A$1,$B9,AM$1,$B$1)</f>
        <v>60.62</v>
      </c>
      <c r="AN9">
        <f>_xll.EQNXTDZ($A$1,$B9,AN$1,$B$1)</f>
        <v>58.66</v>
      </c>
      <c r="AO9">
        <f>_xll.EQNXTDZ($A$1,$B9,AO$1,$B$1)</f>
        <v>57.99</v>
      </c>
      <c r="AP9">
        <f>_xll.EQNXTDZ($A$1,$B9,AP$1,$B$1)</f>
        <v>66.739999999999995</v>
      </c>
      <c r="AQ9">
        <f>_xll.EQNXTDZ($A$1,$B9,AQ$1,$B$1)</f>
        <v>62.69</v>
      </c>
      <c r="AR9">
        <f>_xll.EQNXTDZ($A$1,$B9,AR$1,$B$1)</f>
        <v>64.37</v>
      </c>
      <c r="AS9">
        <f>_xll.EQNXTDZ($A$1,$B9,AS$1,$B$1)</f>
        <v>51.24</v>
      </c>
      <c r="AT9">
        <f>_xll.EQNXTDZ($A$1,$B9,AT$1,$B$1)</f>
        <v>66.459999999999994</v>
      </c>
      <c r="AU9">
        <f>_xll.EQNXTDZ($A$1,$B9,AU$1,$B$1)</f>
        <v>66.680000000000007</v>
      </c>
      <c r="AV9">
        <f>_xll.EQNXTDZ($A$1,$B9,AV$1,$B$1)</f>
        <v>65.98</v>
      </c>
      <c r="AW9">
        <f>_xll.EQNXTDZ($A$1,$B9,AW$1,$B$1)</f>
        <v>65.19</v>
      </c>
      <c r="AX9">
        <f>_xll.EQNXTDZ($A$1,$B9,AX$1,$B$1)</f>
        <v>85.53</v>
      </c>
      <c r="AY9">
        <f>_xll.EQNXTDZ($A$1,$B9,AY$1,$B$1)</f>
        <v>77.959999999999994</v>
      </c>
      <c r="AZ9">
        <f>_xll.EQNXTDZ($A$1,$B9,AZ$1,$B$1)</f>
        <v>92.91</v>
      </c>
      <c r="BA9">
        <f>_xll.EQNXTDZ($A$1,$B9,BA$1,$B$1)</f>
        <v>84.61</v>
      </c>
      <c r="BB9">
        <f>_xll.EQNXTDZ($A$1,$B9,BB$1,$B$1)</f>
        <v>110.31</v>
      </c>
      <c r="BC9">
        <f>_xll.EQNXTDZ($A$1,$B9,BC$1,$B$1)</f>
        <v>113.88</v>
      </c>
      <c r="BD9">
        <f>_xll.EQNXTDZ($A$1,$B9,BD$1,$B$1)</f>
        <v>122.4</v>
      </c>
      <c r="BE9">
        <f>_xll.EQNXTDZ($A$1,$B9,BE$1,$B$1)</f>
        <v>94.96</v>
      </c>
      <c r="BF9">
        <f>_xll.EQNXTDZ($A$1,$B9,BF$1,$B$1)</f>
        <v>109.67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-0.27</v>
      </c>
      <c r="D10">
        <f>_xll.EQNXTDZ($A$1,$B10,D$1,$B$1)</f>
        <v>0.81</v>
      </c>
      <c r="E10">
        <f>_xll.EQNXTDZ($A$1,$B10,E$1,$B$1)</f>
        <v>-0.96</v>
      </c>
      <c r="F10">
        <f>_xll.EQNXTDZ($A$1,$B10,F$1,$B$1)</f>
        <v>-0.44</v>
      </c>
      <c r="G10">
        <f>_xll.EQNXTDZ($A$1,$B10,G$1,$B$1)</f>
        <v>-1.92</v>
      </c>
      <c r="H10">
        <f>_xll.EQNXTDZ($A$1,$B10,H$1,$B$1)</f>
        <v>-1.17</v>
      </c>
      <c r="I10">
        <f>_xll.EQNXTDZ($A$1,$B10,I$1,$B$1)</f>
        <v>1.29</v>
      </c>
      <c r="J10">
        <f>_xll.EQNXTDZ($A$1,$B10,J$1,$B$1)</f>
        <v>-0.995</v>
      </c>
      <c r="K10">
        <f>_xll.EQNXTDZ($A$1,$B10,K$1,$B$1)</f>
        <v>-1.1299999999999999</v>
      </c>
      <c r="L10">
        <f>_xll.EQNXTDZ($A$1,$B10,L$1,$B$1)</f>
        <v>-7.82</v>
      </c>
      <c r="M10">
        <f>_xll.EQNXTDZ($A$1,$B10,M$1,$B$1)</f>
        <v>-7.21</v>
      </c>
      <c r="N10">
        <f>_xll.EQNXTDZ($A$1,$B10,N$1,$B$1)</f>
        <v>11.95</v>
      </c>
      <c r="O10">
        <f>_xll.EQNXTDZ($A$1,$B10,O$1,$B$1)</f>
        <v>-7.27</v>
      </c>
      <c r="P10">
        <f>_xll.EQNXTDZ($A$1,$B10,P$1,$B$1)</f>
        <v>-2.7</v>
      </c>
      <c r="Q10">
        <f>_xll.EQNXTDZ($A$1,$B10,Q$1,$B$1)</f>
        <v>9.01</v>
      </c>
      <c r="R10">
        <f>_xll.EQNXTDZ($A$1,$B10,R$1,$B$1)</f>
        <v>-4.25</v>
      </c>
      <c r="S10">
        <f>_xll.EQNXTDZ($A$1,$B10,S$1,$B$1)</f>
        <v>0.31</v>
      </c>
      <c r="T10">
        <f>_xll.EQNXTDZ($A$1,$B10,T$1,$B$1)</f>
        <v>-3.19</v>
      </c>
      <c r="U10">
        <f>_xll.EQNXTDZ($A$1,$B10,U$1,$B$1)</f>
        <v>1.21</v>
      </c>
      <c r="V10">
        <f>_xll.EQNXTDZ($A$1,$B10,V$1,$B$1)</f>
        <v>5.92</v>
      </c>
      <c r="W10">
        <f>_xll.EQNXTDZ($A$1,$B10,W$1,$B$1)</f>
        <v>-2.16</v>
      </c>
      <c r="X10">
        <f>_xll.EQNXTDZ($A$1,$B10,X$1,$B$1)</f>
        <v>-0.54</v>
      </c>
      <c r="Y10">
        <f>_xll.EQNXTDZ($A$1,$B10,Y$1,$B$1)</f>
        <v>-1.64</v>
      </c>
      <c r="Z10">
        <f>_xll.EQNXTDZ($A$1,$B10,Z$1,$B$1)</f>
        <v>2.94</v>
      </c>
      <c r="AA10">
        <f>_xll.EQNXTDZ($A$1,$B10,AA$1,$B$1)</f>
        <v>-0.76</v>
      </c>
      <c r="AB10">
        <f>_xll.EQNXTDZ($A$1,$B10,AB$1,$B$1)</f>
        <v>3.25</v>
      </c>
      <c r="AC10">
        <f>_xll.EQNXTDZ($A$1,$B10,AC$1,$B$1)</f>
        <v>-2.2599999999999998</v>
      </c>
      <c r="AD10">
        <f>_xll.EQNXTDZ($A$1,$B10,AD$1,$B$1)</f>
        <v>2.0299999999999998</v>
      </c>
      <c r="AE10">
        <f>_xll.EQNXTDZ($A$1,$B10,AE$1,$B$1)</f>
        <v>-0.61</v>
      </c>
      <c r="AF10">
        <f>_xll.EQNXTDZ($A$1,$B10,AF$1,$B$1)</f>
        <v>0.13</v>
      </c>
      <c r="AG10">
        <f>_xll.EQNXTDZ($A$1,$B10,AG$1,$B$1)</f>
        <v>1.77</v>
      </c>
      <c r="AH10">
        <f>_xll.EQNXTDZ($A$1,$B10,AH$1,$B$1)</f>
        <v>-3.02</v>
      </c>
      <c r="AI10">
        <f>_xll.EQNXTDZ($A$1,$B10,AI$1,$B$1)</f>
        <v>-1.31</v>
      </c>
      <c r="AJ10">
        <f>_xll.EQNXTDZ($A$1,$B10,AJ$1,$B$1)</f>
        <v>0.47</v>
      </c>
      <c r="AK10">
        <f>_xll.EQNXTDZ($A$1,$B10,AK$1,$B$1)</f>
        <v>4.53</v>
      </c>
      <c r="AL10">
        <f>_xll.EQNXTDZ($A$1,$B10,AL$1,$B$1)</f>
        <v>-1.98</v>
      </c>
      <c r="AM10">
        <f>_xll.EQNXTDZ($A$1,$B10,AM$1,$B$1)</f>
        <v>0.73</v>
      </c>
      <c r="AN10">
        <f>_xll.EQNXTDZ($A$1,$B10,AN$1,$B$1)</f>
        <v>-0.36</v>
      </c>
      <c r="AO10">
        <f>_xll.EQNXTDZ($A$1,$B10,AO$1,$B$1)</f>
        <v>-2.2200000000000002</v>
      </c>
      <c r="AP10">
        <f>_xll.EQNXTDZ($A$1,$B10,AP$1,$B$1)</f>
        <v>-1.43</v>
      </c>
      <c r="AQ10">
        <f>_xll.EQNXTDZ($A$1,$B10,AQ$1,$B$1)</f>
        <v>-1.08</v>
      </c>
      <c r="AR10">
        <f>_xll.EQNXTDZ($A$1,$B10,AR$1,$B$1)</f>
        <v>-0.9</v>
      </c>
      <c r="AS10">
        <f>_xll.EQNXTDZ($A$1,$B10,AS$1,$B$1)</f>
        <v>-4.67</v>
      </c>
      <c r="AT10">
        <f>_xll.EQNXTDZ($A$1,$B10,AT$1,$B$1)</f>
        <v>3.05</v>
      </c>
      <c r="AU10">
        <f>_xll.EQNXTDZ($A$1,$B10,AU$1,$B$1)</f>
        <v>0.87</v>
      </c>
      <c r="AV10">
        <f>_xll.EQNXTDZ($A$1,$B10,AV$1,$B$1)</f>
        <v>3.8</v>
      </c>
      <c r="AW10">
        <f>_xll.EQNXTDZ($A$1,$B10,AW$1,$B$1)</f>
        <v>-0.14000000000000001</v>
      </c>
      <c r="AX10">
        <f>_xll.EQNXTDZ($A$1,$B10,AX$1,$B$1)</f>
        <v>-4.6500000000000004</v>
      </c>
      <c r="AY10">
        <f>_xll.EQNXTDZ($A$1,$B10,AY$1,$B$1)</f>
        <v>-0.49</v>
      </c>
      <c r="AZ10">
        <f>_xll.EQNXTDZ($A$1,$B10,AZ$1,$B$1)</f>
        <v>-1.06</v>
      </c>
      <c r="BA10">
        <f>_xll.EQNXTDZ($A$1,$B10,BA$1,$B$1)</f>
        <v>-5</v>
      </c>
      <c r="BB10">
        <f>_xll.EQNXTDZ($A$1,$B10,BB$1,$B$1)</f>
        <v>3.38</v>
      </c>
      <c r="BC10">
        <f>_xll.EQNXTDZ($A$1,$B10,BC$1,$B$1)</f>
        <v>-3.56</v>
      </c>
      <c r="BD10">
        <f>_xll.EQNXTDZ($A$1,$B10,BD$1,$B$1)</f>
        <v>3.77</v>
      </c>
      <c r="BE10">
        <f>_xll.EQNXTDZ($A$1,$B10,BE$1,$B$1)</f>
        <v>-1.76</v>
      </c>
      <c r="BF10">
        <f>_xll.EQNXTDZ($A$1,$B10,BF$1,$B$1)</f>
        <v>-5.54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19.355</v>
      </c>
      <c r="D11">
        <f>_xll.EQNXTDZ($A$1,$B11,D$1,$B$1)</f>
        <v>18.12</v>
      </c>
      <c r="E11">
        <f>_xll.EQNXTDZ($A$1,$B11,E$1,$B$1)</f>
        <v>18.59</v>
      </c>
      <c r="F11">
        <f>_xll.EQNXTDZ($A$1,$B11,F$1,$B$1)</f>
        <v>20.388999999999999</v>
      </c>
      <c r="G11">
        <f>_xll.EQNXTDZ($A$1,$B11,G$1,$B$1)</f>
        <v>22.081</v>
      </c>
      <c r="H11">
        <f>_xll.EQNXTDZ($A$1,$B11,H$1,$B$1)</f>
        <v>24.49</v>
      </c>
      <c r="I11">
        <f>_xll.EQNXTDZ($A$1,$B11,I$1,$B$1)</f>
        <v>24.73</v>
      </c>
      <c r="J11">
        <f>_xll.EQNXTDZ($A$1,$B11,J$1,$B$1)</f>
        <v>27.5</v>
      </c>
      <c r="K11">
        <f>_xll.EQNXTDZ($A$1,$B11,K$1,$B$1)</f>
        <v>23.48</v>
      </c>
      <c r="L11">
        <f>_xll.EQNXTDZ($A$1,$B11,L$1,$B$1)</f>
        <v>29.85</v>
      </c>
      <c r="M11">
        <f>_xll.EQNXTDZ($A$1,$B11,M$1,$B$1)</f>
        <v>26.89</v>
      </c>
      <c r="N11">
        <f>_xll.EQNXTDZ($A$1,$B11,N$1,$B$1)</f>
        <v>10.26</v>
      </c>
      <c r="O11">
        <f>_xll.EQNXTDZ($A$1,$B11,O$1,$B$1)</f>
        <v>29.1</v>
      </c>
      <c r="P11">
        <f>_xll.EQNXTDZ($A$1,$B11,P$1,$B$1)</f>
        <v>28.73</v>
      </c>
      <c r="Q11">
        <f>_xll.EQNXTDZ($A$1,$B11,Q$1,$B$1)</f>
        <v>17.96</v>
      </c>
      <c r="R11">
        <f>_xll.EQNXTDZ($A$1,$B11,R$1,$B$1)</f>
        <v>29.99</v>
      </c>
      <c r="S11">
        <f>_xll.EQNXTDZ($A$1,$B11,S$1,$B$1)</f>
        <v>30.54</v>
      </c>
      <c r="T11">
        <f>_xll.EQNXTDZ($A$1,$B11,T$1,$B$1)</f>
        <v>27.22</v>
      </c>
      <c r="U11">
        <f>_xll.EQNXTDZ($A$1,$B11,U$1,$B$1)</f>
        <v>28.05</v>
      </c>
      <c r="V11">
        <f>_xll.EQNXTDZ($A$1,$B11,V$1,$B$1)</f>
        <v>23.51</v>
      </c>
      <c r="W11">
        <f>_xll.EQNXTDZ($A$1,$B11,W$1,$B$1)</f>
        <v>33.76</v>
      </c>
      <c r="X11">
        <f>_xll.EQNXTDZ($A$1,$B11,X$1,$B$1)</f>
        <v>28.36</v>
      </c>
      <c r="Y11">
        <f>_xll.EQNXTDZ($A$1,$B11,Y$1,$B$1)</f>
        <v>32.28</v>
      </c>
      <c r="Z11">
        <f>_xll.EQNXTDZ($A$1,$B11,Z$1,$B$1)</f>
        <v>32.86</v>
      </c>
      <c r="AA11">
        <f>_xll.EQNXTDZ($A$1,$B11,AA$1,$B$1)</f>
        <v>35.06</v>
      </c>
      <c r="AB11">
        <f>_xll.EQNXTDZ($A$1,$B11,AB$1,$B$1)</f>
        <v>35.89</v>
      </c>
      <c r="AC11">
        <f>_xll.EQNXTDZ($A$1,$B11,AC$1,$B$1)</f>
        <v>28.8</v>
      </c>
      <c r="AD11">
        <f>_xll.EQNXTDZ($A$1,$B11,AD$1,$B$1)</f>
        <v>29.85</v>
      </c>
      <c r="AE11">
        <f>_xll.EQNXTDZ($A$1,$B11,AE$1,$B$1)</f>
        <v>32.96</v>
      </c>
      <c r="AF11">
        <f>_xll.EQNXTDZ($A$1,$B11,AF$1,$B$1)</f>
        <v>31.42</v>
      </c>
      <c r="AG11">
        <f>_xll.EQNXTDZ($A$1,$B11,AG$1,$B$1)</f>
        <v>26.65</v>
      </c>
      <c r="AH11">
        <f>_xll.EQNXTDZ($A$1,$B11,AH$1,$B$1)</f>
        <v>31.95</v>
      </c>
      <c r="AI11">
        <f>_xll.EQNXTDZ($A$1,$B11,AI$1,$B$1)</f>
        <v>25.72</v>
      </c>
      <c r="AJ11">
        <f>_xll.EQNXTDZ($A$1,$B11,AJ$1,$B$1)</f>
        <v>33.56</v>
      </c>
      <c r="AK11">
        <f>_xll.EQNXTDZ($A$1,$B11,AK$1,$B$1)</f>
        <v>30.34</v>
      </c>
      <c r="AL11">
        <f>_xll.EQNXTDZ($A$1,$B11,AL$1,$B$1)</f>
        <v>35.119999999999997</v>
      </c>
      <c r="AM11">
        <f>_xll.EQNXTDZ($A$1,$B11,AM$1,$B$1)</f>
        <v>41.3</v>
      </c>
      <c r="AN11">
        <f>_xll.EQNXTDZ($A$1,$B11,AN$1,$B$1)</f>
        <v>39.549999999999997</v>
      </c>
      <c r="AO11">
        <f>_xll.EQNXTDZ($A$1,$B11,AO$1,$B$1)</f>
        <v>42.3</v>
      </c>
      <c r="AP11">
        <f>_xll.EQNXTDZ($A$1,$B11,AP$1,$B$1)</f>
        <v>49.51</v>
      </c>
      <c r="AQ11">
        <f>_xll.EQNXTDZ($A$1,$B11,AQ$1,$B$1)</f>
        <v>44.63</v>
      </c>
      <c r="AR11">
        <f>_xll.EQNXTDZ($A$1,$B11,AR$1,$B$1)</f>
        <v>42.97</v>
      </c>
      <c r="AS11">
        <f>_xll.EQNXTDZ($A$1,$B11,AS$1,$B$1)</f>
        <v>39.159999999999997</v>
      </c>
      <c r="AT11">
        <f>_xll.EQNXTDZ($A$1,$B11,AT$1,$B$1)</f>
        <v>43.05</v>
      </c>
      <c r="AU11">
        <f>_xll.EQNXTDZ($A$1,$B11,AU$1,$B$1)</f>
        <v>44.99</v>
      </c>
      <c r="AV11">
        <f>_xll.EQNXTDZ($A$1,$B11,AV$1,$B$1)</f>
        <v>41.93</v>
      </c>
      <c r="AW11">
        <f>_xll.EQNXTDZ($A$1,$B11,AW$1,$B$1)</f>
        <v>42.51</v>
      </c>
      <c r="AX11">
        <f>_xll.EQNXTDZ($A$1,$B11,AX$1,$B$1)</f>
        <v>58.09</v>
      </c>
      <c r="AY11">
        <f>_xll.EQNXTDZ($A$1,$B11,AY$1,$B$1)</f>
        <v>53.4</v>
      </c>
      <c r="AZ11">
        <f>_xll.EQNXTDZ($A$1,$B11,AZ$1,$B$1)</f>
        <v>68.95</v>
      </c>
      <c r="BA11">
        <f>_xll.EQNXTDZ($A$1,$B11,BA$1,$B$1)</f>
        <v>64.27</v>
      </c>
      <c r="BB11">
        <f>_xll.EQNXTDZ($A$1,$B11,BB$1,$B$1)</f>
        <v>79.319999999999993</v>
      </c>
      <c r="BC11">
        <f>_xll.EQNXTDZ($A$1,$B11,BC$1,$B$1)</f>
        <v>86.99</v>
      </c>
      <c r="BD11">
        <f>_xll.EQNXTDZ($A$1,$B11,BD$1,$B$1)</f>
        <v>89.13</v>
      </c>
      <c r="BE11">
        <f>_xll.EQNXTDZ($A$1,$B11,BE$1,$B$1)</f>
        <v>67.87</v>
      </c>
      <c r="BF11">
        <f>_xll.EQNXTDZ($A$1,$B11,BF$1,$B$1)</f>
        <v>72.53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0.02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5.37</v>
      </c>
      <c r="AY12">
        <f>_xll.EQNXTDZ($A$1,$B12,AY$1,$B$1)</f>
        <v>3.27</v>
      </c>
      <c r="AZ12">
        <f>_xll.EQNXTDZ($A$1,$B12,AZ$1,$B$1)</f>
        <v>1.1499999999999999</v>
      </c>
      <c r="BA12">
        <f>_xll.EQNXTDZ($A$1,$B12,BA$1,$B$1)</f>
        <v>2.29</v>
      </c>
      <c r="BB12">
        <f>_xll.EQNXTDZ($A$1,$B12,BB$1,$B$1)</f>
        <v>1.1599999999999999</v>
      </c>
      <c r="BC12">
        <f>_xll.EQNXTDZ($A$1,$B12,BC$1,$B$1)</f>
        <v>0.72</v>
      </c>
      <c r="BD12">
        <f>_xll.EQNXTDZ($A$1,$B12,BD$1,$B$1)</f>
        <v>0.09</v>
      </c>
      <c r="BE12">
        <f>_xll.EQNXTDZ($A$1,$B12,BE$1,$B$1)</f>
        <v>3.97</v>
      </c>
      <c r="BF12">
        <f>_xll.EQNXTDZ($A$1,$B12,BF$1,$B$1)</f>
        <v>11.26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2.8</v>
      </c>
      <c r="S13">
        <f>_xll.EQNXTDZ($A$1,$B13,S$1,$B$1)</f>
        <v>2.83</v>
      </c>
      <c r="T13">
        <f>_xll.EQNXTDZ($A$1,$B13,T$1,$B$1)</f>
        <v>3</v>
      </c>
      <c r="U13">
        <f>_xll.EQNXTDZ($A$1,$B13,U$1,$B$1)</f>
        <v>0.82</v>
      </c>
      <c r="V13">
        <f>_xll.EQNXTDZ($A$1,$B13,V$1,$B$1)</f>
        <v>5.48</v>
      </c>
      <c r="W13">
        <f>_xll.EQNXTDZ($A$1,$B13,W$1,$B$1)</f>
        <v>2.68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4.0030000000000001</v>
      </c>
      <c r="D14">
        <f>_xll.EQNXTDZ($A$1,$B14,D$1,$B$1)</f>
        <v>4.5</v>
      </c>
      <c r="E14">
        <f>_xll.EQNXTDZ($A$1,$B14,E$1,$B$1)</f>
        <v>4.41</v>
      </c>
      <c r="F14">
        <f>_xll.EQNXTDZ($A$1,$B14,F$1,$B$1)</f>
        <v>4.2080000000000002</v>
      </c>
      <c r="G14">
        <f>_xll.EQNXTDZ($A$1,$B14,G$1,$B$1)</f>
        <v>5.1890000000000001</v>
      </c>
      <c r="H14">
        <f>_xll.EQNXTDZ($A$1,$B14,H$1,$B$1)</f>
        <v>6.81</v>
      </c>
      <c r="I14">
        <f>_xll.EQNXTDZ($A$1,$B14,I$1,$B$1)</f>
        <v>3.16</v>
      </c>
      <c r="J14">
        <f>_xll.EQNXTDZ($A$1,$B14,J$1,$B$1)</f>
        <v>6.48</v>
      </c>
      <c r="K14">
        <f>_xll.EQNXTDZ($A$1,$B14,K$1,$B$1)</f>
        <v>5.17</v>
      </c>
      <c r="L14">
        <f>_xll.EQNXTDZ($A$1,$B14,L$1,$B$1)</f>
        <v>7.98</v>
      </c>
      <c r="M14">
        <f>_xll.EQNXTDZ($A$1,$B14,M$1,$B$1)</f>
        <v>7.13</v>
      </c>
      <c r="N14">
        <f>_xll.EQNXTDZ($A$1,$B14,N$1,$B$1)</f>
        <v>4</v>
      </c>
      <c r="O14">
        <f>_xll.EQNXTDZ($A$1,$B14,O$1,$B$1)</f>
        <v>7.22</v>
      </c>
      <c r="P14">
        <f>_xll.EQNXTDZ($A$1,$B14,P$1,$B$1)</f>
        <v>8.35</v>
      </c>
      <c r="Q14">
        <f>_xll.EQNXTDZ($A$1,$B14,Q$1,$B$1)</f>
        <v>6.14</v>
      </c>
      <c r="R14">
        <f>_xll.EQNXTDZ($A$1,$B14,R$1,$B$1)</f>
        <v>11.44</v>
      </c>
      <c r="S14">
        <f>_xll.EQNXTDZ($A$1,$B14,S$1,$B$1)</f>
        <v>9.65</v>
      </c>
      <c r="T14">
        <f>_xll.EQNXTDZ($A$1,$B14,T$1,$B$1)</f>
        <v>6.9</v>
      </c>
      <c r="U14">
        <f>_xll.EQNXTDZ($A$1,$B14,U$1,$B$1)</f>
        <v>10.91</v>
      </c>
      <c r="V14">
        <f>_xll.EQNXTDZ($A$1,$B14,V$1,$B$1)</f>
        <v>11.75</v>
      </c>
      <c r="W14">
        <f>_xll.EQNXTDZ($A$1,$B14,W$1,$B$1)</f>
        <v>9.4</v>
      </c>
      <c r="X14">
        <f>_xll.EQNXTDZ($A$1,$B14,X$1,$B$1)</f>
        <v>7.82</v>
      </c>
      <c r="Y14">
        <f>_xll.EQNXTDZ($A$1,$B14,Y$1,$B$1)</f>
        <v>8.9499999999999993</v>
      </c>
      <c r="Z14">
        <f>_xll.EQNXTDZ($A$1,$B14,Z$1,$B$1)</f>
        <v>8.17</v>
      </c>
      <c r="AA14">
        <f>_xll.EQNXTDZ($A$1,$B14,AA$1,$B$1)</f>
        <v>8.92</v>
      </c>
      <c r="AB14">
        <f>_xll.EQNXTDZ($A$1,$B14,AB$1,$B$1)</f>
        <v>8.9</v>
      </c>
      <c r="AC14">
        <f>_xll.EQNXTDZ($A$1,$B14,AC$1,$B$1)</f>
        <v>9.34</v>
      </c>
      <c r="AD14">
        <f>_xll.EQNXTDZ($A$1,$B14,AD$1,$B$1)</f>
        <v>7.96</v>
      </c>
      <c r="AE14">
        <f>_xll.EQNXTDZ($A$1,$B14,AE$1,$B$1)</f>
        <v>10.27</v>
      </c>
      <c r="AF14">
        <f>_xll.EQNXTDZ($A$1,$B14,AF$1,$B$1)</f>
        <v>8.7100000000000009</v>
      </c>
      <c r="AG14">
        <f>_xll.EQNXTDZ($A$1,$B14,AG$1,$B$1)</f>
        <v>8.39</v>
      </c>
      <c r="AH14">
        <f>_xll.EQNXTDZ($A$1,$B14,AH$1,$B$1)</f>
        <v>9.01</v>
      </c>
      <c r="AI14">
        <f>_xll.EQNXTDZ($A$1,$B14,AI$1,$B$1)</f>
        <v>8.06</v>
      </c>
      <c r="AJ14">
        <f>_xll.EQNXTDZ($A$1,$B14,AJ$1,$B$1)</f>
        <v>9.42</v>
      </c>
      <c r="AK14">
        <f>_xll.EQNXTDZ($A$1,$B14,AK$1,$B$1)</f>
        <v>8.5399999999999991</v>
      </c>
      <c r="AL14">
        <f>_xll.EQNXTDZ($A$1,$B14,AL$1,$B$1)</f>
        <v>9.1999999999999993</v>
      </c>
      <c r="AM14">
        <f>_xll.EQNXTDZ($A$1,$B14,AM$1,$B$1)</f>
        <v>8.5399999999999991</v>
      </c>
      <c r="AN14">
        <f>_xll.EQNXTDZ($A$1,$B14,AN$1,$B$1)</f>
        <v>8.31</v>
      </c>
      <c r="AO14">
        <f>_xll.EQNXTDZ($A$1,$B14,AO$1,$B$1)</f>
        <v>7.63</v>
      </c>
      <c r="AP14">
        <f>_xll.EQNXTDZ($A$1,$B14,AP$1,$B$1)</f>
        <v>9.61</v>
      </c>
      <c r="AQ14">
        <f>_xll.EQNXTDZ($A$1,$B14,AQ$1,$B$1)</f>
        <v>7.53</v>
      </c>
      <c r="AR14">
        <f>_xll.EQNXTDZ($A$1,$B14,AR$1,$B$1)</f>
        <v>9.15</v>
      </c>
      <c r="AS14">
        <f>_xll.EQNXTDZ($A$1,$B14,AS$1,$B$1)</f>
        <v>8.77</v>
      </c>
      <c r="AT14">
        <f>_xll.EQNXTDZ($A$1,$B14,AT$1,$B$1)</f>
        <v>8.81</v>
      </c>
      <c r="AU14">
        <f>_xll.EQNXTDZ($A$1,$B14,AU$1,$B$1)</f>
        <v>7.5</v>
      </c>
      <c r="AV14">
        <f>_xll.EQNXTDZ($A$1,$B14,AV$1,$B$1)</f>
        <v>8.0399999999999991</v>
      </c>
      <c r="AW14">
        <f>_xll.EQNXTDZ($A$1,$B14,AW$1,$B$1)</f>
        <v>8.3800000000000008</v>
      </c>
      <c r="AX14">
        <f>_xll.EQNXTDZ($A$1,$B14,AX$1,$B$1)</f>
        <v>9.8699999999999992</v>
      </c>
      <c r="AY14">
        <f>_xll.EQNXTDZ($A$1,$B14,AY$1,$B$1)</f>
        <v>9.4</v>
      </c>
      <c r="AZ14">
        <f>_xll.EQNXTDZ($A$1,$B14,AZ$1,$B$1)</f>
        <v>11.76</v>
      </c>
      <c r="BA14">
        <f>_xll.EQNXTDZ($A$1,$B14,BA$1,$B$1)</f>
        <v>11.41</v>
      </c>
      <c r="BB14">
        <f>_xll.EQNXTDZ($A$1,$B14,BB$1,$B$1)</f>
        <v>9.74</v>
      </c>
      <c r="BC14">
        <f>_xll.EQNXTDZ($A$1,$B14,BC$1,$B$1)</f>
        <v>11.47</v>
      </c>
      <c r="BD14">
        <f>_xll.EQNXTDZ($A$1,$B14,BD$1,$B$1)</f>
        <v>10.73</v>
      </c>
      <c r="BE14">
        <f>_xll.EQNXTDZ($A$1,$B14,BE$1,$B$1)</f>
        <v>10.89</v>
      </c>
      <c r="BF14">
        <f>_xll.EQNXTDZ($A$1,$B14,BF$1,$B$1)</f>
        <v>10.46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1.0920000000000001</v>
      </c>
      <c r="D16">
        <f>_xll.EQNXTDZ($A$1,$B16,D$1,$B$1)</f>
        <v>1.1200000000000001</v>
      </c>
      <c r="E16">
        <f>_xll.EQNXTDZ($A$1,$B16,E$1,$B$1)</f>
        <v>1.1399999999999999</v>
      </c>
      <c r="F16">
        <f>_xll.EQNXTDZ($A$1,$B16,F$1,$B$1)</f>
        <v>1.33</v>
      </c>
      <c r="G16">
        <f>_xll.EQNXTDZ($A$1,$B16,G$1,$B$1)</f>
        <v>1.1259999999999999</v>
      </c>
      <c r="H16">
        <f>_xll.EQNXTDZ($A$1,$B16,H$1,$B$1)</f>
        <v>1.2</v>
      </c>
      <c r="I16">
        <f>_xll.EQNXTDZ($A$1,$B16,I$1,$B$1)</f>
        <v>1.24</v>
      </c>
      <c r="J16">
        <f>_xll.EQNXTDZ($A$1,$B16,J$1,$B$1)</f>
        <v>1.42</v>
      </c>
      <c r="K16">
        <f>_xll.EQNXTDZ($A$1,$B16,K$1,$B$1)</f>
        <v>1.63</v>
      </c>
      <c r="L16">
        <f>_xll.EQNXTDZ($A$1,$B16,L$1,$B$1)</f>
        <v>1.61</v>
      </c>
      <c r="M16">
        <f>_xll.EQNXTDZ($A$1,$B16,M$1,$B$1)</f>
        <v>1.94</v>
      </c>
      <c r="N16">
        <f>_xll.EQNXTDZ($A$1,$B16,N$1,$B$1)</f>
        <v>1.1100000000000001</v>
      </c>
      <c r="O16">
        <f>_xll.EQNXTDZ($A$1,$B16,O$1,$B$1)</f>
        <v>2.0099999999999998</v>
      </c>
      <c r="P16">
        <f>_xll.EQNXTDZ($A$1,$B16,P$1,$B$1)</f>
        <v>1.49</v>
      </c>
      <c r="Q16">
        <f>_xll.EQNXTDZ($A$1,$B16,Q$1,$B$1)</f>
        <v>1.36</v>
      </c>
      <c r="R16">
        <f>_xll.EQNXTDZ($A$1,$B16,R$1,$B$1)</f>
        <v>1.82</v>
      </c>
      <c r="S16">
        <f>_xll.EQNXTDZ($A$1,$B16,S$1,$B$1)</f>
        <v>1.77</v>
      </c>
      <c r="T16">
        <f>_xll.EQNXTDZ($A$1,$B16,T$1,$B$1)</f>
        <v>1.7</v>
      </c>
      <c r="U16">
        <f>_xll.EQNXTDZ($A$1,$B16,U$1,$B$1)</f>
        <v>1.62</v>
      </c>
      <c r="V16">
        <f>_xll.EQNXTDZ($A$1,$B16,V$1,$B$1)</f>
        <v>1.53</v>
      </c>
      <c r="W16">
        <f>_xll.EQNXTDZ($A$1,$B16,W$1,$B$1)</f>
        <v>1.74</v>
      </c>
      <c r="X16">
        <f>_xll.EQNXTDZ($A$1,$B16,X$1,$B$1)</f>
        <v>1.73</v>
      </c>
      <c r="Y16">
        <f>_xll.EQNXTDZ($A$1,$B16,Y$1,$B$1)</f>
        <v>1.99</v>
      </c>
      <c r="Z16">
        <f>_xll.EQNXTDZ($A$1,$B16,Z$1,$B$1)</f>
        <v>1.58</v>
      </c>
      <c r="AA16">
        <f>_xll.EQNXTDZ($A$1,$B16,AA$1,$B$1)</f>
        <v>1.72</v>
      </c>
      <c r="AB16">
        <f>_xll.EQNXTDZ($A$1,$B16,AB$1,$B$1)</f>
        <v>1.52</v>
      </c>
      <c r="AC16">
        <f>_xll.EQNXTDZ($A$1,$B16,AC$1,$B$1)</f>
        <v>1.78</v>
      </c>
      <c r="AD16">
        <f>_xll.EQNXTDZ($A$1,$B16,AD$1,$B$1)</f>
        <v>1.41</v>
      </c>
      <c r="AE16">
        <f>_xll.EQNXTDZ($A$1,$B16,AE$1,$B$1)</f>
        <v>1.55</v>
      </c>
      <c r="AF16">
        <f>_xll.EQNXTDZ($A$1,$B16,AF$1,$B$1)</f>
        <v>1.69</v>
      </c>
      <c r="AG16">
        <f>_xll.EQNXTDZ($A$1,$B16,AG$1,$B$1)</f>
        <v>1.62</v>
      </c>
      <c r="AH16">
        <f>_xll.EQNXTDZ($A$1,$B16,AH$1,$B$1)</f>
        <v>1.73</v>
      </c>
      <c r="AI16">
        <f>_xll.EQNXTDZ($A$1,$B16,AI$1,$B$1)</f>
        <v>1.81</v>
      </c>
      <c r="AJ16">
        <f>_xll.EQNXTDZ($A$1,$B16,AJ$1,$B$1)</f>
        <v>1.82</v>
      </c>
      <c r="AK16">
        <f>_xll.EQNXTDZ($A$1,$B16,AK$1,$B$1)</f>
        <v>1.95</v>
      </c>
      <c r="AL16">
        <f>_xll.EQNXTDZ($A$1,$B16,AL$1,$B$1)</f>
        <v>1.98</v>
      </c>
      <c r="AM16">
        <f>_xll.EQNXTDZ($A$1,$B16,AM$1,$B$1)</f>
        <v>2.77</v>
      </c>
      <c r="AN16">
        <f>_xll.EQNXTDZ($A$1,$B16,AN$1,$B$1)</f>
        <v>2.21</v>
      </c>
      <c r="AO16">
        <f>_xll.EQNXTDZ($A$1,$B16,AO$1,$B$1)</f>
        <v>2.14</v>
      </c>
      <c r="AP16">
        <f>_xll.EQNXTDZ($A$1,$B16,AP$1,$B$1)</f>
        <v>2.12</v>
      </c>
      <c r="AQ16">
        <f>_xll.EQNXTDZ($A$1,$B16,AQ$1,$B$1)</f>
        <v>3.14</v>
      </c>
      <c r="AR16">
        <f>_xll.EQNXTDZ($A$1,$B16,AR$1,$B$1)</f>
        <v>2.38</v>
      </c>
      <c r="AS16">
        <f>_xll.EQNXTDZ($A$1,$B16,AS$1,$B$1)</f>
        <v>3.39</v>
      </c>
      <c r="AT16">
        <f>_xll.EQNXTDZ($A$1,$B16,AT$1,$B$1)</f>
        <v>4.2300000000000004</v>
      </c>
      <c r="AU16">
        <f>_xll.EQNXTDZ($A$1,$B16,AU$1,$B$1)</f>
        <v>4.6500000000000004</v>
      </c>
      <c r="AV16">
        <f>_xll.EQNXTDZ($A$1,$B16,AV$1,$B$1)</f>
        <v>3.28</v>
      </c>
      <c r="AW16">
        <f>_xll.EQNXTDZ($A$1,$B16,AW$1,$B$1)</f>
        <v>3.77</v>
      </c>
      <c r="AX16">
        <f>_xll.EQNXTDZ($A$1,$B16,AX$1,$B$1)</f>
        <v>4.6900000000000004</v>
      </c>
      <c r="AY16">
        <f>_xll.EQNXTDZ($A$1,$B16,AY$1,$B$1)</f>
        <v>4.68</v>
      </c>
      <c r="AZ16">
        <f>_xll.EQNXTDZ($A$1,$B16,AZ$1,$B$1)</f>
        <v>4.3600000000000003</v>
      </c>
      <c r="BA16">
        <f>_xll.EQNXTDZ($A$1,$B16,BA$1,$B$1)</f>
        <v>4.8499999999999996</v>
      </c>
      <c r="BB16">
        <f>_xll.EQNXTDZ($A$1,$B16,BB$1,$B$1)</f>
        <v>5.19</v>
      </c>
      <c r="BC16">
        <f>_xll.EQNXTDZ($A$1,$B16,BC$1,$B$1)</f>
        <v>5.64</v>
      </c>
      <c r="BD16">
        <f>_xll.EQNXTDZ($A$1,$B16,BD$1,$B$1)</f>
        <v>4.66</v>
      </c>
      <c r="BE16">
        <f>_xll.EQNXTDZ($A$1,$B16,BE$1,$B$1)</f>
        <v>4.91</v>
      </c>
      <c r="BF16">
        <f>_xll.EQNXTDZ($A$1,$B16,BF$1,$B$1)</f>
        <v>4.46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2.5270000000000001</v>
      </c>
      <c r="D22">
        <f>_xll.EQNXTDZ($A$1,$B22,D$1,$B$1)</f>
        <v>2</v>
      </c>
      <c r="E22">
        <f>_xll.EQNXTDZ($A$1,$B22,E$1,$B$1)</f>
        <v>0.98999999999999799</v>
      </c>
      <c r="F22">
        <f>_xll.EQNXTDZ($A$1,$B22,F$1,$B$1)</f>
        <v>2.3660000000000001</v>
      </c>
      <c r="G22">
        <f>_xll.EQNXTDZ($A$1,$B22,G$1,$B$1)</f>
        <v>1.4830000000000001</v>
      </c>
      <c r="H22">
        <f>_xll.EQNXTDZ($A$1,$B22,H$1,$B$1)</f>
        <v>2.86</v>
      </c>
      <c r="I22">
        <f>_xll.EQNXTDZ($A$1,$B22,I$1,$B$1)</f>
        <v>4.47</v>
      </c>
      <c r="J22">
        <f>_xll.EQNXTDZ($A$1,$B22,J$1,$B$1)</f>
        <v>2.17</v>
      </c>
      <c r="K22">
        <f>_xll.EQNXTDZ($A$1,$B22,K$1,$B$1)</f>
        <v>1.62</v>
      </c>
      <c r="L22">
        <f>_xll.EQNXTDZ($A$1,$B22,L$1,$B$1)</f>
        <v>1.43</v>
      </c>
      <c r="M22">
        <f>_xll.EQNXTDZ($A$1,$B22,M$1,$B$1)</f>
        <v>-1.19</v>
      </c>
      <c r="N22">
        <f>_xll.EQNXTDZ($A$1,$B22,N$1,$B$1)</f>
        <v>0.310000000000002</v>
      </c>
      <c r="O22">
        <f>_xll.EQNXTDZ($A$1,$B22,O$1,$B$1)</f>
        <v>4.03</v>
      </c>
      <c r="P22">
        <f>_xll.EQNXTDZ($A$1,$B22,P$1,$B$1)</f>
        <v>4.74</v>
      </c>
      <c r="Q22">
        <f>_xll.EQNXTDZ($A$1,$B22,Q$1,$B$1)</f>
        <v>1.42</v>
      </c>
      <c r="R22">
        <f>_xll.EQNXTDZ($A$1,$B22,R$1,$B$1)</f>
        <v>-0.380000000000001</v>
      </c>
      <c r="S22">
        <f>_xll.EQNXTDZ($A$1,$B22,S$1,$B$1)</f>
        <v>1.5</v>
      </c>
      <c r="T22">
        <f>_xll.EQNXTDZ($A$1,$B22,T$1,$B$1)</f>
        <v>3.53</v>
      </c>
      <c r="U22">
        <f>_xll.EQNXTDZ($A$1,$B22,U$1,$B$1)</f>
        <v>2.9999999999995499E-2</v>
      </c>
      <c r="V22">
        <f>_xll.EQNXTDZ($A$1,$B22,V$1,$B$1)</f>
        <v>0.76000000000000201</v>
      </c>
      <c r="W22">
        <f>_xll.EQNXTDZ($A$1,$B22,W$1,$B$1)</f>
        <v>2.3199999999999998</v>
      </c>
      <c r="X22">
        <f>_xll.EQNXTDZ($A$1,$B22,X$1,$B$1)</f>
        <v>4.26</v>
      </c>
      <c r="Y22">
        <f>_xll.EQNXTDZ($A$1,$B22,Y$1,$B$1)</f>
        <v>3.65</v>
      </c>
      <c r="Z22">
        <f>_xll.EQNXTDZ($A$1,$B22,Z$1,$B$1)</f>
        <v>5.1100000000000003</v>
      </c>
      <c r="AA22">
        <f>_xll.EQNXTDZ($A$1,$B22,AA$1,$B$1)</f>
        <v>4.54</v>
      </c>
      <c r="AB22">
        <f>_xll.EQNXTDZ($A$1,$B22,AB$1,$B$1)</f>
        <v>3.88</v>
      </c>
      <c r="AC22">
        <f>_xll.EQNXTDZ($A$1,$B22,AC$1,$B$1)</f>
        <v>1.1200000000000001</v>
      </c>
      <c r="AD22">
        <f>_xll.EQNXTDZ($A$1,$B22,AD$1,$B$1)</f>
        <v>6.74</v>
      </c>
      <c r="AE22">
        <f>_xll.EQNXTDZ($A$1,$B22,AE$1,$B$1)</f>
        <v>3.42</v>
      </c>
      <c r="AF22">
        <f>_xll.EQNXTDZ($A$1,$B22,AF$1,$B$1)</f>
        <v>4.9800000000000004</v>
      </c>
      <c r="AG22">
        <f>_xll.EQNXTDZ($A$1,$B22,AG$1,$B$1)</f>
        <v>3.34</v>
      </c>
      <c r="AH22">
        <f>_xll.EQNXTDZ($A$1,$B22,AH$1,$B$1)</f>
        <v>5.12</v>
      </c>
      <c r="AI22">
        <f>_xll.EQNXTDZ($A$1,$B22,AI$1,$B$1)</f>
        <v>4.62</v>
      </c>
      <c r="AJ22">
        <f>_xll.EQNXTDZ($A$1,$B22,AJ$1,$B$1)</f>
        <v>8.81</v>
      </c>
      <c r="AK22">
        <f>_xll.EQNXTDZ($A$1,$B22,AK$1,$B$1)</f>
        <v>8.61</v>
      </c>
      <c r="AL22">
        <f>_xll.EQNXTDZ($A$1,$B22,AL$1,$B$1)</f>
        <v>7.38</v>
      </c>
      <c r="AM22">
        <f>_xll.EQNXTDZ($A$1,$B22,AM$1,$B$1)</f>
        <v>7.28</v>
      </c>
      <c r="AN22">
        <f>_xll.EQNXTDZ($A$1,$B22,AN$1,$B$1)</f>
        <v>8.9499999999999993</v>
      </c>
      <c r="AO22">
        <f>_xll.EQNXTDZ($A$1,$B22,AO$1,$B$1)</f>
        <v>8.14</v>
      </c>
      <c r="AP22">
        <f>_xll.EQNXTDZ($A$1,$B22,AP$1,$B$1)</f>
        <v>6.93</v>
      </c>
      <c r="AQ22">
        <f>_xll.EQNXTDZ($A$1,$B22,AQ$1,$B$1)</f>
        <v>8.46999999999999</v>
      </c>
      <c r="AR22">
        <f>_xll.EQNXTDZ($A$1,$B22,AR$1,$B$1)</f>
        <v>10.77</v>
      </c>
      <c r="AS22">
        <f>_xll.EQNXTDZ($A$1,$B22,AS$1,$B$1)</f>
        <v>4.59</v>
      </c>
      <c r="AT22">
        <f>_xll.EQNXTDZ($A$1,$B22,AT$1,$B$1)</f>
        <v>7.32</v>
      </c>
      <c r="AU22">
        <f>_xll.EQNXTDZ($A$1,$B22,AU$1,$B$1)</f>
        <v>8.67</v>
      </c>
      <c r="AV22">
        <f>_xll.EQNXTDZ($A$1,$B22,AV$1,$B$1)</f>
        <v>8.93</v>
      </c>
      <c r="AW22">
        <f>_xll.EQNXTDZ($A$1,$B22,AW$1,$B$1)</f>
        <v>10.67</v>
      </c>
      <c r="AX22">
        <f>_xll.EQNXTDZ($A$1,$B22,AX$1,$B$1)</f>
        <v>12.16</v>
      </c>
      <c r="AY22">
        <f>_xll.EQNXTDZ($A$1,$B22,AY$1,$B$1)</f>
        <v>7.7</v>
      </c>
      <c r="AZ22">
        <f>_xll.EQNXTDZ($A$1,$B22,AZ$1,$B$1)</f>
        <v>7.75</v>
      </c>
      <c r="BA22">
        <f>_xll.EQNXTDZ($A$1,$B22,BA$1,$B$1)</f>
        <v>6.79</v>
      </c>
      <c r="BB22">
        <f>_xll.EQNXTDZ($A$1,$B22,BB$1,$B$1)</f>
        <v>11.52</v>
      </c>
      <c r="BC22">
        <f>_xll.EQNXTDZ($A$1,$B22,BC$1,$B$1)</f>
        <v>12.62</v>
      </c>
      <c r="BD22">
        <f>_xll.EQNXTDZ($A$1,$B22,BD$1,$B$1)</f>
        <v>14.02</v>
      </c>
      <c r="BE22">
        <f>_xll.EQNXTDZ($A$1,$B22,BE$1,$B$1)</f>
        <v>9.08</v>
      </c>
      <c r="BF22">
        <f>_xll.EQNXTDZ($A$1,$B22,BF$1,$B$1)</f>
        <v>16.5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6.0000000000000001E-3</v>
      </c>
      <c r="D23">
        <f>_xll.EQNXTDZ($A$1,$B23,D$1,$B$1)</f>
        <v>0.02</v>
      </c>
      <c r="E23">
        <f>_xll.EQNXTDZ($A$1,$B23,E$1,$B$1)</f>
        <v>0.56999999999999995</v>
      </c>
      <c r="F23">
        <f>_xll.EQNXTDZ($A$1,$B23,F$1,$B$1)</f>
        <v>1.4E-2</v>
      </c>
      <c r="G23">
        <f>_xll.EQNXTDZ($A$1,$B23,G$1,$B$1)</f>
        <v>4.0000000000000001E-3</v>
      </c>
      <c r="H23">
        <f>_xll.EQNXTDZ($A$1,$B23,H$1,$B$1)</f>
        <v>0.21</v>
      </c>
      <c r="I23">
        <f>_xll.EQNXTDZ($A$1,$B23,I$1,$B$1)</f>
        <v>0.02</v>
      </c>
      <c r="J23">
        <f>_xll.EQNXTDZ($A$1,$B23,J$1,$B$1)</f>
        <v>0.09</v>
      </c>
      <c r="K23">
        <f>_xll.EQNXTDZ($A$1,$B23,K$1,$B$1)</f>
        <v>0.04</v>
      </c>
      <c r="L23">
        <f>_xll.EQNXTDZ($A$1,$B23,L$1,$B$1)</f>
        <v>-0.04</v>
      </c>
      <c r="M23">
        <f>_xll.EQNXTDZ($A$1,$B23,M$1,$B$1)</f>
        <v>0</v>
      </c>
      <c r="N23">
        <f>_xll.EQNXTDZ($A$1,$B23,N$1,$B$1)</f>
        <v>0.68</v>
      </c>
      <c r="O23">
        <f>_xll.EQNXTDZ($A$1,$B23,O$1,$B$1)</f>
        <v>7.0000000000000007E-2</v>
      </c>
      <c r="P23">
        <f>_xll.EQNXTDZ($A$1,$B23,P$1,$B$1)</f>
        <v>0.13</v>
      </c>
      <c r="Q23">
        <f>_xll.EQNXTDZ($A$1,$B23,Q$1,$B$1)</f>
        <v>0</v>
      </c>
      <c r="R23">
        <f>_xll.EQNXTDZ($A$1,$B23,R$1,$B$1)</f>
        <v>2.84</v>
      </c>
      <c r="S23">
        <f>_xll.EQNXTDZ($A$1,$B23,S$1,$B$1)</f>
        <v>1.35</v>
      </c>
      <c r="T23">
        <f>_xll.EQNXTDZ($A$1,$B23,T$1,$B$1)</f>
        <v>0</v>
      </c>
      <c r="U23">
        <f>_xll.EQNXTDZ($A$1,$B23,U$1,$B$1)</f>
        <v>0.17</v>
      </c>
      <c r="V23">
        <f>_xll.EQNXTDZ($A$1,$B23,V$1,$B$1)</f>
        <v>0.03</v>
      </c>
      <c r="W23">
        <f>_xll.EQNXTDZ($A$1,$B23,W$1,$B$1)</f>
        <v>0.62</v>
      </c>
      <c r="X23">
        <f>_xll.EQNXTDZ($A$1,$B23,X$1,$B$1)</f>
        <v>0.19</v>
      </c>
      <c r="Y23">
        <f>_xll.EQNXTDZ($A$1,$B23,Y$1,$B$1)</f>
        <v>0.67</v>
      </c>
      <c r="Z23">
        <f>_xll.EQNXTDZ($A$1,$B23,Z$1,$B$1)</f>
        <v>0.35</v>
      </c>
      <c r="AA23">
        <f>_xll.EQNXTDZ($A$1,$B23,AA$1,$B$1)</f>
        <v>1.4</v>
      </c>
      <c r="AB23">
        <f>_xll.EQNXTDZ($A$1,$B23,AB$1,$B$1)</f>
        <v>0.57999999999999996</v>
      </c>
      <c r="AC23">
        <f>_xll.EQNXTDZ($A$1,$B23,AC$1,$B$1)</f>
        <v>-0.01</v>
      </c>
      <c r="AD23">
        <f>_xll.EQNXTDZ($A$1,$B23,AD$1,$B$1)</f>
        <v>0.3</v>
      </c>
      <c r="AE23">
        <f>_xll.EQNXTDZ($A$1,$B23,AE$1,$B$1)</f>
        <v>0.33</v>
      </c>
      <c r="AF23">
        <f>_xll.EQNXTDZ($A$1,$B23,AF$1,$B$1)</f>
        <v>0.47</v>
      </c>
      <c r="AG23">
        <f>_xll.EQNXTDZ($A$1,$B23,AG$1,$B$1)</f>
        <v>0.09</v>
      </c>
      <c r="AH23">
        <f>_xll.EQNXTDZ($A$1,$B23,AH$1,$B$1)</f>
        <v>0.56000000000000005</v>
      </c>
      <c r="AI23">
        <f>_xll.EQNXTDZ($A$1,$B23,AI$1,$B$1)</f>
        <v>0.14000000000000001</v>
      </c>
      <c r="AJ23">
        <f>_xll.EQNXTDZ($A$1,$B23,AJ$1,$B$1)</f>
        <v>0.02</v>
      </c>
      <c r="AK23">
        <f>_xll.EQNXTDZ($A$1,$B23,AK$1,$B$1)</f>
        <v>0.08</v>
      </c>
      <c r="AL23">
        <f>_xll.EQNXTDZ($A$1,$B23,AL$1,$B$1)</f>
        <v>0.14000000000000001</v>
      </c>
      <c r="AM23">
        <f>_xll.EQNXTDZ($A$1,$B23,AM$1,$B$1)</f>
        <v>0.05</v>
      </c>
      <c r="AN23">
        <f>_xll.EQNXTDZ($A$1,$B23,AN$1,$B$1)</f>
        <v>0.14000000000000001</v>
      </c>
      <c r="AO23">
        <f>_xll.EQNXTDZ($A$1,$B23,AO$1,$B$1)</f>
        <v>0.01</v>
      </c>
      <c r="AP23">
        <f>_xll.EQNXTDZ($A$1,$B23,AP$1,$B$1)</f>
        <v>0.44</v>
      </c>
      <c r="AQ23">
        <f>_xll.EQNXTDZ($A$1,$B23,AQ$1,$B$1)</f>
        <v>0.18</v>
      </c>
      <c r="AR23">
        <f>_xll.EQNXTDZ($A$1,$B23,AR$1,$B$1)</f>
        <v>0.28000000000000003</v>
      </c>
      <c r="AS23">
        <f>_xll.EQNXTDZ($A$1,$B23,AS$1,$B$1)</f>
        <v>0.61</v>
      </c>
      <c r="AT23">
        <f>_xll.EQNXTDZ($A$1,$B23,AT$1,$B$1)</f>
        <v>0.75</v>
      </c>
      <c r="AU23">
        <f>_xll.EQNXTDZ($A$1,$B23,AU$1,$B$1)</f>
        <v>0.48</v>
      </c>
      <c r="AV23">
        <f>_xll.EQNXTDZ($A$1,$B23,AV$1,$B$1)</f>
        <v>0.27</v>
      </c>
      <c r="AW23">
        <f>_xll.EQNXTDZ($A$1,$B23,AW$1,$B$1)</f>
        <v>0.38</v>
      </c>
      <c r="AX23">
        <f>_xll.EQNXTDZ($A$1,$B23,AX$1,$B$1)</f>
        <v>0.35</v>
      </c>
      <c r="AY23">
        <f>_xll.EQNXTDZ($A$1,$B23,AY$1,$B$1)</f>
        <v>0.3</v>
      </c>
      <c r="AZ23">
        <f>_xll.EQNXTDZ($A$1,$B23,AZ$1,$B$1)</f>
        <v>1.38</v>
      </c>
      <c r="BA23">
        <f>_xll.EQNXTDZ($A$1,$B23,BA$1,$B$1)</f>
        <v>0.54</v>
      </c>
      <c r="BB23">
        <f>_xll.EQNXTDZ($A$1,$B23,BB$1,$B$1)</f>
        <v>0.93</v>
      </c>
      <c r="BC23">
        <f>_xll.EQNXTDZ($A$1,$B23,BC$1,$B$1)</f>
        <v>1.46</v>
      </c>
      <c r="BD23">
        <f>_xll.EQNXTDZ($A$1,$B23,BD$1,$B$1)</f>
        <v>0.28000000000000003</v>
      </c>
      <c r="BE23">
        <f>_xll.EQNXTDZ($A$1,$B23,BE$1,$B$1)</f>
        <v>0.93</v>
      </c>
      <c r="BF23">
        <f>_xll.EQNXTDZ($A$1,$B23,BF$1,$B$1)</f>
        <v>0.4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2.5329999999999999</v>
      </c>
      <c r="D24">
        <f>_xll.EQNXTDZ($A$1,$B24,D$1,$B$1)</f>
        <v>2.02</v>
      </c>
      <c r="E24">
        <f>_xll.EQNXTDZ($A$1,$B24,E$1,$B$1)</f>
        <v>1.56</v>
      </c>
      <c r="F24">
        <f>_xll.EQNXTDZ($A$1,$B24,F$1,$B$1)</f>
        <v>2.38</v>
      </c>
      <c r="G24">
        <f>_xll.EQNXTDZ($A$1,$B24,G$1,$B$1)</f>
        <v>1.4870000000000001</v>
      </c>
      <c r="H24">
        <f>_xll.EQNXTDZ($A$1,$B24,H$1,$B$1)</f>
        <v>3.07</v>
      </c>
      <c r="I24">
        <f>_xll.EQNXTDZ($A$1,$B24,I$1,$B$1)</f>
        <v>4.49</v>
      </c>
      <c r="J24">
        <f>_xll.EQNXTDZ($A$1,$B24,J$1,$B$1)</f>
        <v>2.2599999999999998</v>
      </c>
      <c r="K24">
        <f>_xll.EQNXTDZ($A$1,$B24,K$1,$B$1)</f>
        <v>1.66</v>
      </c>
      <c r="L24">
        <f>_xll.EQNXTDZ($A$1,$B24,L$1,$B$1)</f>
        <v>1.39</v>
      </c>
      <c r="M24">
        <f>_xll.EQNXTDZ($A$1,$B24,M$1,$B$1)</f>
        <v>-1.19</v>
      </c>
      <c r="N24">
        <f>_xll.EQNXTDZ($A$1,$B24,N$1,$B$1)</f>
        <v>0.99</v>
      </c>
      <c r="O24">
        <f>_xll.EQNXTDZ($A$1,$B24,O$1,$B$1)</f>
        <v>4.0999999999999996</v>
      </c>
      <c r="P24">
        <f>_xll.EQNXTDZ($A$1,$B24,P$1,$B$1)</f>
        <v>4.87</v>
      </c>
      <c r="Q24">
        <f>_xll.EQNXTDZ($A$1,$B24,Q$1,$B$1)</f>
        <v>1.42</v>
      </c>
      <c r="R24">
        <f>_xll.EQNXTDZ($A$1,$B24,R$1,$B$1)</f>
        <v>2.46</v>
      </c>
      <c r="S24">
        <f>_xll.EQNXTDZ($A$1,$B24,S$1,$B$1)</f>
        <v>2.85</v>
      </c>
      <c r="T24">
        <f>_xll.EQNXTDZ($A$1,$B24,T$1,$B$1)</f>
        <v>3.53</v>
      </c>
      <c r="U24">
        <f>_xll.EQNXTDZ($A$1,$B24,U$1,$B$1)</f>
        <v>0.2</v>
      </c>
      <c r="V24">
        <f>_xll.EQNXTDZ($A$1,$B24,V$1,$B$1)</f>
        <v>0.79</v>
      </c>
      <c r="W24">
        <f>_xll.EQNXTDZ($A$1,$B24,W$1,$B$1)</f>
        <v>2.94</v>
      </c>
      <c r="X24">
        <f>_xll.EQNXTDZ($A$1,$B24,X$1,$B$1)</f>
        <v>4.45</v>
      </c>
      <c r="Y24">
        <f>_xll.EQNXTDZ($A$1,$B24,Y$1,$B$1)</f>
        <v>4.32</v>
      </c>
      <c r="Z24">
        <f>_xll.EQNXTDZ($A$1,$B24,Z$1,$B$1)</f>
        <v>5.46</v>
      </c>
      <c r="AA24">
        <f>_xll.EQNXTDZ($A$1,$B24,AA$1,$B$1)</f>
        <v>5.94</v>
      </c>
      <c r="AB24">
        <f>_xll.EQNXTDZ($A$1,$B24,AB$1,$B$1)</f>
        <v>4.4600000000000097</v>
      </c>
      <c r="AC24">
        <f>_xll.EQNXTDZ($A$1,$B24,AC$1,$B$1)</f>
        <v>1.1100000000000001</v>
      </c>
      <c r="AD24">
        <f>_xll.EQNXTDZ($A$1,$B24,AD$1,$B$1)</f>
        <v>7.04</v>
      </c>
      <c r="AE24">
        <f>_xll.EQNXTDZ($A$1,$B24,AE$1,$B$1)</f>
        <v>3.75</v>
      </c>
      <c r="AF24">
        <f>_xll.EQNXTDZ($A$1,$B24,AF$1,$B$1)</f>
        <v>5.45</v>
      </c>
      <c r="AG24">
        <f>_xll.EQNXTDZ($A$1,$B24,AG$1,$B$1)</f>
        <v>3.43</v>
      </c>
      <c r="AH24">
        <f>_xll.EQNXTDZ($A$1,$B24,AH$1,$B$1)</f>
        <v>5.68</v>
      </c>
      <c r="AI24">
        <f>_xll.EQNXTDZ($A$1,$B24,AI$1,$B$1)</f>
        <v>4.76</v>
      </c>
      <c r="AJ24">
        <f>_xll.EQNXTDZ($A$1,$B24,AJ$1,$B$1)</f>
        <v>8.83</v>
      </c>
      <c r="AK24">
        <f>_xll.EQNXTDZ($A$1,$B24,AK$1,$B$1)</f>
        <v>8.69</v>
      </c>
      <c r="AL24">
        <f>_xll.EQNXTDZ($A$1,$B24,AL$1,$B$1)</f>
        <v>7.52</v>
      </c>
      <c r="AM24">
        <f>_xll.EQNXTDZ($A$1,$B24,AM$1,$B$1)</f>
        <v>7.33</v>
      </c>
      <c r="AN24">
        <f>_xll.EQNXTDZ($A$1,$B24,AN$1,$B$1)</f>
        <v>9.09</v>
      </c>
      <c r="AO24">
        <f>_xll.EQNXTDZ($A$1,$B24,AO$1,$B$1)</f>
        <v>8.15</v>
      </c>
      <c r="AP24">
        <f>_xll.EQNXTDZ($A$1,$B24,AP$1,$B$1)</f>
        <v>7.3699999999999903</v>
      </c>
      <c r="AQ24">
        <f>_xll.EQNXTDZ($A$1,$B24,AQ$1,$B$1)</f>
        <v>8.65</v>
      </c>
      <c r="AR24">
        <f>_xll.EQNXTDZ($A$1,$B24,AR$1,$B$1)</f>
        <v>11.05</v>
      </c>
      <c r="AS24">
        <f>_xll.EQNXTDZ($A$1,$B24,AS$1,$B$1)</f>
        <v>5.2</v>
      </c>
      <c r="AT24">
        <f>_xll.EQNXTDZ($A$1,$B24,AT$1,$B$1)</f>
        <v>8.07</v>
      </c>
      <c r="AU24">
        <f>_xll.EQNXTDZ($A$1,$B24,AU$1,$B$1)</f>
        <v>9.1500000000000092</v>
      </c>
      <c r="AV24">
        <f>_xll.EQNXTDZ($A$1,$B24,AV$1,$B$1)</f>
        <v>9.1999999999999993</v>
      </c>
      <c r="AW24">
        <f>_xll.EQNXTDZ($A$1,$B24,AW$1,$B$1)</f>
        <v>11.05</v>
      </c>
      <c r="AX24">
        <f>_xll.EQNXTDZ($A$1,$B24,AX$1,$B$1)</f>
        <v>12.51</v>
      </c>
      <c r="AY24">
        <f>_xll.EQNXTDZ($A$1,$B24,AY$1,$B$1)</f>
        <v>8</v>
      </c>
      <c r="AZ24">
        <f>_xll.EQNXTDZ($A$1,$B24,AZ$1,$B$1)</f>
        <v>9.1300000000000008</v>
      </c>
      <c r="BA24">
        <f>_xll.EQNXTDZ($A$1,$B24,BA$1,$B$1)</f>
        <v>7.33</v>
      </c>
      <c r="BB24">
        <f>_xll.EQNXTDZ($A$1,$B24,BB$1,$B$1)</f>
        <v>12.45</v>
      </c>
      <c r="BC24">
        <f>_xll.EQNXTDZ($A$1,$B24,BC$1,$B$1)</f>
        <v>14.08</v>
      </c>
      <c r="BD24">
        <f>_xll.EQNXTDZ($A$1,$B24,BD$1,$B$1)</f>
        <v>14.3</v>
      </c>
      <c r="BE24">
        <f>_xll.EQNXTDZ($A$1,$B24,BE$1,$B$1)</f>
        <v>10.01</v>
      </c>
      <c r="BF24">
        <f>_xll.EQNXTDZ($A$1,$B24,BF$1,$B$1)</f>
        <v>16.899999999999999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1.274</v>
      </c>
      <c r="D25">
        <f>_xll.EQNXTDZ($A$1,$B25,D$1,$B$1)</f>
        <v>1.08</v>
      </c>
      <c r="E25">
        <f>_xll.EQNXTDZ($A$1,$B25,E$1,$B$1)</f>
        <v>1.47</v>
      </c>
      <c r="F25">
        <f>_xll.EQNXTDZ($A$1,$B25,F$1,$B$1)</f>
        <v>1.109</v>
      </c>
      <c r="G25">
        <f>_xll.EQNXTDZ($A$1,$B25,G$1,$B$1)</f>
        <v>1.0229999999999999</v>
      </c>
      <c r="H25">
        <f>_xll.EQNXTDZ($A$1,$B25,H$1,$B$1)</f>
        <v>0.97</v>
      </c>
      <c r="I25">
        <f>_xll.EQNXTDZ($A$1,$B25,I$1,$B$1)</f>
        <v>0.8</v>
      </c>
      <c r="J25">
        <f>_xll.EQNXTDZ($A$1,$B25,J$1,$B$1)</f>
        <v>0.82</v>
      </c>
      <c r="K25">
        <f>_xll.EQNXTDZ($A$1,$B25,K$1,$B$1)</f>
        <v>0.88</v>
      </c>
      <c r="L25">
        <f>_xll.EQNXTDZ($A$1,$B25,L$1,$B$1)</f>
        <v>0.9</v>
      </c>
      <c r="M25">
        <f>_xll.EQNXTDZ($A$1,$B25,M$1,$B$1)</f>
        <v>0.8</v>
      </c>
      <c r="N25">
        <f>_xll.EQNXTDZ($A$1,$B25,N$1,$B$1)</f>
        <v>0.91</v>
      </c>
      <c r="O25">
        <f>_xll.EQNXTDZ($A$1,$B25,O$1,$B$1)</f>
        <v>1.62</v>
      </c>
      <c r="P25">
        <f>_xll.EQNXTDZ($A$1,$B25,P$1,$B$1)</f>
        <v>3.99</v>
      </c>
      <c r="Q25">
        <f>_xll.EQNXTDZ($A$1,$B25,Q$1,$B$1)</f>
        <v>2.52</v>
      </c>
      <c r="R25">
        <f>_xll.EQNXTDZ($A$1,$B25,R$1,$B$1)</f>
        <v>2.67</v>
      </c>
      <c r="S25">
        <f>_xll.EQNXTDZ($A$1,$B25,S$1,$B$1)</f>
        <v>2.34</v>
      </c>
      <c r="T25">
        <f>_xll.EQNXTDZ($A$1,$B25,T$1,$B$1)</f>
        <v>2.5499999999999998</v>
      </c>
      <c r="U25">
        <f>_xll.EQNXTDZ($A$1,$B25,U$1,$B$1)</f>
        <v>2.2000000000000002</v>
      </c>
      <c r="V25">
        <f>_xll.EQNXTDZ($A$1,$B25,V$1,$B$1)</f>
        <v>2.23</v>
      </c>
      <c r="W25">
        <f>_xll.EQNXTDZ($A$1,$B25,W$1,$B$1)</f>
        <v>2.41</v>
      </c>
      <c r="X25">
        <f>_xll.EQNXTDZ($A$1,$B25,X$1,$B$1)</f>
        <v>2.48</v>
      </c>
      <c r="Y25">
        <f>_xll.EQNXTDZ($A$1,$B25,Y$1,$B$1)</f>
        <v>2.4900000000000002</v>
      </c>
      <c r="Z25">
        <f>_xll.EQNXTDZ($A$1,$B25,Z$1,$B$1)</f>
        <v>2.31</v>
      </c>
      <c r="AA25">
        <f>_xll.EQNXTDZ($A$1,$B25,AA$1,$B$1)</f>
        <v>2.54</v>
      </c>
      <c r="AB25">
        <f>_xll.EQNXTDZ($A$1,$B25,AB$1,$B$1)</f>
        <v>2.66</v>
      </c>
      <c r="AC25">
        <f>_xll.EQNXTDZ($A$1,$B25,AC$1,$B$1)</f>
        <v>2.74</v>
      </c>
      <c r="AD25">
        <f>_xll.EQNXTDZ($A$1,$B25,AD$1,$B$1)</f>
        <v>2.77</v>
      </c>
      <c r="AE25">
        <f>_xll.EQNXTDZ($A$1,$B25,AE$1,$B$1)</f>
        <v>2.75</v>
      </c>
      <c r="AF25">
        <f>_xll.EQNXTDZ($A$1,$B25,AF$1,$B$1)</f>
        <v>2.46</v>
      </c>
      <c r="AG25">
        <f>_xll.EQNXTDZ($A$1,$B25,AG$1,$B$1)</f>
        <v>2.3199999999999998</v>
      </c>
      <c r="AH25">
        <f>_xll.EQNXTDZ($A$1,$B25,AH$1,$B$1)</f>
        <v>2.4700000000000002</v>
      </c>
      <c r="AI25">
        <f>_xll.EQNXTDZ($A$1,$B25,AI$1,$B$1)</f>
        <v>2.1800000000000002</v>
      </c>
      <c r="AJ25">
        <f>_xll.EQNXTDZ($A$1,$B25,AJ$1,$B$1)</f>
        <v>1.98</v>
      </c>
      <c r="AK25">
        <f>_xll.EQNXTDZ($A$1,$B25,AK$1,$B$1)</f>
        <v>1.79</v>
      </c>
      <c r="AL25">
        <f>_xll.EQNXTDZ($A$1,$B25,AL$1,$B$1)</f>
        <v>1.42</v>
      </c>
      <c r="AM25">
        <f>_xll.EQNXTDZ($A$1,$B25,AM$1,$B$1)</f>
        <v>1.17</v>
      </c>
      <c r="AN25">
        <f>_xll.EQNXTDZ($A$1,$B25,AN$1,$B$1)</f>
        <v>1.1100000000000001</v>
      </c>
      <c r="AO25">
        <f>_xll.EQNXTDZ($A$1,$B25,AO$1,$B$1)</f>
        <v>1.1200000000000001</v>
      </c>
      <c r="AP25">
        <f>_xll.EQNXTDZ($A$1,$B25,AP$1,$B$1)</f>
        <v>1.38</v>
      </c>
      <c r="AQ25">
        <f>_xll.EQNXTDZ($A$1,$B25,AQ$1,$B$1)</f>
        <v>2.1</v>
      </c>
      <c r="AR25">
        <f>_xll.EQNXTDZ($A$1,$B25,AR$1,$B$1)</f>
        <v>1.53</v>
      </c>
      <c r="AS25">
        <f>_xll.EQNXTDZ($A$1,$B25,AS$1,$B$1)</f>
        <v>1.88</v>
      </c>
      <c r="AT25">
        <f>_xll.EQNXTDZ($A$1,$B25,AT$1,$B$1)</f>
        <v>1.93</v>
      </c>
      <c r="AU25">
        <f>_xll.EQNXTDZ($A$1,$B25,AU$1,$B$1)</f>
        <v>1.91</v>
      </c>
      <c r="AV25">
        <f>_xll.EQNXTDZ($A$1,$B25,AV$1,$B$1)</f>
        <v>1.88</v>
      </c>
      <c r="AW25">
        <f>_xll.EQNXTDZ($A$1,$B25,AW$1,$B$1)</f>
        <v>1.9</v>
      </c>
      <c r="AX25">
        <f>_xll.EQNXTDZ($A$1,$B25,AX$1,$B$1)</f>
        <v>2.1</v>
      </c>
      <c r="AY25">
        <f>_xll.EQNXTDZ($A$1,$B25,AY$1,$B$1)</f>
        <v>2.04</v>
      </c>
      <c r="AZ25">
        <f>_xll.EQNXTDZ($A$1,$B25,AZ$1,$B$1)</f>
        <v>2.29</v>
      </c>
      <c r="BA25">
        <f>_xll.EQNXTDZ($A$1,$B25,BA$1,$B$1)</f>
        <v>2.42</v>
      </c>
      <c r="BB25">
        <f>_xll.EQNXTDZ($A$1,$B25,BB$1,$B$1)</f>
        <v>2.35</v>
      </c>
      <c r="BC25">
        <f>_xll.EQNXTDZ($A$1,$B25,BC$1,$B$1)</f>
        <v>2.27</v>
      </c>
      <c r="BD25">
        <f>_xll.EQNXTDZ($A$1,$B25,BD$1,$B$1)</f>
        <v>1.96</v>
      </c>
      <c r="BE25">
        <f>_xll.EQNXTDZ($A$1,$B25,BE$1,$B$1)</f>
        <v>0.74</v>
      </c>
      <c r="BF25">
        <f>_xll.EQNXTDZ($A$1,$B25,BF$1,$B$1)</f>
        <v>0.06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-1.36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-0.37</v>
      </c>
      <c r="AE26">
        <f>_xll.EQNXTDZ($A$1,$B26,AE$1,$B$1)</f>
        <v>0</v>
      </c>
      <c r="AF26">
        <f>_xll.EQNXTDZ($A$1,$B26,AF$1,$B$1)</f>
        <v>-0.17</v>
      </c>
      <c r="AG26">
        <f>_xll.EQNXTDZ($A$1,$B26,AG$1,$B$1)</f>
        <v>-0.73</v>
      </c>
      <c r="AH26">
        <f>_xll.EQNXTDZ($A$1,$B26,AH$1,$B$1)</f>
        <v>-0.14000000000000001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17.82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1.2589999999999999</v>
      </c>
      <c r="D27">
        <f>_xll.EQNXTDZ($A$1,$B27,D$1,$B$1)</f>
        <v>0.94</v>
      </c>
      <c r="E27">
        <f>_xll.EQNXTDZ($A$1,$B27,E$1,$B$1)</f>
        <v>0.09</v>
      </c>
      <c r="F27">
        <f>_xll.EQNXTDZ($A$1,$B27,F$1,$B$1)</f>
        <v>1.2709999999999999</v>
      </c>
      <c r="G27">
        <f>_xll.EQNXTDZ($A$1,$B27,G$1,$B$1)</f>
        <v>0.46400000000000002</v>
      </c>
      <c r="H27">
        <f>_xll.EQNXTDZ($A$1,$B27,H$1,$B$1)</f>
        <v>2.1</v>
      </c>
      <c r="I27">
        <f>_xll.EQNXTDZ($A$1,$B27,I$1,$B$1)</f>
        <v>3.69</v>
      </c>
      <c r="J27">
        <f>_xll.EQNXTDZ($A$1,$B27,J$1,$B$1)</f>
        <v>1.44</v>
      </c>
      <c r="K27">
        <f>_xll.EQNXTDZ($A$1,$B27,K$1,$B$1)</f>
        <v>0.78</v>
      </c>
      <c r="L27">
        <f>_xll.EQNXTDZ($A$1,$B27,L$1,$B$1)</f>
        <v>0.49</v>
      </c>
      <c r="M27">
        <f>_xll.EQNXTDZ($A$1,$B27,M$1,$B$1)</f>
        <v>-1.99</v>
      </c>
      <c r="N27">
        <f>_xll.EQNXTDZ($A$1,$B27,N$1,$B$1)</f>
        <v>0.08</v>
      </c>
      <c r="O27">
        <f>_xll.EQNXTDZ($A$1,$B27,O$1,$B$1)</f>
        <v>2.48</v>
      </c>
      <c r="P27">
        <f>_xll.EQNXTDZ($A$1,$B27,P$1,$B$1)</f>
        <v>0.88</v>
      </c>
      <c r="Q27">
        <f>_xll.EQNXTDZ($A$1,$B27,Q$1,$B$1)</f>
        <v>-1.1000000000000001</v>
      </c>
      <c r="R27">
        <f>_xll.EQNXTDZ($A$1,$B27,R$1,$B$1)</f>
        <v>-0.21</v>
      </c>
      <c r="S27">
        <f>_xll.EQNXTDZ($A$1,$B27,S$1,$B$1)</f>
        <v>0.51</v>
      </c>
      <c r="T27">
        <f>_xll.EQNXTDZ($A$1,$B27,T$1,$B$1)</f>
        <v>0.98</v>
      </c>
      <c r="U27">
        <f>_xll.EQNXTDZ($A$1,$B27,U$1,$B$1)</f>
        <v>-2</v>
      </c>
      <c r="V27">
        <f>_xll.EQNXTDZ($A$1,$B27,V$1,$B$1)</f>
        <v>-1.44</v>
      </c>
      <c r="W27">
        <f>_xll.EQNXTDZ($A$1,$B27,W$1,$B$1)</f>
        <v>0.53</v>
      </c>
      <c r="X27">
        <f>_xll.EQNXTDZ($A$1,$B27,X$1,$B$1)</f>
        <v>1.97</v>
      </c>
      <c r="Y27">
        <f>_xll.EQNXTDZ($A$1,$B27,Y$1,$B$1)</f>
        <v>1.83</v>
      </c>
      <c r="Z27">
        <f>_xll.EQNXTDZ($A$1,$B27,Z$1,$B$1)</f>
        <v>3.15</v>
      </c>
      <c r="AA27">
        <f>_xll.EQNXTDZ($A$1,$B27,AA$1,$B$1)</f>
        <v>2.04</v>
      </c>
      <c r="AB27">
        <f>_xll.EQNXTDZ($A$1,$B27,AB$1,$B$1)</f>
        <v>1.80000000000001</v>
      </c>
      <c r="AC27">
        <f>_xll.EQNXTDZ($A$1,$B27,AC$1,$B$1)</f>
        <v>-1.63</v>
      </c>
      <c r="AD27">
        <f>_xll.EQNXTDZ($A$1,$B27,AD$1,$B$1)</f>
        <v>3.9</v>
      </c>
      <c r="AE27">
        <f>_xll.EQNXTDZ($A$1,$B27,AE$1,$B$1)</f>
        <v>1</v>
      </c>
      <c r="AF27">
        <f>_xll.EQNXTDZ($A$1,$B27,AF$1,$B$1)</f>
        <v>2.82</v>
      </c>
      <c r="AG27">
        <f>_xll.EQNXTDZ($A$1,$B27,AG$1,$B$1)</f>
        <v>0.380000000000001</v>
      </c>
      <c r="AH27">
        <f>_xll.EQNXTDZ($A$1,$B27,AH$1,$B$1)</f>
        <v>3.07</v>
      </c>
      <c r="AI27">
        <f>_xll.EQNXTDZ($A$1,$B27,AI$1,$B$1)</f>
        <v>2.58</v>
      </c>
      <c r="AJ27">
        <f>_xll.EQNXTDZ($A$1,$B27,AJ$1,$B$1)</f>
        <v>6.85</v>
      </c>
      <c r="AK27">
        <f>_xll.EQNXTDZ($A$1,$B27,AK$1,$B$1)</f>
        <v>6.9</v>
      </c>
      <c r="AL27">
        <f>_xll.EQNXTDZ($A$1,$B27,AL$1,$B$1)</f>
        <v>6.1</v>
      </c>
      <c r="AM27">
        <f>_xll.EQNXTDZ($A$1,$B27,AM$1,$B$1)</f>
        <v>23.98</v>
      </c>
      <c r="AN27">
        <f>_xll.EQNXTDZ($A$1,$B27,AN$1,$B$1)</f>
        <v>7.98</v>
      </c>
      <c r="AO27">
        <f>_xll.EQNXTDZ($A$1,$B27,AO$1,$B$1)</f>
        <v>7.03</v>
      </c>
      <c r="AP27">
        <f>_xll.EQNXTDZ($A$1,$B27,AP$1,$B$1)</f>
        <v>5.9899999999999904</v>
      </c>
      <c r="AQ27">
        <f>_xll.EQNXTDZ($A$1,$B27,AQ$1,$B$1)</f>
        <v>6.55</v>
      </c>
      <c r="AR27">
        <f>_xll.EQNXTDZ($A$1,$B27,AR$1,$B$1)</f>
        <v>9.52</v>
      </c>
      <c r="AS27">
        <f>_xll.EQNXTDZ($A$1,$B27,AS$1,$B$1)</f>
        <v>3.32</v>
      </c>
      <c r="AT27">
        <f>_xll.EQNXTDZ($A$1,$B27,AT$1,$B$1)</f>
        <v>6.14</v>
      </c>
      <c r="AU27">
        <f>_xll.EQNXTDZ($A$1,$B27,AU$1,$B$1)</f>
        <v>7.24000000000001</v>
      </c>
      <c r="AV27">
        <f>_xll.EQNXTDZ($A$1,$B27,AV$1,$B$1)</f>
        <v>7.32</v>
      </c>
      <c r="AW27">
        <f>_xll.EQNXTDZ($A$1,$B27,AW$1,$B$1)</f>
        <v>9.15</v>
      </c>
      <c r="AX27">
        <f>_xll.EQNXTDZ($A$1,$B27,AX$1,$B$1)</f>
        <v>10.41</v>
      </c>
      <c r="AY27">
        <f>_xll.EQNXTDZ($A$1,$B27,AY$1,$B$1)</f>
        <v>5.96</v>
      </c>
      <c r="AZ27">
        <f>_xll.EQNXTDZ($A$1,$B27,AZ$1,$B$1)</f>
        <v>6.8399999999999901</v>
      </c>
      <c r="BA27">
        <f>_xll.EQNXTDZ($A$1,$B27,BA$1,$B$1)</f>
        <v>4.91</v>
      </c>
      <c r="BB27">
        <f>_xll.EQNXTDZ($A$1,$B27,BB$1,$B$1)</f>
        <v>10.1</v>
      </c>
      <c r="BC27">
        <f>_xll.EQNXTDZ($A$1,$B27,BC$1,$B$1)</f>
        <v>11.81</v>
      </c>
      <c r="BD27">
        <f>_xll.EQNXTDZ($A$1,$B27,BD$1,$B$1)</f>
        <v>12.34</v>
      </c>
      <c r="BE27">
        <f>_xll.EQNXTDZ($A$1,$B27,BE$1,$B$1)</f>
        <v>9.2699999999999907</v>
      </c>
      <c r="BF27">
        <f>_xll.EQNXTDZ($A$1,$B27,BF$1,$B$1)</f>
        <v>16.84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0.61799999999999999</v>
      </c>
      <c r="D28">
        <f>_xll.EQNXTDZ($A$1,$B28,D$1,$B$1)</f>
        <v>0.64</v>
      </c>
      <c r="E28">
        <f>_xll.EQNXTDZ($A$1,$B28,E$1,$B$1)</f>
        <v>0.61</v>
      </c>
      <c r="F28">
        <f>_xll.EQNXTDZ($A$1,$B28,F$1,$B$1)</f>
        <v>0.61699999999999999</v>
      </c>
      <c r="G28">
        <f>_xll.EQNXTDZ($A$1,$B28,G$1,$B$1)</f>
        <v>0.70399999999999996</v>
      </c>
      <c r="H28">
        <f>_xll.EQNXTDZ($A$1,$B28,H$1,$B$1)</f>
        <v>0.71</v>
      </c>
      <c r="I28">
        <f>_xll.EQNXTDZ($A$1,$B28,I$1,$B$1)</f>
        <v>0.73</v>
      </c>
      <c r="J28">
        <f>_xll.EQNXTDZ($A$1,$B28,J$1,$B$1)</f>
        <v>0.16</v>
      </c>
      <c r="K28">
        <f>_xll.EQNXTDZ($A$1,$B28,K$1,$B$1)</f>
        <v>0.66</v>
      </c>
      <c r="L28">
        <f>_xll.EQNXTDZ($A$1,$B28,L$1,$B$1)</f>
        <v>0.96</v>
      </c>
      <c r="M28">
        <f>_xll.EQNXTDZ($A$1,$B28,M$1,$B$1)</f>
        <v>0.83</v>
      </c>
      <c r="N28">
        <f>_xll.EQNXTDZ($A$1,$B28,N$1,$B$1)</f>
        <v>0.82</v>
      </c>
      <c r="O28">
        <f>_xll.EQNXTDZ($A$1,$B28,O$1,$B$1)</f>
        <v>1.21</v>
      </c>
      <c r="P28">
        <f>_xll.EQNXTDZ($A$1,$B28,P$1,$B$1)</f>
        <v>1.39</v>
      </c>
      <c r="Q28">
        <f>_xll.EQNXTDZ($A$1,$B28,Q$1,$B$1)</f>
        <v>1.27</v>
      </c>
      <c r="R28">
        <f>_xll.EQNXTDZ($A$1,$B28,R$1,$B$1)</f>
        <v>1.61</v>
      </c>
      <c r="S28">
        <f>_xll.EQNXTDZ($A$1,$B28,S$1,$B$1)</f>
        <v>1.53</v>
      </c>
      <c r="T28">
        <f>_xll.EQNXTDZ($A$1,$B28,T$1,$B$1)</f>
        <v>1.5</v>
      </c>
      <c r="U28">
        <f>_xll.EQNXTDZ($A$1,$B28,U$1,$B$1)</f>
        <v>1.48</v>
      </c>
      <c r="V28">
        <f>_xll.EQNXTDZ($A$1,$B28,V$1,$B$1)</f>
        <v>1.48</v>
      </c>
      <c r="W28">
        <f>_xll.EQNXTDZ($A$1,$B28,W$1,$B$1)</f>
        <v>1.47</v>
      </c>
      <c r="X28">
        <f>_xll.EQNXTDZ($A$1,$B28,X$1,$B$1)</f>
        <v>1.51</v>
      </c>
      <c r="Y28">
        <f>_xll.EQNXTDZ($A$1,$B28,Y$1,$B$1)</f>
        <v>1.5</v>
      </c>
      <c r="Z28">
        <f>_xll.EQNXTDZ($A$1,$B28,Z$1,$B$1)</f>
        <v>1.48</v>
      </c>
      <c r="AA28">
        <f>_xll.EQNXTDZ($A$1,$B28,AA$1,$B$1)</f>
        <v>1.47</v>
      </c>
      <c r="AB28">
        <f>_xll.EQNXTDZ($A$1,$B28,AB$1,$B$1)</f>
        <v>1.49</v>
      </c>
      <c r="AC28">
        <f>_xll.EQNXTDZ($A$1,$B28,AC$1,$B$1)</f>
        <v>1.46</v>
      </c>
      <c r="AD28">
        <f>_xll.EQNXTDZ($A$1,$B28,AD$1,$B$1)</f>
        <v>1.44</v>
      </c>
      <c r="AE28">
        <f>_xll.EQNXTDZ($A$1,$B28,AE$1,$B$1)</f>
        <v>1.43</v>
      </c>
      <c r="AF28">
        <f>_xll.EQNXTDZ($A$1,$B28,AF$1,$B$1)</f>
        <v>1.44</v>
      </c>
      <c r="AG28">
        <f>_xll.EQNXTDZ($A$1,$B28,AG$1,$B$1)</f>
        <v>1.55</v>
      </c>
      <c r="AH28">
        <f>_xll.EQNXTDZ($A$1,$B28,AH$1,$B$1)</f>
        <v>1.67</v>
      </c>
      <c r="AI28">
        <f>_xll.EQNXTDZ($A$1,$B28,AI$1,$B$1)</f>
        <v>1.45</v>
      </c>
      <c r="AJ28">
        <f>_xll.EQNXTDZ($A$1,$B28,AJ$1,$B$1)</f>
        <v>1.46</v>
      </c>
      <c r="AK28">
        <f>_xll.EQNXTDZ($A$1,$B28,AK$1,$B$1)</f>
        <v>1.46</v>
      </c>
      <c r="AL28">
        <f>_xll.EQNXTDZ($A$1,$B28,AL$1,$B$1)</f>
        <v>1.42</v>
      </c>
      <c r="AM28">
        <f>_xll.EQNXTDZ($A$1,$B28,AM$1,$B$1)</f>
        <v>1.44</v>
      </c>
      <c r="AN28">
        <f>_xll.EQNXTDZ($A$1,$B28,AN$1,$B$1)</f>
        <v>1.43</v>
      </c>
      <c r="AO28">
        <f>_xll.EQNXTDZ($A$1,$B28,AO$1,$B$1)</f>
        <v>1.43</v>
      </c>
      <c r="AP28">
        <f>_xll.EQNXTDZ($A$1,$B28,AP$1,$B$1)</f>
        <v>1.51</v>
      </c>
      <c r="AQ28">
        <f>_xll.EQNXTDZ($A$1,$B28,AQ$1,$B$1)</f>
        <v>1.52</v>
      </c>
      <c r="AR28">
        <f>_xll.EQNXTDZ($A$1,$B28,AR$1,$B$1)</f>
        <v>1.72</v>
      </c>
      <c r="AS28">
        <f>_xll.EQNXTDZ($A$1,$B28,AS$1,$B$1)</f>
        <v>1.57</v>
      </c>
      <c r="AT28">
        <f>_xll.EQNXTDZ($A$1,$B28,AT$1,$B$1)</f>
        <v>1.64</v>
      </c>
      <c r="AU28">
        <f>_xll.EQNXTDZ($A$1,$B28,AU$1,$B$1)</f>
        <v>1.83</v>
      </c>
      <c r="AV28">
        <f>_xll.EQNXTDZ($A$1,$B28,AV$1,$B$1)</f>
        <v>1.85</v>
      </c>
      <c r="AW28">
        <f>_xll.EQNXTDZ($A$1,$B28,AW$1,$B$1)</f>
        <v>1.86</v>
      </c>
      <c r="AX28">
        <f>_xll.EQNXTDZ($A$1,$B28,AX$1,$B$1)</f>
        <v>1.84</v>
      </c>
      <c r="AY28">
        <f>_xll.EQNXTDZ($A$1,$B28,AY$1,$B$1)</f>
        <v>2.17</v>
      </c>
      <c r="AZ28">
        <f>_xll.EQNXTDZ($A$1,$B28,AZ$1,$B$1)</f>
        <v>2.54</v>
      </c>
      <c r="BA28">
        <f>_xll.EQNXTDZ($A$1,$B28,BA$1,$B$1)</f>
        <v>2.54</v>
      </c>
      <c r="BB28">
        <f>_xll.EQNXTDZ($A$1,$B28,BB$1,$B$1)</f>
        <v>2.52</v>
      </c>
      <c r="BC28">
        <f>_xll.EQNXTDZ($A$1,$B28,BC$1,$B$1)</f>
        <v>2.65</v>
      </c>
      <c r="BD28">
        <f>_xll.EQNXTDZ($A$1,$B28,BD$1,$B$1)</f>
        <v>2.65</v>
      </c>
      <c r="BE28">
        <f>_xll.EQNXTDZ($A$1,$B28,BE$1,$B$1)</f>
        <v>2.69</v>
      </c>
      <c r="BF28">
        <f>_xll.EQNXTDZ($A$1,$B28,BF$1,$B$1)</f>
        <v>2.72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0.09</v>
      </c>
      <c r="E29">
        <f>_xll.EQNXTDZ($A$1,$B29,E$1,$B$1)</f>
        <v>-0.19</v>
      </c>
      <c r="F29">
        <f>_xll.EQNXTDZ($A$1,$B29,F$1,$B$1)</f>
        <v>0.28000000000000003</v>
      </c>
      <c r="G29">
        <f>_xll.EQNXTDZ($A$1,$B29,G$1,$B$1)</f>
        <v>0</v>
      </c>
      <c r="H29">
        <f>_xll.EQNXTDZ($A$1,$B29,H$1,$B$1)</f>
        <v>0.27</v>
      </c>
      <c r="I29">
        <f>_xll.EQNXTDZ($A$1,$B29,I$1,$B$1)</f>
        <v>1.34</v>
      </c>
      <c r="J29">
        <f>_xll.EQNXTDZ($A$1,$B29,J$1,$B$1)</f>
        <v>4.18</v>
      </c>
      <c r="K29">
        <f>_xll.EQNXTDZ($A$1,$B29,K$1,$B$1)</f>
        <v>0.09</v>
      </c>
      <c r="L29">
        <f>_xll.EQNXTDZ($A$1,$B29,L$1,$B$1)</f>
        <v>-0.2</v>
      </c>
      <c r="M29">
        <f>_xll.EQNXTDZ($A$1,$B29,M$1,$B$1)</f>
        <v>-0.73</v>
      </c>
      <c r="N29">
        <f>_xll.EQNXTDZ($A$1,$B29,N$1,$B$1)</f>
        <v>0.11</v>
      </c>
      <c r="O29">
        <f>_xll.EQNXTDZ($A$1,$B29,O$1,$B$1)</f>
        <v>0.41</v>
      </c>
      <c r="P29">
        <f>_xll.EQNXTDZ($A$1,$B29,P$1,$B$1)</f>
        <v>-0.17</v>
      </c>
      <c r="Q29">
        <f>_xll.EQNXTDZ($A$1,$B29,Q$1,$B$1)</f>
        <v>-0.79</v>
      </c>
      <c r="R29">
        <f>_xll.EQNXTDZ($A$1,$B29,R$1,$B$1)</f>
        <v>-2.06</v>
      </c>
      <c r="S29">
        <f>_xll.EQNXTDZ($A$1,$B29,S$1,$B$1)</f>
        <v>-0.34</v>
      </c>
      <c r="T29">
        <f>_xll.EQNXTDZ($A$1,$B29,T$1,$B$1)</f>
        <v>-0.17</v>
      </c>
      <c r="U29">
        <f>_xll.EQNXTDZ($A$1,$B29,U$1,$B$1)</f>
        <v>-0.82</v>
      </c>
      <c r="V29">
        <f>_xll.EQNXTDZ($A$1,$B29,V$1,$B$1)</f>
        <v>0.01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0.31</v>
      </c>
      <c r="AA29">
        <f>_xll.EQNXTDZ($A$1,$B29,AA$1,$B$1)</f>
        <v>0.1</v>
      </c>
      <c r="AB29">
        <f>_xll.EQNXTDZ($A$1,$B29,AB$1,$B$1)</f>
        <v>0.11</v>
      </c>
      <c r="AC29">
        <f>_xll.EQNXTDZ($A$1,$B29,AC$1,$B$1)</f>
        <v>-0.21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0.05</v>
      </c>
      <c r="AG29">
        <f>_xll.EQNXTDZ($A$1,$B29,AG$1,$B$1)</f>
        <v>-0.05</v>
      </c>
      <c r="AH29">
        <f>_xll.EQNXTDZ($A$1,$B29,AH$1,$B$1)</f>
        <v>0.55000000000000004</v>
      </c>
      <c r="AI29">
        <f>_xll.EQNXTDZ($A$1,$B29,AI$1,$B$1)</f>
        <v>0.32</v>
      </c>
      <c r="AJ29">
        <f>_xll.EQNXTDZ($A$1,$B29,AJ$1,$B$1)</f>
        <v>-0.75</v>
      </c>
      <c r="AK29">
        <f>_xll.EQNXTDZ($A$1,$B29,AK$1,$B$1)</f>
        <v>1.5</v>
      </c>
      <c r="AL29">
        <f>_xll.EQNXTDZ($A$1,$B29,AL$1,$B$1)</f>
        <v>1.38</v>
      </c>
      <c r="AM29">
        <f>_xll.EQNXTDZ($A$1,$B29,AM$1,$B$1)</f>
        <v>6.22</v>
      </c>
      <c r="AN29">
        <f>_xll.EQNXTDZ($A$1,$B29,AN$1,$B$1)</f>
        <v>1.97</v>
      </c>
      <c r="AO29">
        <f>_xll.EQNXTDZ($A$1,$B29,AO$1,$B$1)</f>
        <v>1.81</v>
      </c>
      <c r="AP29">
        <f>_xll.EQNXTDZ($A$1,$B29,AP$1,$B$1)</f>
        <v>1.69</v>
      </c>
      <c r="AQ29">
        <f>_xll.EQNXTDZ($A$1,$B29,AQ$1,$B$1)</f>
        <v>1.21</v>
      </c>
      <c r="AR29">
        <f>_xll.EQNXTDZ($A$1,$B29,AR$1,$B$1)</f>
        <v>2.31</v>
      </c>
      <c r="AS29">
        <f>_xll.EQNXTDZ($A$1,$B29,AS$1,$B$1)</f>
        <v>0.75</v>
      </c>
      <c r="AT29">
        <f>_xll.EQNXTDZ($A$1,$B29,AT$1,$B$1)</f>
        <v>1.1499999999999999</v>
      </c>
      <c r="AU29">
        <f>_xll.EQNXTDZ($A$1,$B29,AU$1,$B$1)</f>
        <v>1.57</v>
      </c>
      <c r="AV29">
        <f>_xll.EQNXTDZ($A$1,$B29,AV$1,$B$1)</f>
        <v>1.59</v>
      </c>
      <c r="AW29">
        <f>_xll.EQNXTDZ($A$1,$B29,AW$1,$B$1)</f>
        <v>2.16</v>
      </c>
      <c r="AX29">
        <f>_xll.EQNXTDZ($A$1,$B29,AX$1,$B$1)</f>
        <v>2.58</v>
      </c>
      <c r="AY29">
        <f>_xll.EQNXTDZ($A$1,$B29,AY$1,$B$1)</f>
        <v>-0.22</v>
      </c>
      <c r="AZ29">
        <f>_xll.EQNXTDZ($A$1,$B29,AZ$1,$B$1)</f>
        <v>1.1100000000000001</v>
      </c>
      <c r="BA29">
        <f>_xll.EQNXTDZ($A$1,$B29,BA$1,$B$1)</f>
        <v>0.74</v>
      </c>
      <c r="BB29">
        <f>_xll.EQNXTDZ($A$1,$B29,BB$1,$B$1)</f>
        <v>1.84</v>
      </c>
      <c r="BC29">
        <f>_xll.EQNXTDZ($A$1,$B29,BC$1,$B$1)</f>
        <v>2.34</v>
      </c>
      <c r="BD29">
        <f>_xll.EQNXTDZ($A$1,$B29,BD$1,$B$1)</f>
        <v>2.46</v>
      </c>
      <c r="BE29">
        <f>_xll.EQNXTDZ($A$1,$B29,BE$1,$B$1)</f>
        <v>1.69</v>
      </c>
      <c r="BF29">
        <f>_xll.EQNXTDZ($A$1,$B29,BF$1,$B$1)</f>
        <v>3.46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0.64100000000000001</v>
      </c>
      <c r="D30">
        <f>_xll.EQNXTDZ($A$1,$B30,D$1,$B$1)</f>
        <v>0.21</v>
      </c>
      <c r="E30">
        <f>_xll.EQNXTDZ($A$1,$B30,E$1,$B$1)</f>
        <v>-0.33</v>
      </c>
      <c r="F30">
        <f>_xll.EQNXTDZ($A$1,$B30,F$1,$B$1)</f>
        <v>0.374</v>
      </c>
      <c r="G30">
        <f>_xll.EQNXTDZ($A$1,$B30,G$1,$B$1)</f>
        <v>-0.23899999999999999</v>
      </c>
      <c r="H30">
        <f>_xll.EQNXTDZ($A$1,$B30,H$1,$B$1)</f>
        <v>1.1200000000000001</v>
      </c>
      <c r="I30">
        <f>_xll.EQNXTDZ($A$1,$B30,I$1,$B$1)</f>
        <v>1.62</v>
      </c>
      <c r="J30">
        <f>_xll.EQNXTDZ($A$1,$B30,J$1,$B$1)</f>
        <v>-2.9</v>
      </c>
      <c r="K30">
        <f>_xll.EQNXTDZ($A$1,$B30,K$1,$B$1)</f>
        <v>0.03</v>
      </c>
      <c r="L30">
        <f>_xll.EQNXTDZ($A$1,$B30,L$1,$B$1)</f>
        <v>-0.27</v>
      </c>
      <c r="M30">
        <f>_xll.EQNXTDZ($A$1,$B30,M$1,$B$1)</f>
        <v>-2.09</v>
      </c>
      <c r="N30">
        <f>_xll.EQNXTDZ($A$1,$B30,N$1,$B$1)</f>
        <v>-0.85</v>
      </c>
      <c r="O30">
        <f>_xll.EQNXTDZ($A$1,$B30,O$1,$B$1)</f>
        <v>0.86</v>
      </c>
      <c r="P30">
        <f>_xll.EQNXTDZ($A$1,$B30,P$1,$B$1)</f>
        <v>-0.34</v>
      </c>
      <c r="Q30">
        <f>_xll.EQNXTDZ($A$1,$B30,Q$1,$B$1)</f>
        <v>-1.58</v>
      </c>
      <c r="R30">
        <f>_xll.EQNXTDZ($A$1,$B30,R$1,$B$1)</f>
        <v>0.24</v>
      </c>
      <c r="S30">
        <f>_xll.EQNXTDZ($A$1,$B30,S$1,$B$1)</f>
        <v>-0.68</v>
      </c>
      <c r="T30">
        <f>_xll.EQNXTDZ($A$1,$B30,T$1,$B$1)</f>
        <v>-0.35</v>
      </c>
      <c r="U30">
        <f>_xll.EQNXTDZ($A$1,$B30,U$1,$B$1)</f>
        <v>-2.66</v>
      </c>
      <c r="V30">
        <f>_xll.EQNXTDZ($A$1,$B30,V$1,$B$1)</f>
        <v>-2.93</v>
      </c>
      <c r="W30">
        <f>_xll.EQNXTDZ($A$1,$B30,W$1,$B$1)</f>
        <v>-0.94</v>
      </c>
      <c r="X30">
        <f>_xll.EQNXTDZ($A$1,$B30,X$1,$B$1)</f>
        <v>0.46</v>
      </c>
      <c r="Y30">
        <f>_xll.EQNXTDZ($A$1,$B30,Y$1,$B$1)</f>
        <v>0.33</v>
      </c>
      <c r="Z30">
        <f>_xll.EQNXTDZ($A$1,$B30,Z$1,$B$1)</f>
        <v>1.36</v>
      </c>
      <c r="AA30">
        <f>_xll.EQNXTDZ($A$1,$B30,AA$1,$B$1)</f>
        <v>0.47</v>
      </c>
      <c r="AB30">
        <f>_xll.EQNXTDZ($A$1,$B30,AB$1,$B$1)</f>
        <v>0.200000000000008</v>
      </c>
      <c r="AC30">
        <f>_xll.EQNXTDZ($A$1,$B30,AC$1,$B$1)</f>
        <v>-2.88</v>
      </c>
      <c r="AD30">
        <f>_xll.EQNXTDZ($A$1,$B30,AD$1,$B$1)</f>
        <v>2.46</v>
      </c>
      <c r="AE30">
        <f>_xll.EQNXTDZ($A$1,$B30,AE$1,$B$1)</f>
        <v>-0.43</v>
      </c>
      <c r="AF30">
        <f>_xll.EQNXTDZ($A$1,$B30,AF$1,$B$1)</f>
        <v>1.33</v>
      </c>
      <c r="AG30">
        <f>_xll.EQNXTDZ($A$1,$B30,AG$1,$B$1)</f>
        <v>-1.1200000000000001</v>
      </c>
      <c r="AH30">
        <f>_xll.EQNXTDZ($A$1,$B30,AH$1,$B$1)</f>
        <v>0.85000000000000098</v>
      </c>
      <c r="AI30">
        <f>_xll.EQNXTDZ($A$1,$B30,AI$1,$B$1)</f>
        <v>0.80999999999999694</v>
      </c>
      <c r="AJ30">
        <f>_xll.EQNXTDZ($A$1,$B30,AJ$1,$B$1)</f>
        <v>6.14</v>
      </c>
      <c r="AK30">
        <f>_xll.EQNXTDZ($A$1,$B30,AK$1,$B$1)</f>
        <v>3.94</v>
      </c>
      <c r="AL30">
        <f>_xll.EQNXTDZ($A$1,$B30,AL$1,$B$1)</f>
        <v>3.3</v>
      </c>
      <c r="AM30">
        <f>_xll.EQNXTDZ($A$1,$B30,AM$1,$B$1)</f>
        <v>16.32</v>
      </c>
      <c r="AN30">
        <f>_xll.EQNXTDZ($A$1,$B30,AN$1,$B$1)</f>
        <v>4.58</v>
      </c>
      <c r="AO30">
        <f>_xll.EQNXTDZ($A$1,$B30,AO$1,$B$1)</f>
        <v>3.79</v>
      </c>
      <c r="AP30">
        <f>_xll.EQNXTDZ($A$1,$B30,AP$1,$B$1)</f>
        <v>2.7899999999999898</v>
      </c>
      <c r="AQ30">
        <f>_xll.EQNXTDZ($A$1,$B30,AQ$1,$B$1)</f>
        <v>3.82</v>
      </c>
      <c r="AR30">
        <f>_xll.EQNXTDZ($A$1,$B30,AR$1,$B$1)</f>
        <v>5.49</v>
      </c>
      <c r="AS30">
        <f>_xll.EQNXTDZ($A$1,$B30,AS$1,$B$1)</f>
        <v>1</v>
      </c>
      <c r="AT30">
        <f>_xll.EQNXTDZ($A$1,$B30,AT$1,$B$1)</f>
        <v>3.3500000000000099</v>
      </c>
      <c r="AU30">
        <f>_xll.EQNXTDZ($A$1,$B30,AU$1,$B$1)</f>
        <v>3.8400000000000101</v>
      </c>
      <c r="AV30">
        <f>_xll.EQNXTDZ($A$1,$B30,AV$1,$B$1)</f>
        <v>3.88</v>
      </c>
      <c r="AW30">
        <f>_xll.EQNXTDZ($A$1,$B30,AW$1,$B$1)</f>
        <v>5.13</v>
      </c>
      <c r="AX30">
        <f>_xll.EQNXTDZ($A$1,$B30,AX$1,$B$1)</f>
        <v>5.9899999999999904</v>
      </c>
      <c r="AY30">
        <f>_xll.EQNXTDZ($A$1,$B30,AY$1,$B$1)</f>
        <v>4.01</v>
      </c>
      <c r="AZ30">
        <f>_xll.EQNXTDZ($A$1,$B30,AZ$1,$B$1)</f>
        <v>3.1899999999999902</v>
      </c>
      <c r="BA30">
        <f>_xll.EQNXTDZ($A$1,$B30,BA$1,$B$1)</f>
        <v>1.63</v>
      </c>
      <c r="BB30">
        <f>_xll.EQNXTDZ($A$1,$B30,BB$1,$B$1)</f>
        <v>5.74000000000001</v>
      </c>
      <c r="BC30">
        <f>_xll.EQNXTDZ($A$1,$B30,BC$1,$B$1)</f>
        <v>6.8200000000000101</v>
      </c>
      <c r="BD30">
        <f>_xll.EQNXTDZ($A$1,$B30,BD$1,$B$1)</f>
        <v>7.23</v>
      </c>
      <c r="BE30">
        <f>_xll.EQNXTDZ($A$1,$B30,BE$1,$B$1)</f>
        <v>4.8899999999999899</v>
      </c>
      <c r="BF30">
        <f>_xll.EQNXTDZ($A$1,$B30,BF$1,$B$1)</f>
        <v>10.66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0.64100000000000001</v>
      </c>
      <c r="D38">
        <f>_xll.EQNXTDZ($A$1,$B38,D$1,$B$1)</f>
        <v>0.21</v>
      </c>
      <c r="E38">
        <f>_xll.EQNXTDZ($A$1,$B38,E$1,$B$1)</f>
        <v>-0.33</v>
      </c>
      <c r="F38">
        <f>_xll.EQNXTDZ($A$1,$B38,F$1,$B$1)</f>
        <v>0.374</v>
      </c>
      <c r="G38">
        <f>_xll.EQNXTDZ($A$1,$B38,G$1,$B$1)</f>
        <v>-0.23899999999999999</v>
      </c>
      <c r="H38">
        <f>_xll.EQNXTDZ($A$1,$B38,H$1,$B$1)</f>
        <v>1.1200000000000001</v>
      </c>
      <c r="I38">
        <f>_xll.EQNXTDZ($A$1,$B38,I$1,$B$1)</f>
        <v>1.62</v>
      </c>
      <c r="J38">
        <f>_xll.EQNXTDZ($A$1,$B38,J$1,$B$1)</f>
        <v>-2.9</v>
      </c>
      <c r="K38">
        <f>_xll.EQNXTDZ($A$1,$B38,K$1,$B$1)</f>
        <v>0.03</v>
      </c>
      <c r="L38">
        <f>_xll.EQNXTDZ($A$1,$B38,L$1,$B$1)</f>
        <v>-0.27</v>
      </c>
      <c r="M38">
        <f>_xll.EQNXTDZ($A$1,$B38,M$1,$B$1)</f>
        <v>-2.09</v>
      </c>
      <c r="N38">
        <f>_xll.EQNXTDZ($A$1,$B38,N$1,$B$1)</f>
        <v>-0.85</v>
      </c>
      <c r="O38">
        <f>_xll.EQNXTDZ($A$1,$B38,O$1,$B$1)</f>
        <v>0.86</v>
      </c>
      <c r="P38">
        <f>_xll.EQNXTDZ($A$1,$B38,P$1,$B$1)</f>
        <v>-0.34</v>
      </c>
      <c r="Q38">
        <f>_xll.EQNXTDZ($A$1,$B38,Q$1,$B$1)</f>
        <v>-1.58</v>
      </c>
      <c r="R38">
        <f>_xll.EQNXTDZ($A$1,$B38,R$1,$B$1)</f>
        <v>0.24</v>
      </c>
      <c r="S38">
        <f>_xll.EQNXTDZ($A$1,$B38,S$1,$B$1)</f>
        <v>-0.68</v>
      </c>
      <c r="T38">
        <f>_xll.EQNXTDZ($A$1,$B38,T$1,$B$1)</f>
        <v>-0.35</v>
      </c>
      <c r="U38">
        <f>_xll.EQNXTDZ($A$1,$B38,U$1,$B$1)</f>
        <v>-2.66</v>
      </c>
      <c r="V38">
        <f>_xll.EQNXTDZ($A$1,$B38,V$1,$B$1)</f>
        <v>-2.93</v>
      </c>
      <c r="W38">
        <f>_xll.EQNXTDZ($A$1,$B38,W$1,$B$1)</f>
        <v>-0.94</v>
      </c>
      <c r="X38">
        <f>_xll.EQNXTDZ($A$1,$B38,X$1,$B$1)</f>
        <v>0.46</v>
      </c>
      <c r="Y38">
        <f>_xll.EQNXTDZ($A$1,$B38,Y$1,$B$1)</f>
        <v>0.33</v>
      </c>
      <c r="Z38">
        <f>_xll.EQNXTDZ($A$1,$B38,Z$1,$B$1)</f>
        <v>1.36</v>
      </c>
      <c r="AA38">
        <f>_xll.EQNXTDZ($A$1,$B38,AA$1,$B$1)</f>
        <v>0.47</v>
      </c>
      <c r="AB38">
        <f>_xll.EQNXTDZ($A$1,$B38,AB$1,$B$1)</f>
        <v>0.200000000000008</v>
      </c>
      <c r="AC38">
        <f>_xll.EQNXTDZ($A$1,$B38,AC$1,$B$1)</f>
        <v>-2.88</v>
      </c>
      <c r="AD38">
        <f>_xll.EQNXTDZ($A$1,$B38,AD$1,$B$1)</f>
        <v>2.46</v>
      </c>
      <c r="AE38">
        <f>_xll.EQNXTDZ($A$1,$B38,AE$1,$B$1)</f>
        <v>-0.43</v>
      </c>
      <c r="AF38">
        <f>_xll.EQNXTDZ($A$1,$B38,AF$1,$B$1)</f>
        <v>1.33</v>
      </c>
      <c r="AG38">
        <f>_xll.EQNXTDZ($A$1,$B38,AG$1,$B$1)</f>
        <v>-1.1200000000000001</v>
      </c>
      <c r="AH38">
        <f>_xll.EQNXTDZ($A$1,$B38,AH$1,$B$1)</f>
        <v>0.85000000000000098</v>
      </c>
      <c r="AI38">
        <f>_xll.EQNXTDZ($A$1,$B38,AI$1,$B$1)</f>
        <v>0.80999999999999694</v>
      </c>
      <c r="AJ38">
        <f>_xll.EQNXTDZ($A$1,$B38,AJ$1,$B$1)</f>
        <v>6.14</v>
      </c>
      <c r="AK38">
        <f>_xll.EQNXTDZ($A$1,$B38,AK$1,$B$1)</f>
        <v>3.94</v>
      </c>
      <c r="AL38">
        <f>_xll.EQNXTDZ($A$1,$B38,AL$1,$B$1)</f>
        <v>3.3</v>
      </c>
      <c r="AM38">
        <f>_xll.EQNXTDZ($A$1,$B38,AM$1,$B$1)</f>
        <v>16.32</v>
      </c>
      <c r="AN38">
        <f>_xll.EQNXTDZ($A$1,$B38,AN$1,$B$1)</f>
        <v>4.58</v>
      </c>
      <c r="AO38">
        <f>_xll.EQNXTDZ($A$1,$B38,AO$1,$B$1)</f>
        <v>3.79</v>
      </c>
      <c r="AP38">
        <f>_xll.EQNXTDZ($A$1,$B38,AP$1,$B$1)</f>
        <v>2.7899999999999898</v>
      </c>
      <c r="AQ38">
        <f>_xll.EQNXTDZ($A$1,$B38,AQ$1,$B$1)</f>
        <v>3.82</v>
      </c>
      <c r="AR38">
        <f>_xll.EQNXTDZ($A$1,$B38,AR$1,$B$1)</f>
        <v>5.49</v>
      </c>
      <c r="AS38">
        <f>_xll.EQNXTDZ($A$1,$B38,AS$1,$B$1)</f>
        <v>1</v>
      </c>
      <c r="AT38">
        <f>_xll.EQNXTDZ($A$1,$B38,AT$1,$B$1)</f>
        <v>3.3500000000000099</v>
      </c>
      <c r="AU38">
        <f>_xll.EQNXTDZ($A$1,$B38,AU$1,$B$1)</f>
        <v>3.8400000000000101</v>
      </c>
      <c r="AV38">
        <f>_xll.EQNXTDZ($A$1,$B38,AV$1,$B$1)</f>
        <v>3.88</v>
      </c>
      <c r="AW38">
        <f>_xll.EQNXTDZ($A$1,$B38,AW$1,$B$1)</f>
        <v>5.13</v>
      </c>
      <c r="AX38">
        <f>_xll.EQNXTDZ($A$1,$B38,AX$1,$B$1)</f>
        <v>5.9899999999999904</v>
      </c>
      <c r="AY38">
        <f>_xll.EQNXTDZ($A$1,$B38,AY$1,$B$1)</f>
        <v>4.01</v>
      </c>
      <c r="AZ38">
        <f>_xll.EQNXTDZ($A$1,$B38,AZ$1,$B$1)</f>
        <v>3.1899999999999902</v>
      </c>
      <c r="BA38">
        <f>_xll.EQNXTDZ($A$1,$B38,BA$1,$B$1)</f>
        <v>1.63</v>
      </c>
      <c r="BB38">
        <f>_xll.EQNXTDZ($A$1,$B38,BB$1,$B$1)</f>
        <v>5.74000000000001</v>
      </c>
      <c r="BC38">
        <f>_xll.EQNXTDZ($A$1,$B38,BC$1,$B$1)</f>
        <v>6.8200000000000101</v>
      </c>
      <c r="BD38">
        <f>_xll.EQNXTDZ($A$1,$B38,BD$1,$B$1)</f>
        <v>7.23</v>
      </c>
      <c r="BE38">
        <f>_xll.EQNXTDZ($A$1,$B38,BE$1,$B$1)</f>
        <v>4.8899999999999899</v>
      </c>
      <c r="BF38">
        <f>_xll.EQNXTDZ($A$1,$B38,BF$1,$B$1)</f>
        <v>10.66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-0.01</v>
      </c>
      <c r="T40">
        <f>_xll.EQNXTDZ($A$1,$B40,T$1,$B$1)</f>
        <v>-0.01</v>
      </c>
      <c r="U40">
        <f>_xll.EQNXTDZ($A$1,$B40,U$1,$B$1)</f>
        <v>-0.01</v>
      </c>
      <c r="V40">
        <f>_xll.EQNXTDZ($A$1,$B40,V$1,$B$1)</f>
        <v>-0.01</v>
      </c>
      <c r="W40">
        <f>_xll.EQNXTDZ($A$1,$B40,W$1,$B$1)</f>
        <v>-0.01</v>
      </c>
      <c r="X40">
        <f>_xll.EQNXTDZ($A$1,$B40,X$1,$B$1)</f>
        <v>-0.01</v>
      </c>
      <c r="Y40">
        <f>_xll.EQNXTDZ($A$1,$B40,Y$1,$B$1)</f>
        <v>-0.01</v>
      </c>
      <c r="Z40">
        <f>_xll.EQNXTDZ($A$1,$B40,Z$1,$B$1)</f>
        <v>0.08</v>
      </c>
      <c r="AA40">
        <f>_xll.EQNXTDZ($A$1,$B40,AA$1,$B$1)</f>
        <v>0.01</v>
      </c>
      <c r="AB40">
        <f>_xll.EQNXTDZ($A$1,$B40,AB$1,$B$1)</f>
        <v>0.01</v>
      </c>
      <c r="AC40">
        <f>_xll.EQNXTDZ($A$1,$B40,AC$1,$B$1)</f>
        <v>0.01</v>
      </c>
      <c r="AD40">
        <f>_xll.EQNXTDZ($A$1,$B40,AD$1,$B$1)</f>
        <v>-0.08</v>
      </c>
      <c r="AE40">
        <f>_xll.EQNXTDZ($A$1,$B40,AE$1,$B$1)</f>
        <v>-0.01</v>
      </c>
      <c r="AF40">
        <f>_xll.EQNXTDZ($A$1,$B40,AF$1,$B$1)</f>
        <v>-0.01</v>
      </c>
      <c r="AG40">
        <f>_xll.EQNXTDZ($A$1,$B40,AG$1,$B$1)</f>
        <v>-0.01</v>
      </c>
      <c r="AH40">
        <f>_xll.EQNXTDZ($A$1,$B40,AH$1,$B$1)</f>
        <v>-0.06</v>
      </c>
      <c r="AI40">
        <f>_xll.EQNXTDZ($A$1,$B40,AI$1,$B$1)</f>
        <v>-0.02</v>
      </c>
      <c r="AJ40">
        <f>_xll.EQNXTDZ($A$1,$B40,AJ$1,$B$1)</f>
        <v>-0.03</v>
      </c>
      <c r="AK40">
        <f>_xll.EQNXTDZ($A$1,$B40,AK$1,$B$1)</f>
        <v>-0.03</v>
      </c>
      <c r="AL40">
        <f>_xll.EQNXTDZ($A$1,$B40,AL$1,$B$1)</f>
        <v>0.22</v>
      </c>
      <c r="AM40">
        <f>_xll.EQNXTDZ($A$1,$B40,AM$1,$B$1)</f>
        <v>0.04</v>
      </c>
      <c r="AN40">
        <f>_xll.EQNXTDZ($A$1,$B40,AN$1,$B$1)</f>
        <v>0.04</v>
      </c>
      <c r="AO40">
        <f>_xll.EQNXTDZ($A$1,$B40,AO$1,$B$1)</f>
        <v>0.03</v>
      </c>
      <c r="AP40">
        <f>_xll.EQNXTDZ($A$1,$B40,AP$1,$B$1)</f>
        <v>-0.06</v>
      </c>
      <c r="AQ40">
        <f>_xll.EQNXTDZ($A$1,$B40,AQ$1,$B$1)</f>
        <v>0.01</v>
      </c>
      <c r="AR40">
        <f>_xll.EQNXTDZ($A$1,$B40,AR$1,$B$1)</f>
        <v>0.02</v>
      </c>
      <c r="AS40">
        <f>_xll.EQNXTDZ($A$1,$B40,AS$1,$B$1)</f>
        <v>0.01</v>
      </c>
      <c r="AT40">
        <f>_xll.EQNXTDZ($A$1,$B40,AT$1,$B$1)</f>
        <v>0.09</v>
      </c>
      <c r="AU40">
        <f>_xll.EQNXTDZ($A$1,$B40,AU$1,$B$1)</f>
        <v>0.04</v>
      </c>
      <c r="AV40">
        <f>_xll.EQNXTDZ($A$1,$B40,AV$1,$B$1)</f>
        <v>0.03</v>
      </c>
      <c r="AW40">
        <f>_xll.EQNXTDZ($A$1,$B40,AW$1,$B$1)</f>
        <v>0.03</v>
      </c>
      <c r="AX40">
        <f>_xll.EQNXTDZ($A$1,$B40,AX$1,$B$1)</f>
        <v>-0.41</v>
      </c>
      <c r="AY40">
        <f>_xll.EQNXTDZ($A$1,$B40,AY$1,$B$1)</f>
        <v>-0.08</v>
      </c>
      <c r="AZ40">
        <f>_xll.EQNXTDZ($A$1,$B40,AZ$1,$B$1)</f>
        <v>-0.08</v>
      </c>
      <c r="BA40">
        <f>_xll.EQNXTDZ($A$1,$B40,BA$1,$B$1)</f>
        <v>-0.08</v>
      </c>
      <c r="BB40">
        <f>_xll.EQNXTDZ($A$1,$B40,BB$1,$B$1)</f>
        <v>0.04</v>
      </c>
      <c r="BC40">
        <f>_xll.EQNXTDZ($A$1,$B40,BC$1,$B$1)</f>
        <v>-0.05</v>
      </c>
      <c r="BD40">
        <f>_xll.EQNXTDZ($A$1,$B40,BD$1,$B$1)</f>
        <v>-0.06</v>
      </c>
      <c r="BE40">
        <f>_xll.EQNXTDZ($A$1,$B40,BE$1,$B$1)</f>
        <v>-0.04</v>
      </c>
      <c r="BF40">
        <f>_xll.EQNXTDZ($A$1,$B40,BF$1,$B$1)</f>
        <v>0.37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-0.34</v>
      </c>
      <c r="Q41">
        <f>_xll.EQNXTDZ($A$1,$B41,Q$1,$B$1)</f>
        <v>-1.58</v>
      </c>
      <c r="R41">
        <f>_xll.EQNXTDZ($A$1,$B41,R$1,$B$1)</f>
        <v>0.24</v>
      </c>
      <c r="S41">
        <f>_xll.EQNXTDZ($A$1,$B41,S$1,$B$1)</f>
        <v>-0.69</v>
      </c>
      <c r="T41">
        <f>_xll.EQNXTDZ($A$1,$B41,T$1,$B$1)</f>
        <v>-0.36</v>
      </c>
      <c r="U41">
        <f>_xll.EQNXTDZ($A$1,$B41,U$1,$B$1)</f>
        <v>-2.67</v>
      </c>
      <c r="V41">
        <f>_xll.EQNXTDZ($A$1,$B41,V$1,$B$1)</f>
        <v>-2.94</v>
      </c>
      <c r="W41">
        <f>_xll.EQNXTDZ($A$1,$B41,W$1,$B$1)</f>
        <v>-0.95</v>
      </c>
      <c r="X41">
        <f>_xll.EQNXTDZ($A$1,$B41,X$1,$B$1)</f>
        <v>0.45</v>
      </c>
      <c r="Y41">
        <f>_xll.EQNXTDZ($A$1,$B41,Y$1,$B$1)</f>
        <v>0.32</v>
      </c>
      <c r="Z41">
        <f>_xll.EQNXTDZ($A$1,$B41,Z$1,$B$1)</f>
        <v>1.44</v>
      </c>
      <c r="AA41">
        <f>_xll.EQNXTDZ($A$1,$B41,AA$1,$B$1)</f>
        <v>0.48</v>
      </c>
      <c r="AB41">
        <f>_xll.EQNXTDZ($A$1,$B41,AB$1,$B$1)</f>
        <v>0.21</v>
      </c>
      <c r="AC41">
        <f>_xll.EQNXTDZ($A$1,$B41,AC$1,$B$1)</f>
        <v>-2.87</v>
      </c>
      <c r="AD41">
        <f>_xll.EQNXTDZ($A$1,$B41,AD$1,$B$1)</f>
        <v>2.38</v>
      </c>
      <c r="AE41">
        <f>_xll.EQNXTDZ($A$1,$B41,AE$1,$B$1)</f>
        <v>-0.44</v>
      </c>
      <c r="AF41">
        <f>_xll.EQNXTDZ($A$1,$B41,AF$1,$B$1)</f>
        <v>1.32</v>
      </c>
      <c r="AG41">
        <f>_xll.EQNXTDZ($A$1,$B41,AG$1,$B$1)</f>
        <v>-1.1299999999999999</v>
      </c>
      <c r="AH41">
        <f>_xll.EQNXTDZ($A$1,$B41,AH$1,$B$1)</f>
        <v>0.79</v>
      </c>
      <c r="AI41">
        <f>_xll.EQNXTDZ($A$1,$B41,AI$1,$B$1)</f>
        <v>0.79</v>
      </c>
      <c r="AJ41">
        <f>_xll.EQNXTDZ($A$1,$B41,AJ$1,$B$1)</f>
        <v>6.11</v>
      </c>
      <c r="AK41">
        <f>_xll.EQNXTDZ($A$1,$B41,AK$1,$B$1)</f>
        <v>3.91</v>
      </c>
      <c r="AL41">
        <f>_xll.EQNXTDZ($A$1,$B41,AL$1,$B$1)</f>
        <v>3.52</v>
      </c>
      <c r="AM41">
        <f>_xll.EQNXTDZ($A$1,$B41,AM$1,$B$1)</f>
        <v>16.36</v>
      </c>
      <c r="AN41">
        <f>_xll.EQNXTDZ($A$1,$B41,AN$1,$B$1)</f>
        <v>4.62</v>
      </c>
      <c r="AO41">
        <f>_xll.EQNXTDZ($A$1,$B41,AO$1,$B$1)</f>
        <v>3.82</v>
      </c>
      <c r="AP41">
        <f>_xll.EQNXTDZ($A$1,$B41,AP$1,$B$1)</f>
        <v>2.73</v>
      </c>
      <c r="AQ41">
        <f>_xll.EQNXTDZ($A$1,$B41,AQ$1,$B$1)</f>
        <v>3.83</v>
      </c>
      <c r="AR41">
        <f>_xll.EQNXTDZ($A$1,$B41,AR$1,$B$1)</f>
        <v>5.51</v>
      </c>
      <c r="AS41">
        <f>_xll.EQNXTDZ($A$1,$B41,AS$1,$B$1)</f>
        <v>1.01</v>
      </c>
      <c r="AT41">
        <f>_xll.EQNXTDZ($A$1,$B41,AT$1,$B$1)</f>
        <v>3.44</v>
      </c>
      <c r="AU41">
        <f>_xll.EQNXTDZ($A$1,$B41,AU$1,$B$1)</f>
        <v>3.88</v>
      </c>
      <c r="AV41">
        <f>_xll.EQNXTDZ($A$1,$B41,AV$1,$B$1)</f>
        <v>3.91</v>
      </c>
      <c r="AW41">
        <f>_xll.EQNXTDZ($A$1,$B41,AW$1,$B$1)</f>
        <v>5.16</v>
      </c>
      <c r="AX41">
        <f>_xll.EQNXTDZ($A$1,$B41,AX$1,$B$1)</f>
        <v>5.58</v>
      </c>
      <c r="AY41">
        <f>_xll.EQNXTDZ($A$1,$B41,AY$1,$B$1)</f>
        <v>3.93</v>
      </c>
      <c r="AZ41">
        <f>_xll.EQNXTDZ($A$1,$B41,AZ$1,$B$1)</f>
        <v>3.11</v>
      </c>
      <c r="BA41">
        <f>_xll.EQNXTDZ($A$1,$B41,BA$1,$B$1)</f>
        <v>1.55</v>
      </c>
      <c r="BB41">
        <f>_xll.EQNXTDZ($A$1,$B41,BB$1,$B$1)</f>
        <v>5.78</v>
      </c>
      <c r="BC41">
        <f>_xll.EQNXTDZ($A$1,$B41,BC$1,$B$1)</f>
        <v>6.77</v>
      </c>
      <c r="BD41">
        <f>_xll.EQNXTDZ($A$1,$B41,BD$1,$B$1)</f>
        <v>7.17</v>
      </c>
      <c r="BE41">
        <f>_xll.EQNXTDZ($A$1,$B41,BE$1,$B$1)</f>
        <v>4.8499999999999996</v>
      </c>
      <c r="BF41">
        <f>_xll.EQNXTDZ($A$1,$B41,BF$1,$B$1)</f>
        <v>11.03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0.64100000000000001</v>
      </c>
      <c r="D42">
        <f>_xll.EQNXTDZ($A$1,$B42,D$1,$B$1)</f>
        <v>0.21</v>
      </c>
      <c r="E42">
        <f>_xll.EQNXTDZ($A$1,$B42,E$1,$B$1)</f>
        <v>-0.33</v>
      </c>
      <c r="F42">
        <f>_xll.EQNXTDZ($A$1,$B42,F$1,$B$1)</f>
        <v>0.374</v>
      </c>
      <c r="G42">
        <f>_xll.EQNXTDZ($A$1,$B42,G$1,$B$1)</f>
        <v>-0.23899999999999999</v>
      </c>
      <c r="H42">
        <f>_xll.EQNXTDZ($A$1,$B42,H$1,$B$1)</f>
        <v>1.1200000000000001</v>
      </c>
      <c r="I42">
        <f>_xll.EQNXTDZ($A$1,$B42,I$1,$B$1)</f>
        <v>1.62</v>
      </c>
      <c r="J42">
        <f>_xll.EQNXTDZ($A$1,$B42,J$1,$B$1)</f>
        <v>-2.9</v>
      </c>
      <c r="K42">
        <f>_xll.EQNXTDZ($A$1,$B42,K$1,$B$1)</f>
        <v>0.03</v>
      </c>
      <c r="L42">
        <f>_xll.EQNXTDZ($A$1,$B42,L$1,$B$1)</f>
        <v>-0.27</v>
      </c>
      <c r="M42">
        <f>_xll.EQNXTDZ($A$1,$B42,M$1,$B$1)</f>
        <v>-2.09</v>
      </c>
      <c r="N42">
        <f>_xll.EQNXTDZ($A$1,$B42,N$1,$B$1)</f>
        <v>-0.85</v>
      </c>
      <c r="O42">
        <f>_xll.EQNXTDZ($A$1,$B42,O$1,$B$1)</f>
        <v>0.86</v>
      </c>
      <c r="P42">
        <f>_xll.EQNXTDZ($A$1,$B42,P$1,$B$1)</f>
        <v>-0.34</v>
      </c>
      <c r="Q42">
        <f>_xll.EQNXTDZ($A$1,$B42,Q$1,$B$1)</f>
        <v>-1.58</v>
      </c>
      <c r="R42">
        <f>_xll.EQNXTDZ($A$1,$B42,R$1,$B$1)</f>
        <v>0.24</v>
      </c>
      <c r="S42">
        <f>_xll.EQNXTDZ($A$1,$B42,S$1,$B$1)</f>
        <v>-0.68</v>
      </c>
      <c r="T42">
        <f>_xll.EQNXTDZ($A$1,$B42,T$1,$B$1)</f>
        <v>-0.35</v>
      </c>
      <c r="U42">
        <f>_xll.EQNXTDZ($A$1,$B42,U$1,$B$1)</f>
        <v>-2.66</v>
      </c>
      <c r="V42">
        <f>_xll.EQNXTDZ($A$1,$B42,V$1,$B$1)</f>
        <v>-2.93</v>
      </c>
      <c r="W42">
        <f>_xll.EQNXTDZ($A$1,$B42,W$1,$B$1)</f>
        <v>-0.94</v>
      </c>
      <c r="X42">
        <f>_xll.EQNXTDZ($A$1,$B42,X$1,$B$1)</f>
        <v>0.46</v>
      </c>
      <c r="Y42">
        <f>_xll.EQNXTDZ($A$1,$B42,Y$1,$B$1)</f>
        <v>0.33</v>
      </c>
      <c r="Z42">
        <f>_xll.EQNXTDZ($A$1,$B42,Z$1,$B$1)</f>
        <v>1.36</v>
      </c>
      <c r="AA42">
        <f>_xll.EQNXTDZ($A$1,$B42,AA$1,$B$1)</f>
        <v>0.47</v>
      </c>
      <c r="AB42">
        <f>_xll.EQNXTDZ($A$1,$B42,AB$1,$B$1)</f>
        <v>0.200000000000008</v>
      </c>
      <c r="AC42">
        <f>_xll.EQNXTDZ($A$1,$B42,AC$1,$B$1)</f>
        <v>-2.88</v>
      </c>
      <c r="AD42">
        <f>_xll.EQNXTDZ($A$1,$B42,AD$1,$B$1)</f>
        <v>2.46</v>
      </c>
      <c r="AE42">
        <f>_xll.EQNXTDZ($A$1,$B42,AE$1,$B$1)</f>
        <v>-0.43</v>
      </c>
      <c r="AF42">
        <f>_xll.EQNXTDZ($A$1,$B42,AF$1,$B$1)</f>
        <v>1.33</v>
      </c>
      <c r="AG42">
        <f>_xll.EQNXTDZ($A$1,$B42,AG$1,$B$1)</f>
        <v>-1.1200000000000001</v>
      </c>
      <c r="AH42">
        <f>_xll.EQNXTDZ($A$1,$B42,AH$1,$B$1)</f>
        <v>0.85000000000000098</v>
      </c>
      <c r="AI42">
        <f>_xll.EQNXTDZ($A$1,$B42,AI$1,$B$1)</f>
        <v>0.80999999999999694</v>
      </c>
      <c r="AJ42">
        <f>_xll.EQNXTDZ($A$1,$B42,AJ$1,$B$1)</f>
        <v>6.14</v>
      </c>
      <c r="AK42">
        <f>_xll.EQNXTDZ($A$1,$B42,AK$1,$B$1)</f>
        <v>3.94</v>
      </c>
      <c r="AL42">
        <f>_xll.EQNXTDZ($A$1,$B42,AL$1,$B$1)</f>
        <v>3.3</v>
      </c>
      <c r="AM42">
        <f>_xll.EQNXTDZ($A$1,$B42,AM$1,$B$1)</f>
        <v>16.32</v>
      </c>
      <c r="AN42">
        <f>_xll.EQNXTDZ($A$1,$B42,AN$1,$B$1)</f>
        <v>4.58</v>
      </c>
      <c r="AO42">
        <f>_xll.EQNXTDZ($A$1,$B42,AO$1,$B$1)</f>
        <v>3.79</v>
      </c>
      <c r="AP42">
        <f>_xll.EQNXTDZ($A$1,$B42,AP$1,$B$1)</f>
        <v>2.7899999999999898</v>
      </c>
      <c r="AQ42">
        <f>_xll.EQNXTDZ($A$1,$B42,AQ$1,$B$1)</f>
        <v>3.82</v>
      </c>
      <c r="AR42">
        <f>_xll.EQNXTDZ($A$1,$B42,AR$1,$B$1)</f>
        <v>5.49</v>
      </c>
      <c r="AS42">
        <f>_xll.EQNXTDZ($A$1,$B42,AS$1,$B$1)</f>
        <v>1</v>
      </c>
      <c r="AT42">
        <f>_xll.EQNXTDZ($A$1,$B42,AT$1,$B$1)</f>
        <v>3.3500000000000099</v>
      </c>
      <c r="AU42">
        <f>_xll.EQNXTDZ($A$1,$B42,AU$1,$B$1)</f>
        <v>3.8400000000000101</v>
      </c>
      <c r="AV42">
        <f>_xll.EQNXTDZ($A$1,$B42,AV$1,$B$1)</f>
        <v>3.88</v>
      </c>
      <c r="AW42">
        <f>_xll.EQNXTDZ($A$1,$B42,AW$1,$B$1)</f>
        <v>5.13</v>
      </c>
      <c r="AX42">
        <f>_xll.EQNXTDZ($A$1,$B42,AX$1,$B$1)</f>
        <v>5.9899999999999904</v>
      </c>
      <c r="AY42">
        <f>_xll.EQNXTDZ($A$1,$B42,AY$1,$B$1)</f>
        <v>4.01</v>
      </c>
      <c r="AZ42">
        <f>_xll.EQNXTDZ($A$1,$B42,AZ$1,$B$1)</f>
        <v>3.1899999999999902</v>
      </c>
      <c r="BA42">
        <f>_xll.EQNXTDZ($A$1,$B42,BA$1,$B$1)</f>
        <v>1.63</v>
      </c>
      <c r="BB42">
        <f>_xll.EQNXTDZ($A$1,$B42,BB$1,$B$1)</f>
        <v>5.74000000000001</v>
      </c>
      <c r="BC42">
        <f>_xll.EQNXTDZ($A$1,$B42,BC$1,$B$1)</f>
        <v>6.8200000000000101</v>
      </c>
      <c r="BD42">
        <f>_xll.EQNXTDZ($A$1,$B42,BD$1,$B$1)</f>
        <v>7.23</v>
      </c>
      <c r="BE42">
        <f>_xll.EQNXTDZ($A$1,$B42,BE$1,$B$1)</f>
        <v>4.8899999999999899</v>
      </c>
      <c r="BF42">
        <f>_xll.EQNXTDZ($A$1,$B42,BF$1,$B$1)</f>
        <v>10.66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7.3529999999999998</v>
      </c>
      <c r="D45">
        <f>_xll.EQNXTDZ($A$1,$B45,D$1,$B$1)</f>
        <v>7.3529999999999998</v>
      </c>
      <c r="E45">
        <f>_xll.EQNXTDZ($A$1,$B45,E$1,$B$1)</f>
        <v>7.3529999999999998</v>
      </c>
      <c r="F45">
        <f>_xll.EQNXTDZ($A$1,$B45,F$1,$B$1)</f>
        <v>7.3529999999999998</v>
      </c>
      <c r="G45">
        <f>_xll.EQNXTDZ($A$1,$B45,G$1,$B$1)</f>
        <v>7.3529999999999998</v>
      </c>
      <c r="H45">
        <f>_xll.EQNXTDZ($A$1,$B45,H$1,$B$1)</f>
        <v>7.3529999999999998</v>
      </c>
      <c r="I45">
        <f>_xll.EQNXTDZ($A$1,$B45,I$1,$B$1)</f>
        <v>7.35</v>
      </c>
      <c r="J45">
        <f>_xll.EQNXTDZ($A$1,$B45,J$1,$B$1)</f>
        <v>7.35</v>
      </c>
      <c r="K45">
        <f>_xll.EQNXTDZ($A$1,$B45,K$1,$B$1)</f>
        <v>7.35</v>
      </c>
      <c r="L45">
        <f>_xll.EQNXTDZ($A$1,$B45,L$1,$B$1)</f>
        <v>7.35</v>
      </c>
      <c r="M45">
        <f>_xll.EQNXTDZ($A$1,$B45,M$1,$B$1)</f>
        <v>7.35</v>
      </c>
      <c r="N45">
        <f>_xll.EQNXTDZ($A$1,$B45,N$1,$B$1)</f>
        <v>7.35</v>
      </c>
      <c r="O45">
        <f>_xll.EQNXTDZ($A$1,$B45,O$1,$B$1)</f>
        <v>7.35</v>
      </c>
      <c r="P45">
        <f>_xll.EQNXTDZ($A$1,$B45,P$1,$B$1)</f>
        <v>7.35</v>
      </c>
      <c r="Q45">
        <f>_xll.EQNXTDZ($A$1,$B45,Q$1,$B$1)</f>
        <v>7.35</v>
      </c>
      <c r="R45">
        <f>_xll.EQNXTDZ($A$1,$B45,R$1,$B$1)</f>
        <v>7.35</v>
      </c>
      <c r="S45">
        <f>_xll.EQNXTDZ($A$1,$B45,S$1,$B$1)</f>
        <v>7.35</v>
      </c>
      <c r="T45">
        <f>_xll.EQNXTDZ($A$1,$B45,T$1,$B$1)</f>
        <v>7.35</v>
      </c>
      <c r="U45">
        <f>_xll.EQNXTDZ($A$1,$B45,U$1,$B$1)</f>
        <v>7.35</v>
      </c>
      <c r="V45">
        <f>_xll.EQNXTDZ($A$1,$B45,V$1,$B$1)</f>
        <v>7.35</v>
      </c>
      <c r="W45">
        <f>_xll.EQNXTDZ($A$1,$B45,W$1,$B$1)</f>
        <v>7.35</v>
      </c>
      <c r="X45">
        <f>_xll.EQNXTDZ($A$1,$B45,X$1,$B$1)</f>
        <v>7.35</v>
      </c>
      <c r="Y45">
        <f>_xll.EQNXTDZ($A$1,$B45,Y$1,$B$1)</f>
        <v>7.35</v>
      </c>
      <c r="Z45">
        <f>_xll.EQNXTDZ($A$1,$B45,Z$1,$B$1)</f>
        <v>7.35</v>
      </c>
      <c r="AA45">
        <f>_xll.EQNXTDZ($A$1,$B45,AA$1,$B$1)</f>
        <v>7.35</v>
      </c>
      <c r="AB45">
        <f>_xll.EQNXTDZ($A$1,$B45,AB$1,$B$1)</f>
        <v>7.35</v>
      </c>
      <c r="AC45">
        <f>_xll.EQNXTDZ($A$1,$B45,AC$1,$B$1)</f>
        <v>7.35</v>
      </c>
      <c r="AD45">
        <f>_xll.EQNXTDZ($A$1,$B45,AD$1,$B$1)</f>
        <v>7.35</v>
      </c>
      <c r="AE45">
        <f>_xll.EQNXTDZ($A$1,$B45,AE$1,$B$1)</f>
        <v>7.35</v>
      </c>
      <c r="AF45">
        <f>_xll.EQNXTDZ($A$1,$B45,AF$1,$B$1)</f>
        <v>7.35</v>
      </c>
      <c r="AG45">
        <f>_xll.EQNXTDZ($A$1,$B45,AG$1,$B$1)</f>
        <v>7.35</v>
      </c>
      <c r="AH45">
        <f>_xll.EQNXTDZ($A$1,$B45,AH$1,$B$1)</f>
        <v>7.35</v>
      </c>
      <c r="AI45">
        <f>_xll.EQNXTDZ($A$1,$B45,AI$1,$B$1)</f>
        <v>7.35</v>
      </c>
      <c r="AJ45">
        <f>_xll.EQNXTDZ($A$1,$B45,AJ$1,$B$1)</f>
        <v>7.35</v>
      </c>
      <c r="AK45">
        <f>_xll.EQNXTDZ($A$1,$B45,AK$1,$B$1)</f>
        <v>7.35</v>
      </c>
      <c r="AL45">
        <f>_xll.EQNXTDZ($A$1,$B45,AL$1,$B$1)</f>
        <v>7.35</v>
      </c>
      <c r="AM45">
        <f>_xll.EQNXTDZ($A$1,$B45,AM$1,$B$1)</f>
        <v>7.35</v>
      </c>
      <c r="AN45">
        <f>_xll.EQNXTDZ($A$1,$B45,AN$1,$B$1)</f>
        <v>7.35</v>
      </c>
      <c r="AO45">
        <f>_xll.EQNXTDZ($A$1,$B45,AO$1,$B$1)</f>
        <v>7.35</v>
      </c>
      <c r="AP45">
        <f>_xll.EQNXTDZ($A$1,$B45,AP$1,$B$1)</f>
        <v>7.35</v>
      </c>
      <c r="AQ45">
        <f>_xll.EQNXTDZ($A$1,$B45,AQ$1,$B$1)</f>
        <v>7.35</v>
      </c>
      <c r="AR45">
        <f>_xll.EQNXTDZ($A$1,$B45,AR$1,$B$1)</f>
        <v>7.35</v>
      </c>
      <c r="AS45">
        <f>_xll.EQNXTDZ($A$1,$B45,AS$1,$B$1)</f>
        <v>7.35</v>
      </c>
      <c r="AT45">
        <f>_xll.EQNXTDZ($A$1,$B45,AT$1,$B$1)</f>
        <v>7.35</v>
      </c>
      <c r="AU45">
        <f>_xll.EQNXTDZ($A$1,$B45,AU$1,$B$1)</f>
        <v>7.35</v>
      </c>
      <c r="AV45">
        <f>_xll.EQNXTDZ($A$1,$B45,AV$1,$B$1)</f>
        <v>7.35</v>
      </c>
      <c r="AW45">
        <f>_xll.EQNXTDZ($A$1,$B45,AW$1,$B$1)</f>
        <v>7.35</v>
      </c>
      <c r="AX45">
        <f>_xll.EQNXTDZ($A$1,$B45,AX$1,$B$1)</f>
        <v>7.35</v>
      </c>
      <c r="AY45">
        <f>_xll.EQNXTDZ($A$1,$B45,AY$1,$B$1)</f>
        <v>7.35</v>
      </c>
      <c r="AZ45">
        <f>_xll.EQNXTDZ($A$1,$B45,AZ$1,$B$1)</f>
        <v>7.35</v>
      </c>
      <c r="BA45">
        <f>_xll.EQNXTDZ($A$1,$B45,BA$1,$B$1)</f>
        <v>7.35</v>
      </c>
      <c r="BB45">
        <f>_xll.EQNXTDZ($A$1,$B45,BB$1,$B$1)</f>
        <v>7.35</v>
      </c>
      <c r="BC45">
        <f>_xll.EQNXTDZ($A$1,$B45,BC$1,$B$1)</f>
        <v>7.35</v>
      </c>
      <c r="BD45">
        <f>_xll.EQNXTDZ($A$1,$B45,BD$1,$B$1)</f>
        <v>7.35</v>
      </c>
      <c r="BE45">
        <f>_xll.EQNXTDZ($A$1,$B45,BE$1,$B$1)</f>
        <v>8.7899999999999991</v>
      </c>
      <c r="BF45">
        <f>_xll.EQNXTDZ($A$1,$B45,BF$1,$B$1)</f>
        <v>8.7899999999999991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35.959912896787301</v>
      </c>
      <c r="D48" s="55">
        <f>_xll.EQNXTDZ($A$1,$B48,D$5)</f>
        <v>48.143861436576699</v>
      </c>
      <c r="E48" s="55">
        <f>_xll.EQNXTDZ($A$1,$B48,E$5)</f>
        <v>63.583439950560802</v>
      </c>
      <c r="F48" s="55">
        <f>_xll.EQNXTDZ($A$1,$B48,F$5)</f>
        <v>50.708903234427098</v>
      </c>
      <c r="G48" s="55">
        <f>_xll.EQNXTDZ($A$1,$B48,G$5)</f>
        <v>49.081088247329703</v>
      </c>
      <c r="H48" s="55">
        <f>_xll.EQNXTDZ($A$1,$B48,H$5)</f>
        <v>40.547391496788997</v>
      </c>
      <c r="I48" s="55">
        <f>_xll.EQNXTDZ($A$1,$B48,I$5)</f>
        <v>93.032092898958595</v>
      </c>
      <c r="J48" s="55">
        <f>_xll.EQNXTDZ($A$1,$B48,J$5)</f>
        <v>157.602087387154</v>
      </c>
      <c r="K48" s="55">
        <f>_xll.EQNXTDZ($A$1,$B48,K$5)</f>
        <v>160.265784638768</v>
      </c>
      <c r="L48" s="55">
        <f>_xll.EQNXTDZ($A$1,$B48,L$5)</f>
        <v>241.557878539873</v>
      </c>
      <c r="M48" s="55">
        <f>_xll.EQNXTDZ($A$1,$B48,M$5)</f>
        <v>234.060064053849</v>
      </c>
      <c r="N48" s="55">
        <f>_xll.EQNXTDZ($A$1,$B48,N$5)</f>
        <v>310.96199026247899</v>
      </c>
      <c r="O48" s="55">
        <f>_xll.EQNXTDZ($A$1,$B48,O$5)</f>
        <v>338.78282822377901</v>
      </c>
      <c r="P48" s="55">
        <f>_xll.EQNXTDZ($A$1,$B48,P$5)</f>
        <v>486.37138705394102</v>
      </c>
      <c r="Q48" s="55">
        <f>_xll.EQNXTDZ($A$1,$B48,Q$5)</f>
        <v>471.07979172060197</v>
      </c>
      <c r="R48" s="55">
        <f>_xll.EQNXTDZ($A$1,$B48,R$5)</f>
        <v>323.49123289044002</v>
      </c>
      <c r="S48" s="55">
        <f>_xll.EQNXTDZ($A$1,$B48,S$5)</f>
        <v>317.96652747968602</v>
      </c>
      <c r="T48" s="55">
        <f>_xll.EQNXTDZ($A$1,$B48,T$5)</f>
        <v>343.51829000442598</v>
      </c>
      <c r="U48" s="55">
        <f>_xll.EQNXTDZ($A$1,$B48,U$5)</f>
        <v>309.58081390978998</v>
      </c>
      <c r="V48" s="55">
        <f>_xll.EQNXTDZ($A$1,$B48,V$5)</f>
        <v>276.235270537735</v>
      </c>
      <c r="W48" s="55">
        <f>_xll.EQNXTDZ($A$1,$B48,W$5)</f>
        <v>308.79157027968199</v>
      </c>
      <c r="X48" s="55">
        <f>_xll.EQNXTDZ($A$1,$B48,X$5)</f>
        <v>249.54897029471499</v>
      </c>
      <c r="Y48" s="55">
        <f>_xll.EQNXTDZ($A$1,$B48,Y$5)</f>
        <v>352.051986754967</v>
      </c>
      <c r="Z48" s="55">
        <f>_xll.EQNXTDZ($A$1,$B48,Z$5)</f>
        <v>279.68821141945699</v>
      </c>
      <c r="AA48" s="55">
        <f>_xll.EQNXTDZ($A$1,$B48,AA$5)</f>
        <v>256.50417978503998</v>
      </c>
      <c r="AB48" s="55">
        <f>_xll.EQNXTDZ($A$1,$B48,AB$5)</f>
        <v>221.87611551405899</v>
      </c>
      <c r="AC48" s="55">
        <f>_xll.EQNXTDZ($A$1,$B48,AC$5)</f>
        <v>178.073094043076</v>
      </c>
      <c r="AD48" s="55">
        <f>_xll.EQNXTDZ($A$1,$B48,AD$5)</f>
        <v>159.575196462424</v>
      </c>
      <c r="AE48" s="55">
        <f>_xll.EQNXTDZ($A$1,$B48,AE$5)</f>
        <v>145.072844759193</v>
      </c>
      <c r="AF48" s="55">
        <f>_xll.EQNXTDZ($A$1,$B48,AF$5)</f>
        <v>121.83948539789399</v>
      </c>
      <c r="AG48" s="55">
        <f>_xll.EQNXTDZ($A$1,$B48,AG$5)</f>
        <v>115.77217499144</v>
      </c>
      <c r="AH48" s="55">
        <f>_xll.EQNXTDZ($A$1,$B48,AH$5)</f>
        <v>66.888397651637305</v>
      </c>
      <c r="AI48" s="55">
        <f>_xll.EQNXTDZ($A$1,$B48,AI$5)</f>
        <v>97.570243772078499</v>
      </c>
      <c r="AJ48" s="55">
        <f>_xll.EQNXTDZ($A$1,$B48,AJ$5)</f>
        <v>124.60183810327101</v>
      </c>
      <c r="AK48" s="55">
        <f>_xll.EQNXTDZ($A$1,$B48,AK$5)</f>
        <v>211.46796514201199</v>
      </c>
      <c r="AL48" s="55">
        <f>_xll.EQNXTDZ($A$1,$B48,AL$5)</f>
        <v>191.53956348179</v>
      </c>
      <c r="AM48" s="55">
        <f>_xll.EQNXTDZ($A$1,$B48,AM$5)</f>
        <v>300.701823071077</v>
      </c>
      <c r="AN48" s="55">
        <f>_xll.EQNXTDZ($A$1,$B48,AN$5)</f>
        <v>337.45097959797198</v>
      </c>
      <c r="AO48" s="55">
        <f>_xll.EQNXTDZ($A$1,$B48,AO$5)</f>
        <v>500.52844466900001</v>
      </c>
      <c r="AP48" s="55">
        <f>_xll.EQNXTDZ($A$1,$B48,AP$5)</f>
        <v>610.67725879592103</v>
      </c>
      <c r="AQ48" s="55">
        <f>_xll.EQNXTDZ($A$1,$B48,AQ$5)</f>
        <v>453.963070492638</v>
      </c>
      <c r="AR48" s="55">
        <f>_xll.EQNXTDZ($A$1,$B48,AR$5)</f>
        <v>526.03087946685798</v>
      </c>
      <c r="AS48" s="55">
        <f>_xll.EQNXTDZ($A$1,$B48,AS$5)</f>
        <v>536.98163483460405</v>
      </c>
      <c r="AT48" s="55">
        <f>_xll.EQNXTDZ($A$1,$B48,AT$5)</f>
        <v>561.99079236364503</v>
      </c>
      <c r="AU48" s="55">
        <f>_xll.EQNXTDZ($A$1,$B48,AU$5)</f>
        <v>705.28783895509503</v>
      </c>
      <c r="AV48" s="55">
        <f>_xll.EQNXTDZ($A$1,$B48,AV$5)</f>
        <v>799.84909138738794</v>
      </c>
      <c r="AW48" s="55">
        <f>_xll.EQNXTDZ($A$1,$B48,AW$5)</f>
        <v>818.74161078309396</v>
      </c>
      <c r="AX48" s="55">
        <f>_xll.EQNXTDZ($A$1,$B48,AX$5)</f>
        <v>804.04194817233599</v>
      </c>
      <c r="AY48" s="55">
        <f>_xll.EQNXTDZ($A$1,$B48,AY$5)</f>
        <v>1011.81033379822</v>
      </c>
      <c r="AZ48" s="55">
        <f>_xll.EQNXTDZ($A$1,$B48,AZ$5)</f>
        <v>907.77815780463197</v>
      </c>
      <c r="BA48" s="55">
        <f>_xll.EQNXTDZ($A$1,$B48,BA$5)</f>
        <v>872.16353899601597</v>
      </c>
      <c r="BB48" s="55">
        <f>_xll.EQNXTDZ($A$1,$B48,BB$5)</f>
        <v>672.28758967121303</v>
      </c>
      <c r="BC48" s="55">
        <f>_xll.EQNXTDZ($A$1,$B48,BC$5)</f>
        <v>752.93842312285506</v>
      </c>
      <c r="BD48" s="55">
        <f>_xll.EQNXTDZ($A$1,$B48,BD$5)</f>
        <v>912.5</v>
      </c>
      <c r="BE48" s="55">
        <f>_xll.EQNXTDZ($A$1,$B48,BE$5)</f>
        <v>899.15</v>
      </c>
      <c r="BF48" s="55">
        <f>_xll.EQNXTDZ($A$1,$B48,BF$5)</f>
        <v>729.1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63.54</v>
      </c>
      <c r="D49" s="55">
        <f>_xll.EQNXTDZ($A$1,$B49,D$5)</f>
        <v>63.54</v>
      </c>
      <c r="E49" s="55">
        <f>_xll.EQNXTDZ($A$1,$B49,E$5)</f>
        <v>62.36</v>
      </c>
      <c r="F49" s="55">
        <f>_xll.EQNXTDZ($A$1,$B49,F$5)</f>
        <v>62.36</v>
      </c>
      <c r="G49" s="55">
        <f>_xll.EQNXTDZ($A$1,$B49,G$5)</f>
        <v>62.36</v>
      </c>
      <c r="H49" s="55">
        <f>_xll.EQNXTDZ($A$1,$B49,H$5)</f>
        <v>62.36</v>
      </c>
      <c r="I49" s="55">
        <f>_xll.EQNXTDZ($A$1,$B49,I$5)</f>
        <v>62.36</v>
      </c>
      <c r="J49" s="55">
        <f>_xll.EQNXTDZ($A$1,$B49,J$5)</f>
        <v>62.36</v>
      </c>
      <c r="K49" s="55">
        <f>_xll.EQNXTDZ($A$1,$B49,K$5)</f>
        <v>62.36</v>
      </c>
      <c r="L49" s="55">
        <f>_xll.EQNXTDZ($A$1,$B49,L$5)</f>
        <v>62.36</v>
      </c>
      <c r="M49" s="55">
        <f>_xll.EQNXTDZ($A$1,$B49,M$5)</f>
        <v>62.36</v>
      </c>
      <c r="N49" s="55">
        <f>_xll.EQNXTDZ($A$1,$B49,N$5)</f>
        <v>62.36</v>
      </c>
      <c r="O49" s="55">
        <f>_xll.EQNXTDZ($A$1,$B49,O$5)</f>
        <v>62.36</v>
      </c>
      <c r="P49" s="55">
        <f>_xll.EQNXTDZ($A$1,$B49,P$5)</f>
        <v>62.36</v>
      </c>
      <c r="Q49" s="55">
        <f>_xll.EQNXTDZ($A$1,$B49,Q$5)</f>
        <v>62.36</v>
      </c>
      <c r="R49" s="55">
        <f>_xll.EQNXTDZ($A$1,$B49,R$5)</f>
        <v>62.36</v>
      </c>
      <c r="S49" s="55">
        <f>_xll.EQNXTDZ($A$1,$B49,S$5)</f>
        <v>62.36</v>
      </c>
      <c r="T49" s="55">
        <f>_xll.EQNXTDZ($A$1,$B49,T$5)</f>
        <v>62.36</v>
      </c>
      <c r="U49" s="55">
        <f>_xll.EQNXTDZ($A$1,$B49,U$5)</f>
        <v>62.36</v>
      </c>
      <c r="V49" s="55">
        <f>_xll.EQNXTDZ($A$1,$B49,V$5)</f>
        <v>62.36</v>
      </c>
      <c r="W49" s="55">
        <f>_xll.EQNXTDZ($A$1,$B49,W$5)</f>
        <v>62.36</v>
      </c>
      <c r="X49" s="55">
        <f>_xll.EQNXTDZ($A$1,$B49,X$5)</f>
        <v>62.36</v>
      </c>
      <c r="Y49" s="55">
        <f>_xll.EQNXTDZ($A$1,$B49,Y$5)</f>
        <v>62.36</v>
      </c>
      <c r="Z49" s="55">
        <f>_xll.EQNXTDZ($A$1,$B49,Z$5)</f>
        <v>62.36</v>
      </c>
      <c r="AA49" s="55">
        <f>_xll.EQNXTDZ($A$1,$B49,AA$5)</f>
        <v>62.36</v>
      </c>
      <c r="AB49" s="55">
        <f>_xll.EQNXTDZ($A$1,$B49,AB$5)</f>
        <v>62.36</v>
      </c>
      <c r="AC49" s="55">
        <f>_xll.EQNXTDZ($A$1,$B49,AC$5)</f>
        <v>62.36</v>
      </c>
      <c r="AD49" s="55">
        <f>_xll.EQNXTDZ($A$1,$B49,AD$5)</f>
        <v>62.36</v>
      </c>
      <c r="AE49" s="55">
        <f>_xll.EQNXTDZ($A$1,$B49,AE$5)</f>
        <v>62.36</v>
      </c>
      <c r="AF49" s="55">
        <f>_xll.EQNXTDZ($A$1,$B49,AF$5)</f>
        <v>62.36</v>
      </c>
      <c r="AG49" s="55">
        <f>_xll.EQNXTDZ($A$1,$B49,AG$5)</f>
        <v>62.36</v>
      </c>
      <c r="AH49" s="55">
        <f>_xll.EQNXTDZ($A$1,$B49,AH$5)</f>
        <v>62.36</v>
      </c>
      <c r="AI49" s="55">
        <f>_xll.EQNXTDZ($A$1,$B49,AI$5)</f>
        <v>62.36</v>
      </c>
      <c r="AJ49" s="55">
        <f>_xll.EQNXTDZ($A$1,$B49,AJ$5)</f>
        <v>62.36</v>
      </c>
      <c r="AK49" s="55">
        <f>_xll.EQNXTDZ($A$1,$B49,AK$5)</f>
        <v>62.36</v>
      </c>
      <c r="AL49" s="55">
        <f>_xll.EQNXTDZ($A$1,$B49,AL$5)</f>
        <v>62.36</v>
      </c>
      <c r="AM49" s="55">
        <f>_xll.EQNXTDZ($A$1,$B49,AM$5)</f>
        <v>62.36</v>
      </c>
      <c r="AN49" s="55">
        <f>_xll.EQNXTDZ($A$1,$B49,AN$5)</f>
        <v>62.36</v>
      </c>
      <c r="AO49" s="55">
        <f>_xll.EQNXTDZ($A$1,$B49,AO$5)</f>
        <v>62.36</v>
      </c>
      <c r="AP49" s="55">
        <f>_xll.EQNXTDZ($A$1,$B49,AP$5)</f>
        <v>62.36</v>
      </c>
      <c r="AQ49" s="55">
        <f>_xll.EQNXTDZ($A$1,$B49,AQ$5)</f>
        <v>62.36</v>
      </c>
      <c r="AR49" s="55">
        <f>_xll.EQNXTDZ($A$1,$B49,AR$5)</f>
        <v>62.36</v>
      </c>
      <c r="AS49" s="55">
        <f>_xll.EQNXTDZ($A$1,$B49,AS$5)</f>
        <v>62.36</v>
      </c>
      <c r="AT49" s="55">
        <f>_xll.EQNXTDZ($A$1,$B49,AT$5)</f>
        <v>62.36</v>
      </c>
      <c r="AU49" s="55">
        <f>_xll.EQNXTDZ($A$1,$B49,AU$5)</f>
        <v>62.36</v>
      </c>
      <c r="AV49" s="55">
        <f>_xll.EQNXTDZ($A$1,$B49,AV$5)</f>
        <v>62.36</v>
      </c>
      <c r="AW49" s="55">
        <f>_xll.EQNXTDZ($A$1,$B49,AW$5)</f>
        <v>62.36</v>
      </c>
      <c r="AX49" s="55">
        <f>_xll.EQNXTDZ($A$1,$B49,AX$5)</f>
        <v>62.36</v>
      </c>
      <c r="AY49" s="55">
        <f>_xll.EQNXTDZ($A$1,$B49,AY$5)</f>
        <v>62.36</v>
      </c>
      <c r="AZ49" s="55">
        <f>_xll.EQNXTDZ($A$1,$B49,AZ$5)</f>
        <v>62.36</v>
      </c>
      <c r="BA49" s="55">
        <f>_xll.EQNXTDZ($A$1,$B49,BA$5)</f>
        <v>62.36</v>
      </c>
      <c r="BB49" s="55">
        <f>_xll.EQNXTDZ($A$1,$B49,BB$5)</f>
        <v>64.45</v>
      </c>
      <c r="BC49" s="55">
        <f>_xll.EQNXTDZ($A$1,$B49,BC$5)</f>
        <v>64.45</v>
      </c>
      <c r="BD49" s="55">
        <f>_xll.EQNXTDZ($A$1,$B49,BD$5)</f>
        <v>64.45</v>
      </c>
      <c r="BE49" s="55">
        <f>_xll.EQNXTDZ($A$1,$B49,BE$5)</f>
        <v>66.02</v>
      </c>
      <c r="BF49" s="55">
        <f>_xll.EQNXTDZ($A$1,$B49,BF$5)</f>
        <v>66.53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7.3529999999999998</v>
      </c>
      <c r="E56" s="55">
        <f>_xll.EQNXTDZ($A$1,$B56,E$5,$B$1)</f>
        <v>0</v>
      </c>
      <c r="F56" s="55">
        <f>_xll.EQNXTDZ($A$1,$B56,F$5,$B$1)</f>
        <v>7.3529999999999998</v>
      </c>
      <c r="G56" s="55">
        <f>_xll.EQNXTDZ($A$1,$B56,G$5,$B$1)</f>
        <v>0</v>
      </c>
      <c r="H56" s="55">
        <f>_xll.EQNXTDZ($A$1,$B56,H$5,$B$1)</f>
        <v>7.35</v>
      </c>
      <c r="I56" s="55">
        <f>_xll.EQNXTDZ($A$1,$B56,I$5,$B$1)</f>
        <v>0</v>
      </c>
      <c r="J56" s="55">
        <f>_xll.EQNXTDZ($A$1,$B56,J$5,$B$1)</f>
        <v>7.35</v>
      </c>
      <c r="K56" s="55">
        <f>_xll.EQNXTDZ($A$1,$B56,K$5,$B$1)</f>
        <v>0</v>
      </c>
      <c r="L56" s="55">
        <f>_xll.EQNXTDZ($A$1,$B56,L$5,$B$1)</f>
        <v>7.35</v>
      </c>
      <c r="M56" s="55">
        <f>_xll.EQNXTDZ($A$1,$B56,M$5,$B$1)</f>
        <v>0</v>
      </c>
      <c r="N56" s="55">
        <f>_xll.EQNXTDZ($A$1,$B56,N$5,$B$1)</f>
        <v>7.35</v>
      </c>
      <c r="O56" s="55">
        <f>_xll.EQNXTDZ($A$1,$B56,O$5,$B$1)</f>
        <v>0</v>
      </c>
      <c r="P56" s="55">
        <f>_xll.EQNXTDZ($A$1,$B56,P$5,$B$1)</f>
        <v>7.35</v>
      </c>
      <c r="Q56" s="55">
        <f>_xll.EQNXTDZ($A$1,$B56,Q$5,$B$1)</f>
        <v>0</v>
      </c>
      <c r="R56" s="55">
        <f>_xll.EQNXTDZ($A$1,$B56,R$5,$B$1)</f>
        <v>7.35</v>
      </c>
      <c r="S56" s="55">
        <f>_xll.EQNXTDZ($A$1,$B56,S$5,$B$1)</f>
        <v>0</v>
      </c>
      <c r="T56" s="55">
        <f>_xll.EQNXTDZ($A$1,$B56,T$5,$B$1)</f>
        <v>7.35</v>
      </c>
      <c r="U56" s="55">
        <f>_xll.EQNXTDZ($A$1,$B56,U$5,$B$1)</f>
        <v>0</v>
      </c>
      <c r="V56" s="55">
        <f>_xll.EQNXTDZ($A$1,$B56,V$5,$B$1)</f>
        <v>7.35</v>
      </c>
      <c r="W56" s="55">
        <f>_xll.EQNXTDZ($A$1,$B56,W$5,$B$1)</f>
        <v>0</v>
      </c>
      <c r="X56" s="55">
        <f>_xll.EQNXTDZ($A$1,$B56,X$5,$B$1)</f>
        <v>7.35</v>
      </c>
      <c r="Y56" s="55">
        <f>_xll.EQNXTDZ($A$1,$B56,Y$5,$B$1)</f>
        <v>0</v>
      </c>
      <c r="Z56" s="55">
        <f>_xll.EQNXTDZ($A$1,$B56,Z$5,$B$1)</f>
        <v>7.35</v>
      </c>
      <c r="AA56" s="55">
        <f>_xll.EQNXTDZ($A$1,$B56,AA$5,$B$1)</f>
        <v>0</v>
      </c>
      <c r="AB56" s="55">
        <f>_xll.EQNXTDZ($A$1,$B56,AB$5,$B$1)</f>
        <v>7.35</v>
      </c>
      <c r="AC56" s="55">
        <f>_xll.EQNXTDZ($A$1,$B56,AC$5,$B$1)</f>
        <v>0</v>
      </c>
      <c r="AD56" s="55">
        <f>_xll.EQNXTDZ($A$1,$B56,AD$5,$B$1)</f>
        <v>7.35</v>
      </c>
      <c r="AE56" s="55">
        <f>_xll.EQNXTDZ($A$1,$B56,AE$5,$B$1)</f>
        <v>0</v>
      </c>
      <c r="AF56" s="55">
        <f>_xll.EQNXTDZ($A$1,$B56,AF$5,$B$1)</f>
        <v>7.35</v>
      </c>
      <c r="AG56" s="55">
        <f>_xll.EQNXTDZ($A$1,$B56,AG$5,$B$1)</f>
        <v>0</v>
      </c>
      <c r="AH56" s="55">
        <f>_xll.EQNXTDZ($A$1,$B56,AH$5,$B$1)</f>
        <v>7.35</v>
      </c>
      <c r="AI56" s="55">
        <f>_xll.EQNXTDZ($A$1,$B56,AI$5,$B$1)</f>
        <v>0</v>
      </c>
      <c r="AJ56" s="55">
        <f>_xll.EQNXTDZ($A$1,$B56,AJ$5,$B$1)</f>
        <v>7.35</v>
      </c>
      <c r="AK56" s="55">
        <f>_xll.EQNXTDZ($A$1,$B56,AK$5,$B$1)</f>
        <v>0</v>
      </c>
      <c r="AL56" s="55">
        <f>_xll.EQNXTDZ($A$1,$B56,AL$5,$B$1)</f>
        <v>7.35</v>
      </c>
      <c r="AM56" s="55">
        <f>_xll.EQNXTDZ($A$1,$B56,AM$5,$B$1)</f>
        <v>0</v>
      </c>
      <c r="AN56" s="55">
        <f>_xll.EQNXTDZ($A$1,$B56,AN$5,$B$1)</f>
        <v>7.35</v>
      </c>
      <c r="AO56" s="55">
        <f>_xll.EQNXTDZ($A$1,$B56,AO$5,$B$1)</f>
        <v>0</v>
      </c>
      <c r="AP56" s="55">
        <f>_xll.EQNXTDZ($A$1,$B56,AP$5,$B$1)</f>
        <v>7.35</v>
      </c>
      <c r="AQ56" s="55">
        <f>_xll.EQNXTDZ($A$1,$B56,AQ$5,$B$1)</f>
        <v>0</v>
      </c>
      <c r="AR56" s="55">
        <f>_xll.EQNXTDZ($A$1,$B56,AR$5,$B$1)</f>
        <v>7.35</v>
      </c>
      <c r="AS56" s="55">
        <f>_xll.EQNXTDZ($A$1,$B56,AS$5,$B$1)</f>
        <v>0</v>
      </c>
      <c r="AT56" s="55">
        <f>_xll.EQNXTDZ($A$1,$B56,AT$5,$B$1)</f>
        <v>7.35</v>
      </c>
      <c r="AU56" s="55">
        <f>_xll.EQNXTDZ($A$1,$B56,AU$5,$B$1)</f>
        <v>0</v>
      </c>
      <c r="AV56" s="55">
        <f>_xll.EQNXTDZ($A$1,$B56,AV$5,$B$1)</f>
        <v>7.35</v>
      </c>
      <c r="AW56" s="55">
        <f>_xll.EQNXTDZ($A$1,$B56,AW$5,$B$1)</f>
        <v>0</v>
      </c>
      <c r="AX56" s="55">
        <f>_xll.EQNXTDZ($A$1,$B56,AX$5,$B$1)</f>
        <v>7.35</v>
      </c>
      <c r="AY56" s="55">
        <f>_xll.EQNXTDZ($A$1,$B56,AY$5,$B$1)</f>
        <v>0</v>
      </c>
      <c r="AZ56" s="55">
        <f>_xll.EQNXTDZ($A$1,$B56,AZ$5,$B$1)</f>
        <v>7.35</v>
      </c>
      <c r="BA56" s="55">
        <f>_xll.EQNXTDZ($A$1,$B56,BA$5,$B$1)</f>
        <v>0</v>
      </c>
      <c r="BB56" s="55">
        <f>_xll.EQNXTDZ($A$1,$B56,BB$5,$B$1)</f>
        <v>7.35</v>
      </c>
      <c r="BC56" s="55">
        <f>_xll.EQNXTDZ($A$1,$B56,BC$5,$B$1)</f>
        <v>0</v>
      </c>
      <c r="BD56" s="55">
        <f>_xll.EQNXTDZ($A$1,$B56,BD$5,$B$1)</f>
        <v>7.35</v>
      </c>
      <c r="BE56" s="55">
        <f>_xll.EQNXTDZ($A$1,$B56,BE$5,$B$1)</f>
        <v>0</v>
      </c>
      <c r="BF56" s="55">
        <f>_xll.EQNXTDZ($A$1,$B56,BF$5,$B$1)</f>
        <v>8.7899999999999991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14.071999999999999</v>
      </c>
      <c r="E58" s="55">
        <f>_xll.EQNXTDZ($A$1,$B58,E$5,$B$1)</f>
        <v>0</v>
      </c>
      <c r="F58" s="55">
        <f>_xll.EQNXTDZ($A$1,$B58,F$5,$B$1)</f>
        <v>14.106</v>
      </c>
      <c r="G58" s="55">
        <f>_xll.EQNXTDZ($A$1,$B58,G$5,$B$1)</f>
        <v>0</v>
      </c>
      <c r="H58" s="55">
        <f>_xll.EQNXTDZ($A$1,$B58,H$5,$B$1)</f>
        <v>14.99</v>
      </c>
      <c r="I58" s="55">
        <f>_xll.EQNXTDZ($A$1,$B58,I$5,$B$1)</f>
        <v>0</v>
      </c>
      <c r="J58" s="55">
        <f>_xll.EQNXTDZ($A$1,$B58,J$5,$B$1)</f>
        <v>13.7</v>
      </c>
      <c r="K58" s="55">
        <f>_xll.EQNXTDZ($A$1,$B58,K$5,$B$1)</f>
        <v>0</v>
      </c>
      <c r="L58" s="55">
        <f>_xll.EQNXTDZ($A$1,$B58,L$5,$B$1)</f>
        <v>13.24</v>
      </c>
      <c r="M58" s="55">
        <f>_xll.EQNXTDZ($A$1,$B58,M$5,$B$1)</f>
        <v>0</v>
      </c>
      <c r="N58" s="55">
        <f>_xll.EQNXTDZ($A$1,$B58,N$5,$B$1)</f>
        <v>10.29</v>
      </c>
      <c r="O58" s="55">
        <f>_xll.EQNXTDZ($A$1,$B58,O$5,$B$1)</f>
        <v>0</v>
      </c>
      <c r="P58" s="55">
        <f>_xll.EQNXTDZ($A$1,$B58,P$5,$B$1)</f>
        <v>10.81</v>
      </c>
      <c r="Q58" s="55">
        <f>_xll.EQNXTDZ($A$1,$B58,Q$5,$B$1)</f>
        <v>0</v>
      </c>
      <c r="R58" s="55">
        <f>_xll.EQNXTDZ($A$1,$B58,R$5,$B$1)</f>
        <v>9.4499999999999993</v>
      </c>
      <c r="S58" s="55">
        <f>_xll.EQNXTDZ($A$1,$B58,S$5,$B$1)</f>
        <v>0</v>
      </c>
      <c r="T58" s="55">
        <f>_xll.EQNXTDZ($A$1,$B58,T$5,$B$1)</f>
        <v>8.59</v>
      </c>
      <c r="U58" s="55">
        <f>_xll.EQNXTDZ($A$1,$B58,U$5,$B$1)</f>
        <v>0</v>
      </c>
      <c r="V58" s="55">
        <f>_xll.EQNXTDZ($A$1,$B58,V$5,$B$1)</f>
        <v>2.4900000000000002</v>
      </c>
      <c r="W58" s="55">
        <f>_xll.EQNXTDZ($A$1,$B58,W$5,$B$1)</f>
        <v>0</v>
      </c>
      <c r="X58" s="55">
        <f>_xll.EQNXTDZ($A$1,$B58,X$5,$B$1)</f>
        <v>1.98</v>
      </c>
      <c r="Y58" s="55">
        <f>_xll.EQNXTDZ($A$1,$B58,Y$5,$B$1)</f>
        <v>0</v>
      </c>
      <c r="Z58" s="55">
        <f>_xll.EQNXTDZ($A$1,$B58,Z$5,$B$1)</f>
        <v>3.74</v>
      </c>
      <c r="AA58" s="55">
        <f>_xll.EQNXTDZ($A$1,$B58,AA$5,$B$1)</f>
        <v>0</v>
      </c>
      <c r="AB58" s="55">
        <f>_xll.EQNXTDZ($A$1,$B58,AB$5,$B$1)</f>
        <v>4.43</v>
      </c>
      <c r="AC58" s="55">
        <f>_xll.EQNXTDZ($A$1,$B58,AC$5,$B$1)</f>
        <v>0</v>
      </c>
      <c r="AD58" s="55">
        <f>_xll.EQNXTDZ($A$1,$B58,AD$5,$B$1)</f>
        <v>3.92</v>
      </c>
      <c r="AE58" s="55">
        <f>_xll.EQNXTDZ($A$1,$B58,AE$5,$B$1)</f>
        <v>0</v>
      </c>
      <c r="AF58" s="55">
        <f>_xll.EQNXTDZ($A$1,$B58,AF$5,$B$1)</f>
        <v>4.8</v>
      </c>
      <c r="AG58" s="55">
        <f>_xll.EQNXTDZ($A$1,$B58,AG$5,$B$1)</f>
        <v>0</v>
      </c>
      <c r="AH58" s="55">
        <f>_xll.EQNXTDZ($A$1,$B58,AH$5,$B$1)</f>
        <v>4.47</v>
      </c>
      <c r="AI58" s="55">
        <f>_xll.EQNXTDZ($A$1,$B58,AI$5,$B$1)</f>
        <v>0</v>
      </c>
      <c r="AJ58" s="55">
        <f>_xll.EQNXTDZ($A$1,$B58,AJ$5,$B$1)</f>
        <v>11.37</v>
      </c>
      <c r="AK58" s="55">
        <f>_xll.EQNXTDZ($A$1,$B58,AK$5,$B$1)</f>
        <v>0</v>
      </c>
      <c r="AL58" s="55">
        <f>_xll.EQNXTDZ($A$1,$B58,AL$5,$B$1)</f>
        <v>18.79</v>
      </c>
      <c r="AM58" s="55">
        <f>_xll.EQNXTDZ($A$1,$B58,AM$5,$B$1)</f>
        <v>0</v>
      </c>
      <c r="AN58" s="55">
        <f>_xll.EQNXTDZ($A$1,$B58,AN$5,$B$1)</f>
        <v>39.770000000000003</v>
      </c>
      <c r="AO58" s="55">
        <f>_xll.EQNXTDZ($A$1,$B58,AO$5,$B$1)</f>
        <v>0</v>
      </c>
      <c r="AP58" s="55">
        <f>_xll.EQNXTDZ($A$1,$B58,AP$5,$B$1)</f>
        <v>46.32</v>
      </c>
      <c r="AQ58" s="55">
        <f>_xll.EQNXTDZ($A$1,$B58,AQ$5,$B$1)</f>
        <v>0</v>
      </c>
      <c r="AR58" s="55">
        <f>_xll.EQNXTDZ($A$1,$B58,AR$5,$B$1)</f>
        <v>54.19</v>
      </c>
      <c r="AS58" s="55">
        <f>_xll.EQNXTDZ($A$1,$B58,AS$5,$B$1)</f>
        <v>0</v>
      </c>
      <c r="AT58" s="55">
        <f>_xll.EQNXTDZ($A$1,$B58,AT$5,$B$1)</f>
        <v>58.65</v>
      </c>
      <c r="AU58" s="55">
        <f>_xll.EQNXTDZ($A$1,$B58,AU$5,$B$1)</f>
        <v>0</v>
      </c>
      <c r="AV58" s="55">
        <f>_xll.EQNXTDZ($A$1,$B58,AV$5,$B$1)</f>
        <v>64.97</v>
      </c>
      <c r="AW58" s="55">
        <f>_xll.EQNXTDZ($A$1,$B58,AW$5,$B$1)</f>
        <v>0</v>
      </c>
      <c r="AX58" s="55">
        <f>_xll.EQNXTDZ($A$1,$B58,AX$5,$B$1)</f>
        <v>74.84</v>
      </c>
      <c r="AY58" s="55">
        <f>_xll.EQNXTDZ($A$1,$B58,AY$5,$B$1)</f>
        <v>0</v>
      </c>
      <c r="AZ58" s="55">
        <f>_xll.EQNXTDZ($A$1,$B58,AZ$5,$B$1)</f>
        <v>81</v>
      </c>
      <c r="BA58" s="55">
        <f>_xll.EQNXTDZ($A$1,$B58,BA$5,$B$1)</f>
        <v>0</v>
      </c>
      <c r="BB58" s="55">
        <f>_xll.EQNXTDZ($A$1,$B58,BB$5,$B$1)</f>
        <v>88.34</v>
      </c>
      <c r="BC58" s="55">
        <f>_xll.EQNXTDZ($A$1,$B58,BC$5,$B$1)</f>
        <v>0</v>
      </c>
      <c r="BD58" s="55">
        <f>_xll.EQNXTDZ($A$1,$B58,BD$5,$B$1)</f>
        <v>100.44</v>
      </c>
      <c r="BE58" s="55">
        <f>_xll.EQNXTDZ($A$1,$B58,BE$5,$B$1)</f>
        <v>0</v>
      </c>
      <c r="BF58" s="55">
        <f>_xll.EQNXTDZ($A$1,$B58,BF$5,$B$1)</f>
        <v>243.39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21.425000000000001</v>
      </c>
      <c r="E59" s="55">
        <f>_xll.EQNXTDZ($A$1,$B59,E$5,$B$1)</f>
        <v>0</v>
      </c>
      <c r="F59" s="55">
        <f>_xll.EQNXTDZ($A$1,$B59,F$5,$B$1)</f>
        <v>21.459</v>
      </c>
      <c r="G59" s="55">
        <f>_xll.EQNXTDZ($A$1,$B59,G$5,$B$1)</f>
        <v>0</v>
      </c>
      <c r="H59" s="55">
        <f>_xll.EQNXTDZ($A$1,$B59,H$5,$B$1)</f>
        <v>22.34</v>
      </c>
      <c r="I59" s="55">
        <f>_xll.EQNXTDZ($A$1,$B59,I$5,$B$1)</f>
        <v>0</v>
      </c>
      <c r="J59" s="55">
        <f>_xll.EQNXTDZ($A$1,$B59,J$5,$B$1)</f>
        <v>21.05</v>
      </c>
      <c r="K59" s="55">
        <f>_xll.EQNXTDZ($A$1,$B59,K$5,$B$1)</f>
        <v>0</v>
      </c>
      <c r="L59" s="55">
        <f>_xll.EQNXTDZ($A$1,$B59,L$5,$B$1)</f>
        <v>20.59</v>
      </c>
      <c r="M59" s="55">
        <f>_xll.EQNXTDZ($A$1,$B59,M$5,$B$1)</f>
        <v>0</v>
      </c>
      <c r="N59" s="55">
        <f>_xll.EQNXTDZ($A$1,$B59,N$5,$B$1)</f>
        <v>17.64</v>
      </c>
      <c r="O59" s="55">
        <f>_xll.EQNXTDZ($A$1,$B59,O$5,$B$1)</f>
        <v>0</v>
      </c>
      <c r="P59" s="55">
        <f>_xll.EQNXTDZ($A$1,$B59,P$5,$B$1)</f>
        <v>18.16</v>
      </c>
      <c r="Q59" s="55">
        <f>_xll.EQNXTDZ($A$1,$B59,Q$5,$B$1)</f>
        <v>0</v>
      </c>
      <c r="R59" s="55">
        <f>_xll.EQNXTDZ($A$1,$B59,R$5,$B$1)</f>
        <v>16.8</v>
      </c>
      <c r="S59" s="55">
        <f>_xll.EQNXTDZ($A$1,$B59,S$5,$B$1)</f>
        <v>0</v>
      </c>
      <c r="T59" s="55">
        <f>_xll.EQNXTDZ($A$1,$B59,T$5,$B$1)</f>
        <v>15.94</v>
      </c>
      <c r="U59" s="55">
        <f>_xll.EQNXTDZ($A$1,$B59,U$5,$B$1)</f>
        <v>0</v>
      </c>
      <c r="V59" s="55">
        <f>_xll.EQNXTDZ($A$1,$B59,V$5,$B$1)</f>
        <v>9.84</v>
      </c>
      <c r="W59" s="55">
        <f>_xll.EQNXTDZ($A$1,$B59,W$5,$B$1)</f>
        <v>0</v>
      </c>
      <c r="X59" s="55">
        <f>_xll.EQNXTDZ($A$1,$B59,X$5,$B$1)</f>
        <v>9.33</v>
      </c>
      <c r="Y59" s="55">
        <f>_xll.EQNXTDZ($A$1,$B59,Y$5,$B$1)</f>
        <v>0</v>
      </c>
      <c r="Z59" s="55">
        <f>_xll.EQNXTDZ($A$1,$B59,Z$5,$B$1)</f>
        <v>11.09</v>
      </c>
      <c r="AA59" s="55">
        <f>_xll.EQNXTDZ($A$1,$B59,AA$5,$B$1)</f>
        <v>0</v>
      </c>
      <c r="AB59" s="55">
        <f>_xll.EQNXTDZ($A$1,$B59,AB$5,$B$1)</f>
        <v>11.78</v>
      </c>
      <c r="AC59" s="55">
        <f>_xll.EQNXTDZ($A$1,$B59,AC$5,$B$1)</f>
        <v>0</v>
      </c>
      <c r="AD59" s="55">
        <f>_xll.EQNXTDZ($A$1,$B59,AD$5,$B$1)</f>
        <v>11.27</v>
      </c>
      <c r="AE59" s="55">
        <f>_xll.EQNXTDZ($A$1,$B59,AE$5,$B$1)</f>
        <v>0</v>
      </c>
      <c r="AF59" s="55">
        <f>_xll.EQNXTDZ($A$1,$B59,AF$5,$B$1)</f>
        <v>12.15</v>
      </c>
      <c r="AG59" s="55">
        <f>_xll.EQNXTDZ($A$1,$B59,AG$5,$B$1)</f>
        <v>0</v>
      </c>
      <c r="AH59" s="55">
        <f>_xll.EQNXTDZ($A$1,$B59,AH$5,$B$1)</f>
        <v>11.82</v>
      </c>
      <c r="AI59" s="55">
        <f>_xll.EQNXTDZ($A$1,$B59,AI$5,$B$1)</f>
        <v>0</v>
      </c>
      <c r="AJ59" s="55">
        <f>_xll.EQNXTDZ($A$1,$B59,AJ$5,$B$1)</f>
        <v>18.72</v>
      </c>
      <c r="AK59" s="55">
        <f>_xll.EQNXTDZ($A$1,$B59,AK$5,$B$1)</f>
        <v>0</v>
      </c>
      <c r="AL59" s="55">
        <f>_xll.EQNXTDZ($A$1,$B59,AL$5,$B$1)</f>
        <v>26.14</v>
      </c>
      <c r="AM59" s="55">
        <f>_xll.EQNXTDZ($A$1,$B59,AM$5,$B$1)</f>
        <v>0</v>
      </c>
      <c r="AN59" s="55">
        <f>_xll.EQNXTDZ($A$1,$B59,AN$5,$B$1)</f>
        <v>47.12</v>
      </c>
      <c r="AO59" s="55">
        <f>_xll.EQNXTDZ($A$1,$B59,AO$5,$B$1)</f>
        <v>0</v>
      </c>
      <c r="AP59" s="55">
        <f>_xll.EQNXTDZ($A$1,$B59,AP$5,$B$1)</f>
        <v>53.67</v>
      </c>
      <c r="AQ59" s="55">
        <f>_xll.EQNXTDZ($A$1,$B59,AQ$5,$B$1)</f>
        <v>0</v>
      </c>
      <c r="AR59" s="55">
        <f>_xll.EQNXTDZ($A$1,$B59,AR$5,$B$1)</f>
        <v>61.54</v>
      </c>
      <c r="AS59" s="55">
        <f>_xll.EQNXTDZ($A$1,$B59,AS$5,$B$1)</f>
        <v>0</v>
      </c>
      <c r="AT59" s="55">
        <f>_xll.EQNXTDZ($A$1,$B59,AT$5,$B$1)</f>
        <v>66</v>
      </c>
      <c r="AU59" s="55">
        <f>_xll.EQNXTDZ($A$1,$B59,AU$5,$B$1)</f>
        <v>0</v>
      </c>
      <c r="AV59" s="55">
        <f>_xll.EQNXTDZ($A$1,$B59,AV$5,$B$1)</f>
        <v>72.319999999999993</v>
      </c>
      <c r="AW59" s="55">
        <f>_xll.EQNXTDZ($A$1,$B59,AW$5,$B$1)</f>
        <v>0</v>
      </c>
      <c r="AX59" s="55">
        <f>_xll.EQNXTDZ($A$1,$B59,AX$5,$B$1)</f>
        <v>82.19</v>
      </c>
      <c r="AY59" s="55">
        <f>_xll.EQNXTDZ($A$1,$B59,AY$5,$B$1)</f>
        <v>0</v>
      </c>
      <c r="AZ59" s="55">
        <f>_xll.EQNXTDZ($A$1,$B59,AZ$5,$B$1)</f>
        <v>88.35</v>
      </c>
      <c r="BA59" s="55">
        <f>_xll.EQNXTDZ($A$1,$B59,BA$5,$B$1)</f>
        <v>0</v>
      </c>
      <c r="BB59" s="55">
        <f>_xll.EQNXTDZ($A$1,$B59,BB$5,$B$1)</f>
        <v>95.69</v>
      </c>
      <c r="BC59" s="55">
        <f>_xll.EQNXTDZ($A$1,$B59,BC$5,$B$1)</f>
        <v>0</v>
      </c>
      <c r="BD59" s="55">
        <f>_xll.EQNXTDZ($A$1,$B59,BD$5,$B$1)</f>
        <v>107.79</v>
      </c>
      <c r="BE59" s="55">
        <f>_xll.EQNXTDZ($A$1,$B59,BE$5,$B$1)</f>
        <v>0</v>
      </c>
      <c r="BF59" s="55">
        <f>_xll.EQNXTDZ($A$1,$B59,BF$5,$B$1)</f>
        <v>252.18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17.204999999999998</v>
      </c>
      <c r="E61" s="55">
        <f>_xll.EQNXTDZ($A$1,$B61,E$5,$B$1)</f>
        <v>0</v>
      </c>
      <c r="F61" s="55">
        <f>_xll.EQNXTDZ($A$1,$B61,F$5,$B$1)</f>
        <v>18.516999999999999</v>
      </c>
      <c r="G61" s="55">
        <f>_xll.EQNXTDZ($A$1,$B61,G$5,$B$1)</f>
        <v>0</v>
      </c>
      <c r="H61" s="55">
        <f>_xll.EQNXTDZ($A$1,$B61,H$5,$B$1)</f>
        <v>18.309999999999999</v>
      </c>
      <c r="I61" s="55">
        <f>_xll.EQNXTDZ($A$1,$B61,I$5,$B$1)</f>
        <v>0</v>
      </c>
      <c r="J61" s="55">
        <f>_xll.EQNXTDZ($A$1,$B61,J$5,$B$1)</f>
        <v>22.41</v>
      </c>
      <c r="K61" s="55">
        <f>_xll.EQNXTDZ($A$1,$B61,K$5,$B$1)</f>
        <v>0</v>
      </c>
      <c r="L61" s="55">
        <f>_xll.EQNXTDZ($A$1,$B61,L$5,$B$1)</f>
        <v>30.59</v>
      </c>
      <c r="M61" s="55">
        <f>_xll.EQNXTDZ($A$1,$B61,M$5,$B$1)</f>
        <v>0</v>
      </c>
      <c r="N61" s="55">
        <f>_xll.EQNXTDZ($A$1,$B61,N$5,$B$1)</f>
        <v>42.36</v>
      </c>
      <c r="O61" s="55">
        <f>_xll.EQNXTDZ($A$1,$B61,O$5,$B$1)</f>
        <v>0</v>
      </c>
      <c r="P61" s="55">
        <f>_xll.EQNXTDZ($A$1,$B61,P$5,$B$1)</f>
        <v>59.55</v>
      </c>
      <c r="Q61" s="55">
        <f>_xll.EQNXTDZ($A$1,$B61,Q$5,$B$1)</f>
        <v>0</v>
      </c>
      <c r="R61" s="55">
        <f>_xll.EQNXTDZ($A$1,$B61,R$5,$B$1)</f>
        <v>59.62</v>
      </c>
      <c r="S61" s="55">
        <f>_xll.EQNXTDZ($A$1,$B61,S$5,$B$1)</f>
        <v>0</v>
      </c>
      <c r="T61" s="55">
        <f>_xll.EQNXTDZ($A$1,$B61,T$5,$B$1)</f>
        <v>59.24</v>
      </c>
      <c r="U61" s="55">
        <f>_xll.EQNXTDZ($A$1,$B61,U$5,$B$1)</f>
        <v>0</v>
      </c>
      <c r="V61" s="55">
        <f>_xll.EQNXTDZ($A$1,$B61,V$5,$B$1)</f>
        <v>41.21</v>
      </c>
      <c r="W61" s="55">
        <f>_xll.EQNXTDZ($A$1,$B61,W$5,$B$1)</f>
        <v>0</v>
      </c>
      <c r="X61" s="55">
        <f>_xll.EQNXTDZ($A$1,$B61,X$5,$B$1)</f>
        <v>45.5</v>
      </c>
      <c r="Y61" s="55">
        <f>_xll.EQNXTDZ($A$1,$B61,Y$5,$B$1)</f>
        <v>0</v>
      </c>
      <c r="Z61" s="55">
        <f>_xll.EQNXTDZ($A$1,$B61,Z$5,$B$1)</f>
        <v>36.76</v>
      </c>
      <c r="AA61" s="55">
        <f>_xll.EQNXTDZ($A$1,$B61,AA$5,$B$1)</f>
        <v>0</v>
      </c>
      <c r="AB61" s="55">
        <f>_xll.EQNXTDZ($A$1,$B61,AB$5,$B$1)</f>
        <v>30.96</v>
      </c>
      <c r="AC61" s="55">
        <f>_xll.EQNXTDZ($A$1,$B61,AC$5,$B$1)</f>
        <v>0</v>
      </c>
      <c r="AD61" s="55">
        <f>_xll.EQNXTDZ($A$1,$B61,AD$5,$B$1)</f>
        <v>16.600000000000001</v>
      </c>
      <c r="AE61" s="55">
        <f>_xll.EQNXTDZ($A$1,$B61,AE$5,$B$1)</f>
        <v>0</v>
      </c>
      <c r="AF61" s="55">
        <f>_xll.EQNXTDZ($A$1,$B61,AF$5,$B$1)</f>
        <v>50</v>
      </c>
      <c r="AG61" s="55">
        <f>_xll.EQNXTDZ($A$1,$B61,AG$5,$B$1)</f>
        <v>0</v>
      </c>
      <c r="AH61" s="55">
        <f>_xll.EQNXTDZ($A$1,$B61,AH$5,$B$1)</f>
        <v>50</v>
      </c>
      <c r="AI61" s="55">
        <f>_xll.EQNXTDZ($A$1,$B61,AI$5,$B$1)</f>
        <v>0</v>
      </c>
      <c r="AJ61" s="55">
        <f>_xll.EQNXTDZ($A$1,$B61,AJ$5,$B$1)</f>
        <v>50</v>
      </c>
      <c r="AK61" s="55">
        <f>_xll.EQNXTDZ($A$1,$B61,AK$5,$B$1)</f>
        <v>0</v>
      </c>
      <c r="AL61" s="55">
        <f>_xll.EQNXTDZ($A$1,$B61,AL$5,$B$1)</f>
        <v>50</v>
      </c>
      <c r="AM61" s="55">
        <f>_xll.EQNXTDZ($A$1,$B61,AM$5,$B$1)</f>
        <v>0</v>
      </c>
      <c r="AN61" s="55">
        <f>_xll.EQNXTDZ($A$1,$B61,AN$5,$B$1)</f>
        <v>28.97</v>
      </c>
      <c r="AO61" s="55">
        <f>_xll.EQNXTDZ($A$1,$B61,AO$5,$B$1)</f>
        <v>0</v>
      </c>
      <c r="AP61" s="55">
        <f>_xll.EQNXTDZ($A$1,$B61,AP$5,$B$1)</f>
        <v>35</v>
      </c>
      <c r="AQ61" s="55">
        <f>_xll.EQNXTDZ($A$1,$B61,AQ$5,$B$1)</f>
        <v>0</v>
      </c>
      <c r="AR61" s="55">
        <f>_xll.EQNXTDZ($A$1,$B61,AR$5,$B$1)</f>
        <v>35</v>
      </c>
      <c r="AS61" s="55">
        <f>_xll.EQNXTDZ($A$1,$B61,AS$5,$B$1)</f>
        <v>0</v>
      </c>
      <c r="AT61" s="55">
        <f>_xll.EQNXTDZ($A$1,$B61,AT$5,$B$1)</f>
        <v>41.05</v>
      </c>
      <c r="AU61" s="55">
        <f>_xll.EQNXTDZ($A$1,$B61,AU$5,$B$1)</f>
        <v>0</v>
      </c>
      <c r="AV61" s="55">
        <f>_xll.EQNXTDZ($A$1,$B61,AV$5,$B$1)</f>
        <v>30.72</v>
      </c>
      <c r="AW61" s="55">
        <f>_xll.EQNXTDZ($A$1,$B61,AW$5,$B$1)</f>
        <v>0</v>
      </c>
      <c r="AX61" s="55">
        <f>_xll.EQNXTDZ($A$1,$B61,AX$5,$B$1)</f>
        <v>16.100000000000001</v>
      </c>
      <c r="AY61" s="55">
        <f>_xll.EQNXTDZ($A$1,$B61,AY$5,$B$1)</f>
        <v>0</v>
      </c>
      <c r="AZ61" s="55">
        <f>_xll.EQNXTDZ($A$1,$B61,AZ$5,$B$1)</f>
        <v>22.8</v>
      </c>
      <c r="BA61" s="55">
        <f>_xll.EQNXTDZ($A$1,$B61,BA$5,$B$1)</f>
        <v>0</v>
      </c>
      <c r="BB61" s="55">
        <f>_xll.EQNXTDZ($A$1,$B61,BB$5,$B$1)</f>
        <v>19.53</v>
      </c>
      <c r="BC61" s="55">
        <f>_xll.EQNXTDZ($A$1,$B61,BC$5,$B$1)</f>
        <v>0</v>
      </c>
      <c r="BD61" s="55">
        <f>_xll.EQNXTDZ($A$1,$B61,BD$5,$B$1)</f>
        <v>15.96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17.204999999999998</v>
      </c>
      <c r="E63" s="55">
        <f>_xll.EQNXTDZ($A$1,$B63,E$5,$B$1)</f>
        <v>0</v>
      </c>
      <c r="F63" s="55">
        <f>_xll.EQNXTDZ($A$1,$B63,F$5,$B$1)</f>
        <v>18.516999999999999</v>
      </c>
      <c r="G63" s="55">
        <f>_xll.EQNXTDZ($A$1,$B63,G$5,$B$1)</f>
        <v>0</v>
      </c>
      <c r="H63" s="55">
        <f>_xll.EQNXTDZ($A$1,$B63,H$5,$B$1)</f>
        <v>18.309999999999999</v>
      </c>
      <c r="I63" s="55">
        <f>_xll.EQNXTDZ($A$1,$B63,I$5,$B$1)</f>
        <v>0</v>
      </c>
      <c r="J63" s="55">
        <f>_xll.EQNXTDZ($A$1,$B63,J$5,$B$1)</f>
        <v>22.41</v>
      </c>
      <c r="K63" s="55">
        <f>_xll.EQNXTDZ($A$1,$B63,K$5,$B$1)</f>
        <v>0</v>
      </c>
      <c r="L63" s="55">
        <f>_xll.EQNXTDZ($A$1,$B63,L$5,$B$1)</f>
        <v>30.59</v>
      </c>
      <c r="M63" s="55">
        <f>_xll.EQNXTDZ($A$1,$B63,M$5,$B$1)</f>
        <v>0</v>
      </c>
      <c r="N63" s="55">
        <f>_xll.EQNXTDZ($A$1,$B63,N$5,$B$1)</f>
        <v>42.36</v>
      </c>
      <c r="O63" s="55">
        <f>_xll.EQNXTDZ($A$1,$B63,O$5,$B$1)</f>
        <v>0</v>
      </c>
      <c r="P63" s="55">
        <f>_xll.EQNXTDZ($A$1,$B63,P$5,$B$1)</f>
        <v>59.55</v>
      </c>
      <c r="Q63" s="55">
        <f>_xll.EQNXTDZ($A$1,$B63,Q$5,$B$1)</f>
        <v>0</v>
      </c>
      <c r="R63" s="55">
        <f>_xll.EQNXTDZ($A$1,$B63,R$5,$B$1)</f>
        <v>59.62</v>
      </c>
      <c r="S63" s="55">
        <f>_xll.EQNXTDZ($A$1,$B63,S$5,$B$1)</f>
        <v>0</v>
      </c>
      <c r="T63" s="55">
        <f>_xll.EQNXTDZ($A$1,$B63,T$5,$B$1)</f>
        <v>59.24</v>
      </c>
      <c r="U63" s="55">
        <f>_xll.EQNXTDZ($A$1,$B63,U$5,$B$1)</f>
        <v>0</v>
      </c>
      <c r="V63" s="55">
        <f>_xll.EQNXTDZ($A$1,$B63,V$5,$B$1)</f>
        <v>41.21</v>
      </c>
      <c r="W63" s="55">
        <f>_xll.EQNXTDZ($A$1,$B63,W$5,$B$1)</f>
        <v>0</v>
      </c>
      <c r="X63" s="55">
        <f>_xll.EQNXTDZ($A$1,$B63,X$5,$B$1)</f>
        <v>45.5</v>
      </c>
      <c r="Y63" s="55">
        <f>_xll.EQNXTDZ($A$1,$B63,Y$5,$B$1)</f>
        <v>0</v>
      </c>
      <c r="Z63" s="55">
        <f>_xll.EQNXTDZ($A$1,$B63,Z$5,$B$1)</f>
        <v>36.76</v>
      </c>
      <c r="AA63" s="55">
        <f>_xll.EQNXTDZ($A$1,$B63,AA$5,$B$1)</f>
        <v>0</v>
      </c>
      <c r="AB63" s="55">
        <f>_xll.EQNXTDZ($A$1,$B63,AB$5,$B$1)</f>
        <v>30.96</v>
      </c>
      <c r="AC63" s="55">
        <f>_xll.EQNXTDZ($A$1,$B63,AC$5,$B$1)</f>
        <v>0</v>
      </c>
      <c r="AD63" s="55">
        <f>_xll.EQNXTDZ($A$1,$B63,AD$5,$B$1)</f>
        <v>16.600000000000001</v>
      </c>
      <c r="AE63" s="55">
        <f>_xll.EQNXTDZ($A$1,$B63,AE$5,$B$1)</f>
        <v>0</v>
      </c>
      <c r="AF63" s="55">
        <f>_xll.EQNXTDZ($A$1,$B63,AF$5,$B$1)</f>
        <v>50</v>
      </c>
      <c r="AG63" s="55">
        <f>_xll.EQNXTDZ($A$1,$B63,AG$5,$B$1)</f>
        <v>0</v>
      </c>
      <c r="AH63" s="55">
        <f>_xll.EQNXTDZ($A$1,$B63,AH$5,$B$1)</f>
        <v>50</v>
      </c>
      <c r="AI63" s="55">
        <f>_xll.EQNXTDZ($A$1,$B63,AI$5,$B$1)</f>
        <v>0</v>
      </c>
      <c r="AJ63" s="55">
        <f>_xll.EQNXTDZ($A$1,$B63,AJ$5,$B$1)</f>
        <v>50</v>
      </c>
      <c r="AK63" s="55">
        <f>_xll.EQNXTDZ($A$1,$B63,AK$5,$B$1)</f>
        <v>0</v>
      </c>
      <c r="AL63" s="55">
        <f>_xll.EQNXTDZ($A$1,$B63,AL$5,$B$1)</f>
        <v>50</v>
      </c>
      <c r="AM63" s="55">
        <f>_xll.EQNXTDZ($A$1,$B63,AM$5,$B$1)</f>
        <v>0</v>
      </c>
      <c r="AN63" s="55">
        <f>_xll.EQNXTDZ($A$1,$B63,AN$5,$B$1)</f>
        <v>28.97</v>
      </c>
      <c r="AO63" s="55">
        <f>_xll.EQNXTDZ($A$1,$B63,AO$5,$B$1)</f>
        <v>0</v>
      </c>
      <c r="AP63" s="55">
        <f>_xll.EQNXTDZ($A$1,$B63,AP$5,$B$1)</f>
        <v>35</v>
      </c>
      <c r="AQ63" s="55">
        <f>_xll.EQNXTDZ($A$1,$B63,AQ$5,$B$1)</f>
        <v>0</v>
      </c>
      <c r="AR63" s="55">
        <f>_xll.EQNXTDZ($A$1,$B63,AR$5,$B$1)</f>
        <v>35</v>
      </c>
      <c r="AS63" s="55">
        <f>_xll.EQNXTDZ($A$1,$B63,AS$5,$B$1)</f>
        <v>0</v>
      </c>
      <c r="AT63" s="55">
        <f>_xll.EQNXTDZ($A$1,$B63,AT$5,$B$1)</f>
        <v>41.05</v>
      </c>
      <c r="AU63" s="55">
        <f>_xll.EQNXTDZ($A$1,$B63,AU$5,$B$1)</f>
        <v>0</v>
      </c>
      <c r="AV63" s="55">
        <f>_xll.EQNXTDZ($A$1,$B63,AV$5,$B$1)</f>
        <v>30.72</v>
      </c>
      <c r="AW63" s="55">
        <f>_xll.EQNXTDZ($A$1,$B63,AW$5,$B$1)</f>
        <v>0</v>
      </c>
      <c r="AX63" s="55">
        <f>_xll.EQNXTDZ($A$1,$B63,AX$5,$B$1)</f>
        <v>16.100000000000001</v>
      </c>
      <c r="AY63" s="55">
        <f>_xll.EQNXTDZ($A$1,$B63,AY$5,$B$1)</f>
        <v>0</v>
      </c>
      <c r="AZ63" s="55">
        <f>_xll.EQNXTDZ($A$1,$B63,AZ$5,$B$1)</f>
        <v>22.8</v>
      </c>
      <c r="BA63" s="55">
        <f>_xll.EQNXTDZ($A$1,$B63,BA$5,$B$1)</f>
        <v>0</v>
      </c>
      <c r="BB63" s="55">
        <f>_xll.EQNXTDZ($A$1,$B63,BB$5,$B$1)</f>
        <v>19.53</v>
      </c>
      <c r="BC63" s="55">
        <f>_xll.EQNXTDZ($A$1,$B63,BC$5,$B$1)</f>
        <v>0</v>
      </c>
      <c r="BD63" s="55">
        <f>_xll.EQNXTDZ($A$1,$B63,BD$5,$B$1)</f>
        <v>15.96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0.39</v>
      </c>
      <c r="O64" s="55">
        <f>_xll.EQNXTDZ($A$1,$B64,O$5,$B$1)</f>
        <v>0</v>
      </c>
      <c r="P64" s="55">
        <f>_xll.EQNXTDZ($A$1,$B64,P$5,$B$1)</f>
        <v>1.01</v>
      </c>
      <c r="Q64" s="55">
        <f>_xll.EQNXTDZ($A$1,$B64,Q$5,$B$1)</f>
        <v>0</v>
      </c>
      <c r="R64" s="55">
        <f>_xll.EQNXTDZ($A$1,$B64,R$5,$B$1)</f>
        <v>1.25</v>
      </c>
      <c r="S64" s="55">
        <f>_xll.EQNXTDZ($A$1,$B64,S$5,$B$1)</f>
        <v>0</v>
      </c>
      <c r="T64" s="55">
        <f>_xll.EQNXTDZ($A$1,$B64,T$5,$B$1)</f>
        <v>1.95</v>
      </c>
      <c r="U64" s="55">
        <f>_xll.EQNXTDZ($A$1,$B64,U$5,$B$1)</f>
        <v>0</v>
      </c>
      <c r="V64" s="55">
        <f>_xll.EQNXTDZ($A$1,$B64,V$5,$B$1)</f>
        <v>5.85</v>
      </c>
      <c r="W64" s="55">
        <f>_xll.EQNXTDZ($A$1,$B64,W$5,$B$1)</f>
        <v>0</v>
      </c>
      <c r="X64" s="55">
        <f>_xll.EQNXTDZ($A$1,$B64,X$5,$B$1)</f>
        <v>3.15</v>
      </c>
      <c r="Y64" s="55">
        <f>_xll.EQNXTDZ($A$1,$B64,Y$5,$B$1)</f>
        <v>0</v>
      </c>
      <c r="Z64" s="55">
        <f>_xll.EQNXTDZ($A$1,$B64,Z$5,$B$1)</f>
        <v>7.21</v>
      </c>
      <c r="AA64" s="55">
        <f>_xll.EQNXTDZ($A$1,$B64,AA$5,$B$1)</f>
        <v>0</v>
      </c>
      <c r="AB64" s="55">
        <f>_xll.EQNXTDZ($A$1,$B64,AB$5,$B$1)</f>
        <v>4.3600000000000003</v>
      </c>
      <c r="AC64" s="55">
        <f>_xll.EQNXTDZ($A$1,$B64,AC$5,$B$1)</f>
        <v>0</v>
      </c>
      <c r="AD64" s="55">
        <f>_xll.EQNXTDZ($A$1,$B64,AD$5,$B$1)</f>
        <v>2.78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0.316</v>
      </c>
      <c r="E66" s="55">
        <f>_xll.EQNXTDZ($A$1,$B66,E$5,$B$1)</f>
        <v>0</v>
      </c>
      <c r="F66" s="55">
        <f>_xll.EQNXTDZ($A$1,$B66,F$5,$B$1)</f>
        <v>0.46899999999999997</v>
      </c>
      <c r="G66" s="55">
        <f>_xll.EQNXTDZ($A$1,$B66,G$5,$B$1)</f>
        <v>0</v>
      </c>
      <c r="H66" s="55">
        <f>_xll.EQNXTDZ($A$1,$B66,H$5,$B$1)</f>
        <v>0.38</v>
      </c>
      <c r="I66" s="55">
        <f>_xll.EQNXTDZ($A$1,$B66,I$5,$B$1)</f>
        <v>0</v>
      </c>
      <c r="J66" s="55">
        <f>_xll.EQNXTDZ($A$1,$B66,J$5,$B$1)</f>
        <v>0.56000000000000005</v>
      </c>
      <c r="K66" s="55">
        <f>_xll.EQNXTDZ($A$1,$B66,K$5,$B$1)</f>
        <v>0</v>
      </c>
      <c r="L66" s="55">
        <f>_xll.EQNXTDZ($A$1,$B66,L$5,$B$1)</f>
        <v>0.7</v>
      </c>
      <c r="M66" s="55">
        <f>_xll.EQNXTDZ($A$1,$B66,M$5,$B$1)</f>
        <v>0</v>
      </c>
      <c r="N66" s="55">
        <f>_xll.EQNXTDZ($A$1,$B66,N$5,$B$1)</f>
        <v>0.74</v>
      </c>
      <c r="O66" s="55">
        <f>_xll.EQNXTDZ($A$1,$B66,O$5,$B$1)</f>
        <v>0</v>
      </c>
      <c r="P66" s="55">
        <f>_xll.EQNXTDZ($A$1,$B66,P$5,$B$1)</f>
        <v>0.82</v>
      </c>
      <c r="Q66" s="55">
        <f>_xll.EQNXTDZ($A$1,$B66,Q$5,$B$1)</f>
        <v>0</v>
      </c>
      <c r="R66" s="55">
        <f>_xll.EQNXTDZ($A$1,$B66,R$5,$B$1)</f>
        <v>1.03</v>
      </c>
      <c r="S66" s="55">
        <f>_xll.EQNXTDZ($A$1,$B66,S$5,$B$1)</f>
        <v>0</v>
      </c>
      <c r="T66" s="55">
        <f>_xll.EQNXTDZ($A$1,$B66,T$5,$B$1)</f>
        <v>0.78</v>
      </c>
      <c r="U66" s="55">
        <f>_xll.EQNXTDZ($A$1,$B66,U$5,$B$1)</f>
        <v>0</v>
      </c>
      <c r="V66" s="55">
        <f>_xll.EQNXTDZ($A$1,$B66,V$5,$B$1)</f>
        <v>0.84</v>
      </c>
      <c r="W66" s="55">
        <f>_xll.EQNXTDZ($A$1,$B66,W$5,$B$1)</f>
        <v>0</v>
      </c>
      <c r="X66" s="55">
        <f>_xll.EQNXTDZ($A$1,$B66,X$5,$B$1)</f>
        <v>0.95</v>
      </c>
      <c r="Y66" s="55">
        <f>_xll.EQNXTDZ($A$1,$B66,Y$5,$B$1)</f>
        <v>0</v>
      </c>
      <c r="Z66" s="55">
        <f>_xll.EQNXTDZ($A$1,$B66,Z$5,$B$1)</f>
        <v>0.9</v>
      </c>
      <c r="AA66" s="55">
        <f>_xll.EQNXTDZ($A$1,$B66,AA$5,$B$1)</f>
        <v>0</v>
      </c>
      <c r="AB66" s="55">
        <f>_xll.EQNXTDZ($A$1,$B66,AB$5,$B$1)</f>
        <v>0.57999999999999996</v>
      </c>
      <c r="AC66" s="55">
        <f>_xll.EQNXTDZ($A$1,$B66,AC$5,$B$1)</f>
        <v>0</v>
      </c>
      <c r="AD66" s="55">
        <f>_xll.EQNXTDZ($A$1,$B66,AD$5,$B$1)</f>
        <v>0.55000000000000004</v>
      </c>
      <c r="AE66" s="55">
        <f>_xll.EQNXTDZ($A$1,$B66,AE$5,$B$1)</f>
        <v>0</v>
      </c>
      <c r="AF66" s="55">
        <f>_xll.EQNXTDZ($A$1,$B66,AF$5,$B$1)</f>
        <v>0.53</v>
      </c>
      <c r="AG66" s="55">
        <f>_xll.EQNXTDZ($A$1,$B66,AG$5,$B$1)</f>
        <v>0</v>
      </c>
      <c r="AH66" s="55">
        <f>_xll.EQNXTDZ($A$1,$B66,AH$5,$B$1)</f>
        <v>0.62</v>
      </c>
      <c r="AI66" s="55">
        <f>_xll.EQNXTDZ($A$1,$B66,AI$5,$B$1)</f>
        <v>0</v>
      </c>
      <c r="AJ66" s="55">
        <f>_xll.EQNXTDZ($A$1,$B66,AJ$5,$B$1)</f>
        <v>0.66</v>
      </c>
      <c r="AK66" s="55">
        <f>_xll.EQNXTDZ($A$1,$B66,AK$5,$B$1)</f>
        <v>0</v>
      </c>
      <c r="AL66" s="55">
        <f>_xll.EQNXTDZ($A$1,$B66,AL$5,$B$1)</f>
        <v>0.67</v>
      </c>
      <c r="AM66" s="55">
        <f>_xll.EQNXTDZ($A$1,$B66,AM$5,$B$1)</f>
        <v>0</v>
      </c>
      <c r="AN66" s="55">
        <f>_xll.EQNXTDZ($A$1,$B66,AN$5,$B$1)</f>
        <v>0.7</v>
      </c>
      <c r="AO66" s="55">
        <f>_xll.EQNXTDZ($A$1,$B66,AO$5,$B$1)</f>
        <v>0</v>
      </c>
      <c r="AP66" s="55">
        <f>_xll.EQNXTDZ($A$1,$B66,AP$5,$B$1)</f>
        <v>0.87</v>
      </c>
      <c r="AQ66" s="55">
        <f>_xll.EQNXTDZ($A$1,$B66,AQ$5,$B$1)</f>
        <v>0</v>
      </c>
      <c r="AR66" s="55">
        <f>_xll.EQNXTDZ($A$1,$B66,AR$5,$B$1)</f>
        <v>0.72</v>
      </c>
      <c r="AS66" s="55">
        <f>_xll.EQNXTDZ($A$1,$B66,AS$5,$B$1)</f>
        <v>0</v>
      </c>
      <c r="AT66" s="55">
        <f>_xll.EQNXTDZ($A$1,$B66,AT$5,$B$1)</f>
        <v>1.01</v>
      </c>
      <c r="AU66" s="55">
        <f>_xll.EQNXTDZ($A$1,$B66,AU$5,$B$1)</f>
        <v>0</v>
      </c>
      <c r="AV66" s="55">
        <f>_xll.EQNXTDZ($A$1,$B66,AV$5,$B$1)</f>
        <v>1.1000000000000001</v>
      </c>
      <c r="AW66" s="55">
        <f>_xll.EQNXTDZ($A$1,$B66,AW$5,$B$1)</f>
        <v>0</v>
      </c>
      <c r="AX66" s="55">
        <f>_xll.EQNXTDZ($A$1,$B66,AX$5,$B$1)</f>
        <v>1.83</v>
      </c>
      <c r="AY66" s="55">
        <f>_xll.EQNXTDZ($A$1,$B66,AY$5,$B$1)</f>
        <v>0</v>
      </c>
      <c r="AZ66" s="55">
        <f>_xll.EQNXTDZ($A$1,$B66,AZ$5,$B$1)</f>
        <v>2.2400000000000002</v>
      </c>
      <c r="BA66" s="55">
        <f>_xll.EQNXTDZ($A$1,$B66,BA$5,$B$1)</f>
        <v>0</v>
      </c>
      <c r="BB66" s="55">
        <f>_xll.EQNXTDZ($A$1,$B66,BB$5,$B$1)</f>
        <v>2.96</v>
      </c>
      <c r="BC66" s="55">
        <f>_xll.EQNXTDZ($A$1,$B66,BC$5,$B$1)</f>
        <v>0</v>
      </c>
      <c r="BD66" s="55">
        <f>_xll.EQNXTDZ($A$1,$B66,BD$5,$B$1)</f>
        <v>3.52</v>
      </c>
      <c r="BE66" s="55">
        <f>_xll.EQNXTDZ($A$1,$B66,BE$5,$B$1)</f>
        <v>0</v>
      </c>
      <c r="BF66" s="55">
        <f>_xll.EQNXTDZ($A$1,$B66,BF$5,$B$1)</f>
        <v>3.34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38.945999999999998</v>
      </c>
      <c r="E67" s="55">
        <f>_xll.EQNXTDZ($A$1,$B67,E$5,$B$1)</f>
        <v>0</v>
      </c>
      <c r="F67" s="55">
        <f>_xll.EQNXTDZ($A$1,$B67,F$5,$B$1)</f>
        <v>40.445</v>
      </c>
      <c r="G67" s="55">
        <f>_xll.EQNXTDZ($A$1,$B67,G$5,$B$1)</f>
        <v>0</v>
      </c>
      <c r="H67" s="55">
        <f>_xll.EQNXTDZ($A$1,$B67,H$5,$B$1)</f>
        <v>41.03</v>
      </c>
      <c r="I67" s="55">
        <f>_xll.EQNXTDZ($A$1,$B67,I$5,$B$1)</f>
        <v>0</v>
      </c>
      <c r="J67" s="55">
        <f>_xll.EQNXTDZ($A$1,$B67,J$5,$B$1)</f>
        <v>44.02</v>
      </c>
      <c r="K67" s="55">
        <f>_xll.EQNXTDZ($A$1,$B67,K$5,$B$1)</f>
        <v>0</v>
      </c>
      <c r="L67" s="55">
        <f>_xll.EQNXTDZ($A$1,$B67,L$5,$B$1)</f>
        <v>51.88</v>
      </c>
      <c r="M67" s="55">
        <f>_xll.EQNXTDZ($A$1,$B67,M$5,$B$1)</f>
        <v>0</v>
      </c>
      <c r="N67" s="55">
        <f>_xll.EQNXTDZ($A$1,$B67,N$5,$B$1)</f>
        <v>61.13</v>
      </c>
      <c r="O67" s="55">
        <f>_xll.EQNXTDZ($A$1,$B67,O$5,$B$1)</f>
        <v>0</v>
      </c>
      <c r="P67" s="55">
        <f>_xll.EQNXTDZ($A$1,$B67,P$5,$B$1)</f>
        <v>79.540000000000006</v>
      </c>
      <c r="Q67" s="55">
        <f>_xll.EQNXTDZ($A$1,$B67,Q$5,$B$1)</f>
        <v>0</v>
      </c>
      <c r="R67" s="55">
        <f>_xll.EQNXTDZ($A$1,$B67,R$5,$B$1)</f>
        <v>78.7</v>
      </c>
      <c r="S67" s="55">
        <f>_xll.EQNXTDZ($A$1,$B67,S$5,$B$1)</f>
        <v>0</v>
      </c>
      <c r="T67" s="55">
        <f>_xll.EQNXTDZ($A$1,$B67,T$5,$B$1)</f>
        <v>77.91</v>
      </c>
      <c r="U67" s="55">
        <f>_xll.EQNXTDZ($A$1,$B67,U$5,$B$1)</f>
        <v>0</v>
      </c>
      <c r="V67" s="55">
        <f>_xll.EQNXTDZ($A$1,$B67,V$5,$B$1)</f>
        <v>57.74</v>
      </c>
      <c r="W67" s="55">
        <f>_xll.EQNXTDZ($A$1,$B67,W$5,$B$1)</f>
        <v>0</v>
      </c>
      <c r="X67" s="55">
        <f>_xll.EQNXTDZ($A$1,$B67,X$5,$B$1)</f>
        <v>58.93</v>
      </c>
      <c r="Y67" s="55">
        <f>_xll.EQNXTDZ($A$1,$B67,Y$5,$B$1)</f>
        <v>0</v>
      </c>
      <c r="Z67" s="55">
        <f>_xll.EQNXTDZ($A$1,$B67,Z$5,$B$1)</f>
        <v>55.96</v>
      </c>
      <c r="AA67" s="55">
        <f>_xll.EQNXTDZ($A$1,$B67,AA$5,$B$1)</f>
        <v>0</v>
      </c>
      <c r="AB67" s="55">
        <f>_xll.EQNXTDZ($A$1,$B67,AB$5,$B$1)</f>
        <v>47.68</v>
      </c>
      <c r="AC67" s="55">
        <f>_xll.EQNXTDZ($A$1,$B67,AC$5,$B$1)</f>
        <v>0</v>
      </c>
      <c r="AD67" s="55">
        <f>_xll.EQNXTDZ($A$1,$B67,AD$5,$B$1)</f>
        <v>31.2</v>
      </c>
      <c r="AE67" s="55">
        <f>_xll.EQNXTDZ($A$1,$B67,AE$5,$B$1)</f>
        <v>0</v>
      </c>
      <c r="AF67" s="55">
        <f>_xll.EQNXTDZ($A$1,$B67,AF$5,$B$1)</f>
        <v>62.68</v>
      </c>
      <c r="AG67" s="55">
        <f>_xll.EQNXTDZ($A$1,$B67,AG$5,$B$1)</f>
        <v>0</v>
      </c>
      <c r="AH67" s="55">
        <f>_xll.EQNXTDZ($A$1,$B67,AH$5,$B$1)</f>
        <v>62.44</v>
      </c>
      <c r="AI67" s="55">
        <f>_xll.EQNXTDZ($A$1,$B67,AI$5,$B$1)</f>
        <v>0</v>
      </c>
      <c r="AJ67" s="55">
        <f>_xll.EQNXTDZ($A$1,$B67,AJ$5,$B$1)</f>
        <v>69.38</v>
      </c>
      <c r="AK67" s="55">
        <f>_xll.EQNXTDZ($A$1,$B67,AK$5,$B$1)</f>
        <v>0</v>
      </c>
      <c r="AL67" s="55">
        <f>_xll.EQNXTDZ($A$1,$B67,AL$5,$B$1)</f>
        <v>76.81</v>
      </c>
      <c r="AM67" s="55">
        <f>_xll.EQNXTDZ($A$1,$B67,AM$5,$B$1)</f>
        <v>0</v>
      </c>
      <c r="AN67" s="55">
        <f>_xll.EQNXTDZ($A$1,$B67,AN$5,$B$1)</f>
        <v>76.790000000000006</v>
      </c>
      <c r="AO67" s="55">
        <f>_xll.EQNXTDZ($A$1,$B67,AO$5,$B$1)</f>
        <v>0</v>
      </c>
      <c r="AP67" s="55">
        <f>_xll.EQNXTDZ($A$1,$B67,AP$5,$B$1)</f>
        <v>89.54</v>
      </c>
      <c r="AQ67" s="55">
        <f>_xll.EQNXTDZ($A$1,$B67,AQ$5,$B$1)</f>
        <v>0</v>
      </c>
      <c r="AR67" s="55">
        <f>_xll.EQNXTDZ($A$1,$B67,AR$5,$B$1)</f>
        <v>97.26</v>
      </c>
      <c r="AS67" s="55">
        <f>_xll.EQNXTDZ($A$1,$B67,AS$5,$B$1)</f>
        <v>0</v>
      </c>
      <c r="AT67" s="55">
        <f>_xll.EQNXTDZ($A$1,$B67,AT$5,$B$1)</f>
        <v>108.06</v>
      </c>
      <c r="AU67" s="55">
        <f>_xll.EQNXTDZ($A$1,$B67,AU$5,$B$1)</f>
        <v>0</v>
      </c>
      <c r="AV67" s="55">
        <f>_xll.EQNXTDZ($A$1,$B67,AV$5,$B$1)</f>
        <v>104.14</v>
      </c>
      <c r="AW67" s="55">
        <f>_xll.EQNXTDZ($A$1,$B67,AW$5,$B$1)</f>
        <v>0</v>
      </c>
      <c r="AX67" s="55">
        <f>_xll.EQNXTDZ($A$1,$B67,AX$5,$B$1)</f>
        <v>100.12</v>
      </c>
      <c r="AY67" s="55">
        <f>_xll.EQNXTDZ($A$1,$B67,AY$5,$B$1)</f>
        <v>0</v>
      </c>
      <c r="AZ67" s="55">
        <f>_xll.EQNXTDZ($A$1,$B67,AZ$5,$B$1)</f>
        <v>113.39</v>
      </c>
      <c r="BA67" s="55">
        <f>_xll.EQNXTDZ($A$1,$B67,BA$5,$B$1)</f>
        <v>0</v>
      </c>
      <c r="BB67" s="55">
        <f>_xll.EQNXTDZ($A$1,$B67,BB$5,$B$1)</f>
        <v>118.18</v>
      </c>
      <c r="BC67" s="55">
        <f>_xll.EQNXTDZ($A$1,$B67,BC$5,$B$1)</f>
        <v>0</v>
      </c>
      <c r="BD67" s="55">
        <f>_xll.EQNXTDZ($A$1,$B67,BD$5,$B$1)</f>
        <v>127.27</v>
      </c>
      <c r="BE67" s="55">
        <f>_xll.EQNXTDZ($A$1,$B67,BE$5,$B$1)</f>
        <v>0</v>
      </c>
      <c r="BF67" s="55">
        <f>_xll.EQNXTDZ($A$1,$B67,BF$5,$B$1)</f>
        <v>255.52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36.793999999999997</v>
      </c>
      <c r="E68" s="55">
        <f>_xll.EQNXTDZ($A$1,$B68,E$5,$B$1)</f>
        <v>0</v>
      </c>
      <c r="F68" s="55">
        <f>_xll.EQNXTDZ($A$1,$B68,F$5,$B$1)</f>
        <v>35.881</v>
      </c>
      <c r="G68" s="55">
        <f>_xll.EQNXTDZ($A$1,$B68,G$5,$B$1)</f>
        <v>0</v>
      </c>
      <c r="H68" s="55">
        <f>_xll.EQNXTDZ($A$1,$B68,H$5,$B$1)</f>
        <v>35.67</v>
      </c>
      <c r="I68" s="55">
        <f>_xll.EQNXTDZ($A$1,$B68,I$5,$B$1)</f>
        <v>0</v>
      </c>
      <c r="J68" s="55">
        <f>_xll.EQNXTDZ($A$1,$B68,J$5,$B$1)</f>
        <v>36.71</v>
      </c>
      <c r="K68" s="55">
        <f>_xll.EQNXTDZ($A$1,$B68,K$5,$B$1)</f>
        <v>0</v>
      </c>
      <c r="L68" s="55">
        <f>_xll.EQNXTDZ($A$1,$B68,L$5,$B$1)</f>
        <v>41.96</v>
      </c>
      <c r="M68" s="55">
        <f>_xll.EQNXTDZ($A$1,$B68,M$5,$B$1)</f>
        <v>0</v>
      </c>
      <c r="N68" s="55">
        <f>_xll.EQNXTDZ($A$1,$B68,N$5,$B$1)</f>
        <v>78.319999999999993</v>
      </c>
      <c r="O68" s="55">
        <f>_xll.EQNXTDZ($A$1,$B68,O$5,$B$1)</f>
        <v>0</v>
      </c>
      <c r="P68" s="55">
        <f>_xll.EQNXTDZ($A$1,$B68,P$5,$B$1)</f>
        <v>80.72</v>
      </c>
      <c r="Q68" s="55">
        <f>_xll.EQNXTDZ($A$1,$B68,Q$5,$B$1)</f>
        <v>0</v>
      </c>
      <c r="R68" s="55">
        <f>_xll.EQNXTDZ($A$1,$B68,R$5,$B$1)</f>
        <v>79.27</v>
      </c>
      <c r="S68" s="55">
        <f>_xll.EQNXTDZ($A$1,$B68,S$5,$B$1)</f>
        <v>0</v>
      </c>
      <c r="T68" s="55">
        <f>_xll.EQNXTDZ($A$1,$B68,T$5,$B$1)</f>
        <v>79.39</v>
      </c>
      <c r="U68" s="55">
        <f>_xll.EQNXTDZ($A$1,$B68,U$5,$B$1)</f>
        <v>0</v>
      </c>
      <c r="V68" s="55">
        <f>_xll.EQNXTDZ($A$1,$B68,V$5,$B$1)</f>
        <v>73.930000000000007</v>
      </c>
      <c r="W68" s="55">
        <f>_xll.EQNXTDZ($A$1,$B68,W$5,$B$1)</f>
        <v>0</v>
      </c>
      <c r="X68" s="55">
        <f>_xll.EQNXTDZ($A$1,$B68,X$5,$B$1)</f>
        <v>73.02</v>
      </c>
      <c r="Y68" s="55">
        <f>_xll.EQNXTDZ($A$1,$B68,Y$5,$B$1)</f>
        <v>0</v>
      </c>
      <c r="Z68" s="55">
        <f>_xll.EQNXTDZ($A$1,$B68,Z$5,$B$1)</f>
        <v>70.739999999999995</v>
      </c>
      <c r="AA68" s="55">
        <f>_xll.EQNXTDZ($A$1,$B68,AA$5,$B$1)</f>
        <v>0</v>
      </c>
      <c r="AB68" s="55">
        <f>_xll.EQNXTDZ($A$1,$B68,AB$5,$B$1)</f>
        <v>69.44</v>
      </c>
      <c r="AC68" s="55">
        <f>_xll.EQNXTDZ($A$1,$B68,AC$5,$B$1)</f>
        <v>0</v>
      </c>
      <c r="AD68" s="55">
        <f>_xll.EQNXTDZ($A$1,$B68,AD$5,$B$1)</f>
        <v>68.69</v>
      </c>
      <c r="AE68" s="55">
        <f>_xll.EQNXTDZ($A$1,$B68,AE$5,$B$1)</f>
        <v>0</v>
      </c>
      <c r="AF68" s="55">
        <f>_xll.EQNXTDZ($A$1,$B68,AF$5,$B$1)</f>
        <v>66.569999999999993</v>
      </c>
      <c r="AG68" s="55">
        <f>_xll.EQNXTDZ($A$1,$B68,AG$5,$B$1)</f>
        <v>0</v>
      </c>
      <c r="AH68" s="55">
        <f>_xll.EQNXTDZ($A$1,$B68,AH$5,$B$1)</f>
        <v>71.239999999999995</v>
      </c>
      <c r="AI68" s="55">
        <f>_xll.EQNXTDZ($A$1,$B68,AI$5,$B$1)</f>
        <v>0</v>
      </c>
      <c r="AJ68" s="55">
        <f>_xll.EQNXTDZ($A$1,$B68,AJ$5,$B$1)</f>
        <v>68.459999999999994</v>
      </c>
      <c r="AK68" s="55">
        <f>_xll.EQNXTDZ($A$1,$B68,AK$5,$B$1)</f>
        <v>0</v>
      </c>
      <c r="AL68" s="55">
        <f>_xll.EQNXTDZ($A$1,$B68,AL$5,$B$1)</f>
        <v>66.27</v>
      </c>
      <c r="AM68" s="55">
        <f>_xll.EQNXTDZ($A$1,$B68,AM$5,$B$1)</f>
        <v>0</v>
      </c>
      <c r="AN68" s="55">
        <f>_xll.EQNXTDZ($A$1,$B68,AN$5,$B$1)</f>
        <v>64.59</v>
      </c>
      <c r="AO68" s="55">
        <f>_xll.EQNXTDZ($A$1,$B68,AO$5,$B$1)</f>
        <v>0</v>
      </c>
      <c r="AP68" s="55">
        <f>_xll.EQNXTDZ($A$1,$B68,AP$5,$B$1)</f>
        <v>71.08</v>
      </c>
      <c r="AQ68" s="55">
        <f>_xll.EQNXTDZ($A$1,$B68,AQ$5,$B$1)</f>
        <v>0</v>
      </c>
      <c r="AR68" s="55">
        <f>_xll.EQNXTDZ($A$1,$B68,AR$5,$B$1)</f>
        <v>67.849999999999994</v>
      </c>
      <c r="AS68" s="55">
        <f>_xll.EQNXTDZ($A$1,$B68,AS$5,$B$1)</f>
        <v>0</v>
      </c>
      <c r="AT68" s="55">
        <f>_xll.EQNXTDZ($A$1,$B68,AT$5,$B$1)</f>
        <v>79.42</v>
      </c>
      <c r="AU68" s="55">
        <f>_xll.EQNXTDZ($A$1,$B68,AU$5,$B$1)</f>
        <v>0</v>
      </c>
      <c r="AV68" s="55">
        <f>_xll.EQNXTDZ($A$1,$B68,AV$5,$B$1)</f>
        <v>76.03</v>
      </c>
      <c r="AW68" s="55">
        <f>_xll.EQNXTDZ($A$1,$B68,AW$5,$B$1)</f>
        <v>0</v>
      </c>
      <c r="AX68" s="55">
        <f>_xll.EQNXTDZ($A$1,$B68,AX$5,$B$1)</f>
        <v>74.69</v>
      </c>
      <c r="AY68" s="55">
        <f>_xll.EQNXTDZ($A$1,$B68,AY$5,$B$1)</f>
        <v>0</v>
      </c>
      <c r="AZ68" s="55">
        <f>_xll.EQNXTDZ($A$1,$B68,AZ$5,$B$1)</f>
        <v>115.36</v>
      </c>
      <c r="BA68" s="55">
        <f>_xll.EQNXTDZ($A$1,$B68,BA$5,$B$1)</f>
        <v>0</v>
      </c>
      <c r="BB68" s="55">
        <f>_xll.EQNXTDZ($A$1,$B68,BB$5,$B$1)</f>
        <v>129.04</v>
      </c>
      <c r="BC68" s="55">
        <f>_xll.EQNXTDZ($A$1,$B68,BC$5,$B$1)</f>
        <v>0</v>
      </c>
      <c r="BD68" s="55">
        <f>_xll.EQNXTDZ($A$1,$B68,BD$5,$B$1)</f>
        <v>127.6</v>
      </c>
      <c r="BE68" s="55">
        <f>_xll.EQNXTDZ($A$1,$B68,BE$5,$B$1)</f>
        <v>0</v>
      </c>
      <c r="BF68" s="55">
        <f>_xll.EQNXTDZ($A$1,$B68,BF$5,$B$1)</f>
        <v>156.88999999999999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36.793999999999997</v>
      </c>
      <c r="E71" s="55">
        <f>_xll.EQNXTDZ($A$1,$B71,E$5,$B$1)</f>
        <v>0</v>
      </c>
      <c r="F71" s="55">
        <f>_xll.EQNXTDZ($A$1,$B71,F$5,$B$1)</f>
        <v>35.881</v>
      </c>
      <c r="G71" s="55">
        <f>_xll.EQNXTDZ($A$1,$B71,G$5,$B$1)</f>
        <v>0</v>
      </c>
      <c r="H71" s="55">
        <f>_xll.EQNXTDZ($A$1,$B71,H$5,$B$1)</f>
        <v>35.67</v>
      </c>
      <c r="I71" s="55">
        <f>_xll.EQNXTDZ($A$1,$B71,I$5,$B$1)</f>
        <v>0</v>
      </c>
      <c r="J71" s="55">
        <f>_xll.EQNXTDZ($A$1,$B71,J$5,$B$1)</f>
        <v>36.71</v>
      </c>
      <c r="K71" s="55">
        <f>_xll.EQNXTDZ($A$1,$B71,K$5,$B$1)</f>
        <v>0</v>
      </c>
      <c r="L71" s="55">
        <f>_xll.EQNXTDZ($A$1,$B71,L$5,$B$1)</f>
        <v>41.96</v>
      </c>
      <c r="M71" s="55">
        <f>_xll.EQNXTDZ($A$1,$B71,M$5,$B$1)</f>
        <v>0</v>
      </c>
      <c r="N71" s="55">
        <f>_xll.EQNXTDZ($A$1,$B71,N$5,$B$1)</f>
        <v>78.319999999999993</v>
      </c>
      <c r="O71" s="55">
        <f>_xll.EQNXTDZ($A$1,$B71,O$5,$B$1)</f>
        <v>0</v>
      </c>
      <c r="P71" s="55">
        <f>_xll.EQNXTDZ($A$1,$B71,P$5,$B$1)</f>
        <v>80.72</v>
      </c>
      <c r="Q71" s="55">
        <f>_xll.EQNXTDZ($A$1,$B71,Q$5,$B$1)</f>
        <v>0</v>
      </c>
      <c r="R71" s="55">
        <f>_xll.EQNXTDZ($A$1,$B71,R$5,$B$1)</f>
        <v>79.27</v>
      </c>
      <c r="S71" s="55">
        <f>_xll.EQNXTDZ($A$1,$B71,S$5,$B$1)</f>
        <v>0</v>
      </c>
      <c r="T71" s="55">
        <f>_xll.EQNXTDZ($A$1,$B71,T$5,$B$1)</f>
        <v>79.39</v>
      </c>
      <c r="U71" s="55">
        <f>_xll.EQNXTDZ($A$1,$B71,U$5,$B$1)</f>
        <v>0</v>
      </c>
      <c r="V71" s="55">
        <f>_xll.EQNXTDZ($A$1,$B71,V$5,$B$1)</f>
        <v>73.930000000000007</v>
      </c>
      <c r="W71" s="55">
        <f>_xll.EQNXTDZ($A$1,$B71,W$5,$B$1)</f>
        <v>0</v>
      </c>
      <c r="X71" s="55">
        <f>_xll.EQNXTDZ($A$1,$B71,X$5,$B$1)</f>
        <v>73.02</v>
      </c>
      <c r="Y71" s="55">
        <f>_xll.EQNXTDZ($A$1,$B71,Y$5,$B$1)</f>
        <v>0</v>
      </c>
      <c r="Z71" s="55">
        <f>_xll.EQNXTDZ($A$1,$B71,Z$5,$B$1)</f>
        <v>70.739999999999995</v>
      </c>
      <c r="AA71" s="55">
        <f>_xll.EQNXTDZ($A$1,$B71,AA$5,$B$1)</f>
        <v>0</v>
      </c>
      <c r="AB71" s="55">
        <f>_xll.EQNXTDZ($A$1,$B71,AB$5,$B$1)</f>
        <v>69.44</v>
      </c>
      <c r="AC71" s="55">
        <f>_xll.EQNXTDZ($A$1,$B71,AC$5,$B$1)</f>
        <v>0</v>
      </c>
      <c r="AD71" s="55">
        <f>_xll.EQNXTDZ($A$1,$B71,AD$5,$B$1)</f>
        <v>68.69</v>
      </c>
      <c r="AE71" s="55">
        <f>_xll.EQNXTDZ($A$1,$B71,AE$5,$B$1)</f>
        <v>0</v>
      </c>
      <c r="AF71" s="55">
        <f>_xll.EQNXTDZ($A$1,$B71,AF$5,$B$1)</f>
        <v>66.569999999999993</v>
      </c>
      <c r="AG71" s="55">
        <f>_xll.EQNXTDZ($A$1,$B71,AG$5,$B$1)</f>
        <v>0</v>
      </c>
      <c r="AH71" s="55">
        <f>_xll.EQNXTDZ($A$1,$B71,AH$5,$B$1)</f>
        <v>71.239999999999995</v>
      </c>
      <c r="AI71" s="55">
        <f>_xll.EQNXTDZ($A$1,$B71,AI$5,$B$1)</f>
        <v>0</v>
      </c>
      <c r="AJ71" s="55">
        <f>_xll.EQNXTDZ($A$1,$B71,AJ$5,$B$1)</f>
        <v>68.459999999999994</v>
      </c>
      <c r="AK71" s="55">
        <f>_xll.EQNXTDZ($A$1,$B71,AK$5,$B$1)</f>
        <v>0</v>
      </c>
      <c r="AL71" s="55">
        <f>_xll.EQNXTDZ($A$1,$B71,AL$5,$B$1)</f>
        <v>66.27</v>
      </c>
      <c r="AM71" s="55">
        <f>_xll.EQNXTDZ($A$1,$B71,AM$5,$B$1)</f>
        <v>0</v>
      </c>
      <c r="AN71" s="55">
        <f>_xll.EQNXTDZ($A$1,$B71,AN$5,$B$1)</f>
        <v>64.59</v>
      </c>
      <c r="AO71" s="55">
        <f>_xll.EQNXTDZ($A$1,$B71,AO$5,$B$1)</f>
        <v>0</v>
      </c>
      <c r="AP71" s="55">
        <f>_xll.EQNXTDZ($A$1,$B71,AP$5,$B$1)</f>
        <v>71.08</v>
      </c>
      <c r="AQ71" s="55">
        <f>_xll.EQNXTDZ($A$1,$B71,AQ$5,$B$1)</f>
        <v>0</v>
      </c>
      <c r="AR71" s="55">
        <f>_xll.EQNXTDZ($A$1,$B71,AR$5,$B$1)</f>
        <v>67.849999999999994</v>
      </c>
      <c r="AS71" s="55">
        <f>_xll.EQNXTDZ($A$1,$B71,AS$5,$B$1)</f>
        <v>0</v>
      </c>
      <c r="AT71" s="55">
        <f>_xll.EQNXTDZ($A$1,$B71,AT$5,$B$1)</f>
        <v>79.42</v>
      </c>
      <c r="AU71" s="55">
        <f>_xll.EQNXTDZ($A$1,$B71,AU$5,$B$1)</f>
        <v>0</v>
      </c>
      <c r="AV71" s="55">
        <f>_xll.EQNXTDZ($A$1,$B71,AV$5,$B$1)</f>
        <v>76.03</v>
      </c>
      <c r="AW71" s="55">
        <f>_xll.EQNXTDZ($A$1,$B71,AW$5,$B$1)</f>
        <v>0</v>
      </c>
      <c r="AX71" s="55">
        <f>_xll.EQNXTDZ($A$1,$B71,AX$5,$B$1)</f>
        <v>74.69</v>
      </c>
      <c r="AY71" s="55">
        <f>_xll.EQNXTDZ($A$1,$B71,AY$5,$B$1)</f>
        <v>0</v>
      </c>
      <c r="AZ71" s="55">
        <f>_xll.EQNXTDZ($A$1,$B71,AZ$5,$B$1)</f>
        <v>115.36</v>
      </c>
      <c r="BA71" s="55">
        <f>_xll.EQNXTDZ($A$1,$B71,BA$5,$B$1)</f>
        <v>0</v>
      </c>
      <c r="BB71" s="55">
        <f>_xll.EQNXTDZ($A$1,$B71,BB$5,$B$1)</f>
        <v>129.04</v>
      </c>
      <c r="BC71" s="55">
        <f>_xll.EQNXTDZ($A$1,$B71,BC$5,$B$1)</f>
        <v>0</v>
      </c>
      <c r="BD71" s="55">
        <f>_xll.EQNXTDZ($A$1,$B71,BD$5,$B$1)</f>
        <v>127.6</v>
      </c>
      <c r="BE71" s="55">
        <f>_xll.EQNXTDZ($A$1,$B71,BE$5,$B$1)</f>
        <v>0</v>
      </c>
      <c r="BF71" s="55">
        <f>_xll.EQNXTDZ($A$1,$B71,BF$5,$B$1)</f>
        <v>156.88999999999999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1.51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3.08</v>
      </c>
      <c r="W74" s="55">
        <f>_xll.EQNXTDZ($A$1,$B74,W$5,$B$1)</f>
        <v>0</v>
      </c>
      <c r="X74" s="55">
        <f>_xll.EQNXTDZ($A$1,$B74,X$5,$B$1)</f>
        <v>1.75</v>
      </c>
      <c r="Y74" s="55">
        <f>_xll.EQNXTDZ($A$1,$B74,Y$5,$B$1)</f>
        <v>0</v>
      </c>
      <c r="Z74" s="55">
        <f>_xll.EQNXTDZ($A$1,$B74,Z$5,$B$1)</f>
        <v>3.04</v>
      </c>
      <c r="AA74" s="55">
        <f>_xll.EQNXTDZ($A$1,$B74,AA$5,$B$1)</f>
        <v>0</v>
      </c>
      <c r="AB74" s="55">
        <f>_xll.EQNXTDZ($A$1,$B74,AB$5,$B$1)</f>
        <v>2.8</v>
      </c>
      <c r="AC74" s="55">
        <f>_xll.EQNXTDZ($A$1,$B74,AC$5,$B$1)</f>
        <v>0</v>
      </c>
      <c r="AD74" s="55">
        <f>_xll.EQNXTDZ($A$1,$B74,AD$5,$B$1)</f>
        <v>2.83</v>
      </c>
      <c r="AE74" s="55">
        <f>_xll.EQNXTDZ($A$1,$B74,AE$5,$B$1)</f>
        <v>0</v>
      </c>
      <c r="AF74" s="55">
        <f>_xll.EQNXTDZ($A$1,$B74,AF$5,$B$1)</f>
        <v>4.13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0.76</v>
      </c>
      <c r="AK74" s="55">
        <f>_xll.EQNXTDZ($A$1,$B74,AK$5,$B$1)</f>
        <v>0</v>
      </c>
      <c r="AL74" s="55">
        <f>_xll.EQNXTDZ($A$1,$B74,AL$5,$B$1)</f>
        <v>1.28</v>
      </c>
      <c r="AM74" s="55">
        <f>_xll.EQNXTDZ($A$1,$B74,AM$5,$B$1)</f>
        <v>0</v>
      </c>
      <c r="AN74" s="55">
        <f>_xll.EQNXTDZ($A$1,$B74,AN$5,$B$1)</f>
        <v>7.1</v>
      </c>
      <c r="AO74" s="55">
        <f>_xll.EQNXTDZ($A$1,$B74,AO$5,$B$1)</f>
        <v>0</v>
      </c>
      <c r="AP74" s="55">
        <f>_xll.EQNXTDZ($A$1,$B74,AP$5,$B$1)</f>
        <v>7.37</v>
      </c>
      <c r="AQ74" s="55">
        <f>_xll.EQNXTDZ($A$1,$B74,AQ$5,$B$1)</f>
        <v>0</v>
      </c>
      <c r="AR74" s="55">
        <f>_xll.EQNXTDZ($A$1,$B74,AR$5,$B$1)</f>
        <v>9.0299999999999994</v>
      </c>
      <c r="AS74" s="55">
        <f>_xll.EQNXTDZ($A$1,$B74,AS$5,$B$1)</f>
        <v>0</v>
      </c>
      <c r="AT74" s="55">
        <f>_xll.EQNXTDZ($A$1,$B74,AT$5,$B$1)</f>
        <v>0.85</v>
      </c>
      <c r="AU74" s="55">
        <f>_xll.EQNXTDZ($A$1,$B74,AU$5,$B$1)</f>
        <v>0</v>
      </c>
      <c r="AV74" s="55">
        <f>_xll.EQNXTDZ($A$1,$B74,AV$5,$B$1)</f>
        <v>14.26</v>
      </c>
      <c r="AW74" s="55">
        <f>_xll.EQNXTDZ($A$1,$B74,AW$5,$B$1)</f>
        <v>0</v>
      </c>
      <c r="AX74" s="55">
        <f>_xll.EQNXTDZ($A$1,$B74,AX$5,$B$1)</f>
        <v>45.09</v>
      </c>
      <c r="AY74" s="55">
        <f>_xll.EQNXTDZ($A$1,$B74,AY$5,$B$1)</f>
        <v>0</v>
      </c>
      <c r="AZ74" s="55">
        <f>_xll.EQNXTDZ($A$1,$B74,AZ$5,$B$1)</f>
        <v>19.73</v>
      </c>
      <c r="BA74" s="55">
        <f>_xll.EQNXTDZ($A$1,$B74,BA$5,$B$1)</f>
        <v>0</v>
      </c>
      <c r="BB74" s="55">
        <f>_xll.EQNXTDZ($A$1,$B74,BB$5,$B$1)</f>
        <v>34.590000000000003</v>
      </c>
      <c r="BC74" s="55">
        <f>_xll.EQNXTDZ($A$1,$B74,BC$5,$B$1)</f>
        <v>0</v>
      </c>
      <c r="BD74" s="55">
        <f>_xll.EQNXTDZ($A$1,$B74,BD$5,$B$1)</f>
        <v>37.03</v>
      </c>
      <c r="BE74" s="55">
        <f>_xll.EQNXTDZ($A$1,$B74,BE$5,$B$1)</f>
        <v>0</v>
      </c>
      <c r="BF74" s="55">
        <f>_xll.EQNXTDZ($A$1,$B74,BF$5,$B$1)</f>
        <v>5.79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4.2779999999999996</v>
      </c>
      <c r="E77" s="55">
        <f>_xll.EQNXTDZ($A$1,$B77,E$5,$B$1)</f>
        <v>0</v>
      </c>
      <c r="F77" s="55">
        <f>_xll.EQNXTDZ($A$1,$B77,F$5,$B$1)</f>
        <v>4.2779999999999996</v>
      </c>
      <c r="G77" s="55">
        <f>_xll.EQNXTDZ($A$1,$B77,G$5,$B$1)</f>
        <v>0</v>
      </c>
      <c r="H77" s="55">
        <f>_xll.EQNXTDZ($A$1,$B77,H$5,$B$1)</f>
        <v>4.28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4.4999999999999998E-2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5.53</v>
      </c>
      <c r="K78" s="55">
        <f>_xll.EQNXTDZ($A$1,$B78,K$5,$B$1)</f>
        <v>0</v>
      </c>
      <c r="L78" s="55">
        <f>_xll.EQNXTDZ($A$1,$B78,L$5,$B$1)</f>
        <v>6.4</v>
      </c>
      <c r="M78" s="55">
        <f>_xll.EQNXTDZ($A$1,$B78,M$5,$B$1)</f>
        <v>0</v>
      </c>
      <c r="N78" s="55">
        <f>_xll.EQNXTDZ($A$1,$B78,N$5,$B$1)</f>
        <v>8.85</v>
      </c>
      <c r="O78" s="55">
        <f>_xll.EQNXTDZ($A$1,$B78,O$5,$B$1)</f>
        <v>0</v>
      </c>
      <c r="P78" s="55">
        <f>_xll.EQNXTDZ($A$1,$B78,P$5,$B$1)</f>
        <v>8.14</v>
      </c>
      <c r="Q78" s="55">
        <f>_xll.EQNXTDZ($A$1,$B78,Q$5,$B$1)</f>
        <v>0</v>
      </c>
      <c r="R78" s="55">
        <f>_xll.EQNXTDZ($A$1,$B78,R$5,$B$1)</f>
        <v>5.45</v>
      </c>
      <c r="S78" s="55">
        <f>_xll.EQNXTDZ($A$1,$B78,S$5,$B$1)</f>
        <v>0</v>
      </c>
      <c r="T78" s="55">
        <f>_xll.EQNXTDZ($A$1,$B78,T$5,$B$1)</f>
        <v>5.65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0.34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0.04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0.03</v>
      </c>
      <c r="AQ78" s="55">
        <f>_xll.EQNXTDZ($A$1,$B78,AQ$5,$B$1)</f>
        <v>0</v>
      </c>
      <c r="AR78" s="55">
        <f>_xll.EQNXTDZ($A$1,$B78,AR$5,$B$1)</f>
        <v>0.03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5.18</v>
      </c>
      <c r="W79" s="55">
        <f>_xll.EQNXTDZ($A$1,$B79,W$5,$B$1)</f>
        <v>0</v>
      </c>
      <c r="X79" s="55">
        <f>_xll.EQNXTDZ($A$1,$B79,X$5,$B$1)</f>
        <v>4.9800000000000004</v>
      </c>
      <c r="Y79" s="55">
        <f>_xll.EQNXTDZ($A$1,$B79,Y$5,$B$1)</f>
        <v>0</v>
      </c>
      <c r="Z79" s="55">
        <f>_xll.EQNXTDZ($A$1,$B79,Z$5,$B$1)</f>
        <v>5.78</v>
      </c>
      <c r="AA79" s="55">
        <f>_xll.EQNXTDZ($A$1,$B79,AA$5,$B$1)</f>
        <v>0</v>
      </c>
      <c r="AB79" s="55">
        <f>_xll.EQNXTDZ($A$1,$B79,AB$5,$B$1)</f>
        <v>7.09</v>
      </c>
      <c r="AC79" s="55">
        <f>_xll.EQNXTDZ($A$1,$B79,AC$5,$B$1)</f>
        <v>0</v>
      </c>
      <c r="AD79" s="55">
        <f>_xll.EQNXTDZ($A$1,$B79,AD$5,$B$1)</f>
        <v>4.8600000000000003</v>
      </c>
      <c r="AE79" s="55">
        <f>_xll.EQNXTDZ($A$1,$B79,AE$5,$B$1)</f>
        <v>0</v>
      </c>
      <c r="AF79" s="55">
        <f>_xll.EQNXTDZ($A$1,$B79,AF$5,$B$1)</f>
        <v>4.5199999999999996</v>
      </c>
      <c r="AG79" s="55">
        <f>_xll.EQNXTDZ($A$1,$B79,AG$5,$B$1)</f>
        <v>0</v>
      </c>
      <c r="AH79" s="55">
        <f>_xll.EQNXTDZ($A$1,$B79,AH$5,$B$1)</f>
        <v>3.68</v>
      </c>
      <c r="AI79" s="55">
        <f>_xll.EQNXTDZ($A$1,$B79,AI$5,$B$1)</f>
        <v>0</v>
      </c>
      <c r="AJ79" s="55">
        <f>_xll.EQNXTDZ($A$1,$B79,AJ$5,$B$1)</f>
        <v>3.71</v>
      </c>
      <c r="AK79" s="55">
        <f>_xll.EQNXTDZ($A$1,$B79,AK$5,$B$1)</f>
        <v>0</v>
      </c>
      <c r="AL79" s="55">
        <f>_xll.EQNXTDZ($A$1,$B79,AL$5,$B$1)</f>
        <v>4.17</v>
      </c>
      <c r="AM79" s="55">
        <f>_xll.EQNXTDZ($A$1,$B79,AM$5,$B$1)</f>
        <v>0</v>
      </c>
      <c r="AN79" s="55">
        <f>_xll.EQNXTDZ($A$1,$B79,AN$5,$B$1)</f>
        <v>5.3</v>
      </c>
      <c r="AO79" s="55">
        <f>_xll.EQNXTDZ($A$1,$B79,AO$5,$B$1)</f>
        <v>0</v>
      </c>
      <c r="AP79" s="55">
        <f>_xll.EQNXTDZ($A$1,$B79,AP$5,$B$1)</f>
        <v>4.95</v>
      </c>
      <c r="AQ79" s="55">
        <f>_xll.EQNXTDZ($A$1,$B79,AQ$5,$B$1)</f>
        <v>0</v>
      </c>
      <c r="AR79" s="55">
        <f>_xll.EQNXTDZ($A$1,$B79,AR$5,$B$1)</f>
        <v>8.77</v>
      </c>
      <c r="AS79" s="55">
        <f>_xll.EQNXTDZ($A$1,$B79,AS$5,$B$1)</f>
        <v>0</v>
      </c>
      <c r="AT79" s="55">
        <f>_xll.EQNXTDZ($A$1,$B79,AT$5,$B$1)</f>
        <v>4.12</v>
      </c>
      <c r="AU79" s="55">
        <f>_xll.EQNXTDZ($A$1,$B79,AU$5,$B$1)</f>
        <v>0</v>
      </c>
      <c r="AV79" s="55">
        <f>_xll.EQNXTDZ($A$1,$B79,AV$5,$B$1)</f>
        <v>7.11</v>
      </c>
      <c r="AW79" s="55">
        <f>_xll.EQNXTDZ($A$1,$B79,AW$5,$B$1)</f>
        <v>0</v>
      </c>
      <c r="AX79" s="55">
        <f>_xll.EQNXTDZ($A$1,$B79,AX$5,$B$1)</f>
        <v>3.82</v>
      </c>
      <c r="AY79" s="55">
        <f>_xll.EQNXTDZ($A$1,$B79,AY$5,$B$1)</f>
        <v>0</v>
      </c>
      <c r="AZ79" s="55">
        <f>_xll.EQNXTDZ($A$1,$B79,AZ$5,$B$1)</f>
        <v>6.24</v>
      </c>
      <c r="BA79" s="55">
        <f>_xll.EQNXTDZ($A$1,$B79,BA$5,$B$1)</f>
        <v>0</v>
      </c>
      <c r="BB79" s="55">
        <f>_xll.EQNXTDZ($A$1,$B79,BB$5,$B$1)</f>
        <v>3.78</v>
      </c>
      <c r="BC79" s="55">
        <f>_xll.EQNXTDZ($A$1,$B79,BC$5,$B$1)</f>
        <v>0</v>
      </c>
      <c r="BD79" s="55">
        <f>_xll.EQNXTDZ($A$1,$B79,BD$5,$B$1)</f>
        <v>3.41</v>
      </c>
      <c r="BE79" s="55">
        <f>_xll.EQNXTDZ($A$1,$B79,BE$5,$B$1)</f>
        <v>0</v>
      </c>
      <c r="BF79" s="55">
        <f>_xll.EQNXTDZ($A$1,$B79,BF$5,$B$1)</f>
        <v>2.77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10.116</v>
      </c>
      <c r="E81" s="55">
        <f>_xll.EQNXTDZ($A$1,$B81,E$5,$B$1)</f>
        <v>0</v>
      </c>
      <c r="F81" s="55">
        <f>_xll.EQNXTDZ($A$1,$B81,F$5,$B$1)</f>
        <v>11.404</v>
      </c>
      <c r="G81" s="55">
        <f>_xll.EQNXTDZ($A$1,$B81,G$5,$B$1)</f>
        <v>0</v>
      </c>
      <c r="H81" s="55">
        <f>_xll.EQNXTDZ($A$1,$B81,H$5,$B$1)</f>
        <v>17.48</v>
      </c>
      <c r="I81" s="55">
        <f>_xll.EQNXTDZ($A$1,$B81,I$5,$B$1)</f>
        <v>0</v>
      </c>
      <c r="J81" s="55">
        <f>_xll.EQNXTDZ($A$1,$B81,J$5,$B$1)</f>
        <v>13.8</v>
      </c>
      <c r="K81" s="55">
        <f>_xll.EQNXTDZ($A$1,$B81,K$5,$B$1)</f>
        <v>0</v>
      </c>
      <c r="L81" s="55">
        <f>_xll.EQNXTDZ($A$1,$B81,L$5,$B$1)</f>
        <v>26.21</v>
      </c>
      <c r="M81" s="55">
        <f>_xll.EQNXTDZ($A$1,$B81,M$5,$B$1)</f>
        <v>0</v>
      </c>
      <c r="N81" s="55">
        <f>_xll.EQNXTDZ($A$1,$B81,N$5,$B$1)</f>
        <v>20.34</v>
      </c>
      <c r="O81" s="55">
        <f>_xll.EQNXTDZ($A$1,$B81,O$5,$B$1)</f>
        <v>0</v>
      </c>
      <c r="P81" s="55">
        <f>_xll.EQNXTDZ($A$1,$B81,P$5,$B$1)</f>
        <v>36.68</v>
      </c>
      <c r="Q81" s="55">
        <f>_xll.EQNXTDZ($A$1,$B81,Q$5,$B$1)</f>
        <v>0</v>
      </c>
      <c r="R81" s="55">
        <f>_xll.EQNXTDZ($A$1,$B81,R$5,$B$1)</f>
        <v>27.67</v>
      </c>
      <c r="S81" s="55">
        <f>_xll.EQNXTDZ($A$1,$B81,S$5,$B$1)</f>
        <v>0</v>
      </c>
      <c r="T81" s="55">
        <f>_xll.EQNXTDZ($A$1,$B81,T$5,$B$1)</f>
        <v>30.45</v>
      </c>
      <c r="U81" s="55">
        <f>_xll.EQNXTDZ($A$1,$B81,U$5,$B$1)</f>
        <v>0</v>
      </c>
      <c r="V81" s="55">
        <f>_xll.EQNXTDZ($A$1,$B81,V$5,$B$1)</f>
        <v>22.48</v>
      </c>
      <c r="W81" s="55">
        <f>_xll.EQNXTDZ($A$1,$B81,W$5,$B$1)</f>
        <v>0</v>
      </c>
      <c r="X81" s="55">
        <f>_xll.EQNXTDZ($A$1,$B81,X$5,$B$1)</f>
        <v>30.05</v>
      </c>
      <c r="Y81" s="55">
        <f>_xll.EQNXTDZ($A$1,$B81,Y$5,$B$1)</f>
        <v>0</v>
      </c>
      <c r="Z81" s="55">
        <f>_xll.EQNXTDZ($A$1,$B81,Z$5,$B$1)</f>
        <v>31.35</v>
      </c>
      <c r="AA81" s="55">
        <f>_xll.EQNXTDZ($A$1,$B81,AA$5,$B$1)</f>
        <v>0</v>
      </c>
      <c r="AB81" s="55">
        <f>_xll.EQNXTDZ($A$1,$B81,AB$5,$B$1)</f>
        <v>28.64</v>
      </c>
      <c r="AC81" s="55">
        <f>_xll.EQNXTDZ($A$1,$B81,AC$5,$B$1)</f>
        <v>0</v>
      </c>
      <c r="AD81" s="55">
        <f>_xll.EQNXTDZ($A$1,$B81,AD$5,$B$1)</f>
        <v>27.56</v>
      </c>
      <c r="AE81" s="55">
        <f>_xll.EQNXTDZ($A$1,$B81,AE$5,$B$1)</f>
        <v>0</v>
      </c>
      <c r="AF81" s="55">
        <f>_xll.EQNXTDZ($A$1,$B81,AF$5,$B$1)</f>
        <v>24.59</v>
      </c>
      <c r="AG81" s="55">
        <f>_xll.EQNXTDZ($A$1,$B81,AG$5,$B$1)</f>
        <v>0</v>
      </c>
      <c r="AH81" s="55">
        <f>_xll.EQNXTDZ($A$1,$B81,AH$5,$B$1)</f>
        <v>28.72</v>
      </c>
      <c r="AI81" s="55">
        <f>_xll.EQNXTDZ($A$1,$B81,AI$5,$B$1)</f>
        <v>0</v>
      </c>
      <c r="AJ81" s="55">
        <f>_xll.EQNXTDZ($A$1,$B81,AJ$5,$B$1)</f>
        <v>29.96</v>
      </c>
      <c r="AK81" s="55">
        <f>_xll.EQNXTDZ($A$1,$B81,AK$5,$B$1)</f>
        <v>0</v>
      </c>
      <c r="AL81" s="55">
        <f>_xll.EQNXTDZ($A$1,$B81,AL$5,$B$1)</f>
        <v>26.09</v>
      </c>
      <c r="AM81" s="55">
        <f>_xll.EQNXTDZ($A$1,$B81,AM$5,$B$1)</f>
        <v>0</v>
      </c>
      <c r="AN81" s="55">
        <f>_xll.EQNXTDZ($A$1,$B81,AN$5,$B$1)</f>
        <v>25.53</v>
      </c>
      <c r="AO81" s="55">
        <f>_xll.EQNXTDZ($A$1,$B81,AO$5,$B$1)</f>
        <v>0</v>
      </c>
      <c r="AP81" s="55">
        <f>_xll.EQNXTDZ($A$1,$B81,AP$5,$B$1)</f>
        <v>29.4</v>
      </c>
      <c r="AQ81" s="55">
        <f>_xll.EQNXTDZ($A$1,$B81,AQ$5,$B$1)</f>
        <v>0</v>
      </c>
      <c r="AR81" s="55">
        <f>_xll.EQNXTDZ($A$1,$B81,AR$5,$B$1)</f>
        <v>36.76</v>
      </c>
      <c r="AS81" s="55">
        <f>_xll.EQNXTDZ($A$1,$B81,AS$5,$B$1)</f>
        <v>0</v>
      </c>
      <c r="AT81" s="55">
        <f>_xll.EQNXTDZ($A$1,$B81,AT$5,$B$1)</f>
        <v>36.369999999999997</v>
      </c>
      <c r="AU81" s="55">
        <f>_xll.EQNXTDZ($A$1,$B81,AU$5,$B$1)</f>
        <v>0</v>
      </c>
      <c r="AV81" s="55">
        <f>_xll.EQNXTDZ($A$1,$B81,AV$5,$B$1)</f>
        <v>39.369999999999997</v>
      </c>
      <c r="AW81" s="55">
        <f>_xll.EQNXTDZ($A$1,$B81,AW$5,$B$1)</f>
        <v>0</v>
      </c>
      <c r="AX81" s="55">
        <f>_xll.EQNXTDZ($A$1,$B81,AX$5,$B$1)</f>
        <v>43.28</v>
      </c>
      <c r="AY81" s="55">
        <f>_xll.EQNXTDZ($A$1,$B81,AY$5,$B$1)</f>
        <v>0</v>
      </c>
      <c r="AZ81" s="55">
        <f>_xll.EQNXTDZ($A$1,$B81,AZ$5,$B$1)</f>
        <v>52.07</v>
      </c>
      <c r="BA81" s="55">
        <f>_xll.EQNXTDZ($A$1,$B81,BA$5,$B$1)</f>
        <v>0</v>
      </c>
      <c r="BB81" s="55">
        <f>_xll.EQNXTDZ($A$1,$B81,BB$5,$B$1)</f>
        <v>57.01</v>
      </c>
      <c r="BC81" s="55">
        <f>_xll.EQNXTDZ($A$1,$B81,BC$5,$B$1)</f>
        <v>0</v>
      </c>
      <c r="BD81" s="55">
        <f>_xll.EQNXTDZ($A$1,$B81,BD$5,$B$1)</f>
        <v>50.91</v>
      </c>
      <c r="BE81" s="55">
        <f>_xll.EQNXTDZ($A$1,$B81,BE$5,$B$1)</f>
        <v>0</v>
      </c>
      <c r="BF81" s="55">
        <f>_xll.EQNXTDZ($A$1,$B81,BF$5,$B$1)</f>
        <v>51.84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19.712</v>
      </c>
      <c r="E82" s="55">
        <f>_xll.EQNXTDZ($A$1,$B82,E$5,$B$1)</f>
        <v>0</v>
      </c>
      <c r="F82" s="55">
        <f>_xll.EQNXTDZ($A$1,$B82,F$5,$B$1)</f>
        <v>21.881</v>
      </c>
      <c r="G82" s="55">
        <f>_xll.EQNXTDZ($A$1,$B82,G$5,$B$1)</f>
        <v>0</v>
      </c>
      <c r="H82" s="55">
        <f>_xll.EQNXTDZ($A$1,$B82,H$5,$B$1)</f>
        <v>23.39</v>
      </c>
      <c r="I82" s="55">
        <f>_xll.EQNXTDZ($A$1,$B82,I$5,$B$1)</f>
        <v>0</v>
      </c>
      <c r="J82" s="55">
        <f>_xll.EQNXTDZ($A$1,$B82,J$5,$B$1)</f>
        <v>32.880000000000003</v>
      </c>
      <c r="K82" s="55">
        <f>_xll.EQNXTDZ($A$1,$B82,K$5,$B$1)</f>
        <v>0</v>
      </c>
      <c r="L82" s="55">
        <f>_xll.EQNXTDZ($A$1,$B82,L$5,$B$1)</f>
        <v>23.82</v>
      </c>
      <c r="M82" s="55">
        <f>_xll.EQNXTDZ($A$1,$B82,M$5,$B$1)</f>
        <v>0</v>
      </c>
      <c r="N82" s="55">
        <f>_xll.EQNXTDZ($A$1,$B82,N$5,$B$1)</f>
        <v>11.89</v>
      </c>
      <c r="O82" s="55">
        <f>_xll.EQNXTDZ($A$1,$B82,O$5,$B$1)</f>
        <v>0</v>
      </c>
      <c r="P82" s="55">
        <f>_xll.EQNXTDZ($A$1,$B82,P$5,$B$1)</f>
        <v>22.67</v>
      </c>
      <c r="Q82" s="55">
        <f>_xll.EQNXTDZ($A$1,$B82,Q$5,$B$1)</f>
        <v>0</v>
      </c>
      <c r="R82" s="55">
        <f>_xll.EQNXTDZ($A$1,$B82,R$5,$B$1)</f>
        <v>25.66</v>
      </c>
      <c r="S82" s="55">
        <f>_xll.EQNXTDZ($A$1,$B82,S$5,$B$1)</f>
        <v>0</v>
      </c>
      <c r="T82" s="55">
        <f>_xll.EQNXTDZ($A$1,$B82,T$5,$B$1)</f>
        <v>20.309999999999999</v>
      </c>
      <c r="U82" s="55">
        <f>_xll.EQNXTDZ($A$1,$B82,U$5,$B$1)</f>
        <v>0</v>
      </c>
      <c r="V82" s="55">
        <f>_xll.EQNXTDZ($A$1,$B82,V$5,$B$1)</f>
        <v>27.24</v>
      </c>
      <c r="W82" s="55">
        <f>_xll.EQNXTDZ($A$1,$B82,W$5,$B$1)</f>
        <v>0</v>
      </c>
      <c r="X82" s="55">
        <f>_xll.EQNXTDZ($A$1,$B82,X$5,$B$1)</f>
        <v>25.6</v>
      </c>
      <c r="Y82" s="55">
        <f>_xll.EQNXTDZ($A$1,$B82,Y$5,$B$1)</f>
        <v>0</v>
      </c>
      <c r="Z82" s="55">
        <f>_xll.EQNXTDZ($A$1,$B82,Z$5,$B$1)</f>
        <v>29.73</v>
      </c>
      <c r="AA82" s="55">
        <f>_xll.EQNXTDZ($A$1,$B82,AA$5,$B$1)</f>
        <v>0</v>
      </c>
      <c r="AB82" s="55">
        <f>_xll.EQNXTDZ($A$1,$B82,AB$5,$B$1)</f>
        <v>33.75</v>
      </c>
      <c r="AC82" s="55">
        <f>_xll.EQNXTDZ($A$1,$B82,AC$5,$B$1)</f>
        <v>0</v>
      </c>
      <c r="AD82" s="55">
        <f>_xll.EQNXTDZ($A$1,$B82,AD$5,$B$1)</f>
        <v>26.58</v>
      </c>
      <c r="AE82" s="55">
        <f>_xll.EQNXTDZ($A$1,$B82,AE$5,$B$1)</f>
        <v>0</v>
      </c>
      <c r="AF82" s="55">
        <f>_xll.EQNXTDZ($A$1,$B82,AF$5,$B$1)</f>
        <v>30.08</v>
      </c>
      <c r="AG82" s="55">
        <f>_xll.EQNXTDZ($A$1,$B82,AG$5,$B$1)</f>
        <v>0</v>
      </c>
      <c r="AH82" s="55">
        <f>_xll.EQNXTDZ($A$1,$B82,AH$5,$B$1)</f>
        <v>28.24</v>
      </c>
      <c r="AI82" s="55">
        <f>_xll.EQNXTDZ($A$1,$B82,AI$5,$B$1)</f>
        <v>0</v>
      </c>
      <c r="AJ82" s="55">
        <f>_xll.EQNXTDZ($A$1,$B82,AJ$5,$B$1)</f>
        <v>25.76</v>
      </c>
      <c r="AK82" s="55">
        <f>_xll.EQNXTDZ($A$1,$B82,AK$5,$B$1)</f>
        <v>0</v>
      </c>
      <c r="AL82" s="55">
        <f>_xll.EQNXTDZ($A$1,$B82,AL$5,$B$1)</f>
        <v>28.68</v>
      </c>
      <c r="AM82" s="55">
        <f>_xll.EQNXTDZ($A$1,$B82,AM$5,$B$1)</f>
        <v>0</v>
      </c>
      <c r="AN82" s="55">
        <f>_xll.EQNXTDZ($A$1,$B82,AN$5,$B$1)</f>
        <v>31.42</v>
      </c>
      <c r="AO82" s="55">
        <f>_xll.EQNXTDZ($A$1,$B82,AO$5,$B$1)</f>
        <v>0</v>
      </c>
      <c r="AP82" s="55">
        <f>_xll.EQNXTDZ($A$1,$B82,AP$5,$B$1)</f>
        <v>41.34</v>
      </c>
      <c r="AQ82" s="55">
        <f>_xll.EQNXTDZ($A$1,$B82,AQ$5,$B$1)</f>
        <v>0</v>
      </c>
      <c r="AR82" s="55">
        <f>_xll.EQNXTDZ($A$1,$B82,AR$5,$B$1)</f>
        <v>47.87</v>
      </c>
      <c r="AS82" s="55">
        <f>_xll.EQNXTDZ($A$1,$B82,AS$5,$B$1)</f>
        <v>0</v>
      </c>
      <c r="AT82" s="55">
        <f>_xll.EQNXTDZ($A$1,$B82,AT$5,$B$1)</f>
        <v>40.11</v>
      </c>
      <c r="AU82" s="55">
        <f>_xll.EQNXTDZ($A$1,$B82,AU$5,$B$1)</f>
        <v>0</v>
      </c>
      <c r="AV82" s="55">
        <f>_xll.EQNXTDZ($A$1,$B82,AV$5,$B$1)</f>
        <v>40.08</v>
      </c>
      <c r="AW82" s="55">
        <f>_xll.EQNXTDZ($A$1,$B82,AW$5,$B$1)</f>
        <v>0</v>
      </c>
      <c r="AX82" s="55">
        <f>_xll.EQNXTDZ($A$1,$B82,AX$5,$B$1)</f>
        <v>47.89</v>
      </c>
      <c r="AY82" s="55">
        <f>_xll.EQNXTDZ($A$1,$B82,AY$5,$B$1)</f>
        <v>0</v>
      </c>
      <c r="AZ82" s="55">
        <f>_xll.EQNXTDZ($A$1,$B82,AZ$5,$B$1)</f>
        <v>54.6</v>
      </c>
      <c r="BA82" s="55">
        <f>_xll.EQNXTDZ($A$1,$B82,BA$5,$B$1)</f>
        <v>0</v>
      </c>
      <c r="BB82" s="55">
        <f>_xll.EQNXTDZ($A$1,$B82,BB$5,$B$1)</f>
        <v>64.09</v>
      </c>
      <c r="BC82" s="55">
        <f>_xll.EQNXTDZ($A$1,$B82,BC$5,$B$1)</f>
        <v>0</v>
      </c>
      <c r="BD82" s="55">
        <f>_xll.EQNXTDZ($A$1,$B82,BD$5,$B$1)</f>
        <v>54.39</v>
      </c>
      <c r="BE82" s="55">
        <f>_xll.EQNXTDZ($A$1,$B82,BE$5,$B$1)</f>
        <v>0</v>
      </c>
      <c r="BF82" s="55">
        <f>_xll.EQNXTDZ($A$1,$B82,BF$5,$B$1)</f>
        <v>70.89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2.2389999999999999</v>
      </c>
      <c r="E83" s="55">
        <f>_xll.EQNXTDZ($A$1,$B83,E$5,$B$1)</f>
        <v>0</v>
      </c>
      <c r="F83" s="55">
        <f>_xll.EQNXTDZ($A$1,$B83,F$5,$B$1)</f>
        <v>0.51700000000000002</v>
      </c>
      <c r="G83" s="55">
        <f>_xll.EQNXTDZ($A$1,$B83,G$5,$B$1)</f>
        <v>0</v>
      </c>
      <c r="H83" s="55">
        <f>_xll.EQNXTDZ($A$1,$B83,H$5,$B$1)</f>
        <v>7.0000000000000007E-2</v>
      </c>
      <c r="I83" s="55">
        <f>_xll.EQNXTDZ($A$1,$B83,I$5,$B$1)</f>
        <v>0</v>
      </c>
      <c r="J83" s="55">
        <f>_xll.EQNXTDZ($A$1,$B83,J$5,$B$1)</f>
        <v>2.73</v>
      </c>
      <c r="K83" s="55">
        <f>_xll.EQNXTDZ($A$1,$B83,K$5,$B$1)</f>
        <v>0</v>
      </c>
      <c r="L83" s="55">
        <f>_xll.EQNXTDZ($A$1,$B83,L$5,$B$1)</f>
        <v>4.3</v>
      </c>
      <c r="M83" s="55">
        <f>_xll.EQNXTDZ($A$1,$B83,M$5,$B$1)</f>
        <v>0</v>
      </c>
      <c r="N83" s="55">
        <f>_xll.EQNXTDZ($A$1,$B83,N$5,$B$1)</f>
        <v>0.18</v>
      </c>
      <c r="O83" s="55">
        <f>_xll.EQNXTDZ($A$1,$B83,O$5,$B$1)</f>
        <v>0</v>
      </c>
      <c r="P83" s="55">
        <f>_xll.EQNXTDZ($A$1,$B83,P$5,$B$1)</f>
        <v>0.43</v>
      </c>
      <c r="Q83" s="55">
        <f>_xll.EQNXTDZ($A$1,$B83,Q$5,$B$1)</f>
        <v>0</v>
      </c>
      <c r="R83" s="55">
        <f>_xll.EQNXTDZ($A$1,$B83,R$5,$B$1)</f>
        <v>2.12</v>
      </c>
      <c r="S83" s="55">
        <f>_xll.EQNXTDZ($A$1,$B83,S$5,$B$1)</f>
        <v>0</v>
      </c>
      <c r="T83" s="55">
        <f>_xll.EQNXTDZ($A$1,$B83,T$5,$B$1)</f>
        <v>0.95</v>
      </c>
      <c r="U83" s="55">
        <f>_xll.EQNXTDZ($A$1,$B83,U$5,$B$1)</f>
        <v>0</v>
      </c>
      <c r="V83" s="55">
        <f>_xll.EQNXTDZ($A$1,$B83,V$5,$B$1)</f>
        <v>1.24</v>
      </c>
      <c r="W83" s="55">
        <f>_xll.EQNXTDZ($A$1,$B83,W$5,$B$1)</f>
        <v>0</v>
      </c>
      <c r="X83" s="55">
        <f>_xll.EQNXTDZ($A$1,$B83,X$5,$B$1)</f>
        <v>6.37</v>
      </c>
      <c r="Y83" s="55">
        <f>_xll.EQNXTDZ($A$1,$B83,Y$5,$B$1)</f>
        <v>0</v>
      </c>
      <c r="Z83" s="55">
        <f>_xll.EQNXTDZ($A$1,$B83,Z$5,$B$1)</f>
        <v>2.63</v>
      </c>
      <c r="AA83" s="55">
        <f>_xll.EQNXTDZ($A$1,$B83,AA$5,$B$1)</f>
        <v>0</v>
      </c>
      <c r="AB83" s="55">
        <f>_xll.EQNXTDZ($A$1,$B83,AB$5,$B$1)</f>
        <v>2.83</v>
      </c>
      <c r="AC83" s="55">
        <f>_xll.EQNXTDZ($A$1,$B83,AC$5,$B$1)</f>
        <v>0</v>
      </c>
      <c r="AD83" s="55">
        <f>_xll.EQNXTDZ($A$1,$B83,AD$5,$B$1)</f>
        <v>1.87</v>
      </c>
      <c r="AE83" s="55">
        <f>_xll.EQNXTDZ($A$1,$B83,AE$5,$B$1)</f>
        <v>0</v>
      </c>
      <c r="AF83" s="55">
        <f>_xll.EQNXTDZ($A$1,$B83,AF$5,$B$1)</f>
        <v>0.01</v>
      </c>
      <c r="AG83" s="55">
        <f>_xll.EQNXTDZ($A$1,$B83,AG$5,$B$1)</f>
        <v>0</v>
      </c>
      <c r="AH83" s="55">
        <f>_xll.EQNXTDZ($A$1,$B83,AH$5,$B$1)</f>
        <v>1.05</v>
      </c>
      <c r="AI83" s="55">
        <f>_xll.EQNXTDZ($A$1,$B83,AI$5,$B$1)</f>
        <v>0</v>
      </c>
      <c r="AJ83" s="55">
        <f>_xll.EQNXTDZ($A$1,$B83,AJ$5,$B$1)</f>
        <v>4.74</v>
      </c>
      <c r="AK83" s="55">
        <f>_xll.EQNXTDZ($A$1,$B83,AK$5,$B$1)</f>
        <v>0</v>
      </c>
      <c r="AL83" s="55">
        <f>_xll.EQNXTDZ($A$1,$B83,AL$5,$B$1)</f>
        <v>3.57</v>
      </c>
      <c r="AM83" s="55">
        <f>_xll.EQNXTDZ($A$1,$B83,AM$5,$B$1)</f>
        <v>0</v>
      </c>
      <c r="AN83" s="55">
        <f>_xll.EQNXTDZ($A$1,$B83,AN$5,$B$1)</f>
        <v>3.09</v>
      </c>
      <c r="AO83" s="55">
        <f>_xll.EQNXTDZ($A$1,$B83,AO$5,$B$1)</f>
        <v>0</v>
      </c>
      <c r="AP83" s="55">
        <f>_xll.EQNXTDZ($A$1,$B83,AP$5,$B$1)</f>
        <v>5.84</v>
      </c>
      <c r="AQ83" s="55">
        <f>_xll.EQNXTDZ($A$1,$B83,AQ$5,$B$1)</f>
        <v>0</v>
      </c>
      <c r="AR83" s="55">
        <f>_xll.EQNXTDZ($A$1,$B83,AR$5,$B$1)</f>
        <v>6</v>
      </c>
      <c r="AS83" s="55">
        <f>_xll.EQNXTDZ($A$1,$B83,AS$5,$B$1)</f>
        <v>0</v>
      </c>
      <c r="AT83" s="55">
        <f>_xll.EQNXTDZ($A$1,$B83,AT$5,$B$1)</f>
        <v>1.78</v>
      </c>
      <c r="AU83" s="55">
        <f>_xll.EQNXTDZ($A$1,$B83,AU$5,$B$1)</f>
        <v>0</v>
      </c>
      <c r="AV83" s="55">
        <f>_xll.EQNXTDZ($A$1,$B83,AV$5,$B$1)</f>
        <v>8.0500000000000007</v>
      </c>
      <c r="AW83" s="55">
        <f>_xll.EQNXTDZ($A$1,$B83,AW$5,$B$1)</f>
        <v>0</v>
      </c>
      <c r="AX83" s="55">
        <f>_xll.EQNXTDZ($A$1,$B83,AX$5,$B$1)</f>
        <v>0.6</v>
      </c>
      <c r="AY83" s="55">
        <f>_xll.EQNXTDZ($A$1,$B83,AY$5,$B$1)</f>
        <v>0</v>
      </c>
      <c r="AZ83" s="55">
        <f>_xll.EQNXTDZ($A$1,$B83,AZ$5,$B$1)</f>
        <v>6.43</v>
      </c>
      <c r="BA83" s="55">
        <f>_xll.EQNXTDZ($A$1,$B83,BA$5,$B$1)</f>
        <v>0</v>
      </c>
      <c r="BB83" s="55">
        <f>_xll.EQNXTDZ($A$1,$B83,BB$5,$B$1)</f>
        <v>3.72</v>
      </c>
      <c r="BC83" s="55">
        <f>_xll.EQNXTDZ($A$1,$B83,BC$5,$B$1)</f>
        <v>0</v>
      </c>
      <c r="BD83" s="55">
        <f>_xll.EQNXTDZ($A$1,$B83,BD$5,$B$1)</f>
        <v>0.71</v>
      </c>
      <c r="BE83" s="55">
        <f>_xll.EQNXTDZ($A$1,$B83,BE$5,$B$1)</f>
        <v>0</v>
      </c>
      <c r="BF83" s="55">
        <f>_xll.EQNXTDZ($A$1,$B83,BF$5,$B$1)</f>
        <v>14.14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4.7389999999999999</v>
      </c>
      <c r="E84" s="55">
        <f>_xll.EQNXTDZ($A$1,$B84,E$5,$B$1)</f>
        <v>0</v>
      </c>
      <c r="F84" s="55">
        <f>_xll.EQNXTDZ($A$1,$B84,F$5,$B$1)</f>
        <v>0.88400000000000001</v>
      </c>
      <c r="G84" s="55">
        <f>_xll.EQNXTDZ($A$1,$B84,G$5,$B$1)</f>
        <v>0</v>
      </c>
      <c r="H84" s="55">
        <f>_xll.EQNXTDZ($A$1,$B84,H$5,$B$1)</f>
        <v>5.08</v>
      </c>
      <c r="I84" s="55">
        <f>_xll.EQNXTDZ($A$1,$B84,I$5,$B$1)</f>
        <v>0</v>
      </c>
      <c r="J84" s="55">
        <f>_xll.EQNXTDZ($A$1,$B84,J$5,$B$1)</f>
        <v>4.84</v>
      </c>
      <c r="K84" s="55">
        <f>_xll.EQNXTDZ($A$1,$B84,K$5,$B$1)</f>
        <v>0</v>
      </c>
      <c r="L84" s="55">
        <f>_xll.EQNXTDZ($A$1,$B84,L$5,$B$1)</f>
        <v>4.3499999999999996</v>
      </c>
      <c r="M84" s="55">
        <f>_xll.EQNXTDZ($A$1,$B84,M$5,$B$1)</f>
        <v>0</v>
      </c>
      <c r="N84" s="55">
        <f>_xll.EQNXTDZ($A$1,$B84,N$5,$B$1)</f>
        <v>4.28</v>
      </c>
      <c r="O84" s="55">
        <f>_xll.EQNXTDZ($A$1,$B84,O$5,$B$1)</f>
        <v>0</v>
      </c>
      <c r="P84" s="55">
        <f>_xll.EQNXTDZ($A$1,$B84,P$5,$B$1)</f>
        <v>4.28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7.44</v>
      </c>
      <c r="W84" s="55">
        <f>_xll.EQNXTDZ($A$1,$B84,W$5,$B$1)</f>
        <v>0</v>
      </c>
      <c r="X84" s="55">
        <f>_xll.EQNXTDZ($A$1,$B84,X$5,$B$1)</f>
        <v>10.51</v>
      </c>
      <c r="Y84" s="55">
        <f>_xll.EQNXTDZ($A$1,$B84,Y$5,$B$1)</f>
        <v>0</v>
      </c>
      <c r="Z84" s="55">
        <f>_xll.EQNXTDZ($A$1,$B84,Z$5,$B$1)</f>
        <v>13.33</v>
      </c>
      <c r="AA84" s="55">
        <f>_xll.EQNXTDZ($A$1,$B84,AA$5,$B$1)</f>
        <v>0</v>
      </c>
      <c r="AB84" s="55">
        <f>_xll.EQNXTDZ($A$1,$B84,AB$5,$B$1)</f>
        <v>14.47</v>
      </c>
      <c r="AC84" s="55">
        <f>_xll.EQNXTDZ($A$1,$B84,AC$5,$B$1)</f>
        <v>0</v>
      </c>
      <c r="AD84" s="55">
        <f>_xll.EQNXTDZ($A$1,$B84,AD$5,$B$1)</f>
        <v>15.26</v>
      </c>
      <c r="AE84" s="55">
        <f>_xll.EQNXTDZ($A$1,$B84,AE$5,$B$1)</f>
        <v>0</v>
      </c>
      <c r="AF84" s="55">
        <f>_xll.EQNXTDZ($A$1,$B84,AF$5,$B$1)</f>
        <v>19.72</v>
      </c>
      <c r="AG84" s="55">
        <f>_xll.EQNXTDZ($A$1,$B84,AG$5,$B$1)</f>
        <v>0</v>
      </c>
      <c r="AH84" s="55">
        <f>_xll.EQNXTDZ($A$1,$B84,AH$5,$B$1)</f>
        <v>13.81</v>
      </c>
      <c r="AI84" s="55">
        <f>_xll.EQNXTDZ($A$1,$B84,AI$5,$B$1)</f>
        <v>0</v>
      </c>
      <c r="AJ84" s="55">
        <f>_xll.EQNXTDZ($A$1,$B84,AJ$5,$B$1)</f>
        <v>6.79</v>
      </c>
      <c r="AK84" s="55">
        <f>_xll.EQNXTDZ($A$1,$B84,AK$5,$B$1)</f>
        <v>0</v>
      </c>
      <c r="AL84" s="55">
        <f>_xll.EQNXTDZ($A$1,$B84,AL$5,$B$1)</f>
        <v>7.92</v>
      </c>
      <c r="AM84" s="55">
        <f>_xll.EQNXTDZ($A$1,$B84,AM$5,$B$1)</f>
        <v>0</v>
      </c>
      <c r="AN84" s="55">
        <f>_xll.EQNXTDZ($A$1,$B84,AN$5,$B$1)</f>
        <v>7.57</v>
      </c>
      <c r="AO84" s="55">
        <f>_xll.EQNXTDZ($A$1,$B84,AO$5,$B$1)</f>
        <v>0</v>
      </c>
      <c r="AP84" s="55">
        <f>_xll.EQNXTDZ($A$1,$B84,AP$5,$B$1)</f>
        <v>13.44</v>
      </c>
      <c r="AQ84" s="55">
        <f>_xll.EQNXTDZ($A$1,$B84,AQ$5,$B$1)</f>
        <v>0</v>
      </c>
      <c r="AR84" s="55">
        <f>_xll.EQNXTDZ($A$1,$B84,AR$5,$B$1)</f>
        <v>10.96</v>
      </c>
      <c r="AS84" s="55">
        <f>_xll.EQNXTDZ($A$1,$B84,AS$5,$B$1)</f>
        <v>0</v>
      </c>
      <c r="AT84" s="55">
        <f>_xll.EQNXTDZ($A$1,$B84,AT$5,$B$1)</f>
        <v>14.54</v>
      </c>
      <c r="AU84" s="55">
        <f>_xll.EQNXTDZ($A$1,$B84,AU$5,$B$1)</f>
        <v>0</v>
      </c>
      <c r="AV84" s="55">
        <f>_xll.EQNXTDZ($A$1,$B84,AV$5,$B$1)</f>
        <v>10.8</v>
      </c>
      <c r="AW84" s="55">
        <f>_xll.EQNXTDZ($A$1,$B84,AW$5,$B$1)</f>
        <v>0</v>
      </c>
      <c r="AX84" s="55">
        <f>_xll.EQNXTDZ($A$1,$B84,AX$5,$B$1)</f>
        <v>13.75</v>
      </c>
      <c r="AY84" s="55">
        <f>_xll.EQNXTDZ($A$1,$B84,AY$5,$B$1)</f>
        <v>0</v>
      </c>
      <c r="AZ84" s="55">
        <f>_xll.EQNXTDZ($A$1,$B84,AZ$5,$B$1)</f>
        <v>13.16</v>
      </c>
      <c r="BA84" s="55">
        <f>_xll.EQNXTDZ($A$1,$B84,BA$5,$B$1)</f>
        <v>0</v>
      </c>
      <c r="BB84" s="55">
        <f>_xll.EQNXTDZ($A$1,$B84,BB$5,$B$1)</f>
        <v>12.17</v>
      </c>
      <c r="BC84" s="55">
        <f>_xll.EQNXTDZ($A$1,$B84,BC$5,$B$1)</f>
        <v>0</v>
      </c>
      <c r="BD84" s="55">
        <f>_xll.EQNXTDZ($A$1,$B84,BD$5,$B$1)</f>
        <v>5.12</v>
      </c>
      <c r="BE84" s="55">
        <f>_xll.EQNXTDZ($A$1,$B84,BE$5,$B$1)</f>
        <v>0</v>
      </c>
      <c r="BF84" s="55">
        <f>_xll.EQNXTDZ($A$1,$B84,BF$5,$B$1)</f>
        <v>2.69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0.35899999999999999</v>
      </c>
      <c r="E85" s="55">
        <f>_xll.EQNXTDZ($A$1,$B85,E$5,$B$1)</f>
        <v>0</v>
      </c>
      <c r="F85" s="55">
        <f>_xll.EQNXTDZ($A$1,$B85,F$5,$B$1)</f>
        <v>4.6239999999999997</v>
      </c>
      <c r="G85" s="55">
        <f>_xll.EQNXTDZ($A$1,$B85,G$5,$B$1)</f>
        <v>0</v>
      </c>
      <c r="H85" s="55">
        <f>_xll.EQNXTDZ($A$1,$B85,H$5,$B$1)</f>
        <v>0.5</v>
      </c>
      <c r="I85" s="55">
        <f>_xll.EQNXTDZ($A$1,$B85,I$5,$B$1)</f>
        <v>0</v>
      </c>
      <c r="J85" s="55">
        <f>_xll.EQNXTDZ($A$1,$B85,J$5,$B$1)</f>
        <v>3.4</v>
      </c>
      <c r="K85" s="55">
        <f>_xll.EQNXTDZ($A$1,$B85,K$5,$B$1)</f>
        <v>0</v>
      </c>
      <c r="L85" s="55">
        <f>_xll.EQNXTDZ($A$1,$B85,L$5,$B$1)</f>
        <v>6.13</v>
      </c>
      <c r="M85" s="55">
        <f>_xll.EQNXTDZ($A$1,$B85,M$5,$B$1)</f>
        <v>0</v>
      </c>
      <c r="N85" s="55">
        <f>_xll.EQNXTDZ($A$1,$B85,N$5,$B$1)</f>
        <v>7.58</v>
      </c>
      <c r="O85" s="55">
        <f>_xll.EQNXTDZ($A$1,$B85,O$5,$B$1)</f>
        <v>0</v>
      </c>
      <c r="P85" s="55">
        <f>_xll.EQNXTDZ($A$1,$B85,P$5,$B$1)</f>
        <v>10.59</v>
      </c>
      <c r="Q85" s="55">
        <f>_xll.EQNXTDZ($A$1,$B85,Q$5,$B$1)</f>
        <v>0</v>
      </c>
      <c r="R85" s="55">
        <f>_xll.EQNXTDZ($A$1,$B85,R$5,$B$1)</f>
        <v>9.1199999999999992</v>
      </c>
      <c r="S85" s="55">
        <f>_xll.EQNXTDZ($A$1,$B85,S$5,$B$1)</f>
        <v>0</v>
      </c>
      <c r="T85" s="55">
        <f>_xll.EQNXTDZ($A$1,$B85,T$5,$B$1)</f>
        <v>8.94</v>
      </c>
      <c r="U85" s="55">
        <f>_xll.EQNXTDZ($A$1,$B85,U$5,$B$1)</f>
        <v>0</v>
      </c>
      <c r="V85" s="55">
        <f>_xll.EQNXTDZ($A$1,$B85,V$5,$B$1)</f>
        <v>0.27</v>
      </c>
      <c r="W85" s="55">
        <f>_xll.EQNXTDZ($A$1,$B85,W$5,$B$1)</f>
        <v>0</v>
      </c>
      <c r="X85" s="55">
        <f>_xll.EQNXTDZ($A$1,$B85,X$5,$B$1)</f>
        <v>0.22</v>
      </c>
      <c r="Y85" s="55">
        <f>_xll.EQNXTDZ($A$1,$B85,Y$5,$B$1)</f>
        <v>0</v>
      </c>
      <c r="Z85" s="55">
        <f>_xll.EQNXTDZ($A$1,$B85,Z$5,$B$1)</f>
        <v>0.2</v>
      </c>
      <c r="AA85" s="55">
        <f>_xll.EQNXTDZ($A$1,$B85,AA$5,$B$1)</f>
        <v>0</v>
      </c>
      <c r="AB85" s="55">
        <f>_xll.EQNXTDZ($A$1,$B85,AB$5,$B$1)</f>
        <v>0.16</v>
      </c>
      <c r="AC85" s="55">
        <f>_xll.EQNXTDZ($A$1,$B85,AC$5,$B$1)</f>
        <v>0</v>
      </c>
      <c r="AD85" s="55">
        <f>_xll.EQNXTDZ($A$1,$B85,AD$5,$B$1)</f>
        <v>0.2</v>
      </c>
      <c r="AE85" s="55">
        <f>_xll.EQNXTDZ($A$1,$B85,AE$5,$B$1)</f>
        <v>0</v>
      </c>
      <c r="AF85" s="55">
        <f>_xll.EQNXTDZ($A$1,$B85,AF$5,$B$1)</f>
        <v>0.11</v>
      </c>
      <c r="AG85" s="55">
        <f>_xll.EQNXTDZ($A$1,$B85,AG$5,$B$1)</f>
        <v>0</v>
      </c>
      <c r="AH85" s="55">
        <f>_xll.EQNXTDZ($A$1,$B85,AH$5,$B$1)</f>
        <v>0.16</v>
      </c>
      <c r="AI85" s="55">
        <f>_xll.EQNXTDZ($A$1,$B85,AI$5,$B$1)</f>
        <v>0</v>
      </c>
      <c r="AJ85" s="55">
        <f>_xll.EQNXTDZ($A$1,$B85,AJ$5,$B$1)</f>
        <v>0.13</v>
      </c>
      <c r="AK85" s="55">
        <f>_xll.EQNXTDZ($A$1,$B85,AK$5,$B$1)</f>
        <v>0</v>
      </c>
      <c r="AL85" s="55">
        <f>_xll.EQNXTDZ($A$1,$B85,AL$5,$B$1)</f>
        <v>0.06</v>
      </c>
      <c r="AM85" s="55">
        <f>_xll.EQNXTDZ($A$1,$B85,AM$5,$B$1)</f>
        <v>0</v>
      </c>
      <c r="AN85" s="55">
        <f>_xll.EQNXTDZ($A$1,$B85,AN$5,$B$1)</f>
        <v>0.09</v>
      </c>
      <c r="AO85" s="55">
        <f>_xll.EQNXTDZ($A$1,$B85,AO$5,$B$1)</f>
        <v>0</v>
      </c>
      <c r="AP85" s="55">
        <f>_xll.EQNXTDZ($A$1,$B85,AP$5,$B$1)</f>
        <v>0.04</v>
      </c>
      <c r="AQ85" s="55">
        <f>_xll.EQNXTDZ($A$1,$B85,AQ$5,$B$1)</f>
        <v>0</v>
      </c>
      <c r="AR85" s="55">
        <f>_xll.EQNXTDZ($A$1,$B85,AR$5,$B$1)</f>
        <v>0.03</v>
      </c>
      <c r="AS85" s="55">
        <f>_xll.EQNXTDZ($A$1,$B85,AS$5,$B$1)</f>
        <v>0</v>
      </c>
      <c r="AT85" s="55">
        <f>_xll.EQNXTDZ($A$1,$B85,AT$5,$B$1)</f>
        <v>0.03</v>
      </c>
      <c r="AU85" s="55">
        <f>_xll.EQNXTDZ($A$1,$B85,AU$5,$B$1)</f>
        <v>0</v>
      </c>
      <c r="AV85" s="55">
        <f>_xll.EQNXTDZ($A$1,$B85,AV$5,$B$1)</f>
        <v>0.03</v>
      </c>
      <c r="AW85" s="55">
        <f>_xll.EQNXTDZ($A$1,$B85,AW$5,$B$1)</f>
        <v>0</v>
      </c>
      <c r="AX85" s="55">
        <f>_xll.EQNXTDZ($A$1,$B85,AX$5,$B$1)</f>
        <v>0.02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37.164999999999999</v>
      </c>
      <c r="E86" s="55">
        <f>_xll.EQNXTDZ($A$1,$B86,E$5,$B$1)</f>
        <v>0</v>
      </c>
      <c r="F86" s="55">
        <f>_xll.EQNXTDZ($A$1,$B86,F$5,$B$1)</f>
        <v>39.31</v>
      </c>
      <c r="G86" s="55">
        <f>_xll.EQNXTDZ($A$1,$B86,G$5,$B$1)</f>
        <v>0</v>
      </c>
      <c r="H86" s="55">
        <f>_xll.EQNXTDZ($A$1,$B86,H$5,$B$1)</f>
        <v>46.52</v>
      </c>
      <c r="I86" s="55">
        <f>_xll.EQNXTDZ($A$1,$B86,I$5,$B$1)</f>
        <v>0</v>
      </c>
      <c r="J86" s="55">
        <f>_xll.EQNXTDZ($A$1,$B86,J$5,$B$1)</f>
        <v>57.65</v>
      </c>
      <c r="K86" s="55">
        <f>_xll.EQNXTDZ($A$1,$B86,K$5,$B$1)</f>
        <v>0</v>
      </c>
      <c r="L86" s="55">
        <f>_xll.EQNXTDZ($A$1,$B86,L$5,$B$1)</f>
        <v>64.81</v>
      </c>
      <c r="M86" s="55">
        <f>_xll.EQNXTDZ($A$1,$B86,M$5,$B$1)</f>
        <v>0</v>
      </c>
      <c r="N86" s="55">
        <f>_xll.EQNXTDZ($A$1,$B86,N$5,$B$1)</f>
        <v>44.27</v>
      </c>
      <c r="O86" s="55">
        <f>_xll.EQNXTDZ($A$1,$B86,O$5,$B$1)</f>
        <v>0</v>
      </c>
      <c r="P86" s="55">
        <f>_xll.EQNXTDZ($A$1,$B86,P$5,$B$1)</f>
        <v>74.650000000000006</v>
      </c>
      <c r="Q86" s="55">
        <f>_xll.EQNXTDZ($A$1,$B86,Q$5,$B$1)</f>
        <v>0</v>
      </c>
      <c r="R86" s="55">
        <f>_xll.EQNXTDZ($A$1,$B86,R$5,$B$1)</f>
        <v>64.569999999999993</v>
      </c>
      <c r="S86" s="55">
        <f>_xll.EQNXTDZ($A$1,$B86,S$5,$B$1)</f>
        <v>0</v>
      </c>
      <c r="T86" s="55">
        <f>_xll.EQNXTDZ($A$1,$B86,T$5,$B$1)</f>
        <v>60.65</v>
      </c>
      <c r="U86" s="55">
        <f>_xll.EQNXTDZ($A$1,$B86,U$5,$B$1)</f>
        <v>0</v>
      </c>
      <c r="V86" s="55">
        <f>_xll.EQNXTDZ($A$1,$B86,V$5,$B$1)</f>
        <v>58.67</v>
      </c>
      <c r="W86" s="55">
        <f>_xll.EQNXTDZ($A$1,$B86,W$5,$B$1)</f>
        <v>0</v>
      </c>
      <c r="X86" s="55">
        <f>_xll.EQNXTDZ($A$1,$B86,X$5,$B$1)</f>
        <v>72.75</v>
      </c>
      <c r="Y86" s="55">
        <f>_xll.EQNXTDZ($A$1,$B86,Y$5,$B$1)</f>
        <v>0</v>
      </c>
      <c r="Z86" s="55">
        <f>_xll.EQNXTDZ($A$1,$B86,Z$5,$B$1)</f>
        <v>77.239999999999995</v>
      </c>
      <c r="AA86" s="55">
        <f>_xll.EQNXTDZ($A$1,$B86,AA$5,$B$1)</f>
        <v>0</v>
      </c>
      <c r="AB86" s="55">
        <f>_xll.EQNXTDZ($A$1,$B86,AB$5,$B$1)</f>
        <v>79.849999999999994</v>
      </c>
      <c r="AC86" s="55">
        <f>_xll.EQNXTDZ($A$1,$B86,AC$5,$B$1)</f>
        <v>0</v>
      </c>
      <c r="AD86" s="55">
        <f>_xll.EQNXTDZ($A$1,$B86,AD$5,$B$1)</f>
        <v>71.47</v>
      </c>
      <c r="AE86" s="55">
        <f>_xll.EQNXTDZ($A$1,$B86,AE$5,$B$1)</f>
        <v>0</v>
      </c>
      <c r="AF86" s="55">
        <f>_xll.EQNXTDZ($A$1,$B86,AF$5,$B$1)</f>
        <v>74.510000000000005</v>
      </c>
      <c r="AG86" s="55">
        <f>_xll.EQNXTDZ($A$1,$B86,AG$5,$B$1)</f>
        <v>0</v>
      </c>
      <c r="AH86" s="55">
        <f>_xll.EQNXTDZ($A$1,$B86,AH$5,$B$1)</f>
        <v>71.98</v>
      </c>
      <c r="AI86" s="55">
        <f>_xll.EQNXTDZ($A$1,$B86,AI$5,$B$1)</f>
        <v>0</v>
      </c>
      <c r="AJ86" s="55">
        <f>_xll.EQNXTDZ($A$1,$B86,AJ$5,$B$1)</f>
        <v>67.38</v>
      </c>
      <c r="AK86" s="55">
        <f>_xll.EQNXTDZ($A$1,$B86,AK$5,$B$1)</f>
        <v>0</v>
      </c>
      <c r="AL86" s="55">
        <f>_xll.EQNXTDZ($A$1,$B86,AL$5,$B$1)</f>
        <v>66.319999999999993</v>
      </c>
      <c r="AM86" s="55">
        <f>_xll.EQNXTDZ($A$1,$B86,AM$5,$B$1)</f>
        <v>0</v>
      </c>
      <c r="AN86" s="55">
        <f>_xll.EQNXTDZ($A$1,$B86,AN$5,$B$1)</f>
        <v>67.7</v>
      </c>
      <c r="AO86" s="55">
        <f>_xll.EQNXTDZ($A$1,$B86,AO$5,$B$1)</f>
        <v>0</v>
      </c>
      <c r="AP86" s="55">
        <f>_xll.EQNXTDZ($A$1,$B86,AP$5,$B$1)</f>
        <v>90.06</v>
      </c>
      <c r="AQ86" s="55">
        <f>_xll.EQNXTDZ($A$1,$B86,AQ$5,$B$1)</f>
        <v>0</v>
      </c>
      <c r="AR86" s="55">
        <f>_xll.EQNXTDZ($A$1,$B86,AR$5,$B$1)</f>
        <v>101.62</v>
      </c>
      <c r="AS86" s="55">
        <f>_xll.EQNXTDZ($A$1,$B86,AS$5,$B$1)</f>
        <v>0</v>
      </c>
      <c r="AT86" s="55">
        <f>_xll.EQNXTDZ($A$1,$B86,AT$5,$B$1)</f>
        <v>92.83</v>
      </c>
      <c r="AU86" s="55">
        <f>_xll.EQNXTDZ($A$1,$B86,AU$5,$B$1)</f>
        <v>0</v>
      </c>
      <c r="AV86" s="55">
        <f>_xll.EQNXTDZ($A$1,$B86,AV$5,$B$1)</f>
        <v>98.33</v>
      </c>
      <c r="AW86" s="55">
        <f>_xll.EQNXTDZ($A$1,$B86,AW$5,$B$1)</f>
        <v>0</v>
      </c>
      <c r="AX86" s="55">
        <f>_xll.EQNXTDZ($A$1,$B86,AX$5,$B$1)</f>
        <v>105.54</v>
      </c>
      <c r="AY86" s="55">
        <f>_xll.EQNXTDZ($A$1,$B86,AY$5,$B$1)</f>
        <v>0</v>
      </c>
      <c r="AZ86" s="55">
        <f>_xll.EQNXTDZ($A$1,$B86,AZ$5,$B$1)</f>
        <v>126.26</v>
      </c>
      <c r="BA86" s="55">
        <f>_xll.EQNXTDZ($A$1,$B86,BA$5,$B$1)</f>
        <v>0</v>
      </c>
      <c r="BB86" s="55">
        <f>_xll.EQNXTDZ($A$1,$B86,BB$5,$B$1)</f>
        <v>136.99</v>
      </c>
      <c r="BC86" s="55">
        <f>_xll.EQNXTDZ($A$1,$B86,BC$5,$B$1)</f>
        <v>0</v>
      </c>
      <c r="BD86" s="55">
        <f>_xll.EQNXTDZ($A$1,$B86,BD$5,$B$1)</f>
        <v>111.13</v>
      </c>
      <c r="BE86" s="55">
        <f>_xll.EQNXTDZ($A$1,$B86,BE$5,$B$1)</f>
        <v>0</v>
      </c>
      <c r="BF86" s="55">
        <f>_xll.EQNXTDZ($A$1,$B86,BF$5,$B$1)</f>
        <v>139.56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18.734000000000002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20.254999999999999</v>
      </c>
      <c r="E88" s="55">
        <f>_xll.EQNXTDZ($A$1,$B88,E$5,$B$1)</f>
        <v>0</v>
      </c>
      <c r="F88" s="55">
        <f>_xll.EQNXTDZ($A$1,$B88,F$5,$B$1)</f>
        <v>10.132999999999999</v>
      </c>
      <c r="G88" s="55">
        <f>_xll.EQNXTDZ($A$1,$B88,G$5,$B$1)</f>
        <v>0</v>
      </c>
      <c r="H88" s="55">
        <f>_xll.EQNXTDZ($A$1,$B88,H$5,$B$1)</f>
        <v>23.05</v>
      </c>
      <c r="I88" s="55">
        <f>_xll.EQNXTDZ($A$1,$B88,I$5,$B$1)</f>
        <v>0</v>
      </c>
      <c r="J88" s="55">
        <f>_xll.EQNXTDZ($A$1,$B88,J$5,$B$1)</f>
        <v>33.65</v>
      </c>
      <c r="K88" s="55">
        <f>_xll.EQNXTDZ($A$1,$B88,K$5,$B$1)</f>
        <v>0</v>
      </c>
      <c r="L88" s="55">
        <f>_xll.EQNXTDZ($A$1,$B88,L$5,$B$1)</f>
        <v>35.369999999999997</v>
      </c>
      <c r="M88" s="55">
        <f>_xll.EQNXTDZ($A$1,$B88,M$5,$B$1)</f>
        <v>0</v>
      </c>
      <c r="N88" s="55">
        <f>_xll.EQNXTDZ($A$1,$B88,N$5,$B$1)</f>
        <v>32.119999999999997</v>
      </c>
      <c r="O88" s="55">
        <f>_xll.EQNXTDZ($A$1,$B88,O$5,$B$1)</f>
        <v>0</v>
      </c>
      <c r="P88" s="55">
        <f>_xll.EQNXTDZ($A$1,$B88,P$5,$B$1)</f>
        <v>51.23</v>
      </c>
      <c r="Q88" s="55">
        <f>_xll.EQNXTDZ($A$1,$B88,Q$5,$B$1)</f>
        <v>0</v>
      </c>
      <c r="R88" s="55">
        <f>_xll.EQNXTDZ($A$1,$B88,R$5,$B$1)</f>
        <v>41.39</v>
      </c>
      <c r="S88" s="55">
        <f>_xll.EQNXTDZ($A$1,$B88,S$5,$B$1)</f>
        <v>0</v>
      </c>
      <c r="T88" s="55">
        <f>_xll.EQNXTDZ($A$1,$B88,T$5,$B$1)</f>
        <v>40.44</v>
      </c>
      <c r="U88" s="55">
        <f>_xll.EQNXTDZ($A$1,$B88,U$5,$B$1)</f>
        <v>0</v>
      </c>
      <c r="V88" s="55">
        <f>_xll.EQNXTDZ($A$1,$B88,V$5,$B$1)</f>
        <v>41</v>
      </c>
      <c r="W88" s="55">
        <f>_xll.EQNXTDZ($A$1,$B88,W$5,$B$1)</f>
        <v>0</v>
      </c>
      <c r="X88" s="55">
        <f>_xll.EQNXTDZ($A$1,$B88,X$5,$B$1)</f>
        <v>48.87</v>
      </c>
      <c r="Y88" s="55">
        <f>_xll.EQNXTDZ($A$1,$B88,Y$5,$B$1)</f>
        <v>0</v>
      </c>
      <c r="Z88" s="55">
        <f>_xll.EQNXTDZ($A$1,$B88,Z$5,$B$1)</f>
        <v>68.349999999999994</v>
      </c>
      <c r="AA88" s="55">
        <f>_xll.EQNXTDZ($A$1,$B88,AA$5,$B$1)</f>
        <v>0</v>
      </c>
      <c r="AB88" s="55">
        <f>_xll.EQNXTDZ($A$1,$B88,AB$5,$B$1)</f>
        <v>67.099999999999994</v>
      </c>
      <c r="AC88" s="55">
        <f>_xll.EQNXTDZ($A$1,$B88,AC$5,$B$1)</f>
        <v>0</v>
      </c>
      <c r="AD88" s="55">
        <f>_xll.EQNXTDZ($A$1,$B88,AD$5,$B$1)</f>
        <v>67.010000000000005</v>
      </c>
      <c r="AE88" s="55">
        <f>_xll.EQNXTDZ($A$1,$B88,AE$5,$B$1)</f>
        <v>0</v>
      </c>
      <c r="AF88" s="55">
        <f>_xll.EQNXTDZ($A$1,$B88,AF$5,$B$1)</f>
        <v>63.55</v>
      </c>
      <c r="AG88" s="55">
        <f>_xll.EQNXTDZ($A$1,$B88,AG$5,$B$1)</f>
        <v>0</v>
      </c>
      <c r="AH88" s="55">
        <f>_xll.EQNXTDZ($A$1,$B88,AH$5,$B$1)</f>
        <v>59.35</v>
      </c>
      <c r="AI88" s="55">
        <f>_xll.EQNXTDZ($A$1,$B88,AI$5,$B$1)</f>
        <v>0</v>
      </c>
      <c r="AJ88" s="55">
        <f>_xll.EQNXTDZ($A$1,$B88,AJ$5,$B$1)</f>
        <v>45.38</v>
      </c>
      <c r="AK88" s="55">
        <f>_xll.EQNXTDZ($A$1,$B88,AK$5,$B$1)</f>
        <v>0</v>
      </c>
      <c r="AL88" s="55">
        <f>_xll.EQNXTDZ($A$1,$B88,AL$5,$B$1)</f>
        <v>37.799999999999997</v>
      </c>
      <c r="AM88" s="55">
        <f>_xll.EQNXTDZ($A$1,$B88,AM$5,$B$1)</f>
        <v>0</v>
      </c>
      <c r="AN88" s="55">
        <f>_xll.EQNXTDZ($A$1,$B88,AN$5,$B$1)</f>
        <v>34.549999999999997</v>
      </c>
      <c r="AO88" s="55">
        <f>_xll.EQNXTDZ($A$1,$B88,AO$5,$B$1)</f>
        <v>0</v>
      </c>
      <c r="AP88" s="55">
        <f>_xll.EQNXTDZ($A$1,$B88,AP$5,$B$1)</f>
        <v>43.54</v>
      </c>
      <c r="AQ88" s="55">
        <f>_xll.EQNXTDZ($A$1,$B88,AQ$5,$B$1)</f>
        <v>0</v>
      </c>
      <c r="AR88" s="55">
        <f>_xll.EQNXTDZ($A$1,$B88,AR$5,$B$1)</f>
        <v>48.48</v>
      </c>
      <c r="AS88" s="55">
        <f>_xll.EQNXTDZ($A$1,$B88,AS$5,$B$1)</f>
        <v>0</v>
      </c>
      <c r="AT88" s="55">
        <f>_xll.EQNXTDZ($A$1,$B88,AT$5,$B$1)</f>
        <v>36.07</v>
      </c>
      <c r="AU88" s="55">
        <f>_xll.EQNXTDZ($A$1,$B88,AU$5,$B$1)</f>
        <v>0</v>
      </c>
      <c r="AV88" s="55">
        <f>_xll.EQNXTDZ($A$1,$B88,AV$5,$B$1)</f>
        <v>48.22</v>
      </c>
      <c r="AW88" s="55">
        <f>_xll.EQNXTDZ($A$1,$B88,AW$5,$B$1)</f>
        <v>0</v>
      </c>
      <c r="AX88" s="55">
        <f>_xll.EQNXTDZ($A$1,$B88,AX$5,$B$1)</f>
        <v>69.37</v>
      </c>
      <c r="AY88" s="55">
        <f>_xll.EQNXTDZ($A$1,$B88,AY$5,$B$1)</f>
        <v>0</v>
      </c>
      <c r="AZ88" s="55">
        <f>_xll.EQNXTDZ($A$1,$B88,AZ$5,$B$1)</f>
        <v>78.930000000000007</v>
      </c>
      <c r="BA88" s="55">
        <f>_xll.EQNXTDZ($A$1,$B88,BA$5,$B$1)</f>
        <v>0</v>
      </c>
      <c r="BB88" s="55">
        <f>_xll.EQNXTDZ($A$1,$B88,BB$5,$B$1)</f>
        <v>80.849999999999994</v>
      </c>
      <c r="BC88" s="55">
        <f>_xll.EQNXTDZ($A$1,$B88,BC$5,$B$1)</f>
        <v>0</v>
      </c>
      <c r="BD88" s="55">
        <f>_xll.EQNXTDZ($A$1,$B88,BD$5,$B$1)</f>
        <v>71.69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13.202999999999999</v>
      </c>
      <c r="G89" s="55">
        <f>_xll.EQNXTDZ($A$1,$B89,G$5,$B$1)</f>
        <v>0</v>
      </c>
      <c r="H89" s="55">
        <f>_xll.EQNXTDZ($A$1,$B89,H$5,$B$1)</f>
        <v>12.93</v>
      </c>
      <c r="I89" s="55">
        <f>_xll.EQNXTDZ($A$1,$B89,I$5,$B$1)</f>
        <v>0</v>
      </c>
      <c r="J89" s="55">
        <f>_xll.EQNXTDZ($A$1,$B89,J$5,$B$1)</f>
        <v>14.56</v>
      </c>
      <c r="K89" s="55">
        <f>_xll.EQNXTDZ($A$1,$B89,K$5,$B$1)</f>
        <v>0</v>
      </c>
      <c r="L89" s="55">
        <f>_xll.EQNXTDZ($A$1,$B89,L$5,$B$1)</f>
        <v>17.86</v>
      </c>
      <c r="M89" s="55">
        <f>_xll.EQNXTDZ($A$1,$B89,M$5,$B$1)</f>
        <v>0</v>
      </c>
      <c r="N89" s="55">
        <f>_xll.EQNXTDZ($A$1,$B89,N$5,$B$1)</f>
        <v>16.55</v>
      </c>
      <c r="O89" s="55">
        <f>_xll.EQNXTDZ($A$1,$B89,O$5,$B$1)</f>
        <v>0</v>
      </c>
      <c r="P89" s="55">
        <f>_xll.EQNXTDZ($A$1,$B89,P$5,$B$1)</f>
        <v>23.13</v>
      </c>
      <c r="Q89" s="55">
        <f>_xll.EQNXTDZ($A$1,$B89,Q$5,$B$1)</f>
        <v>0</v>
      </c>
      <c r="R89" s="55">
        <f>_xll.EQNXTDZ($A$1,$B89,R$5,$B$1)</f>
        <v>25.03</v>
      </c>
      <c r="S89" s="55">
        <f>_xll.EQNXTDZ($A$1,$B89,S$5,$B$1)</f>
        <v>0</v>
      </c>
      <c r="T89" s="55">
        <f>_xll.EQNXTDZ($A$1,$B89,T$5,$B$1)</f>
        <v>22.64</v>
      </c>
      <c r="U89" s="55">
        <f>_xll.EQNXTDZ($A$1,$B89,U$5,$B$1)</f>
        <v>0</v>
      </c>
      <c r="V89" s="55">
        <f>_xll.EQNXTDZ($A$1,$B89,V$5,$B$1)</f>
        <v>20.93</v>
      </c>
      <c r="W89" s="55">
        <f>_xll.EQNXTDZ($A$1,$B89,W$5,$B$1)</f>
        <v>0</v>
      </c>
      <c r="X89" s="55">
        <f>_xll.EQNXTDZ($A$1,$B89,X$5,$B$1)</f>
        <v>25.37</v>
      </c>
      <c r="Y89" s="55">
        <f>_xll.EQNXTDZ($A$1,$B89,Y$5,$B$1)</f>
        <v>0</v>
      </c>
      <c r="Z89" s="55">
        <f>_xll.EQNXTDZ($A$1,$B89,Z$5,$B$1)</f>
        <v>24.04</v>
      </c>
      <c r="AA89" s="55">
        <f>_xll.EQNXTDZ($A$1,$B89,AA$5,$B$1)</f>
        <v>0</v>
      </c>
      <c r="AB89" s="55">
        <f>_xll.EQNXTDZ($A$1,$B89,AB$5,$B$1)</f>
        <v>22.69</v>
      </c>
      <c r="AC89" s="55">
        <f>_xll.EQNXTDZ($A$1,$B89,AC$5,$B$1)</f>
        <v>0</v>
      </c>
      <c r="AD89" s="55">
        <f>_xll.EQNXTDZ($A$1,$B89,AD$5,$B$1)</f>
        <v>20.39</v>
      </c>
      <c r="AE89" s="55">
        <f>_xll.EQNXTDZ($A$1,$B89,AE$5,$B$1)</f>
        <v>0</v>
      </c>
      <c r="AF89" s="55">
        <f>_xll.EQNXTDZ($A$1,$B89,AF$5,$B$1)</f>
        <v>21.64</v>
      </c>
      <c r="AG89" s="55">
        <f>_xll.EQNXTDZ($A$1,$B89,AG$5,$B$1)</f>
        <v>0</v>
      </c>
      <c r="AH89" s="55">
        <f>_xll.EQNXTDZ($A$1,$B89,AH$5,$B$1)</f>
        <v>22.31</v>
      </c>
      <c r="AI89" s="55">
        <f>_xll.EQNXTDZ($A$1,$B89,AI$5,$B$1)</f>
        <v>0</v>
      </c>
      <c r="AJ89" s="55">
        <f>_xll.EQNXTDZ($A$1,$B89,AJ$5,$B$1)</f>
        <v>23.3</v>
      </c>
      <c r="AK89" s="55">
        <f>_xll.EQNXTDZ($A$1,$B89,AK$5,$B$1)</f>
        <v>0</v>
      </c>
      <c r="AL89" s="55">
        <f>_xll.EQNXTDZ($A$1,$B89,AL$5,$B$1)</f>
        <v>20.74</v>
      </c>
      <c r="AM89" s="55">
        <f>_xll.EQNXTDZ($A$1,$B89,AM$5,$B$1)</f>
        <v>0</v>
      </c>
      <c r="AN89" s="55">
        <f>_xll.EQNXTDZ($A$1,$B89,AN$5,$B$1)</f>
        <v>23.02</v>
      </c>
      <c r="AO89" s="55">
        <f>_xll.EQNXTDZ($A$1,$B89,AO$5,$B$1)</f>
        <v>0</v>
      </c>
      <c r="AP89" s="55">
        <f>_xll.EQNXTDZ($A$1,$B89,AP$5,$B$1)</f>
        <v>33.18</v>
      </c>
      <c r="AQ89" s="55">
        <f>_xll.EQNXTDZ($A$1,$B89,AQ$5,$B$1)</f>
        <v>0</v>
      </c>
      <c r="AR89" s="55">
        <f>_xll.EQNXTDZ($A$1,$B89,AR$5,$B$1)</f>
        <v>33.869999999999997</v>
      </c>
      <c r="AS89" s="55">
        <f>_xll.EQNXTDZ($A$1,$B89,AS$5,$B$1)</f>
        <v>0</v>
      </c>
      <c r="AT89" s="55">
        <f>_xll.EQNXTDZ($A$1,$B89,AT$5,$B$1)</f>
        <v>23.72</v>
      </c>
      <c r="AU89" s="55">
        <f>_xll.EQNXTDZ($A$1,$B89,AU$5,$B$1)</f>
        <v>0</v>
      </c>
      <c r="AV89" s="55">
        <f>_xll.EQNXTDZ($A$1,$B89,AV$5,$B$1)</f>
        <v>31.26</v>
      </c>
      <c r="AW89" s="55">
        <f>_xll.EQNXTDZ($A$1,$B89,AW$5,$B$1)</f>
        <v>0</v>
      </c>
      <c r="AX89" s="55">
        <f>_xll.EQNXTDZ($A$1,$B89,AX$5,$B$1)</f>
        <v>40.630000000000003</v>
      </c>
      <c r="AY89" s="55">
        <f>_xll.EQNXTDZ($A$1,$B89,AY$5,$B$1)</f>
        <v>0</v>
      </c>
      <c r="AZ89" s="55">
        <f>_xll.EQNXTDZ($A$1,$B89,AZ$5,$B$1)</f>
        <v>52.57</v>
      </c>
      <c r="BA89" s="55">
        <f>_xll.EQNXTDZ($A$1,$B89,BA$5,$B$1)</f>
        <v>0</v>
      </c>
      <c r="BB89" s="55">
        <f>_xll.EQNXTDZ($A$1,$B89,BB$5,$B$1)</f>
        <v>59.78</v>
      </c>
      <c r="BC89" s="55">
        <f>_xll.EQNXTDZ($A$1,$B89,BC$5,$B$1)</f>
        <v>0</v>
      </c>
      <c r="BD89" s="55">
        <f>_xll.EQNXTDZ($A$1,$B89,BD$5,$B$1)</f>
        <v>56.43</v>
      </c>
      <c r="BE89" s="55">
        <f>_xll.EQNXTDZ($A$1,$B89,BE$5,$B$1)</f>
        <v>0</v>
      </c>
      <c r="BF89" s="55">
        <f>_xll.EQNXTDZ($A$1,$B89,BF$5,$B$1)</f>
        <v>36.729999999999997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15.191000000000001</v>
      </c>
      <c r="G91" s="55">
        <f>_xll.EQNXTDZ($A$1,$B91,G$5,$B$1)</f>
        <v>0</v>
      </c>
      <c r="H91" s="55">
        <f>_xll.EQNXTDZ($A$1,$B91,H$5,$B$1)</f>
        <v>8.32</v>
      </c>
      <c r="I91" s="55">
        <f>_xll.EQNXTDZ($A$1,$B91,I$5,$B$1)</f>
        <v>0</v>
      </c>
      <c r="J91" s="55">
        <f>_xll.EQNXTDZ($A$1,$B91,J$5,$B$1)</f>
        <v>1.76</v>
      </c>
      <c r="K91" s="55">
        <f>_xll.EQNXTDZ($A$1,$B91,K$5,$B$1)</f>
        <v>0</v>
      </c>
      <c r="L91" s="55">
        <f>_xll.EQNXTDZ($A$1,$B91,L$5,$B$1)</f>
        <v>3.09</v>
      </c>
      <c r="M91" s="55">
        <f>_xll.EQNXTDZ($A$1,$B91,M$5,$B$1)</f>
        <v>0</v>
      </c>
      <c r="N91" s="55">
        <f>_xll.EQNXTDZ($A$1,$B91,N$5,$B$1)</f>
        <v>17.5</v>
      </c>
      <c r="O91" s="55">
        <f>_xll.EQNXTDZ($A$1,$B91,O$5,$B$1)</f>
        <v>0</v>
      </c>
      <c r="P91" s="55">
        <f>_xll.EQNXTDZ($A$1,$B91,P$5,$B$1)</f>
        <v>5.25</v>
      </c>
      <c r="Q91" s="55">
        <f>_xll.EQNXTDZ($A$1,$B91,Q$5,$B$1)</f>
        <v>0</v>
      </c>
      <c r="R91" s="55">
        <f>_xll.EQNXTDZ($A$1,$B91,R$5,$B$1)</f>
        <v>4.1900000000000004</v>
      </c>
      <c r="S91" s="55">
        <f>_xll.EQNXTDZ($A$1,$B91,S$5,$B$1)</f>
        <v>0</v>
      </c>
      <c r="T91" s="55">
        <f>_xll.EQNXTDZ($A$1,$B91,T$5,$B$1)</f>
        <v>3.61</v>
      </c>
      <c r="U91" s="55">
        <f>_xll.EQNXTDZ($A$1,$B91,U$5,$B$1)</f>
        <v>0</v>
      </c>
      <c r="V91" s="55">
        <f>_xll.EQNXTDZ($A$1,$B91,V$5,$B$1)</f>
        <v>21.08</v>
      </c>
      <c r="W91" s="55">
        <f>_xll.EQNXTDZ($A$1,$B91,W$5,$B$1)</f>
        <v>0</v>
      </c>
      <c r="X91" s="55">
        <f>_xll.EQNXTDZ($A$1,$B91,X$5,$B$1)</f>
        <v>19.52</v>
      </c>
      <c r="Y91" s="55">
        <f>_xll.EQNXTDZ($A$1,$B91,Y$5,$B$1)</f>
        <v>0</v>
      </c>
      <c r="Z91" s="55">
        <f>_xll.EQNXTDZ($A$1,$B91,Z$5,$B$1)</f>
        <v>8.31</v>
      </c>
      <c r="AA91" s="55">
        <f>_xll.EQNXTDZ($A$1,$B91,AA$5,$B$1)</f>
        <v>0</v>
      </c>
      <c r="AB91" s="55">
        <f>_xll.EQNXTDZ($A$1,$B91,AB$5,$B$1)</f>
        <v>21.57</v>
      </c>
      <c r="AC91" s="55">
        <f>_xll.EQNXTDZ($A$1,$B91,AC$5,$B$1)</f>
        <v>0</v>
      </c>
      <c r="AD91" s="55">
        <f>_xll.EQNXTDZ($A$1,$B91,AD$5,$B$1)</f>
        <v>29.15</v>
      </c>
      <c r="AE91" s="55">
        <f>_xll.EQNXTDZ($A$1,$B91,AE$5,$B$1)</f>
        <v>0</v>
      </c>
      <c r="AF91" s="55">
        <f>_xll.EQNXTDZ($A$1,$B91,AF$5,$B$1)</f>
        <v>1.76</v>
      </c>
      <c r="AG91" s="55">
        <f>_xll.EQNXTDZ($A$1,$B91,AG$5,$B$1)</f>
        <v>0</v>
      </c>
      <c r="AH91" s="55">
        <f>_xll.EQNXTDZ($A$1,$B91,AH$5,$B$1)</f>
        <v>2.23</v>
      </c>
      <c r="AI91" s="55">
        <f>_xll.EQNXTDZ($A$1,$B91,AI$5,$B$1)</f>
        <v>0</v>
      </c>
      <c r="AJ91" s="55">
        <f>_xll.EQNXTDZ($A$1,$B91,AJ$5,$B$1)</f>
        <v>2.12</v>
      </c>
      <c r="AK91" s="55">
        <f>_xll.EQNXTDZ($A$1,$B91,AK$5,$B$1)</f>
        <v>0</v>
      </c>
      <c r="AL91" s="55">
        <f>_xll.EQNXTDZ($A$1,$B91,AL$5,$B$1)</f>
        <v>1.9</v>
      </c>
      <c r="AM91" s="55">
        <f>_xll.EQNXTDZ($A$1,$B91,AM$5,$B$1)</f>
        <v>0</v>
      </c>
      <c r="AN91" s="55">
        <f>_xll.EQNXTDZ($A$1,$B91,AN$5,$B$1)</f>
        <v>5.07</v>
      </c>
      <c r="AO91" s="55">
        <f>_xll.EQNXTDZ($A$1,$B91,AO$5,$B$1)</f>
        <v>0</v>
      </c>
      <c r="AP91" s="55">
        <f>_xll.EQNXTDZ($A$1,$B91,AP$5,$B$1)</f>
        <v>1.88</v>
      </c>
      <c r="AQ91" s="55">
        <f>_xll.EQNXTDZ($A$1,$B91,AQ$5,$B$1)</f>
        <v>0</v>
      </c>
      <c r="AR91" s="55">
        <f>_xll.EQNXTDZ($A$1,$B91,AR$5,$B$1)</f>
        <v>1.1299999999999999</v>
      </c>
      <c r="AS91" s="55">
        <f>_xll.EQNXTDZ($A$1,$B91,AS$5,$B$1)</f>
        <v>0</v>
      </c>
      <c r="AT91" s="55">
        <f>_xll.EQNXTDZ($A$1,$B91,AT$5,$B$1)</f>
        <v>2.97</v>
      </c>
      <c r="AU91" s="55">
        <f>_xll.EQNXTDZ($A$1,$B91,AU$5,$B$1)</f>
        <v>0</v>
      </c>
      <c r="AV91" s="55">
        <f>_xll.EQNXTDZ($A$1,$B91,AV$5,$B$1)</f>
        <v>4.38</v>
      </c>
      <c r="AW91" s="55">
        <f>_xll.EQNXTDZ($A$1,$B91,AW$5,$B$1)</f>
        <v>0</v>
      </c>
      <c r="AX91" s="55">
        <f>_xll.EQNXTDZ($A$1,$B91,AX$5,$B$1)</f>
        <v>9.8800000000000008</v>
      </c>
      <c r="AY91" s="55">
        <f>_xll.EQNXTDZ($A$1,$B91,AY$5,$B$1)</f>
        <v>0</v>
      </c>
      <c r="AZ91" s="55">
        <f>_xll.EQNXTDZ($A$1,$B91,AZ$5,$B$1)</f>
        <v>14.47</v>
      </c>
      <c r="BA91" s="55">
        <f>_xll.EQNXTDZ($A$1,$B91,BA$5,$B$1)</f>
        <v>0</v>
      </c>
      <c r="BB91" s="55">
        <f>_xll.EQNXTDZ($A$1,$B91,BB$5,$B$1)</f>
        <v>37.1</v>
      </c>
      <c r="BC91" s="55">
        <f>_xll.EQNXTDZ($A$1,$B91,BC$5,$B$1)</f>
        <v>0</v>
      </c>
      <c r="BD91" s="55">
        <f>_xll.EQNXTDZ($A$1,$B91,BD$5,$B$1)</f>
        <v>15.16</v>
      </c>
      <c r="BE91" s="55">
        <f>_xll.EQNXTDZ($A$1,$B91,BE$5,$B$1)</f>
        <v>0</v>
      </c>
      <c r="BF91" s="55">
        <f>_xll.EQNXTDZ($A$1,$B91,BF$5,$B$1)</f>
        <v>3.2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2.3170000000000002</v>
      </c>
      <c r="E92" s="55">
        <f>_xll.EQNXTDZ($A$1,$B92,E$5,$B$1)</f>
        <v>0</v>
      </c>
      <c r="F92" s="55">
        <f>_xll.EQNXTDZ($A$1,$B92,F$5,$B$1)</f>
        <v>2.4</v>
      </c>
      <c r="G92" s="55">
        <f>_xll.EQNXTDZ($A$1,$B92,G$5,$B$1)</f>
        <v>0</v>
      </c>
      <c r="H92" s="55">
        <f>_xll.EQNXTDZ($A$1,$B92,H$5,$B$1)</f>
        <v>3.01</v>
      </c>
      <c r="I92" s="55">
        <f>_xll.EQNXTDZ($A$1,$B92,I$5,$B$1)</f>
        <v>0</v>
      </c>
      <c r="J92" s="55">
        <f>_xll.EQNXTDZ($A$1,$B92,J$5,$B$1)</f>
        <v>0.87</v>
      </c>
      <c r="K92" s="55">
        <f>_xll.EQNXTDZ($A$1,$B92,K$5,$B$1)</f>
        <v>0</v>
      </c>
      <c r="L92" s="55">
        <f>_xll.EQNXTDZ($A$1,$B92,L$5,$B$1)</f>
        <v>0.15</v>
      </c>
      <c r="M92" s="55">
        <f>_xll.EQNXTDZ($A$1,$B92,M$5,$B$1)</f>
        <v>0</v>
      </c>
      <c r="N92" s="55">
        <f>_xll.EQNXTDZ($A$1,$B92,N$5,$B$1)</f>
        <v>0.11</v>
      </c>
      <c r="O92" s="55">
        <f>_xll.EQNXTDZ($A$1,$B92,O$5,$B$1)</f>
        <v>0</v>
      </c>
      <c r="P92" s="55">
        <f>_xll.EQNXTDZ($A$1,$B92,P$5,$B$1)</f>
        <v>0.1</v>
      </c>
      <c r="Q92" s="55">
        <f>_xll.EQNXTDZ($A$1,$B92,Q$5,$B$1)</f>
        <v>0</v>
      </c>
      <c r="R92" s="55">
        <f>_xll.EQNXTDZ($A$1,$B92,R$5,$B$1)</f>
        <v>0.09</v>
      </c>
      <c r="S92" s="55">
        <f>_xll.EQNXTDZ($A$1,$B92,S$5,$B$1)</f>
        <v>0</v>
      </c>
      <c r="T92" s="55">
        <f>_xll.EQNXTDZ($A$1,$B92,T$5,$B$1)</f>
        <v>0.11</v>
      </c>
      <c r="U92" s="55">
        <f>_xll.EQNXTDZ($A$1,$B92,U$5,$B$1)</f>
        <v>0</v>
      </c>
      <c r="V92" s="55">
        <f>_xll.EQNXTDZ($A$1,$B92,V$5,$B$1)</f>
        <v>0.11</v>
      </c>
      <c r="W92" s="55">
        <f>_xll.EQNXTDZ($A$1,$B92,W$5,$B$1)</f>
        <v>0</v>
      </c>
      <c r="X92" s="55">
        <f>_xll.EQNXTDZ($A$1,$B92,X$5,$B$1)</f>
        <v>0.15</v>
      </c>
      <c r="Y92" s="55">
        <f>_xll.EQNXTDZ($A$1,$B92,Y$5,$B$1)</f>
        <v>0</v>
      </c>
      <c r="Z92" s="55">
        <f>_xll.EQNXTDZ($A$1,$B92,Z$5,$B$1)</f>
        <v>0.14000000000000001</v>
      </c>
      <c r="AA92" s="55">
        <f>_xll.EQNXTDZ($A$1,$B92,AA$5,$B$1)</f>
        <v>0</v>
      </c>
      <c r="AB92" s="55">
        <f>_xll.EQNXTDZ($A$1,$B92,AB$5,$B$1)</f>
        <v>0.14000000000000001</v>
      </c>
      <c r="AC92" s="55">
        <f>_xll.EQNXTDZ($A$1,$B92,AC$5,$B$1)</f>
        <v>0</v>
      </c>
      <c r="AD92" s="55">
        <f>_xll.EQNXTDZ($A$1,$B92,AD$5,$B$1)</f>
        <v>0.1</v>
      </c>
      <c r="AE92" s="55">
        <f>_xll.EQNXTDZ($A$1,$B92,AE$5,$B$1)</f>
        <v>0</v>
      </c>
      <c r="AF92" s="55">
        <f>_xll.EQNXTDZ($A$1,$B92,AF$5,$B$1)</f>
        <v>0.1</v>
      </c>
      <c r="AG92" s="55">
        <f>_xll.EQNXTDZ($A$1,$B92,AG$5,$B$1)</f>
        <v>0</v>
      </c>
      <c r="AH92" s="55">
        <f>_xll.EQNXTDZ($A$1,$B92,AH$5,$B$1)</f>
        <v>0.19</v>
      </c>
      <c r="AI92" s="55">
        <f>_xll.EQNXTDZ($A$1,$B92,AI$5,$B$1)</f>
        <v>0</v>
      </c>
      <c r="AJ92" s="55">
        <f>_xll.EQNXTDZ($A$1,$B92,AJ$5,$B$1)</f>
        <v>1.24</v>
      </c>
      <c r="AK92" s="55">
        <f>_xll.EQNXTDZ($A$1,$B92,AK$5,$B$1)</f>
        <v>0</v>
      </c>
      <c r="AL92" s="55">
        <f>_xll.EQNXTDZ($A$1,$B92,AL$5,$B$1)</f>
        <v>0.84</v>
      </c>
      <c r="AM92" s="55">
        <f>_xll.EQNXTDZ($A$1,$B92,AM$5,$B$1)</f>
        <v>0</v>
      </c>
      <c r="AN92" s="55">
        <f>_xll.EQNXTDZ($A$1,$B92,AN$5,$B$1)</f>
        <v>4.2</v>
      </c>
      <c r="AO92" s="55">
        <f>_xll.EQNXTDZ($A$1,$B92,AO$5,$B$1)</f>
        <v>0</v>
      </c>
      <c r="AP92" s="55">
        <f>_xll.EQNXTDZ($A$1,$B92,AP$5,$B$1)</f>
        <v>0.47</v>
      </c>
      <c r="AQ92" s="55">
        <f>_xll.EQNXTDZ($A$1,$B92,AQ$5,$B$1)</f>
        <v>0</v>
      </c>
      <c r="AR92" s="55">
        <f>_xll.EQNXTDZ($A$1,$B92,AR$5,$B$1)</f>
        <v>0.39</v>
      </c>
      <c r="AS92" s="55">
        <f>_xll.EQNXTDZ($A$1,$B92,AS$5,$B$1)</f>
        <v>0</v>
      </c>
      <c r="AT92" s="55">
        <f>_xll.EQNXTDZ($A$1,$B92,AT$5,$B$1)</f>
        <v>0.22</v>
      </c>
      <c r="AU92" s="55">
        <f>_xll.EQNXTDZ($A$1,$B92,AU$5,$B$1)</f>
        <v>0</v>
      </c>
      <c r="AV92" s="55">
        <f>_xll.EQNXTDZ($A$1,$B92,AV$5,$B$1)</f>
        <v>0.28000000000000003</v>
      </c>
      <c r="AW92" s="55">
        <f>_xll.EQNXTDZ($A$1,$B92,AW$5,$B$1)</f>
        <v>0</v>
      </c>
      <c r="AX92" s="55">
        <f>_xll.EQNXTDZ($A$1,$B92,AX$5,$B$1)</f>
        <v>0.26</v>
      </c>
      <c r="AY92" s="55">
        <f>_xll.EQNXTDZ($A$1,$B92,AY$5,$B$1)</f>
        <v>0</v>
      </c>
      <c r="AZ92" s="55">
        <f>_xll.EQNXTDZ($A$1,$B92,AZ$5,$B$1)</f>
        <v>0.28000000000000003</v>
      </c>
      <c r="BA92" s="55">
        <f>_xll.EQNXTDZ($A$1,$B92,BA$5,$B$1)</f>
        <v>0</v>
      </c>
      <c r="BB92" s="55">
        <f>_xll.EQNXTDZ($A$1,$B92,BB$5,$B$1)</f>
        <v>0.23</v>
      </c>
      <c r="BC92" s="55">
        <f>_xll.EQNXTDZ($A$1,$B92,BC$5,$B$1)</f>
        <v>0</v>
      </c>
      <c r="BD92" s="55">
        <f>_xll.EQNXTDZ($A$1,$B92,BD$5,$B$1)</f>
        <v>0.21</v>
      </c>
      <c r="BE92" s="55">
        <f>_xll.EQNXTDZ($A$1,$B92,BE$5,$B$1)</f>
        <v>0</v>
      </c>
      <c r="BF92" s="55">
        <f>_xll.EQNXTDZ($A$1,$B92,BF$5,$B$1)</f>
        <v>0.3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41.305999999999997</v>
      </c>
      <c r="E93" s="55">
        <f>_xll.EQNXTDZ($A$1,$B93,E$5,$B$1)</f>
        <v>0</v>
      </c>
      <c r="F93" s="55">
        <f>_xll.EQNXTDZ($A$1,$B93,F$5,$B$1)</f>
        <v>40.927</v>
      </c>
      <c r="G93" s="55">
        <f>_xll.EQNXTDZ($A$1,$B93,G$5,$B$1)</f>
        <v>0</v>
      </c>
      <c r="H93" s="55">
        <f>_xll.EQNXTDZ($A$1,$B93,H$5,$B$1)</f>
        <v>47.31</v>
      </c>
      <c r="I93" s="55">
        <f>_xll.EQNXTDZ($A$1,$B93,I$5,$B$1)</f>
        <v>0</v>
      </c>
      <c r="J93" s="55">
        <f>_xll.EQNXTDZ($A$1,$B93,J$5,$B$1)</f>
        <v>50.84</v>
      </c>
      <c r="K93" s="55">
        <f>_xll.EQNXTDZ($A$1,$B93,K$5,$B$1)</f>
        <v>0</v>
      </c>
      <c r="L93" s="55">
        <f>_xll.EQNXTDZ($A$1,$B93,L$5,$B$1)</f>
        <v>56.47</v>
      </c>
      <c r="M93" s="55">
        <f>_xll.EQNXTDZ($A$1,$B93,M$5,$B$1)</f>
        <v>0</v>
      </c>
      <c r="N93" s="55">
        <f>_xll.EQNXTDZ($A$1,$B93,N$5,$B$1)</f>
        <v>66.28</v>
      </c>
      <c r="O93" s="55">
        <f>_xll.EQNXTDZ($A$1,$B93,O$5,$B$1)</f>
        <v>0</v>
      </c>
      <c r="P93" s="55">
        <f>_xll.EQNXTDZ($A$1,$B93,P$5,$B$1)</f>
        <v>79.709999999999994</v>
      </c>
      <c r="Q93" s="55">
        <f>_xll.EQNXTDZ($A$1,$B93,Q$5,$B$1)</f>
        <v>0</v>
      </c>
      <c r="R93" s="55">
        <f>_xll.EQNXTDZ($A$1,$B93,R$5,$B$1)</f>
        <v>70.7</v>
      </c>
      <c r="S93" s="55">
        <f>_xll.EQNXTDZ($A$1,$B93,S$5,$B$1)</f>
        <v>0</v>
      </c>
      <c r="T93" s="55">
        <f>_xll.EQNXTDZ($A$1,$B93,T$5,$B$1)</f>
        <v>66.8</v>
      </c>
      <c r="U93" s="55">
        <f>_xll.EQNXTDZ($A$1,$B93,U$5,$B$1)</f>
        <v>0</v>
      </c>
      <c r="V93" s="55">
        <f>_xll.EQNXTDZ($A$1,$B93,V$5,$B$1)</f>
        <v>83.12</v>
      </c>
      <c r="W93" s="55">
        <f>_xll.EQNXTDZ($A$1,$B93,W$5,$B$1)</f>
        <v>0</v>
      </c>
      <c r="X93" s="55">
        <f>_xll.EQNXTDZ($A$1,$B93,X$5,$B$1)</f>
        <v>93.91</v>
      </c>
      <c r="Y93" s="55">
        <f>_xll.EQNXTDZ($A$1,$B93,Y$5,$B$1)</f>
        <v>0</v>
      </c>
      <c r="Z93" s="55">
        <f>_xll.EQNXTDZ($A$1,$B93,Z$5,$B$1)</f>
        <v>100.84</v>
      </c>
      <c r="AA93" s="55">
        <f>_xll.EQNXTDZ($A$1,$B93,AA$5,$B$1)</f>
        <v>0</v>
      </c>
      <c r="AB93" s="55">
        <f>_xll.EQNXTDZ($A$1,$B93,AB$5,$B$1)</f>
        <v>111.5</v>
      </c>
      <c r="AC93" s="55">
        <f>_xll.EQNXTDZ($A$1,$B93,AC$5,$B$1)</f>
        <v>0</v>
      </c>
      <c r="AD93" s="55">
        <f>_xll.EQNXTDZ($A$1,$B93,AD$5,$B$1)</f>
        <v>116.65</v>
      </c>
      <c r="AE93" s="55">
        <f>_xll.EQNXTDZ($A$1,$B93,AE$5,$B$1)</f>
        <v>0</v>
      </c>
      <c r="AF93" s="55">
        <f>_xll.EQNXTDZ($A$1,$B93,AF$5,$B$1)</f>
        <v>87.05</v>
      </c>
      <c r="AG93" s="55">
        <f>_xll.EQNXTDZ($A$1,$B93,AG$5,$B$1)</f>
        <v>0</v>
      </c>
      <c r="AH93" s="55">
        <f>_xll.EQNXTDZ($A$1,$B93,AH$5,$B$1)</f>
        <v>84.08</v>
      </c>
      <c r="AI93" s="55">
        <f>_xll.EQNXTDZ($A$1,$B93,AI$5,$B$1)</f>
        <v>0</v>
      </c>
      <c r="AJ93" s="55">
        <f>_xll.EQNXTDZ($A$1,$B93,AJ$5,$B$1)</f>
        <v>72.040000000000006</v>
      </c>
      <c r="AK93" s="55">
        <f>_xll.EQNXTDZ($A$1,$B93,AK$5,$B$1)</f>
        <v>0</v>
      </c>
      <c r="AL93" s="55">
        <f>_xll.EQNXTDZ($A$1,$B93,AL$5,$B$1)</f>
        <v>61.28</v>
      </c>
      <c r="AM93" s="55">
        <f>_xll.EQNXTDZ($A$1,$B93,AM$5,$B$1)</f>
        <v>0</v>
      </c>
      <c r="AN93" s="55">
        <f>_xll.EQNXTDZ($A$1,$B93,AN$5,$B$1)</f>
        <v>66.84</v>
      </c>
      <c r="AO93" s="55">
        <f>_xll.EQNXTDZ($A$1,$B93,AO$5,$B$1)</f>
        <v>0</v>
      </c>
      <c r="AP93" s="55">
        <f>_xll.EQNXTDZ($A$1,$B93,AP$5,$B$1)</f>
        <v>79.069999999999993</v>
      </c>
      <c r="AQ93" s="55">
        <f>_xll.EQNXTDZ($A$1,$B93,AQ$5,$B$1)</f>
        <v>0</v>
      </c>
      <c r="AR93" s="55">
        <f>_xll.EQNXTDZ($A$1,$B93,AR$5,$B$1)</f>
        <v>83.87</v>
      </c>
      <c r="AS93" s="55">
        <f>_xll.EQNXTDZ($A$1,$B93,AS$5,$B$1)</f>
        <v>0</v>
      </c>
      <c r="AT93" s="55">
        <f>_xll.EQNXTDZ($A$1,$B93,AT$5,$B$1)</f>
        <v>62.98</v>
      </c>
      <c r="AU93" s="55">
        <f>_xll.EQNXTDZ($A$1,$B93,AU$5,$B$1)</f>
        <v>0</v>
      </c>
      <c r="AV93" s="55">
        <f>_xll.EQNXTDZ($A$1,$B93,AV$5,$B$1)</f>
        <v>84.14</v>
      </c>
      <c r="AW93" s="55">
        <f>_xll.EQNXTDZ($A$1,$B93,AW$5,$B$1)</f>
        <v>0</v>
      </c>
      <c r="AX93" s="55">
        <f>_xll.EQNXTDZ($A$1,$B93,AX$5,$B$1)</f>
        <v>120.14</v>
      </c>
      <c r="AY93" s="55">
        <f>_xll.EQNXTDZ($A$1,$B93,AY$5,$B$1)</f>
        <v>0</v>
      </c>
      <c r="AZ93" s="55">
        <f>_xll.EQNXTDZ($A$1,$B93,AZ$5,$B$1)</f>
        <v>146.25</v>
      </c>
      <c r="BA93" s="55">
        <f>_xll.EQNXTDZ($A$1,$B93,BA$5,$B$1)</f>
        <v>0</v>
      </c>
      <c r="BB93" s="55">
        <f>_xll.EQNXTDZ($A$1,$B93,BB$5,$B$1)</f>
        <v>177.96</v>
      </c>
      <c r="BC93" s="55">
        <f>_xll.EQNXTDZ($A$1,$B93,BC$5,$B$1)</f>
        <v>0</v>
      </c>
      <c r="BD93" s="55">
        <f>_xll.EQNXTDZ($A$1,$B93,BD$5,$B$1)</f>
        <v>143.49</v>
      </c>
      <c r="BE93" s="55">
        <f>_xll.EQNXTDZ($A$1,$B93,BE$5,$B$1)</f>
        <v>0</v>
      </c>
      <c r="BF93" s="55">
        <f>_xll.EQNXTDZ($A$1,$B93,BF$5,$B$1)</f>
        <v>40.229999999999997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-4.1410000000000098</v>
      </c>
      <c r="E94" s="55">
        <f>_xll.EQNXTDZ($A$1,$B94,E$5,$B$1)</f>
        <v>0</v>
      </c>
      <c r="F94" s="55">
        <f>_xll.EQNXTDZ($A$1,$B94,F$5,$B$1)</f>
        <v>-1.617</v>
      </c>
      <c r="G94" s="55">
        <f>_xll.EQNXTDZ($A$1,$B94,G$5,$B$1)</f>
        <v>0</v>
      </c>
      <c r="H94" s="55">
        <f>_xll.EQNXTDZ($A$1,$B94,H$5,$B$1)</f>
        <v>-0.78999999999999804</v>
      </c>
      <c r="I94" s="55">
        <f>_xll.EQNXTDZ($A$1,$B94,I$5,$B$1)</f>
        <v>0</v>
      </c>
      <c r="J94" s="55">
        <f>_xll.EQNXTDZ($A$1,$B94,J$5,$B$1)</f>
        <v>6.81</v>
      </c>
      <c r="K94" s="55">
        <f>_xll.EQNXTDZ($A$1,$B94,K$5,$B$1)</f>
        <v>0</v>
      </c>
      <c r="L94" s="55">
        <f>_xll.EQNXTDZ($A$1,$B94,L$5,$B$1)</f>
        <v>8.34</v>
      </c>
      <c r="M94" s="55">
        <f>_xll.EQNXTDZ($A$1,$B94,M$5,$B$1)</f>
        <v>0</v>
      </c>
      <c r="N94" s="55">
        <f>_xll.EQNXTDZ($A$1,$B94,N$5,$B$1)</f>
        <v>-22.01</v>
      </c>
      <c r="O94" s="55">
        <f>_xll.EQNXTDZ($A$1,$B94,O$5,$B$1)</f>
        <v>0</v>
      </c>
      <c r="P94" s="55">
        <f>_xll.EQNXTDZ($A$1,$B94,P$5,$B$1)</f>
        <v>-5.0599999999999996</v>
      </c>
      <c r="Q94" s="55">
        <f>_xll.EQNXTDZ($A$1,$B94,Q$5,$B$1)</f>
        <v>0</v>
      </c>
      <c r="R94" s="55">
        <f>_xll.EQNXTDZ($A$1,$B94,R$5,$B$1)</f>
        <v>-6.1299999999999804</v>
      </c>
      <c r="S94" s="55">
        <f>_xll.EQNXTDZ($A$1,$B94,S$5,$B$1)</f>
        <v>0</v>
      </c>
      <c r="T94" s="55">
        <f>_xll.EQNXTDZ($A$1,$B94,T$5,$B$1)</f>
        <v>-6.15</v>
      </c>
      <c r="U94" s="55">
        <f>_xll.EQNXTDZ($A$1,$B94,U$5,$B$1)</f>
        <v>0</v>
      </c>
      <c r="V94" s="55">
        <f>_xll.EQNXTDZ($A$1,$B94,V$5,$B$1)</f>
        <v>-24.45</v>
      </c>
      <c r="W94" s="55">
        <f>_xll.EQNXTDZ($A$1,$B94,W$5,$B$1)</f>
        <v>0</v>
      </c>
      <c r="X94" s="55">
        <f>_xll.EQNXTDZ($A$1,$B94,X$5,$B$1)</f>
        <v>-21.16</v>
      </c>
      <c r="Y94" s="55">
        <f>_xll.EQNXTDZ($A$1,$B94,Y$5,$B$1)</f>
        <v>0</v>
      </c>
      <c r="Z94" s="55">
        <f>_xll.EQNXTDZ($A$1,$B94,Z$5,$B$1)</f>
        <v>-23.6</v>
      </c>
      <c r="AA94" s="55">
        <f>_xll.EQNXTDZ($A$1,$B94,AA$5,$B$1)</f>
        <v>0</v>
      </c>
      <c r="AB94" s="55">
        <f>_xll.EQNXTDZ($A$1,$B94,AB$5,$B$1)</f>
        <v>-31.65</v>
      </c>
      <c r="AC94" s="55">
        <f>_xll.EQNXTDZ($A$1,$B94,AC$5,$B$1)</f>
        <v>0</v>
      </c>
      <c r="AD94" s="55">
        <f>_xll.EQNXTDZ($A$1,$B94,AD$5,$B$1)</f>
        <v>-45.18</v>
      </c>
      <c r="AE94" s="55">
        <f>_xll.EQNXTDZ($A$1,$B94,AE$5,$B$1)</f>
        <v>0</v>
      </c>
      <c r="AF94" s="55">
        <f>_xll.EQNXTDZ($A$1,$B94,AF$5,$B$1)</f>
        <v>-12.54</v>
      </c>
      <c r="AG94" s="55">
        <f>_xll.EQNXTDZ($A$1,$B94,AG$5,$B$1)</f>
        <v>0</v>
      </c>
      <c r="AH94" s="55">
        <f>_xll.EQNXTDZ($A$1,$B94,AH$5,$B$1)</f>
        <v>-12.1</v>
      </c>
      <c r="AI94" s="55">
        <f>_xll.EQNXTDZ($A$1,$B94,AI$5,$B$1)</f>
        <v>0</v>
      </c>
      <c r="AJ94" s="55">
        <f>_xll.EQNXTDZ($A$1,$B94,AJ$5,$B$1)</f>
        <v>-4.6600000000000099</v>
      </c>
      <c r="AK94" s="55">
        <f>_xll.EQNXTDZ($A$1,$B94,AK$5,$B$1)</f>
        <v>0</v>
      </c>
      <c r="AL94" s="55">
        <f>_xll.EQNXTDZ($A$1,$B94,AL$5,$B$1)</f>
        <v>5.0400000000000196</v>
      </c>
      <c r="AM94" s="55">
        <f>_xll.EQNXTDZ($A$1,$B94,AM$5,$B$1)</f>
        <v>0</v>
      </c>
      <c r="AN94" s="55">
        <f>_xll.EQNXTDZ($A$1,$B94,AN$5,$B$1)</f>
        <v>0.85999999999999099</v>
      </c>
      <c r="AO94" s="55">
        <f>_xll.EQNXTDZ($A$1,$B94,AO$5,$B$1)</f>
        <v>0</v>
      </c>
      <c r="AP94" s="55">
        <f>_xll.EQNXTDZ($A$1,$B94,AP$5,$B$1)</f>
        <v>10.99</v>
      </c>
      <c r="AQ94" s="55">
        <f>_xll.EQNXTDZ($A$1,$B94,AQ$5,$B$1)</f>
        <v>0</v>
      </c>
      <c r="AR94" s="55">
        <f>_xll.EQNXTDZ($A$1,$B94,AR$5,$B$1)</f>
        <v>17.75</v>
      </c>
      <c r="AS94" s="55">
        <f>_xll.EQNXTDZ($A$1,$B94,AS$5,$B$1)</f>
        <v>0</v>
      </c>
      <c r="AT94" s="55">
        <f>_xll.EQNXTDZ($A$1,$B94,AT$5,$B$1)</f>
        <v>29.85</v>
      </c>
      <c r="AU94" s="55">
        <f>_xll.EQNXTDZ($A$1,$B94,AU$5,$B$1)</f>
        <v>0</v>
      </c>
      <c r="AV94" s="55">
        <f>_xll.EQNXTDZ($A$1,$B94,AV$5,$B$1)</f>
        <v>14.19</v>
      </c>
      <c r="AW94" s="55">
        <f>_xll.EQNXTDZ($A$1,$B94,AW$5,$B$1)</f>
        <v>0</v>
      </c>
      <c r="AX94" s="55">
        <f>_xll.EQNXTDZ($A$1,$B94,AX$5,$B$1)</f>
        <v>-14.6</v>
      </c>
      <c r="AY94" s="55">
        <f>_xll.EQNXTDZ($A$1,$B94,AY$5,$B$1)</f>
        <v>0</v>
      </c>
      <c r="AZ94" s="55">
        <f>_xll.EQNXTDZ($A$1,$B94,AZ$5,$B$1)</f>
        <v>-19.989999999999998</v>
      </c>
      <c r="BA94" s="55">
        <f>_xll.EQNXTDZ($A$1,$B94,BA$5,$B$1)</f>
        <v>0</v>
      </c>
      <c r="BB94" s="55">
        <f>_xll.EQNXTDZ($A$1,$B94,BB$5,$B$1)</f>
        <v>-40.97</v>
      </c>
      <c r="BC94" s="55">
        <f>_xll.EQNXTDZ($A$1,$B94,BC$5,$B$1)</f>
        <v>0</v>
      </c>
      <c r="BD94" s="55">
        <f>_xll.EQNXTDZ($A$1,$B94,BD$5,$B$1)</f>
        <v>-32.36</v>
      </c>
      <c r="BE94" s="55">
        <f>_xll.EQNXTDZ($A$1,$B94,BE$5,$B$1)</f>
        <v>0</v>
      </c>
      <c r="BF94" s="55">
        <f>_xll.EQNXTDZ($A$1,$B94,BF$5,$B$1)</f>
        <v>99.33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1.97</v>
      </c>
      <c r="E96" s="55">
        <f>_xll.EQNXTDZ($A$1,$B96,E$5,$B$1)</f>
        <v>0</v>
      </c>
      <c r="F96" s="55">
        <f>_xll.EQNXTDZ($A$1,$B96,F$5,$B$1)</f>
        <v>1.903</v>
      </c>
      <c r="G96" s="55">
        <f>_xll.EQNXTDZ($A$1,$B96,G$5,$B$1)</f>
        <v>0</v>
      </c>
      <c r="H96" s="55">
        <f>_xll.EQNXTDZ($A$1,$B96,H$5,$B$1)</f>
        <v>1.87</v>
      </c>
      <c r="I96" s="55">
        <f>_xll.EQNXTDZ($A$1,$B96,I$5,$B$1)</f>
        <v>0</v>
      </c>
      <c r="J96" s="55">
        <f>_xll.EQNXTDZ($A$1,$B96,J$5,$B$1)</f>
        <v>-5.03</v>
      </c>
      <c r="K96" s="55">
        <f>_xll.EQNXTDZ($A$1,$B96,K$5,$B$1)</f>
        <v>0</v>
      </c>
      <c r="L96" s="55">
        <f>_xll.EQNXTDZ($A$1,$B96,L$5,$B$1)</f>
        <v>-4.82</v>
      </c>
      <c r="M96" s="55">
        <f>_xll.EQNXTDZ($A$1,$B96,M$5,$B$1)</f>
        <v>0</v>
      </c>
      <c r="N96" s="55">
        <f>_xll.EQNXTDZ($A$1,$B96,N$5,$B$1)</f>
        <v>-4.03</v>
      </c>
      <c r="O96" s="55">
        <f>_xll.EQNXTDZ($A$1,$B96,O$5,$B$1)</f>
        <v>0</v>
      </c>
      <c r="P96" s="55">
        <f>_xll.EQNXTDZ($A$1,$B96,P$5,$B$1)</f>
        <v>-4.26</v>
      </c>
      <c r="Q96" s="55">
        <f>_xll.EQNXTDZ($A$1,$B96,Q$5,$B$1)</f>
        <v>0</v>
      </c>
      <c r="R96" s="55">
        <f>_xll.EQNXTDZ($A$1,$B96,R$5,$B$1)</f>
        <v>-1.4</v>
      </c>
      <c r="S96" s="55">
        <f>_xll.EQNXTDZ($A$1,$B96,S$5,$B$1)</f>
        <v>0</v>
      </c>
      <c r="T96" s="55">
        <f>_xll.EQNXTDZ($A$1,$B96,T$5,$B$1)</f>
        <v>-0.98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-0.38</v>
      </c>
      <c r="AI96" s="55">
        <f>_xll.EQNXTDZ($A$1,$B96,AI$5,$B$1)</f>
        <v>0</v>
      </c>
      <c r="AJ96" s="55">
        <f>_xll.EQNXTDZ($A$1,$B96,AJ$5,$B$1)</f>
        <v>1.1100000000000001</v>
      </c>
      <c r="AK96" s="55">
        <f>_xll.EQNXTDZ($A$1,$B96,AK$5,$B$1)</f>
        <v>0</v>
      </c>
      <c r="AL96" s="55">
        <f>_xll.EQNXTDZ($A$1,$B96,AL$5,$B$1)</f>
        <v>0.01</v>
      </c>
      <c r="AM96" s="55">
        <f>_xll.EQNXTDZ($A$1,$B96,AM$5,$B$1)</f>
        <v>0</v>
      </c>
      <c r="AN96" s="55">
        <f>_xll.EQNXTDZ($A$1,$B96,AN$5,$B$1)</f>
        <v>-1.06</v>
      </c>
      <c r="AO96" s="55">
        <f>_xll.EQNXTDZ($A$1,$B96,AO$5,$B$1)</f>
        <v>0</v>
      </c>
      <c r="AP96" s="55">
        <f>_xll.EQNXTDZ($A$1,$B96,AP$5,$B$1)</f>
        <v>-4.88</v>
      </c>
      <c r="AQ96" s="55">
        <f>_xll.EQNXTDZ($A$1,$B96,AQ$5,$B$1)</f>
        <v>0</v>
      </c>
      <c r="AR96" s="55">
        <f>_xll.EQNXTDZ($A$1,$B96,AR$5,$B$1)</f>
        <v>-6.17</v>
      </c>
      <c r="AS96" s="55">
        <f>_xll.EQNXTDZ($A$1,$B96,AS$5,$B$1)</f>
        <v>0</v>
      </c>
      <c r="AT96" s="55">
        <f>_xll.EQNXTDZ($A$1,$B96,AT$5,$B$1)</f>
        <v>-6.18</v>
      </c>
      <c r="AU96" s="55">
        <f>_xll.EQNXTDZ($A$1,$B96,AU$5,$B$1)</f>
        <v>0</v>
      </c>
      <c r="AV96" s="55">
        <f>_xll.EQNXTDZ($A$1,$B96,AV$5,$B$1)</f>
        <v>-7.45</v>
      </c>
      <c r="AW96" s="55">
        <f>_xll.EQNXTDZ($A$1,$B96,AW$5,$B$1)</f>
        <v>0</v>
      </c>
      <c r="AX96" s="55">
        <f>_xll.EQNXTDZ($A$1,$B96,AX$5,$B$1)</f>
        <v>-8.8800000000000008</v>
      </c>
      <c r="AY96" s="55">
        <f>_xll.EQNXTDZ($A$1,$B96,AY$5,$B$1)</f>
        <v>0</v>
      </c>
      <c r="AZ96" s="55">
        <f>_xll.EQNXTDZ($A$1,$B96,AZ$5,$B$1)</f>
        <v>-7.95</v>
      </c>
      <c r="BA96" s="55">
        <f>_xll.EQNXTDZ($A$1,$B96,BA$5,$B$1)</f>
        <v>0</v>
      </c>
      <c r="BB96" s="55">
        <f>_xll.EQNXTDZ($A$1,$B96,BB$5,$B$1)</f>
        <v>-8.26</v>
      </c>
      <c r="BC96" s="55">
        <f>_xll.EQNXTDZ($A$1,$B96,BC$5,$B$1)</f>
        <v>0</v>
      </c>
      <c r="BD96" s="55">
        <f>_xll.EQNXTDZ($A$1,$B96,BD$5,$B$1)</f>
        <v>-8.41</v>
      </c>
      <c r="BE96" s="55">
        <f>_xll.EQNXTDZ($A$1,$B96,BE$5,$B$1)</f>
        <v>0</v>
      </c>
      <c r="BF96" s="55">
        <f>_xll.EQNXTDZ($A$1,$B96,BF$5,$B$1)</f>
        <v>-9.26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38.945999999999998</v>
      </c>
      <c r="E97" s="55">
        <f>_xll.EQNXTDZ($A$1,$B97,E$5,$B$1)</f>
        <v>0</v>
      </c>
      <c r="F97" s="55">
        <f>_xll.EQNXTDZ($A$1,$B97,F$5,$B$1)</f>
        <v>40.445</v>
      </c>
      <c r="G97" s="55">
        <f>_xll.EQNXTDZ($A$1,$B97,G$5,$B$1)</f>
        <v>0</v>
      </c>
      <c r="H97" s="55">
        <f>_xll.EQNXTDZ($A$1,$B97,H$5,$B$1)</f>
        <v>41.03</v>
      </c>
      <c r="I97" s="55">
        <f>_xll.EQNXTDZ($A$1,$B97,I$5,$B$1)</f>
        <v>0</v>
      </c>
      <c r="J97" s="55">
        <f>_xll.EQNXTDZ($A$1,$B97,J$5,$B$1)</f>
        <v>44.02</v>
      </c>
      <c r="K97" s="55">
        <f>_xll.EQNXTDZ($A$1,$B97,K$5,$B$1)</f>
        <v>0</v>
      </c>
      <c r="L97" s="55">
        <f>_xll.EQNXTDZ($A$1,$B97,L$5,$B$1)</f>
        <v>51.88</v>
      </c>
      <c r="M97" s="55">
        <f>_xll.EQNXTDZ($A$1,$B97,M$5,$B$1)</f>
        <v>0</v>
      </c>
      <c r="N97" s="55">
        <f>_xll.EQNXTDZ($A$1,$B97,N$5,$B$1)</f>
        <v>61.13</v>
      </c>
      <c r="O97" s="55">
        <f>_xll.EQNXTDZ($A$1,$B97,O$5,$B$1)</f>
        <v>0</v>
      </c>
      <c r="P97" s="55">
        <f>_xll.EQNXTDZ($A$1,$B97,P$5,$B$1)</f>
        <v>79.540000000000006</v>
      </c>
      <c r="Q97" s="55">
        <f>_xll.EQNXTDZ($A$1,$B97,Q$5,$B$1)</f>
        <v>0</v>
      </c>
      <c r="R97" s="55">
        <f>_xll.EQNXTDZ($A$1,$B97,R$5,$B$1)</f>
        <v>78.7</v>
      </c>
      <c r="S97" s="55">
        <f>_xll.EQNXTDZ($A$1,$B97,S$5,$B$1)</f>
        <v>0</v>
      </c>
      <c r="T97" s="55">
        <f>_xll.EQNXTDZ($A$1,$B97,T$5,$B$1)</f>
        <v>77.91</v>
      </c>
      <c r="U97" s="55">
        <f>_xll.EQNXTDZ($A$1,$B97,U$5,$B$1)</f>
        <v>0</v>
      </c>
      <c r="V97" s="55">
        <f>_xll.EQNXTDZ($A$1,$B97,V$5,$B$1)</f>
        <v>57.74</v>
      </c>
      <c r="W97" s="55">
        <f>_xll.EQNXTDZ($A$1,$B97,W$5,$B$1)</f>
        <v>0</v>
      </c>
      <c r="X97" s="55">
        <f>_xll.EQNXTDZ($A$1,$B97,X$5,$B$1)</f>
        <v>58.93</v>
      </c>
      <c r="Y97" s="55">
        <f>_xll.EQNXTDZ($A$1,$B97,Y$5,$B$1)</f>
        <v>0</v>
      </c>
      <c r="Z97" s="55">
        <f>_xll.EQNXTDZ($A$1,$B97,Z$5,$B$1)</f>
        <v>55.96</v>
      </c>
      <c r="AA97" s="55">
        <f>_xll.EQNXTDZ($A$1,$B97,AA$5,$B$1)</f>
        <v>0</v>
      </c>
      <c r="AB97" s="55">
        <f>_xll.EQNXTDZ($A$1,$B97,AB$5,$B$1)</f>
        <v>47.68</v>
      </c>
      <c r="AC97" s="55">
        <f>_xll.EQNXTDZ($A$1,$B97,AC$5,$B$1)</f>
        <v>0</v>
      </c>
      <c r="AD97" s="55">
        <f>_xll.EQNXTDZ($A$1,$B97,AD$5,$B$1)</f>
        <v>31.2</v>
      </c>
      <c r="AE97" s="55">
        <f>_xll.EQNXTDZ($A$1,$B97,AE$5,$B$1)</f>
        <v>0</v>
      </c>
      <c r="AF97" s="55">
        <f>_xll.EQNXTDZ($A$1,$B97,AF$5,$B$1)</f>
        <v>62.68</v>
      </c>
      <c r="AG97" s="55">
        <f>_xll.EQNXTDZ($A$1,$B97,AG$5,$B$1)</f>
        <v>0</v>
      </c>
      <c r="AH97" s="55">
        <f>_xll.EQNXTDZ($A$1,$B97,AH$5,$B$1)</f>
        <v>62.44</v>
      </c>
      <c r="AI97" s="55">
        <f>_xll.EQNXTDZ($A$1,$B97,AI$5,$B$1)</f>
        <v>0</v>
      </c>
      <c r="AJ97" s="55">
        <f>_xll.EQNXTDZ($A$1,$B97,AJ$5,$B$1)</f>
        <v>69.38</v>
      </c>
      <c r="AK97" s="55">
        <f>_xll.EQNXTDZ($A$1,$B97,AK$5,$B$1)</f>
        <v>0</v>
      </c>
      <c r="AL97" s="55">
        <f>_xll.EQNXTDZ($A$1,$B97,AL$5,$B$1)</f>
        <v>76.81</v>
      </c>
      <c r="AM97" s="55">
        <f>_xll.EQNXTDZ($A$1,$B97,AM$5,$B$1)</f>
        <v>0</v>
      </c>
      <c r="AN97" s="55">
        <f>_xll.EQNXTDZ($A$1,$B97,AN$5,$B$1)</f>
        <v>76.790000000000006</v>
      </c>
      <c r="AO97" s="55">
        <f>_xll.EQNXTDZ($A$1,$B97,AO$5,$B$1)</f>
        <v>0</v>
      </c>
      <c r="AP97" s="55">
        <f>_xll.EQNXTDZ($A$1,$B97,AP$5,$B$1)</f>
        <v>89.54</v>
      </c>
      <c r="AQ97" s="55">
        <f>_xll.EQNXTDZ($A$1,$B97,AQ$5,$B$1)</f>
        <v>0</v>
      </c>
      <c r="AR97" s="55">
        <f>_xll.EQNXTDZ($A$1,$B97,AR$5,$B$1)</f>
        <v>97.26</v>
      </c>
      <c r="AS97" s="55">
        <f>_xll.EQNXTDZ($A$1,$B97,AS$5,$B$1)</f>
        <v>0</v>
      </c>
      <c r="AT97" s="55">
        <f>_xll.EQNXTDZ($A$1,$B97,AT$5,$B$1)</f>
        <v>108.06</v>
      </c>
      <c r="AU97" s="55">
        <f>_xll.EQNXTDZ($A$1,$B97,AU$5,$B$1)</f>
        <v>0</v>
      </c>
      <c r="AV97" s="55">
        <f>_xll.EQNXTDZ($A$1,$B97,AV$5,$B$1)</f>
        <v>104.14</v>
      </c>
      <c r="AW97" s="55">
        <f>_xll.EQNXTDZ($A$1,$B97,AW$5,$B$1)</f>
        <v>0</v>
      </c>
      <c r="AX97" s="55">
        <f>_xll.EQNXTDZ($A$1,$B97,AX$5,$B$1)</f>
        <v>100.12</v>
      </c>
      <c r="AY97" s="55">
        <f>_xll.EQNXTDZ($A$1,$B97,AY$5,$B$1)</f>
        <v>0</v>
      </c>
      <c r="AZ97" s="55">
        <f>_xll.EQNXTDZ($A$1,$B97,AZ$5,$B$1)</f>
        <v>113.39</v>
      </c>
      <c r="BA97" s="55">
        <f>_xll.EQNXTDZ($A$1,$B97,BA$5,$B$1)</f>
        <v>0</v>
      </c>
      <c r="BB97" s="55">
        <f>_xll.EQNXTDZ($A$1,$B97,BB$5,$B$1)</f>
        <v>118.18</v>
      </c>
      <c r="BC97" s="55">
        <f>_xll.EQNXTDZ($A$1,$B97,BC$5,$B$1)</f>
        <v>0</v>
      </c>
      <c r="BD97" s="55">
        <f>_xll.EQNXTDZ($A$1,$B97,BD$5,$B$1)</f>
        <v>127.27</v>
      </c>
      <c r="BE97" s="55">
        <f>_xll.EQNXTDZ($A$1,$B97,BE$5,$B$1)</f>
        <v>0</v>
      </c>
      <c r="BF97" s="55">
        <f>_xll.EQNXTDZ($A$1,$B97,BF$5,$B$1)</f>
        <v>255.52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130845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Sunshield Chemicals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23.998149600000001</v>
      </c>
      <c r="G6" s="100">
        <f>_xll.EQNXTDZ($A$1,$B6,G$1,$B$1)</f>
        <v>20.047816999999998</v>
      </c>
      <c r="H6" s="100">
        <f>_xll.EQNXTDZ($A$1,$B6,H$1,$B$1)</f>
        <v>30.721513099999999</v>
      </c>
      <c r="I6" s="100">
        <f>_xll.EQNXTDZ($A$1,$B6,I$1,$B$1)</f>
        <v>37.309899999999999</v>
      </c>
      <c r="J6" s="100">
        <f>_xll.EQNXTDZ($A$1,$B6,J$1,$B$1)</f>
        <v>47.388800000000003</v>
      </c>
      <c r="K6" s="100">
        <f>_xll.EQNXTDZ($A$1,$B6,K$1,$B$1)</f>
        <v>68.460300000000004</v>
      </c>
      <c r="L6" s="100">
        <f>_xll.EQNXTDZ($A$1,$B6,L$1,$B$1)</f>
        <v>68.002499999999998</v>
      </c>
      <c r="M6" s="100">
        <f>_xll.EQNXTDZ($A$1,$B6,M$1,$B$1)</f>
        <v>84.923199999999994</v>
      </c>
      <c r="N6" s="100">
        <f>_xll.EQNXTDZ($A$1,$B6,N$1,$B$1)</f>
        <v>100.68049999999999</v>
      </c>
      <c r="O6" s="100">
        <f>_xll.EQNXTDZ($A$1,$B6,O$1,$B$1)</f>
        <v>111.8464</v>
      </c>
      <c r="P6" s="100">
        <f>_xll.EQNXTDZ($A$1,$B6,P$1,$B$1)</f>
        <v>140.5702</v>
      </c>
      <c r="Q6" s="100">
        <f>_xll.EQNXTDZ($A$1,$B6,Q$1,$B$1)</f>
        <v>127.3836</v>
      </c>
      <c r="R6" s="100">
        <f>_xll.EQNXTDZ($A$1,$B6,R$1,$B$1)</f>
        <v>158.5318</v>
      </c>
      <c r="S6" s="100">
        <f>_xll.EQNXTDZ($A$1,$B6,S$1,$B$1)</f>
        <v>175.08770000000001</v>
      </c>
      <c r="T6" s="100">
        <f>_xll.EQNXTDZ($A$1,$B6,T$1,$B$1)</f>
        <v>185.2637</v>
      </c>
      <c r="U6" s="100">
        <f>_xll.EQNXTDZ($A$1,$B6,U$1,$B$1)</f>
        <v>189.68899999999999</v>
      </c>
      <c r="V6" s="100">
        <f>_xll.EQNXTDZ($A$1,$B6,V$1,$B$1)</f>
        <v>181.07740000000001</v>
      </c>
      <c r="W6" s="100">
        <f>_xll.EQNXTDZ($A$1,$B6,W$1,$B$1)</f>
        <v>198.65309999999999</v>
      </c>
      <c r="X6" s="100">
        <f>_xll.EQNXTDZ($A$1,$B6,X$1,$B$1)</f>
        <v>244.0042</v>
      </c>
      <c r="Y6" s="100">
        <f>_xll.EQNXTDZ($A$1,$B6,Y$1,$B$1)</f>
        <v>244.76</v>
      </c>
      <c r="Z6" s="100">
        <f>_xll.EQNXTDZ($A$1,$B6,Z$1,$B$1)</f>
        <v>283.37540000000001</v>
      </c>
      <c r="AA6" s="100">
        <f>_xll.EQNXTDZ($A$1,$B6,AA$1,$B$1)</f>
        <v>365.79480000000001</v>
      </c>
      <c r="AB6" s="100">
        <f>_xll.EQNXTDZ($A$1,$B6,AB$1,$B$1)</f>
        <v>440.91289999999998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3.0718337</v>
      </c>
      <c r="G9" s="100">
        <f>_xll.EQNXTDZ($A$1,$B9,G$1,$B$1)</f>
        <v>2.6034313999999998</v>
      </c>
      <c r="H9" s="100">
        <f>_xll.EQNXTDZ($A$1,$B9,H$1,$B$1)</f>
        <v>3.3897031000000002</v>
      </c>
      <c r="I9" s="100">
        <f>_xll.EQNXTDZ($A$1,$B9,I$1,$B$1)</f>
        <v>3.8563999999999998</v>
      </c>
      <c r="J9" s="100">
        <f>_xll.EQNXTDZ($A$1,$B9,J$1,$B$1)</f>
        <v>5.4038000000000004</v>
      </c>
      <c r="K9" s="100">
        <f>_xll.EQNXTDZ($A$1,$B9,K$1,$B$1)</f>
        <v>5.4203000000000001</v>
      </c>
      <c r="L9" s="100">
        <f>_xll.EQNXTDZ($A$1,$B9,L$1,$B$1)</f>
        <v>3.4994000000000001</v>
      </c>
      <c r="M9" s="100">
        <f>_xll.EQNXTDZ($A$1,$B9,M$1,$B$1)</f>
        <v>5.7808999999999999</v>
      </c>
      <c r="N9" s="100">
        <f>_xll.EQNXTDZ($A$1,$B9,N$1,$B$1)</f>
        <v>6.4020000000000001</v>
      </c>
      <c r="O9" s="100">
        <f>_xll.EQNXTDZ($A$1,$B9,O$1,$B$1)</f>
        <v>6.5456000000000003</v>
      </c>
      <c r="P9" s="100">
        <f>_xll.EQNXTDZ($A$1,$B9,P$1,$B$1)</f>
        <v>6.9177</v>
      </c>
      <c r="Q9" s="100">
        <f>_xll.EQNXTDZ($A$1,$B9,Q$1,$B$1)</f>
        <v>8.3780999999999999</v>
      </c>
      <c r="R9" s="100">
        <f>_xll.EQNXTDZ($A$1,$B9,R$1,$B$1)</f>
        <v>8.3039000000000005</v>
      </c>
      <c r="S9" s="100">
        <f>_xll.EQNXTDZ($A$1,$B9,S$1,$B$1)</f>
        <v>9.3657000000000004</v>
      </c>
      <c r="T9" s="100">
        <f>_xll.EQNXTDZ($A$1,$B9,T$1,$B$1)</f>
        <v>1.8957999999999999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20.926315899999999</v>
      </c>
      <c r="G10" s="100">
        <f>_xll.EQNXTDZ($A$1,$B10,G$1,$B$1)</f>
        <v>17.4443856</v>
      </c>
      <c r="H10" s="100">
        <f>_xll.EQNXTDZ($A$1,$B10,H$1,$B$1)</f>
        <v>27.331810000000001</v>
      </c>
      <c r="I10" s="100">
        <f>_xll.EQNXTDZ($A$1,$B10,I$1,$B$1)</f>
        <v>33.453499999999998</v>
      </c>
      <c r="J10" s="100">
        <f>_xll.EQNXTDZ($A$1,$B10,J$1,$B$1)</f>
        <v>41.984999999999999</v>
      </c>
      <c r="K10" s="100">
        <f>_xll.EQNXTDZ($A$1,$B10,K$1,$B$1)</f>
        <v>63.04</v>
      </c>
      <c r="L10" s="100">
        <f>_xll.EQNXTDZ($A$1,$B10,L$1,$B$1)</f>
        <v>64.503100000000003</v>
      </c>
      <c r="M10" s="100">
        <f>_xll.EQNXTDZ($A$1,$B10,M$1,$B$1)</f>
        <v>79.142300000000006</v>
      </c>
      <c r="N10" s="100">
        <f>_xll.EQNXTDZ($A$1,$B10,N$1,$B$1)</f>
        <v>94.278499999999994</v>
      </c>
      <c r="O10" s="100">
        <f>_xll.EQNXTDZ($A$1,$B10,O$1,$B$1)</f>
        <v>105.3008</v>
      </c>
      <c r="P10" s="100">
        <f>_xll.EQNXTDZ($A$1,$B10,P$1,$B$1)</f>
        <v>133.6525</v>
      </c>
      <c r="Q10" s="100">
        <f>_xll.EQNXTDZ($A$1,$B10,Q$1,$B$1)</f>
        <v>119.0055</v>
      </c>
      <c r="R10" s="100">
        <f>_xll.EQNXTDZ($A$1,$B10,R$1,$B$1)</f>
        <v>150.22790000000001</v>
      </c>
      <c r="S10" s="100">
        <f>_xll.EQNXTDZ($A$1,$B10,S$1,$B$1)</f>
        <v>165.72200000000001</v>
      </c>
      <c r="T10" s="100">
        <f>_xll.EQNXTDZ($A$1,$B10,T$1,$B$1)</f>
        <v>183.36789999999999</v>
      </c>
      <c r="U10" s="100">
        <f>_xll.EQNXTDZ($A$1,$B10,U$1,$B$1)</f>
        <v>189.68899999999999</v>
      </c>
      <c r="V10" s="100">
        <f>_xll.EQNXTDZ($A$1,$B10,V$1,$B$1)</f>
        <v>181.07740000000001</v>
      </c>
      <c r="W10" s="100">
        <f>_xll.EQNXTDZ($A$1,$B10,W$1,$B$1)</f>
        <v>198.65309999999999</v>
      </c>
      <c r="X10" s="100">
        <f>_xll.EQNXTDZ($A$1,$B10,X$1,$B$1)</f>
        <v>244.0042</v>
      </c>
      <c r="Y10" s="100">
        <f>_xll.EQNXTDZ($A$1,$B10,Y$1,$B$1)</f>
        <v>244.76</v>
      </c>
      <c r="Z10" s="100">
        <f>_xll.EQNXTDZ($A$1,$B10,Z$1,$B$1)</f>
        <v>283.37540000000001</v>
      </c>
      <c r="AA10" s="100">
        <f>_xll.EQNXTDZ($A$1,$B10,AA$1,$B$1)</f>
        <v>365.79480000000001</v>
      </c>
      <c r="AB10" s="100">
        <f>_xll.EQNXTDZ($A$1,$B10,AB$1,$B$1)</f>
        <v>440.91289999999998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-0.41429579999999999</v>
      </c>
      <c r="G11" s="100">
        <f>_xll.EQNXTDZ($A$1,$B11,G$1,$B$1)</f>
        <v>-0.16014880000000001</v>
      </c>
      <c r="H11" s="100">
        <f>_xll.EQNXTDZ($A$1,$B11,H$1,$B$1)</f>
        <v>-0.49128559999999999</v>
      </c>
      <c r="I11" s="100">
        <f>_xll.EQNXTDZ($A$1,$B11,I$1,$B$1)</f>
        <v>0.51910000000000001</v>
      </c>
      <c r="J11" s="100">
        <f>_xll.EQNXTDZ($A$1,$B11,J$1,$B$1)</f>
        <v>-0.84660000000000002</v>
      </c>
      <c r="K11" s="100">
        <f>_xll.EQNXTDZ($A$1,$B11,K$1,$B$1)</f>
        <v>1.0105</v>
      </c>
      <c r="L11" s="100">
        <f>_xll.EQNXTDZ($A$1,$B11,L$1,$B$1)</f>
        <v>-0.6371</v>
      </c>
      <c r="M11" s="100">
        <f>_xll.EQNXTDZ($A$1,$B11,M$1,$B$1)</f>
        <v>-0.439</v>
      </c>
      <c r="N11" s="100">
        <f>_xll.EQNXTDZ($A$1,$B11,N$1,$B$1)</f>
        <v>-1.34</v>
      </c>
      <c r="O11" s="100">
        <f>_xll.EQNXTDZ($A$1,$B11,O$1,$B$1)</f>
        <v>-0.85680000000000001</v>
      </c>
      <c r="P11" s="100">
        <f>_xll.EQNXTDZ($A$1,$B11,P$1,$B$1)</f>
        <v>-2.7054</v>
      </c>
      <c r="Q11" s="100">
        <f>_xll.EQNXTDZ($A$1,$B11,Q$1,$B$1)</f>
        <v>-4.0087000000000002</v>
      </c>
      <c r="R11" s="100">
        <f>_xll.EQNXTDZ($A$1,$B11,R$1,$B$1)</f>
        <v>-4.6985999999999999</v>
      </c>
      <c r="S11" s="100">
        <f>_xll.EQNXTDZ($A$1,$B11,S$1,$B$1)</f>
        <v>4.2583000000000002</v>
      </c>
      <c r="T11" s="100">
        <f>_xll.EQNXTDZ($A$1,$B11,T$1,$B$1)</f>
        <v>-1.3980999999999999</v>
      </c>
      <c r="U11" s="100">
        <f>_xll.EQNXTDZ($A$1,$B11,U$1,$B$1)</f>
        <v>2.5979000000000001</v>
      </c>
      <c r="V11" s="100">
        <f>_xll.EQNXTDZ($A$1,$B11,V$1,$B$1)</f>
        <v>-1.7359</v>
      </c>
      <c r="W11" s="100">
        <f>_xll.EQNXTDZ($A$1,$B11,W$1,$B$1)</f>
        <v>1.7138</v>
      </c>
      <c r="X11" s="100">
        <f>_xll.EQNXTDZ($A$1,$B11,X$1,$B$1)</f>
        <v>-3.2787999999999999</v>
      </c>
      <c r="Y11" s="100">
        <f>_xll.EQNXTDZ($A$1,$B11,Y$1,$B$1)</f>
        <v>-3.6006999999999998</v>
      </c>
      <c r="Z11" s="100">
        <f>_xll.EQNXTDZ($A$1,$B11,Z$1,$B$1)</f>
        <v>-0.1237</v>
      </c>
      <c r="AA11" s="100">
        <f>_xll.EQNXTDZ($A$1,$B11,AA$1,$B$1)</f>
        <v>-3.1736</v>
      </c>
      <c r="AB11" s="100">
        <f>_xll.EQNXTDZ($A$1,$B11,AB$1,$B$1)</f>
        <v>-7.0941000000000001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12.539143299999999</v>
      </c>
      <c r="G12" s="100">
        <f>_xll.EQNXTDZ($A$1,$B12,G$1,$B$1)</f>
        <v>10.8748377</v>
      </c>
      <c r="H12" s="100">
        <f>_xll.EQNXTDZ($A$1,$B12,H$1,$B$1)</f>
        <v>17.937481399999999</v>
      </c>
      <c r="I12" s="100">
        <f>_xll.EQNXTDZ($A$1,$B12,I$1,$B$1)</f>
        <v>22.513100000000001</v>
      </c>
      <c r="J12" s="100">
        <f>_xll.EQNXTDZ($A$1,$B12,J$1,$B$1)</f>
        <v>29.917400000000001</v>
      </c>
      <c r="K12" s="100">
        <f>_xll.EQNXTDZ($A$1,$B12,K$1,$B$1)</f>
        <v>41.804099999999998</v>
      </c>
      <c r="L12" s="100">
        <f>_xll.EQNXTDZ($A$1,$B12,L$1,$B$1)</f>
        <v>41.289900000000003</v>
      </c>
      <c r="M12" s="100">
        <f>_xll.EQNXTDZ($A$1,$B12,M$1,$B$1)</f>
        <v>53.604500000000002</v>
      </c>
      <c r="N12" s="100">
        <f>_xll.EQNXTDZ($A$1,$B12,N$1,$B$1)</f>
        <v>67.347499999999997</v>
      </c>
      <c r="O12" s="100">
        <f>_xll.EQNXTDZ($A$1,$B12,O$1,$B$1)</f>
        <v>74.074600000000004</v>
      </c>
      <c r="P12" s="100">
        <f>_xll.EQNXTDZ($A$1,$B12,P$1,$B$1)</f>
        <v>95.480599999999995</v>
      </c>
      <c r="Q12" s="100">
        <f>_xll.EQNXTDZ($A$1,$B12,Q$1,$B$1)</f>
        <v>86.789900000000003</v>
      </c>
      <c r="R12" s="100">
        <f>_xll.EQNXTDZ($A$1,$B12,R$1,$B$1)</f>
        <v>101.1649</v>
      </c>
      <c r="S12" s="100">
        <f>_xll.EQNXTDZ($A$1,$B12,S$1,$B$1)</f>
        <v>103.3691</v>
      </c>
      <c r="T12" s="100">
        <f>_xll.EQNXTDZ($A$1,$B12,T$1,$B$1)</f>
        <v>119.5565</v>
      </c>
      <c r="U12" s="100">
        <f>_xll.EQNXTDZ($A$1,$B12,U$1,$B$1)</f>
        <v>121.9567</v>
      </c>
      <c r="V12" s="100">
        <f>_xll.EQNXTDZ($A$1,$B12,V$1,$B$1)</f>
        <v>115.6481</v>
      </c>
      <c r="W12" s="100">
        <f>_xll.EQNXTDZ($A$1,$B12,W$1,$B$1)</f>
        <v>118.6801</v>
      </c>
      <c r="X12" s="100">
        <f>_xll.EQNXTDZ($A$1,$B12,X$1,$B$1)</f>
        <v>166.85640000000001</v>
      </c>
      <c r="Y12" s="100">
        <f>_xll.EQNXTDZ($A$1,$B12,Y$1,$B$1)</f>
        <v>163.89230000000001</v>
      </c>
      <c r="Z12" s="100">
        <f>_xll.EQNXTDZ($A$1,$B12,Z$1,$B$1)</f>
        <v>187.23949999999999</v>
      </c>
      <c r="AA12" s="100">
        <f>_xll.EQNXTDZ($A$1,$B12,AA$1,$B$1)</f>
        <v>266.70319999999998</v>
      </c>
      <c r="AB12" s="100">
        <f>_xll.EQNXTDZ($A$1,$B12,AB$1,$B$1)</f>
        <v>326.43700000000001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0.65497249999999996</v>
      </c>
      <c r="G13" s="100">
        <f>_xll.EQNXTDZ($A$1,$B13,G$1,$B$1)</f>
        <v>0.55076049999999999</v>
      </c>
      <c r="H13" s="100">
        <f>_xll.EQNXTDZ($A$1,$B13,H$1,$B$1)</f>
        <v>0.94766729999999999</v>
      </c>
      <c r="I13" s="100">
        <f>_xll.EQNXTDZ($A$1,$B13,I$1,$B$1)</f>
        <v>1.625</v>
      </c>
      <c r="J13" s="100">
        <f>_xll.EQNXTDZ($A$1,$B13,J$1,$B$1)</f>
        <v>1.9214</v>
      </c>
      <c r="K13" s="100">
        <f>_xll.EQNXTDZ($A$1,$B13,K$1,$B$1)</f>
        <v>2.9159999999999999</v>
      </c>
      <c r="L13" s="100">
        <f>_xll.EQNXTDZ($A$1,$B13,L$1,$B$1)</f>
        <v>2.0366</v>
      </c>
      <c r="M13" s="100">
        <f>_xll.EQNXTDZ($A$1,$B13,M$1,$B$1)</f>
        <v>2.9782999999999999</v>
      </c>
      <c r="N13" s="100">
        <f>_xll.EQNXTDZ($A$1,$B13,N$1,$B$1)</f>
        <v>4.0167000000000002</v>
      </c>
      <c r="O13" s="100">
        <f>_xll.EQNXTDZ($A$1,$B13,O$1,$B$1)</f>
        <v>4.7451999999999996</v>
      </c>
      <c r="P13" s="100">
        <f>_xll.EQNXTDZ($A$1,$B13,P$1,$B$1)</f>
        <v>6.1790000000000003</v>
      </c>
      <c r="Q13" s="100">
        <f>_xll.EQNXTDZ($A$1,$B13,Q$1,$B$1)</f>
        <v>4.8044000000000002</v>
      </c>
      <c r="R13" s="100">
        <f>_xll.EQNXTDZ($A$1,$B13,R$1,$B$1)</f>
        <v>7.4230999999999998</v>
      </c>
      <c r="S13" s="100">
        <f>_xll.EQNXTDZ($A$1,$B13,S$1,$B$1)</f>
        <v>7.2927</v>
      </c>
      <c r="T13" s="100">
        <f>_xll.EQNXTDZ($A$1,$B13,T$1,$B$1)</f>
        <v>7.1856999999999998</v>
      </c>
      <c r="U13" s="100">
        <f>_xll.EQNXTDZ($A$1,$B13,U$1,$B$1)</f>
        <v>7.9980000000000002</v>
      </c>
      <c r="V13" s="100">
        <f>_xll.EQNXTDZ($A$1,$B13,V$1,$B$1)</f>
        <v>9.1530000000000005</v>
      </c>
      <c r="W13" s="100">
        <f>_xll.EQNXTDZ($A$1,$B13,W$1,$B$1)</f>
        <v>8.8986000000000001</v>
      </c>
      <c r="X13" s="100">
        <f>_xll.EQNXTDZ($A$1,$B13,X$1,$B$1)</f>
        <v>9.9750999999999994</v>
      </c>
      <c r="Y13" s="100">
        <f>_xll.EQNXTDZ($A$1,$B13,Y$1,$B$1)</f>
        <v>11.892300000000001</v>
      </c>
      <c r="Z13" s="100">
        <f>_xll.EQNXTDZ($A$1,$B13,Z$1,$B$1)</f>
        <v>12.3553</v>
      </c>
      <c r="AA13" s="100">
        <f>_xll.EQNXTDZ($A$1,$B13,AA$1,$B$1)</f>
        <v>15.027100000000001</v>
      </c>
      <c r="AB13" s="100">
        <f>_xll.EQNXTDZ($A$1,$B13,AB$1,$B$1)</f>
        <v>17.300999999999998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1.9350156999999999</v>
      </c>
      <c r="G14" s="100">
        <f>_xll.EQNXTDZ($A$1,$B14,G$1,$B$1)</f>
        <v>1.5550622000000001</v>
      </c>
      <c r="H14" s="100">
        <f>_xll.EQNXTDZ($A$1,$B14,H$1,$B$1)</f>
        <v>1.8951016000000001</v>
      </c>
      <c r="I14" s="100">
        <f>_xll.EQNXTDZ($A$1,$B14,I$1,$B$1)</f>
        <v>2.2549000000000001</v>
      </c>
      <c r="J14" s="100">
        <f>_xll.EQNXTDZ($A$1,$B14,J$1,$B$1)</f>
        <v>1.8588</v>
      </c>
      <c r="K14" s="100">
        <f>_xll.EQNXTDZ($A$1,$B14,K$1,$B$1)</f>
        <v>2.2301000000000002</v>
      </c>
      <c r="L14" s="100">
        <f>_xll.EQNXTDZ($A$1,$B14,L$1,$B$1)</f>
        <v>2.3887</v>
      </c>
      <c r="M14" s="100">
        <f>_xll.EQNXTDZ($A$1,$B14,M$1,$B$1)</f>
        <v>3.2669999999999999</v>
      </c>
      <c r="N14" s="100">
        <f>_xll.EQNXTDZ($A$1,$B14,N$1,$B$1)</f>
        <v>3.9043000000000001</v>
      </c>
      <c r="O14" s="100">
        <f>_xll.EQNXTDZ($A$1,$B14,O$1,$B$1)</f>
        <v>4.6836000000000002</v>
      </c>
      <c r="P14" s="100">
        <f>_xll.EQNXTDZ($A$1,$B14,P$1,$B$1)</f>
        <v>4.9858000000000002</v>
      </c>
      <c r="Q14" s="100">
        <f>_xll.EQNXTDZ($A$1,$B14,Q$1,$B$1)</f>
        <v>6.2949999999999999</v>
      </c>
      <c r="R14" s="100">
        <f>_xll.EQNXTDZ($A$1,$B14,R$1,$B$1)</f>
        <v>6.6744000000000003</v>
      </c>
      <c r="S14" s="100">
        <f>_xll.EQNXTDZ($A$1,$B14,S$1,$B$1)</f>
        <v>6.6059999999999999</v>
      </c>
      <c r="T14" s="100">
        <f>_xll.EQNXTDZ($A$1,$B14,T$1,$B$1)</f>
        <v>7.0368000000000004</v>
      </c>
      <c r="U14" s="100">
        <f>_xll.EQNXTDZ($A$1,$B14,U$1,$B$1)</f>
        <v>6.4565999999999999</v>
      </c>
      <c r="V14" s="100">
        <f>_xll.EQNXTDZ($A$1,$B14,V$1,$B$1)</f>
        <v>6.5926999999999998</v>
      </c>
      <c r="W14" s="100">
        <f>_xll.EQNXTDZ($A$1,$B14,W$1,$B$1)</f>
        <v>7.5575999999999999</v>
      </c>
      <c r="X14" s="100">
        <f>_xll.EQNXTDZ($A$1,$B14,X$1,$B$1)</f>
        <v>9.2277000000000005</v>
      </c>
      <c r="Y14" s="100">
        <f>_xll.EQNXTDZ($A$1,$B14,Y$1,$B$1)</f>
        <v>13.137600000000001</v>
      </c>
      <c r="Z14" s="100">
        <f>_xll.EQNXTDZ($A$1,$B14,Z$1,$B$1)</f>
        <v>16.385899999999999</v>
      </c>
      <c r="AA14" s="100">
        <f>_xll.EQNXTDZ($A$1,$B14,AA$1,$B$1)</f>
        <v>19.0794</v>
      </c>
      <c r="AB14" s="100">
        <f>_xll.EQNXTDZ($A$1,$B14,AB$1,$B$1)</f>
        <v>19.665900000000001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1.9593659999999999</v>
      </c>
      <c r="G15" s="100">
        <f>_xll.EQNXTDZ($A$1,$B15,G$1,$B$1)</f>
        <v>1.7245815</v>
      </c>
      <c r="H15" s="100">
        <f>_xll.EQNXTDZ($A$1,$B15,H$1,$B$1)</f>
        <v>2.0439587000000001</v>
      </c>
      <c r="I15" s="100">
        <f>_xll.EQNXTDZ($A$1,$B15,I$1,$B$1)</f>
        <v>2.6217000000000001</v>
      </c>
      <c r="J15" s="100">
        <f>_xll.EQNXTDZ($A$1,$B15,J$1,$B$1)</f>
        <v>3.048</v>
      </c>
      <c r="K15" s="100">
        <f>_xll.EQNXTDZ($A$1,$B15,K$1,$B$1)</f>
        <v>4.7130000000000001</v>
      </c>
      <c r="L15" s="100">
        <f>_xll.EQNXTDZ($A$1,$B15,L$1,$B$1)</f>
        <v>5.8556999999999997</v>
      </c>
      <c r="M15" s="100">
        <f>_xll.EQNXTDZ($A$1,$B15,M$1,$B$1)</f>
        <v>6.2161</v>
      </c>
      <c r="N15" s="100">
        <f>_xll.EQNXTDZ($A$1,$B15,N$1,$B$1)</f>
        <v>7.2141999999999999</v>
      </c>
      <c r="O15" s="100">
        <f>_xll.EQNXTDZ($A$1,$B15,O$1,$B$1)</f>
        <v>7.8061999999999996</v>
      </c>
      <c r="P15" s="100">
        <f>_xll.EQNXTDZ($A$1,$B15,P$1,$B$1)</f>
        <v>8.0792000000000002</v>
      </c>
      <c r="Q15" s="100">
        <f>_xll.EQNXTDZ($A$1,$B15,Q$1,$B$1)</f>
        <v>10.2407</v>
      </c>
      <c r="R15" s="100">
        <f>_xll.EQNXTDZ($A$1,$B15,R$1,$B$1)</f>
        <v>11.369199999999999</v>
      </c>
      <c r="S15" s="100">
        <f>_xll.EQNXTDZ($A$1,$B15,S$1,$B$1)</f>
        <v>15.113</v>
      </c>
      <c r="T15" s="100">
        <f>_xll.EQNXTDZ($A$1,$B15,T$1,$B$1)</f>
        <v>18.381499999999999</v>
      </c>
      <c r="U15" s="100">
        <f>_xll.EQNXTDZ($A$1,$B15,U$1,$B$1)</f>
        <v>16.940799999999999</v>
      </c>
      <c r="V15" s="100">
        <f>_xll.EQNXTDZ($A$1,$B15,V$1,$B$1)</f>
        <v>16.824200000000001</v>
      </c>
      <c r="W15" s="100">
        <f>_xll.EQNXTDZ($A$1,$B15,W$1,$B$1)</f>
        <v>15.7555</v>
      </c>
      <c r="X15" s="100">
        <f>_xll.EQNXTDZ($A$1,$B15,X$1,$B$1)</f>
        <v>14.965299999999999</v>
      </c>
      <c r="Y15" s="100">
        <f>_xll.EQNXTDZ($A$1,$B15,Y$1,$B$1)</f>
        <v>15.2783</v>
      </c>
      <c r="Z15" s="100">
        <f>_xll.EQNXTDZ($A$1,$B15,Z$1,$B$1)</f>
        <v>14.9656</v>
      </c>
      <c r="AA15" s="100">
        <f>_xll.EQNXTDZ($A$1,$B15,AA$1,$B$1)</f>
        <v>17.115500000000001</v>
      </c>
      <c r="AB15" s="100">
        <f>_xll.EQNXTDZ($A$1,$B15,AB$1,$B$1)</f>
        <v>16.8169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2.3041901</v>
      </c>
      <c r="G17" s="100">
        <f>_xll.EQNXTDZ($A$1,$B17,G$1,$B$1)</f>
        <v>1.1672779</v>
      </c>
      <c r="H17" s="100">
        <f>_xll.EQNXTDZ($A$1,$B17,H$1,$B$1)</f>
        <v>1.2541154000000001</v>
      </c>
      <c r="I17" s="100">
        <f>_xll.EQNXTDZ($A$1,$B17,I$1,$B$1)</f>
        <v>1.8586</v>
      </c>
      <c r="J17" s="100">
        <f>_xll.EQNXTDZ($A$1,$B17,J$1,$B$1)</f>
        <v>1.5913999999999999</v>
      </c>
      <c r="K17" s="100">
        <f>_xll.EQNXTDZ($A$1,$B17,K$1,$B$1)</f>
        <v>1.6786000000000001</v>
      </c>
      <c r="L17" s="100">
        <f>_xll.EQNXTDZ($A$1,$B17,L$1,$B$1)</f>
        <v>2.0880000000000001</v>
      </c>
      <c r="M17" s="100">
        <f>_xll.EQNXTDZ($A$1,$B17,M$1,$B$1)</f>
        <v>1.2178</v>
      </c>
      <c r="N17" s="100">
        <f>_xll.EQNXTDZ($A$1,$B17,N$1,$B$1)</f>
        <v>0.7732</v>
      </c>
      <c r="O17" s="100">
        <f>_xll.EQNXTDZ($A$1,$B17,O$1,$B$1)</f>
        <v>1.0752999999999999</v>
      </c>
      <c r="P17" s="100">
        <f>_xll.EQNXTDZ($A$1,$B17,P$1,$B$1)</f>
        <v>3.9891000000000001</v>
      </c>
      <c r="Q17" s="100">
        <f>_xll.EQNXTDZ($A$1,$B17,Q$1,$B$1)</f>
        <v>5.2836999999999996</v>
      </c>
      <c r="R17" s="100">
        <f>_xll.EQNXTDZ($A$1,$B17,R$1,$B$1)</f>
        <v>10.422800000000001</v>
      </c>
      <c r="S17" s="100">
        <f>_xll.EQNXTDZ($A$1,$B17,S$1,$B$1)</f>
        <v>11.974</v>
      </c>
      <c r="T17" s="100">
        <f>_xll.EQNXTDZ($A$1,$B17,T$1,$B$1)</f>
        <v>9.6842000000000006</v>
      </c>
      <c r="U17" s="100">
        <f>_xll.EQNXTDZ($A$1,$B17,U$1,$B$1)</f>
        <v>10.759499999999999</v>
      </c>
      <c r="V17" s="100">
        <f>_xll.EQNXTDZ($A$1,$B17,V$1,$B$1)</f>
        <v>11.327500000000001</v>
      </c>
      <c r="W17" s="100">
        <f>_xll.EQNXTDZ($A$1,$B17,W$1,$B$1)</f>
        <v>8.2562999999999995</v>
      </c>
      <c r="X17" s="100">
        <f>_xll.EQNXTDZ($A$1,$B17,X$1,$B$1)</f>
        <v>8.8507999999999996</v>
      </c>
      <c r="Y17" s="100">
        <f>_xll.EQNXTDZ($A$1,$B17,Y$1,$B$1)</f>
        <v>4.6866000000000003</v>
      </c>
      <c r="Z17" s="100">
        <f>_xll.EQNXTDZ($A$1,$B17,Z$1,$B$1)</f>
        <v>4.6946000000000003</v>
      </c>
      <c r="AA17" s="100">
        <f>_xll.EQNXTDZ($A$1,$B17,AA$1,$B$1)</f>
        <v>6.4637000000000002</v>
      </c>
      <c r="AB17" s="100">
        <f>_xll.EQNXTDZ($A$1,$B17,AB$1,$B$1)</f>
        <v>6.6300999999999997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0.51481849999999996</v>
      </c>
      <c r="G18" s="100">
        <f>_xll.EQNXTDZ($A$1,$B18,G$1,$B$1)</f>
        <v>0.41033999999999998</v>
      </c>
      <c r="H18" s="100">
        <f>_xll.EQNXTDZ($A$1,$B18,H$1,$B$1)</f>
        <v>0.78456879999999996</v>
      </c>
      <c r="I18" s="100">
        <f>_xll.EQNXTDZ($A$1,$B18,I$1,$B$1)</f>
        <v>1.0629999999999999</v>
      </c>
      <c r="J18" s="100">
        <f>_xll.EQNXTDZ($A$1,$B18,J$1,$B$1)</f>
        <v>1.2605999999999999</v>
      </c>
      <c r="K18" s="100">
        <f>_xll.EQNXTDZ($A$1,$B18,K$1,$B$1)</f>
        <v>1.9462999999999999</v>
      </c>
      <c r="L18" s="100">
        <f>_xll.EQNXTDZ($A$1,$B18,L$1,$B$1)</f>
        <v>2.3433000000000002</v>
      </c>
      <c r="M18" s="100">
        <f>_xll.EQNXTDZ($A$1,$B18,M$1,$B$1)</f>
        <v>1.2697000000000001</v>
      </c>
      <c r="N18" s="100">
        <f>_xll.EQNXTDZ($A$1,$B18,N$1,$B$1)</f>
        <v>3.1221000000000001</v>
      </c>
      <c r="O18" s="100">
        <f>_xll.EQNXTDZ($A$1,$B18,O$1,$B$1)</f>
        <v>3.3999000000000001</v>
      </c>
      <c r="P18" s="100">
        <f>_xll.EQNXTDZ($A$1,$B18,P$1,$B$1)</f>
        <v>3.1972999999999998</v>
      </c>
      <c r="Q18" s="100">
        <f>_xll.EQNXTDZ($A$1,$B18,Q$1,$B$1)</f>
        <v>3.3022</v>
      </c>
      <c r="R18" s="100">
        <f>_xll.EQNXTDZ($A$1,$B18,R$1,$B$1)</f>
        <v>3.7391999999999999</v>
      </c>
      <c r="S18" s="100">
        <f>_xll.EQNXTDZ($A$1,$B18,S$1,$B$1)</f>
        <v>4.6771000000000003</v>
      </c>
      <c r="T18" s="100">
        <f>_xll.EQNXTDZ($A$1,$B18,T$1,$B$1)</f>
        <v>5.1429999999999998</v>
      </c>
      <c r="U18" s="100">
        <f>_xll.EQNXTDZ($A$1,$B18,U$1,$B$1)</f>
        <v>4.4939</v>
      </c>
      <c r="V18" s="100">
        <f>_xll.EQNXTDZ($A$1,$B18,V$1,$B$1)</f>
        <v>4.1158999999999999</v>
      </c>
      <c r="W18" s="100">
        <f>_xll.EQNXTDZ($A$1,$B18,W$1,$B$1)</f>
        <v>5.0223000000000004</v>
      </c>
      <c r="X18" s="100">
        <f>_xll.EQNXTDZ($A$1,$B18,X$1,$B$1)</f>
        <v>4.6436000000000002</v>
      </c>
      <c r="Y18" s="100">
        <f>_xll.EQNXTDZ($A$1,$B18,Y$1,$B$1)</f>
        <v>6.5258000000000003</v>
      </c>
      <c r="Z18" s="100">
        <f>_xll.EQNXTDZ($A$1,$B18,Z$1,$B$1)</f>
        <v>5.6058000000000003</v>
      </c>
      <c r="AA18" s="100">
        <f>_xll.EQNXTDZ($A$1,$B18,AA$1,$B$1)</f>
        <v>7.3369999999999997</v>
      </c>
      <c r="AB18" s="100">
        <f>_xll.EQNXTDZ($A$1,$B18,AB$1,$B$1)</f>
        <v>7.2820999999999998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0.29468640000000001</v>
      </c>
      <c r="G19" s="100">
        <f>_xll.EQNXTDZ($A$1,$B19,G$1,$B$1)</f>
        <v>0.22261139999999999</v>
      </c>
      <c r="H19" s="100">
        <f>_xll.EQNXTDZ($A$1,$B19,H$1,$B$1)</f>
        <v>0.14358650000000001</v>
      </c>
      <c r="I19" s="100">
        <f>_xll.EQNXTDZ($A$1,$B19,I$1,$B$1)</f>
        <v>0.14699999999999999</v>
      </c>
      <c r="J19" s="100">
        <f>_xll.EQNXTDZ($A$1,$B19,J$1,$B$1)</f>
        <v>0</v>
      </c>
      <c r="K19" s="100">
        <f>_xll.EQNXTDZ($A$1,$B19,K$1,$B$1)</f>
        <v>0.21299999999999999</v>
      </c>
      <c r="L19" s="100">
        <f>_xll.EQNXTDZ($A$1,$B19,L$1,$B$1)</f>
        <v>0.20519999999999999</v>
      </c>
      <c r="M19" s="100">
        <f>_xll.EQNXTDZ($A$1,$B19,M$1,$B$1)</f>
        <v>3.0042</v>
      </c>
      <c r="N19" s="100">
        <f>_xll.EQNXTDZ($A$1,$B19,N$1,$B$1)</f>
        <v>1.5963000000000001</v>
      </c>
      <c r="O19" s="100">
        <f>_xll.EQNXTDZ($A$1,$B19,O$1,$B$1)</f>
        <v>1.9639</v>
      </c>
      <c r="P19" s="100">
        <f>_xll.EQNXTDZ($A$1,$B19,P$1,$B$1)</f>
        <v>3.5623</v>
      </c>
      <c r="Q19" s="100">
        <f>_xll.EQNXTDZ($A$1,$B19,Q$1,$B$1)</f>
        <v>4.141</v>
      </c>
      <c r="R19" s="100">
        <f>_xll.EQNXTDZ($A$1,$B19,R$1,$B$1)</f>
        <v>4.3255999999999997</v>
      </c>
      <c r="S19" s="100">
        <f>_xll.EQNXTDZ($A$1,$B19,S$1,$B$1)</f>
        <v>5.2762000000000002</v>
      </c>
      <c r="T19" s="100">
        <f>_xll.EQNXTDZ($A$1,$B19,T$1,$B$1)</f>
        <v>2.2625999999999999</v>
      </c>
      <c r="U19" s="100">
        <f>_xll.EQNXTDZ($A$1,$B19,U$1,$B$1)</f>
        <v>2.2416999999999998</v>
      </c>
      <c r="V19" s="100">
        <f>_xll.EQNXTDZ($A$1,$B19,V$1,$B$1)</f>
        <v>2.073</v>
      </c>
      <c r="W19" s="100">
        <f>_xll.EQNXTDZ($A$1,$B19,W$1,$B$1)</f>
        <v>3.2353999999999998</v>
      </c>
      <c r="X19" s="100">
        <f>_xll.EQNXTDZ($A$1,$B19,X$1,$B$1)</f>
        <v>1.5246</v>
      </c>
      <c r="Y19" s="100">
        <f>_xll.EQNXTDZ($A$1,$B19,Y$1,$B$1)</f>
        <v>1.7899</v>
      </c>
      <c r="Z19" s="100">
        <f>_xll.EQNXTDZ($A$1,$B19,Z$1,$B$1)</f>
        <v>1.8185</v>
      </c>
      <c r="AA19" s="100">
        <f>_xll.EQNXTDZ($A$1,$B19,AA$1,$B$1)</f>
        <v>3.4672000000000001</v>
      </c>
      <c r="AB19" s="100">
        <f>_xll.EQNXTDZ($A$1,$B19,AB$1,$B$1)</f>
        <v>1.6342000000000001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19.787896700000001</v>
      </c>
      <c r="G21" s="100">
        <f>_xll.EQNXTDZ($A$1,$B21,G$1,$B$1)</f>
        <v>16.345322400000001</v>
      </c>
      <c r="H21" s="100">
        <f>_xll.EQNXTDZ($A$1,$B21,H$1,$B$1)</f>
        <v>24.515194099999999</v>
      </c>
      <c r="I21" s="100">
        <f>_xll.EQNXTDZ($A$1,$B21,I$1,$B$1)</f>
        <v>32.602400000000003</v>
      </c>
      <c r="J21" s="100">
        <f>_xll.EQNXTDZ($A$1,$B21,J$1,$B$1)</f>
        <v>38.750999999999998</v>
      </c>
      <c r="K21" s="100">
        <f>_xll.EQNXTDZ($A$1,$B21,K$1,$B$1)</f>
        <v>56.511600000000001</v>
      </c>
      <c r="L21" s="100">
        <f>_xll.EQNXTDZ($A$1,$B21,L$1,$B$1)</f>
        <v>55.570300000000003</v>
      </c>
      <c r="M21" s="100">
        <f>_xll.EQNXTDZ($A$1,$B21,M$1,$B$1)</f>
        <v>71.118600000000001</v>
      </c>
      <c r="N21" s="100">
        <f>_xll.EQNXTDZ($A$1,$B21,N$1,$B$1)</f>
        <v>86.634299999999996</v>
      </c>
      <c r="O21" s="100">
        <f>_xll.EQNXTDZ($A$1,$B21,O$1,$B$1)</f>
        <v>96.891900000000007</v>
      </c>
      <c r="P21" s="100">
        <f>_xll.EQNXTDZ($A$1,$B21,P$1,$B$1)</f>
        <v>122.7679</v>
      </c>
      <c r="Q21" s="100">
        <f>_xll.EQNXTDZ($A$1,$B21,Q$1,$B$1)</f>
        <v>116.84820000000001</v>
      </c>
      <c r="R21" s="100">
        <f>_xll.EQNXTDZ($A$1,$B21,R$1,$B$1)</f>
        <v>140.42060000000001</v>
      </c>
      <c r="S21" s="100">
        <f>_xll.EQNXTDZ($A$1,$B21,S$1,$B$1)</f>
        <v>158.56639999999999</v>
      </c>
      <c r="T21" s="100">
        <f>_xll.EQNXTDZ($A$1,$B21,T$1,$B$1)</f>
        <v>167.85220000000001</v>
      </c>
      <c r="U21" s="100">
        <f>_xll.EQNXTDZ($A$1,$B21,U$1,$B$1)</f>
        <v>173.4451</v>
      </c>
      <c r="V21" s="100">
        <f>_xll.EQNXTDZ($A$1,$B21,V$1,$B$1)</f>
        <v>163.99850000000001</v>
      </c>
      <c r="W21" s="100">
        <f>_xll.EQNXTDZ($A$1,$B21,W$1,$B$1)</f>
        <v>169.11959999999999</v>
      </c>
      <c r="X21" s="100">
        <f>_xll.EQNXTDZ($A$1,$B21,X$1,$B$1)</f>
        <v>212.7647</v>
      </c>
      <c r="Y21" s="100">
        <f>_xll.EQNXTDZ($A$1,$B21,Y$1,$B$1)</f>
        <v>213.60210000000001</v>
      </c>
      <c r="Z21" s="100">
        <f>_xll.EQNXTDZ($A$1,$B21,Z$1,$B$1)</f>
        <v>242.94149999999999</v>
      </c>
      <c r="AA21" s="100">
        <f>_xll.EQNXTDZ($A$1,$B21,AA$1,$B$1)</f>
        <v>332.01949999999999</v>
      </c>
      <c r="AB21" s="100">
        <f>_xll.EQNXTDZ($A$1,$B21,AB$1,$B$1)</f>
        <v>388.67309999999998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1.1384192</v>
      </c>
      <c r="G22" s="100">
        <f>_xll.EQNXTDZ($A$1,$B22,G$1,$B$1)</f>
        <v>1.0990632</v>
      </c>
      <c r="H22" s="100">
        <f>_xll.EQNXTDZ($A$1,$B22,H$1,$B$1)</f>
        <v>2.8166159</v>
      </c>
      <c r="I22" s="100">
        <f>_xll.EQNXTDZ($A$1,$B22,I$1,$B$1)</f>
        <v>0.85109999999999997</v>
      </c>
      <c r="J22" s="100">
        <f>_xll.EQNXTDZ($A$1,$B22,J$1,$B$1)</f>
        <v>3.234</v>
      </c>
      <c r="K22" s="100">
        <f>_xll.EQNXTDZ($A$1,$B22,K$1,$B$1)</f>
        <v>6.5284000000000004</v>
      </c>
      <c r="L22" s="100">
        <f>_xll.EQNXTDZ($A$1,$B22,L$1,$B$1)</f>
        <v>8.9328000000000003</v>
      </c>
      <c r="M22" s="100">
        <f>_xll.EQNXTDZ($A$1,$B22,M$1,$B$1)</f>
        <v>8.0236999999999998</v>
      </c>
      <c r="N22" s="100">
        <f>_xll.EQNXTDZ($A$1,$B22,N$1,$B$1)</f>
        <v>7.6441999999999997</v>
      </c>
      <c r="O22" s="100">
        <f>_xll.EQNXTDZ($A$1,$B22,O$1,$B$1)</f>
        <v>8.4088999999999903</v>
      </c>
      <c r="P22" s="100">
        <f>_xll.EQNXTDZ($A$1,$B22,P$1,$B$1)</f>
        <v>10.884600000000001</v>
      </c>
      <c r="Q22" s="100">
        <f>_xll.EQNXTDZ($A$1,$B22,Q$1,$B$1)</f>
        <v>2.1573000000000002</v>
      </c>
      <c r="R22" s="100">
        <f>_xll.EQNXTDZ($A$1,$B22,R$1,$B$1)</f>
        <v>9.8073000000000103</v>
      </c>
      <c r="S22" s="100">
        <f>_xll.EQNXTDZ($A$1,$B22,S$1,$B$1)</f>
        <v>7.1556000000000104</v>
      </c>
      <c r="T22" s="100">
        <f>_xll.EQNXTDZ($A$1,$B22,T$1,$B$1)</f>
        <v>15.515700000000001</v>
      </c>
      <c r="U22" s="100">
        <f>_xll.EQNXTDZ($A$1,$B22,U$1,$B$1)</f>
        <v>16.2439</v>
      </c>
      <c r="V22" s="100">
        <f>_xll.EQNXTDZ($A$1,$B22,V$1,$B$1)</f>
        <v>17.078900000000001</v>
      </c>
      <c r="W22" s="100">
        <f>_xll.EQNXTDZ($A$1,$B22,W$1,$B$1)</f>
        <v>29.5335</v>
      </c>
      <c r="X22" s="100">
        <f>_xll.EQNXTDZ($A$1,$B22,X$1,$B$1)</f>
        <v>31.2395</v>
      </c>
      <c r="Y22" s="100">
        <f>_xll.EQNXTDZ($A$1,$B22,Y$1,$B$1)</f>
        <v>31.157900000000001</v>
      </c>
      <c r="Z22" s="100">
        <f>_xll.EQNXTDZ($A$1,$B22,Z$1,$B$1)</f>
        <v>40.433900000000001</v>
      </c>
      <c r="AA22" s="100">
        <f>_xll.EQNXTDZ($A$1,$B22,AA$1,$B$1)</f>
        <v>33.775300000000101</v>
      </c>
      <c r="AB22" s="100">
        <f>_xll.EQNXTDZ($A$1,$B22,AB$1,$B$1)</f>
        <v>52.239800000000002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0.17180960000000001</v>
      </c>
      <c r="G23" s="100">
        <f>_xll.EQNXTDZ($A$1,$B23,G$1,$B$1)</f>
        <v>7.7210399999999998E-2</v>
      </c>
      <c r="H23" s="100">
        <f>_xll.EQNXTDZ($A$1,$B23,H$1,$B$1)</f>
        <v>3.7306499999999999E-2</v>
      </c>
      <c r="I23" s="100">
        <f>_xll.EQNXTDZ($A$1,$B23,I$1,$B$1)</f>
        <v>0.23230000000000001</v>
      </c>
      <c r="J23" s="100">
        <f>_xll.EQNXTDZ($A$1,$B23,J$1,$B$1)</f>
        <v>0.71960000000000002</v>
      </c>
      <c r="K23" s="100">
        <f>_xll.EQNXTDZ($A$1,$B23,K$1,$B$1)</f>
        <v>0.70730000000000004</v>
      </c>
      <c r="L23" s="100">
        <f>_xll.EQNXTDZ($A$1,$B23,L$1,$B$1)</f>
        <v>0.25740000000000002</v>
      </c>
      <c r="M23" s="100">
        <f>_xll.EQNXTDZ($A$1,$B23,M$1,$B$1)</f>
        <v>0.6522</v>
      </c>
      <c r="N23" s="100">
        <f>_xll.EQNXTDZ($A$1,$B23,N$1,$B$1)</f>
        <v>0.93300000000000005</v>
      </c>
      <c r="O23" s="100">
        <f>_xll.EQNXTDZ($A$1,$B23,O$1,$B$1)</f>
        <v>0.20080000000000001</v>
      </c>
      <c r="P23" s="100">
        <f>_xll.EQNXTDZ($A$1,$B23,P$1,$B$1)</f>
        <v>0.37480000000000002</v>
      </c>
      <c r="Q23" s="100">
        <f>_xll.EQNXTDZ($A$1,$B23,Q$1,$B$1)</f>
        <v>0.68520000000000003</v>
      </c>
      <c r="R23" s="100">
        <f>_xll.EQNXTDZ($A$1,$B23,R$1,$B$1)</f>
        <v>3.0413999999999999</v>
      </c>
      <c r="S23" s="100">
        <f>_xll.EQNXTDZ($A$1,$B23,S$1,$B$1)</f>
        <v>0.21779999999999999</v>
      </c>
      <c r="T23" s="100">
        <f>_xll.EQNXTDZ($A$1,$B23,T$1,$B$1)</f>
        <v>1.6527000000000001</v>
      </c>
      <c r="U23" s="100">
        <f>_xll.EQNXTDZ($A$1,$B23,U$1,$B$1)</f>
        <v>2.2812000000000001</v>
      </c>
      <c r="V23" s="100">
        <f>_xll.EQNXTDZ($A$1,$B23,V$1,$B$1)</f>
        <v>1.2442</v>
      </c>
      <c r="W23" s="100">
        <f>_xll.EQNXTDZ($A$1,$B23,W$1,$B$1)</f>
        <v>0.25890000000000002</v>
      </c>
      <c r="X23" s="100">
        <f>_xll.EQNXTDZ($A$1,$B23,X$1,$B$1)</f>
        <v>0.70520000000000005</v>
      </c>
      <c r="Y23" s="100">
        <f>_xll.EQNXTDZ($A$1,$B23,Y$1,$B$1)</f>
        <v>1.8162</v>
      </c>
      <c r="Z23" s="100">
        <f>_xll.EQNXTDZ($A$1,$B23,Z$1,$B$1)</f>
        <v>1.4803999999999999</v>
      </c>
      <c r="AA23" s="100">
        <f>_xll.EQNXTDZ($A$1,$B23,AA$1,$B$1)</f>
        <v>3.145</v>
      </c>
      <c r="AB23" s="100">
        <f>_xll.EQNXTDZ($A$1,$B23,AB$1,$B$1)</f>
        <v>3.0693999999999999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1.3102288</v>
      </c>
      <c r="G24" s="100">
        <f>_xll.EQNXTDZ($A$1,$B24,G$1,$B$1)</f>
        <v>1.1762736</v>
      </c>
      <c r="H24" s="100">
        <f>_xll.EQNXTDZ($A$1,$B24,H$1,$B$1)</f>
        <v>2.8539224000000001</v>
      </c>
      <c r="I24" s="100">
        <f>_xll.EQNXTDZ($A$1,$B24,I$1,$B$1)</f>
        <v>1.0833999999999999</v>
      </c>
      <c r="J24" s="100">
        <f>_xll.EQNXTDZ($A$1,$B24,J$1,$B$1)</f>
        <v>3.9535999999999998</v>
      </c>
      <c r="K24" s="100">
        <f>_xll.EQNXTDZ($A$1,$B24,K$1,$B$1)</f>
        <v>7.2356999999999996</v>
      </c>
      <c r="L24" s="100">
        <f>_xll.EQNXTDZ($A$1,$B24,L$1,$B$1)</f>
        <v>9.1902000000000008</v>
      </c>
      <c r="M24" s="100">
        <f>_xll.EQNXTDZ($A$1,$B24,M$1,$B$1)</f>
        <v>8.6759000000000004</v>
      </c>
      <c r="N24" s="100">
        <f>_xll.EQNXTDZ($A$1,$B24,N$1,$B$1)</f>
        <v>8.5771999999999995</v>
      </c>
      <c r="O24" s="100">
        <f>_xll.EQNXTDZ($A$1,$B24,O$1,$B$1)</f>
        <v>8.6097000000000001</v>
      </c>
      <c r="P24" s="100">
        <f>_xll.EQNXTDZ($A$1,$B24,P$1,$B$1)</f>
        <v>11.259399999999999</v>
      </c>
      <c r="Q24" s="100">
        <f>_xll.EQNXTDZ($A$1,$B24,Q$1,$B$1)</f>
        <v>2.8424999999999998</v>
      </c>
      <c r="R24" s="100">
        <f>_xll.EQNXTDZ($A$1,$B24,R$1,$B$1)</f>
        <v>12.848699999999999</v>
      </c>
      <c r="S24" s="100">
        <f>_xll.EQNXTDZ($A$1,$B24,S$1,$B$1)</f>
        <v>7.3734000000000002</v>
      </c>
      <c r="T24" s="100">
        <f>_xll.EQNXTDZ($A$1,$B24,T$1,$B$1)</f>
        <v>17.168399999999998</v>
      </c>
      <c r="U24" s="100">
        <f>_xll.EQNXTDZ($A$1,$B24,U$1,$B$1)</f>
        <v>18.525099999999998</v>
      </c>
      <c r="V24" s="100">
        <f>_xll.EQNXTDZ($A$1,$B24,V$1,$B$1)</f>
        <v>18.3231</v>
      </c>
      <c r="W24" s="100">
        <f>_xll.EQNXTDZ($A$1,$B24,W$1,$B$1)</f>
        <v>29.792400000000001</v>
      </c>
      <c r="X24" s="100">
        <f>_xll.EQNXTDZ($A$1,$B24,X$1,$B$1)</f>
        <v>31.944700000000001</v>
      </c>
      <c r="Y24" s="100">
        <f>_xll.EQNXTDZ($A$1,$B24,Y$1,$B$1)</f>
        <v>32.9741</v>
      </c>
      <c r="Z24" s="100">
        <f>_xll.EQNXTDZ($A$1,$B24,Z$1,$B$1)</f>
        <v>41.914299999999997</v>
      </c>
      <c r="AA24" s="100">
        <f>_xll.EQNXTDZ($A$1,$B24,AA$1,$B$1)</f>
        <v>36.920299999999997</v>
      </c>
      <c r="AB24" s="100">
        <f>_xll.EQNXTDZ($A$1,$B24,AB$1,$B$1)</f>
        <v>55.309199999999997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1.3594942000000001</v>
      </c>
      <c r="G25" s="100">
        <f>_xll.EQNXTDZ($A$1,$B25,G$1,$B$1)</f>
        <v>1.1720093</v>
      </c>
      <c r="H25" s="100">
        <f>_xll.EQNXTDZ($A$1,$B25,H$1,$B$1)</f>
        <v>1.1572172999999999</v>
      </c>
      <c r="I25" s="100">
        <f>_xll.EQNXTDZ($A$1,$B25,I$1,$B$1)</f>
        <v>2.6326999999999998</v>
      </c>
      <c r="J25" s="100">
        <f>_xll.EQNXTDZ($A$1,$B25,J$1,$B$1)</f>
        <v>2.7761</v>
      </c>
      <c r="K25" s="100">
        <f>_xll.EQNXTDZ($A$1,$B25,K$1,$B$1)</f>
        <v>3.1614</v>
      </c>
      <c r="L25" s="100">
        <f>_xll.EQNXTDZ($A$1,$B25,L$1,$B$1)</f>
        <v>3.5510000000000002</v>
      </c>
      <c r="M25" s="100">
        <f>_xll.EQNXTDZ($A$1,$B25,M$1,$B$1)</f>
        <v>4.0914999999999999</v>
      </c>
      <c r="N25" s="100">
        <f>_xll.EQNXTDZ($A$1,$B25,N$1,$B$1)</f>
        <v>5.5046999999999997</v>
      </c>
      <c r="O25" s="100">
        <f>_xll.EQNXTDZ($A$1,$B25,O$1,$B$1)</f>
        <v>5.0975999999999999</v>
      </c>
      <c r="P25" s="100">
        <f>_xll.EQNXTDZ($A$1,$B25,P$1,$B$1)</f>
        <v>3.57</v>
      </c>
      <c r="Q25" s="100">
        <f>_xll.EQNXTDZ($A$1,$B25,Q$1,$B$1)</f>
        <v>3.4916999999999998</v>
      </c>
      <c r="R25" s="100">
        <f>_xll.EQNXTDZ($A$1,$B25,R$1,$B$1)</f>
        <v>10.7966</v>
      </c>
      <c r="S25" s="100">
        <f>_xll.EQNXTDZ($A$1,$B25,S$1,$B$1)</f>
        <v>9.3239999999999998</v>
      </c>
      <c r="T25" s="100">
        <f>_xll.EQNXTDZ($A$1,$B25,T$1,$B$1)</f>
        <v>9.6900999999999993</v>
      </c>
      <c r="U25" s="100">
        <f>_xll.EQNXTDZ($A$1,$B25,U$1,$B$1)</f>
        <v>10.7049</v>
      </c>
      <c r="V25" s="100">
        <f>_xll.EQNXTDZ($A$1,$B25,V$1,$B$1)</f>
        <v>10.003500000000001</v>
      </c>
      <c r="W25" s="100">
        <f>_xll.EQNXTDZ($A$1,$B25,W$1,$B$1)</f>
        <v>7.3693</v>
      </c>
      <c r="X25" s="100">
        <f>_xll.EQNXTDZ($A$1,$B25,X$1,$B$1)</f>
        <v>4.7830000000000004</v>
      </c>
      <c r="Y25" s="100">
        <f>_xll.EQNXTDZ($A$1,$B25,Y$1,$B$1)</f>
        <v>7.4427000000000003</v>
      </c>
      <c r="Z25" s="100">
        <f>_xll.EQNXTDZ($A$1,$B25,Z$1,$B$1)</f>
        <v>7.7907999999999999</v>
      </c>
      <c r="AA25" s="100">
        <f>_xll.EQNXTDZ($A$1,$B25,AA$1,$B$1)</f>
        <v>9.1047999999999991</v>
      </c>
      <c r="AB25" s="100">
        <f>_xll.EQNXTDZ($A$1,$B25,AB$1,$B$1)</f>
        <v>5.0346000000000002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-4.9265400000000001E-2</v>
      </c>
      <c r="G26" s="100">
        <f>_xll.EQNXTDZ($A$1,$B26,G$1,$B$1)</f>
        <v>4.2643000000000004E-3</v>
      </c>
      <c r="H26" s="100">
        <f>_xll.EQNXTDZ($A$1,$B26,H$1,$B$1)</f>
        <v>1.6967051</v>
      </c>
      <c r="I26" s="100">
        <f>_xll.EQNXTDZ($A$1,$B26,I$1,$B$1)</f>
        <v>-1.5492999999999999</v>
      </c>
      <c r="J26" s="100">
        <f>_xll.EQNXTDZ($A$1,$B26,J$1,$B$1)</f>
        <v>1.1775</v>
      </c>
      <c r="K26" s="100">
        <f>_xll.EQNXTDZ($A$1,$B26,K$1,$B$1)</f>
        <v>4.0743</v>
      </c>
      <c r="L26" s="100">
        <f>_xll.EQNXTDZ($A$1,$B26,L$1,$B$1)</f>
        <v>5.6391999999999998</v>
      </c>
      <c r="M26" s="100">
        <f>_xll.EQNXTDZ($A$1,$B26,M$1,$B$1)</f>
        <v>4.5843999999999996</v>
      </c>
      <c r="N26" s="100">
        <f>_xll.EQNXTDZ($A$1,$B26,N$1,$B$1)</f>
        <v>3.0724999999999998</v>
      </c>
      <c r="O26" s="100">
        <f>_xll.EQNXTDZ($A$1,$B26,O$1,$B$1)</f>
        <v>3.5121000000000002</v>
      </c>
      <c r="P26" s="100">
        <f>_xll.EQNXTDZ($A$1,$B26,P$1,$B$1)</f>
        <v>7.6894</v>
      </c>
      <c r="Q26" s="100">
        <f>_xll.EQNXTDZ($A$1,$B26,Q$1,$B$1)</f>
        <v>-0.6492</v>
      </c>
      <c r="R26" s="100">
        <f>_xll.EQNXTDZ($A$1,$B26,R$1,$B$1)</f>
        <v>2.0520999999999998</v>
      </c>
      <c r="S26" s="100">
        <f>_xll.EQNXTDZ($A$1,$B26,S$1,$B$1)</f>
        <v>-1.9505999999999999</v>
      </c>
      <c r="T26" s="100">
        <f>_xll.EQNXTDZ($A$1,$B26,T$1,$B$1)</f>
        <v>7.4782999999999999</v>
      </c>
      <c r="U26" s="100">
        <f>_xll.EQNXTDZ($A$1,$B26,U$1,$B$1)</f>
        <v>7.8201999999999998</v>
      </c>
      <c r="V26" s="100">
        <f>_xll.EQNXTDZ($A$1,$B26,V$1,$B$1)</f>
        <v>8.3195999999999994</v>
      </c>
      <c r="W26" s="100">
        <f>_xll.EQNXTDZ($A$1,$B26,W$1,$B$1)</f>
        <v>22.423100000000002</v>
      </c>
      <c r="X26" s="100">
        <f>_xll.EQNXTDZ($A$1,$B26,X$1,$B$1)</f>
        <v>27.1617</v>
      </c>
      <c r="Y26" s="100">
        <f>_xll.EQNXTDZ($A$1,$B26,Y$1,$B$1)</f>
        <v>25.531400000000001</v>
      </c>
      <c r="Z26" s="100">
        <f>_xll.EQNXTDZ($A$1,$B26,Z$1,$B$1)</f>
        <v>34.1235</v>
      </c>
      <c r="AA26" s="100">
        <f>_xll.EQNXTDZ($A$1,$B26,AA$1,$B$1)</f>
        <v>27.8155</v>
      </c>
      <c r="AB26" s="100">
        <f>_xll.EQNXTDZ($A$1,$B26,AB$1,$B$1)</f>
        <v>50.2746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1.0659175999999999</v>
      </c>
      <c r="G27" s="100">
        <f>_xll.EQNXTDZ($A$1,$B27,G$1,$B$1)</f>
        <v>0.85072110000000001</v>
      </c>
      <c r="H27" s="100">
        <f>_xll.EQNXTDZ($A$1,$B27,H$1,$B$1)</f>
        <v>0.924404</v>
      </c>
      <c r="I27" s="100">
        <f>_xll.EQNXTDZ($A$1,$B27,I$1,$B$1)</f>
        <v>1.1910000000000001</v>
      </c>
      <c r="J27" s="100">
        <f>_xll.EQNXTDZ($A$1,$B27,J$1,$B$1)</f>
        <v>1.3940999999999999</v>
      </c>
      <c r="K27" s="100">
        <f>_xll.EQNXTDZ($A$1,$B27,K$1,$B$1)</f>
        <v>1.5287999999999999</v>
      </c>
      <c r="L27" s="100">
        <f>_xll.EQNXTDZ($A$1,$B27,L$1,$B$1)</f>
        <v>1.8113999999999999</v>
      </c>
      <c r="M27" s="100">
        <f>_xll.EQNXTDZ($A$1,$B27,M$1,$B$1)</f>
        <v>1.9352</v>
      </c>
      <c r="N27" s="100">
        <f>_xll.EQNXTDZ($A$1,$B27,N$1,$B$1)</f>
        <v>2.2389000000000001</v>
      </c>
      <c r="O27" s="100">
        <f>_xll.EQNXTDZ($A$1,$B27,O$1,$B$1)</f>
        <v>2.4817</v>
      </c>
      <c r="P27" s="100">
        <f>_xll.EQNXTDZ($A$1,$B27,P$1,$B$1)</f>
        <v>2.3012999999999999</v>
      </c>
      <c r="Q27" s="100">
        <f>_xll.EQNXTDZ($A$1,$B27,Q$1,$B$1)</f>
        <v>3.2656000000000001</v>
      </c>
      <c r="R27" s="100">
        <f>_xll.EQNXTDZ($A$1,$B27,R$1,$B$1)</f>
        <v>5.4836</v>
      </c>
      <c r="S27" s="100">
        <f>_xll.EQNXTDZ($A$1,$B27,S$1,$B$1)</f>
        <v>5.9843999999999999</v>
      </c>
      <c r="T27" s="100">
        <f>_xll.EQNXTDZ($A$1,$B27,T$1,$B$1)</f>
        <v>5.9649000000000001</v>
      </c>
      <c r="U27" s="100">
        <f>_xll.EQNXTDZ($A$1,$B27,U$1,$B$1)</f>
        <v>5.8619000000000003</v>
      </c>
      <c r="V27" s="100">
        <f>_xll.EQNXTDZ($A$1,$B27,V$1,$B$1)</f>
        <v>6.0895999999999999</v>
      </c>
      <c r="W27" s="100">
        <f>_xll.EQNXTDZ($A$1,$B27,W$1,$B$1)</f>
        <v>5.7994000000000003</v>
      </c>
      <c r="X27" s="100">
        <f>_xll.EQNXTDZ($A$1,$B27,X$1,$B$1)</f>
        <v>5.8056999999999999</v>
      </c>
      <c r="Y27" s="100">
        <f>_xll.EQNXTDZ($A$1,$B27,Y$1,$B$1)</f>
        <v>6.4493999999999998</v>
      </c>
      <c r="Z27" s="100">
        <f>_xll.EQNXTDZ($A$1,$B27,Z$1,$B$1)</f>
        <v>7.3800999999999997</v>
      </c>
      <c r="AA27" s="100">
        <f>_xll.EQNXTDZ($A$1,$B27,AA$1,$B$1)</f>
        <v>9.7673000000000005</v>
      </c>
      <c r="AB27" s="100">
        <f>_xll.EQNXTDZ($A$1,$B27,AB$1,$B$1)</f>
        <v>10.713200000000001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-1.7357</v>
      </c>
      <c r="V29" s="100">
        <f>_xll.EQNXTDZ($A$1,$B29,V$1,$B$1)</f>
        <v>-1.0363</v>
      </c>
      <c r="W29" s="100">
        <f>_xll.EQNXTDZ($A$1,$B29,W$1,$B$1)</f>
        <v>0</v>
      </c>
      <c r="X29" s="100">
        <f>_xll.EQNXTDZ($A$1,$B29,X$1,$B$1)</f>
        <v>17.82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-1.3438083000000001</v>
      </c>
      <c r="G30" s="100">
        <f>_xll.EQNXTDZ($A$1,$B30,G$1,$B$1)</f>
        <v>0.28029359999999998</v>
      </c>
      <c r="H30" s="100">
        <f>_xll.EQNXTDZ($A$1,$B30,H$1,$B$1)</f>
        <v>0.40749790000000002</v>
      </c>
      <c r="I30" s="100">
        <f>_xll.EQNXTDZ($A$1,$B30,I$1,$B$1)</f>
        <v>-0.4148</v>
      </c>
      <c r="J30" s="100">
        <f>_xll.EQNXTDZ($A$1,$B30,J$1,$B$1)</f>
        <v>6.7900000000000002E-2</v>
      </c>
      <c r="K30" s="100">
        <f>_xll.EQNXTDZ($A$1,$B30,K$1,$B$1)</f>
        <v>-1.1133</v>
      </c>
      <c r="L30" s="100">
        <f>_xll.EQNXTDZ($A$1,$B30,L$1,$B$1)</f>
        <v>0.88619999999999999</v>
      </c>
      <c r="M30" s="100">
        <f>_xll.EQNXTDZ($A$1,$B30,M$1,$B$1)</f>
        <v>1.0524</v>
      </c>
      <c r="N30" s="100">
        <f>_xll.EQNXTDZ($A$1,$B30,N$1,$B$1)</f>
        <v>-0.1348</v>
      </c>
      <c r="O30" s="100">
        <f>_xll.EQNXTDZ($A$1,$B30,O$1,$B$1)</f>
        <v>0.18809999999999999</v>
      </c>
      <c r="P30" s="100">
        <f>_xll.EQNXTDZ($A$1,$B30,P$1,$B$1)</f>
        <v>5.7927</v>
      </c>
      <c r="Q30" s="100">
        <f>_xll.EQNXTDZ($A$1,$B30,Q$1,$B$1)</f>
        <v>-0.73140000000000005</v>
      </c>
      <c r="R30" s="100">
        <f>_xll.EQNXTDZ($A$1,$B30,R$1,$B$1)</f>
        <v>-2.5859999999999999</v>
      </c>
      <c r="S30" s="100">
        <f>_xll.EQNXTDZ($A$1,$B30,S$1,$B$1)</f>
        <v>-1.264</v>
      </c>
      <c r="T30" s="100">
        <f>_xll.EQNXTDZ($A$1,$B30,T$1,$B$1)</f>
        <v>0.30859999999999999</v>
      </c>
      <c r="U30" s="100">
        <f>_xll.EQNXTDZ($A$1,$B30,U$1,$B$1)</f>
        <v>0</v>
      </c>
      <c r="V30" s="100">
        <f>_xll.EQNXTDZ($A$1,$B30,V$1,$B$1)</f>
        <v>0.55010000000000003</v>
      </c>
      <c r="W30" s="100">
        <f>_xll.EQNXTDZ($A$1,$B30,W$1,$B$1)</f>
        <v>2.4399000000000002</v>
      </c>
      <c r="X30" s="100">
        <f>_xll.EQNXTDZ($A$1,$B30,X$1,$B$1)</f>
        <v>11.700799999999999</v>
      </c>
      <c r="Y30" s="100">
        <f>_xll.EQNXTDZ($A$1,$B30,Y$1,$B$1)</f>
        <v>5.4208999999999996</v>
      </c>
      <c r="Z30" s="100">
        <f>_xll.EQNXTDZ($A$1,$B30,Z$1,$B$1)</f>
        <v>7.8967000000000001</v>
      </c>
      <c r="AA30" s="100">
        <f>_xll.EQNXTDZ($A$1,$B30,AA$1,$B$1)</f>
        <v>3.4641000000000002</v>
      </c>
      <c r="AB30" s="100">
        <f>_xll.EQNXTDZ($A$1,$B30,AB$1,$B$1)</f>
        <v>9.9567999999999994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0.2286253</v>
      </c>
      <c r="G35" s="100">
        <f>_xll.EQNXTDZ($A$1,$B35,G$1,$B$1)</f>
        <v>-1.1267503999999999</v>
      </c>
      <c r="H35" s="100">
        <f>_xll.EQNXTDZ($A$1,$B35,H$1,$B$1)</f>
        <v>0.36480319999999999</v>
      </c>
      <c r="I35" s="100">
        <f>_xll.EQNXTDZ($A$1,$B35,I$1,$B$1)</f>
        <v>-2.3254999999999999</v>
      </c>
      <c r="J35" s="100">
        <f>_xll.EQNXTDZ($A$1,$B35,J$1,$B$1)</f>
        <v>-0.28449999999999998</v>
      </c>
      <c r="K35" s="100">
        <f>_xll.EQNXTDZ($A$1,$B35,K$1,$B$1)</f>
        <v>3.6587999999999998</v>
      </c>
      <c r="L35" s="100">
        <f>_xll.EQNXTDZ($A$1,$B35,L$1,$B$1)</f>
        <v>2.9416000000000002</v>
      </c>
      <c r="M35" s="100">
        <f>_xll.EQNXTDZ($A$1,$B35,M$1,$B$1)</f>
        <v>1.5968</v>
      </c>
      <c r="N35" s="100">
        <f>_xll.EQNXTDZ($A$1,$B35,N$1,$B$1)</f>
        <v>0.96840000000000004</v>
      </c>
      <c r="O35" s="100">
        <f>_xll.EQNXTDZ($A$1,$B35,O$1,$B$1)</f>
        <v>0.84230000000000005</v>
      </c>
      <c r="P35" s="100">
        <f>_xll.EQNXTDZ($A$1,$B35,P$1,$B$1)</f>
        <v>-0.40460000000000002</v>
      </c>
      <c r="Q35" s="100">
        <f>_xll.EQNXTDZ($A$1,$B35,Q$1,$B$1)</f>
        <v>-3.1833999999999998</v>
      </c>
      <c r="R35" s="100">
        <f>_xll.EQNXTDZ($A$1,$B35,R$1,$B$1)</f>
        <v>-0.84550000000000003</v>
      </c>
      <c r="S35" s="100">
        <f>_xll.EQNXTDZ($A$1,$B35,S$1,$B$1)</f>
        <v>-6.6710000000000003</v>
      </c>
      <c r="T35" s="100">
        <f>_xll.EQNXTDZ($A$1,$B35,T$1,$B$1)</f>
        <v>1.2048000000000001</v>
      </c>
      <c r="U35" s="100">
        <f>_xll.EQNXTDZ($A$1,$B35,U$1,$B$1)</f>
        <v>0.22259999999999999</v>
      </c>
      <c r="V35" s="100">
        <f>_xll.EQNXTDZ($A$1,$B35,V$1,$B$1)</f>
        <v>0.64359999999999995</v>
      </c>
      <c r="W35" s="100">
        <f>_xll.EQNXTDZ($A$1,$B35,W$1,$B$1)</f>
        <v>14.1838</v>
      </c>
      <c r="X35" s="100">
        <f>_xll.EQNXTDZ($A$1,$B35,X$1,$B$1)</f>
        <v>27.475200000000001</v>
      </c>
      <c r="Y35" s="100">
        <f>_xll.EQNXTDZ($A$1,$B35,Y$1,$B$1)</f>
        <v>13.661099999999999</v>
      </c>
      <c r="Z35" s="100">
        <f>_xll.EQNXTDZ($A$1,$B35,Z$1,$B$1)</f>
        <v>18.846699999999998</v>
      </c>
      <c r="AA35" s="100">
        <f>_xll.EQNXTDZ($A$1,$B35,AA$1,$B$1)</f>
        <v>14.584099999999999</v>
      </c>
      <c r="AB35" s="100">
        <f>_xll.EQNXTDZ($A$1,$B35,AB$1,$B$1)</f>
        <v>29.604600000000001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3.6765300000000001</v>
      </c>
      <c r="G41" s="55">
        <f>_xll.EQNXTDZ($A$1,$B41,G$1,$B$1)</f>
        <v>4.6765299999999996</v>
      </c>
      <c r="H41" s="55">
        <f>_xll.EQNXTDZ($A$1,$B41,H$1,$B$1)</f>
        <v>8.6765299999999996</v>
      </c>
      <c r="I41" s="55">
        <f>_xll.EQNXTDZ($A$1,$B41,I$1,$B$1)</f>
        <v>7.3531000000000004</v>
      </c>
      <c r="J41" s="55">
        <f>_xll.EQNXTDZ($A$1,$B41,J$1,$B$1)</f>
        <v>7.3531000000000004</v>
      </c>
      <c r="K41" s="55">
        <f>_xll.EQNXTDZ($A$1,$B41,K$1,$B$1)</f>
        <v>7.3531000000000004</v>
      </c>
      <c r="L41" s="55">
        <f>_xll.EQNXTDZ($A$1,$B41,L$1,$B$1)</f>
        <v>7.3531000000000004</v>
      </c>
      <c r="M41" s="55">
        <f>_xll.EQNXTDZ($A$1,$B41,M$1,$B$1)</f>
        <v>7.3531000000000004</v>
      </c>
      <c r="N41" s="55">
        <f>_xll.EQNXTDZ($A$1,$B41,N$1,$B$1)</f>
        <v>7.3531000000000004</v>
      </c>
      <c r="O41" s="55">
        <f>_xll.EQNXTDZ($A$1,$B41,O$1,$B$1)</f>
        <v>7.3531000000000004</v>
      </c>
      <c r="P41" s="55">
        <f>_xll.EQNXTDZ($A$1,$B41,P$1,$B$1)</f>
        <v>7.3531000000000004</v>
      </c>
      <c r="Q41" s="55">
        <f>_xll.EQNXTDZ($A$1,$B41,Q$1,$B$1)</f>
        <v>7.3531000000000004</v>
      </c>
      <c r="R41" s="55">
        <f>_xll.EQNXTDZ($A$1,$B41,R$1,$B$1)</f>
        <v>7.3531000000000004</v>
      </c>
      <c r="S41" s="55">
        <f>_xll.EQNXTDZ($A$1,$B41,S$1,$B$1)</f>
        <v>7.3531000000000004</v>
      </c>
      <c r="T41" s="55">
        <f>_xll.EQNXTDZ($A$1,$B41,T$1,$B$1)</f>
        <v>7.3531000000000004</v>
      </c>
      <c r="U41" s="55">
        <f>_xll.EQNXTDZ($A$1,$B41,U$1,$B$1)</f>
        <v>7.3531000000000004</v>
      </c>
      <c r="V41" s="55">
        <f>_xll.EQNXTDZ($A$1,$B41,V$1,$B$1)</f>
        <v>7.3531000000000004</v>
      </c>
      <c r="W41" s="55">
        <f>_xll.EQNXTDZ($A$1,$B41,W$1,$B$1)</f>
        <v>7.3531000000000004</v>
      </c>
      <c r="X41" s="55">
        <f>_xll.EQNXTDZ($A$1,$B41,X$1,$B$1)</f>
        <v>7.3531000000000004</v>
      </c>
      <c r="Y41" s="55">
        <f>_xll.EQNXTDZ($A$1,$B41,Y$1,$B$1)</f>
        <v>7.3531000000000004</v>
      </c>
      <c r="Z41" s="55">
        <f>_xll.EQNXTDZ($A$1,$B41,Z$1,$B$1)</f>
        <v>7.3531000000000004</v>
      </c>
      <c r="AA41" s="55">
        <f>_xll.EQNXTDZ($A$1,$B41,AA$1,$B$1)</f>
        <v>7.3531000000000004</v>
      </c>
      <c r="AB41" s="55">
        <f>_xll.EQNXTDZ($A$1,$B41,AB$1,$B$1)</f>
        <v>8.7948000000000004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-1.8102260999999999</v>
      </c>
      <c r="G43" s="55">
        <f>_xll.EQNXTDZ($A$1,$B43,G$1,$B$1)</f>
        <v>-3.5493450000000002</v>
      </c>
      <c r="H43" s="55">
        <f>_xll.EQNXTDZ($A$1,$B43,H$1,$B$1)</f>
        <v>-3.7107594000000002</v>
      </c>
      <c r="I43" s="55">
        <f>_xll.EQNXTDZ($A$1,$B43,I$1,$B$1)</f>
        <v>0.3599</v>
      </c>
      <c r="J43" s="55">
        <f>_xll.EQNXTDZ($A$1,$B43,J$1,$B$1)</f>
        <v>4.0983000000000001</v>
      </c>
      <c r="K43" s="55">
        <f>_xll.EQNXTDZ($A$1,$B43,K$1,$B$1)</f>
        <v>7.7571000000000003</v>
      </c>
      <c r="L43" s="55">
        <f>_xll.EQNXTDZ($A$1,$B43,L$1,$B$1)</f>
        <v>10.698700000000001</v>
      </c>
      <c r="M43" s="55">
        <f>_xll.EQNXTDZ($A$1,$B43,M$1,$B$1)</f>
        <v>12.1996</v>
      </c>
      <c r="N43" s="55">
        <f>_xll.EQNXTDZ($A$1,$B43,N$1,$B$1)</f>
        <v>13.263299999999999</v>
      </c>
      <c r="O43" s="55">
        <f>_xll.EQNXTDZ($A$1,$B43,O$1,$B$1)</f>
        <v>14.105600000000001</v>
      </c>
      <c r="P43" s="55">
        <f>_xll.EQNXTDZ($A$1,$B43,P$1,$B$1)</f>
        <v>13.701000000000001</v>
      </c>
      <c r="Q43" s="55">
        <f>_xll.EQNXTDZ($A$1,$B43,Q$1,$B$1)</f>
        <v>10.293200000000001</v>
      </c>
      <c r="R43" s="55">
        <f>_xll.EQNXTDZ($A$1,$B43,R$1,$B$1)</f>
        <v>9.4476999999999993</v>
      </c>
      <c r="S43" s="55">
        <f>_xll.EQNXTDZ($A$1,$B43,S$1,$B$1)</f>
        <v>2.4851999999999999</v>
      </c>
      <c r="T43" s="55">
        <f>_xll.EQNXTDZ($A$1,$B43,T$1,$B$1)</f>
        <v>3.7366999999999999</v>
      </c>
      <c r="U43" s="55">
        <f>_xll.EQNXTDZ($A$1,$B43,U$1,$B$1)</f>
        <v>3.9171999999999998</v>
      </c>
      <c r="V43" s="55">
        <f>_xll.EQNXTDZ($A$1,$B43,V$1,$B$1)</f>
        <v>4.4684999999999997</v>
      </c>
      <c r="W43" s="55">
        <f>_xll.EQNXTDZ($A$1,$B43,W$1,$B$1)</f>
        <v>18.789400000000001</v>
      </c>
      <c r="X43" s="55">
        <f>_xll.EQNXTDZ($A$1,$B43,X$1,$B$1)</f>
        <v>46.319099999999999</v>
      </c>
      <c r="Y43" s="55">
        <f>_xll.EQNXTDZ($A$1,$B43,Y$1,$B$1)</f>
        <v>58.645699999999998</v>
      </c>
      <c r="Z43" s="55">
        <f>_xll.EQNXTDZ($A$1,$B43,Z$1,$B$1)</f>
        <v>74.837100000000007</v>
      </c>
      <c r="AA43" s="55">
        <f>_xll.EQNXTDZ($A$1,$B43,AA$1,$B$1)</f>
        <v>88.335499999999996</v>
      </c>
      <c r="AB43" s="55">
        <f>_xll.EQNXTDZ($A$1,$B43,AB$1,$B$1)</f>
        <v>243.3931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1.8663038999999999</v>
      </c>
      <c r="G44" s="55">
        <f>_xll.EQNXTDZ($A$1,$B44,G$1,$B$1)</f>
        <v>1.1271850000000001</v>
      </c>
      <c r="H44" s="55">
        <f>_xll.EQNXTDZ($A$1,$B44,H$1,$B$1)</f>
        <v>4.9657705999999999</v>
      </c>
      <c r="I44" s="55">
        <f>_xll.EQNXTDZ($A$1,$B44,I$1,$B$1)</f>
        <v>7.7130000000000001</v>
      </c>
      <c r="J44" s="55">
        <f>_xll.EQNXTDZ($A$1,$B44,J$1,$B$1)</f>
        <v>11.4514</v>
      </c>
      <c r="K44" s="55">
        <f>_xll.EQNXTDZ($A$1,$B44,K$1,$B$1)</f>
        <v>15.110200000000001</v>
      </c>
      <c r="L44" s="55">
        <f>_xll.EQNXTDZ($A$1,$B44,L$1,$B$1)</f>
        <v>18.0518</v>
      </c>
      <c r="M44" s="55">
        <f>_xll.EQNXTDZ($A$1,$B44,M$1,$B$1)</f>
        <v>19.552700000000002</v>
      </c>
      <c r="N44" s="55">
        <f>_xll.EQNXTDZ($A$1,$B44,N$1,$B$1)</f>
        <v>20.616399999999999</v>
      </c>
      <c r="O44" s="55">
        <f>_xll.EQNXTDZ($A$1,$B44,O$1,$B$1)</f>
        <v>21.4587</v>
      </c>
      <c r="P44" s="55">
        <f>_xll.EQNXTDZ($A$1,$B44,P$1,$B$1)</f>
        <v>21.054099999999998</v>
      </c>
      <c r="Q44" s="55">
        <f>_xll.EQNXTDZ($A$1,$B44,Q$1,$B$1)</f>
        <v>17.6463</v>
      </c>
      <c r="R44" s="55">
        <f>_xll.EQNXTDZ($A$1,$B44,R$1,$B$1)</f>
        <v>16.800799999999999</v>
      </c>
      <c r="S44" s="55">
        <f>_xll.EQNXTDZ($A$1,$B44,S$1,$B$1)</f>
        <v>9.8383000000000003</v>
      </c>
      <c r="T44" s="55">
        <f>_xll.EQNXTDZ($A$1,$B44,T$1,$B$1)</f>
        <v>11.0898</v>
      </c>
      <c r="U44" s="55">
        <f>_xll.EQNXTDZ($A$1,$B44,U$1,$B$1)</f>
        <v>11.270300000000001</v>
      </c>
      <c r="V44" s="55">
        <f>_xll.EQNXTDZ($A$1,$B44,V$1,$B$1)</f>
        <v>11.8216</v>
      </c>
      <c r="W44" s="55">
        <f>_xll.EQNXTDZ($A$1,$B44,W$1,$B$1)</f>
        <v>26.142499999999998</v>
      </c>
      <c r="X44" s="55">
        <f>_xll.EQNXTDZ($A$1,$B44,X$1,$B$1)</f>
        <v>53.672199999999997</v>
      </c>
      <c r="Y44" s="55">
        <f>_xll.EQNXTDZ($A$1,$B44,Y$1,$B$1)</f>
        <v>65.998800000000003</v>
      </c>
      <c r="Z44" s="55">
        <f>_xll.EQNXTDZ($A$1,$B44,Z$1,$B$1)</f>
        <v>82.190200000000004</v>
      </c>
      <c r="AA44" s="55">
        <f>_xll.EQNXTDZ($A$1,$B44,AA$1,$B$1)</f>
        <v>95.688599999999994</v>
      </c>
      <c r="AB44" s="55">
        <f>_xll.EQNXTDZ($A$1,$B44,AB$1,$B$1)</f>
        <v>252.18790000000001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8.8552412999999994</v>
      </c>
      <c r="G47" s="55">
        <f>_xll.EQNXTDZ($A$1,$B47,G$1,$B$1)</f>
        <v>8.9474877999999993</v>
      </c>
      <c r="H47" s="55">
        <f>_xll.EQNXTDZ($A$1,$B47,H$1,$B$1)</f>
        <v>15.8338006</v>
      </c>
      <c r="I47" s="55">
        <f>_xll.EQNXTDZ($A$1,$B47,I$1,$B$1)</f>
        <v>14.398899999999999</v>
      </c>
      <c r="J47" s="55">
        <f>_xll.EQNXTDZ($A$1,$B47,J$1,$B$1)</f>
        <v>13.7286</v>
      </c>
      <c r="K47" s="55">
        <f>_xll.EQNXTDZ($A$1,$B47,K$1,$B$1)</f>
        <v>16.4634</v>
      </c>
      <c r="L47" s="55">
        <f>_xll.EQNXTDZ($A$1,$B47,L$1,$B$1)</f>
        <v>21.116599999999998</v>
      </c>
      <c r="M47" s="55">
        <f>_xll.EQNXTDZ($A$1,$B47,M$1,$B$1)</f>
        <v>10.6219</v>
      </c>
      <c r="N47" s="55">
        <f>_xll.EQNXTDZ($A$1,$B47,N$1,$B$1)</f>
        <v>11.164300000000001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11.883800000000001</v>
      </c>
      <c r="Z47" s="55">
        <f>_xll.EQNXTDZ($A$1,$B47,Z$1,$B$1)</f>
        <v>10.2658</v>
      </c>
      <c r="AA47" s="55">
        <f>_xll.EQNXTDZ($A$1,$B47,AA$1,$B$1)</f>
        <v>19.5289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5.7545649000000001</v>
      </c>
      <c r="G48" s="55">
        <f>_xll.EQNXTDZ($A$1,$B48,G$1,$B$1)</f>
        <v>6.2708050000000002</v>
      </c>
      <c r="H48" s="55">
        <f>_xll.EQNXTDZ($A$1,$B48,H$1,$B$1)</f>
        <v>6.9392708000000001</v>
      </c>
      <c r="I48" s="55">
        <f>_xll.EQNXTDZ($A$1,$B48,I$1,$B$1)</f>
        <v>10.662800000000001</v>
      </c>
      <c r="J48" s="55">
        <f>_xll.EQNXTDZ($A$1,$B48,J$1,$B$1)</f>
        <v>12.384600000000001</v>
      </c>
      <c r="K48" s="55">
        <f>_xll.EQNXTDZ($A$1,$B48,K$1,$B$1)</f>
        <v>12.8154</v>
      </c>
      <c r="L48" s="55">
        <f>_xll.EQNXTDZ($A$1,$B48,L$1,$B$1)</f>
        <v>10.4039</v>
      </c>
      <c r="M48" s="55">
        <f>_xll.EQNXTDZ($A$1,$B48,M$1,$B$1)</f>
        <v>8.0096000000000007</v>
      </c>
      <c r="N48" s="55">
        <f>_xll.EQNXTDZ($A$1,$B48,N$1,$B$1)</f>
        <v>7.9696999999999996</v>
      </c>
      <c r="O48" s="55">
        <f>_xll.EQNXTDZ($A$1,$B48,O$1,$B$1)</f>
        <v>18.516500000000001</v>
      </c>
      <c r="P48" s="55">
        <f>_xll.EQNXTDZ($A$1,$B48,P$1,$B$1)</f>
        <v>22.4085</v>
      </c>
      <c r="Q48" s="55">
        <f>_xll.EQNXTDZ($A$1,$B48,Q$1,$B$1)</f>
        <v>42.36</v>
      </c>
      <c r="R48" s="55">
        <f>_xll.EQNXTDZ($A$1,$B48,R$1,$B$1)</f>
        <v>59.619399999999999</v>
      </c>
      <c r="S48" s="55">
        <f>_xll.EQNXTDZ($A$1,$B48,S$1,$B$1)</f>
        <v>41.206699999999998</v>
      </c>
      <c r="T48" s="55">
        <f>_xll.EQNXTDZ($A$1,$B48,T$1,$B$1)</f>
        <v>36.762599999999999</v>
      </c>
      <c r="U48" s="55">
        <f>_xll.EQNXTDZ($A$1,$B48,U$1,$B$1)</f>
        <v>16.5961</v>
      </c>
      <c r="V48" s="55">
        <f>_xll.EQNXTDZ($A$1,$B48,V$1,$B$1)</f>
        <v>50</v>
      </c>
      <c r="W48" s="55">
        <f>_xll.EQNXTDZ($A$1,$B48,W$1,$B$1)</f>
        <v>50</v>
      </c>
      <c r="X48" s="55">
        <f>_xll.EQNXTDZ($A$1,$B48,X$1,$B$1)</f>
        <v>35</v>
      </c>
      <c r="Y48" s="55">
        <f>_xll.EQNXTDZ($A$1,$B48,Y$1,$B$1)</f>
        <v>29.166699999999999</v>
      </c>
      <c r="Z48" s="55">
        <f>_xll.EQNXTDZ($A$1,$B48,Z$1,$B$1)</f>
        <v>5.8333000000000004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-1.3445682999999999</v>
      </c>
      <c r="G49" s="55">
        <f>_xll.EQNXTDZ($A$1,$B49,G$1,$B$1)</f>
        <v>-1.0644247</v>
      </c>
      <c r="H49" s="55">
        <f>_xll.EQNXTDZ($A$1,$B49,H$1,$B$1)</f>
        <v>-0.7011754</v>
      </c>
      <c r="I49" s="55">
        <f>_xll.EQNXTDZ($A$1,$B49,I$1,$B$1)</f>
        <v>-1.167</v>
      </c>
      <c r="J49" s="55">
        <f>_xll.EQNXTDZ($A$1,$B49,J$1,$B$1)</f>
        <v>-1.1371</v>
      </c>
      <c r="K49" s="55">
        <f>_xll.EQNXTDZ($A$1,$B49,K$1,$B$1)</f>
        <v>-2.5550000000000002</v>
      </c>
      <c r="L49" s="55">
        <f>_xll.EQNXTDZ($A$1,$B49,L$1,$B$1)</f>
        <v>-2.1078000000000001</v>
      </c>
      <c r="M49" s="55">
        <f>_xll.EQNXTDZ($A$1,$B49,M$1,$B$1)</f>
        <v>-1.5713999999999999</v>
      </c>
      <c r="N49" s="55">
        <f>_xll.EQNXTDZ($A$1,$B49,N$1,$B$1)</f>
        <v>-1.8863000000000001</v>
      </c>
      <c r="O49" s="55">
        <f>_xll.EQNXTDZ($A$1,$B49,O$1,$B$1)</f>
        <v>-1.9032</v>
      </c>
      <c r="P49" s="55">
        <f>_xll.EQNXTDZ($A$1,$B49,P$1,$B$1)</f>
        <v>5.0296000000000003</v>
      </c>
      <c r="Q49" s="55">
        <f>_xll.EQNXTDZ($A$1,$B49,Q$1,$B$1)</f>
        <v>4.0258000000000003</v>
      </c>
      <c r="R49" s="55">
        <f>_xll.EQNXTDZ($A$1,$B49,R$1,$B$1)</f>
        <v>1.3943000000000001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0.379</v>
      </c>
      <c r="W49" s="55">
        <f>_xll.EQNXTDZ($A$1,$B49,W$1,$B$1)</f>
        <v>-9.7999999999999997E-3</v>
      </c>
      <c r="X49" s="55">
        <f>_xll.EQNXTDZ($A$1,$B49,X$1,$B$1)</f>
        <v>4.8825000000000003</v>
      </c>
      <c r="Y49" s="55">
        <f>_xll.EQNXTDZ($A$1,$B49,Y$1,$B$1)</f>
        <v>6.1775000000000002</v>
      </c>
      <c r="Z49" s="55">
        <f>_xll.EQNXTDZ($A$1,$B49,Z$1,$B$1)</f>
        <v>8.8826999999999998</v>
      </c>
      <c r="AA49" s="55">
        <f>_xll.EQNXTDZ($A$1,$B49,AA$1,$B$1)</f>
        <v>8.2608999999999995</v>
      </c>
      <c r="AB49" s="55">
        <f>_xll.EQNXTDZ($A$1,$B49,AB$1,$B$1)</f>
        <v>9.2466000000000008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0.3931</v>
      </c>
      <c r="R50" s="55">
        <f>_xll.EQNXTDZ($A$1,$B50,R$1,$B$1)</f>
        <v>1.2528999999999999</v>
      </c>
      <c r="S50" s="55">
        <f>_xll.EQNXTDZ($A$1,$B50,S$1,$B$1)</f>
        <v>5.8487999999999998</v>
      </c>
      <c r="T50" s="55">
        <f>_xll.EQNXTDZ($A$1,$B50,T$1,$B$1)</f>
        <v>7.2099000000000002</v>
      </c>
      <c r="U50" s="55">
        <f>_xll.EQNXTDZ($A$1,$B50,U$1,$B$1)</f>
        <v>2.7805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0.1966</v>
      </c>
      <c r="N52" s="55">
        <f>_xll.EQNXTDZ($A$1,$B52,N$1,$B$1)</f>
        <v>0.26829999999999998</v>
      </c>
      <c r="O52" s="55">
        <f>_xll.EQNXTDZ($A$1,$B52,O$1,$B$1)</f>
        <v>0.46860000000000002</v>
      </c>
      <c r="P52" s="55">
        <f>_xll.EQNXTDZ($A$1,$B52,P$1,$B$1)</f>
        <v>0.56299999999999994</v>
      </c>
      <c r="Q52" s="55">
        <f>_xll.EQNXTDZ($A$1,$B52,Q$1,$B$1)</f>
        <v>0.73929999999999996</v>
      </c>
      <c r="R52" s="55">
        <f>_xll.EQNXTDZ($A$1,$B52,R$1,$B$1)</f>
        <v>1.0298</v>
      </c>
      <c r="S52" s="55">
        <f>_xll.EQNXTDZ($A$1,$B52,S$1,$B$1)</f>
        <v>2.4203000000000001</v>
      </c>
      <c r="T52" s="55">
        <f>_xll.EQNXTDZ($A$1,$B52,T$1,$B$1)</f>
        <v>2.7913000000000001</v>
      </c>
      <c r="U52" s="55">
        <f>_xll.EQNXTDZ($A$1,$B52,U$1,$B$1)</f>
        <v>2.4356</v>
      </c>
      <c r="V52" s="55">
        <f>_xll.EQNXTDZ($A$1,$B52,V$1,$B$1)</f>
        <v>2.5121000000000002</v>
      </c>
      <c r="W52" s="55">
        <f>_xll.EQNXTDZ($A$1,$B52,W$1,$B$1)</f>
        <v>2.6983000000000001</v>
      </c>
      <c r="X52" s="55">
        <f>_xll.EQNXTDZ($A$1,$B52,X$1,$B$1)</f>
        <v>9.2445000000000004</v>
      </c>
      <c r="Y52" s="55">
        <f>_xll.EQNXTDZ($A$1,$B52,Y$1,$B$1)</f>
        <v>1.0112000000000001</v>
      </c>
      <c r="Z52" s="55">
        <f>_xll.EQNXTDZ($A$1,$B52,Z$1,$B$1)</f>
        <v>17.8215</v>
      </c>
      <c r="AA52" s="55">
        <f>_xll.EQNXTDZ($A$1,$B52,AA$1,$B$1)</f>
        <v>6.9057000000000004</v>
      </c>
      <c r="AB52" s="55">
        <f>_xll.EQNXTDZ($A$1,$B52,AB$1,$B$1)</f>
        <v>3.3464999999999998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13.265237900000001</v>
      </c>
      <c r="G53" s="55">
        <f>_xll.EQNXTDZ($A$1,$B53,G$1,$B$1)</f>
        <v>14.1538681</v>
      </c>
      <c r="H53" s="55">
        <f>_xll.EQNXTDZ($A$1,$B53,H$1,$B$1)</f>
        <v>22.071895999999999</v>
      </c>
      <c r="I53" s="55">
        <f>_xll.EQNXTDZ($A$1,$B53,I$1,$B$1)</f>
        <v>23.8947</v>
      </c>
      <c r="J53" s="55">
        <f>_xll.EQNXTDZ($A$1,$B53,J$1,$B$1)</f>
        <v>24.976099999999999</v>
      </c>
      <c r="K53" s="55">
        <f>_xll.EQNXTDZ($A$1,$B53,K$1,$B$1)</f>
        <v>26.723800000000001</v>
      </c>
      <c r="L53" s="55">
        <f>_xll.EQNXTDZ($A$1,$B53,L$1,$B$1)</f>
        <v>29.412700000000001</v>
      </c>
      <c r="M53" s="55">
        <f>_xll.EQNXTDZ($A$1,$B53,M$1,$B$1)</f>
        <v>17.256699999999999</v>
      </c>
      <c r="N53" s="55">
        <f>_xll.EQNXTDZ($A$1,$B53,N$1,$B$1)</f>
        <v>17.515999999999998</v>
      </c>
      <c r="O53" s="55">
        <f>_xll.EQNXTDZ($A$1,$B53,O$1,$B$1)</f>
        <v>17.081900000000001</v>
      </c>
      <c r="P53" s="55">
        <f>_xll.EQNXTDZ($A$1,$B53,P$1,$B$1)</f>
        <v>28.001100000000001</v>
      </c>
      <c r="Q53" s="55">
        <f>_xll.EQNXTDZ($A$1,$B53,Q$1,$B$1)</f>
        <v>47.5182</v>
      </c>
      <c r="R53" s="55">
        <f>_xll.EQNXTDZ($A$1,$B53,R$1,$B$1)</f>
        <v>63.296399999999998</v>
      </c>
      <c r="S53" s="55">
        <f>_xll.EQNXTDZ($A$1,$B53,S$1,$B$1)</f>
        <v>49.4758</v>
      </c>
      <c r="T53" s="55">
        <f>_xll.EQNXTDZ($A$1,$B53,T$1,$B$1)</f>
        <v>46.763800000000003</v>
      </c>
      <c r="U53" s="55">
        <f>_xll.EQNXTDZ($A$1,$B53,U$1,$B$1)</f>
        <v>21.812200000000001</v>
      </c>
      <c r="V53" s="55">
        <f>_xll.EQNXTDZ($A$1,$B53,V$1,$B$1)</f>
        <v>52.891100000000002</v>
      </c>
      <c r="W53" s="55">
        <f>_xll.EQNXTDZ($A$1,$B53,W$1,$B$1)</f>
        <v>52.688499999999998</v>
      </c>
      <c r="X53" s="55">
        <f>_xll.EQNXTDZ($A$1,$B53,X$1,$B$1)</f>
        <v>49.127000000000002</v>
      </c>
      <c r="Y53" s="55">
        <f>_xll.EQNXTDZ($A$1,$B53,Y$1,$B$1)</f>
        <v>48.239199999999997</v>
      </c>
      <c r="Z53" s="55">
        <f>_xll.EQNXTDZ($A$1,$B53,Z$1,$B$1)</f>
        <v>42.8033</v>
      </c>
      <c r="AA53" s="55">
        <f>_xll.EQNXTDZ($A$1,$B53,AA$1,$B$1)</f>
        <v>34.695500000000003</v>
      </c>
      <c r="AB53" s="55">
        <f>_xll.EQNXTDZ($A$1,$B53,AB$1,$B$1)</f>
        <v>12.5931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2.7796921999999999</v>
      </c>
      <c r="G54" s="55">
        <f>_xll.EQNXTDZ($A$1,$B54,G$1,$B$1)</f>
        <v>3.4133909</v>
      </c>
      <c r="H54" s="55">
        <f>_xll.EQNXTDZ($A$1,$B54,H$1,$B$1)</f>
        <v>4.1644541000000004</v>
      </c>
      <c r="I54" s="55">
        <f>_xll.EQNXTDZ($A$1,$B54,I$1,$B$1)</f>
        <v>5.7112999999999996</v>
      </c>
      <c r="J54" s="55">
        <f>_xll.EQNXTDZ($A$1,$B54,J$1,$B$1)</f>
        <v>5.5747</v>
      </c>
      <c r="K54" s="55">
        <f>_xll.EQNXTDZ($A$1,$B54,K$1,$B$1)</f>
        <v>5.4305000000000003</v>
      </c>
      <c r="L54" s="55">
        <f>_xll.EQNXTDZ($A$1,$B54,L$1,$B$1)</f>
        <v>10.4747</v>
      </c>
      <c r="M54" s="55">
        <f>_xll.EQNXTDZ($A$1,$B54,M$1,$B$1)</f>
        <v>8.7356999999999996</v>
      </c>
      <c r="N54" s="55">
        <f>_xll.EQNXTDZ($A$1,$B54,N$1,$B$1)</f>
        <v>12.4801</v>
      </c>
      <c r="O54" s="55">
        <f>_xll.EQNXTDZ($A$1,$B54,O$1,$B$1)</f>
        <v>13.2029</v>
      </c>
      <c r="P54" s="55">
        <f>_xll.EQNXTDZ($A$1,$B54,P$1,$B$1)</f>
        <v>14.5624</v>
      </c>
      <c r="Q54" s="55">
        <f>_xll.EQNXTDZ($A$1,$B54,Q$1,$B$1)</f>
        <v>16.5502</v>
      </c>
      <c r="R54" s="55">
        <f>_xll.EQNXTDZ($A$1,$B54,R$1,$B$1)</f>
        <v>25.0321</v>
      </c>
      <c r="S54" s="55">
        <f>_xll.EQNXTDZ($A$1,$B54,S$1,$B$1)</f>
        <v>20.931000000000001</v>
      </c>
      <c r="T54" s="55">
        <f>_xll.EQNXTDZ($A$1,$B54,T$1,$B$1)</f>
        <v>24.0381</v>
      </c>
      <c r="U54" s="55">
        <f>_xll.EQNXTDZ($A$1,$B54,U$1,$B$1)</f>
        <v>20.390599999999999</v>
      </c>
      <c r="V54" s="55">
        <f>_xll.EQNXTDZ($A$1,$B54,V$1,$B$1)</f>
        <v>22.315799999999999</v>
      </c>
      <c r="W54" s="55">
        <f>_xll.EQNXTDZ($A$1,$B54,W$1,$B$1)</f>
        <v>20.7408</v>
      </c>
      <c r="X54" s="55">
        <f>_xll.EQNXTDZ($A$1,$B54,X$1,$B$1)</f>
        <v>33.174700000000001</v>
      </c>
      <c r="Y54" s="55">
        <f>_xll.EQNXTDZ($A$1,$B54,Y$1,$B$1)</f>
        <v>23.717300000000002</v>
      </c>
      <c r="Z54" s="55">
        <f>_xll.EQNXTDZ($A$1,$B54,Z$1,$B$1)</f>
        <v>40.631500000000003</v>
      </c>
      <c r="AA54" s="55">
        <f>_xll.EQNXTDZ($A$1,$B54,AA$1,$B$1)</f>
        <v>59.777900000000002</v>
      </c>
      <c r="AB54" s="55">
        <f>_xll.EQNXTDZ($A$1,$B54,AB$1,$B$1)</f>
        <v>36.730899999999998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0.75168420000000002</v>
      </c>
      <c r="G55" s="55">
        <f>_xll.EQNXTDZ($A$1,$B55,G$1,$B$1)</f>
        <v>0.61479980000000001</v>
      </c>
      <c r="H55" s="55">
        <f>_xll.EQNXTDZ($A$1,$B55,H$1,$B$1)</f>
        <v>0.68742440000000005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1.7801</v>
      </c>
      <c r="L55" s="55">
        <f>_xll.EQNXTDZ($A$1,$B55,L$1,$B$1)</f>
        <v>0.75329999999999997</v>
      </c>
      <c r="M55" s="55">
        <f>_xll.EQNXTDZ($A$1,$B55,M$1,$B$1)</f>
        <v>4.7081</v>
      </c>
      <c r="N55" s="55">
        <f>_xll.EQNXTDZ($A$1,$B55,N$1,$B$1)</f>
        <v>5.7168999999999999</v>
      </c>
      <c r="O55" s="55">
        <f>_xll.EQNXTDZ($A$1,$B55,O$1,$B$1)</f>
        <v>15.1912</v>
      </c>
      <c r="P55" s="55">
        <f>_xll.EQNXTDZ($A$1,$B55,P$1,$B$1)</f>
        <v>1.7553000000000001</v>
      </c>
      <c r="Q55" s="55">
        <f>_xll.EQNXTDZ($A$1,$B55,Q$1,$B$1)</f>
        <v>17.501799999999999</v>
      </c>
      <c r="R55" s="55">
        <f>_xll.EQNXTDZ($A$1,$B55,R$1,$B$1)</f>
        <v>4.1905999999999999</v>
      </c>
      <c r="S55" s="55">
        <f>_xll.EQNXTDZ($A$1,$B55,S$1,$B$1)</f>
        <v>21.079000000000001</v>
      </c>
      <c r="T55" s="55">
        <f>_xll.EQNXTDZ($A$1,$B55,T$1,$B$1)</f>
        <v>8.3124000000000002</v>
      </c>
      <c r="U55" s="55">
        <f>_xll.EQNXTDZ($A$1,$B55,U$1,$B$1)</f>
        <v>29.1495</v>
      </c>
      <c r="V55" s="55">
        <f>_xll.EQNXTDZ($A$1,$B55,V$1,$B$1)</f>
        <v>2.2281</v>
      </c>
      <c r="W55" s="55">
        <f>_xll.EQNXTDZ($A$1,$B55,W$1,$B$1)</f>
        <v>1.9009</v>
      </c>
      <c r="X55" s="55">
        <f>_xll.EQNXTDZ($A$1,$B55,X$1,$B$1)</f>
        <v>1.8781000000000001</v>
      </c>
      <c r="Y55" s="55">
        <f>_xll.EQNXTDZ($A$1,$B55,Y$1,$B$1)</f>
        <v>13.471500000000001</v>
      </c>
      <c r="Z55" s="55">
        <f>_xll.EQNXTDZ($A$1,$B55,Z$1,$B$1)</f>
        <v>44.324800000000003</v>
      </c>
      <c r="AA55" s="55">
        <f>_xll.EQNXTDZ($A$1,$B55,AA$1,$B$1)</f>
        <v>80.300700000000006</v>
      </c>
      <c r="AB55" s="55">
        <f>_xll.EQNXTDZ($A$1,$B55,AB$1,$B$1)</f>
        <v>2.2551000000000001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16.626300000000001</v>
      </c>
      <c r="N56" s="55">
        <f>_xll.EQNXTDZ($A$1,$B56,N$1,$B$1)</f>
        <v>18.457100000000001</v>
      </c>
      <c r="O56" s="55">
        <f>_xll.EQNXTDZ($A$1,$B56,O$1,$B$1)</f>
        <v>10.1332</v>
      </c>
      <c r="P56" s="55">
        <f>_xll.EQNXTDZ($A$1,$B56,P$1,$B$1)</f>
        <v>33.645299999999999</v>
      </c>
      <c r="Q56" s="55">
        <f>_xll.EQNXTDZ($A$1,$B56,Q$1,$B$1)</f>
        <v>32.1205</v>
      </c>
      <c r="R56" s="55">
        <f>_xll.EQNXTDZ($A$1,$B56,R$1,$B$1)</f>
        <v>41.392000000000003</v>
      </c>
      <c r="S56" s="55">
        <f>_xll.EQNXTDZ($A$1,$B56,S$1,$B$1)</f>
        <v>41.000599999999999</v>
      </c>
      <c r="T56" s="55">
        <f>_xll.EQNXTDZ($A$1,$B56,T$1,$B$1)</f>
        <v>68.349999999999994</v>
      </c>
      <c r="U56" s="55">
        <f>_xll.EQNXTDZ($A$1,$B56,U$1,$B$1)</f>
        <v>67.011099999999999</v>
      </c>
      <c r="V56" s="55">
        <f>_xll.EQNXTDZ($A$1,$B56,V$1,$B$1)</f>
        <v>59.3459</v>
      </c>
      <c r="W56" s="55">
        <f>_xll.EQNXTDZ($A$1,$B56,W$1,$B$1)</f>
        <v>37.799799999999998</v>
      </c>
      <c r="X56" s="55">
        <f>_xll.EQNXTDZ($A$1,$B56,X$1,$B$1)</f>
        <v>43.540500000000002</v>
      </c>
      <c r="Y56" s="55">
        <f>_xll.EQNXTDZ($A$1,$B56,Y$1,$B$1)</f>
        <v>25.568000000000001</v>
      </c>
      <c r="Z56" s="55">
        <f>_xll.EQNXTDZ($A$1,$B56,Z$1,$B$1)</f>
        <v>34.270400000000002</v>
      </c>
      <c r="AA56" s="55">
        <f>_xll.EQNXTDZ($A$1,$B56,AA$1,$B$1)</f>
        <v>37.645699999999998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7.6000000000000004E-4</v>
      </c>
      <c r="G57" s="55">
        <f>_xll.EQNXTDZ($A$1,$B57,G$1,$B$1)</f>
        <v>1.4999999999999999E-4</v>
      </c>
      <c r="H57" s="55">
        <f>_xll.EQNXTDZ($A$1,$B57,H$1,$B$1)</f>
        <v>9.4249999999999998E-4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0.24629999999999999</v>
      </c>
      <c r="L57" s="55">
        <f>_xll.EQNXTDZ($A$1,$B57,L$1,$B$1)</f>
        <v>0.1986</v>
      </c>
      <c r="M57" s="55">
        <f>_xll.EQNXTDZ($A$1,$B57,M$1,$B$1)</f>
        <v>1.3896999999999999</v>
      </c>
      <c r="N57" s="55">
        <f>_xll.EQNXTDZ($A$1,$B57,N$1,$B$1)</f>
        <v>0.99370000000000003</v>
      </c>
      <c r="O57" s="55">
        <f>_xll.EQNXTDZ($A$1,$B57,O$1,$B$1)</f>
        <v>2.4</v>
      </c>
      <c r="P57" s="55">
        <f>_xll.EQNXTDZ($A$1,$B57,P$1,$B$1)</f>
        <v>0.87119999999999997</v>
      </c>
      <c r="Q57" s="55">
        <f>_xll.EQNXTDZ($A$1,$B57,Q$1,$B$1)</f>
        <v>0.10639999999999999</v>
      </c>
      <c r="R57" s="55">
        <f>_xll.EQNXTDZ($A$1,$B57,R$1,$B$1)</f>
        <v>9.5000000000000001E-2</v>
      </c>
      <c r="S57" s="55">
        <f>_xll.EQNXTDZ($A$1,$B57,S$1,$B$1)</f>
        <v>0.11269999999999999</v>
      </c>
      <c r="T57" s="55">
        <f>_xll.EQNXTDZ($A$1,$B57,T$1,$B$1)</f>
        <v>0.13830000000000001</v>
      </c>
      <c r="U57" s="55">
        <f>_xll.EQNXTDZ($A$1,$B57,U$1,$B$1)</f>
        <v>0.10440000000000001</v>
      </c>
      <c r="V57" s="55">
        <f>_xll.EQNXTDZ($A$1,$B57,V$1,$B$1)</f>
        <v>0.23730000000000001</v>
      </c>
      <c r="W57" s="55">
        <f>_xll.EQNXTDZ($A$1,$B57,W$1,$B$1)</f>
        <v>2.9876999999999998</v>
      </c>
      <c r="X57" s="55">
        <f>_xll.EQNXTDZ($A$1,$B57,X$1,$B$1)</f>
        <v>3.4904000000000002</v>
      </c>
      <c r="Y57" s="55">
        <f>_xll.EQNXTDZ($A$1,$B57,Y$1,$B$1)</f>
        <v>0.22470000000000001</v>
      </c>
      <c r="Z57" s="55">
        <f>_xll.EQNXTDZ($A$1,$B57,Z$1,$B$1)</f>
        <v>0.91769999999999996</v>
      </c>
      <c r="AA57" s="55">
        <f>_xll.EQNXTDZ($A$1,$B57,AA$1,$B$1)</f>
        <v>0.22969999999999999</v>
      </c>
      <c r="AB57" s="55">
        <f>_xll.EQNXTDZ($A$1,$B57,AB$1,$B$1)</f>
        <v>1.2402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3.5321364000000002</v>
      </c>
      <c r="G59" s="55">
        <f>_xll.EQNXTDZ($A$1,$B59,G$1,$B$1)</f>
        <v>4.0283407000000002</v>
      </c>
      <c r="H59" s="55">
        <f>_xll.EQNXTDZ($A$1,$B59,H$1,$B$1)</f>
        <v>4.8528209999999996</v>
      </c>
      <c r="I59" s="55">
        <f>_xll.EQNXTDZ($A$1,$B59,I$1,$B$1)</f>
        <v>5.7112999999999996</v>
      </c>
      <c r="J59" s="55">
        <f>_xll.EQNXTDZ($A$1,$B59,J$1,$B$1)</f>
        <v>5.5747</v>
      </c>
      <c r="K59" s="55">
        <f>_xll.EQNXTDZ($A$1,$B59,K$1,$B$1)</f>
        <v>7.4569000000000001</v>
      </c>
      <c r="L59" s="55">
        <f>_xll.EQNXTDZ($A$1,$B59,L$1,$B$1)</f>
        <v>11.426600000000001</v>
      </c>
      <c r="M59" s="55">
        <f>_xll.EQNXTDZ($A$1,$B59,M$1,$B$1)</f>
        <v>31.459800000000001</v>
      </c>
      <c r="N59" s="55">
        <f>_xll.EQNXTDZ($A$1,$B59,N$1,$B$1)</f>
        <v>37.647799999999997</v>
      </c>
      <c r="O59" s="55">
        <f>_xll.EQNXTDZ($A$1,$B59,O$1,$B$1)</f>
        <v>40.927300000000002</v>
      </c>
      <c r="P59" s="55">
        <f>_xll.EQNXTDZ($A$1,$B59,P$1,$B$1)</f>
        <v>50.834200000000003</v>
      </c>
      <c r="Q59" s="55">
        <f>_xll.EQNXTDZ($A$1,$B59,Q$1,$B$1)</f>
        <v>66.278899999999993</v>
      </c>
      <c r="R59" s="55">
        <f>_xll.EQNXTDZ($A$1,$B59,R$1,$B$1)</f>
        <v>70.709699999999998</v>
      </c>
      <c r="S59" s="55">
        <f>_xll.EQNXTDZ($A$1,$B59,S$1,$B$1)</f>
        <v>83.1233</v>
      </c>
      <c r="T59" s="55">
        <f>_xll.EQNXTDZ($A$1,$B59,T$1,$B$1)</f>
        <v>100.83880000000001</v>
      </c>
      <c r="U59" s="55">
        <f>_xll.EQNXTDZ($A$1,$B59,U$1,$B$1)</f>
        <v>116.65560000000001</v>
      </c>
      <c r="V59" s="55">
        <f>_xll.EQNXTDZ($A$1,$B59,V$1,$B$1)</f>
        <v>84.127099999999999</v>
      </c>
      <c r="W59" s="55">
        <f>_xll.EQNXTDZ($A$1,$B59,W$1,$B$1)</f>
        <v>63.429200000000002</v>
      </c>
      <c r="X59" s="55">
        <f>_xll.EQNXTDZ($A$1,$B59,X$1,$B$1)</f>
        <v>82.083699999999993</v>
      </c>
      <c r="Y59" s="55">
        <f>_xll.EQNXTDZ($A$1,$B59,Y$1,$B$1)</f>
        <v>62.981499999999997</v>
      </c>
      <c r="Z59" s="55">
        <f>_xll.EQNXTDZ($A$1,$B59,Z$1,$B$1)</f>
        <v>120.1444</v>
      </c>
      <c r="AA59" s="55">
        <f>_xll.EQNXTDZ($A$1,$B59,AA$1,$B$1)</f>
        <v>177.95400000000001</v>
      </c>
      <c r="AB59" s="55">
        <f>_xll.EQNXTDZ($A$1,$B59,AB$1,$B$1)</f>
        <v>40.226199999999999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18.6636782</v>
      </c>
      <c r="G60" s="55">
        <f>_xll.EQNXTDZ($A$1,$B60,G$1,$B$1)</f>
        <v>19.309393799999999</v>
      </c>
      <c r="H60" s="55">
        <f>_xll.EQNXTDZ($A$1,$B60,H$1,$B$1)</f>
        <v>31.8904876</v>
      </c>
      <c r="I60" s="55">
        <f>_xll.EQNXTDZ($A$1,$B60,I$1,$B$1)</f>
        <v>37.319000000000003</v>
      </c>
      <c r="J60" s="55">
        <f>_xll.EQNXTDZ($A$1,$B60,J$1,$B$1)</f>
        <v>42.002200000000002</v>
      </c>
      <c r="K60" s="55">
        <f>_xll.EQNXTDZ($A$1,$B60,K$1,$B$1)</f>
        <v>49.290900000000001</v>
      </c>
      <c r="L60" s="55">
        <f>_xll.EQNXTDZ($A$1,$B60,L$1,$B$1)</f>
        <v>58.891100000000002</v>
      </c>
      <c r="M60" s="55">
        <f>_xll.EQNXTDZ($A$1,$B60,M$1,$B$1)</f>
        <v>68.269199999999998</v>
      </c>
      <c r="N60" s="55">
        <f>_xll.EQNXTDZ($A$1,$B60,N$1,$B$1)</f>
        <v>75.780199999999994</v>
      </c>
      <c r="O60" s="55">
        <f>_xll.EQNXTDZ($A$1,$B60,O$1,$B$1)</f>
        <v>79.4679</v>
      </c>
      <c r="P60" s="55">
        <f>_xll.EQNXTDZ($A$1,$B60,P$1,$B$1)</f>
        <v>99.889399999999995</v>
      </c>
      <c r="Q60" s="55">
        <f>_xll.EQNXTDZ($A$1,$B60,Q$1,$B$1)</f>
        <v>131.4434</v>
      </c>
      <c r="R60" s="55">
        <f>_xll.EQNXTDZ($A$1,$B60,R$1,$B$1)</f>
        <v>150.80690000000001</v>
      </c>
      <c r="S60" s="55">
        <f>_xll.EQNXTDZ($A$1,$B60,S$1,$B$1)</f>
        <v>142.4374</v>
      </c>
      <c r="T60" s="55">
        <f>_xll.EQNXTDZ($A$1,$B60,T$1,$B$1)</f>
        <v>158.69239999999999</v>
      </c>
      <c r="U60" s="55">
        <f>_xll.EQNXTDZ($A$1,$B60,U$1,$B$1)</f>
        <v>149.7381</v>
      </c>
      <c r="V60" s="55">
        <f>_xll.EQNXTDZ($A$1,$B60,V$1,$B$1)</f>
        <v>148.8398</v>
      </c>
      <c r="W60" s="55">
        <f>_xll.EQNXTDZ($A$1,$B60,W$1,$B$1)</f>
        <v>142.2602</v>
      </c>
      <c r="X60" s="55">
        <f>_xll.EQNXTDZ($A$1,$B60,X$1,$B$1)</f>
        <v>184.88290000000001</v>
      </c>
      <c r="Y60" s="55">
        <f>_xll.EQNXTDZ($A$1,$B60,Y$1,$B$1)</f>
        <v>177.21950000000001</v>
      </c>
      <c r="Z60" s="55">
        <f>_xll.EQNXTDZ($A$1,$B60,Z$1,$B$1)</f>
        <v>245.1379</v>
      </c>
      <c r="AA60" s="55">
        <f>_xll.EQNXTDZ($A$1,$B60,AA$1,$B$1)</f>
        <v>308.3381</v>
      </c>
      <c r="AB60" s="55">
        <f>_xll.EQNXTDZ($A$1,$B60,AB$1,$B$1)</f>
        <v>305.00720000000001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17.685231300000002</v>
      </c>
      <c r="G62" s="55">
        <f>_xll.EQNXTDZ($A$1,$B62,G$1,$B$1)</f>
        <v>17.820239600000001</v>
      </c>
      <c r="H62" s="55">
        <f>_xll.EQNXTDZ($A$1,$B62,H$1,$B$1)</f>
        <v>20.4151308</v>
      </c>
      <c r="I62" s="55">
        <f>_xll.EQNXTDZ($A$1,$B62,I$1,$B$1)</f>
        <v>30.045999999999999</v>
      </c>
      <c r="J62" s="55">
        <f>_xll.EQNXTDZ($A$1,$B62,J$1,$B$1)</f>
        <v>35.036099999999998</v>
      </c>
      <c r="K62" s="55">
        <f>_xll.EQNXTDZ($A$1,$B62,K$1,$B$1)</f>
        <v>38.664000000000001</v>
      </c>
      <c r="L62" s="55">
        <f>_xll.EQNXTDZ($A$1,$B62,L$1,$B$1)</f>
        <v>43.540599999999998</v>
      </c>
      <c r="M62" s="55">
        <f>_xll.EQNXTDZ($A$1,$B62,M$1,$B$1)</f>
        <v>46.481200000000001</v>
      </c>
      <c r="N62" s="55">
        <f>_xll.EQNXTDZ($A$1,$B62,N$1,$B$1)</f>
        <v>52.742199999999997</v>
      </c>
      <c r="O62" s="55">
        <f>_xll.EQNXTDZ($A$1,$B62,O$1,$B$1)</f>
        <v>54.213200000000001</v>
      </c>
      <c r="P62" s="55">
        <f>_xll.EQNXTDZ($A$1,$B62,P$1,$B$1)</f>
        <v>52.357700000000001</v>
      </c>
      <c r="Q62" s="55">
        <f>_xll.EQNXTDZ($A$1,$B62,Q$1,$B$1)</f>
        <v>53.123100000000001</v>
      </c>
      <c r="R62" s="55">
        <f>_xll.EQNXTDZ($A$1,$B62,R$1,$B$1)</f>
        <v>106.50579999999999</v>
      </c>
      <c r="S62" s="55">
        <f>_xll.EQNXTDZ($A$1,$B62,S$1,$B$1)</f>
        <v>79.8262</v>
      </c>
      <c r="T62" s="55">
        <f>_xll.EQNXTDZ($A$1,$B62,T$1,$B$1)</f>
        <v>82.511899999999997</v>
      </c>
      <c r="U62" s="55">
        <f>_xll.EQNXTDZ($A$1,$B62,U$1,$B$1)</f>
        <v>86.328100000000006</v>
      </c>
      <c r="V62" s="55">
        <f>_xll.EQNXTDZ($A$1,$B62,V$1,$B$1)</f>
        <v>94.970399999999998</v>
      </c>
      <c r="W62" s="55">
        <f>_xll.EQNXTDZ($A$1,$B62,W$1,$B$1)</f>
        <v>94.896799999999999</v>
      </c>
      <c r="X62" s="55">
        <f>_xll.EQNXTDZ($A$1,$B62,X$1,$B$1)</f>
        <v>105.5132</v>
      </c>
      <c r="Y62" s="55">
        <f>_xll.EQNXTDZ($A$1,$B62,Y$1,$B$1)</f>
        <v>119.5962</v>
      </c>
      <c r="Z62" s="55">
        <f>_xll.EQNXTDZ($A$1,$B62,Z$1,$B$1)</f>
        <v>122.04130000000001</v>
      </c>
      <c r="AA62" s="55">
        <f>_xll.EQNXTDZ($A$1,$B62,AA$1,$B$1)</f>
        <v>185.3459</v>
      </c>
      <c r="AB62" s="55">
        <f>_xll.EQNXTDZ($A$1,$B62,AB$1,$B$1)</f>
        <v>221.49529999999999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5.5194131000000004</v>
      </c>
      <c r="G63" s="55">
        <f>_xll.EQNXTDZ($A$1,$B63,G$1,$B$1)</f>
        <v>6.2789586000000002</v>
      </c>
      <c r="H63" s="55">
        <f>_xll.EQNXTDZ($A$1,$B63,H$1,$B$1)</f>
        <v>7.1109825000000004</v>
      </c>
      <c r="I63" s="55">
        <f>_xll.EQNXTDZ($A$1,$B63,I$1,$B$1)</f>
        <v>8.1412999999999993</v>
      </c>
      <c r="J63" s="55">
        <f>_xll.EQNXTDZ($A$1,$B63,J$1,$B$1)</f>
        <v>9.2712000000000003</v>
      </c>
      <c r="K63" s="55">
        <f>_xll.EQNXTDZ($A$1,$B63,K$1,$B$1)</f>
        <v>10.7193</v>
      </c>
      <c r="L63" s="55">
        <f>_xll.EQNXTDZ($A$1,$B63,L$1,$B$1)</f>
        <v>12.5221</v>
      </c>
      <c r="M63" s="55">
        <f>_xll.EQNXTDZ($A$1,$B63,M$1,$B$1)</f>
        <v>14.394299999999999</v>
      </c>
      <c r="N63" s="55">
        <f>_xll.EQNXTDZ($A$1,$B63,N$1,$B$1)</f>
        <v>16.270900000000001</v>
      </c>
      <c r="O63" s="55">
        <f>_xll.EQNXTDZ($A$1,$B63,O$1,$B$1)</f>
        <v>18.701699999999999</v>
      </c>
      <c r="P63" s="55">
        <f>_xll.EQNXTDZ($A$1,$B63,P$1,$B$1)</f>
        <v>18.768599999999999</v>
      </c>
      <c r="Q63" s="55">
        <f>_xll.EQNXTDZ($A$1,$B63,Q$1,$B$1)</f>
        <v>22.358899999999998</v>
      </c>
      <c r="R63" s="55">
        <f>_xll.EQNXTDZ($A$1,$B63,R$1,$B$1)</f>
        <v>27.233899999999998</v>
      </c>
      <c r="S63" s="55">
        <f>_xll.EQNXTDZ($A$1,$B63,S$1,$B$1)</f>
        <v>5.8992000000000004</v>
      </c>
      <c r="T63" s="55">
        <f>_xll.EQNXTDZ($A$1,$B63,T$1,$B$1)</f>
        <v>11.7745</v>
      </c>
      <c r="U63" s="55">
        <f>_xll.EQNXTDZ($A$1,$B63,U$1,$B$1)</f>
        <v>17.636399999999998</v>
      </c>
      <c r="V63" s="55">
        <f>_xll.EQNXTDZ($A$1,$B63,V$1,$B$1)</f>
        <v>23.725999999999999</v>
      </c>
      <c r="W63" s="55">
        <f>_xll.EQNXTDZ($A$1,$B63,W$1,$B$1)</f>
        <v>28.626799999999999</v>
      </c>
      <c r="X63" s="55">
        <f>_xll.EQNXTDZ($A$1,$B63,X$1,$B$1)</f>
        <v>34.432499999999997</v>
      </c>
      <c r="Y63" s="55">
        <f>_xll.EQNXTDZ($A$1,$B63,Y$1,$B$1)</f>
        <v>40.180300000000003</v>
      </c>
      <c r="Z63" s="55">
        <f>_xll.EQNXTDZ($A$1,$B63,Z$1,$B$1)</f>
        <v>47.3446</v>
      </c>
      <c r="AA63" s="55">
        <f>_xll.EQNXTDZ($A$1,$B63,AA$1,$B$1)</f>
        <v>56.313000000000002</v>
      </c>
      <c r="AB63" s="55">
        <f>_xll.EQNXTDZ($A$1,$B63,AB$1,$B$1)</f>
        <v>64.601699999999994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12.1658182</v>
      </c>
      <c r="G65" s="55">
        <f>_xll.EQNXTDZ($A$1,$B65,G$1,$B$1)</f>
        <v>11.541281</v>
      </c>
      <c r="H65" s="55">
        <f>_xll.EQNXTDZ($A$1,$B65,H$1,$B$1)</f>
        <v>13.3041483</v>
      </c>
      <c r="I65" s="55">
        <f>_xll.EQNXTDZ($A$1,$B65,I$1,$B$1)</f>
        <v>21.904699999999998</v>
      </c>
      <c r="J65" s="55">
        <f>_xll.EQNXTDZ($A$1,$B65,J$1,$B$1)</f>
        <v>25.764900000000001</v>
      </c>
      <c r="K65" s="55">
        <f>_xll.EQNXTDZ($A$1,$B65,K$1,$B$1)</f>
        <v>27.944700000000001</v>
      </c>
      <c r="L65" s="55">
        <f>_xll.EQNXTDZ($A$1,$B65,L$1,$B$1)</f>
        <v>31.0185</v>
      </c>
      <c r="M65" s="55">
        <f>_xll.EQNXTDZ($A$1,$B65,M$1,$B$1)</f>
        <v>32.0869</v>
      </c>
      <c r="N65" s="55">
        <f>_xll.EQNXTDZ($A$1,$B65,N$1,$B$1)</f>
        <v>36.471299999999999</v>
      </c>
      <c r="O65" s="55">
        <f>_xll.EQNXTDZ($A$1,$B65,O$1,$B$1)</f>
        <v>35.511499999999998</v>
      </c>
      <c r="P65" s="55">
        <f>_xll.EQNXTDZ($A$1,$B65,P$1,$B$1)</f>
        <v>33.589100000000002</v>
      </c>
      <c r="Q65" s="55">
        <f>_xll.EQNXTDZ($A$1,$B65,Q$1,$B$1)</f>
        <v>30.764199999999999</v>
      </c>
      <c r="R65" s="55">
        <f>_xll.EQNXTDZ($A$1,$B65,R$1,$B$1)</f>
        <v>79.271900000000002</v>
      </c>
      <c r="S65" s="55">
        <f>_xll.EQNXTDZ($A$1,$B65,S$1,$B$1)</f>
        <v>73.927000000000007</v>
      </c>
      <c r="T65" s="55">
        <f>_xll.EQNXTDZ($A$1,$B65,T$1,$B$1)</f>
        <v>70.737399999999994</v>
      </c>
      <c r="U65" s="55">
        <f>_xll.EQNXTDZ($A$1,$B65,U$1,$B$1)</f>
        <v>68.691699999999997</v>
      </c>
      <c r="V65" s="55">
        <f>_xll.EQNXTDZ($A$1,$B65,V$1,$B$1)</f>
        <v>71.244399999999999</v>
      </c>
      <c r="W65" s="55">
        <f>_xll.EQNXTDZ($A$1,$B65,W$1,$B$1)</f>
        <v>66.27</v>
      </c>
      <c r="X65" s="55">
        <f>_xll.EQNXTDZ($A$1,$B65,X$1,$B$1)</f>
        <v>71.080699999999993</v>
      </c>
      <c r="Y65" s="55">
        <f>_xll.EQNXTDZ($A$1,$B65,Y$1,$B$1)</f>
        <v>79.415899999999993</v>
      </c>
      <c r="Z65" s="55">
        <f>_xll.EQNXTDZ($A$1,$B65,Z$1,$B$1)</f>
        <v>74.696700000000007</v>
      </c>
      <c r="AA65" s="55">
        <f>_xll.EQNXTDZ($A$1,$B65,AA$1,$B$1)</f>
        <v>129.03290000000001</v>
      </c>
      <c r="AB65" s="55">
        <f>_xll.EQNXTDZ($A$1,$B65,AB$1,$B$1)</f>
        <v>156.89359999999999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4.8679800000000002E-2</v>
      </c>
      <c r="H67" s="55">
        <f>_xll.EQNXTDZ($A$1,$B67,H$1,$B$1)</f>
        <v>5.9957988999999996</v>
      </c>
      <c r="I67" s="55">
        <f>_xll.EQNXTDZ($A$1,$B67,I$1,$B$1)</f>
        <v>0.2576</v>
      </c>
      <c r="J67" s="55">
        <f>_xll.EQNXTDZ($A$1,$B67,J$1,$B$1)</f>
        <v>9.8599999999999993E-2</v>
      </c>
      <c r="K67" s="55">
        <f>_xll.EQNXTDZ($A$1,$B67,K$1,$B$1)</f>
        <v>2.5777000000000001</v>
      </c>
      <c r="L67" s="55">
        <f>_xll.EQNXTDZ($A$1,$B67,L$1,$B$1)</f>
        <v>1.9612000000000001</v>
      </c>
      <c r="M67" s="55">
        <f>_xll.EQNXTDZ($A$1,$B67,M$1,$B$1)</f>
        <v>0</v>
      </c>
      <c r="N67" s="55">
        <f>_xll.EQNXTDZ($A$1,$B67,N$1,$B$1)</f>
        <v>0.3256</v>
      </c>
      <c r="O67" s="55">
        <f>_xll.EQNXTDZ($A$1,$B67,O$1,$B$1)</f>
        <v>0.36980000000000002</v>
      </c>
      <c r="P67" s="55">
        <f>_xll.EQNXTDZ($A$1,$B67,P$1,$B$1)</f>
        <v>3.1211000000000002</v>
      </c>
      <c r="Q67" s="55">
        <f>_xll.EQNXTDZ($A$1,$B67,Q$1,$B$1)</f>
        <v>47.551099999999998</v>
      </c>
      <c r="R67" s="55">
        <f>_xll.EQNXTDZ($A$1,$B67,R$1,$B$1)</f>
        <v>1.5087999999999999</v>
      </c>
      <c r="S67" s="55">
        <f>_xll.EQNXTDZ($A$1,$B67,S$1,$B$1)</f>
        <v>3.0785999999999998</v>
      </c>
      <c r="T67" s="55">
        <f>_xll.EQNXTDZ($A$1,$B67,T$1,$B$1)</f>
        <v>3.0365000000000002</v>
      </c>
      <c r="U67" s="55">
        <f>_xll.EQNXTDZ($A$1,$B67,U$1,$B$1)</f>
        <v>2.8308</v>
      </c>
      <c r="V67" s="55">
        <f>_xll.EQNXTDZ($A$1,$B67,V$1,$B$1)</f>
        <v>0</v>
      </c>
      <c r="W67" s="55">
        <f>_xll.EQNXTDZ($A$1,$B67,W$1,$B$1)</f>
        <v>1.2846</v>
      </c>
      <c r="X67" s="55">
        <f>_xll.EQNXTDZ($A$1,$B67,X$1,$B$1)</f>
        <v>7.3665000000000003</v>
      </c>
      <c r="Y67" s="55">
        <f>_xll.EQNXTDZ($A$1,$B67,Y$1,$B$1)</f>
        <v>0.8508</v>
      </c>
      <c r="Z67" s="55">
        <f>_xll.EQNXTDZ($A$1,$B67,Z$1,$B$1)</f>
        <v>45.094200000000001</v>
      </c>
      <c r="AA67" s="55">
        <f>_xll.EQNXTDZ($A$1,$B67,AA$1,$B$1)</f>
        <v>34.591000000000001</v>
      </c>
      <c r="AB67" s="55">
        <f>_xll.EQNXTDZ($A$1,$B67,AB$1,$B$1)</f>
        <v>5.7915000000000001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1E-3</v>
      </c>
      <c r="G71" s="55">
        <f>_xll.EQNXTDZ($A$1,$B71,G$1,$B$1)</f>
        <v>1E-3</v>
      </c>
      <c r="H71" s="55">
        <f>_xll.EQNXTDZ($A$1,$B71,H$1,$B$1)</f>
        <v>2.5000000000000001E-3</v>
      </c>
      <c r="I71" s="55">
        <f>_xll.EQNXTDZ($A$1,$B71,I$1,$B$1)</f>
        <v>2.5000000000000001E-3</v>
      </c>
      <c r="J71" s="55">
        <f>_xll.EQNXTDZ($A$1,$B71,J$1,$B$1)</f>
        <v>2.5000000000000001E-3</v>
      </c>
      <c r="K71" s="55">
        <f>_xll.EQNXTDZ($A$1,$B71,K$1,$B$1)</f>
        <v>2.5000000000000001E-3</v>
      </c>
      <c r="L71" s="55">
        <f>_xll.EQNXTDZ($A$1,$B71,L$1,$B$1)</f>
        <v>2.5000000000000001E-3</v>
      </c>
      <c r="M71" s="55">
        <f>_xll.EQNXTDZ($A$1,$B71,M$1,$B$1)</f>
        <v>4.2774999999999999</v>
      </c>
      <c r="N71" s="55">
        <f>_xll.EQNXTDZ($A$1,$B71,N$1,$B$1)</f>
        <v>4.2774999999999999</v>
      </c>
      <c r="O71" s="55">
        <f>_xll.EQNXTDZ($A$1,$B71,O$1,$B$1)</f>
        <v>4.2774999999999999</v>
      </c>
      <c r="P71" s="55">
        <f>_xll.EQNXTDZ($A$1,$B71,P$1,$B$1)</f>
        <v>2.5000000000000001E-3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0.43120000000000003</v>
      </c>
      <c r="N72" s="55">
        <f>_xll.EQNXTDZ($A$1,$B72,N$1,$B$1)</f>
        <v>0.3947</v>
      </c>
      <c r="O72" s="55">
        <f>_xll.EQNXTDZ($A$1,$B72,O$1,$B$1)</f>
        <v>0</v>
      </c>
      <c r="P72" s="55">
        <f>_xll.EQNXTDZ($A$1,$B72,P$1,$B$1)</f>
        <v>4.5064000000000002</v>
      </c>
      <c r="Q72" s="55">
        <f>_xll.EQNXTDZ($A$1,$B72,Q$1,$B$1)</f>
        <v>5.5754000000000001</v>
      </c>
      <c r="R72" s="55">
        <f>_xll.EQNXTDZ($A$1,$B72,R$1,$B$1)</f>
        <v>2.3361999999999998</v>
      </c>
      <c r="S72" s="55">
        <f>_xll.EQNXTDZ($A$1,$B72,S$1,$B$1)</f>
        <v>3.2450999999999999</v>
      </c>
      <c r="T72" s="55">
        <f>_xll.EQNXTDZ($A$1,$B72,T$1,$B$1)</f>
        <v>3.7675999999999998</v>
      </c>
      <c r="U72" s="55">
        <f>_xll.EQNXTDZ($A$1,$B72,U$1,$B$1)</f>
        <v>6.4509999999999996</v>
      </c>
      <c r="V72" s="55">
        <f>_xll.EQNXTDZ($A$1,$B72,V$1,$B$1)</f>
        <v>3.0741999999999998</v>
      </c>
      <c r="W72" s="55">
        <f>_xll.EQNXTDZ($A$1,$B72,W$1,$B$1)</f>
        <v>3.2568999999999999</v>
      </c>
      <c r="X72" s="55">
        <f>_xll.EQNXTDZ($A$1,$B72,X$1,$B$1)</f>
        <v>13.350899999999999</v>
      </c>
      <c r="Y72" s="55">
        <f>_xll.EQNXTDZ($A$1,$B72,Y$1,$B$1)</f>
        <v>4.1144999999999996</v>
      </c>
      <c r="Z72" s="55">
        <f>_xll.EQNXTDZ($A$1,$B72,Z$1,$B$1)</f>
        <v>19.800799999999999</v>
      </c>
      <c r="AA72" s="55">
        <f>_xll.EQNXTDZ($A$1,$B72,AA$1,$B$1)</f>
        <v>7.2995000000000001</v>
      </c>
      <c r="AB72" s="55">
        <f>_xll.EQNXTDZ($A$1,$B72,AB$1,$B$1)</f>
        <v>2.0889000000000002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3.1183000000000001</v>
      </c>
      <c r="S73" s="55">
        <f>_xll.EQNXTDZ($A$1,$B73,S$1,$B$1)</f>
        <v>3.5150000000000001</v>
      </c>
      <c r="T73" s="55">
        <f>_xll.EQNXTDZ($A$1,$B73,T$1,$B$1)</f>
        <v>3.9030999999999998</v>
      </c>
      <c r="U73" s="55">
        <f>_xll.EQNXTDZ($A$1,$B73,U$1,$B$1)</f>
        <v>0.29370000000000002</v>
      </c>
      <c r="V73" s="55">
        <f>_xll.EQNXTDZ($A$1,$B73,V$1,$B$1)</f>
        <v>2.4948000000000001</v>
      </c>
      <c r="W73" s="55">
        <f>_xll.EQNXTDZ($A$1,$B73,W$1,$B$1)</f>
        <v>2.9807999999999999</v>
      </c>
      <c r="X73" s="55">
        <f>_xll.EQNXTDZ($A$1,$B73,X$1,$B$1)</f>
        <v>6.1999999999999998E-3</v>
      </c>
      <c r="Y73" s="55">
        <f>_xll.EQNXTDZ($A$1,$B73,Y$1,$B$1)</f>
        <v>6.1999999999999998E-3</v>
      </c>
      <c r="Z73" s="55">
        <f>_xll.EQNXTDZ($A$1,$B73,Z$1,$B$1)</f>
        <v>6.1999999999999998E-3</v>
      </c>
      <c r="AA73" s="55">
        <f>_xll.EQNXTDZ($A$1,$B73,AA$1,$B$1)</f>
        <v>0.4249</v>
      </c>
      <c r="AB73" s="55">
        <f>_xll.EQNXTDZ($A$1,$B73,AB$1,$B$1)</f>
        <v>0.67390000000000005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12.1668182</v>
      </c>
      <c r="G74" s="55">
        <f>_xll.EQNXTDZ($A$1,$B74,G$1,$B$1)</f>
        <v>11.5909608</v>
      </c>
      <c r="H74" s="55">
        <f>_xll.EQNXTDZ($A$1,$B74,H$1,$B$1)</f>
        <v>19.3024472</v>
      </c>
      <c r="I74" s="55">
        <f>_xll.EQNXTDZ($A$1,$B74,I$1,$B$1)</f>
        <v>22.1648</v>
      </c>
      <c r="J74" s="55">
        <f>_xll.EQNXTDZ($A$1,$B74,J$1,$B$1)</f>
        <v>25.866</v>
      </c>
      <c r="K74" s="55">
        <f>_xll.EQNXTDZ($A$1,$B74,K$1,$B$1)</f>
        <v>30.524899999999999</v>
      </c>
      <c r="L74" s="55">
        <f>_xll.EQNXTDZ($A$1,$B74,L$1,$B$1)</f>
        <v>32.982199999999999</v>
      </c>
      <c r="M74" s="55">
        <f>_xll.EQNXTDZ($A$1,$B74,M$1,$B$1)</f>
        <v>36.7956</v>
      </c>
      <c r="N74" s="55">
        <f>_xll.EQNXTDZ($A$1,$B74,N$1,$B$1)</f>
        <v>41.469099999999997</v>
      </c>
      <c r="O74" s="55">
        <f>_xll.EQNXTDZ($A$1,$B74,O$1,$B$1)</f>
        <v>40.158799999999999</v>
      </c>
      <c r="P74" s="55">
        <f>_xll.EQNXTDZ($A$1,$B74,P$1,$B$1)</f>
        <v>41.219099999999997</v>
      </c>
      <c r="Q74" s="55">
        <f>_xll.EQNXTDZ($A$1,$B74,Q$1,$B$1)</f>
        <v>83.890699999999995</v>
      </c>
      <c r="R74" s="55">
        <f>_xll.EQNXTDZ($A$1,$B74,R$1,$B$1)</f>
        <v>86.235200000000006</v>
      </c>
      <c r="S74" s="55">
        <f>_xll.EQNXTDZ($A$1,$B74,S$1,$B$1)</f>
        <v>83.765699999999995</v>
      </c>
      <c r="T74" s="55">
        <f>_xll.EQNXTDZ($A$1,$B74,T$1,$B$1)</f>
        <v>81.444599999999994</v>
      </c>
      <c r="U74" s="55">
        <f>_xll.EQNXTDZ($A$1,$B74,U$1,$B$1)</f>
        <v>78.267200000000003</v>
      </c>
      <c r="V74" s="55">
        <f>_xll.EQNXTDZ($A$1,$B74,V$1,$B$1)</f>
        <v>76.813400000000001</v>
      </c>
      <c r="W74" s="55">
        <f>_xll.EQNXTDZ($A$1,$B74,W$1,$B$1)</f>
        <v>73.792299999999997</v>
      </c>
      <c r="X74" s="55">
        <f>_xll.EQNXTDZ($A$1,$B74,X$1,$B$1)</f>
        <v>91.804299999999998</v>
      </c>
      <c r="Y74" s="55">
        <f>_xll.EQNXTDZ($A$1,$B74,Y$1,$B$1)</f>
        <v>84.3874</v>
      </c>
      <c r="Z74" s="55">
        <f>_xll.EQNXTDZ($A$1,$B74,Z$1,$B$1)</f>
        <v>139.59790000000001</v>
      </c>
      <c r="AA74" s="55">
        <f>_xll.EQNXTDZ($A$1,$B74,AA$1,$B$1)</f>
        <v>171.34829999999999</v>
      </c>
      <c r="AB74" s="55">
        <f>_xll.EQNXTDZ($A$1,$B74,AB$1,$B$1)</f>
        <v>165.4479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2.6378691999999999</v>
      </c>
      <c r="G76" s="55">
        <f>_xll.EQNXTDZ($A$1,$B76,G$1,$B$1)</f>
        <v>3.0415812999999998</v>
      </c>
      <c r="H76" s="55">
        <f>_xll.EQNXTDZ($A$1,$B76,H$1,$B$1)</f>
        <v>4.4824099000000004</v>
      </c>
      <c r="I76" s="55">
        <f>_xll.EQNXTDZ($A$1,$B76,I$1,$B$1)</f>
        <v>4.9360999999999997</v>
      </c>
      <c r="J76" s="55">
        <f>_xll.EQNXTDZ($A$1,$B76,J$1,$B$1)</f>
        <v>5.2972000000000001</v>
      </c>
      <c r="K76" s="55">
        <f>_xll.EQNXTDZ($A$1,$B76,K$1,$B$1)</f>
        <v>4.7215999999999996</v>
      </c>
      <c r="L76" s="55">
        <f>_xll.EQNXTDZ($A$1,$B76,L$1,$B$1)</f>
        <v>7.4406999999999996</v>
      </c>
      <c r="M76" s="55">
        <f>_xll.EQNXTDZ($A$1,$B76,M$1,$B$1)</f>
        <v>9.5119000000000007</v>
      </c>
      <c r="N76" s="55">
        <f>_xll.EQNXTDZ($A$1,$B76,N$1,$B$1)</f>
        <v>10.121600000000001</v>
      </c>
      <c r="O76" s="55">
        <f>_xll.EQNXTDZ($A$1,$B76,O$1,$B$1)</f>
        <v>11.404299999999999</v>
      </c>
      <c r="P76" s="55">
        <f>_xll.EQNXTDZ($A$1,$B76,P$1,$B$1)</f>
        <v>13.7964</v>
      </c>
      <c r="Q76" s="55">
        <f>_xll.EQNXTDZ($A$1,$B76,Q$1,$B$1)</f>
        <v>20.341200000000001</v>
      </c>
      <c r="R76" s="55">
        <f>_xll.EQNXTDZ($A$1,$B76,R$1,$B$1)</f>
        <v>27.667000000000002</v>
      </c>
      <c r="S76" s="55">
        <f>_xll.EQNXTDZ($A$1,$B76,S$1,$B$1)</f>
        <v>22.4785</v>
      </c>
      <c r="T76" s="55">
        <f>_xll.EQNXTDZ($A$1,$B76,T$1,$B$1)</f>
        <v>31.349299999999999</v>
      </c>
      <c r="U76" s="55">
        <f>_xll.EQNXTDZ($A$1,$B76,U$1,$B$1)</f>
        <v>27.561199999999999</v>
      </c>
      <c r="V76" s="55">
        <f>_xll.EQNXTDZ($A$1,$B76,V$1,$B$1)</f>
        <v>28.723199999999999</v>
      </c>
      <c r="W76" s="55">
        <f>_xll.EQNXTDZ($A$1,$B76,W$1,$B$1)</f>
        <v>26.093299999999999</v>
      </c>
      <c r="X76" s="55">
        <f>_xll.EQNXTDZ($A$1,$B76,X$1,$B$1)</f>
        <v>29.398499999999999</v>
      </c>
      <c r="Y76" s="55">
        <f>_xll.EQNXTDZ($A$1,$B76,Y$1,$B$1)</f>
        <v>36.373600000000003</v>
      </c>
      <c r="Z76" s="55">
        <f>_xll.EQNXTDZ($A$1,$B76,Z$1,$B$1)</f>
        <v>43.276499999999999</v>
      </c>
      <c r="AA76" s="55">
        <f>_xll.EQNXTDZ($A$1,$B76,AA$1,$B$1)</f>
        <v>57.011899999999997</v>
      </c>
      <c r="AB76" s="55">
        <f>_xll.EQNXTDZ($A$1,$B76,AB$1,$B$1)</f>
        <v>51.846600000000002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2.7128956999999998</v>
      </c>
      <c r="G77" s="55">
        <f>_xll.EQNXTDZ($A$1,$B77,G$1,$B$1)</f>
        <v>3.5697040000000002</v>
      </c>
      <c r="H77" s="55">
        <f>_xll.EQNXTDZ($A$1,$B77,H$1,$B$1)</f>
        <v>6.4148275999999997</v>
      </c>
      <c r="I77" s="55">
        <f>_xll.EQNXTDZ($A$1,$B77,I$1,$B$1)</f>
        <v>6.9542000000000002</v>
      </c>
      <c r="J77" s="55">
        <f>_xll.EQNXTDZ($A$1,$B77,J$1,$B$1)</f>
        <v>8.9347999999999992</v>
      </c>
      <c r="K77" s="55">
        <f>_xll.EQNXTDZ($A$1,$B77,K$1,$B$1)</f>
        <v>11.4598</v>
      </c>
      <c r="L77" s="55">
        <f>_xll.EQNXTDZ($A$1,$B77,L$1,$B$1)</f>
        <v>15.0954</v>
      </c>
      <c r="M77" s="55">
        <f>_xll.EQNXTDZ($A$1,$B77,M$1,$B$1)</f>
        <v>17.679200000000002</v>
      </c>
      <c r="N77" s="55">
        <f>_xll.EQNXTDZ($A$1,$B77,N$1,$B$1)</f>
        <v>19.1126</v>
      </c>
      <c r="O77" s="55">
        <f>_xll.EQNXTDZ($A$1,$B77,O$1,$B$1)</f>
        <v>21.8813</v>
      </c>
      <c r="P77" s="55">
        <f>_xll.EQNXTDZ($A$1,$B77,P$1,$B$1)</f>
        <v>32.885300000000001</v>
      </c>
      <c r="Q77" s="55">
        <f>_xll.EQNXTDZ($A$1,$B77,Q$1,$B$1)</f>
        <v>11.892899999999999</v>
      </c>
      <c r="R77" s="55">
        <f>_xll.EQNXTDZ($A$1,$B77,R$1,$B$1)</f>
        <v>25.6571</v>
      </c>
      <c r="S77" s="55">
        <f>_xll.EQNXTDZ($A$1,$B77,S$1,$B$1)</f>
        <v>27.237200000000001</v>
      </c>
      <c r="T77" s="55">
        <f>_xll.EQNXTDZ($A$1,$B77,T$1,$B$1)</f>
        <v>29.7349</v>
      </c>
      <c r="U77" s="55">
        <f>_xll.EQNXTDZ($A$1,$B77,U$1,$B$1)</f>
        <v>26.5806</v>
      </c>
      <c r="V77" s="55">
        <f>_xll.EQNXTDZ($A$1,$B77,V$1,$B$1)</f>
        <v>28.242599999999999</v>
      </c>
      <c r="W77" s="55">
        <f>_xll.EQNXTDZ($A$1,$B77,W$1,$B$1)</f>
        <v>28.680700000000002</v>
      </c>
      <c r="X77" s="55">
        <f>_xll.EQNXTDZ($A$1,$B77,X$1,$B$1)</f>
        <v>41.344299999999997</v>
      </c>
      <c r="Y77" s="55">
        <f>_xll.EQNXTDZ($A$1,$B77,Y$1,$B$1)</f>
        <v>40.113599999999998</v>
      </c>
      <c r="Z77" s="55">
        <f>_xll.EQNXTDZ($A$1,$B77,Z$1,$B$1)</f>
        <v>47.886800000000001</v>
      </c>
      <c r="AA77" s="55">
        <f>_xll.EQNXTDZ($A$1,$B77,AA$1,$B$1)</f>
        <v>64.087299999999999</v>
      </c>
      <c r="AB77" s="55">
        <f>_xll.EQNXTDZ($A$1,$B77,AB$1,$B$1)</f>
        <v>70.889300000000006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0.23271310000000001</v>
      </c>
      <c r="G78" s="55">
        <f>_xll.EQNXTDZ($A$1,$B78,G$1,$B$1)</f>
        <v>0.25752380000000002</v>
      </c>
      <c r="H78" s="55">
        <f>_xll.EQNXTDZ($A$1,$B78,H$1,$B$1)</f>
        <v>0.16483049999999999</v>
      </c>
      <c r="I78" s="55">
        <f>_xll.EQNXTDZ($A$1,$B78,I$1,$B$1)</f>
        <v>0.55600000000000005</v>
      </c>
      <c r="J78" s="55">
        <f>_xll.EQNXTDZ($A$1,$B78,J$1,$B$1)</f>
        <v>0.34699999999999998</v>
      </c>
      <c r="K78" s="55">
        <f>_xll.EQNXTDZ($A$1,$B78,K$1,$B$1)</f>
        <v>0.51680000000000004</v>
      </c>
      <c r="L78" s="55">
        <f>_xll.EQNXTDZ($A$1,$B78,L$1,$B$1)</f>
        <v>0.58699999999999997</v>
      </c>
      <c r="M78" s="55">
        <f>_xll.EQNXTDZ($A$1,$B78,M$1,$B$1)</f>
        <v>0.51639999999999997</v>
      </c>
      <c r="N78" s="55">
        <f>_xll.EQNXTDZ($A$1,$B78,N$1,$B$1)</f>
        <v>0.75080000000000002</v>
      </c>
      <c r="O78" s="55">
        <f>_xll.EQNXTDZ($A$1,$B78,O$1,$B$1)</f>
        <v>0.51700000000000002</v>
      </c>
      <c r="P78" s="55">
        <f>_xll.EQNXTDZ($A$1,$B78,P$1,$B$1)</f>
        <v>2.7250999999999999</v>
      </c>
      <c r="Q78" s="55">
        <f>_xll.EQNXTDZ($A$1,$B78,Q$1,$B$1)</f>
        <v>0.18229999999999999</v>
      </c>
      <c r="R78" s="55">
        <f>_xll.EQNXTDZ($A$1,$B78,R$1,$B$1)</f>
        <v>2.1215999999999999</v>
      </c>
      <c r="S78" s="55">
        <f>_xll.EQNXTDZ($A$1,$B78,S$1,$B$1)</f>
        <v>1.2402</v>
      </c>
      <c r="T78" s="55">
        <f>_xll.EQNXTDZ($A$1,$B78,T$1,$B$1)</f>
        <v>2.6320999999999999</v>
      </c>
      <c r="U78" s="55">
        <f>_xll.EQNXTDZ($A$1,$B78,U$1,$B$1)</f>
        <v>1.8708</v>
      </c>
      <c r="V78" s="55">
        <f>_xll.EQNXTDZ($A$1,$B78,V$1,$B$1)</f>
        <v>1.05</v>
      </c>
      <c r="W78" s="55">
        <f>_xll.EQNXTDZ($A$1,$B78,W$1,$B$1)</f>
        <v>3.5712999999999999</v>
      </c>
      <c r="X78" s="55">
        <f>_xll.EQNXTDZ($A$1,$B78,X$1,$B$1)</f>
        <v>5.8406000000000002</v>
      </c>
      <c r="Y78" s="55">
        <f>_xll.EQNXTDZ($A$1,$B78,Y$1,$B$1)</f>
        <v>1.7868999999999999</v>
      </c>
      <c r="Z78" s="55">
        <f>_xll.EQNXTDZ($A$1,$B78,Z$1,$B$1)</f>
        <v>0.60429999999999995</v>
      </c>
      <c r="AA78" s="55">
        <f>_xll.EQNXTDZ($A$1,$B78,AA$1,$B$1)</f>
        <v>3.7229999999999999</v>
      </c>
      <c r="AB78" s="55">
        <f>_xll.EQNXTDZ($A$1,$B78,AB$1,$B$1)</f>
        <v>14.132300000000001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2.1875</v>
      </c>
      <c r="N79" s="55">
        <f>_xll.EQNXTDZ($A$1,$B79,N$1,$B$1)</f>
        <v>2.4950999999999999</v>
      </c>
      <c r="O79" s="55">
        <f>_xll.EQNXTDZ($A$1,$B79,O$1,$B$1)</f>
        <v>3.0924</v>
      </c>
      <c r="P79" s="55">
        <f>_xll.EQNXTDZ($A$1,$B79,P$1,$B$1)</f>
        <v>6.4880000000000004</v>
      </c>
      <c r="Q79" s="55">
        <f>_xll.EQNXTDZ($A$1,$B79,Q$1,$B$1)</f>
        <v>12.569699999999999</v>
      </c>
      <c r="R79" s="55">
        <f>_xll.EQNXTDZ($A$1,$B79,R$1,$B$1)</f>
        <v>5.1353</v>
      </c>
      <c r="S79" s="55">
        <f>_xll.EQNXTDZ($A$1,$B79,S$1,$B$1)</f>
        <v>6.3945999999999996</v>
      </c>
      <c r="T79" s="55">
        <f>_xll.EQNXTDZ($A$1,$B79,T$1,$B$1)</f>
        <v>1.254</v>
      </c>
      <c r="U79" s="55">
        <f>_xll.EQNXTDZ($A$1,$B79,U$1,$B$1)</f>
        <v>0.30220000000000002</v>
      </c>
      <c r="V79" s="55">
        <f>_xll.EQNXTDZ($A$1,$B79,V$1,$B$1)</f>
        <v>2.9434</v>
      </c>
      <c r="W79" s="55">
        <f>_xll.EQNXTDZ($A$1,$B79,W$1,$B$1)</f>
        <v>0.47939999999999999</v>
      </c>
      <c r="X79" s="55">
        <f>_xll.EQNXTDZ($A$1,$B79,X$1,$B$1)</f>
        <v>0.93869999999999998</v>
      </c>
      <c r="Y79" s="55">
        <f>_xll.EQNXTDZ($A$1,$B79,Y$1,$B$1)</f>
        <v>1.3197000000000001</v>
      </c>
      <c r="Z79" s="55">
        <f>_xll.EQNXTDZ($A$1,$B79,Z$1,$B$1)</f>
        <v>1.5319</v>
      </c>
      <c r="AA79" s="55">
        <f>_xll.EQNXTDZ($A$1,$B79,AA$1,$B$1)</f>
        <v>2.9434999999999998</v>
      </c>
      <c r="AB79" s="55">
        <f>_xll.EQNXTDZ($A$1,$B79,AB$1,$B$1)</f>
        <v>2.0327999999999999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0.54886330000000005</v>
      </c>
      <c r="G80" s="55">
        <f>_xll.EQNXTDZ($A$1,$B80,G$1,$B$1)</f>
        <v>0.62154469999999995</v>
      </c>
      <c r="H80" s="55">
        <f>_xll.EQNXTDZ($A$1,$B80,H$1,$B$1)</f>
        <v>1.4343330000000001</v>
      </c>
      <c r="I80" s="55">
        <f>_xll.EQNXTDZ($A$1,$B80,I$1,$B$1)</f>
        <v>2.7079</v>
      </c>
      <c r="J80" s="55">
        <f>_xll.EQNXTDZ($A$1,$B80,J$1,$B$1)</f>
        <v>1.5571999999999999</v>
      </c>
      <c r="K80" s="55">
        <f>_xll.EQNXTDZ($A$1,$B80,K$1,$B$1)</f>
        <v>2.0678000000000001</v>
      </c>
      <c r="L80" s="55">
        <f>_xll.EQNXTDZ($A$1,$B80,L$1,$B$1)</f>
        <v>2.7858000000000001</v>
      </c>
      <c r="M80" s="55">
        <f>_xll.EQNXTDZ($A$1,$B80,M$1,$B$1)</f>
        <v>1.5786</v>
      </c>
      <c r="N80" s="55">
        <f>_xll.EQNXTDZ($A$1,$B80,N$1,$B$1)</f>
        <v>1.831</v>
      </c>
      <c r="O80" s="55">
        <f>_xll.EQNXTDZ($A$1,$B80,O$1,$B$1)</f>
        <v>2.4140999999999999</v>
      </c>
      <c r="P80" s="55">
        <f>_xll.EQNXTDZ($A$1,$B80,P$1,$B$1)</f>
        <v>2.7755000000000001</v>
      </c>
      <c r="Q80" s="55">
        <f>_xll.EQNXTDZ($A$1,$B80,Q$1,$B$1)</f>
        <v>2.5666000000000002</v>
      </c>
      <c r="R80" s="55">
        <f>_xll.EQNXTDZ($A$1,$B80,R$1,$B$1)</f>
        <v>3.9906999999999999</v>
      </c>
      <c r="S80" s="55">
        <f>_xll.EQNXTDZ($A$1,$B80,S$1,$B$1)</f>
        <v>1.3211999999999999</v>
      </c>
      <c r="T80" s="55">
        <f>_xll.EQNXTDZ($A$1,$B80,T$1,$B$1)</f>
        <v>12.2775</v>
      </c>
      <c r="U80" s="55">
        <f>_xll.EQNXTDZ($A$1,$B80,U$1,$B$1)</f>
        <v>15.1561</v>
      </c>
      <c r="V80" s="55">
        <f>_xll.EQNXTDZ($A$1,$B80,V$1,$B$1)</f>
        <v>11.0672</v>
      </c>
      <c r="W80" s="55">
        <f>_xll.EQNXTDZ($A$1,$B80,W$1,$B$1)</f>
        <v>9.6432000000000002</v>
      </c>
      <c r="X80" s="55">
        <f>_xll.EQNXTDZ($A$1,$B80,X$1,$B$1)</f>
        <v>15.5565</v>
      </c>
      <c r="Y80" s="55">
        <f>_xll.EQNXTDZ($A$1,$B80,Y$1,$B$1)</f>
        <v>13.238300000000001</v>
      </c>
      <c r="Z80" s="55">
        <f>_xll.EQNXTDZ($A$1,$B80,Z$1,$B$1)</f>
        <v>12.240500000000001</v>
      </c>
      <c r="AA80" s="55">
        <f>_xll.EQNXTDZ($A$1,$B80,AA$1,$B$1)</f>
        <v>9.2241</v>
      </c>
      <c r="AB80" s="55">
        <f>_xll.EQNXTDZ($A$1,$B80,AB$1,$B$1)</f>
        <v>0.6583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6.1323413000000002</v>
      </c>
      <c r="G82" s="55">
        <f>_xll.EQNXTDZ($A$1,$B82,G$1,$B$1)</f>
        <v>7.4903538000000003</v>
      </c>
      <c r="H82" s="55">
        <f>_xll.EQNXTDZ($A$1,$B82,H$1,$B$1)</f>
        <v>12.496401000000001</v>
      </c>
      <c r="I82" s="55">
        <f>_xll.EQNXTDZ($A$1,$B82,I$1,$B$1)</f>
        <v>15.154199999999999</v>
      </c>
      <c r="J82" s="55">
        <f>_xll.EQNXTDZ($A$1,$B82,J$1,$B$1)</f>
        <v>16.136199999999999</v>
      </c>
      <c r="K82" s="55">
        <f>_xll.EQNXTDZ($A$1,$B82,K$1,$B$1)</f>
        <v>18.765999999999998</v>
      </c>
      <c r="L82" s="55">
        <f>_xll.EQNXTDZ($A$1,$B82,L$1,$B$1)</f>
        <v>25.908899999999999</v>
      </c>
      <c r="M82" s="55">
        <f>_xll.EQNXTDZ($A$1,$B82,M$1,$B$1)</f>
        <v>31.473600000000001</v>
      </c>
      <c r="N82" s="55">
        <f>_xll.EQNXTDZ($A$1,$B82,N$1,$B$1)</f>
        <v>34.311100000000003</v>
      </c>
      <c r="O82" s="55">
        <f>_xll.EQNXTDZ($A$1,$B82,O$1,$B$1)</f>
        <v>39.309100000000001</v>
      </c>
      <c r="P82" s="55">
        <f>_xll.EQNXTDZ($A$1,$B82,P$1,$B$1)</f>
        <v>58.670299999999997</v>
      </c>
      <c r="Q82" s="55">
        <f>_xll.EQNXTDZ($A$1,$B82,Q$1,$B$1)</f>
        <v>47.552700000000002</v>
      </c>
      <c r="R82" s="55">
        <f>_xll.EQNXTDZ($A$1,$B82,R$1,$B$1)</f>
        <v>64.571700000000007</v>
      </c>
      <c r="S82" s="55">
        <f>_xll.EQNXTDZ($A$1,$B82,S$1,$B$1)</f>
        <v>58.671700000000001</v>
      </c>
      <c r="T82" s="55">
        <f>_xll.EQNXTDZ($A$1,$B82,T$1,$B$1)</f>
        <v>77.247799999999998</v>
      </c>
      <c r="U82" s="55">
        <f>_xll.EQNXTDZ($A$1,$B82,U$1,$B$1)</f>
        <v>71.4709</v>
      </c>
      <c r="V82" s="55">
        <f>_xll.EQNXTDZ($A$1,$B82,V$1,$B$1)</f>
        <v>72.026399999999995</v>
      </c>
      <c r="W82" s="55">
        <f>_xll.EQNXTDZ($A$1,$B82,W$1,$B$1)</f>
        <v>68.4679</v>
      </c>
      <c r="X82" s="55">
        <f>_xll.EQNXTDZ($A$1,$B82,X$1,$B$1)</f>
        <v>93.078599999999994</v>
      </c>
      <c r="Y82" s="55">
        <f>_xll.EQNXTDZ($A$1,$B82,Y$1,$B$1)</f>
        <v>92.832099999999997</v>
      </c>
      <c r="Z82" s="55">
        <f>_xll.EQNXTDZ($A$1,$B82,Z$1,$B$1)</f>
        <v>105.54</v>
      </c>
      <c r="AA82" s="55">
        <f>_xll.EQNXTDZ($A$1,$B82,AA$1,$B$1)</f>
        <v>136.9898</v>
      </c>
      <c r="AB82" s="55">
        <f>_xll.EQNXTDZ($A$1,$B82,AB$1,$B$1)</f>
        <v>139.55930000000001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0.36451869999999997</v>
      </c>
      <c r="G83" s="55">
        <f>_xll.EQNXTDZ($A$1,$B83,G$1,$B$1)</f>
        <v>0.22807920000000001</v>
      </c>
      <c r="H83" s="55">
        <f>_xll.EQNXTDZ($A$1,$B83,H$1,$B$1)</f>
        <v>9.1639399999999996E-2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18.6636782</v>
      </c>
      <c r="G84" s="55">
        <f>_xll.EQNXTDZ($A$1,$B84,G$1,$B$1)</f>
        <v>19.309393799999999</v>
      </c>
      <c r="H84" s="55">
        <f>_xll.EQNXTDZ($A$1,$B84,H$1,$B$1)</f>
        <v>31.8904876</v>
      </c>
      <c r="I84" s="55">
        <f>_xll.EQNXTDZ($A$1,$B84,I$1,$B$1)</f>
        <v>37.319000000000003</v>
      </c>
      <c r="J84" s="55">
        <f>_xll.EQNXTDZ($A$1,$B84,J$1,$B$1)</f>
        <v>42.002200000000002</v>
      </c>
      <c r="K84" s="55">
        <f>_xll.EQNXTDZ($A$1,$B84,K$1,$B$1)</f>
        <v>49.290900000000001</v>
      </c>
      <c r="L84" s="55">
        <f>_xll.EQNXTDZ($A$1,$B84,L$1,$B$1)</f>
        <v>58.891100000000002</v>
      </c>
      <c r="M84" s="55">
        <f>_xll.EQNXTDZ($A$1,$B84,M$1,$B$1)</f>
        <v>68.269199999999998</v>
      </c>
      <c r="N84" s="55">
        <f>_xll.EQNXTDZ($A$1,$B84,N$1,$B$1)</f>
        <v>75.780199999999994</v>
      </c>
      <c r="O84" s="55">
        <f>_xll.EQNXTDZ($A$1,$B84,O$1,$B$1)</f>
        <v>79.4679</v>
      </c>
      <c r="P84" s="55">
        <f>_xll.EQNXTDZ($A$1,$B84,P$1,$B$1)</f>
        <v>99.889399999999995</v>
      </c>
      <c r="Q84" s="55">
        <f>_xll.EQNXTDZ($A$1,$B84,Q$1,$B$1)</f>
        <v>131.4434</v>
      </c>
      <c r="R84" s="55">
        <f>_xll.EQNXTDZ($A$1,$B84,R$1,$B$1)</f>
        <v>150.80690000000001</v>
      </c>
      <c r="S84" s="55">
        <f>_xll.EQNXTDZ($A$1,$B84,S$1,$B$1)</f>
        <v>142.4374</v>
      </c>
      <c r="T84" s="55">
        <f>_xll.EQNXTDZ($A$1,$B84,T$1,$B$1)</f>
        <v>158.69239999999999</v>
      </c>
      <c r="U84" s="55">
        <f>_xll.EQNXTDZ($A$1,$B84,U$1,$B$1)</f>
        <v>149.7381</v>
      </c>
      <c r="V84" s="55">
        <f>_xll.EQNXTDZ($A$1,$B84,V$1,$B$1)</f>
        <v>148.8398</v>
      </c>
      <c r="W84" s="55">
        <f>_xll.EQNXTDZ($A$1,$B84,W$1,$B$1)</f>
        <v>142.2602</v>
      </c>
      <c r="X84" s="55">
        <f>_xll.EQNXTDZ($A$1,$B84,X$1,$B$1)</f>
        <v>184.88290000000001</v>
      </c>
      <c r="Y84" s="55">
        <f>_xll.EQNXTDZ($A$1,$B84,Y$1,$B$1)</f>
        <v>177.21950000000001</v>
      </c>
      <c r="Z84" s="55">
        <f>_xll.EQNXTDZ($A$1,$B84,Z$1,$B$1)</f>
        <v>245.1379</v>
      </c>
      <c r="AA84" s="55">
        <f>_xll.EQNXTDZ($A$1,$B84,AA$1,$B$1)</f>
        <v>308.3381</v>
      </c>
      <c r="AB84" s="55">
        <f>_xll.EQNXTDZ($A$1,$B84,AB$1,$B$1)</f>
        <v>305.00720000000001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1.0303</v>
      </c>
      <c r="G85" s="55">
        <f>_xll.EQNXTDZ($A$1,$B85,G$1,$B$1)</f>
        <v>2.2496999999999998</v>
      </c>
      <c r="H85" s="55">
        <f>_xll.EQNXTDZ($A$1,$B85,H$1,$B$1)</f>
        <v>2.4243999999999999</v>
      </c>
      <c r="I85" s="55">
        <f>_xll.EQNXTDZ($A$1,$B85,I$1,$B$1)</f>
        <v>4.0762999999999998</v>
      </c>
      <c r="J85" s="55">
        <f>_xll.EQNXTDZ($A$1,$B85,J$1,$B$1)</f>
        <v>3.6684999999999999</v>
      </c>
      <c r="K85" s="55">
        <f>_xll.EQNXTDZ($A$1,$B85,K$1,$B$1)</f>
        <v>3.7791999999999999</v>
      </c>
      <c r="L85" s="55">
        <f>_xll.EQNXTDZ($A$1,$B85,L$1,$B$1)</f>
        <v>4.2962999999999996</v>
      </c>
      <c r="M85" s="55">
        <f>_xll.EQNXTDZ($A$1,$B85,M$1,$B$1)</f>
        <v>3.6836000000000002</v>
      </c>
      <c r="N85" s="55">
        <f>_xll.EQNXTDZ($A$1,$B85,N$1,$B$1)</f>
        <v>3.9836999999999998</v>
      </c>
      <c r="O85" s="55">
        <f>_xll.EQNXTDZ($A$1,$B85,O$1,$B$1)</f>
        <v>4.0514000000000001</v>
      </c>
      <c r="P85" s="55">
        <f>_xll.EQNXTDZ($A$1,$B85,P$1,$B$1)</f>
        <v>14.120200000000001</v>
      </c>
      <c r="Q85" s="55">
        <f>_xll.EQNXTDZ($A$1,$B85,Q$1,$B$1)</f>
        <v>13.7461</v>
      </c>
      <c r="R85" s="55">
        <f>_xll.EQNXTDZ($A$1,$B85,R$1,$B$1)</f>
        <v>24.1995</v>
      </c>
      <c r="S85" s="55">
        <f>_xll.EQNXTDZ($A$1,$B85,S$1,$B$1)</f>
        <v>15.8576</v>
      </c>
      <c r="T85" s="55">
        <f>_xll.EQNXTDZ($A$1,$B85,T$1,$B$1)</f>
        <v>15.261799999999999</v>
      </c>
      <c r="U85" s="55">
        <f>_xll.EQNXTDZ($A$1,$B85,U$1,$B$1)</f>
        <v>13.8408</v>
      </c>
      <c r="V85" s="55">
        <f>_xll.EQNXTDZ($A$1,$B85,V$1,$B$1)</f>
        <v>10.478199999999999</v>
      </c>
      <c r="W85" s="55">
        <f>_xll.EQNXTDZ($A$1,$B85,W$1,$B$1)</f>
        <v>6.4875999999999996</v>
      </c>
      <c r="X85" s="55">
        <f>_xll.EQNXTDZ($A$1,$B85,X$1,$B$1)</f>
        <v>5.8121</v>
      </c>
      <c r="Y85" s="55">
        <f>_xll.EQNXTDZ($A$1,$B85,Y$1,$B$1)</f>
        <v>5.0876000000000001</v>
      </c>
      <c r="Z85" s="55">
        <f>_xll.EQNXTDZ($A$1,$B85,Z$1,$B$1)</f>
        <v>4.6756000000000002</v>
      </c>
      <c r="AA85" s="55">
        <f>_xll.EQNXTDZ($A$1,$B85,AA$1,$B$1)</f>
        <v>16.802800000000001</v>
      </c>
      <c r="AB85" s="55">
        <f>_xll.EQNXTDZ($A$1,$B85,AB$1,$B$1)</f>
        <v>16.620699999999999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4.7081</v>
      </c>
      <c r="N87" s="55">
        <f>_xll.EQNXTDZ($A$1,$B87,N$1,$B$1)</f>
        <v>5.7168999999999999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15.121</v>
      </c>
      <c r="P88" s="55">
        <f>_xll.EQNXTDZ($A$1,$B88,P$1,$B$1)</f>
        <v>0.20030000000000001</v>
      </c>
      <c r="Q88" s="55">
        <f>_xll.EQNXTDZ($A$1,$B88,Q$1,$B$1)</f>
        <v>0.28460000000000002</v>
      </c>
      <c r="R88" s="55">
        <f>_xll.EQNXTDZ($A$1,$B88,R$1,$B$1)</f>
        <v>0.36780000000000002</v>
      </c>
      <c r="S88" s="55">
        <f>_xll.EQNXTDZ($A$1,$B88,S$1,$B$1)</f>
        <v>17.339600000000001</v>
      </c>
      <c r="T88" s="55">
        <f>_xll.EQNXTDZ($A$1,$B88,T$1,$B$1)</f>
        <v>4.9725999999999999</v>
      </c>
      <c r="U88" s="55">
        <f>_xll.EQNXTDZ($A$1,$B88,U$1,$B$1)</f>
        <v>22.1541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10.502800000000001</v>
      </c>
      <c r="Z88" s="55">
        <f>_xll.EQNXTDZ($A$1,$B88,Z$1,$B$1)</f>
        <v>35.1038</v>
      </c>
      <c r="AA88" s="55">
        <f>_xll.EQNXTDZ($A$1,$B88,AA$1,$B$1)</f>
        <v>43.203299999999999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0.55479999999999996</v>
      </c>
      <c r="G93" s="55">
        <f>_xll.EQNXTDZ($A$1,$B93,G$1,$B$1)</f>
        <v>0.65280000000000005</v>
      </c>
      <c r="H93" s="55">
        <f>_xll.EQNXTDZ($A$1,$B93,H$1,$B$1)</f>
        <v>1.0185999999999999</v>
      </c>
      <c r="I93" s="55">
        <f>_xll.EQNXTDZ($A$1,$B93,I$1,$B$1)</f>
        <v>1.5321</v>
      </c>
      <c r="J93" s="55">
        <f>_xll.EQNXTDZ($A$1,$B93,J$1,$B$1)</f>
        <v>1.1788000000000001</v>
      </c>
      <c r="K93" s="55">
        <f>_xll.EQNXTDZ($A$1,$B93,K$1,$B$1)</f>
        <v>0.68630000000000002</v>
      </c>
      <c r="L93" s="55">
        <f>_xll.EQNXTDZ($A$1,$B93,L$1,$B$1)</f>
        <v>1.2364999999999999</v>
      </c>
      <c r="M93" s="55">
        <f>_xll.EQNXTDZ($A$1,$B93,M$1,$B$1)</f>
        <v>1.2364999999999999</v>
      </c>
      <c r="N93" s="55">
        <f>_xll.EQNXTDZ($A$1,$B93,N$1,$B$1)</f>
        <v>1.2566999999999999</v>
      </c>
      <c r="O93" s="55">
        <f>_xll.EQNXTDZ($A$1,$B93,O$1,$B$1)</f>
        <v>1.2566999999999999</v>
      </c>
      <c r="P93" s="55">
        <f>_xll.EQNXTDZ($A$1,$B93,P$1,$B$1)</f>
        <v>14.120200000000001</v>
      </c>
      <c r="Q93" s="55">
        <f>_xll.EQNXTDZ($A$1,$B93,Q$1,$B$1)</f>
        <v>13.7461</v>
      </c>
      <c r="R93" s="55">
        <f>_xll.EQNXTDZ($A$1,$B93,R$1,$B$1)</f>
        <v>24.1995</v>
      </c>
      <c r="S93" s="55">
        <f>_xll.EQNXTDZ($A$1,$B93,S$1,$B$1)</f>
        <v>13.957599999999999</v>
      </c>
      <c r="T93" s="55">
        <f>_xll.EQNXTDZ($A$1,$B93,T$1,$B$1)</f>
        <v>13.806699999999999</v>
      </c>
      <c r="U93" s="55">
        <f>_xll.EQNXTDZ($A$1,$B93,U$1,$B$1)</f>
        <v>12.440799999999999</v>
      </c>
      <c r="V93" s="55">
        <f>_xll.EQNXTDZ($A$1,$B93,V$1,$B$1)</f>
        <v>9.0681999999999992</v>
      </c>
      <c r="W93" s="55">
        <f>_xll.EQNXTDZ($A$1,$B93,W$1,$B$1)</f>
        <v>5.0876000000000001</v>
      </c>
      <c r="X93" s="55">
        <f>_xll.EQNXTDZ($A$1,$B93,X$1,$B$1)</f>
        <v>5.8121</v>
      </c>
      <c r="Y93" s="55">
        <f>_xll.EQNXTDZ($A$1,$B93,Y$1,$B$1)</f>
        <v>5.0876000000000001</v>
      </c>
      <c r="Z93" s="55">
        <f>_xll.EQNXTDZ($A$1,$B93,Z$1,$B$1)</f>
        <v>4.6756000000000002</v>
      </c>
      <c r="AA93" s="55">
        <f>_xll.EQNXTDZ($A$1,$B93,AA$1,$B$1)</f>
        <v>16.802800000000001</v>
      </c>
      <c r="AB93" s="55">
        <f>_xll.EQNXTDZ($A$1,$B93,AB$1,$B$1)</f>
        <v>16.620699999999999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0.47549999999999998</v>
      </c>
      <c r="G95" s="55">
        <f>_xll.EQNXTDZ($A$1,$B95,G$1,$B$1)</f>
        <v>1.5969</v>
      </c>
      <c r="H95" s="55">
        <f>_xll.EQNXTDZ($A$1,$B95,H$1,$B$1)</f>
        <v>1.1994</v>
      </c>
      <c r="I95" s="55">
        <f>_xll.EQNXTDZ($A$1,$B95,I$1,$B$1)</f>
        <v>2.5442</v>
      </c>
      <c r="J95" s="55">
        <f>_xll.EQNXTDZ($A$1,$B95,J$1,$B$1)</f>
        <v>2.4897</v>
      </c>
      <c r="K95" s="55">
        <f>_xll.EQNXTDZ($A$1,$B95,K$1,$B$1)</f>
        <v>3.0929000000000002</v>
      </c>
      <c r="L95" s="55">
        <f>_xll.EQNXTDZ($A$1,$B95,L$1,$B$1)</f>
        <v>3.0598000000000001</v>
      </c>
      <c r="M95" s="55">
        <f>_xll.EQNXTDZ($A$1,$B95,M$1,$B$1)</f>
        <v>2.4470999999999998</v>
      </c>
      <c r="N95" s="55">
        <f>_xll.EQNXTDZ($A$1,$B95,N$1,$B$1)</f>
        <v>2.7269999999999999</v>
      </c>
      <c r="O95" s="55">
        <f>_xll.EQNXTDZ($A$1,$B95,O$1,$B$1)</f>
        <v>2.7947000000000002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1.9</v>
      </c>
      <c r="T95" s="55">
        <f>_xll.EQNXTDZ($A$1,$B95,T$1,$B$1)</f>
        <v>1.4551000000000001</v>
      </c>
      <c r="U95" s="55">
        <f>_xll.EQNXTDZ($A$1,$B95,U$1,$B$1)</f>
        <v>1.4</v>
      </c>
      <c r="V95" s="55">
        <f>_xll.EQNXTDZ($A$1,$B95,V$1,$B$1)</f>
        <v>1.41</v>
      </c>
      <c r="W95" s="55">
        <f>_xll.EQNXTDZ($A$1,$B95,W$1,$B$1)</f>
        <v>1.4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0.2064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3.6765300000000001</v>
      </c>
      <c r="G104" s="55">
        <f>_xll.EQNXTDZ($A$1,$B104,G$1,$B$1)</f>
        <v>3.6765300000000001</v>
      </c>
      <c r="H104" s="55">
        <f>_xll.EQNXTDZ($A$1,$B104,H$1,$B$1)</f>
        <v>3.6765300000000001</v>
      </c>
      <c r="I104" s="55">
        <f>_xll.EQNXTDZ($A$1,$B104,I$1,$B$1)</f>
        <v>7.3531000000000004</v>
      </c>
      <c r="J104" s="55">
        <f>_xll.EQNXTDZ($A$1,$B104,J$1,$B$1)</f>
        <v>7.3531000000000004</v>
      </c>
      <c r="K104" s="55">
        <f>_xll.EQNXTDZ($A$1,$B104,K$1,$B$1)</f>
        <v>7.3531000000000004</v>
      </c>
      <c r="L104" s="55">
        <f>_xll.EQNXTDZ($A$1,$B104,L$1,$B$1)</f>
        <v>7.3531000000000004</v>
      </c>
      <c r="M104" s="55">
        <f>_xll.EQNXTDZ($A$1,$B104,M$1,$B$1)</f>
        <v>7.3531000000000004</v>
      </c>
      <c r="N104" s="55">
        <f>_xll.EQNXTDZ($A$1,$B104,N$1,$B$1)</f>
        <v>7.3531000000000004</v>
      </c>
      <c r="O104" s="55">
        <f>_xll.EQNXTDZ($A$1,$B104,O$1,$B$1)</f>
        <v>7.3531000000000004</v>
      </c>
      <c r="P104" s="55">
        <f>_xll.EQNXTDZ($A$1,$B104,P$1,$B$1)</f>
        <v>7.3531000000000004</v>
      </c>
      <c r="Q104" s="55">
        <f>_xll.EQNXTDZ($A$1,$B104,Q$1,$B$1)</f>
        <v>7.3531000000000004</v>
      </c>
      <c r="R104" s="55">
        <f>_xll.EQNXTDZ($A$1,$B104,R$1,$B$1)</f>
        <v>7.3531000000000004</v>
      </c>
      <c r="S104" s="55">
        <f>_xll.EQNXTDZ($A$1,$B104,S$1,$B$1)</f>
        <v>7.3531000000000004</v>
      </c>
      <c r="T104" s="55">
        <f>_xll.EQNXTDZ($A$1,$B104,T$1,$B$1)</f>
        <v>7.3531000000000004</v>
      </c>
      <c r="U104" s="55">
        <f>_xll.EQNXTDZ($A$1,$B104,U$1,$B$1)</f>
        <v>7.3531000000000004</v>
      </c>
      <c r="V104" s="55">
        <f>_xll.EQNXTDZ($A$1,$B104,V$1,$B$1)</f>
        <v>7.3531000000000004</v>
      </c>
      <c r="W104" s="55">
        <f>_xll.EQNXTDZ($A$1,$B104,W$1,$B$1)</f>
        <v>7.3531000000000004</v>
      </c>
      <c r="X104" s="55">
        <f>_xll.EQNXTDZ($A$1,$B104,X$1,$B$1)</f>
        <v>7.3531000000000004</v>
      </c>
      <c r="Y104" s="55">
        <f>_xll.EQNXTDZ($A$1,$B104,Y$1,$B$1)</f>
        <v>7.3531000000000004</v>
      </c>
      <c r="Z104" s="55">
        <f>_xll.EQNXTDZ($A$1,$B104,Z$1,$B$1)</f>
        <v>7.3531000000000004</v>
      </c>
      <c r="AA104" s="55">
        <f>_xll.EQNXTDZ($A$1,$B104,AA$1,$B$1)</f>
        <v>7.3531000000000004</v>
      </c>
      <c r="AB104" s="55">
        <f>_xll.EQNXTDZ($A$1,$B104,AB$1,$B$1)</f>
        <v>8.7948000000000004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2.6430842098192202</v>
      </c>
      <c r="G106" s="55">
        <f>_xll.EQNXTDZ($A$1,$B106,G$1,$B$1)</f>
        <v>24.5486457669573</v>
      </c>
      <c r="H106" s="55">
        <f>_xll.EQNXTDZ($A$1,$B106,H$1,$B$1)</f>
        <v>50.458880369276002</v>
      </c>
      <c r="I106" s="55">
        <f>_xll.EQNXTDZ($A$1,$B106,I$1,$B$1)</f>
        <v>24.417224806460499</v>
      </c>
      <c r="J106" s="55">
        <f>_xll.EQNXTDZ($A$1,$B106,J$1,$B$1)</f>
        <v>18.6458807612971</v>
      </c>
      <c r="K106" s="55">
        <f>_xll.EQNXTDZ($A$1,$B106,K$1,$B$1)</f>
        <v>10.8520999139824</v>
      </c>
      <c r="L106" s="55">
        <f>_xll.EQNXTDZ($A$1,$B106,L$1,$B$1)</f>
        <v>48.834449612920999</v>
      </c>
      <c r="M106" s="55">
        <f>_xll.EQNXTDZ($A$1,$B106,M$1,$B$1)</f>
        <v>48.587810978512302</v>
      </c>
      <c r="N106" s="55">
        <f>_xll.EQNXTDZ($A$1,$B106,N$1,$B$1)</f>
        <v>28.2647875032361</v>
      </c>
      <c r="O106" s="55">
        <f>_xll.EQNXTDZ($A$1,$B106,O$1,$B$1)</f>
        <v>50.708903234427098</v>
      </c>
      <c r="P106" s="55">
        <f>_xll.EQNXTDZ($A$1,$B106,P$1,$B$1)</f>
        <v>157.602087387154</v>
      </c>
      <c r="Q106" s="55">
        <f>_xll.EQNXTDZ($A$1,$B106,Q$1,$B$1)</f>
        <v>310.96199026247899</v>
      </c>
      <c r="R106" s="55">
        <f>_xll.EQNXTDZ($A$1,$B106,R$1,$B$1)</f>
        <v>323.49123289044002</v>
      </c>
      <c r="S106" s="55">
        <f>_xll.EQNXTDZ($A$1,$B106,S$1,$B$1)</f>
        <v>276.235270537735</v>
      </c>
      <c r="T106" s="55">
        <f>_xll.EQNXTDZ($A$1,$B106,T$1,$B$1)</f>
        <v>279.68821141945699</v>
      </c>
      <c r="U106" s="55">
        <f>_xll.EQNXTDZ($A$1,$B106,U$1,$B$1)</f>
        <v>159.575196462424</v>
      </c>
      <c r="V106" s="55">
        <f>_xll.EQNXTDZ($A$1,$B106,V$1,$B$1)</f>
        <v>66.888397651637305</v>
      </c>
      <c r="W106" s="55">
        <f>_xll.EQNXTDZ($A$1,$B106,W$1,$B$1)</f>
        <v>191.53956348179</v>
      </c>
      <c r="X106" s="55">
        <f>_xll.EQNXTDZ($A$1,$B106,X$1,$B$1)</f>
        <v>610.67725879592103</v>
      </c>
      <c r="Y106" s="55">
        <f>_xll.EQNXTDZ($A$1,$B106,Y$1,$B$1)</f>
        <v>561.99079236364503</v>
      </c>
      <c r="Z106" s="55">
        <f>_xll.EQNXTDZ($A$1,$B106,Z$1,$B$1)</f>
        <v>804.04194817233599</v>
      </c>
      <c r="AA106" s="55">
        <f>_xll.EQNXTDZ($A$1,$B106,AA$1,$B$1)</f>
        <v>672.28758967121303</v>
      </c>
      <c r="AB106" s="55">
        <f>_xll.EQNXTDZ($A$1,$B106,AB$1,$B$1)</f>
        <v>729.1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8.0093460903612606</v>
      </c>
      <c r="G107" s="55">
        <f>_xll.EQNXTDZ($A$1,$B107,G$1,$B$1)</f>
        <v>27.4320103594873</v>
      </c>
      <c r="H107" s="55">
        <f>_xll.EQNXTDZ($A$1,$B107,H$1,$B$1)</f>
        <v>67.078273506775602</v>
      </c>
      <c r="I107" s="55">
        <f>_xll.EQNXTDZ($A$1,$B107,I$1,$B$1)</f>
        <v>67.518787541745496</v>
      </c>
      <c r="J107" s="55">
        <f>_xll.EQNXTDZ($A$1,$B107,J$1,$B$1)</f>
        <v>35.022686086034298</v>
      </c>
      <c r="K107" s="55">
        <f>_xll.EQNXTDZ($A$1,$B107,K$1,$B$1)</f>
        <v>28.955375679580399</v>
      </c>
      <c r="L107" s="55">
        <f>_xll.EQNXTDZ($A$1,$B107,L$1,$B$1)</f>
        <v>68.5655403656164</v>
      </c>
      <c r="M107" s="55">
        <f>_xll.EQNXTDZ($A$1,$B107,M$1,$B$1)</f>
        <v>107.68242778283501</v>
      </c>
      <c r="N107" s="55">
        <f>_xll.EQNXTDZ($A$1,$B107,N$1,$B$1)</f>
        <v>56.184280918299997</v>
      </c>
      <c r="O107" s="55">
        <f>_xll.EQNXTDZ($A$1,$B107,O$1,$B$1)</f>
        <v>74.978144860242395</v>
      </c>
      <c r="P107" s="55">
        <f>_xll.EQNXTDZ($A$1,$B107,P$1,$B$1)</f>
        <v>157.602087387154</v>
      </c>
      <c r="Q107" s="55">
        <f>_xll.EQNXTDZ($A$1,$B107,Q$1,$B$1)</f>
        <v>366.948960273252</v>
      </c>
      <c r="R107" s="55">
        <f>_xll.EQNXTDZ($A$1,$B107,R$1,$B$1)</f>
        <v>649.15288576367698</v>
      </c>
      <c r="S107" s="55">
        <f>_xll.EQNXTDZ($A$1,$B107,S$1,$B$1)</f>
        <v>481.43861436576702</v>
      </c>
      <c r="T107" s="55">
        <f>_xll.EQNXTDZ($A$1,$B107,T$1,$B$1)</f>
        <v>414.25425035283899</v>
      </c>
      <c r="U107" s="55">
        <f>_xll.EQNXTDZ($A$1,$B107,U$1,$B$1)</f>
        <v>317.67056111839503</v>
      </c>
      <c r="V107" s="55">
        <f>_xll.EQNXTDZ($A$1,$B107,V$1,$B$1)</f>
        <v>182.413934008669</v>
      </c>
      <c r="W107" s="55">
        <f>_xll.EQNXTDZ($A$1,$B107,W$1,$B$1)</f>
        <v>251.07812982804799</v>
      </c>
      <c r="X107" s="55">
        <f>_xll.EQNXTDZ($A$1,$B107,X$1,$B$1)</f>
        <v>689.60162180670295</v>
      </c>
      <c r="Y107" s="55">
        <f>_xll.EQNXTDZ($A$1,$B107,Y$1,$B$1)</f>
        <v>738.23876051209697</v>
      </c>
      <c r="Z107" s="55">
        <f>_xll.EQNXTDZ($A$1,$B107,Z$1,$B$1)</f>
        <v>1033.90915544124</v>
      </c>
      <c r="AA107" s="55">
        <f>_xll.EQNXTDZ($A$1,$B107,AA$1,$B$1)</f>
        <v>1109.87385483911</v>
      </c>
      <c r="AB107" s="55">
        <f>_xll.EQNXTDZ($A$1,$B107,AB$1,$B$1)</f>
        <v>1213.95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1.6098785641626101</v>
      </c>
      <c r="G108" s="55">
        <f>_xll.EQNXTDZ($A$1,$B108,G$1,$B$1)</f>
        <v>0.77690657076504299</v>
      </c>
      <c r="H108" s="55">
        <f>_xll.EQNXTDZ($A$1,$B108,H$1,$B$1)</f>
        <v>24.028038271083801</v>
      </c>
      <c r="I108" s="55">
        <f>_xll.EQNXTDZ($A$1,$B108,I$1,$B$1)</f>
        <v>19.8297462064588</v>
      </c>
      <c r="J108" s="55">
        <f>_xll.EQNXTDZ($A$1,$B108,J$1,$B$1)</f>
        <v>15.7848726021563</v>
      </c>
      <c r="K108" s="55">
        <f>_xll.EQNXTDZ($A$1,$B108,K$1,$B$1)</f>
        <v>10.733713369466299</v>
      </c>
      <c r="L108" s="55">
        <f>_xll.EQNXTDZ($A$1,$B108,L$1,$B$1)</f>
        <v>10.1713772830145</v>
      </c>
      <c r="M108" s="55">
        <f>_xll.EQNXTDZ($A$1,$B108,M$1,$B$1)</f>
        <v>45.924113726898398</v>
      </c>
      <c r="N108" s="55">
        <f>_xll.EQNXTDZ($A$1,$B108,N$1,$B$1)</f>
        <v>26.1436952473213</v>
      </c>
      <c r="O108" s="55">
        <f>_xll.EQNXTDZ($A$1,$B108,O$1,$B$1)</f>
        <v>26.932938877429201</v>
      </c>
      <c r="P108" s="55">
        <f>_xll.EQNXTDZ($A$1,$B108,P$1,$B$1)</f>
        <v>39.412853778509003</v>
      </c>
      <c r="Q108" s="55">
        <f>_xll.EQNXTDZ($A$1,$B108,Q$1,$B$1)</f>
        <v>142.21183660005201</v>
      </c>
      <c r="R108" s="55">
        <f>_xll.EQNXTDZ($A$1,$B108,R$1,$B$1)</f>
        <v>282.64787503236101</v>
      </c>
      <c r="S108" s="55">
        <f>_xll.EQNXTDZ($A$1,$B108,S$1,$B$1)</f>
        <v>241.70586172051799</v>
      </c>
      <c r="T108" s="55">
        <f>_xll.EQNXTDZ($A$1,$B108,T$1,$B$1)</f>
        <v>236.77308903234399</v>
      </c>
      <c r="U108" s="55">
        <f>_xll.EQNXTDZ($A$1,$B108,U$1,$B$1)</f>
        <v>130.32385442155299</v>
      </c>
      <c r="V108" s="55">
        <f>_xll.EQNXTDZ($A$1,$B108,V$1,$B$1)</f>
        <v>62.152935870990397</v>
      </c>
      <c r="W108" s="55">
        <f>_xll.EQNXTDZ($A$1,$B108,W$1,$B$1)</f>
        <v>69.946716718304998</v>
      </c>
      <c r="X108" s="55">
        <f>_xll.EQNXTDZ($A$1,$B108,X$1,$B$1)</f>
        <v>190.45435349039201</v>
      </c>
      <c r="Y108" s="55">
        <f>_xll.EQNXTDZ($A$1,$B108,Y$1,$B$1)</f>
        <v>372.91761522594197</v>
      </c>
      <c r="Z108" s="55">
        <f>_xll.EQNXTDZ($A$1,$B108,Z$1,$B$1)</f>
        <v>514.09356956147803</v>
      </c>
      <c r="AA108" s="55">
        <f>_xll.EQNXTDZ($A$1,$B108,AA$1,$B$1)</f>
        <v>583.20171492279303</v>
      </c>
      <c r="AB108" s="55">
        <f>_xll.EQNXTDZ($A$1,$B108,AB$1,$B$1)</f>
        <v>692.758596327134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1.2132548999999999</v>
      </c>
      <c r="G109" s="55">
        <f>_xll.EQNXTDZ($A$1,$B109,G$1,$B$1)</f>
        <v>11.26856445</v>
      </c>
      <c r="H109" s="55">
        <f>_xll.EQNXTDZ($A$1,$B109,H$1,$B$1)</f>
        <v>23.162139</v>
      </c>
      <c r="I109" s="55">
        <f>_xll.EQNXTDZ($A$1,$B109,I$1,$B$1)</f>
        <v>18.198922499999998</v>
      </c>
      <c r="J109" s="55">
        <f>_xll.EQNXTDZ($A$1,$B109,J$1,$B$1)</f>
        <v>13.897359</v>
      </c>
      <c r="K109" s="55">
        <f>_xll.EQNXTDZ($A$1,$B109,K$1,$B$1)</f>
        <v>8.0884099999999997</v>
      </c>
      <c r="L109" s="55">
        <f>_xll.EQNXTDZ($A$1,$B109,L$1,$B$1)</f>
        <v>36.397844999999997</v>
      </c>
      <c r="M109" s="55">
        <f>_xll.EQNXTDZ($A$1,$B109,M$1,$B$1)</f>
        <v>36.214017499999997</v>
      </c>
      <c r="N109" s="55">
        <f>_xll.EQNXTDZ($A$1,$B109,N$1,$B$1)</f>
        <v>21.0666315</v>
      </c>
      <c r="O109" s="55">
        <f>_xll.EQNXTDZ($A$1,$B109,O$1,$B$1)</f>
        <v>37.794933999999998</v>
      </c>
      <c r="P109" s="55">
        <f>_xll.EQNXTDZ($A$1,$B109,P$1,$B$1)</f>
        <v>117.4657725</v>
      </c>
      <c r="Q109" s="55">
        <f>_xll.EQNXTDZ($A$1,$B109,Q$1,$B$1)</f>
        <v>231.769712</v>
      </c>
      <c r="R109" s="55">
        <f>_xll.EQNXTDZ($A$1,$B109,R$1,$B$1)</f>
        <v>241.108149</v>
      </c>
      <c r="S109" s="55">
        <f>_xll.EQNXTDZ($A$1,$B109,S$1,$B$1)</f>
        <v>205.88679999999999</v>
      </c>
      <c r="T109" s="55">
        <f>_xll.EQNXTDZ($A$1,$B109,T$1,$B$1)</f>
        <v>208.460385</v>
      </c>
      <c r="U109" s="55">
        <f>_xll.EQNXTDZ($A$1,$B109,U$1,$B$1)</f>
        <v>118.9363925</v>
      </c>
      <c r="V109" s="55">
        <f>_xll.EQNXTDZ($A$1,$B109,V$1,$B$1)</f>
        <v>49.854018000000003</v>
      </c>
      <c r="W109" s="55">
        <f>_xll.EQNXTDZ($A$1,$B109,W$1,$B$1)</f>
        <v>142.7604365</v>
      </c>
      <c r="X109" s="55">
        <f>_xll.EQNXTDZ($A$1,$B109,X$1,$B$1)</f>
        <v>455.15688999999998</v>
      </c>
      <c r="Y109" s="55">
        <f>_xll.EQNXTDZ($A$1,$B109,Y$1,$B$1)</f>
        <v>418.86934150000002</v>
      </c>
      <c r="Z109" s="55">
        <f>_xll.EQNXTDZ($A$1,$B109,Z$1,$B$1)</f>
        <v>599.27764999999999</v>
      </c>
      <c r="AA109" s="55">
        <f>_xll.EQNXTDZ($A$1,$B109,AA$1,$B$1)</f>
        <v>501.0769995</v>
      </c>
      <c r="AB109" s="55">
        <f>_xll.EQNXTDZ($A$1,$B109,AB$1,$B$1)</f>
        <v>641.22886800000003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1.98019801980198</v>
      </c>
      <c r="Y110" s="55">
        <f>_xll.EQNXTDZ($A$1,$B110,Y$1,$B$1)</f>
        <v>1.98019801980198</v>
      </c>
      <c r="Z110" s="55">
        <f>_xll.EQNXTDZ($A$1,$B110,Z$1,$B$1)</f>
        <v>2.3762376237623801</v>
      </c>
      <c r="AA110" s="55">
        <f>_xll.EQNXTDZ($A$1,$B110,AA$1,$B$1)</f>
        <v>2.4752475247524801</v>
      </c>
      <c r="AB110" s="55">
        <f>_xll.EQNXTDZ($A$1,$B110,AB$1,$B$1)</f>
        <v>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55.08</v>
      </c>
      <c r="G112" s="56">
        <f>_xll.EQNXTDZ($A$1,$B112,G$5)</f>
        <v>54.47</v>
      </c>
      <c r="H112" s="56">
        <f>_xll.EQNXTDZ($A$1,$B112,H$5)</f>
        <v>55.59</v>
      </c>
      <c r="I112" s="56">
        <f>_xll.EQNXTDZ($A$1,$B112,I$5)</f>
        <v>63.13</v>
      </c>
      <c r="J112" s="56">
        <f>_xll.EQNXTDZ($A$1,$B112,J$5)</f>
        <v>63.13</v>
      </c>
      <c r="K112" s="56">
        <f>_xll.EQNXTDZ($A$1,$B112,K$5)</f>
        <v>63.53</v>
      </c>
      <c r="L112" s="56">
        <f>_xll.EQNXTDZ($A$1,$B112,L$5)</f>
        <v>63.53</v>
      </c>
      <c r="M112" s="56">
        <f>_xll.EQNXTDZ($A$1,$B112,M$5)</f>
        <v>63.53</v>
      </c>
      <c r="N112" s="56">
        <f>_xll.EQNXTDZ($A$1,$B112,N$5)</f>
        <v>63.54</v>
      </c>
      <c r="O112" s="56">
        <f>_xll.EQNXTDZ($A$1,$B112,O$5)</f>
        <v>62.36</v>
      </c>
      <c r="P112" s="56">
        <f>_xll.EQNXTDZ($A$1,$B112,P$5)</f>
        <v>62.36</v>
      </c>
      <c r="Q112" s="56">
        <f>_xll.EQNXTDZ($A$1,$B112,Q$5)</f>
        <v>62.36</v>
      </c>
      <c r="R112" s="56">
        <f>_xll.EQNXTDZ($A$1,$B112,R$5)</f>
        <v>62.36</v>
      </c>
      <c r="S112" s="56">
        <f>_xll.EQNXTDZ($A$1,$B112,S$5)</f>
        <v>62.36</v>
      </c>
      <c r="T112" s="56">
        <f>_xll.EQNXTDZ($A$1,$B112,T$5)</f>
        <v>62.36</v>
      </c>
      <c r="U112" s="56">
        <f>_xll.EQNXTDZ($A$1,$B112,U$5)</f>
        <v>62.36</v>
      </c>
      <c r="V112" s="56">
        <f>_xll.EQNXTDZ($A$1,$B112,V$5)</f>
        <v>62.36</v>
      </c>
      <c r="W112" s="56">
        <f>_xll.EQNXTDZ($A$1,$B112,W$5)</f>
        <v>62.36</v>
      </c>
      <c r="X112" s="56">
        <f>_xll.EQNXTDZ($A$1,$B112,X$5)</f>
        <v>62.36</v>
      </c>
      <c r="Y112" s="56">
        <f>_xll.EQNXTDZ($A$1,$B112,Y$5)</f>
        <v>62.36</v>
      </c>
      <c r="Z112" s="56">
        <f>_xll.EQNXTDZ($A$1,$B112,Z$5)</f>
        <v>62.36</v>
      </c>
      <c r="AA112" s="56">
        <f>_xll.EQNXTDZ($A$1,$B112,AA$5)</f>
        <v>64.45</v>
      </c>
      <c r="AB112" s="56">
        <f>_xll.EQNXTDZ($A$1,$B112,AB$5)</f>
        <v>66.53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130845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38.376971513992501</v>
      </c>
      <c r="D13" cm="1">
        <f t="array" ref="D13">_xll.EQNXTDZ($A$1,$B13,D$1)</f>
        <v>35.022686086034298</v>
      </c>
      <c r="E13" cm="1">
        <f t="array" ref="E13">_xll.EQNXTDZ($A$1,$B13,E$1)</f>
        <v>30.533862939796101</v>
      </c>
      <c r="F13" cm="1">
        <f t="array" ref="F13">_xll.EQNXTDZ($A$1,$B13,F$1)</f>
        <v>27.6235270537735</v>
      </c>
      <c r="G13" cm="1">
        <f t="array" ref="G13">_xll.EQNXTDZ($A$1,$B13,G$1)</f>
        <v>47.354617806468902</v>
      </c>
      <c r="H13" cm="1">
        <f t="array" ref="H13">_xll.EQNXTDZ($A$1,$B13,H$1)</f>
        <v>48.7357941591575</v>
      </c>
      <c r="I13" cm="1">
        <f t="array" ref="I13">_xll.EQNXTDZ($A$1,$B13,I$1)</f>
        <v>50.264953692491403</v>
      </c>
      <c r="J13" cm="1">
        <f t="array" ref="J13">_xll.EQNXTDZ($A$1,$B13,J$1)</f>
        <v>64.126044946259896</v>
      </c>
      <c r="K13" cm="1">
        <f t="array" ref="K13">_xll.EQNXTDZ($A$1,$B13,K$1)</f>
        <v>58.798650443032201</v>
      </c>
      <c r="L13" cm="1">
        <f t="array" ref="L13">_xll.EQNXTDZ($A$1,$B13,L$1)</f>
        <v>58.3053731742148</v>
      </c>
      <c r="M13" cm="1">
        <f t="array" ref="M13">_xll.EQNXTDZ($A$1,$B13,M$1)</f>
        <v>51.300835957007898</v>
      </c>
      <c r="N13" cm="1">
        <f t="array" ref="N13">_xll.EQNXTDZ($A$1,$B13,N$1)</f>
        <v>51.547474591416602</v>
      </c>
      <c r="O13" cm="1">
        <f t="array" ref="O13">_xll.EQNXTDZ($A$1,$B13,O$1)</f>
        <v>48.341172344103597</v>
      </c>
      <c r="P13" cm="1">
        <f t="array" ref="P13">_xll.EQNXTDZ($A$1,$B13,P$1)</f>
        <v>49.3277268817384</v>
      </c>
      <c r="Q13" cm="1">
        <f t="array" ref="Q13">_xll.EQNXTDZ($A$1,$B13,Q$1)</f>
        <v>44.937559189263702</v>
      </c>
      <c r="R13" cm="1">
        <f t="array" ref="R13">_xll.EQNXTDZ($A$1,$B13,R$1)</f>
        <v>48.587810978512302</v>
      </c>
      <c r="S13" cm="1">
        <f t="array" ref="S13">_xll.EQNXTDZ($A$1,$B13,S$1)</f>
        <v>41.4352905806603</v>
      </c>
      <c r="T13" cm="1">
        <f t="array" ref="T13">_xll.EQNXTDZ($A$1,$B13,T$1)</f>
        <v>48.143861436576699</v>
      </c>
      <c r="U13" cm="1">
        <f t="array" ref="U13">_xll.EQNXTDZ($A$1,$B13,U$1)</f>
        <v>72.758397150564093</v>
      </c>
      <c r="V13" cm="1">
        <f t="array" ref="V13">_xll.EQNXTDZ($A$1,$B13,V$1)</f>
        <v>97.668899225841997</v>
      </c>
      <c r="W13" cm="1">
        <f t="array" ref="W13">_xll.EQNXTDZ($A$1,$B13,W$1)</f>
        <v>94.511924705410706</v>
      </c>
      <c r="X13" cm="1">
        <f t="array" ref="X13">_xll.EQNXTDZ($A$1,$B13,X$1)</f>
        <v>92.193521541969105</v>
      </c>
      <c r="Y13" cm="1">
        <f t="array" ref="Y13">_xll.EQNXTDZ($A$1,$B13,Y$1)</f>
        <v>165.445195961351</v>
      </c>
      <c r="Z13" cm="1">
        <f t="array" ref="Z13">_xll.EQNXTDZ($A$1,$B13,Z$1)</f>
        <v>191.39158030114501</v>
      </c>
      <c r="AA13" cm="1">
        <f t="array" ref="AA13">_xll.EQNXTDZ($A$1,$B13,AA$1)</f>
        <v>147.98318064521499</v>
      </c>
      <c r="AB13" cm="1">
        <f t="array" ref="AB13">_xll.EQNXTDZ($A$1,$B13,AB$1)</f>
        <v>157.84872602156301</v>
      </c>
      <c r="AC13" cm="1">
        <f t="array" ref="AC13">_xll.EQNXTDZ($A$1,$B13,AC$1)</f>
        <v>225.181073215136</v>
      </c>
      <c r="AD13" cm="1">
        <f t="array" ref="AD13">_xll.EQNXTDZ($A$1,$B13,AD$1)</f>
        <v>259.41451567106202</v>
      </c>
      <c r="AE13" cm="1">
        <f t="array" ref="AE13">_xll.EQNXTDZ($A$1,$B13,AE$1)</f>
        <v>246.58930668181</v>
      </c>
      <c r="AF13" cm="1">
        <f t="array" ref="AF13">_xll.EQNXTDZ($A$1,$B13,AF$1)</f>
        <v>239.23947537643099</v>
      </c>
      <c r="AG13" cm="1">
        <f t="array" ref="AG13">_xll.EQNXTDZ($A$1,$B13,AG$1)</f>
        <v>222.96132550545801</v>
      </c>
      <c r="AH13" cm="1">
        <f t="array" ref="AH13">_xll.EQNXTDZ($A$1,$B13,AH$1)</f>
        <v>236.77308903234399</v>
      </c>
      <c r="AI13" cm="1">
        <f t="array" ref="AI13">_xll.EQNXTDZ($A$1,$B13,AI$1)</f>
        <v>327.53610649474302</v>
      </c>
      <c r="AJ13" cm="1">
        <f t="array" ref="AJ13">_xll.EQNXTDZ($A$1,$B13,AJ$1)</f>
        <v>319.54501473990098</v>
      </c>
      <c r="AK13" cm="1">
        <f t="array" ref="AK13">_xll.EQNXTDZ($A$1,$B13,AK$1)</f>
        <v>315.598796589362</v>
      </c>
      <c r="AL13" cm="1">
        <f t="array" ref="AL13">_xll.EQNXTDZ($A$1,$B13,AL$1)</f>
        <v>365.02517892486401</v>
      </c>
      <c r="AM13" cm="1">
        <f t="array" ref="AM13">_xll.EQNXTDZ($A$1,$B13,AM$1)</f>
        <v>343.32097909689901</v>
      </c>
      <c r="AN13" cm="1">
        <f t="array" ref="AN13">_xll.EQNXTDZ($A$1,$B13,AN$1)</f>
        <v>340.26266003023102</v>
      </c>
      <c r="AO13" cm="1">
        <f t="array" ref="AO13">_xll.EQNXTDZ($A$1,$B13,AO$1)</f>
        <v>536.43902983890496</v>
      </c>
      <c r="AP13" cm="1">
        <f t="array" ref="AP13">_xll.EQNXTDZ($A$1,$B13,AP$1)</f>
        <v>530.76634124750501</v>
      </c>
      <c r="AQ13" cm="1">
        <f t="array" ref="AQ13">_xll.EQNXTDZ($A$1,$B13,AQ$1)</f>
        <v>498.21004150555802</v>
      </c>
      <c r="AR13" cm="1">
        <f t="array" ref="AR13">_xll.EQNXTDZ($A$1,$B13,AR$1)</f>
        <v>507.089032344271</v>
      </c>
      <c r="AS13" cm="1">
        <f t="array" ref="AS13">_xll.EQNXTDZ($A$1,$B13,AS$1)</f>
        <v>404.48736043025502</v>
      </c>
      <c r="AT13" cm="1">
        <f t="array" ref="AT13">_xll.EQNXTDZ($A$1,$B13,AT$1)</f>
        <v>468.613405376515</v>
      </c>
      <c r="AU13" cm="1">
        <f t="array" ref="AU13">_xll.EQNXTDZ($A$1,$B13,AU$1)</f>
        <v>401.52769681734998</v>
      </c>
      <c r="AV13" cm="1">
        <f t="array" ref="AV13">_xll.EQNXTDZ($A$1,$B13,AV$1)</f>
        <v>316.68400658076001</v>
      </c>
      <c r="AW13" cm="1">
        <f t="array" ref="AW13">_xll.EQNXTDZ($A$1,$B13,AW$1)</f>
        <v>315.69745204312602</v>
      </c>
      <c r="AX13" cm="1">
        <f t="array" ref="AX13">_xll.EQNXTDZ($A$1,$B13,AX$1)</f>
        <v>330.49577010764699</v>
      </c>
      <c r="AY13" cm="1">
        <f t="array" ref="AY13">_xll.EQNXTDZ($A$1,$B13,AY$1)</f>
        <v>315.69745204312602</v>
      </c>
      <c r="AZ13" cm="1">
        <f t="array" ref="AZ13">_xll.EQNXTDZ($A$1,$B13,AZ$1)</f>
        <v>315.69745204312602</v>
      </c>
      <c r="BA13" cm="1">
        <f t="array" ref="BA13">_xll.EQNXTDZ($A$1,$B13,BA$1)</f>
        <v>449.86886916145397</v>
      </c>
      <c r="BB13" cm="1">
        <f t="array" ref="BB13">_xll.EQNXTDZ($A$1,$B13,BB$1)</f>
        <v>370.94450615067302</v>
      </c>
      <c r="BC13" cm="1">
        <f t="array" ref="BC13">_xll.EQNXTDZ($A$1,$B13,BC$1)</f>
        <v>351.21341539797697</v>
      </c>
      <c r="BD13" cm="1">
        <f t="array" ref="BD13">_xll.EQNXTDZ($A$1,$B13,BD$1)</f>
        <v>334.04736644313198</v>
      </c>
      <c r="BE13" cm="1">
        <f t="array" ref="BE13">_xll.EQNXTDZ($A$1,$B13,BE$1)</f>
        <v>321.61677926893401</v>
      </c>
      <c r="BF13" cm="1">
        <f t="array" ref="BF13">_xll.EQNXTDZ($A$1,$B13,BF$1)</f>
        <v>319.34770383237401</v>
      </c>
      <c r="BG13" cm="1">
        <f t="array" ref="BG13">_xll.EQNXTDZ($A$1,$B13,BG$1)</f>
        <v>297.9394703657</v>
      </c>
      <c r="BH13" cm="1">
        <f t="array" ref="BH13">_xll.EQNXTDZ($A$1,$B13,BH$1)</f>
        <v>283.14115230117801</v>
      </c>
      <c r="BI13" cm="1">
        <f t="array" ref="BI13">_xll.EQNXTDZ($A$1,$B13,BI$1)</f>
        <v>276.235270537735</v>
      </c>
      <c r="BJ13" cm="1">
        <f t="array" ref="BJ13">_xll.EQNXTDZ($A$1,$B13,BJ$1)</f>
        <v>355.15963354851601</v>
      </c>
      <c r="BK13" cm="1">
        <f t="array" ref="BK13">_xll.EQNXTDZ($A$1,$B13,BK$1)</f>
        <v>330.49577010764699</v>
      </c>
      <c r="BL13" cm="1">
        <f t="array" ref="BL13">_xll.EQNXTDZ($A$1,$B13,BL$1)</f>
        <v>313.62568751409299</v>
      </c>
      <c r="BM13" cm="1">
        <f t="array" ref="BM13">_xll.EQNXTDZ($A$1,$B13,BM$1)</f>
        <v>300.89913397860403</v>
      </c>
      <c r="BN13" cm="1">
        <f t="array" ref="BN13">_xll.EQNXTDZ($A$1,$B13,BN$1)</f>
        <v>266.46838061515098</v>
      </c>
      <c r="BO13" cm="1">
        <f t="array" ref="BO13">_xll.EQNXTDZ($A$1,$B13,BO$1)</f>
        <v>246.687962135574</v>
      </c>
      <c r="BP13" cm="1">
        <f t="array" ref="BP13">_xll.EQNXTDZ($A$1,$B13,BP$1)</f>
        <v>247.625188946327</v>
      </c>
      <c r="BQ13" cm="1">
        <f t="array" ref="BQ13">_xll.EQNXTDZ($A$1,$B13,BQ$1)</f>
        <v>335.47787052270297</v>
      </c>
      <c r="BR13" cm="1">
        <f t="array" ref="BR13">_xll.EQNXTDZ($A$1,$B13,BR$1)</f>
        <v>351.26274312485901</v>
      </c>
      <c r="BS13" cm="1">
        <f t="array" ref="BS13">_xll.EQNXTDZ($A$1,$B13,BS$1)</f>
        <v>314.21762023667401</v>
      </c>
      <c r="BT13" cm="1">
        <f t="array" ref="BT13">_xll.EQNXTDZ($A$1,$B13,BT$1)</f>
        <v>308.79157027968199</v>
      </c>
      <c r="BU13" cm="1">
        <f t="array" ref="BU13">_xll.EQNXTDZ($A$1,$B13,BU$1)</f>
        <v>290.98426087537501</v>
      </c>
      <c r="BV13" cm="1">
        <f t="array" ref="BV13">_xll.EQNXTDZ($A$1,$B13,BV$1)</f>
        <v>281.41468186031801</v>
      </c>
      <c r="BW13" cm="1">
        <f t="array" ref="BW13">_xll.EQNXTDZ($A$1,$B13,BW$1)</f>
        <v>264.44594381299999</v>
      </c>
      <c r="BX13" cm="1">
        <f t="array" ref="BX13">_xll.EQNXTDZ($A$1,$B13,BX$1)</f>
        <v>251.57140709686601</v>
      </c>
      <c r="BY13" cm="1">
        <f t="array" ref="BY13">_xll.EQNXTDZ($A$1,$B13,BY$1)</f>
        <v>256.50417978503998</v>
      </c>
      <c r="BZ13" cm="1">
        <f t="array" ref="BZ13">_xll.EQNXTDZ($A$1,$B13,BZ$1)</f>
        <v>285.11426137644798</v>
      </c>
      <c r="CA13" cm="1">
        <f t="array" ref="CA13">_xll.EQNXTDZ($A$1,$B13,CA$1)</f>
        <v>212.30653649900199</v>
      </c>
      <c r="CB13" cm="1">
        <f t="array" ref="CB13">_xll.EQNXTDZ($A$1,$B13,CB$1)</f>
        <v>184.48569853770201</v>
      </c>
      <c r="CC13" cm="1">
        <f t="array" ref="CC13">_xll.EQNXTDZ($A$1,$B13,CC$1)</f>
        <v>175.705363152752</v>
      </c>
      <c r="CD13" cm="1">
        <f t="array" ref="CD13">_xll.EQNXTDZ($A$1,$B13,CD$1)</f>
        <v>177.57981677425801</v>
      </c>
      <c r="CE13" cm="1">
        <f t="array" ref="CE13">_xll.EQNXTDZ($A$1,$B13,CE$1)</f>
        <v>171.56183409468599</v>
      </c>
      <c r="CF13" cm="1">
        <f t="array" ref="CF13">_xll.EQNXTDZ($A$1,$B13,CF$1)</f>
        <v>142.01452569252501</v>
      </c>
      <c r="CG13" cm="1">
        <f t="array" ref="CG13">_xll.EQNXTDZ($A$1,$B13,CG$1)</f>
        <v>155.92494467317499</v>
      </c>
      <c r="CH13" cm="1">
        <f t="array" ref="CH13">_xll.EQNXTDZ($A$1,$B13,CH$1)</f>
        <v>172.64704408608401</v>
      </c>
      <c r="CI13" cm="1">
        <f t="array" ref="CI13">_xll.EQNXTDZ($A$1,$B13,CI$1)</f>
        <v>166.08645641081301</v>
      </c>
      <c r="CJ13" cm="1">
        <f t="array" ref="CJ13">_xll.EQNXTDZ($A$1,$B13,CJ$1)</f>
        <v>142.11318114628801</v>
      </c>
      <c r="CK13" cm="1">
        <f t="array" ref="CK13">_xll.EQNXTDZ($A$1,$B13,CK$1)</f>
        <v>134.12208939144699</v>
      </c>
      <c r="CL13" cm="1">
        <f t="array" ref="CL13">_xll.EQNXTDZ($A$1,$B13,CL$1)</f>
        <v>120.359653591442</v>
      </c>
      <c r="CM13" cm="1">
        <f t="array" ref="CM13">_xll.EQNXTDZ($A$1,$B13,CM$1)</f>
        <v>116.90671270972</v>
      </c>
      <c r="CN13" cm="1">
        <f t="array" ref="CN13">_xll.EQNXTDZ($A$1,$B13,CN$1)</f>
        <v>120.359653591442</v>
      </c>
      <c r="CO13" cm="1">
        <f t="array" ref="CO13">_xll.EQNXTDZ($A$1,$B13,CO$1)</f>
        <v>115.920158172085</v>
      </c>
      <c r="CP13" cm="1">
        <f t="array" ref="CP13">_xll.EQNXTDZ($A$1,$B13,CP$1)</f>
        <v>113.749738189289</v>
      </c>
      <c r="CQ13" cm="1">
        <f t="array" ref="CQ13">_xll.EQNXTDZ($A$1,$B13,CQ$1)</f>
        <v>129.731921698972</v>
      </c>
      <c r="CR13" cm="1">
        <f t="array" ref="CR13">_xll.EQNXTDZ($A$1,$B13,CR$1)</f>
        <v>112.41788956348201</v>
      </c>
      <c r="CS13" cm="1">
        <f t="array" ref="CS13">_xll.EQNXTDZ($A$1,$B13,CS$1)</f>
        <v>72.807724877445906</v>
      </c>
      <c r="CT13" cm="1">
        <f t="array" ref="CT13">_xll.EQNXTDZ($A$1,$B13,CT$1)</f>
        <v>92.736126537668198</v>
      </c>
      <c r="CU13" cm="1">
        <f t="array" ref="CU13">_xll.EQNXTDZ($A$1,$B13,CU$1)</f>
        <v>83.857135698955304</v>
      </c>
      <c r="CV13" cm="1">
        <f t="array" ref="CV13">_xll.EQNXTDZ($A$1,$B13,CV$1)</f>
        <v>98.6554537634768</v>
      </c>
      <c r="CW13" cm="1">
        <f t="array" ref="CW13">_xll.EQNXTDZ($A$1,$B13,CW$1)</f>
        <v>137.032425277469</v>
      </c>
      <c r="CX13" cm="1">
        <f t="array" ref="CX13">_xll.EQNXTDZ($A$1,$B13,CX$1)</f>
        <v>146.01007156994601</v>
      </c>
      <c r="CY13" cm="1">
        <f t="array" ref="CY13">_xll.EQNXTDZ($A$1,$B13,CY$1)</f>
        <v>128.25208989251999</v>
      </c>
      <c r="CZ13" cm="1">
        <f t="array" ref="CZ13">_xll.EQNXTDZ($A$1,$B13,CZ$1)</f>
        <v>120.85293086025899</v>
      </c>
      <c r="DA13" cm="1">
        <f t="array" ref="DA13">_xll.EQNXTDZ($A$1,$B13,DA$1)</f>
        <v>226.51292184094299</v>
      </c>
      <c r="DB13" cm="1">
        <f t="array" ref="DB13">_xll.EQNXTDZ($A$1,$B13,DB$1)</f>
        <v>215.06888920437899</v>
      </c>
      <c r="DC13" cm="1">
        <f t="array" ref="DC13">_xll.EQNXTDZ($A$1,$B13,DC$1)</f>
        <v>193.26603392265099</v>
      </c>
      <c r="DD13" cm="1">
        <f t="array" ref="DD13">_xll.EQNXTDZ($A$1,$B13,DD$1)</f>
        <v>220.19897280008001</v>
      </c>
      <c r="DE13" cm="1">
        <f t="array" ref="DE13">_xll.EQNXTDZ($A$1,$B13,DE$1)</f>
        <v>190.45435349039201</v>
      </c>
      <c r="DF13" cm="1">
        <f t="array" ref="DF13">_xll.EQNXTDZ($A$1,$B13,DF$1)</f>
        <v>262.42350701084803</v>
      </c>
      <c r="DG13" cm="1">
        <f t="array" ref="DG13">_xll.EQNXTDZ($A$1,$B13,DG$1)</f>
        <v>271.79577511837903</v>
      </c>
      <c r="DH13" cm="1">
        <f t="array" ref="DH13">_xll.EQNXTDZ($A$1,$B13,DH$1)</f>
        <v>330.742408742056</v>
      </c>
      <c r="DI13" cm="1">
        <f t="array" ref="DI13">_xll.EQNXTDZ($A$1,$B13,DI$1)</f>
        <v>361.374927135615</v>
      </c>
      <c r="DJ13" cm="1">
        <f t="array" ref="DJ13">_xll.EQNXTDZ($A$1,$B13,DJ$1)</f>
        <v>318.75577110979401</v>
      </c>
      <c r="DK13" cm="1">
        <f t="array" ref="DK13">_xll.EQNXTDZ($A$1,$B13,DK$1)</f>
        <v>330.69308101517402</v>
      </c>
      <c r="DL13" cm="1">
        <f t="array" ref="DL13">_xll.EQNXTDZ($A$1,$B13,DL$1)</f>
        <v>345.29408817216898</v>
      </c>
      <c r="DM13" cm="1">
        <f t="array" ref="DM13">_xll.EQNXTDZ($A$1,$B13,DM$1)</f>
        <v>343.81425636571697</v>
      </c>
      <c r="DN13" cm="1">
        <f t="array" ref="DN13">_xll.EQNXTDZ($A$1,$B13,DN$1)</f>
        <v>512.46575457437996</v>
      </c>
      <c r="DO13" cm="1">
        <f t="array" ref="DO13">_xll.EQNXTDZ($A$1,$B13,DO$1)</f>
        <v>414.500888987248</v>
      </c>
      <c r="DP13" cm="1">
        <f t="array" ref="DP13">_xll.EQNXTDZ($A$1,$B13,DP$1)</f>
        <v>456.28147365607998</v>
      </c>
      <c r="DQ13" cm="1">
        <f t="array" ref="DQ13">_xll.EQNXTDZ($A$1,$B13,DQ$1)</f>
        <v>621.52935870990405</v>
      </c>
      <c r="DR13" cm="1">
        <f t="array" ref="DR13">_xll.EQNXTDZ($A$1,$B13,DR$1)</f>
        <v>688.51641181530397</v>
      </c>
      <c r="DS13" cm="1">
        <f t="array" ref="DS13">_xll.EQNXTDZ($A$1,$B13,DS$1)</f>
        <v>510.73928413351899</v>
      </c>
      <c r="DT13" cm="1">
        <f t="array" ref="DT13">_xll.EQNXTDZ($A$1,$B13,DT$1)</f>
        <v>445.97197873779697</v>
      </c>
      <c r="DU13" cm="1">
        <f t="array" ref="DU13">_xll.EQNXTDZ($A$1,$B13,DU$1)</f>
        <v>479.46550529049699</v>
      </c>
      <c r="DV13" cm="1">
        <f t="array" ref="DV13">_xll.EQNXTDZ($A$1,$B13,DV$1)</f>
        <v>488.34449612920997</v>
      </c>
      <c r="DW13" cm="1">
        <f t="array" ref="DW13">_xll.EQNXTDZ($A$1,$B13,DW$1)</f>
        <v>527.80667763460099</v>
      </c>
      <c r="DX13" cm="1">
        <f t="array" ref="DX13">_xll.EQNXTDZ($A$1,$B13,DX$1)</f>
        <v>606.731040645382</v>
      </c>
      <c r="DY13" cm="1">
        <f t="array" ref="DY13">_xll.EQNXTDZ($A$1,$B13,DY$1)</f>
        <v>547.53776838729596</v>
      </c>
      <c r="DZ13" cm="1">
        <f t="array" ref="DZ13">_xll.EQNXTDZ($A$1,$B13,DZ$1)</f>
        <v>547.34045747976904</v>
      </c>
      <c r="EA13" cm="1">
        <f t="array" ref="EA13">_xll.EQNXTDZ($A$1,$B13,EA$1)</f>
        <v>591.93272258086097</v>
      </c>
      <c r="EB13" cm="1">
        <f t="array" ref="EB13">_xll.EQNXTDZ($A$1,$B13,EB$1)</f>
        <v>532.73945032277504</v>
      </c>
      <c r="EC13" cm="1">
        <f t="array" ref="EC13">_xll.EQNXTDZ($A$1,$B13,EC$1)</f>
        <v>570.22852275289597</v>
      </c>
      <c r="ED13" cm="1">
        <f t="array" ref="ED13">_xll.EQNXTDZ($A$1,$B13,ED$1)</f>
        <v>562.33608645181801</v>
      </c>
      <c r="EE13" cm="1">
        <f t="array" ref="EE13">_xll.EQNXTDZ($A$1,$B13,EE$1)</f>
        <v>532.88743350341997</v>
      </c>
      <c r="EF13" cm="1">
        <f t="array" ref="EF13">_xll.EQNXTDZ($A$1,$B13,EF$1)</f>
        <v>720.18481247338002</v>
      </c>
      <c r="EG13" cm="1">
        <f t="array" ref="EG13">_xll.EQNXTDZ($A$1,$B13,EG$1)</f>
        <v>884.89009253150505</v>
      </c>
      <c r="EH13" cm="1">
        <f t="array" ref="EH13">_xll.EQNXTDZ($A$1,$B13,EH$1)</f>
        <v>911.57639277452597</v>
      </c>
      <c r="EI13" cm="1">
        <f t="array" ref="EI13">_xll.EQNXTDZ($A$1,$B13,EI$1)</f>
        <v>769.51253935511897</v>
      </c>
      <c r="EJ13" cm="1">
        <f t="array" ref="EJ13">_xll.EQNXTDZ($A$1,$B13,EJ$1)</f>
        <v>774.44531204329303</v>
      </c>
      <c r="EK13" cm="1">
        <f t="array" ref="EK13">_xll.EQNXTDZ($A$1,$B13,EK$1)</f>
        <v>812.77295583040302</v>
      </c>
      <c r="EL13" cm="1">
        <f t="array" ref="EL13">_xll.EQNXTDZ($A$1,$B13,EL$1)</f>
        <v>823.77303892503096</v>
      </c>
      <c r="EM13" cm="1">
        <f t="array" ref="EM13">_xll.EQNXTDZ($A$1,$B13,EM$1)</f>
        <v>848.43690236589998</v>
      </c>
      <c r="EN13" cm="1">
        <f t="array" ref="EN13">_xll.EQNXTDZ($A$1,$B13,EN$1)</f>
        <v>853.02438096590197</v>
      </c>
      <c r="EO13" cm="1">
        <f t="array" ref="EO13">_xll.EQNXTDZ($A$1,$B13,EO$1)</f>
        <v>813.90749354868296</v>
      </c>
      <c r="EP13" cm="1">
        <f t="array" ref="EP13">_xll.EQNXTDZ($A$1,$B13,EP$1)</f>
        <v>858.10513683472095</v>
      </c>
      <c r="EQ13" cm="1">
        <f t="array" ref="EQ13">_xll.EQNXTDZ($A$1,$B13,EQ$1)</f>
        <v>878.03353849494295</v>
      </c>
      <c r="ER13" cm="1">
        <f t="array" ref="ER13">_xll.EQNXTDZ($A$1,$B13,ER$1)</f>
        <v>1034.5997436175801</v>
      </c>
      <c r="ES13" cm="1">
        <f t="array" ref="ES13">_xll.EQNXTDZ($A$1,$B13,ES$1)</f>
        <v>1013.1915101509099</v>
      </c>
      <c r="ET13" cm="1">
        <f t="array" ref="ET13">_xll.EQNXTDZ($A$1,$B13,ET$1)</f>
        <v>932.29403806485595</v>
      </c>
      <c r="EU13" cm="1">
        <f t="array" ref="EU13">_xll.EQNXTDZ($A$1,$B13,EU$1)</f>
        <v>955.87269151432702</v>
      </c>
      <c r="EV13" cm="1">
        <f t="array" ref="EV13">_xll.EQNXTDZ($A$1,$B13,EV$1)</f>
        <v>957.05655695948803</v>
      </c>
      <c r="EW13" cm="1">
        <f t="array" ref="EW13">_xll.EQNXTDZ($A$1,$B13,EW$1)</f>
        <v>907.63017462398602</v>
      </c>
      <c r="EX13" cm="1">
        <f t="array" ref="EX13">_xll.EQNXTDZ($A$1,$B13,EX$1)</f>
        <v>905.31177146054495</v>
      </c>
      <c r="EY13" cm="1">
        <f t="array" ref="EY13">_xll.EQNXTDZ($A$1,$B13,EY$1)</f>
        <v>790.23018464544896</v>
      </c>
      <c r="EZ13" cm="1">
        <f t="array" ref="EZ13">_xll.EQNXTDZ($A$1,$B13,EZ$1)</f>
        <v>634.25591224539198</v>
      </c>
      <c r="FA13" cm="1">
        <f t="array" ref="FA13">_xll.EQNXTDZ($A$1,$B13,FA$1)</f>
        <v>707.95153620670897</v>
      </c>
      <c r="FB13" cm="1">
        <f t="array" ref="FB13">_xll.EQNXTDZ($A$1,$B13,FB$1)</f>
        <v>733.15800464327799</v>
      </c>
      <c r="FC13" cm="1">
        <f t="array" ref="FC13">_xll.EQNXTDZ($A$1,$B13,FC$1)</f>
        <v>789.24363010781406</v>
      </c>
      <c r="FD13" cm="1">
        <f t="array" ref="FD13">_xll.EQNXTDZ($A$1,$B13,FD$1)</f>
        <v>759.64699397877098</v>
      </c>
      <c r="FE13" cm="1">
        <f t="array" ref="FE13">_xll.EQNXTDZ($A$1,$B13,FE$1)</f>
        <v>942.15958344120304</v>
      </c>
      <c r="FF13" cm="1">
        <f t="array" ref="FF13">_xll.EQNXTDZ($A$1,$B13,FF$1)</f>
        <v>966.67546370142702</v>
      </c>
      <c r="FG13" cm="1">
        <f t="array" ref="FG13">_xll.EQNXTDZ($A$1,$B13,FG$1)</f>
        <v>931.65</v>
      </c>
      <c r="FH13" cm="1">
        <f t="array" ref="FH13">_xll.EQNXTDZ($A$1,$B13,FH$1)</f>
        <v>1049.4000000000001</v>
      </c>
      <c r="FI13" cm="1">
        <f t="array" ref="FI13">_xll.EQNXTDZ($A$1,$B13,FI$1)</f>
        <v>1022.1</v>
      </c>
      <c r="FJ13" cm="1">
        <f t="array" ref="FJ13">_xll.EQNXTDZ($A$1,$B13,FJ$1)</f>
        <v>904.65</v>
      </c>
      <c r="FK13" cm="1">
        <f t="array" ref="FK13">_xll.EQNXTDZ($A$1,$B13,FK$1)</f>
        <v>855</v>
      </c>
      <c r="FL13" cm="1">
        <f t="array" ref="FL13">_xll.EQNXTDZ($A$1,$B13,FL$1)</f>
        <v>820</v>
      </c>
      <c r="FM13" cm="1">
        <f t="array" ref="FM13">_xll.EQNXTDZ($A$1,$B13,FM$1)</f>
        <v>756.65</v>
      </c>
      <c r="FN13" cm="1">
        <f t="array" ref="FN13">_xll.EQNXTDZ($A$1,$B13,FN$1)</f>
        <v>855</v>
      </c>
      <c r="FO13" cm="1">
        <f t="array" ref="FO13">_xll.EQNXTDZ($A$1,$B13,FO$1)</f>
        <v>1059.95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40.350080589261999</v>
      </c>
      <c r="D14" s="116" cm="1">
        <f t="array" ref="D14">_xll.EQNXTDZ($A$1,$B14,D$1)</f>
        <v>37.2917615225942</v>
      </c>
      <c r="E14" s="116" cm="1">
        <f t="array" ref="E14">_xll.EQNXTDZ($A$1,$B14,E$1)</f>
        <v>34.924030632270799</v>
      </c>
      <c r="F14" s="116" cm="1">
        <f t="array" ref="F14">_xll.EQNXTDZ($A$1,$B14,F$1)</f>
        <v>50.018315058082699</v>
      </c>
      <c r="G14" s="116" cm="1">
        <f t="array" ref="G14">_xll.EQNXTDZ($A$1,$B14,G$1)</f>
        <v>49.574365516147097</v>
      </c>
      <c r="H14" s="116" cm="1">
        <f t="array" ref="H14">_xll.EQNXTDZ($A$1,$B14,H$1)</f>
        <v>50.166298238727897</v>
      </c>
      <c r="I14" s="116" cm="1">
        <f t="array" ref="I14">_xll.EQNXTDZ($A$1,$B14,I$1)</f>
        <v>74.978144860242395</v>
      </c>
      <c r="J14" s="116" cm="1">
        <f t="array" ref="J14">_xll.EQNXTDZ($A$1,$B14,J$1)</f>
        <v>68.072263096799006</v>
      </c>
      <c r="K14" s="116" cm="1">
        <f t="array" ref="K14">_xll.EQNXTDZ($A$1,$B14,K$1)</f>
        <v>71.031926709703299</v>
      </c>
      <c r="L14" s="116" cm="1">
        <f t="array" ref="L14">_xll.EQNXTDZ($A$1,$B14,L$1)</f>
        <v>64.076717219378196</v>
      </c>
      <c r="M14" s="116" cm="1">
        <f t="array" ref="M14">_xll.EQNXTDZ($A$1,$B14,M$1)</f>
        <v>56.233608645181803</v>
      </c>
      <c r="N14" s="116" cm="1">
        <f t="array" ref="N14">_xll.EQNXTDZ($A$1,$B14,N$1)</f>
        <v>52.2873904946427</v>
      </c>
      <c r="O14" s="116" cm="1">
        <f t="array" ref="O14">_xll.EQNXTDZ($A$1,$B14,O$1)</f>
        <v>51.300835957007898</v>
      </c>
      <c r="P14" s="116" cm="1">
        <f t="array" ref="P14">_xll.EQNXTDZ($A$1,$B14,P$1)</f>
        <v>49.3277268817384</v>
      </c>
      <c r="Q14" s="116" cm="1">
        <f t="array" ref="Q14">_xll.EQNXTDZ($A$1,$B14,Q$1)</f>
        <v>49.3277268817384</v>
      </c>
      <c r="R14" s="116" cm="1">
        <f t="array" ref="R14">_xll.EQNXTDZ($A$1,$B14,R$1)</f>
        <v>50.264953692491403</v>
      </c>
      <c r="S14" s="116" cm="1">
        <f t="array" ref="S14">_xll.EQNXTDZ($A$1,$B14,S$1)</f>
        <v>46.516046449479298</v>
      </c>
      <c r="T14" s="116" cm="1">
        <f t="array" ref="T14">_xll.EQNXTDZ($A$1,$B14,T$1)</f>
        <v>71.377220797875495</v>
      </c>
      <c r="U14" s="116" cm="1">
        <f t="array" ref="U14">_xll.EQNXTDZ($A$1,$B14,U$1)</f>
        <v>93.032092898958595</v>
      </c>
      <c r="V14" s="116" cm="1">
        <f t="array" ref="V14">_xll.EQNXTDZ($A$1,$B14,V$1)</f>
        <v>107.63310005595299</v>
      </c>
      <c r="W14" s="116" cm="1">
        <f t="array" ref="W14">_xll.EQNXTDZ($A$1,$B14,W$1)</f>
        <v>94.709235612937704</v>
      </c>
      <c r="X14" s="116" cm="1">
        <f t="array" ref="X14">_xll.EQNXTDZ($A$1,$B14,X$1)</f>
        <v>157.602087387154</v>
      </c>
      <c r="Y14" s="116" cm="1">
        <f t="array" ref="Y14">_xll.EQNXTDZ($A$1,$B14,Y$1)</f>
        <v>197.26157980007201</v>
      </c>
      <c r="Z14" s="116" cm="1">
        <f t="array" ref="Z14">_xll.EQNXTDZ($A$1,$B14,Z$1)</f>
        <v>192.37813483878</v>
      </c>
      <c r="AA14" s="116" cm="1">
        <f t="array" ref="AA14">_xll.EQNXTDZ($A$1,$B14,AA$1)</f>
        <v>187.19872351619699</v>
      </c>
      <c r="AB14" s="116" cm="1">
        <f t="array" ref="AB14">_xll.EQNXTDZ($A$1,$B14,AB$1)</f>
        <v>259.66115430547097</v>
      </c>
      <c r="AC14" s="116" cm="1">
        <f t="array" ref="AC14">_xll.EQNXTDZ($A$1,$B14,AC$1)</f>
        <v>268.78678377859302</v>
      </c>
      <c r="AD14" s="116" cm="1">
        <f t="array" ref="AD14">_xll.EQNXTDZ($A$1,$B14,AD$1)</f>
        <v>293.99325221516102</v>
      </c>
      <c r="AE14" s="116" cm="1">
        <f t="array" ref="AE14">_xll.EQNXTDZ($A$1,$B14,AE$1)</f>
        <v>253.495188445254</v>
      </c>
      <c r="AF14" s="116" cm="1">
        <f t="array" ref="AF14">_xll.EQNXTDZ($A$1,$B14,AF$1)</f>
        <v>264.396616086118</v>
      </c>
      <c r="AG14" s="116" cm="1">
        <f t="array" ref="AG14">_xll.EQNXTDZ($A$1,$B14,AG$1)</f>
        <v>258.47728886030899</v>
      </c>
      <c r="AH14" s="116" cm="1">
        <f t="array" ref="AH14">_xll.EQNXTDZ($A$1,$B14,AH$1)</f>
        <v>366.948960273252</v>
      </c>
      <c r="AI14" s="116" cm="1">
        <f t="array" ref="AI14">_xll.EQNXTDZ($A$1,$B14,AI$1)</f>
        <v>348.74702905389</v>
      </c>
      <c r="AJ14" s="116" cm="1">
        <f t="array" ref="AJ14">_xll.EQNXTDZ($A$1,$B14,AJ$1)</f>
        <v>330.19980374635702</v>
      </c>
      <c r="AK14" s="116" cm="1">
        <f t="array" ref="AK14">_xll.EQNXTDZ($A$1,$B14,AK$1)</f>
        <v>419.28567849477599</v>
      </c>
      <c r="AL14" s="116" cm="1">
        <f t="array" ref="AL14">_xll.EQNXTDZ($A$1,$B14,AL$1)</f>
        <v>380.71139607325699</v>
      </c>
      <c r="AM14" s="116" cm="1">
        <f t="array" ref="AM14">_xll.EQNXTDZ($A$1,$B14,AM$1)</f>
        <v>355.06097809475301</v>
      </c>
      <c r="AN14" s="116" cm="1">
        <f t="array" ref="AN14">_xll.EQNXTDZ($A$1,$B14,AN$1)</f>
        <v>600.81171341957395</v>
      </c>
      <c r="AO14" s="116" cm="1">
        <f t="array" ref="AO14">_xll.EQNXTDZ($A$1,$B14,AO$1)</f>
        <v>649.15288576367698</v>
      </c>
      <c r="AP14" s="116" cm="1">
        <f t="array" ref="AP14">_xll.EQNXTDZ($A$1,$B14,AP$1)</f>
        <v>537.42558437653997</v>
      </c>
      <c r="AQ14" s="116" cm="1">
        <f t="array" ref="AQ14">_xll.EQNXTDZ($A$1,$B14,AQ$1)</f>
        <v>556.31810377224599</v>
      </c>
      <c r="AR14" s="116" cm="1">
        <f t="array" ref="AR14">_xll.EQNXTDZ($A$1,$B14,AR$1)</f>
        <v>512.02180503244404</v>
      </c>
      <c r="AS14" s="116" cm="1">
        <f t="array" ref="AS14">_xll.EQNXTDZ($A$1,$B14,AS$1)</f>
        <v>487.35794159157501</v>
      </c>
      <c r="AT14" s="116" cm="1">
        <f t="array" ref="AT14">_xll.EQNXTDZ($A$1,$B14,AT$1)</f>
        <v>483.31306798727297</v>
      </c>
      <c r="AU14" s="116" cm="1">
        <f t="array" ref="AU14">_xll.EQNXTDZ($A$1,$B14,AU$1)</f>
        <v>412.28114127756902</v>
      </c>
      <c r="AV14" s="116" cm="1">
        <f t="array" ref="AV14">_xll.EQNXTDZ($A$1,$B14,AV$1)</f>
        <v>342.82770182808201</v>
      </c>
      <c r="AW14" s="116" cm="1">
        <f t="array" ref="AW14">_xll.EQNXTDZ($A$1,$B14,AW$1)</f>
        <v>371.93106068830701</v>
      </c>
      <c r="AX14" s="116" cm="1">
        <f t="array" ref="AX14">_xll.EQNXTDZ($A$1,$B14,AX$1)</f>
        <v>371.43778341949002</v>
      </c>
      <c r="AY14" s="116" cm="1">
        <f t="array" ref="AY14">_xll.EQNXTDZ($A$1,$B14,AY$1)</f>
        <v>334.44198825818597</v>
      </c>
      <c r="AZ14" s="116" cm="1">
        <f t="array" ref="AZ14">_xll.EQNXTDZ($A$1,$B14,AZ$1)</f>
        <v>408.03895676574001</v>
      </c>
      <c r="BA14" s="116" cm="1">
        <f t="array" ref="BA14">_xll.EQNXTDZ($A$1,$B14,BA$1)</f>
        <v>481.43861436576702</v>
      </c>
      <c r="BB14" s="116" cm="1">
        <f t="array" ref="BB14">_xll.EQNXTDZ($A$1,$B14,BB$1)</f>
        <v>389.68904236573297</v>
      </c>
      <c r="BC14" s="116" cm="1">
        <f t="array" ref="BC14">_xll.EQNXTDZ($A$1,$B14,BC$1)</f>
        <v>365.02517892486401</v>
      </c>
      <c r="BD14" s="116" cm="1">
        <f t="array" ref="BD14">_xll.EQNXTDZ($A$1,$B14,BD$1)</f>
        <v>340.311987757113</v>
      </c>
      <c r="BE14" s="116" cm="1">
        <f t="array" ref="BE14">_xll.EQNXTDZ($A$1,$B14,BE$1)</f>
        <v>336.415097333456</v>
      </c>
      <c r="BF14" s="116" cm="1">
        <f t="array" ref="BF14">_xll.EQNXTDZ($A$1,$B14,BF$1)</f>
        <v>328.52266103237798</v>
      </c>
      <c r="BG14" s="116" cm="1">
        <f t="array" ref="BG14">_xll.EQNXTDZ($A$1,$B14,BG$1)</f>
        <v>304.84535212914301</v>
      </c>
      <c r="BH14" s="116" cm="1">
        <f t="array" ref="BH14">_xll.EQNXTDZ($A$1,$B14,BH$1)</f>
        <v>295.96636129042997</v>
      </c>
      <c r="BI14" s="116" cm="1">
        <f t="array" ref="BI14">_xll.EQNXTDZ($A$1,$B14,BI$1)</f>
        <v>397.58147866681099</v>
      </c>
      <c r="BJ14" s="116" cm="1">
        <f t="array" ref="BJ14">_xll.EQNXTDZ($A$1,$B14,BJ$1)</f>
        <v>374.890724301212</v>
      </c>
      <c r="BK14" s="116" cm="1">
        <f t="array" ref="BK14">_xll.EQNXTDZ($A$1,$B14,BK$1)</f>
        <v>330.49577010764699</v>
      </c>
      <c r="BL14" s="116" cm="1">
        <f t="array" ref="BL14">_xll.EQNXTDZ($A$1,$B14,BL$1)</f>
        <v>335.42854279582099</v>
      </c>
      <c r="BM14" s="116" cm="1">
        <f t="array" ref="BM14">_xll.EQNXTDZ($A$1,$B14,BM$1)</f>
        <v>303.80946986462698</v>
      </c>
      <c r="BN14" s="116" cm="1">
        <f t="array" ref="BN14">_xll.EQNXTDZ($A$1,$B14,BN$1)</f>
        <v>282.84518593988798</v>
      </c>
      <c r="BO14" s="116" cm="1">
        <f t="array" ref="BO14">_xll.EQNXTDZ($A$1,$B14,BO$1)</f>
        <v>266.07375880009698</v>
      </c>
      <c r="BP14" s="116" cm="1">
        <f t="array" ref="BP14">_xll.EQNXTDZ($A$1,$B14,BP$1)</f>
        <v>393.58593278939099</v>
      </c>
      <c r="BQ14" s="116" cm="1">
        <f t="array" ref="BQ14">_xll.EQNXTDZ($A$1,$B14,BQ$1)</f>
        <v>372.720304318415</v>
      </c>
      <c r="BR14" s="116" cm="1">
        <f t="array" ref="BR14">_xll.EQNXTDZ($A$1,$B14,BR$1)</f>
        <v>414.25425035283899</v>
      </c>
      <c r="BS14" s="116" cm="1">
        <f t="array" ref="BS14">_xll.EQNXTDZ($A$1,$B14,BS$1)</f>
        <v>390.57694144960499</v>
      </c>
      <c r="BT14" s="116" cm="1">
        <f t="array" ref="BT14">_xll.EQNXTDZ($A$1,$B14,BT$1)</f>
        <v>317.769216572159</v>
      </c>
      <c r="BU14" s="116" cm="1">
        <f t="array" ref="BU14">_xll.EQNXTDZ($A$1,$B14,BU$1)</f>
        <v>317.67056111839503</v>
      </c>
      <c r="BV14" s="116" cm="1">
        <f t="array" ref="BV14">_xll.EQNXTDZ($A$1,$B14,BV$1)</f>
        <v>305.83190666677802</v>
      </c>
      <c r="BW14" s="116" cm="1">
        <f t="array" ref="BW14">_xll.EQNXTDZ($A$1,$B14,BW$1)</f>
        <v>275.39669918074497</v>
      </c>
      <c r="BX14" s="116" cm="1">
        <f t="array" ref="BX14">_xll.EQNXTDZ($A$1,$B14,BX$1)</f>
        <v>263.11409518719302</v>
      </c>
      <c r="BY14" s="116" cm="1">
        <f t="array" ref="BY14">_xll.EQNXTDZ($A$1,$B14,BY$1)</f>
        <v>294.97980675279598</v>
      </c>
      <c r="BZ14" s="116" cm="1">
        <f t="array" ref="BZ14">_xll.EQNXTDZ($A$1,$B14,BZ$1)</f>
        <v>289.06047952698702</v>
      </c>
      <c r="CA14" s="116" cm="1">
        <f t="array" ref="CA14">_xll.EQNXTDZ($A$1,$B14,CA$1)</f>
        <v>245.652079871057</v>
      </c>
      <c r="CB14" s="116" cm="1">
        <f t="array" ref="CB14">_xll.EQNXTDZ($A$1,$B14,CB$1)</f>
        <v>196.32435298931901</v>
      </c>
      <c r="CC14" s="116" cm="1">
        <f t="array" ref="CC14">_xll.EQNXTDZ($A$1,$B14,CC$1)</f>
        <v>181.52603492479699</v>
      </c>
      <c r="CD14" s="116" cm="1">
        <f t="array" ref="CD14">_xll.EQNXTDZ($A$1,$B14,CD$1)</f>
        <v>187.445362150606</v>
      </c>
      <c r="CE14" s="116" cm="1">
        <f t="array" ref="CE14">_xll.EQNXTDZ($A$1,$B14,CE$1)</f>
        <v>171.66048954844999</v>
      </c>
      <c r="CF14" s="116" cm="1">
        <f t="array" ref="CF14">_xll.EQNXTDZ($A$1,$B14,CF$1)</f>
        <v>172.40040545167599</v>
      </c>
      <c r="CG14" s="116" cm="1">
        <f t="array" ref="CG14">_xll.EQNXTDZ($A$1,$B14,CG$1)</f>
        <v>182.413934008669</v>
      </c>
      <c r="CH14" s="116" cm="1">
        <f t="array" ref="CH14">_xll.EQNXTDZ($A$1,$B14,CH$1)</f>
        <v>179.306287215119</v>
      </c>
      <c r="CI14" s="116" cm="1">
        <f t="array" ref="CI14">_xll.EQNXTDZ($A$1,$B14,CI$1)</f>
        <v>170.032674561352</v>
      </c>
      <c r="CJ14" s="116" cm="1">
        <f t="array" ref="CJ14">_xll.EQNXTDZ($A$1,$B14,CJ$1)</f>
        <v>149.95628972048499</v>
      </c>
      <c r="CK14" s="116" cm="1">
        <f t="array" ref="CK14">_xll.EQNXTDZ($A$1,$B14,CK$1)</f>
        <v>134.12208939144699</v>
      </c>
      <c r="CL14" s="116" cm="1">
        <f t="array" ref="CL14">_xll.EQNXTDZ($A$1,$B14,CL$1)</f>
        <v>138.068307541986</v>
      </c>
      <c r="CM14" s="116" cm="1">
        <f t="array" ref="CM14">_xll.EQNXTDZ($A$1,$B14,CM$1)</f>
        <v>120.85293086025899</v>
      </c>
      <c r="CN14" s="116" cm="1">
        <f t="array" ref="CN14">_xll.EQNXTDZ($A$1,$B14,CN$1)</f>
        <v>138.11763526886801</v>
      </c>
      <c r="CO14" s="116" cm="1">
        <f t="array" ref="CO14">_xll.EQNXTDZ($A$1,$B14,CO$1)</f>
        <v>118.38654451617199</v>
      </c>
      <c r="CP14" s="116" cm="1">
        <f t="array" ref="CP14">_xll.EQNXTDZ($A$1,$B14,CP$1)</f>
        <v>150.94284425811901</v>
      </c>
      <c r="CQ14" s="116" cm="1">
        <f t="array" ref="CQ14">_xll.EQNXTDZ($A$1,$B14,CQ$1)</f>
        <v>140.28805525166399</v>
      </c>
      <c r="CR14" s="116" cm="1">
        <f t="array" ref="CR14">_xll.EQNXTDZ($A$1,$B14,CR$1)</f>
        <v>116.808057255957</v>
      </c>
      <c r="CS14" s="116" cm="1">
        <f t="array" ref="CS14">_xll.EQNXTDZ($A$1,$B14,CS$1)</f>
        <v>99.543352847348103</v>
      </c>
      <c r="CT14" s="116" cm="1">
        <f t="array" ref="CT14">_xll.EQNXTDZ($A$1,$B14,CT$1)</f>
        <v>92.736126537668198</v>
      </c>
      <c r="CU14" s="116" cm="1">
        <f t="array" ref="CU14">_xll.EQNXTDZ($A$1,$B14,CU$1)</f>
        <v>110.198141853804</v>
      </c>
      <c r="CV14" s="116" cm="1">
        <f t="array" ref="CV14">_xll.EQNXTDZ($A$1,$B14,CV$1)</f>
        <v>170.673935010815</v>
      </c>
      <c r="CW14" s="116" cm="1">
        <f t="array" ref="CW14">_xll.EQNXTDZ($A$1,$B14,CW$1)</f>
        <v>159.18057464737001</v>
      </c>
      <c r="CX14" s="116" cm="1">
        <f t="array" ref="CX14">_xll.EQNXTDZ($A$1,$B14,CX$1)</f>
        <v>148.92040745596799</v>
      </c>
      <c r="CY14" s="116" cm="1">
        <f t="array" ref="CY14">_xll.EQNXTDZ($A$1,$B14,CY$1)</f>
        <v>134.07276166456501</v>
      </c>
      <c r="CZ14" s="116" cm="1">
        <f t="array" ref="CZ14">_xll.EQNXTDZ($A$1,$B14,CZ$1)</f>
        <v>215.75947738072401</v>
      </c>
      <c r="DA14" s="116" cm="1">
        <f t="array" ref="DA14">_xll.EQNXTDZ($A$1,$B14,DA$1)</f>
        <v>237.80897129686099</v>
      </c>
      <c r="DB14" s="116" cm="1">
        <f t="array" ref="DB14">_xll.EQNXTDZ($A$1,$B14,DB$1)</f>
        <v>225.42771184954401</v>
      </c>
      <c r="DC14" s="116" cm="1">
        <f t="array" ref="DC14">_xll.EQNXTDZ($A$1,$B14,DC$1)</f>
        <v>251.07812982804799</v>
      </c>
      <c r="DD14" s="116" cm="1">
        <f t="array" ref="DD14">_xll.EQNXTDZ($A$1,$B14,DD$1)</f>
        <v>225.82233366459801</v>
      </c>
      <c r="DE14" s="116" cm="1">
        <f t="array" ref="DE14">_xll.EQNXTDZ($A$1,$B14,DE$1)</f>
        <v>287.58064772053501</v>
      </c>
      <c r="DF14" s="116" cm="1">
        <f t="array" ref="DF14">_xll.EQNXTDZ($A$1,$B14,DF$1)</f>
        <v>310.666023901188</v>
      </c>
      <c r="DG14" s="116" cm="1">
        <f t="array" ref="DG14">_xll.EQNXTDZ($A$1,$B14,DG$1)</f>
        <v>300.80047852484103</v>
      </c>
      <c r="DH14" s="116" cm="1">
        <f t="array" ref="DH14">_xll.EQNXTDZ($A$1,$B14,DH$1)</f>
        <v>387.07467284100102</v>
      </c>
      <c r="DI14" s="116" cm="1">
        <f t="array" ref="DI14">_xll.EQNXTDZ($A$1,$B14,DI$1)</f>
        <v>409.42013311842902</v>
      </c>
      <c r="DJ14" s="116" cm="1">
        <f t="array" ref="DJ14">_xll.EQNXTDZ($A$1,$B14,DJ$1)</f>
        <v>368.97139707540299</v>
      </c>
      <c r="DK14" s="116" cm="1">
        <f t="array" ref="DK14">_xll.EQNXTDZ($A$1,$B14,DK$1)</f>
        <v>398.56803320444601</v>
      </c>
      <c r="DL14" s="116" cm="1">
        <f t="array" ref="DL14">_xll.EQNXTDZ($A$1,$B14,DL$1)</f>
        <v>354.12375128399998</v>
      </c>
      <c r="DM14" s="116" cm="1">
        <f t="array" ref="DM14">_xll.EQNXTDZ($A$1,$B14,DM$1)</f>
        <v>512.95903184319798</v>
      </c>
      <c r="DN14" s="116" cm="1">
        <f t="array" ref="DN14">_xll.EQNXTDZ($A$1,$B14,DN$1)</f>
        <v>537.67222301094796</v>
      </c>
      <c r="DO14" s="116" cm="1">
        <f t="array" ref="DO14">_xll.EQNXTDZ($A$1,$B14,DO$1)</f>
        <v>488.09785749480102</v>
      </c>
      <c r="DP14" s="116" cm="1">
        <f t="array" ref="DP14">_xll.EQNXTDZ($A$1,$B14,DP$1)</f>
        <v>689.60162180670295</v>
      </c>
      <c r="DQ14" s="116" cm="1">
        <f t="array" ref="DQ14">_xll.EQNXTDZ($A$1,$B14,DQ$1)</f>
        <v>738.23876051209697</v>
      </c>
      <c r="DR14" s="116" cm="1">
        <f t="array" ref="DR14">_xll.EQNXTDZ($A$1,$B14,DR$1)</f>
        <v>689.55229407982097</v>
      </c>
      <c r="DS14" s="116" cm="1">
        <f t="array" ref="DS14">_xll.EQNXTDZ($A$1,$B14,DS$1)</f>
        <v>540.63188662385301</v>
      </c>
      <c r="DT14" s="116" cm="1">
        <f t="array" ref="DT14">_xll.EQNXTDZ($A$1,$B14,DT$1)</f>
        <v>528.793232172236</v>
      </c>
      <c r="DU14" s="116" cm="1">
        <f t="array" ref="DU14">_xll.EQNXTDZ($A$1,$B14,DU$1)</f>
        <v>570.08053957225104</v>
      </c>
      <c r="DV14" s="116" cm="1">
        <f t="array" ref="DV14">_xll.EQNXTDZ($A$1,$B14,DV$1)</f>
        <v>553.95037288192202</v>
      </c>
      <c r="DW14" s="116" cm="1">
        <f t="array" ref="DW14">_xll.EQNXTDZ($A$1,$B14,DW$1)</f>
        <v>629.42179501098201</v>
      </c>
      <c r="DX14" s="116" cm="1">
        <f t="array" ref="DX14">_xll.EQNXTDZ($A$1,$B14,DX$1)</f>
        <v>622.17061915936597</v>
      </c>
      <c r="DY14" s="116" cm="1">
        <f t="array" ref="DY14">_xll.EQNXTDZ($A$1,$B14,DY$1)</f>
        <v>556.36743149912695</v>
      </c>
      <c r="DZ14" s="116" cm="1">
        <f t="array" ref="DZ14">_xll.EQNXTDZ($A$1,$B14,DZ$1)</f>
        <v>625.27826595291594</v>
      </c>
      <c r="EA14" s="116" cm="1">
        <f t="array" ref="EA14">_xll.EQNXTDZ($A$1,$B14,EA$1)</f>
        <v>600.56507478516505</v>
      </c>
      <c r="EB14" s="116" cm="1">
        <f t="array" ref="EB14">_xll.EQNXTDZ($A$1,$B14,EB$1)</f>
        <v>581.08062266687796</v>
      </c>
      <c r="EC14" s="116" cm="1">
        <f t="array" ref="EC14">_xll.EQNXTDZ($A$1,$B14,EC$1)</f>
        <v>656.05876752712095</v>
      </c>
      <c r="ED14" s="116" cm="1">
        <f t="array" ref="ED14">_xll.EQNXTDZ($A$1,$B14,ED$1)</f>
        <v>609.54272107764098</v>
      </c>
      <c r="EE14" s="116" cm="1">
        <f t="array" ref="EE14">_xll.EQNXTDZ($A$1,$B14,EE$1)</f>
        <v>766.55287574221495</v>
      </c>
      <c r="EF14" s="116" cm="1">
        <f t="array" ref="EF14">_xll.EQNXTDZ($A$1,$B14,EF$1)</f>
        <v>1026.0167191401599</v>
      </c>
      <c r="EG14" s="116" cm="1">
        <f t="array" ref="EG14">_xll.EQNXTDZ($A$1,$B14,EG$1)</f>
        <v>938.11470983690106</v>
      </c>
      <c r="EH14" s="116" cm="1">
        <f t="array" ref="EH14">_xll.EQNXTDZ($A$1,$B14,EH$1)</f>
        <v>911.57639277452597</v>
      </c>
      <c r="EI14" s="116" cm="1">
        <f t="array" ref="EI14">_xll.EQNXTDZ($A$1,$B14,EI$1)</f>
        <v>858.30244774224798</v>
      </c>
      <c r="EJ14" s="116" cm="1">
        <f t="array" ref="EJ14">_xll.EQNXTDZ($A$1,$B14,EJ$1)</f>
        <v>873.10076580677003</v>
      </c>
      <c r="EK14" s="116" cm="1">
        <f t="array" ref="EK14">_xll.EQNXTDZ($A$1,$B14,EK$1)</f>
        <v>837.53547472503601</v>
      </c>
      <c r="EL14" s="116" cm="1">
        <f t="array" ref="EL14">_xll.EQNXTDZ($A$1,$B14,EL$1)</f>
        <v>1022.07050098962</v>
      </c>
      <c r="EM14" s="116" cm="1">
        <f t="array" ref="EM14">_xll.EQNXTDZ($A$1,$B14,EM$1)</f>
        <v>1033.90915544124</v>
      </c>
      <c r="EN14" s="116" cm="1">
        <f t="array" ref="EN14">_xll.EQNXTDZ($A$1,$B14,EN$1)</f>
        <v>887.70177296376403</v>
      </c>
      <c r="EO14" s="116" cm="1">
        <f t="array" ref="EO14">_xll.EQNXTDZ($A$1,$B14,EO$1)</f>
        <v>876.70168986913598</v>
      </c>
      <c r="EP14" s="116" cm="1">
        <f t="array" ref="EP14">_xll.EQNXTDZ($A$1,$B14,EP$1)</f>
        <v>942.15958344120304</v>
      </c>
      <c r="EQ14" s="116" cm="1">
        <f t="array" ref="EQ14">_xll.EQNXTDZ($A$1,$B14,EQ$1)</f>
        <v>1061.9766320369499</v>
      </c>
      <c r="ER14" s="116" cm="1">
        <f t="array" ref="ER14">_xll.EQNXTDZ($A$1,$B14,ER$1)</f>
        <v>1098.0352003875</v>
      </c>
      <c r="ES14" s="116" cm="1">
        <f t="array" ref="ES14">_xll.EQNXTDZ($A$1,$B14,ES$1)</f>
        <v>1109.87385483911</v>
      </c>
      <c r="ET14" s="116" cm="1">
        <f t="array" ref="ET14">_xll.EQNXTDZ($A$1,$B14,ET$1)</f>
        <v>1001.35285569929</v>
      </c>
      <c r="EU14" s="116" cm="1">
        <f t="array" ref="EU14">_xll.EQNXTDZ($A$1,$B14,EU$1)</f>
        <v>1064.5910015616801</v>
      </c>
      <c r="EV14" s="116" cm="1">
        <f t="array" ref="EV14">_xll.EQNXTDZ($A$1,$B14,EV$1)</f>
        <v>1034.8957099788699</v>
      </c>
      <c r="EW14" s="116" cm="1">
        <f t="array" ref="EW14">_xll.EQNXTDZ($A$1,$B14,EW$1)</f>
        <v>945.02059160034401</v>
      </c>
      <c r="EX14" s="116" cm="1">
        <f t="array" ref="EX14">_xll.EQNXTDZ($A$1,$B14,EX$1)</f>
        <v>905.31177146054495</v>
      </c>
      <c r="EY14" s="116" cm="1">
        <f t="array" ref="EY14">_xll.EQNXTDZ($A$1,$B14,EY$1)</f>
        <v>924.40160176377697</v>
      </c>
      <c r="EZ14" s="116" cm="1">
        <f t="array" ref="EZ14">_xll.EQNXTDZ($A$1,$B14,EZ$1)</f>
        <v>791.21673918308397</v>
      </c>
      <c r="FA14" s="116" cm="1">
        <f t="array" ref="FA14">_xll.EQNXTDZ($A$1,$B14,FA$1)</f>
        <v>863.23522043042203</v>
      </c>
      <c r="FB14" s="116" cm="1">
        <f t="array" ref="FB14">_xll.EQNXTDZ($A$1,$B14,FB$1)</f>
        <v>812.92093901104897</v>
      </c>
      <c r="FC14" s="116" cm="1">
        <f t="array" ref="FC14">_xll.EQNXTDZ($A$1,$B14,FC$1)</f>
        <v>822.78648438739594</v>
      </c>
      <c r="FD14" s="116" cm="1">
        <f t="array" ref="FD14">_xll.EQNXTDZ($A$1,$B14,FD$1)</f>
        <v>913.69748503044002</v>
      </c>
      <c r="FE14" s="116" cm="1">
        <f t="array" ref="FE14">_xll.EQNXTDZ($A$1,$B14,FE$1)</f>
        <v>1044.7612553552201</v>
      </c>
      <c r="FF14" s="116" cm="1">
        <f t="array" ref="FF14">_xll.EQNXTDZ($A$1,$B14,FF$1)</f>
        <v>1137.49738189289</v>
      </c>
      <c r="FG14" s="116" cm="1">
        <f t="array" ref="FG14">_xll.EQNXTDZ($A$1,$B14,FG$1)</f>
        <v>1050</v>
      </c>
      <c r="FH14" s="116" cm="1">
        <f t="array" ref="FH14">_xll.EQNXTDZ($A$1,$B14,FH$1)</f>
        <v>1213.95</v>
      </c>
      <c r="FI14" s="116" cm="1">
        <f t="array" ref="FI14">_xll.EQNXTDZ($A$1,$B14,FI$1)</f>
        <v>1045.8</v>
      </c>
      <c r="FJ14" s="116" cm="1">
        <f t="array" ref="FJ14">_xll.EQNXTDZ($A$1,$B14,FJ$1)</f>
        <v>925</v>
      </c>
      <c r="FK14" s="116" cm="1">
        <f t="array" ref="FK14">_xll.EQNXTDZ($A$1,$B14,FK$1)</f>
        <v>885</v>
      </c>
      <c r="FL14" s="116" cm="1">
        <f t="array" ref="FL14">_xll.EQNXTDZ($A$1,$B14,FL$1)</f>
        <v>864.9</v>
      </c>
      <c r="FM14" s="116" cm="1">
        <f t="array" ref="FM14">_xll.EQNXTDZ($A$1,$B14,FM$1)</f>
        <v>924.2</v>
      </c>
      <c r="FN14" s="116" cm="1">
        <f t="array" ref="FN14">_xll.EQNXTDZ($A$1,$B14,FN$1)</f>
        <v>1058.8499999999999</v>
      </c>
      <c r="FO14" s="116" cm="1">
        <f t="array" ref="FO14">_xll.EQNXTDZ($A$1,$B14,FO$1)</f>
        <v>1299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50.018315058082699</v>
      </c>
      <c r="HQ14" s="116">
        <f>+MAX(G14:I14)</f>
        <v>74.978144860242395</v>
      </c>
      <c r="HR14" s="116">
        <f>+MAX(J14:L14)</f>
        <v>71.031926709703299</v>
      </c>
      <c r="HS14" s="116">
        <f>+MAX(M14:O14)</f>
        <v>56.233608645181803</v>
      </c>
      <c r="HT14" s="116">
        <f>+MAX(P14:R14)</f>
        <v>50.264953692491403</v>
      </c>
      <c r="HU14" s="116">
        <f>+MAX(S14:U14)</f>
        <v>93.032092898958595</v>
      </c>
      <c r="HV14" s="116">
        <f>+MAX(V14:X14)</f>
        <v>157.602087387154</v>
      </c>
      <c r="HW14" s="116">
        <f>+MAX(Y14:AA14)</f>
        <v>197.26157980007201</v>
      </c>
      <c r="HX14" s="116">
        <f>+MAX(AB14:AD14)</f>
        <v>293.99325221516102</v>
      </c>
      <c r="HY14" s="116">
        <f>+MAX(AE14:AG14)</f>
        <v>264.396616086118</v>
      </c>
      <c r="HZ14" s="116">
        <f>+MAX(AH14:AJ14)</f>
        <v>366.948960273252</v>
      </c>
      <c r="IA14" s="116">
        <f>+MAX(AK14:AM14)</f>
        <v>419.28567849477599</v>
      </c>
      <c r="IB14" s="116">
        <f>+MAX(AN14:AP14)</f>
        <v>649.15288576367698</v>
      </c>
      <c r="IC14" s="116">
        <f>+MAX(AQ14:AS14)</f>
        <v>556.31810377224599</v>
      </c>
      <c r="ID14" s="116">
        <f>+MAX(AT14:AV14)</f>
        <v>483.31306798727297</v>
      </c>
      <c r="IE14" s="116">
        <f>+MAX(AW14:AY14)</f>
        <v>371.93106068830701</v>
      </c>
      <c r="IF14" s="116">
        <f>+MAX(AZ14:BB14)</f>
        <v>481.43861436576702</v>
      </c>
      <c r="IG14" s="116">
        <f>+MAX(BC14:BE14)</f>
        <v>365.02517892486401</v>
      </c>
      <c r="IH14" s="116">
        <f>+MAX(BF14:BH14)</f>
        <v>328.52266103237798</v>
      </c>
      <c r="II14" s="116">
        <f>+MAX(BI14:BK14)</f>
        <v>397.58147866681099</v>
      </c>
      <c r="IJ14" s="116">
        <f>+MAX(BL14:BN14)</f>
        <v>335.42854279582099</v>
      </c>
      <c r="IK14" s="116">
        <f>+MAX(BO14:BQ14)</f>
        <v>393.58593278939099</v>
      </c>
      <c r="IL14" s="116">
        <f>+MAX(BR14:BT14)</f>
        <v>414.25425035283899</v>
      </c>
      <c r="IM14" s="116">
        <f>+MAX(BU14:BW14)</f>
        <v>317.67056111839503</v>
      </c>
      <c r="IN14" s="116">
        <f>+MAX(BX14:BZ14)</f>
        <v>294.97980675279598</v>
      </c>
      <c r="IO14" s="116">
        <f>+MAX(CA14:CC14)</f>
        <v>245.652079871057</v>
      </c>
      <c r="IP14" s="116">
        <f>+MAX(CD14:CF14)</f>
        <v>187.445362150606</v>
      </c>
      <c r="IQ14" s="116">
        <f>+MAX(CG14:CI14)</f>
        <v>182.413934008669</v>
      </c>
      <c r="IR14" s="116">
        <f>+MAX(CJ14:CL14)</f>
        <v>149.95628972048499</v>
      </c>
      <c r="IS14" s="116">
        <f>+MAX(CM14:CO14)</f>
        <v>138.11763526886801</v>
      </c>
      <c r="IT14" s="116">
        <f>+MAX(CP14:CR14)</f>
        <v>150.94284425811901</v>
      </c>
      <c r="IU14" s="116">
        <f>+MAX(CS14:CU14)</f>
        <v>110.198141853804</v>
      </c>
      <c r="IV14" s="116">
        <f>+MAX(CV14:CX14)</f>
        <v>170.673935010815</v>
      </c>
      <c r="IW14" s="116">
        <f>+MAX(CY14:DA14)</f>
        <v>237.80897129686099</v>
      </c>
      <c r="IX14" s="116">
        <f>+MAX(DB14:DD14)</f>
        <v>251.07812982804799</v>
      </c>
      <c r="IY14" s="116">
        <f>+MAX(DE14:DG14)</f>
        <v>310.666023901188</v>
      </c>
      <c r="IZ14" s="116">
        <f>+MAX(DH14:DJ14)</f>
        <v>409.42013311842902</v>
      </c>
      <c r="JA14" s="116">
        <f>+MAX(DK14:DM14)</f>
        <v>512.95903184319798</v>
      </c>
      <c r="JB14" s="116">
        <f>+MAX(DN14:DP14)</f>
        <v>689.60162180670295</v>
      </c>
      <c r="JC14" s="116">
        <f>+MAX(DQ14:DS14)</f>
        <v>738.23876051209697</v>
      </c>
      <c r="JD14" s="116">
        <f>+MAX(DT14:DV14)</f>
        <v>570.08053957225104</v>
      </c>
      <c r="JE14" s="116">
        <f>+MAX(DW14:DY14)</f>
        <v>629.42179501098201</v>
      </c>
      <c r="JF14" s="116">
        <f>+MAX(DZ14:EB14)</f>
        <v>625.27826595291594</v>
      </c>
      <c r="JG14" s="116">
        <f>+MAX(EC14:EE14)</f>
        <v>766.55287574221495</v>
      </c>
      <c r="JH14" s="116">
        <f>+MAX(EF14:EH14)</f>
        <v>1026.0167191401599</v>
      </c>
      <c r="JI14" s="116">
        <f>+MAX(EI14:EK14)</f>
        <v>873.10076580677003</v>
      </c>
      <c r="JJ14" s="116">
        <f>+MAX(EL14:EN14)</f>
        <v>1033.90915544124</v>
      </c>
      <c r="JK14" s="116">
        <f>MAX(EO14:EQ14)</f>
        <v>1061.9766320369499</v>
      </c>
      <c r="JL14" s="116">
        <f>MAX(ER14:ET14)</f>
        <v>1109.87385483911</v>
      </c>
      <c r="JM14" s="116">
        <f>MAX(EU14:EW14)</f>
        <v>1064.5910015616801</v>
      </c>
      <c r="JN14" s="116">
        <f>MAX(EX14:EZ14)</f>
        <v>924.40160176377697</v>
      </c>
      <c r="JO14" s="116">
        <f>MAX(FA14:FC14)</f>
        <v>863.23522043042203</v>
      </c>
      <c r="JP14" s="116">
        <f>MAX(FD14:FF14)</f>
        <v>1137.49738189289</v>
      </c>
      <c r="JQ14" s="116">
        <f>MAX(FG14:FI14)</f>
        <v>1213.95</v>
      </c>
      <c r="JR14" s="116">
        <f>MAX(FJ14:FL14)</f>
        <v>925</v>
      </c>
      <c r="JS14" s="116">
        <f>MAX(FM14:FO14)</f>
        <v>1299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33.542854279582102</v>
      </c>
      <c r="D15" s="116" cm="1">
        <f t="array" ref="D15">_xll.EQNXTDZ($A$1,$B15,D$1)</f>
        <v>29.004703406462198</v>
      </c>
      <c r="E15" s="116" cm="1">
        <f t="array" ref="E15">_xll.EQNXTDZ($A$1,$B15,E$1)</f>
        <v>27.6728547806552</v>
      </c>
      <c r="F15" s="116" cm="1">
        <f t="array" ref="F15">_xll.EQNXTDZ($A$1,$B15,F$1)</f>
        <v>27.6235270537735</v>
      </c>
      <c r="G15" s="116" cm="1">
        <f t="array" ref="G15">_xll.EQNXTDZ($A$1,$B15,G$1)</f>
        <v>46.8613405376515</v>
      </c>
      <c r="H15" s="116" cm="1">
        <f t="array" ref="H15">_xll.EQNXTDZ($A$1,$B15,H$1)</f>
        <v>47.453273260232301</v>
      </c>
      <c r="I15" s="116" cm="1">
        <f t="array" ref="I15">_xll.EQNXTDZ($A$1,$B15,I$1)</f>
        <v>49.3277268817384</v>
      </c>
      <c r="J15" s="116" cm="1">
        <f t="array" ref="J15">_xll.EQNXTDZ($A$1,$B15,J$1)</f>
        <v>53.767222301094797</v>
      </c>
      <c r="K15" s="116" cm="1">
        <f t="array" ref="K15">_xll.EQNXTDZ($A$1,$B15,K$1)</f>
        <v>56.430919552708701</v>
      </c>
      <c r="L15" s="116" cm="1">
        <f t="array" ref="L15">_xll.EQNXTDZ($A$1,$B15,L$1)</f>
        <v>48.341172344103597</v>
      </c>
      <c r="M15" s="116" cm="1">
        <f t="array" ref="M15">_xll.EQNXTDZ($A$1,$B15,M$1)</f>
        <v>42.273861937649798</v>
      </c>
      <c r="N15" s="116" cm="1">
        <f t="array" ref="N15">_xll.EQNXTDZ($A$1,$B15,N$1)</f>
        <v>46.368063268834099</v>
      </c>
      <c r="O15" s="116" cm="1">
        <f t="array" ref="O15">_xll.EQNXTDZ($A$1,$B15,O$1)</f>
        <v>39.560836959154202</v>
      </c>
      <c r="P15" s="116" cm="1">
        <f t="array" ref="P15">_xll.EQNXTDZ($A$1,$B15,P$1)</f>
        <v>40.448736043025498</v>
      </c>
      <c r="Q15" s="116" cm="1">
        <f t="array" ref="Q15">_xll.EQNXTDZ($A$1,$B15,Q$1)</f>
        <v>41.977895576359401</v>
      </c>
      <c r="R15" s="116" cm="1">
        <f t="array" ref="R15">_xll.EQNXTDZ($A$1,$B15,R$1)</f>
        <v>40.004786501089797</v>
      </c>
      <c r="S15" s="116" cm="1">
        <f t="array" ref="S15">_xll.EQNXTDZ($A$1,$B15,S$1)</f>
        <v>39.412853778509003</v>
      </c>
      <c r="T15" s="116" cm="1">
        <f t="array" ref="T15">_xll.EQNXTDZ($A$1,$B15,T$1)</f>
        <v>45.381508731199297</v>
      </c>
      <c r="U15" s="116" cm="1">
        <f t="array" ref="U15">_xll.EQNXTDZ($A$1,$B15,U$1)</f>
        <v>66.247137202174699</v>
      </c>
      <c r="V15" s="116" cm="1">
        <f t="array" ref="V15">_xll.EQNXTDZ($A$1,$B15,V$1)</f>
        <v>82.969236615084</v>
      </c>
      <c r="W15" s="116" cm="1">
        <f t="array" ref="W15">_xll.EQNXTDZ($A$1,$B15,W$1)</f>
        <v>83.857135698955304</v>
      </c>
      <c r="X15" s="116" cm="1">
        <f t="array" ref="X15">_xll.EQNXTDZ($A$1,$B15,X$1)</f>
        <v>84.843690236590007</v>
      </c>
      <c r="Y15" s="116" cm="1">
        <f t="array" ref="Y15">_xll.EQNXTDZ($A$1,$B15,Y$1)</f>
        <v>146.01007156994601</v>
      </c>
      <c r="Z15" s="116" cm="1">
        <f t="array" ref="Z15">_xll.EQNXTDZ($A$1,$B15,Z$1)</f>
        <v>142.21183660005201</v>
      </c>
      <c r="AA15" s="116" cm="1">
        <f t="array" ref="AA15">_xll.EQNXTDZ($A$1,$B15,AA$1)</f>
        <v>144.036962494676</v>
      </c>
      <c r="AB15" s="116" cm="1">
        <f t="array" ref="AB15">_xll.EQNXTDZ($A$1,$B15,AB$1)</f>
        <v>156.270238761347</v>
      </c>
      <c r="AC15" s="116" cm="1">
        <f t="array" ref="AC15">_xll.EQNXTDZ($A$1,$B15,AC$1)</f>
        <v>214.13166239362599</v>
      </c>
      <c r="AD15" s="116" cm="1">
        <f t="array" ref="AD15">_xll.EQNXTDZ($A$1,$B15,AD$1)</f>
        <v>234.94796313772</v>
      </c>
      <c r="AE15" s="116" cm="1">
        <f t="array" ref="AE15">_xll.EQNXTDZ($A$1,$B15,AE$1)</f>
        <v>229.22594681943801</v>
      </c>
      <c r="AF15" s="116" cm="1">
        <f t="array" ref="AF15">_xll.EQNXTDZ($A$1,$B15,AF$1)</f>
        <v>182.56191718931399</v>
      </c>
      <c r="AG15" s="116" cm="1">
        <f t="array" ref="AG15">_xll.EQNXTDZ($A$1,$B15,AG$1)</f>
        <v>212.109225591475</v>
      </c>
      <c r="AH15" s="116" cm="1">
        <f t="array" ref="AH15">_xll.EQNXTDZ($A$1,$B15,AH$1)</f>
        <v>228.880652731266</v>
      </c>
      <c r="AI15" s="116" cm="1">
        <f t="array" ref="AI15">_xll.EQNXTDZ($A$1,$B15,AI$1)</f>
        <v>297.05157128182901</v>
      </c>
      <c r="AJ15" s="116" cm="1">
        <f t="array" ref="AJ15">_xll.EQNXTDZ($A$1,$B15,AJ$1)</f>
        <v>276.33392599149897</v>
      </c>
      <c r="AK15" s="116" cm="1">
        <f t="array" ref="AK15">_xll.EQNXTDZ($A$1,$B15,AK$1)</f>
        <v>315.598796589362</v>
      </c>
      <c r="AL15" s="116" cm="1">
        <f t="array" ref="AL15">_xll.EQNXTDZ($A$1,$B15,AL$1)</f>
        <v>326.54955195710801</v>
      </c>
      <c r="AM15" s="116" cm="1">
        <f t="array" ref="AM15">_xll.EQNXTDZ($A$1,$B15,AM$1)</f>
        <v>315.69745204312602</v>
      </c>
      <c r="AN15" s="116" cm="1">
        <f t="array" ref="AN15">_xll.EQNXTDZ($A$1,$B15,AN$1)</f>
        <v>337.50030732485402</v>
      </c>
      <c r="AO15" s="116" cm="1">
        <f t="array" ref="AO15">_xll.EQNXTDZ($A$1,$B15,AO$1)</f>
        <v>470.83315308619302</v>
      </c>
      <c r="AP15" s="116" cm="1">
        <f t="array" ref="AP15">_xll.EQNXTDZ($A$1,$B15,AP$1)</f>
        <v>463.68063268834101</v>
      </c>
      <c r="AQ15" s="116" cm="1">
        <f t="array" ref="AQ15">_xll.EQNXTDZ($A$1,$B15,AQ$1)</f>
        <v>483.41172344103597</v>
      </c>
      <c r="AR15" s="116" cm="1">
        <f t="array" ref="AR15">_xll.EQNXTDZ($A$1,$B15,AR$1)</f>
        <v>405.47391496788998</v>
      </c>
      <c r="AS15" s="116" cm="1">
        <f t="array" ref="AS15">_xll.EQNXTDZ($A$1,$B15,AS$1)</f>
        <v>385.74282421519399</v>
      </c>
      <c r="AT15" s="116" cm="1">
        <f t="array" ref="AT15">_xll.EQNXTDZ($A$1,$B15,AT$1)</f>
        <v>365.02517892486401</v>
      </c>
      <c r="AU15" s="116" cm="1">
        <f t="array" ref="AU15">_xll.EQNXTDZ($A$1,$B15,AU$1)</f>
        <v>282.64787503236101</v>
      </c>
      <c r="AV15" s="116" cm="1">
        <f t="array" ref="AV15">_xll.EQNXTDZ($A$1,$B15,AV$1)</f>
        <v>296.065016744194</v>
      </c>
      <c r="AW15" s="116" cm="1">
        <f t="array" ref="AW15">_xll.EQNXTDZ($A$1,$B15,AW$1)</f>
        <v>312.73778843022097</v>
      </c>
      <c r="AX15" s="116" cm="1">
        <f t="array" ref="AX15">_xll.EQNXTDZ($A$1,$B15,AX$1)</f>
        <v>306.07854530118698</v>
      </c>
      <c r="AY15" s="116" cm="1">
        <f t="array" ref="AY15">_xll.EQNXTDZ($A$1,$B15,AY$1)</f>
        <v>295.96636129042997</v>
      </c>
      <c r="AZ15" s="116" cm="1">
        <f t="array" ref="AZ15">_xll.EQNXTDZ($A$1,$B15,AZ$1)</f>
        <v>309.77812481731701</v>
      </c>
      <c r="BA15" s="116" cm="1">
        <f t="array" ref="BA15">_xll.EQNXTDZ($A$1,$B15,BA$1)</f>
        <v>351.21341539797697</v>
      </c>
      <c r="BB15" s="116" cm="1">
        <f t="array" ref="BB15">_xll.EQNXTDZ($A$1,$B15,BB$1)</f>
        <v>336.415097333456</v>
      </c>
      <c r="BC15" s="116" cm="1">
        <f t="array" ref="BC15">_xll.EQNXTDZ($A$1,$B15,BC$1)</f>
        <v>325.90829150764603</v>
      </c>
      <c r="BD15" s="116" cm="1">
        <f t="array" ref="BD15">_xll.EQNXTDZ($A$1,$B15,BD$1)</f>
        <v>277.61644689042402</v>
      </c>
      <c r="BE15" s="116" cm="1">
        <f t="array" ref="BE15">_xll.EQNXTDZ($A$1,$B15,BE$1)</f>
        <v>286.100815914083</v>
      </c>
      <c r="BF15" s="116" cm="1">
        <f t="array" ref="BF15">_xll.EQNXTDZ($A$1,$B15,BF$1)</f>
        <v>281.46400958719897</v>
      </c>
      <c r="BG15" s="116" cm="1">
        <f t="array" ref="BG15">_xll.EQNXTDZ($A$1,$B15,BG$1)</f>
        <v>241.70586172051799</v>
      </c>
      <c r="BH15" s="116" cm="1">
        <f t="array" ref="BH15">_xll.EQNXTDZ($A$1,$B15,BH$1)</f>
        <v>261.43695247321301</v>
      </c>
      <c r="BI15" s="116" cm="1">
        <f t="array" ref="BI15">_xll.EQNXTDZ($A$1,$B15,BI$1)</f>
        <v>270.01997695063602</v>
      </c>
      <c r="BJ15" s="116" cm="1">
        <f t="array" ref="BJ15">_xll.EQNXTDZ($A$1,$B15,BJ$1)</f>
        <v>314.710897505491</v>
      </c>
      <c r="BK15" s="116" cm="1">
        <f t="array" ref="BK15">_xll.EQNXTDZ($A$1,$B15,BK$1)</f>
        <v>305.83190666677802</v>
      </c>
      <c r="BL15" s="116" cm="1">
        <f t="array" ref="BL15">_xll.EQNXTDZ($A$1,$B15,BL$1)</f>
        <v>293.99325221516102</v>
      </c>
      <c r="BM15" s="116" cm="1">
        <f t="array" ref="BM15">_xll.EQNXTDZ($A$1,$B15,BM$1)</f>
        <v>259.463843397944</v>
      </c>
      <c r="BN15" s="116" cm="1">
        <f t="array" ref="BN15">_xll.EQNXTDZ($A$1,$B15,BN$1)</f>
        <v>236.77308903234399</v>
      </c>
      <c r="BO15" s="116" cm="1">
        <f t="array" ref="BO15">_xll.EQNXTDZ($A$1,$B15,BO$1)</f>
        <v>237.80897129686099</v>
      </c>
      <c r="BP15" s="116" cm="1">
        <f t="array" ref="BP15">_xll.EQNXTDZ($A$1,$B15,BP$1)</f>
        <v>247.625188946327</v>
      </c>
      <c r="BQ15" s="116" cm="1">
        <f t="array" ref="BQ15">_xll.EQNXTDZ($A$1,$B15,BQ$1)</f>
        <v>307.805015742048</v>
      </c>
      <c r="BR15" s="116" cm="1">
        <f t="array" ref="BR15">_xll.EQNXTDZ($A$1,$B15,BR$1)</f>
        <v>307.805015742048</v>
      </c>
      <c r="BS15" s="116" cm="1">
        <f t="array" ref="BS15">_xll.EQNXTDZ($A$1,$B15,BS$1)</f>
        <v>286.100815914083</v>
      </c>
      <c r="BT15" s="116" cm="1">
        <f t="array" ref="BT15">_xll.EQNXTDZ($A$1,$B15,BT$1)</f>
        <v>260.64770884310599</v>
      </c>
      <c r="BU15" s="116" cm="1">
        <f t="array" ref="BU15">_xll.EQNXTDZ($A$1,$B15,BU$1)</f>
        <v>265.38317062375302</v>
      </c>
      <c r="BV15" s="116" cm="1">
        <f t="array" ref="BV15">_xll.EQNXTDZ($A$1,$B15,BV$1)</f>
        <v>259.51317112482599</v>
      </c>
      <c r="BW15" s="116" cm="1">
        <f t="array" ref="BW15">_xll.EQNXTDZ($A$1,$B15,BW$1)</f>
        <v>234.79997995707501</v>
      </c>
      <c r="BX15" s="116" cm="1">
        <f t="array" ref="BX15">_xll.EQNXTDZ($A$1,$B15,BX$1)</f>
        <v>233.81342541943999</v>
      </c>
      <c r="BY15" s="116" cm="1">
        <f t="array" ref="BY15">_xll.EQNXTDZ($A$1,$B15,BY$1)</f>
        <v>246.88527304310099</v>
      </c>
      <c r="BZ15" s="116" cm="1">
        <f t="array" ref="BZ15">_xll.EQNXTDZ($A$1,$B15,BZ$1)</f>
        <v>219.015107354918</v>
      </c>
      <c r="CA15" s="116" cm="1">
        <f t="array" ref="CA15">_xll.EQNXTDZ($A$1,$B15,CA$1)</f>
        <v>177.57981677425801</v>
      </c>
      <c r="CB15" s="116" cm="1">
        <f t="array" ref="CB15">_xll.EQNXTDZ($A$1,$B15,CB$1)</f>
        <v>170.772590464578</v>
      </c>
      <c r="CC15" s="116" cm="1">
        <f t="array" ref="CC15">_xll.EQNXTDZ($A$1,$B15,CC$1)</f>
        <v>165.88914550328599</v>
      </c>
      <c r="CD15" s="116" cm="1">
        <f t="array" ref="CD15">_xll.EQNXTDZ($A$1,$B15,CD$1)</f>
        <v>156.96082693769199</v>
      </c>
      <c r="CE15" s="116" cm="1">
        <f t="array" ref="CE15">_xll.EQNXTDZ($A$1,$B15,CE$1)</f>
        <v>130.32385442155299</v>
      </c>
      <c r="CF15" s="116" cm="1">
        <f t="array" ref="CF15">_xll.EQNXTDZ($A$1,$B15,CF$1)</f>
        <v>140.68267706671801</v>
      </c>
      <c r="CG15" s="116" cm="1">
        <f t="array" ref="CG15">_xll.EQNXTDZ($A$1,$B15,CG$1)</f>
        <v>146.10872702370901</v>
      </c>
      <c r="CH15" s="116" cm="1">
        <f t="array" ref="CH15">_xll.EQNXTDZ($A$1,$B15,CH$1)</f>
        <v>128.35074534628299</v>
      </c>
      <c r="CI15" s="116" cm="1">
        <f t="array" ref="CI15">_xll.EQNXTDZ($A$1,$B15,CI$1)</f>
        <v>135.157971655963</v>
      </c>
      <c r="CJ15" s="116" cm="1">
        <f t="array" ref="CJ15">_xll.EQNXTDZ($A$1,$B15,CJ$1)</f>
        <v>126.476291724777</v>
      </c>
      <c r="CK15" s="116" cm="1">
        <f t="array" ref="CK15">_xll.EQNXTDZ($A$1,$B15,CK$1)</f>
        <v>115.920158172085</v>
      </c>
      <c r="CL15" s="116" cm="1">
        <f t="array" ref="CL15">_xll.EQNXTDZ($A$1,$B15,CL$1)</f>
        <v>115.525536357031</v>
      </c>
      <c r="CM15" s="116" cm="1">
        <f t="array" ref="CM15">_xll.EQNXTDZ($A$1,$B15,CM$1)</f>
        <v>106.54789006455501</v>
      </c>
      <c r="CN15" s="116" cm="1">
        <f t="array" ref="CN15">_xll.EQNXTDZ($A$1,$B15,CN$1)</f>
        <v>109.556881404341</v>
      </c>
      <c r="CO15" s="116" cm="1">
        <f t="array" ref="CO15">_xll.EQNXTDZ($A$1,$B15,CO$1)</f>
        <v>102.60167191401599</v>
      </c>
      <c r="CP15" s="116" cm="1">
        <f t="array" ref="CP15">_xll.EQNXTDZ($A$1,$B15,CP$1)</f>
        <v>104.722764169931</v>
      </c>
      <c r="CQ15" s="116" cm="1">
        <f t="array" ref="CQ15">_xll.EQNXTDZ($A$1,$B15,CQ$1)</f>
        <v>107.583772329071</v>
      </c>
      <c r="CR15" s="116" cm="1">
        <f t="array" ref="CR15">_xll.EQNXTDZ($A$1,$B15,CR$1)</f>
        <v>62.152935870990397</v>
      </c>
      <c r="CS15" s="116" cm="1">
        <f t="array" ref="CS15">_xll.EQNXTDZ($A$1,$B15,CS$1)</f>
        <v>69.946716718304998</v>
      </c>
      <c r="CT15" s="116" cm="1">
        <f t="array" ref="CT15">_xll.EQNXTDZ($A$1,$B15,CT$1)</f>
        <v>76.901926208630201</v>
      </c>
      <c r="CU15" s="116" cm="1">
        <f t="array" ref="CU15">_xll.EQNXTDZ($A$1,$B15,CU$1)</f>
        <v>79.171001645190103</v>
      </c>
      <c r="CV15" s="116" cm="1">
        <f t="array" ref="CV15">_xll.EQNXTDZ($A$1,$B15,CV$1)</f>
        <v>97.915537860250694</v>
      </c>
      <c r="CW15" s="116" cm="1">
        <f t="array" ref="CW15">_xll.EQNXTDZ($A$1,$B15,CW$1)</f>
        <v>121.44486358284</v>
      </c>
      <c r="CX15" s="116" cm="1">
        <f t="array" ref="CX15">_xll.EQNXTDZ($A$1,$B15,CX$1)</f>
        <v>119.965031776388</v>
      </c>
      <c r="CY15" s="116" cm="1">
        <f t="array" ref="CY15">_xll.EQNXTDZ($A$1,$B15,CY$1)</f>
        <v>118.48519996993601</v>
      </c>
      <c r="CZ15" s="116" cm="1">
        <f t="array" ref="CZ15">_xll.EQNXTDZ($A$1,$B15,CZ$1)</f>
        <v>115.426880903268</v>
      </c>
      <c r="DA15" s="116" cm="1">
        <f t="array" ref="DA15">_xll.EQNXTDZ($A$1,$B15,DA$1)</f>
        <v>194.94317663663</v>
      </c>
      <c r="DB15" s="116" cm="1">
        <f t="array" ref="DB15">_xll.EQNXTDZ($A$1,$B15,DB$1)</f>
        <v>193.315361649533</v>
      </c>
      <c r="DC15" s="116" cm="1">
        <f t="array" ref="DC15">_xll.EQNXTDZ($A$1,$B15,DC$1)</f>
        <v>193.21670619576901</v>
      </c>
      <c r="DD15" s="116" cm="1">
        <f t="array" ref="DD15">_xll.EQNXTDZ($A$1,$B15,DD$1)</f>
        <v>182.512589462432</v>
      </c>
      <c r="DE15" s="116" cm="1">
        <f t="array" ref="DE15">_xll.EQNXTDZ($A$1,$B15,DE$1)</f>
        <v>190.45435349039201</v>
      </c>
      <c r="DF15" s="116" cm="1">
        <f t="array" ref="DF15">_xll.EQNXTDZ($A$1,$B15,DF$1)</f>
        <v>248.61174348396199</v>
      </c>
      <c r="DG15" s="116" cm="1">
        <f t="array" ref="DG15">_xll.EQNXTDZ($A$1,$B15,DG$1)</f>
        <v>252.557961634501</v>
      </c>
      <c r="DH15" s="116" cm="1">
        <f t="array" ref="DH15">_xll.EQNXTDZ($A$1,$B15,DH$1)</f>
        <v>305.97988984742301</v>
      </c>
      <c r="DI15" s="116" cm="1">
        <f t="array" ref="DI15">_xll.EQNXTDZ($A$1,$B15,DI$1)</f>
        <v>306.374511662477</v>
      </c>
      <c r="DJ15" s="116" cm="1">
        <f t="array" ref="DJ15">_xll.EQNXTDZ($A$1,$B15,DJ$1)</f>
        <v>292.11879859365501</v>
      </c>
      <c r="DK15" s="116" cm="1">
        <f t="array" ref="DK15">_xll.EQNXTDZ($A$1,$B15,DK$1)</f>
        <v>329.50921557001197</v>
      </c>
      <c r="DL15" s="116" cm="1">
        <f t="array" ref="DL15">_xll.EQNXTDZ($A$1,$B15,DL$1)</f>
        <v>291.03358860225597</v>
      </c>
      <c r="DM15" s="116" cm="1">
        <f t="array" ref="DM15">_xll.EQNXTDZ($A$1,$B15,DM$1)</f>
        <v>338.93081140442501</v>
      </c>
      <c r="DN15" s="116" cm="1">
        <f t="array" ref="DN15">_xll.EQNXTDZ($A$1,$B15,DN$1)</f>
        <v>404.48736043025502</v>
      </c>
      <c r="DO15" s="116" cm="1">
        <f t="array" ref="DO15">_xll.EQNXTDZ($A$1,$B15,DO$1)</f>
        <v>410.456015382945</v>
      </c>
      <c r="DP15" s="116" cm="1">
        <f t="array" ref="DP15">_xll.EQNXTDZ($A$1,$B15,DP$1)</f>
        <v>427.47408115714501</v>
      </c>
      <c r="DQ15" s="116" cm="1">
        <f t="array" ref="DQ15">_xll.EQNXTDZ($A$1,$B15,DQ$1)</f>
        <v>557.40331376364395</v>
      </c>
      <c r="DR15" s="116" cm="1">
        <f t="array" ref="DR15">_xll.EQNXTDZ($A$1,$B15,DR$1)</f>
        <v>478.47895075286198</v>
      </c>
      <c r="DS15" s="116" cm="1">
        <f t="array" ref="DS15">_xll.EQNXTDZ($A$1,$B15,DS$1)</f>
        <v>372.91761522594197</v>
      </c>
      <c r="DT15" s="116" cm="1">
        <f t="array" ref="DT15">_xll.EQNXTDZ($A$1,$B15,DT$1)</f>
        <v>419.28567849477599</v>
      </c>
      <c r="DU15" s="116" cm="1">
        <f t="array" ref="DU15">_xll.EQNXTDZ($A$1,$B15,DU$1)</f>
        <v>465.65374176361001</v>
      </c>
      <c r="DV15" s="116" cm="1">
        <f t="array" ref="DV15">_xll.EQNXTDZ($A$1,$B15,DV$1)</f>
        <v>475.51928713995801</v>
      </c>
      <c r="DW15" s="116" cm="1">
        <f t="array" ref="DW15">_xll.EQNXTDZ($A$1,$B15,DW$1)</f>
        <v>524.40306447976104</v>
      </c>
      <c r="DX15" s="116" cm="1">
        <f t="array" ref="DX15">_xll.EQNXTDZ($A$1,$B15,DX$1)</f>
        <v>525.34029129051396</v>
      </c>
      <c r="DY15" s="116" cm="1">
        <f t="array" ref="DY15">_xll.EQNXTDZ($A$1,$B15,DY$1)</f>
        <v>483.41172344103597</v>
      </c>
      <c r="DZ15" s="116" cm="1">
        <f t="array" ref="DZ15">_xll.EQNXTDZ($A$1,$B15,DZ$1)</f>
        <v>506.89172143674398</v>
      </c>
      <c r="EA15" s="116" cm="1">
        <f t="array" ref="EA15">_xll.EQNXTDZ($A$1,$B15,EA$1)</f>
        <v>445.18273510768898</v>
      </c>
      <c r="EB15" s="116" cm="1">
        <f t="array" ref="EB15">_xll.EQNXTDZ($A$1,$B15,EB$1)</f>
        <v>505.11592326900097</v>
      </c>
      <c r="EC15" s="116" cm="1">
        <f t="array" ref="EC15">_xll.EQNXTDZ($A$1,$B15,EC$1)</f>
        <v>533.72600486040903</v>
      </c>
      <c r="ED15" s="116" cm="1">
        <f t="array" ref="ED15">_xll.EQNXTDZ($A$1,$B15,ED$1)</f>
        <v>514.09356956147803</v>
      </c>
      <c r="EE15" s="116" cm="1">
        <f t="array" ref="EE15">_xll.EQNXTDZ($A$1,$B15,EE$1)</f>
        <v>532.83810577653799</v>
      </c>
      <c r="EF15" s="116" cm="1">
        <f t="array" ref="EF15">_xll.EQNXTDZ($A$1,$B15,EF$1)</f>
        <v>664.93775836583302</v>
      </c>
      <c r="EG15" s="116" cm="1">
        <f t="array" ref="EG15">_xll.EQNXTDZ($A$1,$B15,EG$1)</f>
        <v>804.04194817233599</v>
      </c>
      <c r="EH15" s="116" cm="1">
        <f t="array" ref="EH15">_xll.EQNXTDZ($A$1,$B15,EH$1)</f>
        <v>771.63363161103405</v>
      </c>
      <c r="EI15" s="116" cm="1">
        <f t="array" ref="EI15">_xll.EQNXTDZ($A$1,$B15,EI$1)</f>
        <v>737.54817233575295</v>
      </c>
      <c r="EJ15" s="116" cm="1">
        <f t="array" ref="EJ15">_xll.EQNXTDZ($A$1,$B15,EJ$1)</f>
        <v>720.18481247338002</v>
      </c>
      <c r="EK15" s="116" cm="1">
        <f t="array" ref="EK15">_xll.EQNXTDZ($A$1,$B15,EK$1)</f>
        <v>723.14447608628495</v>
      </c>
      <c r="EL15" s="116" cm="1">
        <f t="array" ref="EL15">_xll.EQNXTDZ($A$1,$B15,EL$1)</f>
        <v>804.04194817233599</v>
      </c>
      <c r="EM15" s="116" cm="1">
        <f t="array" ref="EM15">_xll.EQNXTDZ($A$1,$B15,EM$1)</f>
        <v>800.63833501749605</v>
      </c>
      <c r="EN15" s="116" cm="1">
        <f t="array" ref="EN15">_xll.EQNXTDZ($A$1,$B15,EN$1)</f>
        <v>742.87556683898003</v>
      </c>
      <c r="EO15" s="116" cm="1">
        <f t="array" ref="EO15">_xll.EQNXTDZ($A$1,$B15,EO$1)</f>
        <v>722.65119881746705</v>
      </c>
      <c r="EP15" s="116" cm="1">
        <f t="array" ref="EP15">_xll.EQNXTDZ($A$1,$B15,EP$1)</f>
        <v>720.38212338090796</v>
      </c>
      <c r="EQ15" s="116" cm="1">
        <f t="array" ref="EQ15">_xll.EQNXTDZ($A$1,$B15,EQ$1)</f>
        <v>818.79093850997594</v>
      </c>
      <c r="ER15" s="116" cm="1">
        <f t="array" ref="ER15">_xll.EQNXTDZ($A$1,$B15,ER$1)</f>
        <v>905.36109918742602</v>
      </c>
      <c r="ES15" s="116" cm="1">
        <f t="array" ref="ES15">_xll.EQNXTDZ($A$1,$B15,ES$1)</f>
        <v>882.966311183117</v>
      </c>
      <c r="ET15" s="116" cm="1">
        <f t="array" ref="ET15">_xll.EQNXTDZ($A$1,$B15,ET$1)</f>
        <v>884.44614298956901</v>
      </c>
      <c r="EU15" s="116" cm="1">
        <f t="array" ref="EU15">_xll.EQNXTDZ($A$1,$B15,EU$1)</f>
        <v>833.63858430137896</v>
      </c>
      <c r="EV15" s="116" cm="1">
        <f t="array" ref="EV15">_xll.EQNXTDZ($A$1,$B15,EV$1)</f>
        <v>880.10530302397603</v>
      </c>
      <c r="EW15" s="116" cm="1">
        <f t="array" ref="EW15">_xll.EQNXTDZ($A$1,$B15,EW$1)</f>
        <v>862.44597680031404</v>
      </c>
      <c r="EX15" s="116" cm="1">
        <f t="array" ref="EX15">_xll.EQNXTDZ($A$1,$B15,EX$1)</f>
        <v>730.05035784972802</v>
      </c>
      <c r="EY15" s="116" cm="1">
        <f t="array" ref="EY15">_xll.EQNXTDZ($A$1,$B15,EY$1)</f>
        <v>628.43524047334699</v>
      </c>
      <c r="EZ15" s="116" cm="1">
        <f t="array" ref="EZ15">_xll.EQNXTDZ($A$1,$B15,EZ$1)</f>
        <v>583.20171492279303</v>
      </c>
      <c r="FA15" s="116" cm="1">
        <f t="array" ref="FA15">_xll.EQNXTDZ($A$1,$B15,FA$1)</f>
        <v>692.758596327134</v>
      </c>
      <c r="FB15" s="116" cm="1">
        <f t="array" ref="FB15">_xll.EQNXTDZ($A$1,$B15,FB$1)</f>
        <v>705.38649440885899</v>
      </c>
      <c r="FC15" s="116" cm="1">
        <f t="array" ref="FC15">_xll.EQNXTDZ($A$1,$B15,FC$1)</f>
        <v>732.07279465187901</v>
      </c>
      <c r="FD15" s="116" cm="1">
        <f t="array" ref="FD15">_xll.EQNXTDZ($A$1,$B15,FD$1)</f>
        <v>726.40010606047997</v>
      </c>
      <c r="FE15" s="116" cm="1">
        <f t="array" ref="FE15">_xll.EQNXTDZ($A$1,$B15,FE$1)</f>
        <v>824.75959346266598</v>
      </c>
      <c r="FF15" s="116" cm="1">
        <f t="array" ref="FF15">_xll.EQNXTDZ($A$1,$B15,FF$1)</f>
        <v>858.30244774224798</v>
      </c>
      <c r="FG15" s="116" cm="1">
        <f t="array" ref="FG15">_xll.EQNXTDZ($A$1,$B15,FG$1)</f>
        <v>899</v>
      </c>
      <c r="FH15" s="116" cm="1">
        <f t="array" ref="FH15">_xll.EQNXTDZ($A$1,$B15,FH$1)</f>
        <v>935</v>
      </c>
      <c r="FI15" s="116" cm="1">
        <f t="array" ref="FI15">_xll.EQNXTDZ($A$1,$B15,FI$1)</f>
        <v>875</v>
      </c>
      <c r="FJ15" s="116" cm="1">
        <f t="array" ref="FJ15">_xll.EQNXTDZ($A$1,$B15,FJ$1)</f>
        <v>780</v>
      </c>
      <c r="FK15" s="116" cm="1">
        <f t="array" ref="FK15">_xll.EQNXTDZ($A$1,$B15,FK$1)</f>
        <v>801</v>
      </c>
      <c r="FL15" s="116" cm="1">
        <f t="array" ref="FL15">_xll.EQNXTDZ($A$1,$B15,FL$1)</f>
        <v>721.05</v>
      </c>
      <c r="FM15" s="116" cm="1">
        <f t="array" ref="FM15">_xll.EQNXTDZ($A$1,$B15,FM$1)</f>
        <v>729.1</v>
      </c>
      <c r="FN15" s="116" cm="1">
        <f t="array" ref="FN15">_xll.EQNXTDZ($A$1,$B15,FN$1)</f>
        <v>810.1</v>
      </c>
      <c r="FO15" s="116" cm="1">
        <f t="array" ref="FO15">_xll.EQNXTDZ($A$1,$B15,FO$1)</f>
        <v>951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27.6235270537735</v>
      </c>
      <c r="HQ15" s="116">
        <f>+MIN(G15:I15)</f>
        <v>46.8613405376515</v>
      </c>
      <c r="HR15" s="116">
        <f>+MIN(J15:L15)</f>
        <v>48.341172344103597</v>
      </c>
      <c r="HS15" s="116">
        <f>+MIN(M15:O15)</f>
        <v>39.560836959154202</v>
      </c>
      <c r="HT15" s="116">
        <f>+MIN(P15:R15)</f>
        <v>40.004786501089797</v>
      </c>
      <c r="HU15" s="116">
        <f>+MIN(S15:U15)</f>
        <v>39.412853778509003</v>
      </c>
      <c r="HV15" s="116">
        <f>+MIN(V15:X15)</f>
        <v>82.969236615084</v>
      </c>
      <c r="HW15" s="116">
        <f>+MIN(Y15:AA15)</f>
        <v>142.21183660005201</v>
      </c>
      <c r="HX15" s="116">
        <f>+MIN(AB15:AD15)</f>
        <v>156.270238761347</v>
      </c>
      <c r="HY15" s="116">
        <f>+MIN(AE15:AG15)</f>
        <v>182.56191718931399</v>
      </c>
      <c r="HZ15" s="116">
        <f>+MIN(AH15:AJ15)</f>
        <v>228.880652731266</v>
      </c>
      <c r="IA15" s="116">
        <f>+MIN(AK15:AM15)</f>
        <v>315.598796589362</v>
      </c>
      <c r="IB15" s="116">
        <f>+MIN(AN15:AP15)</f>
        <v>337.50030732485402</v>
      </c>
      <c r="IC15" s="116">
        <f>+MIN(AQ15:AS15)</f>
        <v>385.74282421519399</v>
      </c>
      <c r="ID15" s="116">
        <f>+MIN(AT15:AV15)</f>
        <v>282.64787503236101</v>
      </c>
      <c r="IE15" s="116">
        <f>+MIN(AW15:AY15)</f>
        <v>295.96636129042997</v>
      </c>
      <c r="IF15" s="116">
        <f>+MIN(AZ15:BB15)</f>
        <v>309.77812481731701</v>
      </c>
      <c r="IG15" s="116">
        <f>+MIN(BC15:BE15)</f>
        <v>277.61644689042402</v>
      </c>
      <c r="IH15" s="116">
        <f>+MIN(BF15:BH15)</f>
        <v>241.70586172051799</v>
      </c>
      <c r="II15" s="116">
        <f>+MIN(BI15:BK15)</f>
        <v>270.01997695063602</v>
      </c>
      <c r="IJ15" s="116">
        <f>+MIN(BL15:BN15)</f>
        <v>236.77308903234399</v>
      </c>
      <c r="IK15" s="116">
        <f>+MIN(BO15:BQ15)</f>
        <v>237.80897129686099</v>
      </c>
      <c r="IL15" s="116">
        <f>+MIN(BR15:BT15)</f>
        <v>260.64770884310599</v>
      </c>
      <c r="IM15" s="116">
        <f>+MIN(BU15:BW15)</f>
        <v>234.79997995707501</v>
      </c>
      <c r="IN15" s="116">
        <f>+MIN(BX15:BZ15)</f>
        <v>219.015107354918</v>
      </c>
      <c r="IO15" s="116">
        <f>+MIN(CA15:CC15)</f>
        <v>165.88914550328599</v>
      </c>
      <c r="IP15" s="116">
        <f>+MIN(CD15:CF15)</f>
        <v>130.32385442155299</v>
      </c>
      <c r="IQ15" s="116">
        <f>+MIN(CG15:CI15)</f>
        <v>128.35074534628299</v>
      </c>
      <c r="IR15" s="116">
        <f>+MIN(CJ15:CL15)</f>
        <v>115.525536357031</v>
      </c>
      <c r="IS15" s="116">
        <f>+MIN(CM15:CO15)</f>
        <v>102.60167191401599</v>
      </c>
      <c r="IT15" s="116">
        <f>+MIN(CP15:CR15)</f>
        <v>62.152935870990397</v>
      </c>
      <c r="IU15" s="116">
        <f>+MIN(CS15:CU15)</f>
        <v>69.946716718304998</v>
      </c>
      <c r="IV15" s="116">
        <f>+MIN(CV15:CX15)</f>
        <v>97.915537860250694</v>
      </c>
      <c r="IW15" s="116">
        <f>+MIN(CY15:DA15)</f>
        <v>115.426880903268</v>
      </c>
      <c r="IX15" s="116">
        <f>+MIN(DB15:DD15)</f>
        <v>182.512589462432</v>
      </c>
      <c r="IY15" s="116">
        <f>+MIN(DE15:DG15)</f>
        <v>190.45435349039201</v>
      </c>
      <c r="IZ15" s="116">
        <f>+MIN(DH15:DJ15)</f>
        <v>292.11879859365501</v>
      </c>
      <c r="JA15" s="116">
        <f>+MIN(DK15:DM15)</f>
        <v>291.03358860225597</v>
      </c>
      <c r="JB15" s="116">
        <f>+MIN(DN15:DP15)</f>
        <v>404.48736043025502</v>
      </c>
      <c r="JC15" s="116">
        <f>+MIN(DQ15:DS15)</f>
        <v>372.91761522594197</v>
      </c>
      <c r="JD15" s="116">
        <f>+MIN(DT15:DV15)</f>
        <v>419.28567849477599</v>
      </c>
      <c r="JE15" s="116">
        <f>+MIN(DW15:DY15)</f>
        <v>483.41172344103597</v>
      </c>
      <c r="JF15" s="116">
        <f>+MIN(DZ15:EB15)</f>
        <v>445.18273510768898</v>
      </c>
      <c r="JG15" s="116">
        <f>+MIN(EC15:EE15)</f>
        <v>514.09356956147803</v>
      </c>
      <c r="JH15" s="116">
        <f>+MIN(EF15:EH15)</f>
        <v>664.93775836583302</v>
      </c>
      <c r="JI15" s="116">
        <f>+MIN(EI15:EK15)</f>
        <v>720.18481247338002</v>
      </c>
      <c r="JJ15" s="116">
        <f>+MIN(EL15:EN15)</f>
        <v>742.87556683898003</v>
      </c>
      <c r="JK15" s="116">
        <f>MIN(EO15:EQ15)</f>
        <v>720.38212338090796</v>
      </c>
      <c r="JL15" s="116">
        <f>MIN(ER15:ET15)</f>
        <v>882.966311183117</v>
      </c>
      <c r="JM15" s="116">
        <f>MIN(EU15:EW15)</f>
        <v>833.63858430137896</v>
      </c>
      <c r="JN15" s="116">
        <f>MIN(EX15:EZ15)</f>
        <v>583.20171492279303</v>
      </c>
      <c r="JO15" s="116">
        <f>MIN(FA15:FC15)</f>
        <v>692.758596327134</v>
      </c>
      <c r="JP15" s="116">
        <f>MIN(FD15:FF15)</f>
        <v>726.40010606047997</v>
      </c>
      <c r="JQ15" s="116">
        <f>MIN(FG15:FI15)</f>
        <v>875</v>
      </c>
      <c r="JR15" s="116">
        <f>MIN(FJ15:FL15)</f>
        <v>721.05</v>
      </c>
      <c r="JS15" s="116">
        <f>MIN(FM15:FO15)</f>
        <v>729.1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35.959912896787301</v>
      </c>
      <c r="D16" s="116" cm="1">
        <f t="array" ref="D16">_xll.EQNXTDZ($A$1,$B16,D$1)</f>
        <v>29.103358860225701</v>
      </c>
      <c r="E16" s="116" cm="1">
        <f t="array" ref="E16">_xll.EQNXTDZ($A$1,$B16,E$1)</f>
        <v>28.708737045171699</v>
      </c>
      <c r="F16" s="116" cm="1">
        <f t="array" ref="F16">_xll.EQNXTDZ($A$1,$B16,F$1)</f>
        <v>48.143861436576699</v>
      </c>
      <c r="G16" s="116" cm="1">
        <f t="array" ref="G16">_xll.EQNXTDZ($A$1,$B16,G$1)</f>
        <v>48.0945337096949</v>
      </c>
      <c r="H16" s="116" cm="1">
        <f t="array" ref="H16">_xll.EQNXTDZ($A$1,$B16,H$1)</f>
        <v>50.067642784964498</v>
      </c>
      <c r="I16" s="116" cm="1">
        <f t="array" ref="I16">_xll.EQNXTDZ($A$1,$B16,I$1)</f>
        <v>63.583439950560802</v>
      </c>
      <c r="J16" s="116" cm="1">
        <f t="array" ref="J16">_xll.EQNXTDZ($A$1,$B16,J$1)</f>
        <v>61.018398152710397</v>
      </c>
      <c r="K16" s="116" cm="1">
        <f t="array" ref="K16">_xll.EQNXTDZ($A$1,$B16,K$1)</f>
        <v>59.094616804322598</v>
      </c>
      <c r="L16" s="116" cm="1">
        <f t="array" ref="L16">_xll.EQNXTDZ($A$1,$B16,L$1)</f>
        <v>50.708903234427098</v>
      </c>
      <c r="M16" s="116" cm="1">
        <f t="array" ref="M16">_xll.EQNXTDZ($A$1,$B16,M$1)</f>
        <v>51.794113225825299</v>
      </c>
      <c r="N16" s="116" cm="1">
        <f t="array" ref="N16">_xll.EQNXTDZ($A$1,$B16,N$1)</f>
        <v>47.354617806468902</v>
      </c>
      <c r="O16" s="116" cm="1">
        <f t="array" ref="O16">_xll.EQNXTDZ($A$1,$B16,O$1)</f>
        <v>49.081088247329703</v>
      </c>
      <c r="P16" s="116" cm="1">
        <f t="array" ref="P16">_xll.EQNXTDZ($A$1,$B16,P$1)</f>
        <v>46.762685083888002</v>
      </c>
      <c r="Q16" s="116" cm="1">
        <f t="array" ref="Q16">_xll.EQNXTDZ($A$1,$B16,Q$1)</f>
        <v>46.368063268834099</v>
      </c>
      <c r="R16" s="116" cm="1">
        <f t="array" ref="R16">_xll.EQNXTDZ($A$1,$B16,R$1)</f>
        <v>40.547391496788997</v>
      </c>
      <c r="S16" s="116" cm="1">
        <f t="array" ref="S16">_xll.EQNXTDZ($A$1,$B16,S$1)</f>
        <v>46.516046449479298</v>
      </c>
      <c r="T16" s="116" cm="1">
        <f t="array" ref="T16">_xll.EQNXTDZ($A$1,$B16,T$1)</f>
        <v>71.377220797875495</v>
      </c>
      <c r="U16" s="116" cm="1">
        <f t="array" ref="U16">_xll.EQNXTDZ($A$1,$B16,U$1)</f>
        <v>93.032092898958595</v>
      </c>
      <c r="V16" s="116" cm="1">
        <f t="array" ref="V16">_xll.EQNXTDZ($A$1,$B16,V$1)</f>
        <v>90.023101559172602</v>
      </c>
      <c r="W16" s="116" cm="1">
        <f t="array" ref="W16">_xll.EQNXTDZ($A$1,$B16,W$1)</f>
        <v>88.148647937666496</v>
      </c>
      <c r="X16" s="116" cm="1">
        <f t="array" ref="X16">_xll.EQNXTDZ($A$1,$B16,X$1)</f>
        <v>157.602087387154</v>
      </c>
      <c r="Y16" s="116" cm="1">
        <f t="array" ref="Y16">_xll.EQNXTDZ($A$1,$B16,Y$1)</f>
        <v>187.10006806243399</v>
      </c>
      <c r="Z16" s="116" cm="1">
        <f t="array" ref="Z16">_xll.EQNXTDZ($A$1,$B16,Z$1)</f>
        <v>146.01007156994601</v>
      </c>
      <c r="AA16" s="116" cm="1">
        <f t="array" ref="AA16">_xll.EQNXTDZ($A$1,$B16,AA$1)</f>
        <v>160.265784638768</v>
      </c>
      <c r="AB16" s="116" cm="1">
        <f t="array" ref="AB16">_xll.EQNXTDZ($A$1,$B16,AB$1)</f>
        <v>229.07796363879299</v>
      </c>
      <c r="AC16" s="116" cm="1">
        <f t="array" ref="AC16">_xll.EQNXTDZ($A$1,$B16,AC$1)</f>
        <v>255.81359160869499</v>
      </c>
      <c r="AD16" s="116" cm="1">
        <f t="array" ref="AD16">_xll.EQNXTDZ($A$1,$B16,AD$1)</f>
        <v>241.557878539873</v>
      </c>
      <c r="AE16" s="116" cm="1">
        <f t="array" ref="AE16">_xll.EQNXTDZ($A$1,$B16,AE$1)</f>
        <v>239.04216446890399</v>
      </c>
      <c r="AF16" s="116" cm="1">
        <f t="array" ref="AF16">_xll.EQNXTDZ($A$1,$B16,AF$1)</f>
        <v>222.320065055995</v>
      </c>
      <c r="AG16" s="116" cm="1">
        <f t="array" ref="AG16">_xll.EQNXTDZ($A$1,$B16,AG$1)</f>
        <v>234.060064053849</v>
      </c>
      <c r="AH16" s="116" cm="1">
        <f t="array" ref="AH16">_xll.EQNXTDZ($A$1,$B16,AH$1)</f>
        <v>325.85896378076399</v>
      </c>
      <c r="AI16" s="116" cm="1">
        <f t="array" ref="AI16">_xll.EQNXTDZ($A$1,$B16,AI$1)</f>
        <v>316.19072931194302</v>
      </c>
      <c r="AJ16" s="116" cm="1">
        <f t="array" ref="AJ16">_xll.EQNXTDZ($A$1,$B16,AJ$1)</f>
        <v>310.96199026247899</v>
      </c>
      <c r="AK16" s="116" cm="1">
        <f t="array" ref="AK16">_xll.EQNXTDZ($A$1,$B16,AK$1)</f>
        <v>346.872575432384</v>
      </c>
      <c r="AL16" s="116" cm="1">
        <f t="array" ref="AL16">_xll.EQNXTDZ($A$1,$B16,AL$1)</f>
        <v>346.47795361733</v>
      </c>
      <c r="AM16" s="116" cm="1">
        <f t="array" ref="AM16">_xll.EQNXTDZ($A$1,$B16,AM$1)</f>
        <v>338.78282822377901</v>
      </c>
      <c r="AN16" s="116" cm="1">
        <f t="array" ref="AN16">_xll.EQNXTDZ($A$1,$B16,AN$1)</f>
        <v>526.72146764320303</v>
      </c>
      <c r="AO16" s="116" cm="1">
        <f t="array" ref="AO16">_xll.EQNXTDZ($A$1,$B16,AO$1)</f>
        <v>531.01297988191402</v>
      </c>
      <c r="AP16" s="116" cm="1">
        <f t="array" ref="AP16">_xll.EQNXTDZ($A$1,$B16,AP$1)</f>
        <v>486.37138705394102</v>
      </c>
      <c r="AQ16" s="116" cm="1">
        <f t="array" ref="AQ16">_xll.EQNXTDZ($A$1,$B16,AQ$1)</f>
        <v>499.78852876577298</v>
      </c>
      <c r="AR16" s="116" cm="1">
        <f t="array" ref="AR16">_xll.EQNXTDZ($A$1,$B16,AR$1)</f>
        <v>408.68021721520302</v>
      </c>
      <c r="AS16" s="116" cm="1">
        <f t="array" ref="AS16">_xll.EQNXTDZ($A$1,$B16,AS$1)</f>
        <v>471.07979172060197</v>
      </c>
      <c r="AT16" s="116" cm="1">
        <f t="array" ref="AT16">_xll.EQNXTDZ($A$1,$B16,AT$1)</f>
        <v>398.56803320444601</v>
      </c>
      <c r="AU16" s="116" cm="1">
        <f t="array" ref="AU16">_xll.EQNXTDZ($A$1,$B16,AU$1)</f>
        <v>295.96636129042997</v>
      </c>
      <c r="AV16" s="116" cm="1">
        <f t="array" ref="AV16">_xll.EQNXTDZ($A$1,$B16,AV$1)</f>
        <v>323.49123289044002</v>
      </c>
      <c r="AW16" s="116" cm="1">
        <f t="array" ref="AW16">_xll.EQNXTDZ($A$1,$B16,AW$1)</f>
        <v>338.28955095496201</v>
      </c>
      <c r="AX16" s="116" cm="1">
        <f t="array" ref="AX16">_xll.EQNXTDZ($A$1,$B16,AX$1)</f>
        <v>315.105519320545</v>
      </c>
      <c r="AY16" s="116" cm="1">
        <f t="array" ref="AY16">_xll.EQNXTDZ($A$1,$B16,AY$1)</f>
        <v>317.96652747968602</v>
      </c>
      <c r="AZ16" s="116" cm="1">
        <f t="array" ref="AZ16">_xll.EQNXTDZ($A$1,$B16,AZ$1)</f>
        <v>408.03895676574001</v>
      </c>
      <c r="BA16" s="116" cm="1">
        <f t="array" ref="BA16">_xll.EQNXTDZ($A$1,$B16,BA$1)</f>
        <v>371.881732961426</v>
      </c>
      <c r="BB16" s="116" cm="1">
        <f t="array" ref="BB16">_xll.EQNXTDZ($A$1,$B16,BB$1)</f>
        <v>343.51829000442598</v>
      </c>
      <c r="BC16" s="116" cm="1">
        <f t="array" ref="BC16">_xll.EQNXTDZ($A$1,$B16,BC$1)</f>
        <v>330.101148292593</v>
      </c>
      <c r="BD16" s="116" cm="1">
        <f t="array" ref="BD16">_xll.EQNXTDZ($A$1,$B16,BD$1)</f>
        <v>324.23114879366602</v>
      </c>
      <c r="BE16" s="116" cm="1">
        <f t="array" ref="BE16">_xll.EQNXTDZ($A$1,$B16,BE$1)</f>
        <v>309.58081390978998</v>
      </c>
      <c r="BF16" s="116" cm="1">
        <f t="array" ref="BF16">_xll.EQNXTDZ($A$1,$B16,BF$1)</f>
        <v>299.91257944096901</v>
      </c>
      <c r="BG16" s="116" cm="1">
        <f t="array" ref="BG16">_xll.EQNXTDZ($A$1,$B16,BG$1)</f>
        <v>280.32947186891897</v>
      </c>
      <c r="BH16" s="116" cm="1">
        <f t="array" ref="BH16">_xll.EQNXTDZ($A$1,$B16,BH$1)</f>
        <v>276.235270537735</v>
      </c>
      <c r="BI16" s="116" cm="1">
        <f t="array" ref="BI16">_xll.EQNXTDZ($A$1,$B16,BI$1)</f>
        <v>355.70223854421602</v>
      </c>
      <c r="BJ16" s="116" cm="1">
        <f t="array" ref="BJ16">_xll.EQNXTDZ($A$1,$B16,BJ$1)</f>
        <v>324.675098335602</v>
      </c>
      <c r="BK16" s="116" cm="1">
        <f t="array" ref="BK16">_xll.EQNXTDZ($A$1,$B16,BK$1)</f>
        <v>308.79157027968199</v>
      </c>
      <c r="BL16" s="116" cm="1">
        <f t="array" ref="BL16">_xll.EQNXTDZ($A$1,$B16,BL$1)</f>
        <v>302.42829351193802</v>
      </c>
      <c r="BM16" s="116" cm="1">
        <f t="array" ref="BM16">_xll.EQNXTDZ($A$1,$B16,BM$1)</f>
        <v>268.293506509775</v>
      </c>
      <c r="BN16" s="116" cm="1">
        <f t="array" ref="BN16">_xll.EQNXTDZ($A$1,$B16,BN$1)</f>
        <v>249.54897029471499</v>
      </c>
      <c r="BO16" s="116" cm="1">
        <f t="array" ref="BO16">_xll.EQNXTDZ($A$1,$B16,BO$1)</f>
        <v>250.14090301729499</v>
      </c>
      <c r="BP16" s="116" cm="1">
        <f t="array" ref="BP16">_xll.EQNXTDZ($A$1,$B16,BP$1)</f>
        <v>333.75140008184201</v>
      </c>
      <c r="BQ16" s="116" cm="1">
        <f t="array" ref="BQ16">_xll.EQNXTDZ($A$1,$B16,BQ$1)</f>
        <v>352.051986754967</v>
      </c>
      <c r="BR16" s="116" cm="1">
        <f t="array" ref="BR16">_xll.EQNXTDZ($A$1,$B16,BR$1)</f>
        <v>310.271402086134</v>
      </c>
      <c r="BS16" s="116" cm="1">
        <f t="array" ref="BS16">_xll.EQNXTDZ($A$1,$B16,BS$1)</f>
        <v>310.41938526678001</v>
      </c>
      <c r="BT16" s="116" cm="1">
        <f t="array" ref="BT16">_xll.EQNXTDZ($A$1,$B16,BT$1)</f>
        <v>279.68821141945699</v>
      </c>
      <c r="BU16" s="116" cm="1">
        <f t="array" ref="BU16">_xll.EQNXTDZ($A$1,$B16,BU$1)</f>
        <v>287.235353632363</v>
      </c>
      <c r="BV16" s="116" cm="1">
        <f t="array" ref="BV16">_xll.EQNXTDZ($A$1,$B16,BV$1)</f>
        <v>266.96165788396797</v>
      </c>
      <c r="BW16" s="116" cm="1">
        <f t="array" ref="BW16">_xll.EQNXTDZ($A$1,$B16,BW$1)</f>
        <v>256.50417978503998</v>
      </c>
      <c r="BX16" s="116" cm="1">
        <f t="array" ref="BX16">_xll.EQNXTDZ($A$1,$B16,BX$1)</f>
        <v>256.94812932697499</v>
      </c>
      <c r="BY16" s="116" cm="1">
        <f t="array" ref="BY16">_xll.EQNXTDZ($A$1,$B16,BY$1)</f>
        <v>283.04249684741501</v>
      </c>
      <c r="BZ16" s="116" cm="1">
        <f t="array" ref="BZ16">_xll.EQNXTDZ($A$1,$B16,BZ$1)</f>
        <v>221.87611551405899</v>
      </c>
      <c r="CA16" s="116" cm="1">
        <f t="array" ref="CA16">_xll.EQNXTDZ($A$1,$B16,CA$1)</f>
        <v>183.400488546303</v>
      </c>
      <c r="CB16" s="116" cm="1">
        <f t="array" ref="CB16">_xll.EQNXTDZ($A$1,$B16,CB$1)</f>
        <v>173.92956498500999</v>
      </c>
      <c r="CC16" s="116" cm="1">
        <f t="array" ref="CC16">_xll.EQNXTDZ($A$1,$B16,CC$1)</f>
        <v>178.073094043076</v>
      </c>
      <c r="CD16" s="116" cm="1">
        <f t="array" ref="CD16">_xll.EQNXTDZ($A$1,$B16,CD$1)</f>
        <v>170.673935010815</v>
      </c>
      <c r="CE16" s="116" cm="1">
        <f t="array" ref="CE16">_xll.EQNXTDZ($A$1,$B16,CE$1)</f>
        <v>137.131080731233</v>
      </c>
      <c r="CF16" s="116" cm="1">
        <f t="array" ref="CF16">_xll.EQNXTDZ($A$1,$B16,CF$1)</f>
        <v>159.575196462424</v>
      </c>
      <c r="CG16" s="116" cm="1">
        <f t="array" ref="CG16">_xll.EQNXTDZ($A$1,$B16,CG$1)</f>
        <v>150.94284425811901</v>
      </c>
      <c r="CH16" s="116" cm="1">
        <f t="array" ref="CH16">_xll.EQNXTDZ($A$1,$B16,CH$1)</f>
        <v>175.310741337698</v>
      </c>
      <c r="CI16" s="116" cm="1">
        <f t="array" ref="CI16">_xll.EQNXTDZ($A$1,$B16,CI$1)</f>
        <v>145.072844759193</v>
      </c>
      <c r="CJ16" s="116" cm="1">
        <f t="array" ref="CJ16">_xll.EQNXTDZ($A$1,$B16,CJ$1)</f>
        <v>128.696039434455</v>
      </c>
      <c r="CK16" s="116" cm="1">
        <f t="array" ref="CK16">_xll.EQNXTDZ($A$1,$B16,CK$1)</f>
        <v>121.494191309722</v>
      </c>
      <c r="CL16" s="116" cm="1">
        <f t="array" ref="CL16">_xll.EQNXTDZ($A$1,$B16,CL$1)</f>
        <v>121.83948539789399</v>
      </c>
      <c r="CM16" s="116" cm="1">
        <f t="array" ref="CM16">_xll.EQNXTDZ($A$1,$B16,CM$1)</f>
        <v>119.66906541509699</v>
      </c>
      <c r="CN16" s="116" cm="1">
        <f t="array" ref="CN16">_xll.EQNXTDZ($A$1,$B16,CN$1)</f>
        <v>122.234107212948</v>
      </c>
      <c r="CO16" s="116" cm="1">
        <f t="array" ref="CO16">_xll.EQNXTDZ($A$1,$B16,CO$1)</f>
        <v>115.77217499144</v>
      </c>
      <c r="CP16" s="116" cm="1">
        <f t="array" ref="CP16">_xll.EQNXTDZ($A$1,$B16,CP$1)</f>
        <v>123.7139390194</v>
      </c>
      <c r="CQ16" s="116" cm="1">
        <f t="array" ref="CQ16">_xll.EQNXTDZ($A$1,$B16,CQ$1)</f>
        <v>112.41788956348201</v>
      </c>
      <c r="CR16" s="116" cm="1">
        <f t="array" ref="CR16">_xll.EQNXTDZ($A$1,$B16,CR$1)</f>
        <v>66.888397651637305</v>
      </c>
      <c r="CS16" s="116" cm="1">
        <f t="array" ref="CS16">_xll.EQNXTDZ($A$1,$B16,CS$1)</f>
        <v>91.502933365624699</v>
      </c>
      <c r="CT16" s="116" cm="1">
        <f t="array" ref="CT16">_xll.EQNXTDZ($A$1,$B16,CT$1)</f>
        <v>83.265202976374397</v>
      </c>
      <c r="CU16" s="116" cm="1">
        <f t="array" ref="CU16">_xll.EQNXTDZ($A$1,$B16,CU$1)</f>
        <v>97.570243772078499</v>
      </c>
      <c r="CV16" s="116" cm="1">
        <f t="array" ref="CV16">_xll.EQNXTDZ($A$1,$B16,CV$1)</f>
        <v>138.80822344521201</v>
      </c>
      <c r="CW16" s="116" cm="1">
        <f t="array" ref="CW16">_xll.EQNXTDZ($A$1,$B16,CW$1)</f>
        <v>147.48990337639799</v>
      </c>
      <c r="CX16" s="116" cm="1">
        <f t="array" ref="CX16">_xll.EQNXTDZ($A$1,$B16,CX$1)</f>
        <v>124.60183810327101</v>
      </c>
      <c r="CY16" s="116" cm="1">
        <f t="array" ref="CY16">_xll.EQNXTDZ($A$1,$B16,CY$1)</f>
        <v>120.60629222585</v>
      </c>
      <c r="CZ16" s="116" cm="1">
        <f t="array" ref="CZ16">_xll.EQNXTDZ($A$1,$B16,CZ$1)</f>
        <v>215.75947738072401</v>
      </c>
      <c r="DA16" s="116" cm="1">
        <f t="array" ref="DA16">_xll.EQNXTDZ($A$1,$B16,DA$1)</f>
        <v>211.46796514201199</v>
      </c>
      <c r="DB16" s="116" cm="1">
        <f t="array" ref="DB16">_xll.EQNXTDZ($A$1,$B16,DB$1)</f>
        <v>197.06426889254499</v>
      </c>
      <c r="DC16" s="116" cm="1">
        <f t="array" ref="DC16">_xll.EQNXTDZ($A$1,$B16,DC$1)</f>
        <v>210.87603241943199</v>
      </c>
      <c r="DD16" s="116" cm="1">
        <f t="array" ref="DD16">_xll.EQNXTDZ($A$1,$B16,DD$1)</f>
        <v>191.53956348179</v>
      </c>
      <c r="DE16" s="116" cm="1">
        <f t="array" ref="DE16">_xll.EQNXTDZ($A$1,$B16,DE$1)</f>
        <v>261.68359110762202</v>
      </c>
      <c r="DF16" s="116" cm="1">
        <f t="array" ref="DF16">_xll.EQNXTDZ($A$1,$B16,DF$1)</f>
        <v>277.02451416784299</v>
      </c>
      <c r="DG16" s="116" cm="1">
        <f t="array" ref="DG16">_xll.EQNXTDZ($A$1,$B16,DG$1)</f>
        <v>300.701823071077</v>
      </c>
      <c r="DH16" s="116" cm="1">
        <f t="array" ref="DH16">_xll.EQNXTDZ($A$1,$B16,DH$1)</f>
        <v>361.374927135615</v>
      </c>
      <c r="DI16" s="116" cm="1">
        <f t="array" ref="DI16">_xll.EQNXTDZ($A$1,$B16,DI$1)</f>
        <v>321.76476244958002</v>
      </c>
      <c r="DJ16" s="116" cm="1">
        <f t="array" ref="DJ16">_xll.EQNXTDZ($A$1,$B16,DJ$1)</f>
        <v>337.45097959797198</v>
      </c>
      <c r="DK16" s="116" cm="1">
        <f t="array" ref="DK16">_xll.EQNXTDZ($A$1,$B16,DK$1)</f>
        <v>344.89946635711499</v>
      </c>
      <c r="DL16" s="116" cm="1">
        <f t="array" ref="DL16">_xll.EQNXTDZ($A$1,$B16,DL$1)</f>
        <v>338.33887868184399</v>
      </c>
      <c r="DM16" s="116" cm="1">
        <f t="array" ref="DM16">_xll.EQNXTDZ($A$1,$B16,DM$1)</f>
        <v>500.52844466900001</v>
      </c>
      <c r="DN16" s="116" cm="1">
        <f t="array" ref="DN16">_xll.EQNXTDZ($A$1,$B16,DN$1)</f>
        <v>424.90903935929401</v>
      </c>
      <c r="DO16" s="116" cm="1">
        <f t="array" ref="DO16">_xll.EQNXTDZ($A$1,$B16,DO$1)</f>
        <v>449.17828098511001</v>
      </c>
      <c r="DP16" s="116" cm="1">
        <f t="array" ref="DP16">_xll.EQNXTDZ($A$1,$B16,DP$1)</f>
        <v>610.67725879592103</v>
      </c>
      <c r="DQ16" s="116" cm="1">
        <f t="array" ref="DQ16">_xll.EQNXTDZ($A$1,$B16,DQ$1)</f>
        <v>670.70910241099705</v>
      </c>
      <c r="DR16" s="116" cm="1">
        <f t="array" ref="DR16">_xll.EQNXTDZ($A$1,$B16,DR$1)</f>
        <v>505.26390644964602</v>
      </c>
      <c r="DS16" s="116" cm="1">
        <f t="array" ref="DS16">_xll.EQNXTDZ($A$1,$B16,DS$1)</f>
        <v>453.963070492638</v>
      </c>
      <c r="DT16" s="116" cm="1">
        <f t="array" ref="DT16">_xll.EQNXTDZ($A$1,$B16,DT$1)</f>
        <v>490.31760520448</v>
      </c>
      <c r="DU16" s="116" cm="1">
        <f t="array" ref="DU16">_xll.EQNXTDZ($A$1,$B16,DU$1)</f>
        <v>488.04852976792</v>
      </c>
      <c r="DV16" s="116" cm="1">
        <f t="array" ref="DV16">_xll.EQNXTDZ($A$1,$B16,DV$1)</f>
        <v>526.03087946685798</v>
      </c>
      <c r="DW16" s="116" cm="1">
        <f t="array" ref="DW16">_xll.EQNXTDZ($A$1,$B16,DW$1)</f>
        <v>610.33196470774897</v>
      </c>
      <c r="DX16" s="116" cm="1">
        <f t="array" ref="DX16">_xll.EQNXTDZ($A$1,$B16,DX$1)</f>
        <v>527.65869445395595</v>
      </c>
      <c r="DY16" s="116" cm="1">
        <f t="array" ref="DY16">_xll.EQNXTDZ($A$1,$B16,DY$1)</f>
        <v>536.98163483460405</v>
      </c>
      <c r="DZ16" s="116" cm="1">
        <f t="array" ref="DZ16">_xll.EQNXTDZ($A$1,$B16,DZ$1)</f>
        <v>581.771210843223</v>
      </c>
      <c r="EA16" s="116" cm="1">
        <f t="array" ref="EA16">_xll.EQNXTDZ($A$1,$B16,EA$1)</f>
        <v>540.77986980449805</v>
      </c>
      <c r="EB16" s="116" cm="1">
        <f t="array" ref="EB16">_xll.EQNXTDZ($A$1,$B16,EB$1)</f>
        <v>561.99079236364503</v>
      </c>
      <c r="EC16" s="116" cm="1">
        <f t="array" ref="EC16">_xll.EQNXTDZ($A$1,$B16,EC$1)</f>
        <v>576.14784997870402</v>
      </c>
      <c r="ED16" s="116" cm="1">
        <f t="array" ref="ED16">_xll.EQNXTDZ($A$1,$B16,ED$1)</f>
        <v>536.14306347761499</v>
      </c>
      <c r="EE16" s="116" cm="1">
        <f t="array" ref="EE16">_xll.EQNXTDZ($A$1,$B16,EE$1)</f>
        <v>705.28783895509503</v>
      </c>
      <c r="EF16" s="116" cm="1">
        <f t="array" ref="EF16">_xll.EQNXTDZ($A$1,$B16,EF$1)</f>
        <v>854.60286822611795</v>
      </c>
      <c r="EG16" s="116" cm="1">
        <f t="array" ref="EG16">_xll.EQNXTDZ($A$1,$B16,EG$1)</f>
        <v>904.62118328420001</v>
      </c>
      <c r="EH16" s="116" cm="1">
        <f t="array" ref="EH16">_xll.EQNXTDZ($A$1,$B16,EH$1)</f>
        <v>799.84909138738794</v>
      </c>
      <c r="EI16" s="116" cm="1">
        <f t="array" ref="EI16">_xll.EQNXTDZ($A$1,$B16,EI$1)</f>
        <v>767.68741346049501</v>
      </c>
      <c r="EJ16" s="116" cm="1">
        <f t="array" ref="EJ16">_xll.EQNXTDZ($A$1,$B16,EJ$1)</f>
        <v>798.27060412717196</v>
      </c>
      <c r="EK16" s="116" cm="1">
        <f t="array" ref="EK16">_xll.EQNXTDZ($A$1,$B16,EK$1)</f>
        <v>818.74161078309396</v>
      </c>
      <c r="EL16" s="116" cm="1">
        <f t="array" ref="EL16">_xll.EQNXTDZ($A$1,$B16,EL$1)</f>
        <v>860.27555681751801</v>
      </c>
      <c r="EM16" s="116" cm="1">
        <f t="array" ref="EM16">_xll.EQNXTDZ($A$1,$B16,EM$1)</f>
        <v>868.80925356805801</v>
      </c>
      <c r="EN16" s="116" cm="1">
        <f t="array" ref="EN16">_xll.EQNXTDZ($A$1,$B16,EN$1)</f>
        <v>804.04194817233599</v>
      </c>
      <c r="EO16" s="116" cm="1">
        <f t="array" ref="EO16">_xll.EQNXTDZ($A$1,$B16,EO$1)</f>
        <v>843.15883558955397</v>
      </c>
      <c r="EP16" s="116" cm="1">
        <f t="array" ref="EP16">_xll.EQNXTDZ($A$1,$B16,EP$1)</f>
        <v>878.03353849494295</v>
      </c>
      <c r="EQ16" s="116" cm="1">
        <f t="array" ref="EQ16">_xll.EQNXTDZ($A$1,$B16,EQ$1)</f>
        <v>1011.81033379822</v>
      </c>
      <c r="ER16" s="116" cm="1">
        <f t="array" ref="ER16">_xll.EQNXTDZ($A$1,$B16,ER$1)</f>
        <v>1037.90470131866</v>
      </c>
      <c r="ES16" s="116" cm="1">
        <f t="array" ref="ES16">_xll.EQNXTDZ($A$1,$B16,ES$1)</f>
        <v>933.77386987130797</v>
      </c>
      <c r="ET16" s="116" cm="1">
        <f t="array" ref="ET16">_xll.EQNXTDZ($A$1,$B16,ET$1)</f>
        <v>907.77815780463197</v>
      </c>
      <c r="EU16" s="116" cm="1">
        <f t="array" ref="EU16">_xll.EQNXTDZ($A$1,$B16,EU$1)</f>
        <v>984.92672264766998</v>
      </c>
      <c r="EV16" s="116" cm="1">
        <f t="array" ref="EV16">_xll.EQNXTDZ($A$1,$B16,EV$1)</f>
        <v>897.27135197882103</v>
      </c>
      <c r="EW16" s="116" cm="1">
        <f t="array" ref="EW16">_xll.EQNXTDZ($A$1,$B16,EW$1)</f>
        <v>872.16353899601597</v>
      </c>
      <c r="EX16" s="116" cm="1">
        <f t="array" ref="EX16">_xll.EQNXTDZ($A$1,$B16,EX$1)</f>
        <v>790.23018464544896</v>
      </c>
      <c r="EY16" s="116" cm="1">
        <f t="array" ref="EY16">_xll.EQNXTDZ($A$1,$B16,EY$1)</f>
        <v>633.86129043033804</v>
      </c>
      <c r="EZ16" s="116" cm="1">
        <f t="array" ref="EZ16">_xll.EQNXTDZ($A$1,$B16,EZ$1)</f>
        <v>672.28758967121303</v>
      </c>
      <c r="FA16" s="116" cm="1">
        <f t="array" ref="FA16">_xll.EQNXTDZ($A$1,$B16,FA$1)</f>
        <v>733.15800464327799</v>
      </c>
      <c r="FB16" s="116" cm="1">
        <f t="array" ref="FB16">_xll.EQNXTDZ($A$1,$B16,FB$1)</f>
        <v>770.54842161963495</v>
      </c>
      <c r="FC16" s="116" cm="1">
        <f t="array" ref="FC16">_xll.EQNXTDZ($A$1,$B16,FC$1)</f>
        <v>752.93842312285506</v>
      </c>
      <c r="FD16" s="116" cm="1">
        <f t="array" ref="FD16">_xll.EQNXTDZ($A$1,$B16,FD$1)</f>
        <v>913.69748503044002</v>
      </c>
      <c r="FE16" s="116" cm="1">
        <f t="array" ref="FE16">_xll.EQNXTDZ($A$1,$B16,FE$1)</f>
        <v>953.110338808949</v>
      </c>
      <c r="FF16" s="116" cm="1">
        <f t="array" ref="FF16">_xll.EQNXTDZ($A$1,$B16,FF$1)</f>
        <v>912.5</v>
      </c>
      <c r="FG16" s="116" cm="1">
        <f t="array" ref="FG16">_xll.EQNXTDZ($A$1,$B16,FG$1)</f>
        <v>1031.2</v>
      </c>
      <c r="FH16" s="116" cm="1">
        <f t="array" ref="FH16">_xll.EQNXTDZ($A$1,$B16,FH$1)</f>
        <v>1020.35</v>
      </c>
      <c r="FI16" s="116" cm="1">
        <f t="array" ref="FI16">_xll.EQNXTDZ($A$1,$B16,FI$1)</f>
        <v>899.15</v>
      </c>
      <c r="FJ16" s="116" cm="1">
        <f t="array" ref="FJ16">_xll.EQNXTDZ($A$1,$B16,FJ$1)</f>
        <v>850.45</v>
      </c>
      <c r="FK16" s="116" cm="1">
        <f t="array" ref="FK16">_xll.EQNXTDZ($A$1,$B16,FK$1)</f>
        <v>847.8</v>
      </c>
      <c r="FL16" s="116" cm="1">
        <f t="array" ref="FL16">_xll.EQNXTDZ($A$1,$B16,FL$1)</f>
        <v>729.1</v>
      </c>
      <c r="FM16" s="116" cm="1">
        <f t="array" ref="FM16">_xll.EQNXTDZ($A$1,$B16,FM$1)</f>
        <v>866.55</v>
      </c>
      <c r="FN16" s="116" cm="1">
        <f t="array" ref="FN16">_xll.EQNXTDZ($A$1,$B16,FN$1)</f>
        <v>1019.15</v>
      </c>
      <c r="FO16" s="116" cm="1">
        <f t="array" ref="FO16">_xll.EQNXTDZ($A$1,$B16,FO$1)</f>
        <v>1254.05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48.143861436576699</v>
      </c>
      <c r="HQ16" s="116">
        <f>+I16</f>
        <v>63.583439950560802</v>
      </c>
      <c r="HR16" s="116">
        <f>+L16</f>
        <v>50.708903234427098</v>
      </c>
      <c r="HS16" s="116">
        <f>+O16</f>
        <v>49.081088247329703</v>
      </c>
      <c r="HT16" s="116">
        <f>+R16</f>
        <v>40.547391496788997</v>
      </c>
      <c r="HU16" s="116">
        <f>+U16</f>
        <v>93.032092898958595</v>
      </c>
      <c r="HV16" s="116">
        <f>+X16</f>
        <v>157.602087387154</v>
      </c>
      <c r="HW16" s="116">
        <f>+AA16</f>
        <v>160.265784638768</v>
      </c>
      <c r="HX16" s="116">
        <f>+AD16</f>
        <v>241.557878539873</v>
      </c>
      <c r="HY16" s="116">
        <f>+AG16</f>
        <v>234.060064053849</v>
      </c>
      <c r="HZ16" s="116">
        <f>+AJ16</f>
        <v>310.96199026247899</v>
      </c>
      <c r="IA16" s="116">
        <f>+AM16</f>
        <v>338.78282822377901</v>
      </c>
      <c r="IB16" s="116">
        <f>+AP16</f>
        <v>486.37138705394102</v>
      </c>
      <c r="IC16" s="116">
        <f>+AS16</f>
        <v>471.07979172060197</v>
      </c>
      <c r="ID16" s="116">
        <f>+AV16</f>
        <v>323.49123289044002</v>
      </c>
      <c r="IE16" s="116">
        <f>+AY16</f>
        <v>317.96652747968602</v>
      </c>
      <c r="IF16" s="116">
        <f>+BB16</f>
        <v>343.51829000442598</v>
      </c>
      <c r="IG16" s="116">
        <f>+BE16</f>
        <v>309.58081390978998</v>
      </c>
      <c r="IH16" s="116">
        <f>+BH16</f>
        <v>276.235270537735</v>
      </c>
      <c r="II16" s="116">
        <f>+BK16</f>
        <v>308.79157027968199</v>
      </c>
      <c r="IJ16" s="116">
        <f>+BN16</f>
        <v>249.54897029471499</v>
      </c>
      <c r="IK16" s="116">
        <f>+BQ16</f>
        <v>352.051986754967</v>
      </c>
      <c r="IL16" s="116">
        <f>+BT16</f>
        <v>279.68821141945699</v>
      </c>
      <c r="IM16" s="116">
        <f>+BW16</f>
        <v>256.50417978503998</v>
      </c>
      <c r="IN16" s="116">
        <f>+BZ16</f>
        <v>221.87611551405899</v>
      </c>
      <c r="IO16" s="116">
        <f>+CC16</f>
        <v>178.073094043076</v>
      </c>
      <c r="IP16" s="116">
        <f>+CF16</f>
        <v>159.575196462424</v>
      </c>
      <c r="IQ16" s="116">
        <f>+CI16</f>
        <v>145.072844759193</v>
      </c>
      <c r="IR16" s="116">
        <f>+CL16</f>
        <v>121.83948539789399</v>
      </c>
      <c r="IS16" s="116">
        <f>+CO16</f>
        <v>115.77217499144</v>
      </c>
      <c r="IT16" s="116">
        <f>+CR16</f>
        <v>66.888397651637305</v>
      </c>
      <c r="IU16" s="116">
        <f>+CU16</f>
        <v>97.570243772078499</v>
      </c>
      <c r="IV16" s="116">
        <f>+CX16</f>
        <v>124.60183810327101</v>
      </c>
      <c r="IW16" s="116">
        <f>+DA16</f>
        <v>211.46796514201199</v>
      </c>
      <c r="IX16" s="116">
        <f>+DD16</f>
        <v>191.53956348179</v>
      </c>
      <c r="IY16" s="116">
        <f>+DG16</f>
        <v>300.701823071077</v>
      </c>
      <c r="IZ16" s="116">
        <f>+DJ16</f>
        <v>337.45097959797198</v>
      </c>
      <c r="JA16" s="116">
        <f>+DM16</f>
        <v>500.52844466900001</v>
      </c>
      <c r="JB16" s="116">
        <f>+DP16</f>
        <v>610.67725879592103</v>
      </c>
      <c r="JC16" s="116">
        <f>+DS16</f>
        <v>453.963070492638</v>
      </c>
      <c r="JD16" s="116">
        <f>+DV16</f>
        <v>526.03087946685798</v>
      </c>
      <c r="JE16" s="116">
        <f>+DY16</f>
        <v>536.98163483460405</v>
      </c>
      <c r="JF16" s="116">
        <f>+EB16</f>
        <v>561.99079236364503</v>
      </c>
      <c r="JG16" s="116">
        <f>+EE16</f>
        <v>705.28783895509503</v>
      </c>
      <c r="JH16" s="116">
        <f>+EH16</f>
        <v>799.84909138738794</v>
      </c>
      <c r="JI16" s="116">
        <f>+EK16</f>
        <v>818.74161078309396</v>
      </c>
      <c r="JJ16" s="116">
        <f>+EN16</f>
        <v>804.04194817233599</v>
      </c>
      <c r="JK16" s="116">
        <f>EQ16</f>
        <v>1011.81033379822</v>
      </c>
      <c r="JL16" s="116">
        <f>ET16</f>
        <v>907.77815780463197</v>
      </c>
      <c r="JM16" s="116">
        <f>EW16</f>
        <v>872.16353899601597</v>
      </c>
      <c r="JN16" s="116">
        <f>EZ16</f>
        <v>672.28758967121303</v>
      </c>
      <c r="JO16" s="116">
        <f>FC16</f>
        <v>752.93842312285506</v>
      </c>
      <c r="JP16" s="116">
        <f>FF16</f>
        <v>912.5</v>
      </c>
      <c r="JQ16" s="116">
        <f>FI16</f>
        <v>899.15</v>
      </c>
      <c r="JR16" s="116">
        <f>FL16</f>
        <v>729.1</v>
      </c>
      <c r="JS16" s="116">
        <f>FO16</f>
        <v>1254.05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50.018315058082699</v>
      </c>
      <c r="HQ19" s="116">
        <f t="shared" ref="HQ19:JI21" si="1">+IF(HQ14=0,HQ7,HQ14)</f>
        <v>74.978144860242395</v>
      </c>
      <c r="HR19" s="116">
        <f t="shared" si="1"/>
        <v>71.031926709703299</v>
      </c>
      <c r="HS19" s="116">
        <f t="shared" si="1"/>
        <v>56.233608645181803</v>
      </c>
      <c r="HT19" s="116">
        <f t="shared" si="1"/>
        <v>50.264953692491403</v>
      </c>
      <c r="HU19" s="116">
        <f t="shared" si="1"/>
        <v>93.032092898958595</v>
      </c>
      <c r="HV19" s="116">
        <f t="shared" si="1"/>
        <v>157.602087387154</v>
      </c>
      <c r="HW19" s="116">
        <f t="shared" si="1"/>
        <v>197.26157980007201</v>
      </c>
      <c r="HX19" s="116">
        <f t="shared" si="1"/>
        <v>293.99325221516102</v>
      </c>
      <c r="HY19" s="116">
        <f t="shared" si="1"/>
        <v>264.396616086118</v>
      </c>
      <c r="HZ19" s="116">
        <f t="shared" si="1"/>
        <v>366.948960273252</v>
      </c>
      <c r="IA19" s="116">
        <f t="shared" si="1"/>
        <v>419.28567849477599</v>
      </c>
      <c r="IB19" s="116">
        <f t="shared" si="1"/>
        <v>649.15288576367698</v>
      </c>
      <c r="IC19" s="116">
        <f t="shared" si="1"/>
        <v>556.31810377224599</v>
      </c>
      <c r="ID19" s="116">
        <f t="shared" si="1"/>
        <v>483.31306798727297</v>
      </c>
      <c r="IE19" s="116">
        <f t="shared" si="1"/>
        <v>371.93106068830701</v>
      </c>
      <c r="IF19" s="116">
        <f t="shared" si="1"/>
        <v>481.43861436576702</v>
      </c>
      <c r="IG19" s="116">
        <f t="shared" si="1"/>
        <v>365.02517892486401</v>
      </c>
      <c r="IH19" s="116">
        <f t="shared" si="1"/>
        <v>328.52266103237798</v>
      </c>
      <c r="II19" s="116">
        <f t="shared" si="1"/>
        <v>397.58147866681099</v>
      </c>
      <c r="IJ19" s="116">
        <f t="shared" si="1"/>
        <v>335.42854279582099</v>
      </c>
      <c r="IK19" s="116">
        <f t="shared" si="1"/>
        <v>393.58593278939099</v>
      </c>
      <c r="IL19" s="116">
        <f t="shared" si="1"/>
        <v>414.25425035283899</v>
      </c>
      <c r="IM19" s="116">
        <f t="shared" si="1"/>
        <v>317.67056111839503</v>
      </c>
      <c r="IN19" s="116">
        <f t="shared" si="1"/>
        <v>294.97980675279598</v>
      </c>
      <c r="IO19" s="116">
        <f t="shared" si="1"/>
        <v>245.652079871057</v>
      </c>
      <c r="IP19" s="116">
        <f t="shared" si="1"/>
        <v>187.445362150606</v>
      </c>
      <c r="IQ19" s="116">
        <f t="shared" si="1"/>
        <v>182.413934008669</v>
      </c>
      <c r="IR19" s="116">
        <f t="shared" si="1"/>
        <v>149.95628972048499</v>
      </c>
      <c r="IS19" s="116">
        <f t="shared" si="1"/>
        <v>138.11763526886801</v>
      </c>
      <c r="IT19" s="116">
        <f t="shared" si="1"/>
        <v>150.94284425811901</v>
      </c>
      <c r="IU19" s="116">
        <f t="shared" si="1"/>
        <v>110.198141853804</v>
      </c>
      <c r="IV19" s="116">
        <f t="shared" si="1"/>
        <v>170.673935010815</v>
      </c>
      <c r="IW19" s="116">
        <f t="shared" si="1"/>
        <v>237.80897129686099</v>
      </c>
      <c r="IX19" s="116">
        <f t="shared" si="1"/>
        <v>251.07812982804799</v>
      </c>
      <c r="IY19" s="116">
        <f t="shared" si="1"/>
        <v>310.666023901188</v>
      </c>
      <c r="IZ19" s="116">
        <f t="shared" si="1"/>
        <v>409.42013311842902</v>
      </c>
      <c r="JA19" s="116">
        <f t="shared" si="1"/>
        <v>512.95903184319798</v>
      </c>
      <c r="JB19" s="116">
        <f t="shared" si="1"/>
        <v>689.60162180670295</v>
      </c>
      <c r="JC19" s="116">
        <f t="shared" si="1"/>
        <v>738.23876051209697</v>
      </c>
      <c r="JD19" s="116">
        <f t="shared" si="1"/>
        <v>570.08053957225104</v>
      </c>
      <c r="JE19" s="116">
        <f t="shared" si="1"/>
        <v>629.42179501098201</v>
      </c>
      <c r="JF19" s="116">
        <f t="shared" si="1"/>
        <v>625.27826595291594</v>
      </c>
      <c r="JG19" s="116">
        <f t="shared" si="1"/>
        <v>766.55287574221495</v>
      </c>
      <c r="JH19" s="116">
        <f t="shared" si="1"/>
        <v>1026.0167191401599</v>
      </c>
      <c r="JI19" s="116">
        <f t="shared" si="1"/>
        <v>873.10076580677003</v>
      </c>
      <c r="JJ19" s="116">
        <f t="shared" ref="JJ19:JJ21" si="2">+IF(JJ14=0,JJ7,JJ14)</f>
        <v>1033.90915544124</v>
      </c>
      <c r="JK19" s="116">
        <f t="shared" ref="JK19" si="3">+IF(JK14=0,JK7,JK14)</f>
        <v>1061.9766320369499</v>
      </c>
      <c r="JL19" s="116">
        <f t="shared" ref="JL19:JM19" si="4">+IF(JL14=0,JL7,JL14)</f>
        <v>1109.87385483911</v>
      </c>
      <c r="JM19" s="116">
        <f t="shared" si="4"/>
        <v>1064.5910015616801</v>
      </c>
      <c r="JN19" s="116">
        <f t="shared" ref="JN19:JO19" si="5">+IF(JN14=0,JN7,JN14)</f>
        <v>924.40160176377697</v>
      </c>
      <c r="JO19" s="116">
        <f t="shared" si="5"/>
        <v>863.23522043042203</v>
      </c>
      <c r="JP19" s="116">
        <f t="shared" ref="JP19" si="6">+IF(JP14=0,JP7,JP14)</f>
        <v>1137.49738189289</v>
      </c>
      <c r="JQ19" s="116">
        <f t="shared" ref="JQ19:KH19" si="7">+IF(JQ14=0,JQ7,JQ14)</f>
        <v>1213.95</v>
      </c>
      <c r="JR19" s="116">
        <f t="shared" si="7"/>
        <v>925</v>
      </c>
      <c r="JS19" s="116">
        <f t="shared" si="7"/>
        <v>1299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27.6235270537735</v>
      </c>
      <c r="HQ20" s="116">
        <f t="shared" si="8"/>
        <v>46.8613405376515</v>
      </c>
      <c r="HR20" s="116">
        <f t="shared" si="8"/>
        <v>48.341172344103597</v>
      </c>
      <c r="HS20" s="116">
        <f t="shared" si="8"/>
        <v>39.560836959154202</v>
      </c>
      <c r="HT20" s="116">
        <f t="shared" si="8"/>
        <v>40.004786501089797</v>
      </c>
      <c r="HU20" s="116">
        <f t="shared" si="8"/>
        <v>39.412853778509003</v>
      </c>
      <c r="HV20" s="116">
        <f t="shared" si="8"/>
        <v>82.969236615084</v>
      </c>
      <c r="HW20" s="116">
        <f t="shared" si="8"/>
        <v>142.21183660005201</v>
      </c>
      <c r="HX20" s="116">
        <f t="shared" si="8"/>
        <v>156.270238761347</v>
      </c>
      <c r="HY20" s="116">
        <f t="shared" si="8"/>
        <v>182.56191718931399</v>
      </c>
      <c r="HZ20" s="116">
        <f t="shared" si="8"/>
        <v>228.880652731266</v>
      </c>
      <c r="IA20" s="116">
        <f t="shared" si="8"/>
        <v>315.598796589362</v>
      </c>
      <c r="IB20" s="116">
        <f t="shared" si="8"/>
        <v>337.50030732485402</v>
      </c>
      <c r="IC20" s="116">
        <f t="shared" si="8"/>
        <v>385.74282421519399</v>
      </c>
      <c r="ID20" s="116">
        <f t="shared" si="8"/>
        <v>282.64787503236101</v>
      </c>
      <c r="IE20" s="116">
        <f t="shared" si="8"/>
        <v>295.96636129042997</v>
      </c>
      <c r="IF20" s="116">
        <f t="shared" si="1"/>
        <v>309.77812481731701</v>
      </c>
      <c r="IG20" s="116">
        <f t="shared" si="1"/>
        <v>277.61644689042402</v>
      </c>
      <c r="IH20" s="116">
        <f t="shared" si="1"/>
        <v>241.70586172051799</v>
      </c>
      <c r="II20" s="116">
        <f t="shared" si="1"/>
        <v>270.01997695063602</v>
      </c>
      <c r="IJ20" s="116">
        <f t="shared" si="1"/>
        <v>236.77308903234399</v>
      </c>
      <c r="IK20" s="116">
        <f t="shared" si="1"/>
        <v>237.80897129686099</v>
      </c>
      <c r="IL20" s="116">
        <f t="shared" si="1"/>
        <v>260.64770884310599</v>
      </c>
      <c r="IM20" s="116">
        <f t="shared" si="1"/>
        <v>234.79997995707501</v>
      </c>
      <c r="IN20" s="116">
        <f t="shared" si="1"/>
        <v>219.015107354918</v>
      </c>
      <c r="IO20" s="116">
        <f t="shared" si="1"/>
        <v>165.88914550328599</v>
      </c>
      <c r="IP20" s="116">
        <f t="shared" si="1"/>
        <v>130.32385442155299</v>
      </c>
      <c r="IQ20" s="116">
        <f t="shared" si="1"/>
        <v>128.35074534628299</v>
      </c>
      <c r="IR20" s="116">
        <f t="shared" si="1"/>
        <v>115.525536357031</v>
      </c>
      <c r="IS20" s="116">
        <f t="shared" si="1"/>
        <v>102.60167191401599</v>
      </c>
      <c r="IT20" s="116">
        <f t="shared" si="1"/>
        <v>62.152935870990397</v>
      </c>
      <c r="IU20" s="116">
        <f t="shared" si="1"/>
        <v>69.946716718304998</v>
      </c>
      <c r="IV20" s="116">
        <f t="shared" si="1"/>
        <v>97.915537860250694</v>
      </c>
      <c r="IW20" s="116">
        <f t="shared" si="1"/>
        <v>115.426880903268</v>
      </c>
      <c r="IX20" s="116">
        <f t="shared" si="1"/>
        <v>182.512589462432</v>
      </c>
      <c r="IY20" s="116">
        <f t="shared" si="1"/>
        <v>190.45435349039201</v>
      </c>
      <c r="IZ20" s="116">
        <f t="shared" si="1"/>
        <v>292.11879859365501</v>
      </c>
      <c r="JA20" s="116">
        <f t="shared" si="1"/>
        <v>291.03358860225597</v>
      </c>
      <c r="JB20" s="116">
        <f t="shared" si="1"/>
        <v>404.48736043025502</v>
      </c>
      <c r="JC20" s="116">
        <f t="shared" si="1"/>
        <v>372.91761522594197</v>
      </c>
      <c r="JD20" s="116">
        <f t="shared" si="1"/>
        <v>419.28567849477599</v>
      </c>
      <c r="JE20" s="116">
        <f t="shared" si="1"/>
        <v>483.41172344103597</v>
      </c>
      <c r="JF20" s="116">
        <f t="shared" si="1"/>
        <v>445.18273510768898</v>
      </c>
      <c r="JG20" s="116">
        <f t="shared" si="1"/>
        <v>514.09356956147803</v>
      </c>
      <c r="JH20" s="116">
        <f t="shared" si="1"/>
        <v>664.93775836583302</v>
      </c>
      <c r="JI20" s="116">
        <f t="shared" si="1"/>
        <v>720.18481247338002</v>
      </c>
      <c r="JJ20" s="116">
        <f t="shared" si="2"/>
        <v>742.87556683898003</v>
      </c>
      <c r="JK20" s="116">
        <f t="shared" ref="JK20" si="9">+IF(JK15=0,JK8,JK15)</f>
        <v>720.38212338090796</v>
      </c>
      <c r="JL20" s="116">
        <f t="shared" ref="JL20:JM20" si="10">+IF(JL15=0,JL8,JL15)</f>
        <v>882.966311183117</v>
      </c>
      <c r="JM20" s="116">
        <f t="shared" si="10"/>
        <v>833.63858430137896</v>
      </c>
      <c r="JN20" s="116">
        <f t="shared" ref="JN20:JO20" si="11">+IF(JN15=0,JN8,JN15)</f>
        <v>583.20171492279303</v>
      </c>
      <c r="JO20" s="116">
        <f t="shared" si="11"/>
        <v>692.758596327134</v>
      </c>
      <c r="JP20" s="116">
        <f t="shared" ref="JP20" si="12">+IF(JP15=0,JP8,JP15)</f>
        <v>726.40010606047997</v>
      </c>
      <c r="JQ20" s="116">
        <f t="shared" ref="JQ20:KH20" si="13">+IF(JQ15=0,JQ8,JQ15)</f>
        <v>875</v>
      </c>
      <c r="JR20" s="116">
        <f t="shared" si="13"/>
        <v>721.05</v>
      </c>
      <c r="JS20" s="116">
        <f t="shared" si="13"/>
        <v>729.1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48.143861436576699</v>
      </c>
      <c r="HQ21" s="116">
        <f t="shared" si="1"/>
        <v>63.583439950560802</v>
      </c>
      <c r="HR21" s="116">
        <f t="shared" si="1"/>
        <v>50.708903234427098</v>
      </c>
      <c r="HS21" s="116">
        <f t="shared" si="1"/>
        <v>49.081088247329703</v>
      </c>
      <c r="HT21" s="116">
        <f t="shared" si="1"/>
        <v>40.547391496788997</v>
      </c>
      <c r="HU21" s="116">
        <f t="shared" si="1"/>
        <v>93.032092898958595</v>
      </c>
      <c r="HV21" s="116">
        <f t="shared" si="1"/>
        <v>157.602087387154</v>
      </c>
      <c r="HW21" s="116">
        <f t="shared" si="1"/>
        <v>160.265784638768</v>
      </c>
      <c r="HX21" s="116">
        <f t="shared" si="1"/>
        <v>241.557878539873</v>
      </c>
      <c r="HY21" s="116">
        <f t="shared" si="1"/>
        <v>234.060064053849</v>
      </c>
      <c r="HZ21" s="116">
        <f t="shared" si="1"/>
        <v>310.96199026247899</v>
      </c>
      <c r="IA21" s="116">
        <f t="shared" si="1"/>
        <v>338.78282822377901</v>
      </c>
      <c r="IB21" s="116">
        <f t="shared" si="1"/>
        <v>486.37138705394102</v>
      </c>
      <c r="IC21" s="116">
        <f t="shared" si="1"/>
        <v>471.07979172060197</v>
      </c>
      <c r="ID21" s="116">
        <f t="shared" si="1"/>
        <v>323.49123289044002</v>
      </c>
      <c r="IE21" s="116">
        <f t="shared" si="1"/>
        <v>317.96652747968602</v>
      </c>
      <c r="IF21" s="116">
        <f t="shared" si="1"/>
        <v>343.51829000442598</v>
      </c>
      <c r="IG21" s="116">
        <f t="shared" si="1"/>
        <v>309.58081390978998</v>
      </c>
      <c r="IH21" s="116">
        <f t="shared" si="1"/>
        <v>276.235270537735</v>
      </c>
      <c r="II21" s="116">
        <f t="shared" si="1"/>
        <v>308.79157027968199</v>
      </c>
      <c r="IJ21" s="116">
        <f t="shared" si="1"/>
        <v>249.54897029471499</v>
      </c>
      <c r="IK21" s="116">
        <f t="shared" si="1"/>
        <v>352.051986754967</v>
      </c>
      <c r="IL21" s="116">
        <f t="shared" si="1"/>
        <v>279.68821141945699</v>
      </c>
      <c r="IM21" s="116">
        <f t="shared" si="1"/>
        <v>256.50417978503998</v>
      </c>
      <c r="IN21" s="116">
        <f t="shared" si="1"/>
        <v>221.87611551405899</v>
      </c>
      <c r="IO21" s="116">
        <f t="shared" si="1"/>
        <v>178.073094043076</v>
      </c>
      <c r="IP21" s="116">
        <f t="shared" si="1"/>
        <v>159.575196462424</v>
      </c>
      <c r="IQ21" s="116">
        <f t="shared" si="1"/>
        <v>145.072844759193</v>
      </c>
      <c r="IR21" s="116">
        <f t="shared" si="1"/>
        <v>121.83948539789399</v>
      </c>
      <c r="IS21" s="116">
        <f t="shared" si="1"/>
        <v>115.77217499144</v>
      </c>
      <c r="IT21" s="116">
        <f t="shared" si="1"/>
        <v>66.888397651637305</v>
      </c>
      <c r="IU21" s="116">
        <f t="shared" si="1"/>
        <v>97.570243772078499</v>
      </c>
      <c r="IV21" s="116">
        <f t="shared" si="1"/>
        <v>124.60183810327101</v>
      </c>
      <c r="IW21" s="116">
        <f t="shared" si="1"/>
        <v>211.46796514201199</v>
      </c>
      <c r="IX21" s="116">
        <f t="shared" si="1"/>
        <v>191.53956348179</v>
      </c>
      <c r="IY21" s="116">
        <f t="shared" si="1"/>
        <v>300.701823071077</v>
      </c>
      <c r="IZ21" s="116">
        <f t="shared" si="1"/>
        <v>337.45097959797198</v>
      </c>
      <c r="JA21" s="116">
        <f t="shared" si="1"/>
        <v>500.52844466900001</v>
      </c>
      <c r="JB21" s="116">
        <f t="shared" si="1"/>
        <v>610.67725879592103</v>
      </c>
      <c r="JC21" s="116">
        <f t="shared" si="1"/>
        <v>453.963070492638</v>
      </c>
      <c r="JD21" s="116">
        <f t="shared" si="1"/>
        <v>526.03087946685798</v>
      </c>
      <c r="JE21" s="116">
        <f t="shared" si="1"/>
        <v>536.98163483460405</v>
      </c>
      <c r="JF21" s="116">
        <f t="shared" si="1"/>
        <v>561.99079236364503</v>
      </c>
      <c r="JG21" s="116">
        <f t="shared" si="1"/>
        <v>705.28783895509503</v>
      </c>
      <c r="JH21" s="116">
        <f t="shared" si="1"/>
        <v>799.84909138738794</v>
      </c>
      <c r="JI21" s="116">
        <f t="shared" si="1"/>
        <v>818.74161078309396</v>
      </c>
      <c r="JJ21" s="116">
        <f t="shared" si="2"/>
        <v>804.04194817233599</v>
      </c>
      <c r="JK21" s="116">
        <f t="shared" ref="JK21" si="14">+IF(JK16=0,JK9,JK16)</f>
        <v>1011.81033379822</v>
      </c>
      <c r="JL21" s="116">
        <f t="shared" ref="JL21:JM21" si="15">+IF(JL16=0,JL9,JL16)</f>
        <v>907.77815780463197</v>
      </c>
      <c r="JM21" s="116">
        <f t="shared" si="15"/>
        <v>872.16353899601597</v>
      </c>
      <c r="JN21" s="116">
        <f t="shared" ref="JN21:JO21" si="16">+IF(JN16=0,JN9,JN16)</f>
        <v>672.28758967121303</v>
      </c>
      <c r="JO21" s="116">
        <f t="shared" si="16"/>
        <v>752.93842312285506</v>
      </c>
      <c r="JP21" s="116">
        <f t="shared" ref="JP21" si="17">+IF(JP16=0,JP9,JP16)</f>
        <v>912.5</v>
      </c>
      <c r="JQ21" s="116">
        <f t="shared" ref="JQ21:KH21" si="18">+IF(JQ16=0,JQ9,JQ16)</f>
        <v>899.15</v>
      </c>
      <c r="JR21" s="116">
        <f t="shared" si="18"/>
        <v>729.1</v>
      </c>
      <c r="JS21" s="116">
        <f t="shared" si="18"/>
        <v>1254.05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130845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7353060</v>
      </c>
      <c r="D6" cm="1">
        <f t="array" ref="D6">_xll.EQNXTDZ($A$1,$B6,D$1)</f>
        <v>7353060</v>
      </c>
      <c r="E6" cm="1">
        <f t="array" ref="E6">_xll.EQNXTDZ($A$1,$B6,E$1)</f>
        <v>7353060</v>
      </c>
      <c r="F6" cm="1">
        <f t="array" ref="F6">_xll.EQNXTDZ($A$1,$B6,F$1)</f>
        <v>7353060</v>
      </c>
      <c r="G6" cm="1">
        <f t="array" ref="G6">_xll.EQNXTDZ($A$1,$B6,G$1)</f>
        <v>7353060</v>
      </c>
      <c r="H6" cm="1">
        <f t="array" ref="H6">_xll.EQNXTDZ($A$1,$B6,H$1)</f>
        <v>7353060</v>
      </c>
      <c r="I6" cm="1">
        <f t="array" ref="I6">_xll.EQNXTDZ($A$1,$B6,I$1)</f>
        <v>7353060</v>
      </c>
      <c r="J6" cm="1">
        <f t="array" ref="J6">_xll.EQNXTDZ($A$1,$B6,J$1)</f>
        <v>7353060</v>
      </c>
      <c r="K6" cm="1">
        <f t="array" ref="K6">_xll.EQNXTDZ($A$1,$B6,K$1)</f>
        <v>7353060</v>
      </c>
      <c r="L6" cm="1">
        <f t="array" ref="L6">_xll.EQNXTDZ($A$1,$B6,L$1)</f>
        <v>7353060</v>
      </c>
      <c r="M6" cm="1">
        <f t="array" ref="M6">_xll.EQNXTDZ($A$1,$B6,M$1)</f>
        <v>7353060</v>
      </c>
      <c r="N6" cm="1">
        <f t="array" ref="N6">_xll.EQNXTDZ($A$1,$B6,N$1)</f>
        <v>7353060</v>
      </c>
      <c r="O6" cm="1">
        <f t="array" ref="O6">_xll.EQNXTDZ($A$1,$B6,O$1)</f>
        <v>7353060</v>
      </c>
      <c r="P6" cm="1">
        <f t="array" ref="P6">_xll.EQNXTDZ($A$1,$B6,P$1)</f>
        <v>7353060</v>
      </c>
      <c r="Q6" cm="1">
        <f t="array" ref="Q6">_xll.EQNXTDZ($A$1,$B6,Q$1)</f>
        <v>7353060</v>
      </c>
      <c r="R6" cm="1">
        <f t="array" ref="R6">_xll.EQNXTDZ($A$1,$B6,R$1)</f>
        <v>7353060</v>
      </c>
      <c r="S6" cm="1">
        <f t="array" ref="S6">_xll.EQNXTDZ($A$1,$B6,S$1)</f>
        <v>7353060</v>
      </c>
      <c r="T6" cm="1">
        <f t="array" ref="T6">_xll.EQNXTDZ($A$1,$B6,T$1)</f>
        <v>7353060</v>
      </c>
      <c r="U6" cm="1">
        <f t="array" ref="U6">_xll.EQNXTDZ($A$1,$B6,U$1)</f>
        <v>7353060</v>
      </c>
      <c r="V6" cm="1">
        <f t="array" ref="V6">_xll.EQNXTDZ($A$1,$B6,V$1)</f>
        <v>7353060</v>
      </c>
      <c r="W6" cm="1">
        <f t="array" ref="W6">_xll.EQNXTDZ($A$1,$B6,W$1)</f>
        <v>7353060</v>
      </c>
      <c r="X6" cm="1">
        <f t="array" ref="X6">_xll.EQNXTDZ($A$1,$B6,X$1)</f>
        <v>7353060</v>
      </c>
      <c r="Y6" cm="1">
        <f t="array" ref="Y6">_xll.EQNXTDZ($A$1,$B6,Y$1)</f>
        <v>7353060</v>
      </c>
      <c r="Z6" cm="1">
        <f t="array" ref="Z6">_xll.EQNXTDZ($A$1,$B6,Z$1)</f>
        <v>7353060</v>
      </c>
      <c r="AA6" cm="1">
        <f t="array" ref="AA6">_xll.EQNXTDZ($A$1,$B6,AA$1)</f>
        <v>7353060</v>
      </c>
      <c r="AB6" cm="1">
        <f t="array" ref="AB6">_xll.EQNXTDZ($A$1,$B6,AB$1)</f>
        <v>7353060</v>
      </c>
      <c r="AC6" cm="1">
        <f t="array" ref="AC6">_xll.EQNXTDZ($A$1,$B6,AC$1)</f>
        <v>7353060</v>
      </c>
      <c r="AD6" cm="1">
        <f t="array" ref="AD6">_xll.EQNXTDZ($A$1,$B6,AD$1)</f>
        <v>7353060</v>
      </c>
      <c r="AE6" cm="1">
        <f t="array" ref="AE6">_xll.EQNXTDZ($A$1,$B6,AE$1)</f>
        <v>7353060</v>
      </c>
      <c r="AF6" cm="1">
        <f t="array" ref="AF6">_xll.EQNXTDZ($A$1,$B6,AF$1)</f>
        <v>7353060</v>
      </c>
      <c r="AG6" cm="1">
        <f t="array" ref="AG6">_xll.EQNXTDZ($A$1,$B6,AG$1)</f>
        <v>7353060</v>
      </c>
      <c r="AH6" cm="1">
        <f t="array" ref="AH6">_xll.EQNXTDZ($A$1,$B6,AH$1)</f>
        <v>7353060</v>
      </c>
      <c r="AI6" cm="1">
        <f t="array" ref="AI6">_xll.EQNXTDZ($A$1,$B6,AI$1)</f>
        <v>7353060</v>
      </c>
      <c r="AJ6" cm="1">
        <f t="array" ref="AJ6">_xll.EQNXTDZ($A$1,$B6,AJ$1)</f>
        <v>7353060</v>
      </c>
      <c r="AK6" cm="1">
        <f t="array" ref="AK6">_xll.EQNXTDZ($A$1,$B6,AK$1)</f>
        <v>7353060</v>
      </c>
      <c r="AL6" cm="1">
        <f t="array" ref="AL6">_xll.EQNXTDZ($A$1,$B6,AL$1)</f>
        <v>7353060</v>
      </c>
      <c r="AM6" cm="1">
        <f t="array" ref="AM6">_xll.EQNXTDZ($A$1,$B6,AM$1)</f>
        <v>7353060</v>
      </c>
      <c r="AN6" cm="1">
        <f t="array" ref="AN6">_xll.EQNXTDZ($A$1,$B6,AN$1)</f>
        <v>7353060</v>
      </c>
      <c r="AO6" cm="1">
        <f t="array" ref="AO6">_xll.EQNXTDZ($A$1,$B6,AO$1)</f>
        <v>7353060</v>
      </c>
      <c r="AP6" cm="1">
        <f t="array" ref="AP6">_xll.EQNXTDZ($A$1,$B6,AP$1)</f>
        <v>7353060</v>
      </c>
      <c r="AQ6" cm="1">
        <f t="array" ref="AQ6">_xll.EQNXTDZ($A$1,$B6,AQ$1)</f>
        <v>7353060</v>
      </c>
      <c r="AR6" cm="1">
        <f t="array" ref="AR6">_xll.EQNXTDZ($A$1,$B6,AR$1)</f>
        <v>7353060</v>
      </c>
      <c r="AS6" cm="1">
        <f t="array" ref="AS6">_xll.EQNXTDZ($A$1,$B6,AS$1)</f>
        <v>7353060</v>
      </c>
      <c r="AT6" cm="1">
        <f t="array" ref="AT6">_xll.EQNXTDZ($A$1,$B6,AT$1)</f>
        <v>7353060</v>
      </c>
      <c r="AU6" cm="1">
        <f t="array" ref="AU6">_xll.EQNXTDZ($A$1,$B6,AU$1)</f>
        <v>7353060</v>
      </c>
      <c r="AV6" cm="1">
        <f t="array" ref="AV6">_xll.EQNXTDZ($A$1,$B6,AV$1)</f>
        <v>7353060</v>
      </c>
      <c r="AW6" cm="1">
        <f t="array" ref="AW6">_xll.EQNXTDZ($A$1,$B6,AW$1)</f>
        <v>7353060</v>
      </c>
      <c r="AX6" cm="1">
        <f t="array" ref="AX6">_xll.EQNXTDZ($A$1,$B6,AX$1)</f>
        <v>7353060</v>
      </c>
      <c r="AY6" cm="1">
        <f t="array" ref="AY6">_xll.EQNXTDZ($A$1,$B6,AY$1)</f>
        <v>7353060</v>
      </c>
    </row>
    <row r="7" spans="1:51" x14ac:dyDescent="0.25">
      <c r="B7" t="s">
        <v>429</v>
      </c>
      <c r="C7" s="100">
        <f>+C6/10^7</f>
        <v>0.73530600000000002</v>
      </c>
      <c r="D7" s="100">
        <f t="shared" ref="D7:X7" si="0">+D6/10^7</f>
        <v>0.73530600000000002</v>
      </c>
      <c r="E7" s="100">
        <f t="shared" si="0"/>
        <v>0.73530600000000002</v>
      </c>
      <c r="F7" s="100">
        <f t="shared" si="0"/>
        <v>0.73530600000000002</v>
      </c>
      <c r="G7" s="100">
        <f t="shared" si="0"/>
        <v>0.73530600000000002</v>
      </c>
      <c r="H7" s="100">
        <f t="shared" si="0"/>
        <v>0.73530600000000002</v>
      </c>
      <c r="I7" s="100">
        <f t="shared" si="0"/>
        <v>0.73530600000000002</v>
      </c>
      <c r="J7" s="100">
        <f t="shared" si="0"/>
        <v>0.73530600000000002</v>
      </c>
      <c r="K7" s="100">
        <f t="shared" si="0"/>
        <v>0.73530600000000002</v>
      </c>
      <c r="L7" s="100">
        <f t="shared" si="0"/>
        <v>0.73530600000000002</v>
      </c>
      <c r="M7" s="100">
        <f t="shared" si="0"/>
        <v>0.73530600000000002</v>
      </c>
      <c r="N7" s="100">
        <f t="shared" si="0"/>
        <v>0.73530600000000002</v>
      </c>
      <c r="O7" s="100">
        <f t="shared" si="0"/>
        <v>0.73530600000000002</v>
      </c>
      <c r="P7" s="100">
        <f t="shared" si="0"/>
        <v>0.73530600000000002</v>
      </c>
      <c r="Q7" s="100">
        <f t="shared" si="0"/>
        <v>0.73530600000000002</v>
      </c>
      <c r="R7" s="100">
        <f t="shared" si="0"/>
        <v>0.73530600000000002</v>
      </c>
      <c r="S7" s="100">
        <f t="shared" si="0"/>
        <v>0.73530600000000002</v>
      </c>
      <c r="T7" s="100">
        <f t="shared" si="0"/>
        <v>0.73530600000000002</v>
      </c>
      <c r="U7" s="100">
        <f t="shared" si="0"/>
        <v>0.73530600000000002</v>
      </c>
      <c r="V7" s="100">
        <f t="shared" si="0"/>
        <v>0.73530600000000002</v>
      </c>
      <c r="W7" s="100">
        <f t="shared" si="0"/>
        <v>0.73530600000000002</v>
      </c>
      <c r="X7" s="100">
        <f t="shared" si="0"/>
        <v>0.73530600000000002</v>
      </c>
      <c r="Y7" s="100">
        <f t="shared" ref="Y7:AS7" si="1">+Y6/10^7</f>
        <v>0.73530600000000002</v>
      </c>
      <c r="Z7" s="100">
        <f t="shared" si="1"/>
        <v>0.73530600000000002</v>
      </c>
      <c r="AA7" s="100">
        <f t="shared" si="1"/>
        <v>0.73530600000000002</v>
      </c>
      <c r="AB7" s="100">
        <f t="shared" si="1"/>
        <v>0.73530600000000002</v>
      </c>
      <c r="AC7" s="100">
        <f t="shared" si="1"/>
        <v>0.73530600000000002</v>
      </c>
      <c r="AD7" s="100">
        <f t="shared" si="1"/>
        <v>0.73530600000000002</v>
      </c>
      <c r="AE7" s="100">
        <f t="shared" si="1"/>
        <v>0.73530600000000002</v>
      </c>
      <c r="AF7" s="100">
        <f t="shared" si="1"/>
        <v>0.73530600000000002</v>
      </c>
      <c r="AG7" s="100">
        <f t="shared" si="1"/>
        <v>0.73530600000000002</v>
      </c>
      <c r="AH7" s="100">
        <f t="shared" si="1"/>
        <v>0.73530600000000002</v>
      </c>
      <c r="AI7" s="100">
        <f t="shared" si="1"/>
        <v>0.73530600000000002</v>
      </c>
      <c r="AJ7" s="100">
        <f t="shared" si="1"/>
        <v>0.73530600000000002</v>
      </c>
      <c r="AK7" s="100">
        <f t="shared" si="1"/>
        <v>0.73530600000000002</v>
      </c>
      <c r="AL7" s="100">
        <f t="shared" si="1"/>
        <v>0.73530600000000002</v>
      </c>
      <c r="AM7" s="100">
        <f t="shared" si="1"/>
        <v>0.73530600000000002</v>
      </c>
      <c r="AN7" s="100">
        <f t="shared" si="1"/>
        <v>0.73530600000000002</v>
      </c>
      <c r="AO7" s="100">
        <f t="shared" si="1"/>
        <v>0.73530600000000002</v>
      </c>
      <c r="AP7" s="100">
        <f t="shared" si="1"/>
        <v>0.73530600000000002</v>
      </c>
      <c r="AQ7" s="100">
        <f t="shared" si="1"/>
        <v>0.73530600000000002</v>
      </c>
      <c r="AR7" s="100">
        <f t="shared" si="1"/>
        <v>0.73530600000000002</v>
      </c>
      <c r="AS7" s="100">
        <f t="shared" si="1"/>
        <v>0.73530600000000002</v>
      </c>
      <c r="AT7" s="100">
        <f t="shared" ref="AT7:AX7" si="2">+AT6/10^7</f>
        <v>0.73530600000000002</v>
      </c>
      <c r="AU7" s="100">
        <f t="shared" si="2"/>
        <v>0.73530600000000002</v>
      </c>
      <c r="AV7" s="100">
        <f t="shared" si="2"/>
        <v>0.73530600000000002</v>
      </c>
      <c r="AW7" s="100">
        <f t="shared" si="2"/>
        <v>0.73530600000000002</v>
      </c>
      <c r="AX7" s="100">
        <f t="shared" si="2"/>
        <v>0.73530600000000002</v>
      </c>
      <c r="AY7" s="100">
        <f t="shared" ref="AY7" si="3">+AY6/10^7</f>
        <v>0.73530600000000002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130845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264.10064972482701</v>
      </c>
      <c r="C4" s="116">
        <v>259.41451567106202</v>
      </c>
      <c r="D4" s="116">
        <v>228.880652731266</v>
      </c>
      <c r="E4" s="116">
        <v>236.77308903234399</v>
      </c>
      <c r="F4" s="116">
        <v>262.95</v>
      </c>
      <c r="G4">
        <v>27917</v>
      </c>
      <c r="H4" s="116"/>
      <c r="I4" s="116"/>
      <c r="L4" s="170"/>
    </row>
    <row r="5" spans="1:18" x14ac:dyDescent="0.25">
      <c r="A5" s="170">
        <v>42006</v>
      </c>
      <c r="B5" s="116">
        <v>289.504429068923</v>
      </c>
      <c r="C5" s="116">
        <v>266.51770834203302</v>
      </c>
      <c r="D5" s="116">
        <v>257.54006204955601</v>
      </c>
      <c r="E5" s="116">
        <v>270.71056512697999</v>
      </c>
      <c r="F5" s="116">
        <v>270.14999999999998</v>
      </c>
      <c r="G5">
        <v>17509</v>
      </c>
      <c r="H5" s="116"/>
      <c r="I5" s="116"/>
      <c r="L5" s="170"/>
    </row>
    <row r="6" spans="1:18" x14ac:dyDescent="0.25">
      <c r="A6" s="170">
        <v>42009</v>
      </c>
      <c r="B6" s="116">
        <v>280.77342141085501</v>
      </c>
      <c r="C6" s="116">
        <v>270.71056512697999</v>
      </c>
      <c r="D6" s="116">
        <v>265.38317062375302</v>
      </c>
      <c r="E6" s="116">
        <v>280.77342141085501</v>
      </c>
      <c r="F6" s="116">
        <v>274.39999999999998</v>
      </c>
      <c r="G6">
        <v>5990</v>
      </c>
      <c r="H6" s="116"/>
      <c r="I6" s="116"/>
      <c r="L6" s="170"/>
    </row>
    <row r="7" spans="1:18" x14ac:dyDescent="0.25">
      <c r="A7" s="170">
        <v>42010</v>
      </c>
      <c r="B7" s="116">
        <v>280.87207686461801</v>
      </c>
      <c r="C7" s="116">
        <v>259.56249885170701</v>
      </c>
      <c r="D7" s="116">
        <v>256.50417978503998</v>
      </c>
      <c r="E7" s="116">
        <v>280.87207686461801</v>
      </c>
      <c r="F7" s="116">
        <v>263.10000000000002</v>
      </c>
      <c r="G7">
        <v>6105</v>
      </c>
      <c r="H7" s="116"/>
      <c r="I7" s="116"/>
      <c r="L7" s="170"/>
    </row>
    <row r="8" spans="1:18" x14ac:dyDescent="0.25">
      <c r="A8" s="170">
        <v>42011</v>
      </c>
      <c r="B8" s="116">
        <v>271.30249784956101</v>
      </c>
      <c r="C8" s="116">
        <v>260.20375930117001</v>
      </c>
      <c r="D8" s="116">
        <v>256.50417978503998</v>
      </c>
      <c r="E8" s="116">
        <v>271.30249784956101</v>
      </c>
      <c r="F8" s="116">
        <v>263.75</v>
      </c>
      <c r="G8">
        <v>2712</v>
      </c>
      <c r="H8" s="116"/>
      <c r="I8" s="116"/>
      <c r="L8" s="170"/>
    </row>
    <row r="9" spans="1:18" x14ac:dyDescent="0.25">
      <c r="A9" s="170">
        <v>42012</v>
      </c>
      <c r="B9" s="116">
        <v>270.31594331192599</v>
      </c>
      <c r="C9" s="116">
        <v>268.88543923235602</v>
      </c>
      <c r="D9" s="116">
        <v>258.57594431407301</v>
      </c>
      <c r="E9" s="116">
        <v>258.62527204095397</v>
      </c>
      <c r="F9" s="116">
        <v>272.55</v>
      </c>
      <c r="G9">
        <v>3175</v>
      </c>
      <c r="H9" s="116"/>
      <c r="I9" s="116"/>
      <c r="L9" s="170"/>
    </row>
    <row r="10" spans="1:18" x14ac:dyDescent="0.25">
      <c r="A10" s="170">
        <v>42013</v>
      </c>
      <c r="B10" s="116">
        <v>310.76467935495202</v>
      </c>
      <c r="C10" s="116">
        <v>301.096444886131</v>
      </c>
      <c r="D10" s="116">
        <v>264.495271539881</v>
      </c>
      <c r="E10" s="116">
        <v>266.51770834203302</v>
      </c>
      <c r="F10" s="116">
        <v>305.2</v>
      </c>
      <c r="G10">
        <v>32639</v>
      </c>
      <c r="H10" s="116"/>
      <c r="I10" s="116"/>
      <c r="L10" s="170"/>
    </row>
    <row r="11" spans="1:18" x14ac:dyDescent="0.25">
      <c r="A11" s="170">
        <v>42016</v>
      </c>
      <c r="B11" s="116">
        <v>320.67955245818098</v>
      </c>
      <c r="C11" s="116">
        <v>312.68846070334001</v>
      </c>
      <c r="D11" s="116">
        <v>301.096444886131</v>
      </c>
      <c r="E11" s="116">
        <v>301.096444886131</v>
      </c>
      <c r="F11" s="116">
        <v>316.95</v>
      </c>
      <c r="G11">
        <v>21502</v>
      </c>
      <c r="H11" s="116"/>
      <c r="I11" s="116"/>
      <c r="L11" s="170"/>
    </row>
    <row r="12" spans="1:18" x14ac:dyDescent="0.25">
      <c r="A12" s="170">
        <v>42017</v>
      </c>
      <c r="B12" s="116">
        <v>335.42854279582099</v>
      </c>
      <c r="C12" s="116">
        <v>322.25803971839701</v>
      </c>
      <c r="D12" s="116">
        <v>305.88123439366001</v>
      </c>
      <c r="E12" s="116">
        <v>323.58988834420398</v>
      </c>
      <c r="F12" s="116">
        <v>326.64999999999998</v>
      </c>
      <c r="G12">
        <v>20045</v>
      </c>
      <c r="H12" s="116"/>
      <c r="I12" s="116"/>
      <c r="L12" s="170"/>
    </row>
    <row r="13" spans="1:18" x14ac:dyDescent="0.25">
      <c r="A13" s="170">
        <v>42018</v>
      </c>
      <c r="B13" s="116">
        <v>355.55425536357001</v>
      </c>
      <c r="C13" s="116">
        <v>349.48694495711698</v>
      </c>
      <c r="D13" s="116">
        <v>318.903754290439</v>
      </c>
      <c r="E13" s="116">
        <v>325.56299741947299</v>
      </c>
      <c r="F13" s="116">
        <v>354.25</v>
      </c>
      <c r="G13">
        <v>28645</v>
      </c>
      <c r="H13" s="116"/>
      <c r="I13" s="116"/>
      <c r="L13" s="170"/>
    </row>
    <row r="14" spans="1:18" x14ac:dyDescent="0.25">
      <c r="A14" s="170">
        <v>42019</v>
      </c>
      <c r="B14" s="116">
        <v>366.948960273252</v>
      </c>
      <c r="C14" s="116">
        <v>352.74257493131103</v>
      </c>
      <c r="D14" s="116">
        <v>344.70215544958802</v>
      </c>
      <c r="E14" s="116">
        <v>360.09240623669001</v>
      </c>
      <c r="F14" s="116">
        <v>357.55</v>
      </c>
      <c r="G14">
        <v>18290</v>
      </c>
      <c r="H14" s="116"/>
      <c r="I14" s="116"/>
      <c r="L14" s="170"/>
    </row>
    <row r="15" spans="1:18" x14ac:dyDescent="0.25">
      <c r="A15" s="170">
        <v>42020</v>
      </c>
      <c r="B15" s="116">
        <v>359.10585169905602</v>
      </c>
      <c r="C15" s="116">
        <v>351.65736493991301</v>
      </c>
      <c r="D15" s="116">
        <v>349.48694495711698</v>
      </c>
      <c r="E15" s="116">
        <v>358.612574430238</v>
      </c>
      <c r="F15" s="116">
        <v>356.45</v>
      </c>
      <c r="G15">
        <v>10184</v>
      </c>
      <c r="H15" s="116"/>
      <c r="I15" s="116"/>
      <c r="L15" s="170"/>
    </row>
    <row r="16" spans="1:18" x14ac:dyDescent="0.25">
      <c r="A16" s="170">
        <v>42023</v>
      </c>
      <c r="B16" s="116">
        <v>355.45559990980701</v>
      </c>
      <c r="C16" s="116">
        <v>329.41056011624897</v>
      </c>
      <c r="D16" s="116">
        <v>323.78719925173101</v>
      </c>
      <c r="E16" s="116">
        <v>354.66635627969902</v>
      </c>
      <c r="F16" s="116">
        <v>333.9</v>
      </c>
      <c r="G16">
        <v>17654</v>
      </c>
      <c r="H16" s="116"/>
      <c r="I16" s="116"/>
      <c r="L16" s="170"/>
    </row>
    <row r="17" spans="1:12" x14ac:dyDescent="0.25">
      <c r="A17" s="170">
        <v>42024</v>
      </c>
      <c r="B17" s="116">
        <v>340.36131548399499</v>
      </c>
      <c r="C17" s="116">
        <v>335.42854279582099</v>
      </c>
      <c r="D17" s="116">
        <v>324.87240924312903</v>
      </c>
      <c r="E17" s="116">
        <v>324.87240924312903</v>
      </c>
      <c r="F17" s="116">
        <v>340</v>
      </c>
      <c r="G17">
        <v>15531</v>
      </c>
      <c r="H17" s="116"/>
      <c r="I17" s="116"/>
      <c r="L17" s="170"/>
    </row>
    <row r="18" spans="1:12" x14ac:dyDescent="0.25">
      <c r="A18" s="170">
        <v>42025</v>
      </c>
      <c r="B18" s="116">
        <v>349.24030632270802</v>
      </c>
      <c r="C18" s="116">
        <v>332.86350099797102</v>
      </c>
      <c r="D18" s="116">
        <v>326.944173772162</v>
      </c>
      <c r="E18" s="116">
        <v>326.944173772162</v>
      </c>
      <c r="F18" s="116">
        <v>337.4</v>
      </c>
      <c r="G18">
        <v>9577</v>
      </c>
      <c r="H18" s="116"/>
      <c r="I18" s="116"/>
      <c r="L18" s="170"/>
    </row>
    <row r="19" spans="1:12" x14ac:dyDescent="0.25">
      <c r="A19" s="170">
        <v>42026</v>
      </c>
      <c r="B19" s="116">
        <v>343.22232364313601</v>
      </c>
      <c r="C19" s="116">
        <v>328.12803921732399</v>
      </c>
      <c r="D19" s="116">
        <v>326.15493014205401</v>
      </c>
      <c r="E19" s="116">
        <v>327.53610649474302</v>
      </c>
      <c r="F19" s="116">
        <v>332.6</v>
      </c>
      <c r="G19">
        <v>3285</v>
      </c>
      <c r="H19" s="116"/>
      <c r="I19" s="116"/>
      <c r="L19" s="170"/>
    </row>
    <row r="20" spans="1:12" x14ac:dyDescent="0.25">
      <c r="A20" s="170">
        <v>42027</v>
      </c>
      <c r="B20" s="116">
        <v>334.44198825818597</v>
      </c>
      <c r="C20" s="116">
        <v>332.86350099797102</v>
      </c>
      <c r="D20" s="116">
        <v>326.64820741087198</v>
      </c>
      <c r="E20" s="116">
        <v>328.52266103237798</v>
      </c>
      <c r="F20" s="116">
        <v>337.4</v>
      </c>
      <c r="G20">
        <v>3706</v>
      </c>
      <c r="H20" s="116"/>
      <c r="I20" s="116"/>
      <c r="L20" s="170"/>
    </row>
    <row r="21" spans="1:12" x14ac:dyDescent="0.25">
      <c r="A21" s="170">
        <v>42031</v>
      </c>
      <c r="B21" s="116">
        <v>334.44198825818597</v>
      </c>
      <c r="C21" s="116">
        <v>329.213249208722</v>
      </c>
      <c r="D21" s="116">
        <v>326.54955195710801</v>
      </c>
      <c r="E21" s="116">
        <v>332.46887918291702</v>
      </c>
      <c r="F21" s="116">
        <v>333.7</v>
      </c>
      <c r="G21">
        <v>2783</v>
      </c>
      <c r="H21" s="116"/>
      <c r="I21" s="116"/>
      <c r="L21" s="170"/>
    </row>
    <row r="22" spans="1:12" x14ac:dyDescent="0.25">
      <c r="A22" s="170">
        <v>42032</v>
      </c>
      <c r="B22" s="116">
        <v>334.44198825818597</v>
      </c>
      <c r="C22" s="116">
        <v>324.47778742807498</v>
      </c>
      <c r="D22" s="116">
        <v>323.58988834420398</v>
      </c>
      <c r="E22" s="116">
        <v>325.66165287323702</v>
      </c>
      <c r="F22" s="116">
        <v>328.9</v>
      </c>
      <c r="G22">
        <v>4412</v>
      </c>
      <c r="H22" s="116"/>
      <c r="I22" s="116"/>
      <c r="L22" s="170"/>
    </row>
    <row r="23" spans="1:12" x14ac:dyDescent="0.25">
      <c r="A23" s="170">
        <v>42033</v>
      </c>
      <c r="B23" s="116">
        <v>331.28501373775498</v>
      </c>
      <c r="C23" s="116">
        <v>328.91728284743198</v>
      </c>
      <c r="D23" s="116">
        <v>323.58988834420398</v>
      </c>
      <c r="E23" s="116">
        <v>323.58988834420398</v>
      </c>
      <c r="F23" s="116">
        <v>333.4</v>
      </c>
      <c r="G23">
        <v>1895</v>
      </c>
      <c r="H23" s="116"/>
      <c r="I23" s="116"/>
      <c r="L23" s="170"/>
    </row>
    <row r="24" spans="1:12" x14ac:dyDescent="0.25">
      <c r="A24" s="170">
        <v>42034</v>
      </c>
      <c r="B24" s="116">
        <v>334.34333280442303</v>
      </c>
      <c r="C24" s="116">
        <v>325.85896378076399</v>
      </c>
      <c r="D24" s="116">
        <v>325.66165287323702</v>
      </c>
      <c r="E24" s="116">
        <v>326.64820741087198</v>
      </c>
      <c r="F24" s="116">
        <v>330.3</v>
      </c>
      <c r="G24">
        <v>1660</v>
      </c>
      <c r="H24" s="116"/>
      <c r="I24" s="116"/>
      <c r="L24" s="170"/>
    </row>
    <row r="25" spans="1:12" x14ac:dyDescent="0.25">
      <c r="A25" s="170">
        <v>42037</v>
      </c>
      <c r="B25" s="116">
        <v>333.35677826678801</v>
      </c>
      <c r="C25" s="116">
        <v>329.80518193130303</v>
      </c>
      <c r="D25" s="116">
        <v>327.53610649474302</v>
      </c>
      <c r="E25" s="116">
        <v>327.53610649474302</v>
      </c>
      <c r="F25" s="116">
        <v>334.3</v>
      </c>
      <c r="G25">
        <v>3140</v>
      </c>
      <c r="H25" s="116"/>
      <c r="I25" s="116"/>
      <c r="L25" s="170"/>
    </row>
    <row r="26" spans="1:12" x14ac:dyDescent="0.25">
      <c r="A26" s="170">
        <v>42038</v>
      </c>
      <c r="B26" s="116">
        <v>335.42854279582099</v>
      </c>
      <c r="C26" s="116">
        <v>326.35224104958098</v>
      </c>
      <c r="D26" s="116">
        <v>322.60333380656903</v>
      </c>
      <c r="E26" s="116">
        <v>322.60333380656903</v>
      </c>
      <c r="F26" s="116">
        <v>330.8</v>
      </c>
      <c r="G26">
        <v>2555</v>
      </c>
      <c r="H26" s="116"/>
      <c r="I26" s="116"/>
      <c r="L26" s="170"/>
    </row>
    <row r="27" spans="1:12" x14ac:dyDescent="0.25">
      <c r="A27" s="170">
        <v>42039</v>
      </c>
      <c r="B27" s="116">
        <v>336.21778642592898</v>
      </c>
      <c r="C27" s="116">
        <v>331.77829100657198</v>
      </c>
      <c r="D27" s="116">
        <v>322.70198926033299</v>
      </c>
      <c r="E27" s="116">
        <v>322.70198926033299</v>
      </c>
      <c r="F27" s="116">
        <v>336.3</v>
      </c>
      <c r="G27">
        <v>4601</v>
      </c>
      <c r="H27" s="116"/>
      <c r="I27" s="116"/>
      <c r="L27" s="170"/>
    </row>
    <row r="28" spans="1:12" x14ac:dyDescent="0.25">
      <c r="A28" s="170">
        <v>42040</v>
      </c>
      <c r="B28" s="116">
        <v>334.93526552700399</v>
      </c>
      <c r="C28" s="116">
        <v>330.69308101517402</v>
      </c>
      <c r="D28" s="116">
        <v>322.60333380656903</v>
      </c>
      <c r="E28" s="116">
        <v>322.60333380656903</v>
      </c>
      <c r="F28" s="116">
        <v>335.2</v>
      </c>
      <c r="G28">
        <v>1474</v>
      </c>
      <c r="H28" s="116"/>
      <c r="I28" s="116"/>
      <c r="L28" s="170"/>
    </row>
    <row r="29" spans="1:12" x14ac:dyDescent="0.25">
      <c r="A29" s="170">
        <v>42041</v>
      </c>
      <c r="B29" s="116">
        <v>333.45543372055198</v>
      </c>
      <c r="C29" s="116">
        <v>326.54955195710801</v>
      </c>
      <c r="D29" s="116">
        <v>325.56299741947299</v>
      </c>
      <c r="E29" s="116">
        <v>329.50921557001197</v>
      </c>
      <c r="F29" s="116">
        <v>331</v>
      </c>
      <c r="G29">
        <v>2654</v>
      </c>
      <c r="H29" s="116"/>
      <c r="I29" s="116"/>
      <c r="L29" s="170"/>
    </row>
    <row r="30" spans="1:12" x14ac:dyDescent="0.25">
      <c r="A30" s="170">
        <v>42044</v>
      </c>
      <c r="B30" s="116">
        <v>332.46887918291702</v>
      </c>
      <c r="C30" s="116">
        <v>315.30283022807203</v>
      </c>
      <c r="D30" s="116">
        <v>311.94854480011401</v>
      </c>
      <c r="E30" s="116">
        <v>322.60333380656903</v>
      </c>
      <c r="F30" s="116">
        <v>319.60000000000002</v>
      </c>
      <c r="G30">
        <v>2100</v>
      </c>
      <c r="H30" s="116"/>
      <c r="I30" s="116"/>
      <c r="L30" s="170"/>
    </row>
    <row r="31" spans="1:12" x14ac:dyDescent="0.25">
      <c r="A31" s="170">
        <v>42045</v>
      </c>
      <c r="B31" s="116">
        <v>320.63022473130002</v>
      </c>
      <c r="C31" s="116">
        <v>316.09207385818002</v>
      </c>
      <c r="D31" s="116">
        <v>313.72434296785599</v>
      </c>
      <c r="E31" s="116">
        <v>313.72434296785599</v>
      </c>
      <c r="F31" s="116">
        <v>320.39999999999998</v>
      </c>
      <c r="G31">
        <v>2106</v>
      </c>
      <c r="H31" s="116"/>
      <c r="I31" s="116"/>
      <c r="L31" s="170"/>
    </row>
    <row r="32" spans="1:12" x14ac:dyDescent="0.25">
      <c r="A32" s="170">
        <v>42046</v>
      </c>
      <c r="B32" s="116">
        <v>324.28047652054801</v>
      </c>
      <c r="C32" s="116">
        <v>316.58535112699701</v>
      </c>
      <c r="D32" s="116">
        <v>297.05157128182901</v>
      </c>
      <c r="E32" s="116">
        <v>312.73778843022097</v>
      </c>
      <c r="F32" s="116">
        <v>320.89999999999998</v>
      </c>
      <c r="G32">
        <v>21603</v>
      </c>
      <c r="H32" s="116"/>
      <c r="I32" s="116"/>
      <c r="L32" s="170"/>
    </row>
    <row r="33" spans="1:12" x14ac:dyDescent="0.25">
      <c r="A33" s="170">
        <v>42047</v>
      </c>
      <c r="B33" s="116">
        <v>318.16383838721299</v>
      </c>
      <c r="C33" s="116">
        <v>315.598796589362</v>
      </c>
      <c r="D33" s="116">
        <v>313.72434296785599</v>
      </c>
      <c r="E33" s="116">
        <v>316.68400658076001</v>
      </c>
      <c r="F33" s="116">
        <v>319.89999999999998</v>
      </c>
      <c r="G33">
        <v>3829</v>
      </c>
      <c r="H33" s="116"/>
      <c r="I33" s="116"/>
      <c r="L33" s="170"/>
    </row>
    <row r="34" spans="1:12" x14ac:dyDescent="0.25">
      <c r="A34" s="170">
        <v>42048</v>
      </c>
      <c r="B34" s="116">
        <v>320.33425837000902</v>
      </c>
      <c r="C34" s="116">
        <v>310.567368447425</v>
      </c>
      <c r="D34" s="116">
        <v>303.85879759150902</v>
      </c>
      <c r="E34" s="116">
        <v>315.69745204312602</v>
      </c>
      <c r="F34" s="116">
        <v>314.8</v>
      </c>
      <c r="G34">
        <v>5784</v>
      </c>
      <c r="H34" s="116"/>
      <c r="I34" s="116"/>
      <c r="L34" s="170"/>
    </row>
    <row r="35" spans="1:12" x14ac:dyDescent="0.25">
      <c r="A35" s="170">
        <v>42051</v>
      </c>
      <c r="B35" s="116">
        <v>334.146021896896</v>
      </c>
      <c r="C35" s="116">
        <v>316.58535112699701</v>
      </c>
      <c r="D35" s="116">
        <v>308.89022573344602</v>
      </c>
      <c r="E35" s="116">
        <v>310.666023901188</v>
      </c>
      <c r="F35" s="116">
        <v>320.89999999999998</v>
      </c>
      <c r="G35">
        <v>10753</v>
      </c>
      <c r="H35" s="116"/>
      <c r="I35" s="116"/>
      <c r="L35" s="170"/>
    </row>
    <row r="36" spans="1:12" x14ac:dyDescent="0.25">
      <c r="A36" s="170">
        <v>42053</v>
      </c>
      <c r="B36" s="116">
        <v>348.74702905389</v>
      </c>
      <c r="C36" s="116">
        <v>333.25812281302501</v>
      </c>
      <c r="D36" s="116">
        <v>314.710897505491</v>
      </c>
      <c r="E36" s="116">
        <v>315.69745204312602</v>
      </c>
      <c r="F36" s="116">
        <v>337.8</v>
      </c>
      <c r="G36">
        <v>17961</v>
      </c>
      <c r="H36" s="116"/>
      <c r="I36" s="116"/>
      <c r="L36" s="170"/>
    </row>
    <row r="37" spans="1:12" x14ac:dyDescent="0.25">
      <c r="A37" s="170">
        <v>42054</v>
      </c>
      <c r="B37" s="116">
        <v>336.415097333456</v>
      </c>
      <c r="C37" s="116">
        <v>323.68854379796699</v>
      </c>
      <c r="D37" s="116">
        <v>320.63022473130002</v>
      </c>
      <c r="E37" s="116">
        <v>330.49577010764699</v>
      </c>
      <c r="F37" s="116">
        <v>328.1</v>
      </c>
      <c r="G37">
        <v>3288</v>
      </c>
      <c r="H37" s="116"/>
      <c r="I37" s="116"/>
      <c r="L37" s="170"/>
    </row>
    <row r="38" spans="1:12" x14ac:dyDescent="0.25">
      <c r="A38" s="170">
        <v>42055</v>
      </c>
      <c r="B38" s="116">
        <v>325.56299741947299</v>
      </c>
      <c r="C38" s="116">
        <v>320.23560291624602</v>
      </c>
      <c r="D38" s="116">
        <v>317.67056111839503</v>
      </c>
      <c r="E38" s="116">
        <v>325.56299741947299</v>
      </c>
      <c r="F38" s="116">
        <v>324.60000000000002</v>
      </c>
      <c r="G38">
        <v>3848</v>
      </c>
      <c r="H38" s="116"/>
      <c r="I38" s="116"/>
      <c r="L38" s="170"/>
    </row>
    <row r="39" spans="1:12" x14ac:dyDescent="0.25">
      <c r="A39" s="170">
        <v>42058</v>
      </c>
      <c r="B39" s="116">
        <v>330.29845920012002</v>
      </c>
      <c r="C39" s="116">
        <v>315.204174774308</v>
      </c>
      <c r="D39" s="116">
        <v>313.92165387538302</v>
      </c>
      <c r="E39" s="116">
        <v>315.69745204312602</v>
      </c>
      <c r="F39" s="116">
        <v>319.5</v>
      </c>
      <c r="G39">
        <v>1509</v>
      </c>
      <c r="H39" s="116"/>
      <c r="I39" s="116"/>
      <c r="L39" s="170"/>
    </row>
    <row r="40" spans="1:12" x14ac:dyDescent="0.25">
      <c r="A40" s="170">
        <v>42059</v>
      </c>
      <c r="B40" s="116">
        <v>320.63022473130002</v>
      </c>
      <c r="C40" s="116">
        <v>313.92165387538302</v>
      </c>
      <c r="D40" s="116">
        <v>312.836443883985</v>
      </c>
      <c r="E40" s="116">
        <v>320.63022473130002</v>
      </c>
      <c r="F40" s="116">
        <v>318.2</v>
      </c>
      <c r="G40">
        <v>2315</v>
      </c>
      <c r="H40" s="116"/>
      <c r="I40" s="116"/>
      <c r="L40" s="170"/>
    </row>
    <row r="41" spans="1:12" x14ac:dyDescent="0.25">
      <c r="A41" s="170">
        <v>42060</v>
      </c>
      <c r="B41" s="116">
        <v>324.08316561302098</v>
      </c>
      <c r="C41" s="116">
        <v>321.81409017646098</v>
      </c>
      <c r="D41" s="116">
        <v>310.86333480871502</v>
      </c>
      <c r="E41" s="116">
        <v>311.84988934634998</v>
      </c>
      <c r="F41" s="116">
        <v>326.2</v>
      </c>
      <c r="G41">
        <v>2387</v>
      </c>
      <c r="H41" s="116"/>
      <c r="I41" s="116"/>
      <c r="L41" s="170"/>
    </row>
    <row r="42" spans="1:12" x14ac:dyDescent="0.25">
      <c r="A42" s="170">
        <v>42061</v>
      </c>
      <c r="B42" s="116">
        <v>325.46434196570999</v>
      </c>
      <c r="C42" s="116">
        <v>317.473250210868</v>
      </c>
      <c r="D42" s="116">
        <v>315.79610749688902</v>
      </c>
      <c r="E42" s="116">
        <v>325.46434196570999</v>
      </c>
      <c r="F42" s="116">
        <v>321.8</v>
      </c>
      <c r="G42">
        <v>4174</v>
      </c>
      <c r="H42" s="116"/>
      <c r="I42" s="116"/>
      <c r="L42" s="170"/>
    </row>
    <row r="43" spans="1:12" x14ac:dyDescent="0.25">
      <c r="A43" s="170">
        <v>42062</v>
      </c>
      <c r="B43" s="116">
        <v>325.46434196570999</v>
      </c>
      <c r="C43" s="116">
        <v>319.84098110119203</v>
      </c>
      <c r="D43" s="116">
        <v>315.79610749688902</v>
      </c>
      <c r="E43" s="116">
        <v>325.46434196570999</v>
      </c>
      <c r="F43" s="116">
        <v>324.2</v>
      </c>
      <c r="G43">
        <v>1835</v>
      </c>
      <c r="H43" s="116"/>
      <c r="I43" s="116"/>
      <c r="L43" s="170"/>
    </row>
    <row r="44" spans="1:12" x14ac:dyDescent="0.25">
      <c r="A44" s="170">
        <v>42063</v>
      </c>
      <c r="B44" s="116">
        <v>325.56299741947299</v>
      </c>
      <c r="C44" s="116">
        <v>316.19072931194302</v>
      </c>
      <c r="D44" s="116">
        <v>308.79157027968199</v>
      </c>
      <c r="E44" s="116">
        <v>308.79157027968199</v>
      </c>
      <c r="F44" s="116">
        <v>320.5</v>
      </c>
      <c r="G44">
        <v>2297</v>
      </c>
      <c r="H44" s="116"/>
      <c r="I44" s="116"/>
      <c r="L44" s="170"/>
    </row>
    <row r="45" spans="1:12" x14ac:dyDescent="0.25">
      <c r="A45" s="170">
        <v>42065</v>
      </c>
      <c r="B45" s="116">
        <v>319.54501473990098</v>
      </c>
      <c r="C45" s="116">
        <v>310.567368447425</v>
      </c>
      <c r="D45" s="116">
        <v>305.83190666677802</v>
      </c>
      <c r="E45" s="116">
        <v>319.54501473990098</v>
      </c>
      <c r="F45" s="116">
        <v>314.8</v>
      </c>
      <c r="G45">
        <v>4036</v>
      </c>
      <c r="H45" s="116"/>
      <c r="I45" s="116"/>
      <c r="L45" s="170"/>
    </row>
    <row r="46" spans="1:12" x14ac:dyDescent="0.25">
      <c r="A46" s="170">
        <v>42066</v>
      </c>
      <c r="B46" s="116">
        <v>319.44635928613798</v>
      </c>
      <c r="C46" s="116">
        <v>318.36114929474002</v>
      </c>
      <c r="D46" s="116">
        <v>306.91711665817598</v>
      </c>
      <c r="E46" s="116">
        <v>317.473250210868</v>
      </c>
      <c r="F46" s="116">
        <v>322.7</v>
      </c>
      <c r="G46">
        <v>2513</v>
      </c>
      <c r="H46" s="116"/>
      <c r="I46" s="116"/>
      <c r="L46" s="170"/>
    </row>
    <row r="47" spans="1:12" x14ac:dyDescent="0.25">
      <c r="A47" s="170">
        <v>42067</v>
      </c>
      <c r="B47" s="116">
        <v>323.58988834420398</v>
      </c>
      <c r="C47" s="116">
        <v>316.38804021946999</v>
      </c>
      <c r="D47" s="116">
        <v>311.75123389258698</v>
      </c>
      <c r="E47" s="116">
        <v>319.643670193665</v>
      </c>
      <c r="F47" s="116">
        <v>320.7</v>
      </c>
      <c r="G47">
        <v>2618</v>
      </c>
      <c r="H47" s="116"/>
      <c r="I47" s="116"/>
      <c r="L47" s="170"/>
    </row>
    <row r="48" spans="1:12" x14ac:dyDescent="0.25">
      <c r="A48" s="170">
        <v>42068</v>
      </c>
      <c r="B48" s="116">
        <v>320.53156927753599</v>
      </c>
      <c r="C48" s="116">
        <v>312.04720025387701</v>
      </c>
      <c r="D48" s="116">
        <v>300.89913397860403</v>
      </c>
      <c r="E48" s="116">
        <v>300.89913397860403</v>
      </c>
      <c r="F48" s="116">
        <v>316.3</v>
      </c>
      <c r="G48">
        <v>2857</v>
      </c>
      <c r="H48" s="116"/>
      <c r="I48" s="116"/>
      <c r="L48" s="170"/>
    </row>
    <row r="49" spans="1:12" x14ac:dyDescent="0.25">
      <c r="A49" s="170">
        <v>42072</v>
      </c>
      <c r="B49" s="116">
        <v>330.19980374635702</v>
      </c>
      <c r="C49" s="116">
        <v>318.65711565602999</v>
      </c>
      <c r="D49" s="116">
        <v>309.77812481731701</v>
      </c>
      <c r="E49" s="116">
        <v>309.77812481731701</v>
      </c>
      <c r="F49" s="116">
        <v>323</v>
      </c>
      <c r="G49">
        <v>2348</v>
      </c>
      <c r="H49" s="116"/>
      <c r="I49" s="116"/>
      <c r="L49" s="170"/>
    </row>
    <row r="50" spans="1:12" x14ac:dyDescent="0.25">
      <c r="A50" s="170">
        <v>42073</v>
      </c>
      <c r="B50" s="116">
        <v>321.41946836140698</v>
      </c>
      <c r="C50" s="116">
        <v>312.935099337748</v>
      </c>
      <c r="D50" s="116">
        <v>306.81846120441298</v>
      </c>
      <c r="E50" s="116">
        <v>306.81846120441298</v>
      </c>
      <c r="F50" s="116">
        <v>317.2</v>
      </c>
      <c r="G50">
        <v>7402</v>
      </c>
      <c r="H50" s="116"/>
      <c r="I50" s="116"/>
      <c r="L50" s="170"/>
    </row>
    <row r="51" spans="1:12" x14ac:dyDescent="0.25">
      <c r="A51" s="170">
        <v>42074</v>
      </c>
      <c r="B51" s="116">
        <v>315.69745204312602</v>
      </c>
      <c r="C51" s="116">
        <v>309.97543572484398</v>
      </c>
      <c r="D51" s="116">
        <v>304.94400758290698</v>
      </c>
      <c r="E51" s="116">
        <v>309.77812481731701</v>
      </c>
      <c r="F51" s="116">
        <v>314.2</v>
      </c>
      <c r="G51">
        <v>1472</v>
      </c>
      <c r="H51" s="116"/>
      <c r="I51" s="116"/>
      <c r="L51" s="170"/>
    </row>
    <row r="52" spans="1:12" x14ac:dyDescent="0.25">
      <c r="A52" s="170">
        <v>42075</v>
      </c>
      <c r="B52" s="116">
        <v>312.63913297645797</v>
      </c>
      <c r="C52" s="116">
        <v>304.64804122161598</v>
      </c>
      <c r="D52" s="116">
        <v>302.970898507637</v>
      </c>
      <c r="E52" s="116">
        <v>303.85879759150902</v>
      </c>
      <c r="F52" s="116">
        <v>308.8</v>
      </c>
      <c r="G52">
        <v>3961</v>
      </c>
      <c r="H52" s="116"/>
      <c r="I52" s="116"/>
      <c r="L52" s="170"/>
    </row>
    <row r="53" spans="1:12" x14ac:dyDescent="0.25">
      <c r="A53" s="170">
        <v>42076</v>
      </c>
      <c r="B53" s="116">
        <v>314.710897505491</v>
      </c>
      <c r="C53" s="116">
        <v>298.432747634517</v>
      </c>
      <c r="D53" s="116">
        <v>294.97980675279598</v>
      </c>
      <c r="E53" s="116">
        <v>300.99778943236799</v>
      </c>
      <c r="F53" s="116">
        <v>302.5</v>
      </c>
      <c r="G53">
        <v>3481</v>
      </c>
      <c r="H53" s="116"/>
      <c r="I53" s="116"/>
      <c r="L53" s="170"/>
    </row>
    <row r="54" spans="1:12" x14ac:dyDescent="0.25">
      <c r="A54" s="170">
        <v>42079</v>
      </c>
      <c r="B54" s="116">
        <v>324.28047652054801</v>
      </c>
      <c r="C54" s="116">
        <v>298.92602490333502</v>
      </c>
      <c r="D54" s="116">
        <v>297.24888218935598</v>
      </c>
      <c r="E54" s="116">
        <v>297.24888218935598</v>
      </c>
      <c r="F54" s="116">
        <v>303</v>
      </c>
      <c r="G54">
        <v>1167</v>
      </c>
      <c r="H54" s="116"/>
      <c r="I54" s="116"/>
      <c r="L54" s="170"/>
    </row>
    <row r="55" spans="1:12" x14ac:dyDescent="0.25">
      <c r="A55" s="170">
        <v>42080</v>
      </c>
      <c r="B55" s="116">
        <v>310.172746632371</v>
      </c>
      <c r="C55" s="116">
        <v>297.74215945817298</v>
      </c>
      <c r="D55" s="116">
        <v>293.00669767752601</v>
      </c>
      <c r="E55" s="116">
        <v>308.298293010865</v>
      </c>
      <c r="F55" s="116">
        <v>301.8</v>
      </c>
      <c r="G55">
        <v>4019</v>
      </c>
      <c r="H55" s="116"/>
      <c r="I55" s="116"/>
      <c r="L55" s="170"/>
    </row>
    <row r="56" spans="1:12" x14ac:dyDescent="0.25">
      <c r="A56" s="170">
        <v>42081</v>
      </c>
      <c r="B56" s="116">
        <v>303.85879759150902</v>
      </c>
      <c r="C56" s="116">
        <v>298.82736944957099</v>
      </c>
      <c r="D56" s="116">
        <v>295.86770583666703</v>
      </c>
      <c r="E56" s="116">
        <v>303.85879759150902</v>
      </c>
      <c r="F56" s="116">
        <v>302.89999999999998</v>
      </c>
      <c r="G56">
        <v>3384</v>
      </c>
      <c r="H56" s="116"/>
      <c r="I56" s="116"/>
      <c r="L56" s="170"/>
    </row>
    <row r="57" spans="1:12" x14ac:dyDescent="0.25">
      <c r="A57" s="170">
        <v>42082</v>
      </c>
      <c r="B57" s="116">
        <v>302.872243053874</v>
      </c>
      <c r="C57" s="116">
        <v>296.065016744194</v>
      </c>
      <c r="D57" s="116">
        <v>294.38787403021502</v>
      </c>
      <c r="E57" s="116">
        <v>295.96636129042997</v>
      </c>
      <c r="F57" s="116">
        <v>300.10000000000002</v>
      </c>
      <c r="G57">
        <v>7282</v>
      </c>
      <c r="H57" s="116"/>
      <c r="I57" s="116"/>
      <c r="L57" s="170"/>
    </row>
    <row r="58" spans="1:12" x14ac:dyDescent="0.25">
      <c r="A58" s="170">
        <v>42083</v>
      </c>
      <c r="B58" s="116">
        <v>300.80047852484103</v>
      </c>
      <c r="C58" s="116">
        <v>287.77795862806198</v>
      </c>
      <c r="D58" s="116">
        <v>285.21291683021099</v>
      </c>
      <c r="E58" s="116">
        <v>295.96636129042997</v>
      </c>
      <c r="F58" s="116">
        <v>291.7</v>
      </c>
      <c r="G58">
        <v>3870</v>
      </c>
      <c r="H58" s="116"/>
      <c r="I58" s="116"/>
      <c r="L58" s="170"/>
    </row>
    <row r="59" spans="1:12" x14ac:dyDescent="0.25">
      <c r="A59" s="170">
        <v>42086</v>
      </c>
      <c r="B59" s="116">
        <v>293.00669767752601</v>
      </c>
      <c r="C59" s="116">
        <v>281.46400958719897</v>
      </c>
      <c r="D59" s="116">
        <v>281.168043225909</v>
      </c>
      <c r="E59" s="116">
        <v>285.11426137644798</v>
      </c>
      <c r="F59" s="116">
        <v>285.3</v>
      </c>
      <c r="G59">
        <v>2392</v>
      </c>
      <c r="H59" s="116"/>
      <c r="I59" s="116"/>
      <c r="L59" s="170"/>
    </row>
    <row r="60" spans="1:12" x14ac:dyDescent="0.25">
      <c r="A60" s="170">
        <v>42087</v>
      </c>
      <c r="B60" s="116">
        <v>294.97980675279598</v>
      </c>
      <c r="C60" s="116">
        <v>291.92148768612799</v>
      </c>
      <c r="D60" s="116">
        <v>278.20837961300498</v>
      </c>
      <c r="E60" s="116">
        <v>281.168043225909</v>
      </c>
      <c r="F60" s="116">
        <v>295.89999999999998</v>
      </c>
      <c r="G60">
        <v>2053</v>
      </c>
      <c r="H60" s="116"/>
      <c r="I60" s="116"/>
      <c r="L60" s="170"/>
    </row>
    <row r="61" spans="1:12" x14ac:dyDescent="0.25">
      <c r="A61" s="170">
        <v>42088</v>
      </c>
      <c r="B61" s="116">
        <v>298.82736944957099</v>
      </c>
      <c r="C61" s="116">
        <v>289.94837861085801</v>
      </c>
      <c r="D61" s="116">
        <v>284.12770683881303</v>
      </c>
      <c r="E61" s="116">
        <v>295.57173947537598</v>
      </c>
      <c r="F61" s="116">
        <v>293.89999999999998</v>
      </c>
      <c r="G61">
        <v>2035</v>
      </c>
      <c r="H61" s="116"/>
      <c r="I61" s="116"/>
      <c r="L61" s="170"/>
    </row>
    <row r="62" spans="1:12" x14ac:dyDescent="0.25">
      <c r="A62" s="170">
        <v>42089</v>
      </c>
      <c r="B62" s="116">
        <v>295.67039492914</v>
      </c>
      <c r="C62" s="116">
        <v>286.495437729137</v>
      </c>
      <c r="D62" s="116">
        <v>283.63442956999597</v>
      </c>
      <c r="E62" s="116">
        <v>287.67930317429801</v>
      </c>
      <c r="F62" s="116">
        <v>290.39999999999998</v>
      </c>
      <c r="G62">
        <v>4981</v>
      </c>
      <c r="H62" s="116"/>
      <c r="I62" s="116"/>
      <c r="L62" s="170"/>
    </row>
    <row r="63" spans="1:12" x14ac:dyDescent="0.25">
      <c r="A63" s="170">
        <v>42090</v>
      </c>
      <c r="B63" s="116">
        <v>293.00669767752601</v>
      </c>
      <c r="C63" s="116">
        <v>280.08283323451099</v>
      </c>
      <c r="D63" s="116">
        <v>276.33392599149897</v>
      </c>
      <c r="E63" s="116">
        <v>283.14115230117801</v>
      </c>
      <c r="F63" s="116">
        <v>283.89999999999998</v>
      </c>
      <c r="G63">
        <v>2771</v>
      </c>
      <c r="H63" s="116"/>
      <c r="I63" s="116"/>
      <c r="L63" s="170"/>
    </row>
    <row r="64" spans="1:12" x14ac:dyDescent="0.25">
      <c r="A64" s="170">
        <v>42093</v>
      </c>
      <c r="B64" s="116">
        <v>301.88568851623899</v>
      </c>
      <c r="C64" s="116">
        <v>296.75560492053802</v>
      </c>
      <c r="D64" s="116">
        <v>287.18602590548102</v>
      </c>
      <c r="E64" s="116">
        <v>292.02014313989099</v>
      </c>
      <c r="F64" s="116">
        <v>300.8</v>
      </c>
      <c r="G64">
        <v>4215</v>
      </c>
      <c r="H64" s="116"/>
      <c r="I64" s="116"/>
      <c r="L64" s="170"/>
    </row>
    <row r="65" spans="1:12" x14ac:dyDescent="0.25">
      <c r="A65" s="170">
        <v>42094</v>
      </c>
      <c r="B65" s="116">
        <v>314.710897505491</v>
      </c>
      <c r="C65" s="116">
        <v>310.96199026247899</v>
      </c>
      <c r="D65" s="116">
        <v>300.89913397860403</v>
      </c>
      <c r="E65" s="116">
        <v>300.89913397860403</v>
      </c>
      <c r="F65" s="116">
        <v>315.2</v>
      </c>
      <c r="G65">
        <v>4906</v>
      </c>
      <c r="H65" s="116"/>
      <c r="I65" s="116"/>
      <c r="L65" s="170"/>
    </row>
    <row r="66" spans="1:12" x14ac:dyDescent="0.25">
      <c r="A66" s="170">
        <v>42095</v>
      </c>
      <c r="B66" s="116">
        <v>330.39711465388399</v>
      </c>
      <c r="C66" s="116">
        <v>320.92619109258999</v>
      </c>
      <c r="D66" s="116">
        <v>315.598796589362</v>
      </c>
      <c r="E66" s="116">
        <v>315.598796589362</v>
      </c>
      <c r="F66" s="116">
        <v>325.3</v>
      </c>
      <c r="G66">
        <v>5499</v>
      </c>
      <c r="H66" s="116"/>
      <c r="I66" s="116"/>
      <c r="L66" s="170"/>
    </row>
    <row r="67" spans="1:12" x14ac:dyDescent="0.25">
      <c r="A67" s="170">
        <v>42100</v>
      </c>
      <c r="B67" s="116">
        <v>334.34333280442303</v>
      </c>
      <c r="C67" s="116">
        <v>331.08770283022801</v>
      </c>
      <c r="D67" s="116">
        <v>320.82753563882602</v>
      </c>
      <c r="E67" s="116">
        <v>324.47778742807498</v>
      </c>
      <c r="F67" s="116">
        <v>335.6</v>
      </c>
      <c r="G67">
        <v>3121</v>
      </c>
      <c r="H67" s="116"/>
      <c r="I67" s="116"/>
      <c r="L67" s="170"/>
    </row>
    <row r="68" spans="1:12" x14ac:dyDescent="0.25">
      <c r="A68" s="170">
        <v>42101</v>
      </c>
      <c r="B68" s="116">
        <v>335.32988734205799</v>
      </c>
      <c r="C68" s="116">
        <v>330.101148292593</v>
      </c>
      <c r="D68" s="116">
        <v>322.60333380656903</v>
      </c>
      <c r="E68" s="116">
        <v>332.46887918291702</v>
      </c>
      <c r="F68" s="116">
        <v>334.6</v>
      </c>
      <c r="G68">
        <v>4216</v>
      </c>
      <c r="H68" s="116"/>
      <c r="I68" s="116"/>
      <c r="L68" s="170"/>
    </row>
    <row r="69" spans="1:12" x14ac:dyDescent="0.25">
      <c r="A69" s="170">
        <v>42102</v>
      </c>
      <c r="B69" s="116">
        <v>338.88148367754297</v>
      </c>
      <c r="C69" s="116">
        <v>333.35677826678801</v>
      </c>
      <c r="D69" s="116">
        <v>331.48232464528201</v>
      </c>
      <c r="E69" s="116">
        <v>333.45543372055198</v>
      </c>
      <c r="F69" s="116">
        <v>337.9</v>
      </c>
      <c r="G69">
        <v>2031</v>
      </c>
      <c r="H69" s="116"/>
      <c r="I69" s="116"/>
      <c r="L69" s="170"/>
    </row>
    <row r="70" spans="1:12" x14ac:dyDescent="0.25">
      <c r="A70" s="170">
        <v>42103</v>
      </c>
      <c r="B70" s="116">
        <v>370.845850696909</v>
      </c>
      <c r="C70" s="116">
        <v>363.24938075712203</v>
      </c>
      <c r="D70" s="116">
        <v>317.67056111839503</v>
      </c>
      <c r="E70" s="116">
        <v>317.67056111839503</v>
      </c>
      <c r="F70" s="116">
        <v>368.2</v>
      </c>
      <c r="G70">
        <v>15167</v>
      </c>
      <c r="H70" s="116"/>
      <c r="I70" s="116"/>
      <c r="L70" s="170"/>
    </row>
    <row r="71" spans="1:12" x14ac:dyDescent="0.25">
      <c r="A71" s="170">
        <v>42104</v>
      </c>
      <c r="B71" s="116">
        <v>374.890724301212</v>
      </c>
      <c r="C71" s="116">
        <v>373.114926133469</v>
      </c>
      <c r="D71" s="116">
        <v>360.09240623669001</v>
      </c>
      <c r="E71" s="116">
        <v>369.76064070551098</v>
      </c>
      <c r="F71" s="116">
        <v>378.2</v>
      </c>
      <c r="G71">
        <v>4814</v>
      </c>
      <c r="H71" s="116"/>
      <c r="I71" s="116"/>
      <c r="L71" s="170"/>
    </row>
    <row r="72" spans="1:12" x14ac:dyDescent="0.25">
      <c r="A72" s="170">
        <v>42107</v>
      </c>
      <c r="B72" s="116">
        <v>419.28567849477599</v>
      </c>
      <c r="C72" s="116">
        <v>390.08366418078703</v>
      </c>
      <c r="D72" s="116">
        <v>382.78316060229002</v>
      </c>
      <c r="E72" s="116">
        <v>382.78316060229002</v>
      </c>
      <c r="F72" s="116">
        <v>395.4</v>
      </c>
      <c r="G72">
        <v>11943</v>
      </c>
      <c r="H72" s="116"/>
      <c r="I72" s="116"/>
      <c r="L72" s="170"/>
    </row>
    <row r="73" spans="1:12" x14ac:dyDescent="0.25">
      <c r="A73" s="170">
        <v>42109</v>
      </c>
      <c r="B73" s="116">
        <v>409.12416675713803</v>
      </c>
      <c r="C73" s="116">
        <v>400.54114227971598</v>
      </c>
      <c r="D73" s="116">
        <v>389.68904236573297</v>
      </c>
      <c r="E73" s="116">
        <v>389.68904236573297</v>
      </c>
      <c r="F73" s="116">
        <v>406</v>
      </c>
      <c r="G73">
        <v>7438</v>
      </c>
      <c r="H73" s="116"/>
      <c r="I73" s="116"/>
      <c r="L73" s="170"/>
    </row>
    <row r="74" spans="1:12" x14ac:dyDescent="0.25">
      <c r="A74" s="170">
        <v>42110</v>
      </c>
      <c r="B74" s="116">
        <v>404.88198224530902</v>
      </c>
      <c r="C74" s="116">
        <v>395.60836959154199</v>
      </c>
      <c r="D74" s="116">
        <v>371.04316160443602</v>
      </c>
      <c r="E74" s="116">
        <v>376.17324520013699</v>
      </c>
      <c r="F74" s="116">
        <v>401</v>
      </c>
      <c r="G74">
        <v>5840</v>
      </c>
      <c r="H74" s="116"/>
      <c r="I74" s="116"/>
      <c r="L74" s="170"/>
    </row>
    <row r="75" spans="1:12" x14ac:dyDescent="0.25">
      <c r="A75" s="170">
        <v>42111</v>
      </c>
      <c r="B75" s="116">
        <v>402.51425135498499</v>
      </c>
      <c r="C75" s="116">
        <v>379.52753062809501</v>
      </c>
      <c r="D75" s="116">
        <v>373.41089249475999</v>
      </c>
      <c r="E75" s="116">
        <v>384.854925131323</v>
      </c>
      <c r="F75" s="116">
        <v>384.7</v>
      </c>
      <c r="G75">
        <v>7047</v>
      </c>
      <c r="H75" s="116"/>
      <c r="I75" s="116"/>
      <c r="L75" s="170"/>
    </row>
    <row r="76" spans="1:12" x14ac:dyDescent="0.25">
      <c r="A76" s="170">
        <v>42114</v>
      </c>
      <c r="B76" s="116">
        <v>386.72937875282901</v>
      </c>
      <c r="C76" s="116">
        <v>376.66652246895399</v>
      </c>
      <c r="D76" s="116">
        <v>373.016270679706</v>
      </c>
      <c r="E76" s="116">
        <v>374.890724301212</v>
      </c>
      <c r="F76" s="116">
        <v>381.8</v>
      </c>
      <c r="G76">
        <v>3439</v>
      </c>
      <c r="H76" s="116"/>
      <c r="I76" s="116"/>
      <c r="L76" s="170"/>
    </row>
    <row r="77" spans="1:12" x14ac:dyDescent="0.25">
      <c r="A77" s="170">
        <v>42115</v>
      </c>
      <c r="B77" s="116">
        <v>389.491731458206</v>
      </c>
      <c r="C77" s="116">
        <v>379.13290881304101</v>
      </c>
      <c r="D77" s="116">
        <v>369.95795161303801</v>
      </c>
      <c r="E77" s="116">
        <v>389.491731458206</v>
      </c>
      <c r="F77" s="116">
        <v>384.3</v>
      </c>
      <c r="G77">
        <v>3547</v>
      </c>
      <c r="H77" s="116"/>
      <c r="I77" s="116"/>
      <c r="L77" s="170"/>
    </row>
    <row r="78" spans="1:12" x14ac:dyDescent="0.25">
      <c r="A78" s="170">
        <v>42116</v>
      </c>
      <c r="B78" s="116">
        <v>389.491731458206</v>
      </c>
      <c r="C78" s="116">
        <v>372.720304318415</v>
      </c>
      <c r="D78" s="116">
        <v>371.04316160443602</v>
      </c>
      <c r="E78" s="116">
        <v>375.87727883884702</v>
      </c>
      <c r="F78" s="116">
        <v>377.8</v>
      </c>
      <c r="G78">
        <v>1390</v>
      </c>
      <c r="H78" s="116"/>
      <c r="I78" s="116"/>
      <c r="L78" s="170"/>
    </row>
    <row r="79" spans="1:12" x14ac:dyDescent="0.25">
      <c r="A79" s="170">
        <v>42117</v>
      </c>
      <c r="B79" s="116">
        <v>382.092572425946</v>
      </c>
      <c r="C79" s="116">
        <v>373.21358158723302</v>
      </c>
      <c r="D79" s="116">
        <v>370.94450615067302</v>
      </c>
      <c r="E79" s="116">
        <v>376.86383337648101</v>
      </c>
      <c r="F79" s="116">
        <v>378.3</v>
      </c>
      <c r="G79">
        <v>2094</v>
      </c>
      <c r="H79" s="116"/>
      <c r="I79" s="116"/>
      <c r="L79" s="170"/>
    </row>
    <row r="80" spans="1:12" x14ac:dyDescent="0.25">
      <c r="A80" s="170">
        <v>42118</v>
      </c>
      <c r="B80" s="116">
        <v>375.87727883884702</v>
      </c>
      <c r="C80" s="116">
        <v>359.69778442163602</v>
      </c>
      <c r="D80" s="116">
        <v>357.62601989260298</v>
      </c>
      <c r="E80" s="116">
        <v>375.87727883884702</v>
      </c>
      <c r="F80" s="116">
        <v>364.6</v>
      </c>
      <c r="G80">
        <v>3981</v>
      </c>
      <c r="H80" s="116"/>
      <c r="I80" s="116"/>
      <c r="L80" s="170"/>
    </row>
    <row r="81" spans="1:12" x14ac:dyDescent="0.25">
      <c r="A81" s="170">
        <v>42121</v>
      </c>
      <c r="B81" s="116">
        <v>374.890724301212</v>
      </c>
      <c r="C81" s="116">
        <v>345.19543271840502</v>
      </c>
      <c r="D81" s="116">
        <v>340.65728184528501</v>
      </c>
      <c r="E81" s="116">
        <v>355.15963354851601</v>
      </c>
      <c r="F81" s="116">
        <v>349.9</v>
      </c>
      <c r="G81">
        <v>1784</v>
      </c>
      <c r="H81" s="116"/>
      <c r="I81" s="116"/>
      <c r="L81" s="170"/>
    </row>
    <row r="82" spans="1:12" x14ac:dyDescent="0.25">
      <c r="A82" s="170">
        <v>42122</v>
      </c>
      <c r="B82" s="116">
        <v>355.15963354851601</v>
      </c>
      <c r="C82" s="116">
        <v>342.33442455926399</v>
      </c>
      <c r="D82" s="116">
        <v>338.38820640872501</v>
      </c>
      <c r="E82" s="116">
        <v>338.38820640872501</v>
      </c>
      <c r="F82" s="116">
        <v>347</v>
      </c>
      <c r="G82">
        <v>7055</v>
      </c>
      <c r="H82" s="116"/>
      <c r="I82" s="116"/>
      <c r="L82" s="170"/>
    </row>
    <row r="83" spans="1:12" x14ac:dyDescent="0.25">
      <c r="A83" s="170">
        <v>42123</v>
      </c>
      <c r="B83" s="116">
        <v>355.15963354851601</v>
      </c>
      <c r="C83" s="116">
        <v>349.53627268399799</v>
      </c>
      <c r="D83" s="116">
        <v>343.32097909689901</v>
      </c>
      <c r="E83" s="116">
        <v>346.28064270980298</v>
      </c>
      <c r="F83" s="116">
        <v>354.3</v>
      </c>
      <c r="G83">
        <v>1689</v>
      </c>
      <c r="H83" s="116"/>
      <c r="I83" s="116"/>
      <c r="L83" s="170"/>
    </row>
    <row r="84" spans="1:12" x14ac:dyDescent="0.25">
      <c r="A84" s="170">
        <v>42124</v>
      </c>
      <c r="B84" s="116">
        <v>350.12820540657901</v>
      </c>
      <c r="C84" s="116">
        <v>346.872575432384</v>
      </c>
      <c r="D84" s="116">
        <v>340.45997093775799</v>
      </c>
      <c r="E84" s="116">
        <v>341.54518092915703</v>
      </c>
      <c r="F84" s="116">
        <v>351.6</v>
      </c>
      <c r="G84">
        <v>1320</v>
      </c>
      <c r="H84" s="116"/>
      <c r="I84" s="116"/>
      <c r="L84" s="170"/>
    </row>
    <row r="85" spans="1:12" x14ac:dyDescent="0.25">
      <c r="A85" s="170">
        <v>42128</v>
      </c>
      <c r="B85" s="116">
        <v>373.80551430981399</v>
      </c>
      <c r="C85" s="116">
        <v>358.31660806894803</v>
      </c>
      <c r="D85" s="116">
        <v>326.54955195710801</v>
      </c>
      <c r="E85" s="116">
        <v>365.02517892486401</v>
      </c>
      <c r="F85" s="116">
        <v>363.2</v>
      </c>
      <c r="G85">
        <v>2711</v>
      </c>
      <c r="H85" s="116"/>
      <c r="I85" s="116"/>
      <c r="L85" s="170"/>
    </row>
    <row r="86" spans="1:12" x14ac:dyDescent="0.25">
      <c r="A86" s="170">
        <v>42129</v>
      </c>
      <c r="B86" s="116">
        <v>380.71139607325699</v>
      </c>
      <c r="C86" s="116">
        <v>355.45559990980701</v>
      </c>
      <c r="D86" s="116">
        <v>330.59442556141101</v>
      </c>
      <c r="E86" s="116">
        <v>330.59442556141101</v>
      </c>
      <c r="F86" s="116">
        <v>360.3</v>
      </c>
      <c r="G86">
        <v>2799</v>
      </c>
      <c r="H86" s="116"/>
      <c r="I86" s="116"/>
      <c r="L86" s="170"/>
    </row>
    <row r="87" spans="1:12" x14ac:dyDescent="0.25">
      <c r="A87" s="170">
        <v>42130</v>
      </c>
      <c r="B87" s="116">
        <v>365.02517892486401</v>
      </c>
      <c r="C87" s="116">
        <v>350.42417176787001</v>
      </c>
      <c r="D87" s="116">
        <v>349.24030632270802</v>
      </c>
      <c r="E87" s="116">
        <v>357.13274262378599</v>
      </c>
      <c r="F87" s="116">
        <v>355.2</v>
      </c>
      <c r="G87">
        <v>2623</v>
      </c>
      <c r="H87" s="116"/>
      <c r="I87" s="116"/>
      <c r="L87" s="170"/>
    </row>
    <row r="88" spans="1:12" x14ac:dyDescent="0.25">
      <c r="A88" s="170">
        <v>42131</v>
      </c>
      <c r="B88" s="116">
        <v>359.00719624529199</v>
      </c>
      <c r="C88" s="116">
        <v>348.15509633131001</v>
      </c>
      <c r="D88" s="116">
        <v>345.29408817216898</v>
      </c>
      <c r="E88" s="116">
        <v>356.04753263238803</v>
      </c>
      <c r="F88" s="116">
        <v>352.9</v>
      </c>
      <c r="G88">
        <v>5739</v>
      </c>
      <c r="H88" s="116"/>
      <c r="I88" s="116"/>
      <c r="L88" s="170"/>
    </row>
    <row r="89" spans="1:12" x14ac:dyDescent="0.25">
      <c r="A89" s="170">
        <v>42132</v>
      </c>
      <c r="B89" s="116">
        <v>362.85475894206797</v>
      </c>
      <c r="C89" s="116">
        <v>357.42870898507601</v>
      </c>
      <c r="D89" s="116">
        <v>345.59005453345901</v>
      </c>
      <c r="E89" s="116">
        <v>345.59005453345901</v>
      </c>
      <c r="F89" s="116">
        <v>362.3</v>
      </c>
      <c r="G89">
        <v>1045</v>
      </c>
      <c r="H89" s="116"/>
      <c r="I89" s="116"/>
      <c r="L89" s="170"/>
    </row>
    <row r="90" spans="1:12" x14ac:dyDescent="0.25">
      <c r="A90" s="170">
        <v>42135</v>
      </c>
      <c r="B90" s="116">
        <v>364.82786801733698</v>
      </c>
      <c r="C90" s="116">
        <v>350.42417176787001</v>
      </c>
      <c r="D90" s="116">
        <v>342.33442455926399</v>
      </c>
      <c r="E90" s="116">
        <v>342.33442455926399</v>
      </c>
      <c r="F90" s="116">
        <v>355.2</v>
      </c>
      <c r="G90">
        <v>1114</v>
      </c>
      <c r="H90" s="116"/>
      <c r="I90" s="116"/>
      <c r="L90" s="170"/>
    </row>
    <row r="91" spans="1:12" x14ac:dyDescent="0.25">
      <c r="A91" s="170">
        <v>42136</v>
      </c>
      <c r="B91" s="116">
        <v>356.14618808615103</v>
      </c>
      <c r="C91" s="116">
        <v>345.29408817216898</v>
      </c>
      <c r="D91" s="116">
        <v>341.34787002163</v>
      </c>
      <c r="E91" s="116">
        <v>342.33442455926399</v>
      </c>
      <c r="F91" s="116">
        <v>350</v>
      </c>
      <c r="G91">
        <v>514</v>
      </c>
      <c r="H91" s="116"/>
      <c r="I91" s="116"/>
      <c r="L91" s="170"/>
    </row>
    <row r="92" spans="1:12" x14ac:dyDescent="0.25">
      <c r="A92" s="170">
        <v>42137</v>
      </c>
      <c r="B92" s="116">
        <v>359.89509532916298</v>
      </c>
      <c r="C92" s="116">
        <v>349.43761723023499</v>
      </c>
      <c r="D92" s="116">
        <v>343.32097909689901</v>
      </c>
      <c r="E92" s="116">
        <v>359.89509532916298</v>
      </c>
      <c r="F92" s="116">
        <v>354.2</v>
      </c>
      <c r="G92">
        <v>1533</v>
      </c>
      <c r="H92" s="116"/>
      <c r="I92" s="116"/>
      <c r="L92" s="170"/>
    </row>
    <row r="93" spans="1:12" x14ac:dyDescent="0.25">
      <c r="A93" s="170">
        <v>42138</v>
      </c>
      <c r="B93" s="116">
        <v>358.80988533776502</v>
      </c>
      <c r="C93" s="116">
        <v>348.648373600127</v>
      </c>
      <c r="D93" s="116">
        <v>345.29408817216898</v>
      </c>
      <c r="E93" s="116">
        <v>358.80988533776502</v>
      </c>
      <c r="F93" s="116">
        <v>353.4</v>
      </c>
      <c r="G93">
        <v>822</v>
      </c>
      <c r="H93" s="116"/>
      <c r="I93" s="116"/>
      <c r="L93" s="170"/>
    </row>
    <row r="94" spans="1:12" x14ac:dyDescent="0.25">
      <c r="A94" s="170">
        <v>42139</v>
      </c>
      <c r="B94" s="116">
        <v>358.119297161421</v>
      </c>
      <c r="C94" s="116">
        <v>345.49139907969601</v>
      </c>
      <c r="D94" s="116">
        <v>341.446525475393</v>
      </c>
      <c r="E94" s="116">
        <v>341.446525475393</v>
      </c>
      <c r="F94" s="116">
        <v>350.2</v>
      </c>
      <c r="G94">
        <v>604</v>
      </c>
      <c r="H94" s="116"/>
      <c r="I94" s="116"/>
      <c r="L94" s="170"/>
    </row>
    <row r="95" spans="1:12" x14ac:dyDescent="0.25">
      <c r="A95" s="170">
        <v>42142</v>
      </c>
      <c r="B95" s="116">
        <v>350.22686086034298</v>
      </c>
      <c r="C95" s="116">
        <v>346.47795361733</v>
      </c>
      <c r="D95" s="116">
        <v>341.34787002163</v>
      </c>
      <c r="E95" s="116">
        <v>346.28064270980298</v>
      </c>
      <c r="F95" s="116">
        <v>351.2</v>
      </c>
      <c r="G95">
        <v>1961</v>
      </c>
      <c r="H95" s="116"/>
      <c r="I95" s="116"/>
      <c r="L95" s="170"/>
    </row>
    <row r="96" spans="1:12" x14ac:dyDescent="0.25">
      <c r="A96" s="170">
        <v>42143</v>
      </c>
      <c r="B96" s="116">
        <v>353.87711264959103</v>
      </c>
      <c r="C96" s="116">
        <v>347.66181906249199</v>
      </c>
      <c r="D96" s="116">
        <v>339.572071853887</v>
      </c>
      <c r="E96" s="116">
        <v>342.53173546679102</v>
      </c>
      <c r="F96" s="116">
        <v>352.4</v>
      </c>
      <c r="G96">
        <v>1721</v>
      </c>
      <c r="H96" s="116"/>
      <c r="I96" s="116"/>
      <c r="L96" s="170"/>
    </row>
    <row r="97" spans="1:12" x14ac:dyDescent="0.25">
      <c r="A97" s="170">
        <v>42144</v>
      </c>
      <c r="B97" s="116">
        <v>352.69324720443001</v>
      </c>
      <c r="C97" s="116">
        <v>345.88602089475</v>
      </c>
      <c r="D97" s="116">
        <v>340.55862639152201</v>
      </c>
      <c r="E97" s="116">
        <v>340.55862639152201</v>
      </c>
      <c r="F97" s="116">
        <v>350.6</v>
      </c>
      <c r="G97">
        <v>687</v>
      </c>
      <c r="H97" s="116"/>
      <c r="I97" s="116"/>
      <c r="L97" s="170"/>
    </row>
    <row r="98" spans="1:12" x14ac:dyDescent="0.25">
      <c r="A98" s="170">
        <v>42145</v>
      </c>
      <c r="B98" s="116">
        <v>347.36585270120202</v>
      </c>
      <c r="C98" s="116">
        <v>341.54518092915703</v>
      </c>
      <c r="D98" s="116">
        <v>340.45997093775799</v>
      </c>
      <c r="E98" s="116">
        <v>347.36585270120202</v>
      </c>
      <c r="F98" s="116">
        <v>346.2</v>
      </c>
      <c r="G98">
        <v>858</v>
      </c>
      <c r="H98" s="116"/>
      <c r="I98" s="116"/>
      <c r="L98" s="170"/>
    </row>
    <row r="99" spans="1:12" x14ac:dyDescent="0.25">
      <c r="A99" s="170">
        <v>42146</v>
      </c>
      <c r="B99" s="116">
        <v>345.29408817216898</v>
      </c>
      <c r="C99" s="116">
        <v>339.07879458507</v>
      </c>
      <c r="D99" s="116">
        <v>338.38820640872501</v>
      </c>
      <c r="E99" s="116">
        <v>343.32097909689901</v>
      </c>
      <c r="F99" s="116">
        <v>343.7</v>
      </c>
      <c r="G99">
        <v>783</v>
      </c>
      <c r="H99" s="116"/>
      <c r="I99" s="116"/>
      <c r="L99" s="170"/>
    </row>
    <row r="100" spans="1:12" x14ac:dyDescent="0.25">
      <c r="A100" s="170">
        <v>42149</v>
      </c>
      <c r="B100" s="116">
        <v>344.30753363453402</v>
      </c>
      <c r="C100" s="116">
        <v>338.09224004743498</v>
      </c>
      <c r="D100" s="116">
        <v>331.48232464528201</v>
      </c>
      <c r="E100" s="116">
        <v>339.37476094636003</v>
      </c>
      <c r="F100" s="116">
        <v>342.7</v>
      </c>
      <c r="G100">
        <v>2339</v>
      </c>
      <c r="H100" s="116"/>
      <c r="I100" s="116"/>
      <c r="L100" s="170"/>
    </row>
    <row r="101" spans="1:12" x14ac:dyDescent="0.25">
      <c r="A101" s="170">
        <v>42150</v>
      </c>
      <c r="B101" s="116">
        <v>347.76047451625601</v>
      </c>
      <c r="C101" s="116">
        <v>338.28955095496201</v>
      </c>
      <c r="D101" s="116">
        <v>336.415097333456</v>
      </c>
      <c r="E101" s="116">
        <v>340.36131548399499</v>
      </c>
      <c r="F101" s="116">
        <v>342.9</v>
      </c>
      <c r="G101">
        <v>1313</v>
      </c>
      <c r="H101" s="116"/>
      <c r="I101" s="116"/>
      <c r="L101" s="170"/>
    </row>
    <row r="102" spans="1:12" x14ac:dyDescent="0.25">
      <c r="A102" s="170">
        <v>42151</v>
      </c>
      <c r="B102" s="116">
        <v>355.15963354851601</v>
      </c>
      <c r="C102" s="116">
        <v>341.64383638291997</v>
      </c>
      <c r="D102" s="116">
        <v>334.73795461947702</v>
      </c>
      <c r="E102" s="116">
        <v>334.73795461947702</v>
      </c>
      <c r="F102" s="116">
        <v>346.3</v>
      </c>
      <c r="G102">
        <v>492</v>
      </c>
      <c r="H102" s="116"/>
      <c r="I102" s="116"/>
      <c r="L102" s="170"/>
    </row>
    <row r="103" spans="1:12" x14ac:dyDescent="0.25">
      <c r="A103" s="170">
        <v>42152</v>
      </c>
      <c r="B103" s="116">
        <v>352.69324720443001</v>
      </c>
      <c r="C103" s="116">
        <v>338.48686186248898</v>
      </c>
      <c r="D103" s="116">
        <v>337.50030732485402</v>
      </c>
      <c r="E103" s="116">
        <v>337.50030732485402</v>
      </c>
      <c r="F103" s="116">
        <v>343.1</v>
      </c>
      <c r="G103">
        <v>663</v>
      </c>
      <c r="H103" s="116"/>
      <c r="I103" s="116"/>
      <c r="L103" s="170"/>
    </row>
    <row r="104" spans="1:12" x14ac:dyDescent="0.25">
      <c r="A104" s="170">
        <v>42153</v>
      </c>
      <c r="B104" s="116">
        <v>350.22686086034298</v>
      </c>
      <c r="C104" s="116">
        <v>346.47795361733</v>
      </c>
      <c r="D104" s="116">
        <v>341.34787002163</v>
      </c>
      <c r="E104" s="116">
        <v>347.26719724743799</v>
      </c>
      <c r="F104" s="116">
        <v>351.2</v>
      </c>
      <c r="G104">
        <v>1145</v>
      </c>
      <c r="H104" s="116"/>
      <c r="I104" s="116"/>
      <c r="L104" s="170"/>
    </row>
    <row r="105" spans="1:12" x14ac:dyDescent="0.25">
      <c r="A105" s="170">
        <v>42156</v>
      </c>
      <c r="B105" s="116">
        <v>354.074423557118</v>
      </c>
      <c r="C105" s="116">
        <v>344.20887818077</v>
      </c>
      <c r="D105" s="116">
        <v>341.742491836684</v>
      </c>
      <c r="E105" s="116">
        <v>343.32097909689901</v>
      </c>
      <c r="F105" s="116">
        <v>348.9</v>
      </c>
      <c r="G105">
        <v>761</v>
      </c>
      <c r="H105" s="116"/>
      <c r="I105" s="116"/>
      <c r="L105" s="170"/>
    </row>
    <row r="106" spans="1:12" x14ac:dyDescent="0.25">
      <c r="A106" s="170">
        <v>42157</v>
      </c>
      <c r="B106" s="116">
        <v>353.97576810335499</v>
      </c>
      <c r="C106" s="116">
        <v>342.82770182808201</v>
      </c>
      <c r="D106" s="116">
        <v>341.841147290447</v>
      </c>
      <c r="E106" s="116">
        <v>350.22686086034298</v>
      </c>
      <c r="F106" s="116">
        <v>347.5</v>
      </c>
      <c r="G106">
        <v>2553</v>
      </c>
      <c r="H106" s="116"/>
      <c r="I106" s="116"/>
      <c r="L106" s="170"/>
    </row>
    <row r="107" spans="1:12" x14ac:dyDescent="0.25">
      <c r="A107" s="170">
        <v>42158</v>
      </c>
      <c r="B107" s="116">
        <v>355.06097809475301</v>
      </c>
      <c r="C107" s="116">
        <v>328.22669467108699</v>
      </c>
      <c r="D107" s="116">
        <v>325.56299741947299</v>
      </c>
      <c r="E107" s="116">
        <v>341.34787002163</v>
      </c>
      <c r="F107" s="116">
        <v>332.7</v>
      </c>
      <c r="G107">
        <v>5779</v>
      </c>
      <c r="H107" s="116"/>
      <c r="I107" s="116"/>
      <c r="L107" s="170"/>
    </row>
    <row r="108" spans="1:12" x14ac:dyDescent="0.25">
      <c r="A108" s="170">
        <v>42159</v>
      </c>
      <c r="B108" s="116">
        <v>335.42854279582099</v>
      </c>
      <c r="C108" s="116">
        <v>329.41056011624897</v>
      </c>
      <c r="D108" s="116">
        <v>327.53610649474302</v>
      </c>
      <c r="E108" s="116">
        <v>335.42854279582099</v>
      </c>
      <c r="F108" s="116">
        <v>333.9</v>
      </c>
      <c r="G108">
        <v>922</v>
      </c>
      <c r="H108" s="116"/>
      <c r="I108" s="116"/>
      <c r="L108" s="170"/>
    </row>
    <row r="109" spans="1:12" x14ac:dyDescent="0.25">
      <c r="A109" s="170">
        <v>42160</v>
      </c>
      <c r="B109" s="116">
        <v>345.19543271840502</v>
      </c>
      <c r="C109" s="116">
        <v>333.55408917431498</v>
      </c>
      <c r="D109" s="116">
        <v>330.49577010764699</v>
      </c>
      <c r="E109" s="116">
        <v>330.49577010764699</v>
      </c>
      <c r="F109" s="116">
        <v>338.1</v>
      </c>
      <c r="G109">
        <v>848</v>
      </c>
      <c r="H109" s="116"/>
      <c r="I109" s="116"/>
      <c r="L109" s="170"/>
    </row>
    <row r="110" spans="1:12" x14ac:dyDescent="0.25">
      <c r="A110" s="170">
        <v>42163</v>
      </c>
      <c r="B110" s="116">
        <v>341.34787002163</v>
      </c>
      <c r="C110" s="116">
        <v>320.23560291624602</v>
      </c>
      <c r="D110" s="116">
        <v>315.69745204312602</v>
      </c>
      <c r="E110" s="116">
        <v>341.34787002163</v>
      </c>
      <c r="F110" s="116">
        <v>324.60000000000002</v>
      </c>
      <c r="G110">
        <v>2917</v>
      </c>
      <c r="H110" s="116"/>
      <c r="I110" s="116"/>
      <c r="L110" s="170"/>
    </row>
    <row r="111" spans="1:12" x14ac:dyDescent="0.25">
      <c r="A111" s="170">
        <v>42164</v>
      </c>
      <c r="B111" s="116">
        <v>329.01593830119498</v>
      </c>
      <c r="C111" s="116">
        <v>325.46434196570999</v>
      </c>
      <c r="D111" s="116">
        <v>320.72888018506302</v>
      </c>
      <c r="E111" s="116">
        <v>320.72888018506302</v>
      </c>
      <c r="F111" s="116">
        <v>329.9</v>
      </c>
      <c r="G111">
        <v>302</v>
      </c>
      <c r="H111" s="116"/>
      <c r="I111" s="116"/>
      <c r="L111" s="170"/>
    </row>
    <row r="112" spans="1:12" x14ac:dyDescent="0.25">
      <c r="A112" s="170">
        <v>42165</v>
      </c>
      <c r="B112" s="116">
        <v>335.23123188829402</v>
      </c>
      <c r="C112" s="116">
        <v>326.74686286463498</v>
      </c>
      <c r="D112" s="116">
        <v>322.60333380656903</v>
      </c>
      <c r="E112" s="116">
        <v>325.56299741947299</v>
      </c>
      <c r="F112" s="116">
        <v>331.2</v>
      </c>
      <c r="G112">
        <v>2334</v>
      </c>
      <c r="H112" s="116"/>
      <c r="I112" s="116"/>
      <c r="L112" s="170"/>
    </row>
    <row r="113" spans="1:12" x14ac:dyDescent="0.25">
      <c r="A113" s="170">
        <v>42166</v>
      </c>
      <c r="B113" s="116">
        <v>329.41056011624897</v>
      </c>
      <c r="C113" s="116">
        <v>324.87240924312903</v>
      </c>
      <c r="D113" s="116">
        <v>315.69745204312602</v>
      </c>
      <c r="E113" s="116">
        <v>327.53610649474302</v>
      </c>
      <c r="F113" s="116">
        <v>329.3</v>
      </c>
      <c r="G113">
        <v>2517</v>
      </c>
      <c r="H113" s="116"/>
      <c r="I113" s="116"/>
      <c r="L113" s="170"/>
    </row>
    <row r="114" spans="1:12" x14ac:dyDescent="0.25">
      <c r="A114" s="170">
        <v>42167</v>
      </c>
      <c r="B114" s="116">
        <v>326.54955195710801</v>
      </c>
      <c r="C114" s="116">
        <v>324.576442881839</v>
      </c>
      <c r="D114" s="116">
        <v>316.78266203452398</v>
      </c>
      <c r="E114" s="116">
        <v>324.576442881839</v>
      </c>
      <c r="F114" s="116">
        <v>329</v>
      </c>
      <c r="G114">
        <v>2765</v>
      </c>
      <c r="H114" s="116"/>
      <c r="I114" s="116"/>
      <c r="L114" s="170"/>
    </row>
    <row r="115" spans="1:12" x14ac:dyDescent="0.25">
      <c r="A115" s="170">
        <v>42170</v>
      </c>
      <c r="B115" s="116">
        <v>330.49577010764699</v>
      </c>
      <c r="C115" s="116">
        <v>323.78719925173101</v>
      </c>
      <c r="D115" s="116">
        <v>315.69745204312602</v>
      </c>
      <c r="E115" s="116">
        <v>327.53610649474302</v>
      </c>
      <c r="F115" s="116">
        <v>328.2</v>
      </c>
      <c r="G115">
        <v>1467</v>
      </c>
      <c r="H115" s="116"/>
      <c r="I115" s="116"/>
      <c r="L115" s="170"/>
    </row>
    <row r="116" spans="1:12" x14ac:dyDescent="0.25">
      <c r="A116" s="170">
        <v>42171</v>
      </c>
      <c r="B116" s="116">
        <v>329.90383738506603</v>
      </c>
      <c r="C116" s="116">
        <v>322.70198926033299</v>
      </c>
      <c r="D116" s="116">
        <v>321.81409017646098</v>
      </c>
      <c r="E116" s="116">
        <v>321.81409017646098</v>
      </c>
      <c r="F116" s="116">
        <v>327.10000000000002</v>
      </c>
      <c r="G116">
        <v>499</v>
      </c>
      <c r="H116" s="116"/>
      <c r="I116" s="116"/>
      <c r="L116" s="170"/>
    </row>
    <row r="117" spans="1:12" x14ac:dyDescent="0.25">
      <c r="A117" s="170">
        <v>42172</v>
      </c>
      <c r="B117" s="116">
        <v>330.49577010764699</v>
      </c>
      <c r="C117" s="116">
        <v>325.36568651194602</v>
      </c>
      <c r="D117" s="116">
        <v>323.68854379796699</v>
      </c>
      <c r="E117" s="116">
        <v>325.56299741947299</v>
      </c>
      <c r="F117" s="116">
        <v>329.8</v>
      </c>
      <c r="G117">
        <v>1715</v>
      </c>
      <c r="H117" s="116"/>
      <c r="I117" s="116"/>
      <c r="L117" s="170"/>
    </row>
    <row r="118" spans="1:12" x14ac:dyDescent="0.25">
      <c r="A118" s="170">
        <v>42173</v>
      </c>
      <c r="B118" s="116">
        <v>329.50921557001197</v>
      </c>
      <c r="C118" s="116">
        <v>326.35224104958098</v>
      </c>
      <c r="D118" s="116">
        <v>323.68854379796699</v>
      </c>
      <c r="E118" s="116">
        <v>328.52266103237798</v>
      </c>
      <c r="F118" s="116">
        <v>330.8</v>
      </c>
      <c r="G118">
        <v>879</v>
      </c>
      <c r="H118" s="116"/>
      <c r="I118" s="116"/>
      <c r="L118" s="170"/>
    </row>
    <row r="119" spans="1:12" x14ac:dyDescent="0.25">
      <c r="A119" s="170">
        <v>42174</v>
      </c>
      <c r="B119" s="116">
        <v>340.36131548399499</v>
      </c>
      <c r="C119" s="116">
        <v>325.56299741947299</v>
      </c>
      <c r="D119" s="116">
        <v>322.60333380656903</v>
      </c>
      <c r="E119" s="116">
        <v>340.36131548399499</v>
      </c>
      <c r="F119" s="116">
        <v>330</v>
      </c>
      <c r="G119">
        <v>2025</v>
      </c>
      <c r="H119" s="116"/>
      <c r="I119" s="116"/>
      <c r="L119" s="170"/>
    </row>
    <row r="120" spans="1:12" x14ac:dyDescent="0.25">
      <c r="A120" s="170">
        <v>42177</v>
      </c>
      <c r="B120" s="116">
        <v>342.33442455926399</v>
      </c>
      <c r="C120" s="116">
        <v>336.31644187969198</v>
      </c>
      <c r="D120" s="116">
        <v>331.48232464528201</v>
      </c>
      <c r="E120" s="116">
        <v>332.46887918291702</v>
      </c>
      <c r="F120" s="116">
        <v>340.9</v>
      </c>
      <c r="G120">
        <v>1935</v>
      </c>
      <c r="H120" s="116"/>
      <c r="I120" s="116"/>
      <c r="L120" s="170"/>
    </row>
    <row r="121" spans="1:12" x14ac:dyDescent="0.25">
      <c r="A121" s="170">
        <v>42178</v>
      </c>
      <c r="B121" s="116">
        <v>352.19996993561199</v>
      </c>
      <c r="C121" s="116">
        <v>340.26266003023102</v>
      </c>
      <c r="D121" s="116">
        <v>336.02047551840201</v>
      </c>
      <c r="E121" s="116">
        <v>341.24921456786598</v>
      </c>
      <c r="F121" s="116">
        <v>344.9</v>
      </c>
      <c r="G121">
        <v>12438</v>
      </c>
      <c r="H121" s="116"/>
      <c r="I121" s="116"/>
      <c r="L121" s="170"/>
    </row>
    <row r="122" spans="1:12" x14ac:dyDescent="0.25">
      <c r="A122" s="170">
        <v>42179</v>
      </c>
      <c r="B122" s="116">
        <v>349.141650868944</v>
      </c>
      <c r="C122" s="116">
        <v>343.715600911953</v>
      </c>
      <c r="D122" s="116">
        <v>341.93980274421102</v>
      </c>
      <c r="E122" s="116">
        <v>348.25375178507301</v>
      </c>
      <c r="F122" s="116">
        <v>348.4</v>
      </c>
      <c r="G122">
        <v>1428</v>
      </c>
      <c r="H122" s="116"/>
      <c r="I122" s="116"/>
      <c r="L122" s="170"/>
    </row>
    <row r="123" spans="1:12" x14ac:dyDescent="0.25">
      <c r="A123" s="170">
        <v>42180</v>
      </c>
      <c r="B123" s="116">
        <v>347.26719724743799</v>
      </c>
      <c r="C123" s="116">
        <v>338.684172770016</v>
      </c>
      <c r="D123" s="116">
        <v>338.38820640872501</v>
      </c>
      <c r="E123" s="116">
        <v>343.51829000442598</v>
      </c>
      <c r="F123" s="116">
        <v>343.3</v>
      </c>
      <c r="G123">
        <v>1259</v>
      </c>
      <c r="H123" s="116"/>
      <c r="I123" s="116"/>
      <c r="L123" s="170"/>
    </row>
    <row r="124" spans="1:12" x14ac:dyDescent="0.25">
      <c r="A124" s="170">
        <v>42181</v>
      </c>
      <c r="B124" s="116">
        <v>342.82770182808201</v>
      </c>
      <c r="C124" s="116">
        <v>332.96215645173402</v>
      </c>
      <c r="D124" s="116">
        <v>330.59442556141101</v>
      </c>
      <c r="E124" s="116">
        <v>339.37476094636003</v>
      </c>
      <c r="F124" s="116">
        <v>337.5</v>
      </c>
      <c r="G124">
        <v>2084</v>
      </c>
      <c r="H124" s="116"/>
      <c r="I124" s="116"/>
      <c r="L124" s="170"/>
    </row>
    <row r="125" spans="1:12" x14ac:dyDescent="0.25">
      <c r="A125" s="170">
        <v>42184</v>
      </c>
      <c r="B125" s="116">
        <v>336.415097333456</v>
      </c>
      <c r="C125" s="116">
        <v>334.83661007324002</v>
      </c>
      <c r="D125" s="116">
        <v>325.56299741947299</v>
      </c>
      <c r="E125" s="116">
        <v>325.56299741947299</v>
      </c>
      <c r="F125" s="116">
        <v>339.4</v>
      </c>
      <c r="G125">
        <v>893</v>
      </c>
      <c r="H125" s="116"/>
      <c r="I125" s="116"/>
      <c r="L125" s="170"/>
    </row>
    <row r="126" spans="1:12" x14ac:dyDescent="0.25">
      <c r="A126" s="170">
        <v>42185</v>
      </c>
      <c r="B126" s="116">
        <v>340.36131548399499</v>
      </c>
      <c r="C126" s="116">
        <v>338.78282822377901</v>
      </c>
      <c r="D126" s="116">
        <v>336.415097333456</v>
      </c>
      <c r="E126" s="116">
        <v>336.415097333456</v>
      </c>
      <c r="F126" s="116">
        <v>343.4</v>
      </c>
      <c r="G126">
        <v>884</v>
      </c>
      <c r="H126" s="116"/>
      <c r="I126" s="116"/>
      <c r="L126" s="170"/>
    </row>
    <row r="127" spans="1:12" x14ac:dyDescent="0.25">
      <c r="A127" s="170">
        <v>42186</v>
      </c>
      <c r="B127" s="116">
        <v>347.95778542378298</v>
      </c>
      <c r="C127" s="116">
        <v>346.08333180227697</v>
      </c>
      <c r="D127" s="116">
        <v>337.50030732485402</v>
      </c>
      <c r="E127" s="116">
        <v>340.26266003023102</v>
      </c>
      <c r="F127" s="116">
        <v>350.8</v>
      </c>
      <c r="G127">
        <v>2081</v>
      </c>
      <c r="H127" s="116"/>
      <c r="I127" s="116"/>
      <c r="L127" s="170"/>
    </row>
    <row r="128" spans="1:12" x14ac:dyDescent="0.25">
      <c r="A128" s="170">
        <v>42187</v>
      </c>
      <c r="B128" s="116">
        <v>359.99375078292701</v>
      </c>
      <c r="C128" s="116">
        <v>348.648373600127</v>
      </c>
      <c r="D128" s="116">
        <v>340.36131548399499</v>
      </c>
      <c r="E128" s="116">
        <v>340.45997093775799</v>
      </c>
      <c r="F128" s="116">
        <v>353.4</v>
      </c>
      <c r="G128">
        <v>775</v>
      </c>
      <c r="H128" s="116"/>
      <c r="I128" s="116"/>
      <c r="L128" s="170"/>
    </row>
    <row r="129" spans="1:12" x14ac:dyDescent="0.25">
      <c r="A129" s="170">
        <v>42188</v>
      </c>
      <c r="B129" s="116">
        <v>368.97139707540299</v>
      </c>
      <c r="C129" s="116">
        <v>360.782994413035</v>
      </c>
      <c r="D129" s="116">
        <v>345.59005453345901</v>
      </c>
      <c r="E129" s="116">
        <v>349.24030632270802</v>
      </c>
      <c r="F129" s="116">
        <v>365.7</v>
      </c>
      <c r="G129">
        <v>6446</v>
      </c>
      <c r="H129" s="116"/>
      <c r="I129" s="116"/>
      <c r="L129" s="170"/>
    </row>
    <row r="130" spans="1:12" x14ac:dyDescent="0.25">
      <c r="A130" s="170">
        <v>42191</v>
      </c>
      <c r="B130" s="116">
        <v>386.72937875282901</v>
      </c>
      <c r="C130" s="116">
        <v>384.06568150121501</v>
      </c>
      <c r="D130" s="116">
        <v>355.65291081733398</v>
      </c>
      <c r="E130" s="116">
        <v>360.09240623669001</v>
      </c>
      <c r="F130" s="116">
        <v>389.3</v>
      </c>
      <c r="G130">
        <v>9675</v>
      </c>
      <c r="H130" s="116"/>
      <c r="I130" s="116"/>
      <c r="L130" s="170"/>
    </row>
    <row r="131" spans="1:12" x14ac:dyDescent="0.25">
      <c r="A131" s="170">
        <v>42192</v>
      </c>
      <c r="B131" s="116">
        <v>403.40215043885701</v>
      </c>
      <c r="C131" s="116">
        <v>385.34820240014</v>
      </c>
      <c r="D131" s="116">
        <v>379.823496989386</v>
      </c>
      <c r="E131" s="116">
        <v>382.78316060229002</v>
      </c>
      <c r="F131" s="116">
        <v>390.6</v>
      </c>
      <c r="G131">
        <v>9927</v>
      </c>
      <c r="H131" s="116"/>
      <c r="I131" s="116"/>
      <c r="L131" s="170"/>
    </row>
    <row r="132" spans="1:12" x14ac:dyDescent="0.25">
      <c r="A132" s="170">
        <v>42193</v>
      </c>
      <c r="B132" s="116">
        <v>394.62181505390703</v>
      </c>
      <c r="C132" s="116">
        <v>384.75626967755898</v>
      </c>
      <c r="D132" s="116">
        <v>379.823496989386</v>
      </c>
      <c r="E132" s="116">
        <v>379.823496989386</v>
      </c>
      <c r="F132" s="116">
        <v>390</v>
      </c>
      <c r="G132">
        <v>4361</v>
      </c>
      <c r="H132" s="116"/>
      <c r="I132" s="116"/>
      <c r="L132" s="170"/>
    </row>
    <row r="133" spans="1:12" x14ac:dyDescent="0.25">
      <c r="A133" s="170">
        <v>42194</v>
      </c>
      <c r="B133" s="116">
        <v>414.15559489907599</v>
      </c>
      <c r="C133" s="116">
        <v>407.15105768186902</v>
      </c>
      <c r="D133" s="116">
        <v>373.50954794852299</v>
      </c>
      <c r="E133" s="116">
        <v>373.50954794852299</v>
      </c>
      <c r="F133" s="116">
        <v>412.7</v>
      </c>
      <c r="G133">
        <v>15629</v>
      </c>
      <c r="H133" s="116"/>
      <c r="I133" s="116"/>
      <c r="L133" s="170"/>
    </row>
    <row r="134" spans="1:12" x14ac:dyDescent="0.25">
      <c r="A134" s="170">
        <v>42195</v>
      </c>
      <c r="B134" s="116">
        <v>428.16466933348897</v>
      </c>
      <c r="C134" s="116">
        <v>422.14668665391702</v>
      </c>
      <c r="D134" s="116">
        <v>415.33946034423701</v>
      </c>
      <c r="E134" s="116">
        <v>419.28567849477599</v>
      </c>
      <c r="F134" s="116">
        <v>427.9</v>
      </c>
      <c r="G134">
        <v>8283</v>
      </c>
      <c r="H134" s="116"/>
      <c r="I134" s="116"/>
      <c r="L134" s="170"/>
    </row>
    <row r="135" spans="1:12" x14ac:dyDescent="0.25">
      <c r="A135" s="170">
        <v>42198</v>
      </c>
      <c r="B135" s="116">
        <v>492.29071427974901</v>
      </c>
      <c r="C135" s="116">
        <v>477.19642985393699</v>
      </c>
      <c r="D135" s="116">
        <v>425.30366117434801</v>
      </c>
      <c r="E135" s="116">
        <v>426.092904804456</v>
      </c>
      <c r="F135" s="116">
        <v>483.7</v>
      </c>
      <c r="G135">
        <v>41525</v>
      </c>
      <c r="H135" s="116"/>
      <c r="I135" s="116"/>
      <c r="L135" s="170"/>
    </row>
    <row r="136" spans="1:12" x14ac:dyDescent="0.25">
      <c r="A136" s="170">
        <v>42199</v>
      </c>
      <c r="B136" s="116">
        <v>517.94113225825299</v>
      </c>
      <c r="C136" s="116">
        <v>507.68096506685202</v>
      </c>
      <c r="D136" s="116">
        <v>471.57306898941903</v>
      </c>
      <c r="E136" s="116">
        <v>478.47895075286198</v>
      </c>
      <c r="F136" s="116">
        <v>514.6</v>
      </c>
      <c r="G136">
        <v>33463</v>
      </c>
      <c r="H136" s="116"/>
      <c r="I136" s="116"/>
      <c r="L136" s="170"/>
    </row>
    <row r="137" spans="1:12" x14ac:dyDescent="0.25">
      <c r="A137" s="170">
        <v>42200</v>
      </c>
      <c r="B137" s="116">
        <v>581.08062266687796</v>
      </c>
      <c r="C137" s="116">
        <v>567.26885913999104</v>
      </c>
      <c r="D137" s="116">
        <v>494.36247880878199</v>
      </c>
      <c r="E137" s="116">
        <v>512.90970411631599</v>
      </c>
      <c r="F137" s="116">
        <v>575</v>
      </c>
      <c r="G137">
        <v>51250</v>
      </c>
      <c r="H137" s="116"/>
      <c r="I137" s="116"/>
      <c r="L137" s="170"/>
    </row>
    <row r="138" spans="1:12" x14ac:dyDescent="0.25">
      <c r="A138" s="170">
        <v>42201</v>
      </c>
      <c r="B138" s="116">
        <v>600.81171341957395</v>
      </c>
      <c r="C138" s="116">
        <v>575.45726180235999</v>
      </c>
      <c r="D138" s="116">
        <v>567.367514593755</v>
      </c>
      <c r="E138" s="116">
        <v>584.040286279783</v>
      </c>
      <c r="F138" s="116">
        <v>583.29999999999995</v>
      </c>
      <c r="G138">
        <v>24279</v>
      </c>
      <c r="H138" s="116"/>
      <c r="I138" s="116"/>
      <c r="L138" s="170"/>
    </row>
    <row r="139" spans="1:12" x14ac:dyDescent="0.25">
      <c r="A139" s="170">
        <v>42202</v>
      </c>
      <c r="B139" s="116">
        <v>582.06717720451297</v>
      </c>
      <c r="C139" s="116">
        <v>568.15675822386299</v>
      </c>
      <c r="D139" s="116">
        <v>534.81121485180802</v>
      </c>
      <c r="E139" s="116">
        <v>572.20163182816498</v>
      </c>
      <c r="F139" s="116">
        <v>575.9</v>
      </c>
      <c r="G139">
        <v>31137</v>
      </c>
      <c r="H139" s="116"/>
      <c r="I139" s="116"/>
      <c r="L139" s="170"/>
    </row>
    <row r="140" spans="1:12" x14ac:dyDescent="0.25">
      <c r="A140" s="170">
        <v>42205</v>
      </c>
      <c r="B140" s="116">
        <v>570.22852275289597</v>
      </c>
      <c r="C140" s="116">
        <v>560.16566646902095</v>
      </c>
      <c r="D140" s="116">
        <v>544.08482750557403</v>
      </c>
      <c r="E140" s="116">
        <v>548.52432292493097</v>
      </c>
      <c r="F140" s="116">
        <v>567.79999999999995</v>
      </c>
      <c r="G140">
        <v>5609</v>
      </c>
      <c r="H140" s="116"/>
      <c r="I140" s="116"/>
      <c r="L140" s="170"/>
    </row>
    <row r="141" spans="1:12" x14ac:dyDescent="0.25">
      <c r="A141" s="170">
        <v>42206</v>
      </c>
      <c r="B141" s="116">
        <v>557.60062467117098</v>
      </c>
      <c r="C141" s="116">
        <v>530.27306397868801</v>
      </c>
      <c r="D141" s="116">
        <v>522.87390494642705</v>
      </c>
      <c r="E141" s="116">
        <v>545.66331476579001</v>
      </c>
      <c r="F141" s="116">
        <v>537.5</v>
      </c>
      <c r="G141">
        <v>3902</v>
      </c>
      <c r="H141" s="116"/>
      <c r="I141" s="116"/>
      <c r="L141" s="170"/>
    </row>
    <row r="142" spans="1:12" x14ac:dyDescent="0.25">
      <c r="A142" s="170">
        <v>42207</v>
      </c>
      <c r="B142" s="116">
        <v>548.52432292493097</v>
      </c>
      <c r="C142" s="116">
        <v>543.78886114428406</v>
      </c>
      <c r="D142" s="116">
        <v>526.72146764320303</v>
      </c>
      <c r="E142" s="116">
        <v>527.80667763460099</v>
      </c>
      <c r="F142" s="116">
        <v>551.20000000000005</v>
      </c>
      <c r="G142">
        <v>14069</v>
      </c>
      <c r="H142" s="116"/>
      <c r="I142" s="116"/>
      <c r="L142" s="170"/>
    </row>
    <row r="143" spans="1:12" x14ac:dyDescent="0.25">
      <c r="A143" s="170">
        <v>42208</v>
      </c>
      <c r="B143" s="116">
        <v>562.23743099805404</v>
      </c>
      <c r="C143" s="116">
        <v>545.36734840450004</v>
      </c>
      <c r="D143" s="116">
        <v>541.61844116148802</v>
      </c>
      <c r="E143" s="116">
        <v>543.78886114428406</v>
      </c>
      <c r="F143" s="116">
        <v>552.79999999999995</v>
      </c>
      <c r="G143">
        <v>6689</v>
      </c>
      <c r="H143" s="116"/>
      <c r="I143" s="116"/>
      <c r="L143" s="170"/>
    </row>
    <row r="144" spans="1:12" x14ac:dyDescent="0.25">
      <c r="A144" s="170">
        <v>42209</v>
      </c>
      <c r="B144" s="116">
        <v>547.93239020235001</v>
      </c>
      <c r="C144" s="116">
        <v>542.01306297654105</v>
      </c>
      <c r="D144" s="116">
        <v>529.286509441053</v>
      </c>
      <c r="E144" s="116">
        <v>539.64533208621799</v>
      </c>
      <c r="F144" s="116">
        <v>549.4</v>
      </c>
      <c r="G144">
        <v>5025</v>
      </c>
      <c r="H144" s="116"/>
      <c r="I144" s="116"/>
      <c r="L144" s="170"/>
    </row>
    <row r="145" spans="1:18" x14ac:dyDescent="0.25">
      <c r="A145" s="170">
        <v>42212</v>
      </c>
      <c r="B145" s="116">
        <v>550.49743200019998</v>
      </c>
      <c r="C145" s="116">
        <v>535.60045848191498</v>
      </c>
      <c r="D145" s="116">
        <v>528.00398854212801</v>
      </c>
      <c r="E145" s="116">
        <v>536.68566847331397</v>
      </c>
      <c r="F145" s="116">
        <v>542.9</v>
      </c>
      <c r="G145">
        <v>2837</v>
      </c>
      <c r="H145" s="116"/>
      <c r="I145" s="116"/>
      <c r="L145" s="170"/>
    </row>
    <row r="146" spans="1:18" x14ac:dyDescent="0.25">
      <c r="A146" s="170">
        <v>42213</v>
      </c>
      <c r="B146" s="116">
        <v>547.53776838729596</v>
      </c>
      <c r="C146" s="116">
        <v>531.16096306255895</v>
      </c>
      <c r="D146" s="116">
        <v>526.91877855072903</v>
      </c>
      <c r="E146" s="116">
        <v>536.68566847331397</v>
      </c>
      <c r="F146" s="116">
        <v>538.4</v>
      </c>
      <c r="G146">
        <v>3058</v>
      </c>
      <c r="H146" s="116"/>
      <c r="I146" s="116"/>
      <c r="L146" s="170"/>
    </row>
    <row r="147" spans="1:18" x14ac:dyDescent="0.25">
      <c r="A147" s="170">
        <v>42214</v>
      </c>
      <c r="B147" s="116">
        <v>542.40768479159499</v>
      </c>
      <c r="C147" s="116">
        <v>526.62281218943895</v>
      </c>
      <c r="D147" s="116">
        <v>524.84701402169696</v>
      </c>
      <c r="E147" s="116">
        <v>542.40768479159499</v>
      </c>
      <c r="F147" s="116">
        <v>533.79999999999995</v>
      </c>
      <c r="G147">
        <v>2337</v>
      </c>
      <c r="H147" s="116"/>
      <c r="I147" s="116"/>
      <c r="L147" s="170"/>
    </row>
    <row r="148" spans="1:18" x14ac:dyDescent="0.25">
      <c r="A148" s="170">
        <v>42215</v>
      </c>
      <c r="B148" s="116">
        <v>540.43457571632598</v>
      </c>
      <c r="C148" s="116">
        <v>524.05777039158897</v>
      </c>
      <c r="D148" s="116">
        <v>522.77524949266297</v>
      </c>
      <c r="E148" s="116">
        <v>522.87390494642705</v>
      </c>
      <c r="F148" s="116">
        <v>531.20000000000005</v>
      </c>
      <c r="G148">
        <v>2091</v>
      </c>
      <c r="H148" s="116"/>
      <c r="I148" s="116"/>
      <c r="L148" s="170"/>
    </row>
    <row r="149" spans="1:18" x14ac:dyDescent="0.25">
      <c r="A149" s="170">
        <v>42216</v>
      </c>
      <c r="B149" s="116">
        <v>538.65877754858298</v>
      </c>
      <c r="C149" s="116">
        <v>526.72146764320303</v>
      </c>
      <c r="D149" s="116">
        <v>523.86045948406195</v>
      </c>
      <c r="E149" s="116">
        <v>530.66768579374195</v>
      </c>
      <c r="F149" s="116">
        <v>533.9</v>
      </c>
      <c r="G149">
        <v>3097</v>
      </c>
      <c r="H149" s="116"/>
      <c r="I149" s="116"/>
      <c r="L149" s="170"/>
    </row>
    <row r="150" spans="1:18" x14ac:dyDescent="0.25">
      <c r="A150" s="170">
        <v>42219</v>
      </c>
      <c r="B150" s="116">
        <v>579.35415222601705</v>
      </c>
      <c r="C150" s="116">
        <v>579.35415222601705</v>
      </c>
      <c r="D150" s="116">
        <v>527.80667763460099</v>
      </c>
      <c r="E150" s="116">
        <v>536.43902983890496</v>
      </c>
      <c r="F150" s="116">
        <v>587.25</v>
      </c>
      <c r="G150">
        <v>14896</v>
      </c>
      <c r="H150" s="116"/>
      <c r="I150" s="116"/>
      <c r="L150" s="170"/>
    </row>
    <row r="151" spans="1:18" x14ac:dyDescent="0.25">
      <c r="A151" s="170">
        <v>42220</v>
      </c>
      <c r="B151" s="116">
        <v>629.42179501098201</v>
      </c>
      <c r="C151" s="116">
        <v>620.29616553786002</v>
      </c>
      <c r="D151" s="116">
        <v>592.42599984967796</v>
      </c>
      <c r="E151" s="116">
        <v>595.87894073140001</v>
      </c>
      <c r="F151" s="116">
        <v>628.75</v>
      </c>
      <c r="G151">
        <v>19587</v>
      </c>
      <c r="H151" s="116"/>
      <c r="I151" s="116"/>
      <c r="L151" s="170"/>
    </row>
    <row r="152" spans="1:18" x14ac:dyDescent="0.25">
      <c r="A152" s="170">
        <v>42221</v>
      </c>
      <c r="B152" s="116">
        <v>649.15288576367698</v>
      </c>
      <c r="C152" s="116">
        <v>627.44868593571198</v>
      </c>
      <c r="D152" s="116">
        <v>621.52935870990405</v>
      </c>
      <c r="E152" s="116">
        <v>636.32767677442496</v>
      </c>
      <c r="F152" s="116">
        <v>636</v>
      </c>
      <c r="G152">
        <v>17498</v>
      </c>
      <c r="H152" s="116"/>
      <c r="I152" s="116"/>
      <c r="L152" s="170"/>
    </row>
    <row r="153" spans="1:18" x14ac:dyDescent="0.25">
      <c r="A153" s="170">
        <v>42222</v>
      </c>
      <c r="B153" s="116">
        <v>627.44868593571198</v>
      </c>
      <c r="C153" s="116">
        <v>594.399108924948</v>
      </c>
      <c r="D153" s="116">
        <v>591.93272258086097</v>
      </c>
      <c r="E153" s="116">
        <v>599.82515888193905</v>
      </c>
      <c r="F153" s="116">
        <v>602.5</v>
      </c>
      <c r="G153">
        <v>7928</v>
      </c>
      <c r="H153" s="116"/>
      <c r="I153" s="116"/>
      <c r="L153" s="170"/>
    </row>
    <row r="154" spans="1:18" x14ac:dyDescent="0.25">
      <c r="A154" s="170">
        <v>42223</v>
      </c>
      <c r="B154" s="116">
        <v>612.65036787119095</v>
      </c>
      <c r="C154" s="116">
        <v>582.06717720451297</v>
      </c>
      <c r="D154" s="116">
        <v>576.14784997870402</v>
      </c>
      <c r="E154" s="116">
        <v>591.93272258086097</v>
      </c>
      <c r="F154" s="116">
        <v>590</v>
      </c>
      <c r="G154">
        <v>8045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42226</v>
      </c>
      <c r="B155" s="116">
        <v>602.78482249484296</v>
      </c>
      <c r="C155" s="116">
        <v>587.49322716150402</v>
      </c>
      <c r="D155" s="116">
        <v>583.05373174214799</v>
      </c>
      <c r="E155" s="116">
        <v>599.82515888193905</v>
      </c>
      <c r="F155" s="116">
        <v>595.5</v>
      </c>
      <c r="G155">
        <v>2732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42227</v>
      </c>
      <c r="B156" s="116">
        <v>596.86549526903502</v>
      </c>
      <c r="C156" s="116">
        <v>568.74869094644396</v>
      </c>
      <c r="D156" s="116">
        <v>564.55583416149602</v>
      </c>
      <c r="E156" s="116">
        <v>595.87894073140001</v>
      </c>
      <c r="F156" s="116">
        <v>576.5</v>
      </c>
      <c r="G156">
        <v>3269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42228</v>
      </c>
      <c r="B157" s="116">
        <v>580.09406812924396</v>
      </c>
      <c r="C157" s="116">
        <v>558.14322966686996</v>
      </c>
      <c r="D157" s="116">
        <v>542.85163433353102</v>
      </c>
      <c r="E157" s="116">
        <v>580.09406812924396</v>
      </c>
      <c r="F157" s="116">
        <v>565.75</v>
      </c>
      <c r="G157">
        <v>4663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42229</v>
      </c>
      <c r="B158" s="116">
        <v>591.93272258086097</v>
      </c>
      <c r="C158" s="116">
        <v>568.25541367762605</v>
      </c>
      <c r="D158" s="116">
        <v>559.37642283891296</v>
      </c>
      <c r="E158" s="116">
        <v>591.93272258086097</v>
      </c>
      <c r="F158" s="116">
        <v>576</v>
      </c>
      <c r="G158">
        <v>6261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42230</v>
      </c>
      <c r="B159" s="116">
        <v>579.10751359160895</v>
      </c>
      <c r="C159" s="116">
        <v>567.76213640880906</v>
      </c>
      <c r="D159" s="116">
        <v>547.53776838729596</v>
      </c>
      <c r="E159" s="116">
        <v>560.36297737654797</v>
      </c>
      <c r="F159" s="116">
        <v>575.5</v>
      </c>
      <c r="G159">
        <v>7220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42233</v>
      </c>
      <c r="B160" s="116">
        <v>576.14784997870402</v>
      </c>
      <c r="C160" s="116">
        <v>566.28230460235704</v>
      </c>
      <c r="D160" s="116">
        <v>560.36297737654797</v>
      </c>
      <c r="E160" s="116">
        <v>562.829363720635</v>
      </c>
      <c r="F160" s="116">
        <v>574</v>
      </c>
      <c r="G160">
        <v>2110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42234</v>
      </c>
      <c r="B161" s="116">
        <v>611.66381333355605</v>
      </c>
      <c r="C161" s="116">
        <v>589.95961350559105</v>
      </c>
      <c r="D161" s="116">
        <v>572.20163182816498</v>
      </c>
      <c r="E161" s="116">
        <v>580.34070676365195</v>
      </c>
      <c r="F161" s="116">
        <v>598</v>
      </c>
      <c r="G161">
        <v>7595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42235</v>
      </c>
      <c r="B162" s="116">
        <v>616.59658602172999</v>
      </c>
      <c r="C162" s="116">
        <v>608.45751108624302</v>
      </c>
      <c r="D162" s="116">
        <v>600.31843615075604</v>
      </c>
      <c r="E162" s="116">
        <v>606.48440201097401</v>
      </c>
      <c r="F162" s="116">
        <v>616.75</v>
      </c>
      <c r="G162">
        <v>5247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42236</v>
      </c>
      <c r="B163" s="116">
        <v>620.54280417226903</v>
      </c>
      <c r="C163" s="116">
        <v>593.16591575290397</v>
      </c>
      <c r="D163" s="116">
        <v>591.93272258086097</v>
      </c>
      <c r="E163" s="116">
        <v>619.55624963463401</v>
      </c>
      <c r="F163" s="116">
        <v>601.25</v>
      </c>
      <c r="G163">
        <v>4184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42237</v>
      </c>
      <c r="B164" s="116">
        <v>594.89238619376499</v>
      </c>
      <c r="C164" s="116">
        <v>590.69952940881706</v>
      </c>
      <c r="D164" s="116">
        <v>572.20163182816498</v>
      </c>
      <c r="E164" s="116">
        <v>580.34070676365195</v>
      </c>
      <c r="F164" s="116">
        <v>598.75</v>
      </c>
      <c r="G164">
        <v>1921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42240</v>
      </c>
      <c r="B165" s="116">
        <v>579.84742949483496</v>
      </c>
      <c r="C165" s="116">
        <v>515.72138454857497</v>
      </c>
      <c r="D165" s="116">
        <v>498.21004150555802</v>
      </c>
      <c r="E165" s="116">
        <v>567.26885913999104</v>
      </c>
      <c r="F165" s="116">
        <v>522.75</v>
      </c>
      <c r="G165">
        <v>15243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42241</v>
      </c>
      <c r="B166" s="116">
        <v>556.91003649482604</v>
      </c>
      <c r="C166" s="116">
        <v>507.33567097867899</v>
      </c>
      <c r="D166" s="116">
        <v>470.83315308619302</v>
      </c>
      <c r="E166" s="116">
        <v>532.73945032277504</v>
      </c>
      <c r="F166" s="116">
        <v>514.25</v>
      </c>
      <c r="G166">
        <v>13424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42242</v>
      </c>
      <c r="B167" s="116">
        <v>526.82012309696597</v>
      </c>
      <c r="C167" s="116">
        <v>506.59575507545298</v>
      </c>
      <c r="D167" s="116">
        <v>499.19659604319298</v>
      </c>
      <c r="E167" s="116">
        <v>526.82012309696597</v>
      </c>
      <c r="F167" s="116">
        <v>513.5</v>
      </c>
      <c r="G167">
        <v>1485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42243</v>
      </c>
      <c r="B168" s="116">
        <v>533.72600486040903</v>
      </c>
      <c r="C168" s="116">
        <v>531.75289578514003</v>
      </c>
      <c r="D168" s="116">
        <v>503.14281419373202</v>
      </c>
      <c r="E168" s="116">
        <v>503.14281419373202</v>
      </c>
      <c r="F168" s="116">
        <v>539</v>
      </c>
      <c r="G168">
        <v>5488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42244</v>
      </c>
      <c r="B169" s="116">
        <v>550.00415473138298</v>
      </c>
      <c r="C169" s="116">
        <v>528.54659353782699</v>
      </c>
      <c r="D169" s="116">
        <v>521.14743450556603</v>
      </c>
      <c r="E169" s="116">
        <v>528.05331626900897</v>
      </c>
      <c r="F169" s="116">
        <v>535.75</v>
      </c>
      <c r="G169">
        <v>6311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42247</v>
      </c>
      <c r="B170" s="116">
        <v>541.61844116148802</v>
      </c>
      <c r="C170" s="116">
        <v>531.01297988191402</v>
      </c>
      <c r="D170" s="116">
        <v>518.187770892662</v>
      </c>
      <c r="E170" s="116">
        <v>518.187770892662</v>
      </c>
      <c r="F170" s="116">
        <v>538.25</v>
      </c>
      <c r="G170">
        <v>1301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42248</v>
      </c>
      <c r="B171" s="116">
        <v>533.72600486040903</v>
      </c>
      <c r="C171" s="116">
        <v>516.46130045180098</v>
      </c>
      <c r="D171" s="116">
        <v>506.10247780663599</v>
      </c>
      <c r="E171" s="116">
        <v>530.76634124750501</v>
      </c>
      <c r="F171" s="116">
        <v>523.5</v>
      </c>
      <c r="G171">
        <v>2929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42249</v>
      </c>
      <c r="B172" s="116">
        <v>522.87390494642705</v>
      </c>
      <c r="C172" s="116">
        <v>504.86928463459202</v>
      </c>
      <c r="D172" s="116">
        <v>497.22348696792301</v>
      </c>
      <c r="E172" s="116">
        <v>522.87390494642705</v>
      </c>
      <c r="F172" s="116">
        <v>511.75</v>
      </c>
      <c r="G172">
        <v>2169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42250</v>
      </c>
      <c r="B173" s="116">
        <v>517.94113225825299</v>
      </c>
      <c r="C173" s="116">
        <v>513.99491410771395</v>
      </c>
      <c r="D173" s="116">
        <v>505.11592326900097</v>
      </c>
      <c r="E173" s="116">
        <v>514.98146864534897</v>
      </c>
      <c r="F173" s="116">
        <v>521</v>
      </c>
      <c r="G173">
        <v>2343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42251</v>
      </c>
      <c r="B174" s="116">
        <v>517.94113225825299</v>
      </c>
      <c r="C174" s="116">
        <v>493.27726881738403</v>
      </c>
      <c r="D174" s="116">
        <v>488.34449612920997</v>
      </c>
      <c r="E174" s="116">
        <v>517.94113225825299</v>
      </c>
      <c r="F174" s="116">
        <v>500</v>
      </c>
      <c r="G174">
        <v>5111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42254</v>
      </c>
      <c r="B175" s="116">
        <v>500.18315058082698</v>
      </c>
      <c r="C175" s="116">
        <v>474.28609396791501</v>
      </c>
      <c r="D175" s="116">
        <v>473.546178064689</v>
      </c>
      <c r="E175" s="116">
        <v>498.21004150555802</v>
      </c>
      <c r="F175" s="116">
        <v>480.75</v>
      </c>
      <c r="G175">
        <v>2479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42255</v>
      </c>
      <c r="B176" s="116">
        <v>491.304159742114</v>
      </c>
      <c r="C176" s="116">
        <v>485.138193881897</v>
      </c>
      <c r="D176" s="116">
        <v>463.68063268834101</v>
      </c>
      <c r="E176" s="116">
        <v>474.53273260232299</v>
      </c>
      <c r="F176" s="116">
        <v>491.75</v>
      </c>
      <c r="G176">
        <v>6689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42256</v>
      </c>
      <c r="B177" s="116">
        <v>503.88273009695803</v>
      </c>
      <c r="C177" s="116">
        <v>500.67642784964499</v>
      </c>
      <c r="D177" s="116">
        <v>494.26382335501899</v>
      </c>
      <c r="E177" s="116">
        <v>503.14281419373202</v>
      </c>
      <c r="F177" s="116">
        <v>507.5</v>
      </c>
      <c r="G177">
        <v>3572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42257</v>
      </c>
      <c r="B178" s="116">
        <v>498.21004150555802</v>
      </c>
      <c r="C178" s="116">
        <v>497.96340287114901</v>
      </c>
      <c r="D178" s="116">
        <v>488.34449612920997</v>
      </c>
      <c r="E178" s="116">
        <v>493.27726881738403</v>
      </c>
      <c r="F178" s="116">
        <v>504.75</v>
      </c>
      <c r="G178">
        <v>3862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42258</v>
      </c>
      <c r="B179" s="116">
        <v>507.089032344271</v>
      </c>
      <c r="C179" s="116">
        <v>498.21004150555802</v>
      </c>
      <c r="D179" s="116">
        <v>493.27726881738403</v>
      </c>
      <c r="E179" s="116">
        <v>493.27726881738403</v>
      </c>
      <c r="F179" s="116">
        <v>505</v>
      </c>
      <c r="G179">
        <v>1546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42261</v>
      </c>
      <c r="B180" s="116">
        <v>537.42558437653997</v>
      </c>
      <c r="C180" s="116">
        <v>530.02642534427901</v>
      </c>
      <c r="D180" s="116">
        <v>498.21004150555802</v>
      </c>
      <c r="E180" s="116">
        <v>499.19659604319298</v>
      </c>
      <c r="F180" s="116">
        <v>537.25</v>
      </c>
      <c r="G180">
        <v>4015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42262</v>
      </c>
      <c r="B181" s="116">
        <v>531.25961851632201</v>
      </c>
      <c r="C181" s="116">
        <v>510.29533459158398</v>
      </c>
      <c r="D181" s="116">
        <v>505.36256190340998</v>
      </c>
      <c r="E181" s="116">
        <v>527.56003900019198</v>
      </c>
      <c r="F181" s="116">
        <v>517.25</v>
      </c>
      <c r="G181">
        <v>595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42263</v>
      </c>
      <c r="B182" s="116">
        <v>522.87390494642705</v>
      </c>
      <c r="C182" s="116">
        <v>505.60920053781899</v>
      </c>
      <c r="D182" s="116">
        <v>499.19659604319298</v>
      </c>
      <c r="E182" s="116">
        <v>503.14281419373202</v>
      </c>
      <c r="F182" s="116">
        <v>512.5</v>
      </c>
      <c r="G182">
        <v>2686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42265</v>
      </c>
      <c r="B183" s="116">
        <v>514.98146864534897</v>
      </c>
      <c r="C183" s="116">
        <v>508.32222551631401</v>
      </c>
      <c r="D183" s="116">
        <v>503.38945282814001</v>
      </c>
      <c r="E183" s="116">
        <v>513.00835957007905</v>
      </c>
      <c r="F183" s="116">
        <v>515.25</v>
      </c>
      <c r="G183">
        <v>2136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42268</v>
      </c>
      <c r="B184" s="116">
        <v>517.94113225825299</v>
      </c>
      <c r="C184" s="116">
        <v>514.98146864534897</v>
      </c>
      <c r="D184" s="116">
        <v>510.54197322599202</v>
      </c>
      <c r="E184" s="116">
        <v>513.00835957007905</v>
      </c>
      <c r="F184" s="116">
        <v>522</v>
      </c>
      <c r="G184">
        <v>803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42269</v>
      </c>
      <c r="B185" s="116">
        <v>519.66760269911401</v>
      </c>
      <c r="C185" s="116">
        <v>500.42978921523599</v>
      </c>
      <c r="D185" s="116">
        <v>496.23693243028799</v>
      </c>
      <c r="E185" s="116">
        <v>519.66760269911401</v>
      </c>
      <c r="F185" s="116">
        <v>507.25</v>
      </c>
      <c r="G185">
        <v>1477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42270</v>
      </c>
      <c r="B186" s="116">
        <v>504.12936873136601</v>
      </c>
      <c r="C186" s="116">
        <v>493.52390745179298</v>
      </c>
      <c r="D186" s="116">
        <v>491.304159742114</v>
      </c>
      <c r="E186" s="116">
        <v>499.19659604319298</v>
      </c>
      <c r="F186" s="116">
        <v>500.25</v>
      </c>
      <c r="G186">
        <v>561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42271</v>
      </c>
      <c r="B187" s="116">
        <v>504.12936873136601</v>
      </c>
      <c r="C187" s="116">
        <v>496.23693243028799</v>
      </c>
      <c r="D187" s="116">
        <v>493.27726881738403</v>
      </c>
      <c r="E187" s="116">
        <v>498.21004150555802</v>
      </c>
      <c r="F187" s="116">
        <v>503</v>
      </c>
      <c r="G187">
        <v>1655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42275</v>
      </c>
      <c r="B188" s="116">
        <v>503.14281419373202</v>
      </c>
      <c r="C188" s="116">
        <v>493.27726881738403</v>
      </c>
      <c r="D188" s="116">
        <v>490.07096657007099</v>
      </c>
      <c r="E188" s="116">
        <v>492.04407564534</v>
      </c>
      <c r="F188" s="116">
        <v>500</v>
      </c>
      <c r="G188">
        <v>1276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42276</v>
      </c>
      <c r="B189" s="116">
        <v>501.16970511846199</v>
      </c>
      <c r="C189" s="116">
        <v>495.743655161471</v>
      </c>
      <c r="D189" s="116">
        <v>476.99911894641002</v>
      </c>
      <c r="E189" s="116">
        <v>483.41172344103597</v>
      </c>
      <c r="F189" s="116">
        <v>502.5</v>
      </c>
      <c r="G189">
        <v>3317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42277</v>
      </c>
      <c r="B190" s="116">
        <v>498.21004150555802</v>
      </c>
      <c r="C190" s="116">
        <v>486.37138705394102</v>
      </c>
      <c r="D190" s="116">
        <v>486.37138705394102</v>
      </c>
      <c r="E190" s="116">
        <v>490.07096657007099</v>
      </c>
      <c r="F190" s="116">
        <v>493</v>
      </c>
      <c r="G190">
        <v>1947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42278</v>
      </c>
      <c r="B191" s="116">
        <v>498.21004150555802</v>
      </c>
      <c r="C191" s="116">
        <v>486.174076146414</v>
      </c>
      <c r="D191" s="116">
        <v>485.28617706254198</v>
      </c>
      <c r="E191" s="116">
        <v>498.21004150555802</v>
      </c>
      <c r="F191" s="116">
        <v>492.8</v>
      </c>
      <c r="G191">
        <v>3616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42282</v>
      </c>
      <c r="B192" s="116">
        <v>496.13827697652499</v>
      </c>
      <c r="C192" s="116">
        <v>486.76600886899399</v>
      </c>
      <c r="D192" s="116">
        <v>483.41172344103597</v>
      </c>
      <c r="E192" s="116">
        <v>488.443151582974</v>
      </c>
      <c r="F192" s="116">
        <v>493.4</v>
      </c>
      <c r="G192">
        <v>2866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42283</v>
      </c>
      <c r="B193" s="116">
        <v>511.03525049480999</v>
      </c>
      <c r="C193" s="116">
        <v>491.79743701093201</v>
      </c>
      <c r="D193" s="116">
        <v>488.34449612920997</v>
      </c>
      <c r="E193" s="116">
        <v>511.03525049480999</v>
      </c>
      <c r="F193" s="116">
        <v>498.5</v>
      </c>
      <c r="G193">
        <v>1228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42284</v>
      </c>
      <c r="B194" s="116">
        <v>519.81558587975906</v>
      </c>
      <c r="C194" s="116">
        <v>512.41642684749797</v>
      </c>
      <c r="D194" s="116">
        <v>493.27726881738403</v>
      </c>
      <c r="E194" s="116">
        <v>493.27726881738403</v>
      </c>
      <c r="F194" s="116">
        <v>519.4</v>
      </c>
      <c r="G194">
        <v>5131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42285</v>
      </c>
      <c r="B195" s="116">
        <v>517.94113225825299</v>
      </c>
      <c r="C195" s="116">
        <v>504.52399054642001</v>
      </c>
      <c r="D195" s="116">
        <v>503.24146964749502</v>
      </c>
      <c r="E195" s="116">
        <v>517.94113225825299</v>
      </c>
      <c r="F195" s="116">
        <v>511.4</v>
      </c>
      <c r="G195">
        <v>935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42286</v>
      </c>
      <c r="B196" s="116">
        <v>513.00835957007905</v>
      </c>
      <c r="C196" s="116">
        <v>501.36701602598902</v>
      </c>
      <c r="D196" s="116">
        <v>490.416260658243</v>
      </c>
      <c r="E196" s="116">
        <v>513.00835957007905</v>
      </c>
      <c r="F196" s="116">
        <v>508.2</v>
      </c>
      <c r="G196">
        <v>1908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42289</v>
      </c>
      <c r="B197" s="116">
        <v>507.089032344271</v>
      </c>
      <c r="C197" s="116">
        <v>501.16970511846199</v>
      </c>
      <c r="D197" s="116">
        <v>488.64046249050102</v>
      </c>
      <c r="E197" s="116">
        <v>488.64046249050102</v>
      </c>
      <c r="F197" s="116">
        <v>508</v>
      </c>
      <c r="G197">
        <v>1137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42290</v>
      </c>
      <c r="B198" s="116">
        <v>502.05760420233298</v>
      </c>
      <c r="C198" s="116">
        <v>497.02617606039598</v>
      </c>
      <c r="D198" s="116">
        <v>491.304159742114</v>
      </c>
      <c r="E198" s="116">
        <v>496.23693243028799</v>
      </c>
      <c r="F198" s="116">
        <v>503.8</v>
      </c>
      <c r="G198">
        <v>2860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42291</v>
      </c>
      <c r="B199" s="116">
        <v>499.29525149695598</v>
      </c>
      <c r="C199" s="116">
        <v>493.17861336362</v>
      </c>
      <c r="D199" s="116">
        <v>485.38483251630601</v>
      </c>
      <c r="E199" s="116">
        <v>495.25037789265298</v>
      </c>
      <c r="F199" s="116">
        <v>499.9</v>
      </c>
      <c r="G199">
        <v>577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42292</v>
      </c>
      <c r="B200" s="116">
        <v>493.27726881738403</v>
      </c>
      <c r="C200" s="116">
        <v>491.89609246469502</v>
      </c>
      <c r="D200" s="116">
        <v>487.45659704533898</v>
      </c>
      <c r="E200" s="116">
        <v>493.27726881738403</v>
      </c>
      <c r="F200" s="116">
        <v>498.6</v>
      </c>
      <c r="G200">
        <v>2076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42293</v>
      </c>
      <c r="B201" s="116">
        <v>495.25037789265298</v>
      </c>
      <c r="C201" s="116">
        <v>492.29071427974901</v>
      </c>
      <c r="D201" s="116">
        <v>487.35794159157501</v>
      </c>
      <c r="E201" s="116">
        <v>487.35794159157501</v>
      </c>
      <c r="F201" s="116">
        <v>499</v>
      </c>
      <c r="G201">
        <v>1954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42296</v>
      </c>
      <c r="B202" s="116">
        <v>512.02180503244404</v>
      </c>
      <c r="C202" s="116">
        <v>500.67642784964499</v>
      </c>
      <c r="D202" s="116">
        <v>493.77054608620102</v>
      </c>
      <c r="E202" s="116">
        <v>512.02180503244404</v>
      </c>
      <c r="F202" s="116">
        <v>507.5</v>
      </c>
      <c r="G202">
        <v>3021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42297</v>
      </c>
      <c r="B203" s="116">
        <v>507.976931428142</v>
      </c>
      <c r="C203" s="116">
        <v>495.05306698512697</v>
      </c>
      <c r="D203" s="116">
        <v>492.29071427974901</v>
      </c>
      <c r="E203" s="116">
        <v>506.00382235287202</v>
      </c>
      <c r="F203" s="116">
        <v>501.8</v>
      </c>
      <c r="G203">
        <v>2783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42298</v>
      </c>
      <c r="B204" s="116">
        <v>532.73945032277504</v>
      </c>
      <c r="C204" s="116">
        <v>520.40751860234002</v>
      </c>
      <c r="D204" s="116">
        <v>501.16970511846199</v>
      </c>
      <c r="E204" s="116">
        <v>502.550881471151</v>
      </c>
      <c r="F204" s="116">
        <v>527.5</v>
      </c>
      <c r="G204">
        <v>7908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42300</v>
      </c>
      <c r="B205" s="116">
        <v>546.74852475718797</v>
      </c>
      <c r="C205" s="116">
        <v>537.37625664965799</v>
      </c>
      <c r="D205" s="116">
        <v>530.66768579374195</v>
      </c>
      <c r="E205" s="116">
        <v>532.73945032277504</v>
      </c>
      <c r="F205" s="116">
        <v>544.70000000000005</v>
      </c>
      <c r="G205">
        <v>8324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42303</v>
      </c>
      <c r="B206" s="116">
        <v>556.31810377224599</v>
      </c>
      <c r="C206" s="116">
        <v>529.48382034858002</v>
      </c>
      <c r="D206" s="116">
        <v>527.90533308836405</v>
      </c>
      <c r="E206" s="116">
        <v>555.43020468837403</v>
      </c>
      <c r="F206" s="116">
        <v>536.70000000000005</v>
      </c>
      <c r="G206">
        <v>1929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42304</v>
      </c>
      <c r="B207" s="116">
        <v>532.73945032277504</v>
      </c>
      <c r="C207" s="116">
        <v>510.83793958728302</v>
      </c>
      <c r="D207" s="116">
        <v>493.27726881738403</v>
      </c>
      <c r="E207" s="116">
        <v>532.73945032277504</v>
      </c>
      <c r="F207" s="116">
        <v>517.79999999999995</v>
      </c>
      <c r="G207">
        <v>4963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42305</v>
      </c>
      <c r="B208" s="116">
        <v>517.94113225825299</v>
      </c>
      <c r="C208" s="116">
        <v>500.775083303408</v>
      </c>
      <c r="D208" s="116">
        <v>498.30869695932103</v>
      </c>
      <c r="E208" s="116">
        <v>514.98146864534897</v>
      </c>
      <c r="F208" s="116">
        <v>507.6</v>
      </c>
      <c r="G208">
        <v>1294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42306</v>
      </c>
      <c r="B209" s="116">
        <v>508.075586881905</v>
      </c>
      <c r="C209" s="116">
        <v>499.29525149695598</v>
      </c>
      <c r="D209" s="116">
        <v>498.21004150555802</v>
      </c>
      <c r="E209" s="116">
        <v>500.281806034591</v>
      </c>
      <c r="F209" s="116">
        <v>506.1</v>
      </c>
      <c r="G209">
        <v>2329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42307</v>
      </c>
      <c r="B210" s="116">
        <v>516.95457772061798</v>
      </c>
      <c r="C210" s="116">
        <v>499.78852876577298</v>
      </c>
      <c r="D210" s="116">
        <v>493.27726881738403</v>
      </c>
      <c r="E210" s="116">
        <v>516.95457772061798</v>
      </c>
      <c r="F210" s="116">
        <v>506.6</v>
      </c>
      <c r="G210">
        <v>3196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42310</v>
      </c>
      <c r="B211" s="116">
        <v>507.089032344271</v>
      </c>
      <c r="C211" s="116">
        <v>500.18315058082698</v>
      </c>
      <c r="D211" s="116">
        <v>497.22348696792301</v>
      </c>
      <c r="E211" s="116">
        <v>507.089032344271</v>
      </c>
      <c r="F211" s="116">
        <v>507</v>
      </c>
      <c r="G211">
        <v>780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42311</v>
      </c>
      <c r="B212" s="116">
        <v>510.78861186040098</v>
      </c>
      <c r="C212" s="116">
        <v>503.63609146254902</v>
      </c>
      <c r="D212" s="116">
        <v>498.21004150555802</v>
      </c>
      <c r="E212" s="116">
        <v>502.15625965609701</v>
      </c>
      <c r="F212" s="116">
        <v>510.5</v>
      </c>
      <c r="G212">
        <v>2217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42312</v>
      </c>
      <c r="B213" s="116">
        <v>512.02180503244404</v>
      </c>
      <c r="C213" s="116">
        <v>495.743655161471</v>
      </c>
      <c r="D213" s="116">
        <v>493.27726881738403</v>
      </c>
      <c r="E213" s="116">
        <v>510.78861186040098</v>
      </c>
      <c r="F213" s="116">
        <v>502.5</v>
      </c>
      <c r="G213">
        <v>1448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42313</v>
      </c>
      <c r="B214" s="116">
        <v>485.878109785123</v>
      </c>
      <c r="C214" s="116">
        <v>481.68525300017501</v>
      </c>
      <c r="D214" s="116">
        <v>476.99911894641002</v>
      </c>
      <c r="E214" s="116">
        <v>485.38483251630601</v>
      </c>
      <c r="F214" s="116">
        <v>488.25</v>
      </c>
      <c r="G214">
        <v>3609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42314</v>
      </c>
      <c r="B215" s="116">
        <v>485.38483251630601</v>
      </c>
      <c r="C215" s="116">
        <v>476.50584167759303</v>
      </c>
      <c r="D215" s="116">
        <v>474.039455333506</v>
      </c>
      <c r="E215" s="116">
        <v>484.15163934426198</v>
      </c>
      <c r="F215" s="116">
        <v>483</v>
      </c>
      <c r="G215">
        <v>2747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42317</v>
      </c>
      <c r="B216" s="116">
        <v>480.45205982813201</v>
      </c>
      <c r="C216" s="116">
        <v>469.35332127974101</v>
      </c>
      <c r="D216" s="116">
        <v>463.68063268834101</v>
      </c>
      <c r="E216" s="116">
        <v>480.45205982813201</v>
      </c>
      <c r="F216" s="116">
        <v>475.75</v>
      </c>
      <c r="G216">
        <v>2019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42318</v>
      </c>
      <c r="B217" s="116">
        <v>479.21886665608798</v>
      </c>
      <c r="C217" s="116">
        <v>456.52811229048899</v>
      </c>
      <c r="D217" s="116">
        <v>453.81508731199301</v>
      </c>
      <c r="E217" s="116">
        <v>479.21886665608798</v>
      </c>
      <c r="F217" s="116">
        <v>462.75</v>
      </c>
      <c r="G217">
        <v>3359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42319</v>
      </c>
      <c r="B218" s="116">
        <v>479.46550529049699</v>
      </c>
      <c r="C218" s="116">
        <v>465.16046449479302</v>
      </c>
      <c r="D218" s="116">
        <v>461.21424634425398</v>
      </c>
      <c r="E218" s="116">
        <v>479.46550529049699</v>
      </c>
      <c r="F218" s="116">
        <v>471.5</v>
      </c>
      <c r="G218">
        <v>1123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42321</v>
      </c>
      <c r="B219" s="116">
        <v>467.62685083887999</v>
      </c>
      <c r="C219" s="116">
        <v>456.28147365607998</v>
      </c>
      <c r="D219" s="116">
        <v>452.828532774358</v>
      </c>
      <c r="E219" s="116">
        <v>467.62685083887999</v>
      </c>
      <c r="F219" s="116">
        <v>462.5</v>
      </c>
      <c r="G219">
        <v>1760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42324</v>
      </c>
      <c r="B220" s="116">
        <v>458.74786000016701</v>
      </c>
      <c r="C220" s="116">
        <v>449.12895325822802</v>
      </c>
      <c r="D220" s="116">
        <v>439.01676924747198</v>
      </c>
      <c r="E220" s="116">
        <v>450.85542369908899</v>
      </c>
      <c r="F220" s="116">
        <v>455.25</v>
      </c>
      <c r="G220">
        <v>2295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42325</v>
      </c>
      <c r="B221" s="116">
        <v>471.32643035501002</v>
      </c>
      <c r="C221" s="116">
        <v>435.31718973134099</v>
      </c>
      <c r="D221" s="116">
        <v>434.08399655929799</v>
      </c>
      <c r="E221" s="116">
        <v>448.88231462381901</v>
      </c>
      <c r="F221" s="116">
        <v>441.25</v>
      </c>
      <c r="G221">
        <v>8243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42326</v>
      </c>
      <c r="B222" s="116">
        <v>444.68945783887199</v>
      </c>
      <c r="C222" s="116">
        <v>424.958367086176</v>
      </c>
      <c r="D222" s="116">
        <v>423.47853527972399</v>
      </c>
      <c r="E222" s="116">
        <v>436.05710563456699</v>
      </c>
      <c r="F222" s="116">
        <v>430.75</v>
      </c>
      <c r="G222">
        <v>3189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42327</v>
      </c>
      <c r="B223" s="116">
        <v>427.17811479585401</v>
      </c>
      <c r="C223" s="116">
        <v>420.27223303241101</v>
      </c>
      <c r="D223" s="116">
        <v>414.35290580660302</v>
      </c>
      <c r="E223" s="116">
        <v>424.21845118294999</v>
      </c>
      <c r="F223" s="116">
        <v>426</v>
      </c>
      <c r="G223">
        <v>12415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42328</v>
      </c>
      <c r="B224" s="116">
        <v>431.12433294639402</v>
      </c>
      <c r="C224" s="116">
        <v>423.47853527972399</v>
      </c>
      <c r="D224" s="116">
        <v>419.77895576359401</v>
      </c>
      <c r="E224" s="116">
        <v>426.43819889262801</v>
      </c>
      <c r="F224" s="116">
        <v>429.25</v>
      </c>
      <c r="G224">
        <v>11036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42331</v>
      </c>
      <c r="B225" s="116">
        <v>438.03021470983703</v>
      </c>
      <c r="C225" s="116">
        <v>424.71172845176801</v>
      </c>
      <c r="D225" s="116">
        <v>420.51887166682002</v>
      </c>
      <c r="E225" s="116">
        <v>438.03021470983703</v>
      </c>
      <c r="F225" s="116">
        <v>430.5</v>
      </c>
      <c r="G225">
        <v>11329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42332</v>
      </c>
      <c r="B226" s="116">
        <v>434.08399655929799</v>
      </c>
      <c r="C226" s="116">
        <v>425.698282989402</v>
      </c>
      <c r="D226" s="116">
        <v>419.28567849477599</v>
      </c>
      <c r="E226" s="116">
        <v>419.28567849477599</v>
      </c>
      <c r="F226" s="116">
        <v>431.5</v>
      </c>
      <c r="G226">
        <v>18408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42334</v>
      </c>
      <c r="B227" s="116">
        <v>434.08399655929799</v>
      </c>
      <c r="C227" s="116">
        <v>425.20500572058501</v>
      </c>
      <c r="D227" s="116">
        <v>422.73861937649798</v>
      </c>
      <c r="E227" s="116">
        <v>433.09744202166303</v>
      </c>
      <c r="F227" s="116">
        <v>431</v>
      </c>
      <c r="G227">
        <v>6579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42335</v>
      </c>
      <c r="B228" s="116">
        <v>428.90458523671498</v>
      </c>
      <c r="C228" s="116">
        <v>414.84618307542002</v>
      </c>
      <c r="D228" s="116">
        <v>411.63988082810698</v>
      </c>
      <c r="E228" s="116">
        <v>421.25878757004602</v>
      </c>
      <c r="F228" s="116">
        <v>420.5</v>
      </c>
      <c r="G228">
        <v>5455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42338</v>
      </c>
      <c r="B229" s="116">
        <v>427.91803069908099</v>
      </c>
      <c r="C229" s="116">
        <v>408.68021721520302</v>
      </c>
      <c r="D229" s="116">
        <v>405.47391496788998</v>
      </c>
      <c r="E229" s="116">
        <v>427.91803069908099</v>
      </c>
      <c r="F229" s="116">
        <v>414.25</v>
      </c>
      <c r="G229">
        <v>4780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42339</v>
      </c>
      <c r="B230" s="116">
        <v>413.760973084022</v>
      </c>
      <c r="C230" s="116">
        <v>409.81475493348302</v>
      </c>
      <c r="D230" s="116">
        <v>404.48736043025502</v>
      </c>
      <c r="E230" s="116">
        <v>404.48736043025502</v>
      </c>
      <c r="F230" s="116">
        <v>415.4</v>
      </c>
      <c r="G230">
        <v>4887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42340</v>
      </c>
      <c r="B231" s="116">
        <v>419.28567849477599</v>
      </c>
      <c r="C231" s="116">
        <v>403.40215043885701</v>
      </c>
      <c r="D231" s="116">
        <v>401.52769681734998</v>
      </c>
      <c r="E231" s="116">
        <v>419.28567849477599</v>
      </c>
      <c r="F231" s="116">
        <v>408.9</v>
      </c>
      <c r="G231">
        <v>5004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42341</v>
      </c>
      <c r="B232" s="116">
        <v>410.40668765606301</v>
      </c>
      <c r="C232" s="116">
        <v>397.77878957433802</v>
      </c>
      <c r="D232" s="116">
        <v>396.594924129177</v>
      </c>
      <c r="E232" s="116">
        <v>400.14652046466199</v>
      </c>
      <c r="F232" s="116">
        <v>403.2</v>
      </c>
      <c r="G232">
        <v>2673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42342</v>
      </c>
      <c r="B233" s="116">
        <v>470.58651445178401</v>
      </c>
      <c r="C233" s="116">
        <v>447.89576008618502</v>
      </c>
      <c r="D233" s="116">
        <v>385.74282421519399</v>
      </c>
      <c r="E233" s="116">
        <v>400.54114227971598</v>
      </c>
      <c r="F233" s="116">
        <v>454</v>
      </c>
      <c r="G233">
        <v>25835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42345</v>
      </c>
      <c r="B234" s="116">
        <v>458.74786000016701</v>
      </c>
      <c r="C234" s="116">
        <v>437.73424834854598</v>
      </c>
      <c r="D234" s="116">
        <v>435.070551096933</v>
      </c>
      <c r="E234" s="116">
        <v>453.81508731199301</v>
      </c>
      <c r="F234" s="116">
        <v>443.7</v>
      </c>
      <c r="G234">
        <v>3857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42346</v>
      </c>
      <c r="B235" s="116">
        <v>439.90466833134298</v>
      </c>
      <c r="C235" s="116">
        <v>424.21845118294999</v>
      </c>
      <c r="D235" s="116">
        <v>422.24534210768098</v>
      </c>
      <c r="E235" s="116">
        <v>439.90466833134298</v>
      </c>
      <c r="F235" s="116">
        <v>430</v>
      </c>
      <c r="G235">
        <v>3346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42347</v>
      </c>
      <c r="B236" s="116">
        <v>423.23189664531498</v>
      </c>
      <c r="C236" s="116">
        <v>405.57257042165298</v>
      </c>
      <c r="D236" s="116">
        <v>402.51425135498499</v>
      </c>
      <c r="E236" s="116">
        <v>423.23189664531498</v>
      </c>
      <c r="F236" s="116">
        <v>411.1</v>
      </c>
      <c r="G236">
        <v>3005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42348</v>
      </c>
      <c r="B237" s="116">
        <v>432.11088748402801</v>
      </c>
      <c r="C237" s="116">
        <v>409.61744402595599</v>
      </c>
      <c r="D237" s="116">
        <v>397.48282321304799</v>
      </c>
      <c r="E237" s="116">
        <v>432.11088748402801</v>
      </c>
      <c r="F237" s="116">
        <v>415.2</v>
      </c>
      <c r="G237">
        <v>3101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42349</v>
      </c>
      <c r="B238" s="116">
        <v>411.39324219369797</v>
      </c>
      <c r="C238" s="116">
        <v>402.41559590122199</v>
      </c>
      <c r="D238" s="116">
        <v>401.52769681734998</v>
      </c>
      <c r="E238" s="116">
        <v>411.39324219369797</v>
      </c>
      <c r="F238" s="116">
        <v>407.9</v>
      </c>
      <c r="G238">
        <v>1450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42352</v>
      </c>
      <c r="B239" s="116">
        <v>414.35290580660302</v>
      </c>
      <c r="C239" s="116">
        <v>411.78786400875202</v>
      </c>
      <c r="D239" s="116">
        <v>403.50080589262001</v>
      </c>
      <c r="E239" s="116">
        <v>403.50080589262001</v>
      </c>
      <c r="F239" s="116">
        <v>417.4</v>
      </c>
      <c r="G239">
        <v>732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42353</v>
      </c>
      <c r="B240" s="116">
        <v>428.46063569478002</v>
      </c>
      <c r="C240" s="116">
        <v>422.14668665391702</v>
      </c>
      <c r="D240" s="116">
        <v>409.42013311842902</v>
      </c>
      <c r="E240" s="116">
        <v>411.39324219369797</v>
      </c>
      <c r="F240" s="116">
        <v>427.9</v>
      </c>
      <c r="G240">
        <v>2881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42354</v>
      </c>
      <c r="B241" s="116">
        <v>429.15122387112399</v>
      </c>
      <c r="C241" s="116">
        <v>417.70719123456098</v>
      </c>
      <c r="D241" s="116">
        <v>414.55021671412902</v>
      </c>
      <c r="E241" s="116">
        <v>429.15122387112399</v>
      </c>
      <c r="F241" s="116">
        <v>423.4</v>
      </c>
      <c r="G241">
        <v>2053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42355</v>
      </c>
      <c r="B242" s="116">
        <v>422.93593028402501</v>
      </c>
      <c r="C242" s="116">
        <v>417.21391396574302</v>
      </c>
      <c r="D242" s="116">
        <v>413.366351268968</v>
      </c>
      <c r="E242" s="116">
        <v>416.32601488187203</v>
      </c>
      <c r="F242" s="116">
        <v>422.9</v>
      </c>
      <c r="G242">
        <v>1788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42356</v>
      </c>
      <c r="B243" s="116">
        <v>423.03458573778801</v>
      </c>
      <c r="C243" s="116">
        <v>414.45156126036602</v>
      </c>
      <c r="D243" s="116">
        <v>412.37979673133299</v>
      </c>
      <c r="E243" s="116">
        <v>419.28567849477599</v>
      </c>
      <c r="F243" s="116">
        <v>420.1</v>
      </c>
      <c r="G243">
        <v>1891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42359</v>
      </c>
      <c r="B244" s="116">
        <v>465.65374176361001</v>
      </c>
      <c r="C244" s="116">
        <v>459.537103630275</v>
      </c>
      <c r="D244" s="116">
        <v>413.366351268968</v>
      </c>
      <c r="E244" s="116">
        <v>413.366351268968</v>
      </c>
      <c r="F244" s="116">
        <v>465.8</v>
      </c>
      <c r="G244">
        <v>9681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42360</v>
      </c>
      <c r="B245" s="116">
        <v>468.613405376515</v>
      </c>
      <c r="C245" s="116">
        <v>443.94954193564598</v>
      </c>
      <c r="D245" s="116">
        <v>437.04366017220201</v>
      </c>
      <c r="E245" s="116">
        <v>468.613405376515</v>
      </c>
      <c r="F245" s="116">
        <v>450</v>
      </c>
      <c r="G245">
        <v>2935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42361</v>
      </c>
      <c r="B246" s="116">
        <v>481.63592527329399</v>
      </c>
      <c r="C246" s="116">
        <v>471.375758081892</v>
      </c>
      <c r="D246" s="116">
        <v>449.86886916145397</v>
      </c>
      <c r="E246" s="116">
        <v>449.86886916145397</v>
      </c>
      <c r="F246" s="116">
        <v>477.8</v>
      </c>
      <c r="G246">
        <v>6888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42362</v>
      </c>
      <c r="B247" s="116">
        <v>487.35794159157501</v>
      </c>
      <c r="C247" s="116">
        <v>473.44752261092498</v>
      </c>
      <c r="D247" s="116">
        <v>464.66718722597602</v>
      </c>
      <c r="E247" s="116">
        <v>464.66718722597602</v>
      </c>
      <c r="F247" s="116">
        <v>479.9</v>
      </c>
      <c r="G247">
        <v>2655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42366</v>
      </c>
      <c r="B248" s="116">
        <v>480.45205982813201</v>
      </c>
      <c r="C248" s="116">
        <v>465.75239721737398</v>
      </c>
      <c r="D248" s="116">
        <v>463.77928814210401</v>
      </c>
      <c r="E248" s="116">
        <v>480.45205982813201</v>
      </c>
      <c r="F248" s="116">
        <v>472.1</v>
      </c>
      <c r="G248">
        <v>1222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42367</v>
      </c>
      <c r="B249" s="116">
        <v>468.613405376515</v>
      </c>
      <c r="C249" s="116">
        <v>449.967524615218</v>
      </c>
      <c r="D249" s="116">
        <v>448.88231462381901</v>
      </c>
      <c r="E249" s="116">
        <v>468.613405376515</v>
      </c>
      <c r="F249" s="116">
        <v>456.1</v>
      </c>
      <c r="G249">
        <v>922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42368</v>
      </c>
      <c r="B250" s="116">
        <v>468.613405376515</v>
      </c>
      <c r="C250" s="116">
        <v>461.11559089049001</v>
      </c>
      <c r="D250" s="116">
        <v>448.98097007758298</v>
      </c>
      <c r="E250" s="116">
        <v>468.613405376515</v>
      </c>
      <c r="F250" s="116">
        <v>467.4</v>
      </c>
      <c r="G250">
        <v>749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42369</v>
      </c>
      <c r="B251" s="116">
        <v>473.546178064689</v>
      </c>
      <c r="C251" s="116">
        <v>471.07979172060197</v>
      </c>
      <c r="D251" s="116">
        <v>456.77475092489698</v>
      </c>
      <c r="E251" s="116">
        <v>462.59542269694299</v>
      </c>
      <c r="F251" s="116">
        <v>477.5</v>
      </c>
      <c r="G251">
        <v>2224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42370</v>
      </c>
      <c r="B252" s="116">
        <v>478.38029529909898</v>
      </c>
      <c r="C252" s="116">
        <v>467.62685083887999</v>
      </c>
      <c r="D252" s="116">
        <v>464.96315358726599</v>
      </c>
      <c r="E252" s="116">
        <v>468.613405376515</v>
      </c>
      <c r="F252" s="116">
        <v>474</v>
      </c>
      <c r="G252">
        <v>2036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42373</v>
      </c>
      <c r="B253" s="116">
        <v>483.31306798727297</v>
      </c>
      <c r="C253" s="116">
        <v>462.20080088188899</v>
      </c>
      <c r="D253" s="116">
        <v>456.77475092489698</v>
      </c>
      <c r="E253" s="116">
        <v>473.546178064689</v>
      </c>
      <c r="F253" s="116">
        <v>468.5</v>
      </c>
      <c r="G253">
        <v>6728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42374</v>
      </c>
      <c r="B254" s="116">
        <v>463.68063268834101</v>
      </c>
      <c r="C254" s="116">
        <v>456.38012910984401</v>
      </c>
      <c r="D254" s="116">
        <v>456.38012910984401</v>
      </c>
      <c r="E254" s="116">
        <v>463.68063268834101</v>
      </c>
      <c r="F254" s="116">
        <v>462.6</v>
      </c>
      <c r="G254">
        <v>1281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42375</v>
      </c>
      <c r="B255" s="116">
        <v>466.04836357866401</v>
      </c>
      <c r="C255" s="116">
        <v>449.572902800164</v>
      </c>
      <c r="D255" s="116">
        <v>448.88231462381901</v>
      </c>
      <c r="E255" s="116">
        <v>456.77475092489698</v>
      </c>
      <c r="F255" s="116">
        <v>455.7</v>
      </c>
      <c r="G255">
        <v>2300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42376</v>
      </c>
      <c r="B256" s="116">
        <v>445.92265101091499</v>
      </c>
      <c r="C256" s="116">
        <v>436.35307199585799</v>
      </c>
      <c r="D256" s="116">
        <v>433.09744202166303</v>
      </c>
      <c r="E256" s="116">
        <v>445.92265101091499</v>
      </c>
      <c r="F256" s="116">
        <v>442.3</v>
      </c>
      <c r="G256">
        <v>1364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42377</v>
      </c>
      <c r="B257" s="116">
        <v>453.81508731199301</v>
      </c>
      <c r="C257" s="116">
        <v>441.38450013779499</v>
      </c>
      <c r="D257" s="116">
        <v>434.57727382811498</v>
      </c>
      <c r="E257" s="116">
        <v>445.92265101091499</v>
      </c>
      <c r="F257" s="116">
        <v>447.4</v>
      </c>
      <c r="G257">
        <v>1979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42380</v>
      </c>
      <c r="B258" s="116">
        <v>451.841978236724</v>
      </c>
      <c r="C258" s="116">
        <v>435.76113927327702</v>
      </c>
      <c r="D258" s="116">
        <v>433.09744202166303</v>
      </c>
      <c r="E258" s="116">
        <v>433.09744202166303</v>
      </c>
      <c r="F258" s="116">
        <v>441.7</v>
      </c>
      <c r="G258">
        <v>868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42381</v>
      </c>
      <c r="B259" s="116">
        <v>446.81055009478598</v>
      </c>
      <c r="C259" s="116">
        <v>429.64450113994099</v>
      </c>
      <c r="D259" s="116">
        <v>428.16466933348897</v>
      </c>
      <c r="E259" s="116">
        <v>434.28130746682501</v>
      </c>
      <c r="F259" s="116">
        <v>435.5</v>
      </c>
      <c r="G259">
        <v>1650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42382</v>
      </c>
      <c r="B260" s="116">
        <v>441.77912195284898</v>
      </c>
      <c r="C260" s="116">
        <v>418.397779410905</v>
      </c>
      <c r="D260" s="116">
        <v>404.48736043025502</v>
      </c>
      <c r="E260" s="116">
        <v>425.50097208187498</v>
      </c>
      <c r="F260" s="116">
        <v>424.1</v>
      </c>
      <c r="G260">
        <v>16108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42383</v>
      </c>
      <c r="B261" s="116">
        <v>429.15122387112399</v>
      </c>
      <c r="C261" s="116">
        <v>413.07038490767701</v>
      </c>
      <c r="D261" s="116">
        <v>406.46046950552397</v>
      </c>
      <c r="E261" s="116">
        <v>410.40668765606301</v>
      </c>
      <c r="F261" s="116">
        <v>418.7</v>
      </c>
      <c r="G261">
        <v>1537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42384</v>
      </c>
      <c r="B262" s="116">
        <v>423.13324119155197</v>
      </c>
      <c r="C262" s="116">
        <v>409.02551130337503</v>
      </c>
      <c r="D262" s="116">
        <v>402.61290680874902</v>
      </c>
      <c r="E262" s="116">
        <v>423.13324119155197</v>
      </c>
      <c r="F262" s="116">
        <v>414.6</v>
      </c>
      <c r="G262">
        <v>1786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42387</v>
      </c>
      <c r="B263" s="116">
        <v>401.92231863240397</v>
      </c>
      <c r="C263" s="116">
        <v>384.06568150121501</v>
      </c>
      <c r="D263" s="116">
        <v>379.922152443149</v>
      </c>
      <c r="E263" s="116">
        <v>396.594924129177</v>
      </c>
      <c r="F263" s="116">
        <v>389.3</v>
      </c>
      <c r="G263">
        <v>6894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42388</v>
      </c>
      <c r="B264" s="116">
        <v>396.594924129177</v>
      </c>
      <c r="C264" s="116">
        <v>387.124000567883</v>
      </c>
      <c r="D264" s="116">
        <v>381.30332879583801</v>
      </c>
      <c r="E264" s="116">
        <v>388.70248782809898</v>
      </c>
      <c r="F264" s="116">
        <v>392.4</v>
      </c>
      <c r="G264">
        <v>4501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42389</v>
      </c>
      <c r="B265" s="116">
        <v>383.76971513992498</v>
      </c>
      <c r="C265" s="116">
        <v>369.36601889045698</v>
      </c>
      <c r="D265" s="116">
        <v>365.02517892486401</v>
      </c>
      <c r="E265" s="116">
        <v>383.76971513992498</v>
      </c>
      <c r="F265" s="116">
        <v>374.4</v>
      </c>
      <c r="G265">
        <v>7573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42390</v>
      </c>
      <c r="B266" s="116">
        <v>384.75626967755898</v>
      </c>
      <c r="C266" s="116">
        <v>370.845850696909</v>
      </c>
      <c r="D266" s="116">
        <v>369.46467434422101</v>
      </c>
      <c r="E266" s="116">
        <v>384.75626967755898</v>
      </c>
      <c r="F266" s="116">
        <v>375.9</v>
      </c>
      <c r="G266">
        <v>1721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42391</v>
      </c>
      <c r="B267" s="116">
        <v>398.56803320444601</v>
      </c>
      <c r="C267" s="116">
        <v>388.80114328186198</v>
      </c>
      <c r="D267" s="116">
        <v>383.76971513992498</v>
      </c>
      <c r="E267" s="116">
        <v>384.75626967755898</v>
      </c>
      <c r="F267" s="116">
        <v>394.1</v>
      </c>
      <c r="G267">
        <v>3239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42394</v>
      </c>
      <c r="B268" s="116">
        <v>394.62181505390703</v>
      </c>
      <c r="C268" s="116">
        <v>382.78316060229002</v>
      </c>
      <c r="D268" s="116">
        <v>381.40198424960101</v>
      </c>
      <c r="E268" s="116">
        <v>394.52315960014403</v>
      </c>
      <c r="F268" s="116">
        <v>388</v>
      </c>
      <c r="G268">
        <v>1468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42396</v>
      </c>
      <c r="B269" s="116">
        <v>391.16887417218499</v>
      </c>
      <c r="C269" s="116">
        <v>385.05223603885003</v>
      </c>
      <c r="D269" s="116">
        <v>382.78316060229002</v>
      </c>
      <c r="E269" s="116">
        <v>383.76971513992498</v>
      </c>
      <c r="F269" s="116">
        <v>390.3</v>
      </c>
      <c r="G269">
        <v>1025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42397</v>
      </c>
      <c r="B270" s="116">
        <v>394.62181505390703</v>
      </c>
      <c r="C270" s="116">
        <v>392.15542870982</v>
      </c>
      <c r="D270" s="116">
        <v>382.78316060229002</v>
      </c>
      <c r="E270" s="116">
        <v>394.62181505390703</v>
      </c>
      <c r="F270" s="116">
        <v>397.5</v>
      </c>
      <c r="G270">
        <v>462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42398</v>
      </c>
      <c r="B271" s="116">
        <v>404.48736043025502</v>
      </c>
      <c r="C271" s="116">
        <v>398.56803320444601</v>
      </c>
      <c r="D271" s="116">
        <v>391.662151441003</v>
      </c>
      <c r="E271" s="116">
        <v>401.52769681734998</v>
      </c>
      <c r="F271" s="116">
        <v>404</v>
      </c>
      <c r="G271">
        <v>1134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42401</v>
      </c>
      <c r="B272" s="116">
        <v>404.48736043025502</v>
      </c>
      <c r="C272" s="116">
        <v>396.79223503670403</v>
      </c>
      <c r="D272" s="116">
        <v>395.70702504530499</v>
      </c>
      <c r="E272" s="116">
        <v>401.52769681734998</v>
      </c>
      <c r="F272" s="116">
        <v>402.2</v>
      </c>
      <c r="G272">
        <v>1446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42402</v>
      </c>
      <c r="B273" s="116">
        <v>412.28114127756902</v>
      </c>
      <c r="C273" s="116">
        <v>394.819125961434</v>
      </c>
      <c r="D273" s="116">
        <v>391.16887417218499</v>
      </c>
      <c r="E273" s="116">
        <v>412.28114127756902</v>
      </c>
      <c r="F273" s="116">
        <v>400.2</v>
      </c>
      <c r="G273">
        <v>1770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42403</v>
      </c>
      <c r="B274" s="116">
        <v>388.70248782809898</v>
      </c>
      <c r="C274" s="116">
        <v>368.182153445295</v>
      </c>
      <c r="D274" s="116">
        <v>360.09240623669001</v>
      </c>
      <c r="E274" s="116">
        <v>388.70248782809898</v>
      </c>
      <c r="F274" s="116">
        <v>373.2</v>
      </c>
      <c r="G274">
        <v>4300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42404</v>
      </c>
      <c r="B275" s="116">
        <v>379.23156426680498</v>
      </c>
      <c r="C275" s="116">
        <v>371.83240523454401</v>
      </c>
      <c r="D275" s="116">
        <v>365.02517892486401</v>
      </c>
      <c r="E275" s="116">
        <v>374.890724301212</v>
      </c>
      <c r="F275" s="116">
        <v>376.9</v>
      </c>
      <c r="G275">
        <v>825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42405</v>
      </c>
      <c r="B276" s="116">
        <v>389.59038691196997</v>
      </c>
      <c r="C276" s="116">
        <v>372.02971614207098</v>
      </c>
      <c r="D276" s="116">
        <v>367.98484253776797</v>
      </c>
      <c r="E276" s="116">
        <v>389.59038691196997</v>
      </c>
      <c r="F276" s="116">
        <v>377.1</v>
      </c>
      <c r="G276">
        <v>780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42408</v>
      </c>
      <c r="B277" s="116">
        <v>380.81005152701999</v>
      </c>
      <c r="C277" s="116">
        <v>369.26736343669398</v>
      </c>
      <c r="D277" s="116">
        <v>367.98484253776797</v>
      </c>
      <c r="E277" s="116">
        <v>369.95795161303801</v>
      </c>
      <c r="F277" s="116">
        <v>374.3</v>
      </c>
      <c r="G277">
        <v>2868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42409</v>
      </c>
      <c r="B278" s="116">
        <v>374.890724301212</v>
      </c>
      <c r="C278" s="116">
        <v>374.49610248615801</v>
      </c>
      <c r="D278" s="116">
        <v>366.01173346249902</v>
      </c>
      <c r="E278" s="116">
        <v>373.90416976357699</v>
      </c>
      <c r="F278" s="116">
        <v>379.6</v>
      </c>
      <c r="G278">
        <v>490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42410</v>
      </c>
      <c r="B279" s="116">
        <v>377.85038791411603</v>
      </c>
      <c r="C279" s="116">
        <v>352.89055811195601</v>
      </c>
      <c r="D279" s="116">
        <v>350.22686086034298</v>
      </c>
      <c r="E279" s="116">
        <v>377.85038791411603</v>
      </c>
      <c r="F279" s="116">
        <v>357.7</v>
      </c>
      <c r="G279">
        <v>2209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42411</v>
      </c>
      <c r="B280" s="116">
        <v>357.82333080013001</v>
      </c>
      <c r="C280" s="116">
        <v>317.867872025922</v>
      </c>
      <c r="D280" s="116">
        <v>282.64787503236101</v>
      </c>
      <c r="E280" s="116">
        <v>352.19996993561199</v>
      </c>
      <c r="F280" s="116">
        <v>322.2</v>
      </c>
      <c r="G280">
        <v>5934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42412</v>
      </c>
      <c r="B281" s="116">
        <v>344.20887818077</v>
      </c>
      <c r="C281" s="116">
        <v>318.06518293344902</v>
      </c>
      <c r="D281" s="116">
        <v>305.83190666677802</v>
      </c>
      <c r="E281" s="116">
        <v>317.67056111839503</v>
      </c>
      <c r="F281" s="116">
        <v>322.39999999999998</v>
      </c>
      <c r="G281">
        <v>2783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42415</v>
      </c>
      <c r="B282" s="116">
        <v>368.97139707540299</v>
      </c>
      <c r="C282" s="116">
        <v>344.80081090335102</v>
      </c>
      <c r="D282" s="116">
        <v>331.48232464528201</v>
      </c>
      <c r="E282" s="116">
        <v>368.97139707540299</v>
      </c>
      <c r="F282" s="116">
        <v>349.5</v>
      </c>
      <c r="G282">
        <v>1485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42416</v>
      </c>
      <c r="B283" s="116">
        <v>354.17307901088202</v>
      </c>
      <c r="C283" s="116">
        <v>318.75577110979401</v>
      </c>
      <c r="D283" s="116">
        <v>315.69745204312602</v>
      </c>
      <c r="E283" s="116">
        <v>354.17307901088202</v>
      </c>
      <c r="F283" s="116">
        <v>323.10000000000002</v>
      </c>
      <c r="G283">
        <v>886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42417</v>
      </c>
      <c r="B284" s="116">
        <v>333.45543372055198</v>
      </c>
      <c r="C284" s="116">
        <v>330.49577010764699</v>
      </c>
      <c r="D284" s="116">
        <v>308.79157027968199</v>
      </c>
      <c r="E284" s="116">
        <v>330.39711465388399</v>
      </c>
      <c r="F284" s="116">
        <v>335</v>
      </c>
      <c r="G284">
        <v>544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42418</v>
      </c>
      <c r="B285" s="116">
        <v>342.33442455926399</v>
      </c>
      <c r="C285" s="116">
        <v>340.75593729904898</v>
      </c>
      <c r="D285" s="116">
        <v>328.62131648614098</v>
      </c>
      <c r="E285" s="116">
        <v>342.33442455926399</v>
      </c>
      <c r="F285" s="116">
        <v>345.4</v>
      </c>
      <c r="G285">
        <v>1526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42419</v>
      </c>
      <c r="B286" s="116">
        <v>345.29408817216898</v>
      </c>
      <c r="C286" s="116">
        <v>339.37476094636003</v>
      </c>
      <c r="D286" s="116">
        <v>325.56299741947299</v>
      </c>
      <c r="E286" s="116">
        <v>325.56299741947299</v>
      </c>
      <c r="F286" s="116">
        <v>344</v>
      </c>
      <c r="G286">
        <v>1344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42422</v>
      </c>
      <c r="B287" s="116">
        <v>368.28080889905902</v>
      </c>
      <c r="C287" s="116">
        <v>340.06534912270399</v>
      </c>
      <c r="D287" s="116">
        <v>320.63022473130002</v>
      </c>
      <c r="E287" s="116">
        <v>368.28080889905902</v>
      </c>
      <c r="F287" s="116">
        <v>344.7</v>
      </c>
      <c r="G287">
        <v>263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42423</v>
      </c>
      <c r="B288" s="116">
        <v>344.30753363453402</v>
      </c>
      <c r="C288" s="116">
        <v>320.136947462482</v>
      </c>
      <c r="D288" s="116">
        <v>316.68400658076001</v>
      </c>
      <c r="E288" s="116">
        <v>331.48232464528201</v>
      </c>
      <c r="F288" s="116">
        <v>324.5</v>
      </c>
      <c r="G288">
        <v>1115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42424</v>
      </c>
      <c r="B289" s="116">
        <v>320.63022473130002</v>
      </c>
      <c r="C289" s="116">
        <v>310.271402086134</v>
      </c>
      <c r="D289" s="116">
        <v>304.94400758290698</v>
      </c>
      <c r="E289" s="116">
        <v>315.69745204312602</v>
      </c>
      <c r="F289" s="116">
        <v>314.5</v>
      </c>
      <c r="G289">
        <v>1435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42425</v>
      </c>
      <c r="B290" s="116">
        <v>321.61677926893401</v>
      </c>
      <c r="C290" s="116">
        <v>290.737622240966</v>
      </c>
      <c r="D290" s="116">
        <v>286.100815914083</v>
      </c>
      <c r="E290" s="116">
        <v>310.76467935495202</v>
      </c>
      <c r="F290" s="116">
        <v>294.7</v>
      </c>
      <c r="G290">
        <v>3312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42426</v>
      </c>
      <c r="B291" s="116">
        <v>295.96636129042997</v>
      </c>
      <c r="C291" s="116">
        <v>295.57173947537598</v>
      </c>
      <c r="D291" s="116">
        <v>287.18602590548102</v>
      </c>
      <c r="E291" s="116">
        <v>295.96636129042997</v>
      </c>
      <c r="F291" s="116">
        <v>299.60000000000002</v>
      </c>
      <c r="G291">
        <v>1455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42429</v>
      </c>
      <c r="B292" s="116">
        <v>305.83190666677802</v>
      </c>
      <c r="C292" s="116">
        <v>295.96636129042997</v>
      </c>
      <c r="D292" s="116">
        <v>286.199471367846</v>
      </c>
      <c r="E292" s="116">
        <v>305.83190666677802</v>
      </c>
      <c r="F292" s="116">
        <v>300</v>
      </c>
      <c r="G292">
        <v>1603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42430</v>
      </c>
      <c r="B293" s="116">
        <v>316.68400658076001</v>
      </c>
      <c r="C293" s="116">
        <v>308.59425937215502</v>
      </c>
      <c r="D293" s="116">
        <v>299.91257944096901</v>
      </c>
      <c r="E293" s="116">
        <v>316.68400658076001</v>
      </c>
      <c r="F293" s="116">
        <v>312.8</v>
      </c>
      <c r="G293">
        <v>7908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42431</v>
      </c>
      <c r="B294" s="116">
        <v>342.82770182808201</v>
      </c>
      <c r="C294" s="116">
        <v>325.85896378076399</v>
      </c>
      <c r="D294" s="116">
        <v>320.63022473130002</v>
      </c>
      <c r="E294" s="116">
        <v>320.63022473130002</v>
      </c>
      <c r="F294" s="116">
        <v>330.3</v>
      </c>
      <c r="G294">
        <v>2734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42432</v>
      </c>
      <c r="B295" s="116">
        <v>333.35677826678801</v>
      </c>
      <c r="C295" s="116">
        <v>324.87240924312903</v>
      </c>
      <c r="D295" s="116">
        <v>321.71543472269798</v>
      </c>
      <c r="E295" s="116">
        <v>326.05627468829101</v>
      </c>
      <c r="F295" s="116">
        <v>329.3</v>
      </c>
      <c r="G295">
        <v>787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42433</v>
      </c>
      <c r="B296" s="116">
        <v>325.56299741947299</v>
      </c>
      <c r="C296" s="116">
        <v>325.56299741947299</v>
      </c>
      <c r="D296" s="116">
        <v>315.69745204312602</v>
      </c>
      <c r="E296" s="116">
        <v>323.58988834420398</v>
      </c>
      <c r="F296" s="116">
        <v>330</v>
      </c>
      <c r="G296">
        <v>471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42437</v>
      </c>
      <c r="B297" s="116">
        <v>330.49577010764699</v>
      </c>
      <c r="C297" s="116">
        <v>316.68400658076001</v>
      </c>
      <c r="D297" s="116">
        <v>315.69745204312602</v>
      </c>
      <c r="E297" s="116">
        <v>329.50921557001197</v>
      </c>
      <c r="F297" s="116">
        <v>321</v>
      </c>
      <c r="G297">
        <v>652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42438</v>
      </c>
      <c r="B298" s="116">
        <v>327.53610649474302</v>
      </c>
      <c r="C298" s="116">
        <v>324.87240924312903</v>
      </c>
      <c r="D298" s="116">
        <v>296.065016744194</v>
      </c>
      <c r="E298" s="116">
        <v>316.68400658076001</v>
      </c>
      <c r="F298" s="116">
        <v>329.3</v>
      </c>
      <c r="G298">
        <v>5147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42439</v>
      </c>
      <c r="B299" s="116">
        <v>330.49577010764699</v>
      </c>
      <c r="C299" s="116">
        <v>320.63022473130002</v>
      </c>
      <c r="D299" s="116">
        <v>315.69745204312602</v>
      </c>
      <c r="E299" s="116">
        <v>327.53610649474302</v>
      </c>
      <c r="F299" s="116">
        <v>325</v>
      </c>
      <c r="G299">
        <v>680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42440</v>
      </c>
      <c r="B300" s="116">
        <v>324.08316561302098</v>
      </c>
      <c r="C300" s="116">
        <v>317.867872025922</v>
      </c>
      <c r="D300" s="116">
        <v>317.867872025922</v>
      </c>
      <c r="E300" s="116">
        <v>324.08316561302098</v>
      </c>
      <c r="F300" s="116">
        <v>322.2</v>
      </c>
      <c r="G300">
        <v>103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42443</v>
      </c>
      <c r="B301" s="116">
        <v>315.598796589362</v>
      </c>
      <c r="C301" s="116">
        <v>315.598796589362</v>
      </c>
      <c r="D301" s="116">
        <v>305.83190666677802</v>
      </c>
      <c r="E301" s="116">
        <v>312.73778843022097</v>
      </c>
      <c r="F301" s="116">
        <v>319.89999999999998</v>
      </c>
      <c r="G301">
        <v>270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42444</v>
      </c>
      <c r="B302" s="116">
        <v>319.34770383237401</v>
      </c>
      <c r="C302" s="116">
        <v>311.65257843882301</v>
      </c>
      <c r="D302" s="116">
        <v>310.76467935495202</v>
      </c>
      <c r="E302" s="116">
        <v>319.34770383237401</v>
      </c>
      <c r="F302" s="116">
        <v>315.89999999999998</v>
      </c>
      <c r="G302">
        <v>495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42445</v>
      </c>
      <c r="B303" s="116">
        <v>319.34770383237401</v>
      </c>
      <c r="C303" s="116">
        <v>312.836443883985</v>
      </c>
      <c r="D303" s="116">
        <v>310.76467935495202</v>
      </c>
      <c r="E303" s="116">
        <v>312.73778843022097</v>
      </c>
      <c r="F303" s="116">
        <v>317.10000000000002</v>
      </c>
      <c r="G303">
        <v>792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42446</v>
      </c>
      <c r="B304" s="116">
        <v>315.69745204312602</v>
      </c>
      <c r="C304" s="116">
        <v>302.970898507637</v>
      </c>
      <c r="D304" s="116">
        <v>301.88568851623899</v>
      </c>
      <c r="E304" s="116">
        <v>312.73778843022097</v>
      </c>
      <c r="F304" s="116">
        <v>307.10000000000002</v>
      </c>
      <c r="G304">
        <v>1115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42447</v>
      </c>
      <c r="B305" s="116">
        <v>309.67946936355401</v>
      </c>
      <c r="C305" s="116">
        <v>304.74669667538001</v>
      </c>
      <c r="D305" s="116">
        <v>300.89913397860403</v>
      </c>
      <c r="E305" s="116">
        <v>300.99778943236799</v>
      </c>
      <c r="F305" s="116">
        <v>308.89999999999998</v>
      </c>
      <c r="G305">
        <v>587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42450</v>
      </c>
      <c r="B306" s="116">
        <v>315.69745204312602</v>
      </c>
      <c r="C306" s="116">
        <v>311.84988934634998</v>
      </c>
      <c r="D306" s="116">
        <v>305.83190666677802</v>
      </c>
      <c r="E306" s="116">
        <v>305.83190666677802</v>
      </c>
      <c r="F306" s="116">
        <v>316.10000000000002</v>
      </c>
      <c r="G306">
        <v>1419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42451</v>
      </c>
      <c r="B307" s="116">
        <v>330.49577010764699</v>
      </c>
      <c r="C307" s="116">
        <v>326.845518318399</v>
      </c>
      <c r="D307" s="116">
        <v>317.57190566463203</v>
      </c>
      <c r="E307" s="116">
        <v>317.57190566463203</v>
      </c>
      <c r="F307" s="116">
        <v>331.3</v>
      </c>
      <c r="G307">
        <v>1894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42452</v>
      </c>
      <c r="B308" s="116">
        <v>336.415097333456</v>
      </c>
      <c r="C308" s="116">
        <v>328.02938376356002</v>
      </c>
      <c r="D308" s="116">
        <v>325.56299741947299</v>
      </c>
      <c r="E308" s="116">
        <v>325.56299741947299</v>
      </c>
      <c r="F308" s="116">
        <v>332.5</v>
      </c>
      <c r="G308">
        <v>2758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42457</v>
      </c>
      <c r="B309" s="116">
        <v>333.45543372055198</v>
      </c>
      <c r="C309" s="116">
        <v>310.86333480871502</v>
      </c>
      <c r="D309" s="116">
        <v>305.93056212054199</v>
      </c>
      <c r="E309" s="116">
        <v>333.45543372055198</v>
      </c>
      <c r="F309" s="116">
        <v>315.10000000000002</v>
      </c>
      <c r="G309">
        <v>1321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42458</v>
      </c>
      <c r="B310" s="116">
        <v>317.67056111839503</v>
      </c>
      <c r="C310" s="116">
        <v>305.535940305488</v>
      </c>
      <c r="D310" s="116">
        <v>302.872243053874</v>
      </c>
      <c r="E310" s="116">
        <v>310.86333480871502</v>
      </c>
      <c r="F310" s="116">
        <v>309.7</v>
      </c>
      <c r="G310">
        <v>672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42459</v>
      </c>
      <c r="B311" s="116">
        <v>325.56299741947299</v>
      </c>
      <c r="C311" s="116">
        <v>308.49560391839202</v>
      </c>
      <c r="D311" s="116">
        <v>307.805015742048</v>
      </c>
      <c r="E311" s="116">
        <v>325.56299741947299</v>
      </c>
      <c r="F311" s="116">
        <v>312.7</v>
      </c>
      <c r="G311">
        <v>1451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42460</v>
      </c>
      <c r="B312" s="116">
        <v>324.08316561302098</v>
      </c>
      <c r="C312" s="116">
        <v>323.49123289044002</v>
      </c>
      <c r="D312" s="116">
        <v>313.72434296785599</v>
      </c>
      <c r="E312" s="116">
        <v>315.69745204312602</v>
      </c>
      <c r="F312" s="116">
        <v>327.9</v>
      </c>
      <c r="G312">
        <v>1003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42461</v>
      </c>
      <c r="B313" s="116">
        <v>341.841147290447</v>
      </c>
      <c r="C313" s="116">
        <v>322.20871199151497</v>
      </c>
      <c r="D313" s="116">
        <v>315.69745204312602</v>
      </c>
      <c r="E313" s="116">
        <v>315.69745204312602</v>
      </c>
      <c r="F313" s="116">
        <v>326.60000000000002</v>
      </c>
      <c r="G313">
        <v>234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42464</v>
      </c>
      <c r="B314" s="116">
        <v>339.27610549259703</v>
      </c>
      <c r="C314" s="116">
        <v>334.34333280442303</v>
      </c>
      <c r="D314" s="116">
        <v>330.49577010764699</v>
      </c>
      <c r="E314" s="116">
        <v>339.27610549259703</v>
      </c>
      <c r="F314" s="116">
        <v>338.9</v>
      </c>
      <c r="G314">
        <v>680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42465</v>
      </c>
      <c r="B315" s="116">
        <v>333.45543372055198</v>
      </c>
      <c r="C315" s="116">
        <v>323.19526652914999</v>
      </c>
      <c r="D315" s="116">
        <v>319.34770383237401</v>
      </c>
      <c r="E315" s="116">
        <v>327.53610649474302</v>
      </c>
      <c r="F315" s="116">
        <v>327.60000000000002</v>
      </c>
      <c r="G315">
        <v>1013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42466</v>
      </c>
      <c r="B316" s="116">
        <v>365.02517892486401</v>
      </c>
      <c r="C316" s="116">
        <v>354.96232264099001</v>
      </c>
      <c r="D316" s="116">
        <v>312.73778843022097</v>
      </c>
      <c r="E316" s="116">
        <v>320.63022473130002</v>
      </c>
      <c r="F316" s="116">
        <v>359.8</v>
      </c>
      <c r="G316">
        <v>5021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42467</v>
      </c>
      <c r="B317" s="116">
        <v>365.02517892486401</v>
      </c>
      <c r="C317" s="116">
        <v>356.14618808615103</v>
      </c>
      <c r="D317" s="116">
        <v>355.15963354851601</v>
      </c>
      <c r="E317" s="116">
        <v>360.09240623669001</v>
      </c>
      <c r="F317" s="116">
        <v>361</v>
      </c>
      <c r="G317">
        <v>596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42468</v>
      </c>
      <c r="B318" s="116">
        <v>359.10585169905602</v>
      </c>
      <c r="C318" s="116">
        <v>355.35694445604298</v>
      </c>
      <c r="D318" s="116">
        <v>351.21341539797697</v>
      </c>
      <c r="E318" s="116">
        <v>354.17307901088202</v>
      </c>
      <c r="F318" s="116">
        <v>360.2</v>
      </c>
      <c r="G318">
        <v>1083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42471</v>
      </c>
      <c r="B319" s="116">
        <v>371.93106068830701</v>
      </c>
      <c r="C319" s="116">
        <v>358.80988533776502</v>
      </c>
      <c r="D319" s="116">
        <v>355.15963354851601</v>
      </c>
      <c r="E319" s="116">
        <v>357.13274262378599</v>
      </c>
      <c r="F319" s="116">
        <v>363.7</v>
      </c>
      <c r="G319">
        <v>1367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42472</v>
      </c>
      <c r="B320" s="116">
        <v>361.07896077432503</v>
      </c>
      <c r="C320" s="116">
        <v>357.82333080013001</v>
      </c>
      <c r="D320" s="116">
        <v>355.15963354851601</v>
      </c>
      <c r="E320" s="116">
        <v>355.15963354851601</v>
      </c>
      <c r="F320" s="116">
        <v>362.7</v>
      </c>
      <c r="G320">
        <v>836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42473</v>
      </c>
      <c r="B321" s="116">
        <v>363.545347118412</v>
      </c>
      <c r="C321" s="116">
        <v>357.03408717002202</v>
      </c>
      <c r="D321" s="116">
        <v>352.19996993561199</v>
      </c>
      <c r="E321" s="116">
        <v>356.14618808615103</v>
      </c>
      <c r="F321" s="116">
        <v>361.9</v>
      </c>
      <c r="G321">
        <v>619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42478</v>
      </c>
      <c r="B322" s="116">
        <v>364.92652347110101</v>
      </c>
      <c r="C322" s="116">
        <v>357.62601989260298</v>
      </c>
      <c r="D322" s="116">
        <v>355.15963354851601</v>
      </c>
      <c r="E322" s="116">
        <v>355.15963354851601</v>
      </c>
      <c r="F322" s="116">
        <v>362.5</v>
      </c>
      <c r="G322">
        <v>699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42480</v>
      </c>
      <c r="B323" s="116">
        <v>360.09240623669001</v>
      </c>
      <c r="C323" s="116">
        <v>354.96232264099001</v>
      </c>
      <c r="D323" s="116">
        <v>353.186524473247</v>
      </c>
      <c r="E323" s="116">
        <v>357.13274262378599</v>
      </c>
      <c r="F323" s="116">
        <v>359.8</v>
      </c>
      <c r="G323">
        <v>1410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42481</v>
      </c>
      <c r="B324" s="116">
        <v>355.15963354851601</v>
      </c>
      <c r="C324" s="116">
        <v>348.35240723883697</v>
      </c>
      <c r="D324" s="116">
        <v>343.32097909689901</v>
      </c>
      <c r="E324" s="116">
        <v>347.26719724743799</v>
      </c>
      <c r="F324" s="116">
        <v>353.1</v>
      </c>
      <c r="G324">
        <v>363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42482</v>
      </c>
      <c r="B325" s="116">
        <v>350.02954995281601</v>
      </c>
      <c r="C325" s="116">
        <v>341.05190366033901</v>
      </c>
      <c r="D325" s="116">
        <v>340.45997093775799</v>
      </c>
      <c r="E325" s="116">
        <v>345.29408817216898</v>
      </c>
      <c r="F325" s="116">
        <v>345.7</v>
      </c>
      <c r="G325">
        <v>1120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42485</v>
      </c>
      <c r="B326" s="116">
        <v>348.25375178507301</v>
      </c>
      <c r="C326" s="116">
        <v>340.85459275281198</v>
      </c>
      <c r="D326" s="116">
        <v>336.415097333456</v>
      </c>
      <c r="E326" s="116">
        <v>348.25375178507301</v>
      </c>
      <c r="F326" s="116">
        <v>345.5</v>
      </c>
      <c r="G326">
        <v>222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42486</v>
      </c>
      <c r="B327" s="116">
        <v>346.28064270980298</v>
      </c>
      <c r="C327" s="116">
        <v>342.63039092055499</v>
      </c>
      <c r="D327" s="116">
        <v>325.66165287323702</v>
      </c>
      <c r="E327" s="116">
        <v>325.66165287323702</v>
      </c>
      <c r="F327" s="116">
        <v>347.3</v>
      </c>
      <c r="G327">
        <v>542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42487</v>
      </c>
      <c r="B328" s="116">
        <v>348.74702905389</v>
      </c>
      <c r="C328" s="116">
        <v>335.13257643453102</v>
      </c>
      <c r="D328" s="116">
        <v>325.66165287323702</v>
      </c>
      <c r="E328" s="116">
        <v>342.82770182808201</v>
      </c>
      <c r="F328" s="116">
        <v>339.7</v>
      </c>
      <c r="G328">
        <v>1550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42488</v>
      </c>
      <c r="B329" s="116">
        <v>347.26719724743799</v>
      </c>
      <c r="C329" s="116">
        <v>331.28501373775498</v>
      </c>
      <c r="D329" s="116">
        <v>327.53610649474302</v>
      </c>
      <c r="E329" s="116">
        <v>347.26719724743799</v>
      </c>
      <c r="F329" s="116">
        <v>335.8</v>
      </c>
      <c r="G329">
        <v>1566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42489</v>
      </c>
      <c r="B330" s="116">
        <v>350.42417176787001</v>
      </c>
      <c r="C330" s="116">
        <v>338.28955095496201</v>
      </c>
      <c r="D330" s="116">
        <v>330.49577010764699</v>
      </c>
      <c r="E330" s="116">
        <v>330.49577010764699</v>
      </c>
      <c r="F330" s="116">
        <v>342.9</v>
      </c>
      <c r="G330">
        <v>473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42492</v>
      </c>
      <c r="B331" s="116">
        <v>344.70215544958802</v>
      </c>
      <c r="C331" s="116">
        <v>342.33442455926399</v>
      </c>
      <c r="D331" s="116">
        <v>330.49577010764699</v>
      </c>
      <c r="E331" s="116">
        <v>330.49577010764699</v>
      </c>
      <c r="F331" s="116">
        <v>347</v>
      </c>
      <c r="G331">
        <v>165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42493</v>
      </c>
      <c r="B332" s="116">
        <v>363.052069849595</v>
      </c>
      <c r="C332" s="116">
        <v>330.49577010764699</v>
      </c>
      <c r="D332" s="116">
        <v>326.64820741087198</v>
      </c>
      <c r="E332" s="116">
        <v>342.33442455926399</v>
      </c>
      <c r="F332" s="116">
        <v>335</v>
      </c>
      <c r="G332">
        <v>778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42494</v>
      </c>
      <c r="B333" s="116">
        <v>348.25375178507301</v>
      </c>
      <c r="C333" s="116">
        <v>329.213249208722</v>
      </c>
      <c r="D333" s="116">
        <v>327.53610649474302</v>
      </c>
      <c r="E333" s="116">
        <v>348.25375178507301</v>
      </c>
      <c r="F333" s="116">
        <v>333.7</v>
      </c>
      <c r="G333">
        <v>1507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42495</v>
      </c>
      <c r="B334" s="116">
        <v>340.36131548399499</v>
      </c>
      <c r="C334" s="116">
        <v>335.32988734205799</v>
      </c>
      <c r="D334" s="116">
        <v>330.49577010764699</v>
      </c>
      <c r="E334" s="116">
        <v>340.36131548399499</v>
      </c>
      <c r="F334" s="116">
        <v>339.9</v>
      </c>
      <c r="G334">
        <v>6311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42496</v>
      </c>
      <c r="B335" s="116">
        <v>338.38820640872501</v>
      </c>
      <c r="C335" s="116">
        <v>327.53610649474302</v>
      </c>
      <c r="D335" s="116">
        <v>327.53610649474302</v>
      </c>
      <c r="E335" s="116">
        <v>338.38820640872501</v>
      </c>
      <c r="F335" s="116">
        <v>332</v>
      </c>
      <c r="G335">
        <v>105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42499</v>
      </c>
      <c r="B336" s="116">
        <v>335.42854279582099</v>
      </c>
      <c r="C336" s="116">
        <v>335.32988734205799</v>
      </c>
      <c r="D336" s="116">
        <v>328.52266103237798</v>
      </c>
      <c r="E336" s="116">
        <v>328.52266103237798</v>
      </c>
      <c r="F336" s="116">
        <v>339.9</v>
      </c>
      <c r="G336">
        <v>138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42500</v>
      </c>
      <c r="B337" s="116">
        <v>345.29408817216898</v>
      </c>
      <c r="C337" s="116">
        <v>333.85005553560501</v>
      </c>
      <c r="D337" s="116">
        <v>325.56299741947299</v>
      </c>
      <c r="E337" s="116">
        <v>333.45543372055198</v>
      </c>
      <c r="F337" s="116">
        <v>338.4</v>
      </c>
      <c r="G337">
        <v>1842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42501</v>
      </c>
      <c r="B338" s="116">
        <v>337.40165187109102</v>
      </c>
      <c r="C338" s="116">
        <v>328.02938376356002</v>
      </c>
      <c r="D338" s="116">
        <v>315.69745204312602</v>
      </c>
      <c r="E338" s="116">
        <v>330.49577010764699</v>
      </c>
      <c r="F338" s="116">
        <v>332.5</v>
      </c>
      <c r="G338">
        <v>871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42502</v>
      </c>
      <c r="B339" s="116">
        <v>343.32097909689901</v>
      </c>
      <c r="C339" s="116">
        <v>337.89492913990802</v>
      </c>
      <c r="D339" s="116">
        <v>331.67963555280897</v>
      </c>
      <c r="E339" s="116">
        <v>334.44198825818597</v>
      </c>
      <c r="F339" s="116">
        <v>342.5</v>
      </c>
      <c r="G339">
        <v>820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42503</v>
      </c>
      <c r="B340" s="116">
        <v>340.16400457646802</v>
      </c>
      <c r="C340" s="116">
        <v>336.908374602273</v>
      </c>
      <c r="D340" s="116">
        <v>327.63476194850602</v>
      </c>
      <c r="E340" s="116">
        <v>335.42854279582099</v>
      </c>
      <c r="F340" s="116">
        <v>341.5</v>
      </c>
      <c r="G340">
        <v>824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42506</v>
      </c>
      <c r="B341" s="116">
        <v>342.33442455926399</v>
      </c>
      <c r="C341" s="116">
        <v>328.91728284743198</v>
      </c>
      <c r="D341" s="116">
        <v>323.58988834420398</v>
      </c>
      <c r="E341" s="116">
        <v>342.33442455926399</v>
      </c>
      <c r="F341" s="116">
        <v>333.4</v>
      </c>
      <c r="G341">
        <v>644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42507</v>
      </c>
      <c r="B342" s="116">
        <v>338.28955095496201</v>
      </c>
      <c r="C342" s="116">
        <v>325.66165287323702</v>
      </c>
      <c r="D342" s="116">
        <v>325.56299741947299</v>
      </c>
      <c r="E342" s="116">
        <v>325.56299741947299</v>
      </c>
      <c r="F342" s="116">
        <v>330.1</v>
      </c>
      <c r="G342">
        <v>898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42508</v>
      </c>
      <c r="B343" s="116">
        <v>333.25812281302501</v>
      </c>
      <c r="C343" s="116">
        <v>326.944173772162</v>
      </c>
      <c r="D343" s="116">
        <v>315.69745204312602</v>
      </c>
      <c r="E343" s="116">
        <v>323.58988834420398</v>
      </c>
      <c r="F343" s="116">
        <v>331.4</v>
      </c>
      <c r="G343">
        <v>1433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42509</v>
      </c>
      <c r="B344" s="116">
        <v>329.01593830119498</v>
      </c>
      <c r="C344" s="116">
        <v>317.67056111839503</v>
      </c>
      <c r="D344" s="116">
        <v>317.67056111839503</v>
      </c>
      <c r="E344" s="116">
        <v>329.01593830119498</v>
      </c>
      <c r="F344" s="116">
        <v>322</v>
      </c>
      <c r="G344">
        <v>262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42510</v>
      </c>
      <c r="B345" s="116">
        <v>338.38820640872501</v>
      </c>
      <c r="C345" s="116">
        <v>316.58535112699701</v>
      </c>
      <c r="D345" s="116">
        <v>312.73778843022097</v>
      </c>
      <c r="E345" s="116">
        <v>338.28955095496201</v>
      </c>
      <c r="F345" s="116">
        <v>320.89999999999998</v>
      </c>
      <c r="G345">
        <v>2457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42513</v>
      </c>
      <c r="B346" s="116">
        <v>371.43778341949002</v>
      </c>
      <c r="C346" s="116">
        <v>318.06518293344902</v>
      </c>
      <c r="D346" s="116">
        <v>311.75123389258698</v>
      </c>
      <c r="E346" s="116">
        <v>371.43778341949002</v>
      </c>
      <c r="F346" s="116">
        <v>322.39999999999998</v>
      </c>
      <c r="G346">
        <v>1050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42514</v>
      </c>
      <c r="B347" s="116">
        <v>322.99795562162302</v>
      </c>
      <c r="C347" s="116">
        <v>318.55846020226699</v>
      </c>
      <c r="D347" s="116">
        <v>313.87232614850097</v>
      </c>
      <c r="E347" s="116">
        <v>315.99341840441599</v>
      </c>
      <c r="F347" s="116">
        <v>322.89999999999998</v>
      </c>
      <c r="G347">
        <v>840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42515</v>
      </c>
      <c r="B348" s="116">
        <v>332.46887918291702</v>
      </c>
      <c r="C348" s="116">
        <v>313.23106569903899</v>
      </c>
      <c r="D348" s="116">
        <v>309.08753664097298</v>
      </c>
      <c r="E348" s="116">
        <v>332.46887918291702</v>
      </c>
      <c r="F348" s="116">
        <v>317.5</v>
      </c>
      <c r="G348">
        <v>3884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42516</v>
      </c>
      <c r="B349" s="116">
        <v>319.643670193665</v>
      </c>
      <c r="C349" s="116">
        <v>311.99787252699502</v>
      </c>
      <c r="D349" s="116">
        <v>306.07854530118698</v>
      </c>
      <c r="E349" s="116">
        <v>306.07854530118698</v>
      </c>
      <c r="F349" s="116">
        <v>316.25</v>
      </c>
      <c r="G349">
        <v>1178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42517</v>
      </c>
      <c r="B350" s="116">
        <v>333.45543372055198</v>
      </c>
      <c r="C350" s="116">
        <v>317.32526703022302</v>
      </c>
      <c r="D350" s="116">
        <v>310.76467935495202</v>
      </c>
      <c r="E350" s="116">
        <v>333.45543372055198</v>
      </c>
      <c r="F350" s="116">
        <v>321.64999999999998</v>
      </c>
      <c r="G350">
        <v>3858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42520</v>
      </c>
      <c r="B351" s="116">
        <v>325.56299741947299</v>
      </c>
      <c r="C351" s="116">
        <v>315.05619159366302</v>
      </c>
      <c r="D351" s="116">
        <v>313.23106569903899</v>
      </c>
      <c r="E351" s="116">
        <v>318.65711565602999</v>
      </c>
      <c r="F351" s="116">
        <v>319.35000000000002</v>
      </c>
      <c r="G351">
        <v>918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42521</v>
      </c>
      <c r="B352" s="116">
        <v>315.69745204312602</v>
      </c>
      <c r="C352" s="116">
        <v>315.105519320545</v>
      </c>
      <c r="D352" s="116">
        <v>307.805015742048</v>
      </c>
      <c r="E352" s="116">
        <v>309.77812481731701</v>
      </c>
      <c r="F352" s="116">
        <v>319.39999999999998</v>
      </c>
      <c r="G352">
        <v>534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42522</v>
      </c>
      <c r="B353" s="116">
        <v>323.09661107538602</v>
      </c>
      <c r="C353" s="116">
        <v>310.86333480871502</v>
      </c>
      <c r="D353" s="116">
        <v>310.76467935495202</v>
      </c>
      <c r="E353" s="116">
        <v>315.69745204312602</v>
      </c>
      <c r="F353" s="116">
        <v>315.10000000000002</v>
      </c>
      <c r="G353">
        <v>3068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42523</v>
      </c>
      <c r="B354" s="116">
        <v>325.56299741947299</v>
      </c>
      <c r="C354" s="116">
        <v>321.32081290764398</v>
      </c>
      <c r="D354" s="116">
        <v>301.88568851623899</v>
      </c>
      <c r="E354" s="116">
        <v>315.598796589362</v>
      </c>
      <c r="F354" s="116">
        <v>325.7</v>
      </c>
      <c r="G354">
        <v>4069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42524</v>
      </c>
      <c r="B355" s="116">
        <v>329.50921557001197</v>
      </c>
      <c r="C355" s="116">
        <v>323.98451015925798</v>
      </c>
      <c r="D355" s="116">
        <v>321.32081290764398</v>
      </c>
      <c r="E355" s="116">
        <v>321.32081290764398</v>
      </c>
      <c r="F355" s="116">
        <v>328.4</v>
      </c>
      <c r="G355">
        <v>738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42527</v>
      </c>
      <c r="B356" s="116">
        <v>328.52266103237798</v>
      </c>
      <c r="C356" s="116">
        <v>320.876863365708</v>
      </c>
      <c r="D356" s="116">
        <v>320.63022473130002</v>
      </c>
      <c r="E356" s="116">
        <v>323.58988834420398</v>
      </c>
      <c r="F356" s="116">
        <v>325.25</v>
      </c>
      <c r="G356">
        <v>380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42528</v>
      </c>
      <c r="B357" s="116">
        <v>334.44198825818597</v>
      </c>
      <c r="C357" s="116">
        <v>323.78719925173101</v>
      </c>
      <c r="D357" s="116">
        <v>316.28938476570698</v>
      </c>
      <c r="E357" s="116">
        <v>332.46887918291702</v>
      </c>
      <c r="F357" s="116">
        <v>328.2</v>
      </c>
      <c r="G357">
        <v>2698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42529</v>
      </c>
      <c r="B358" s="116">
        <v>329.41056011624897</v>
      </c>
      <c r="C358" s="116">
        <v>318.06518293344902</v>
      </c>
      <c r="D358" s="116">
        <v>315.74677977000698</v>
      </c>
      <c r="E358" s="116">
        <v>329.01593830119498</v>
      </c>
      <c r="F358" s="116">
        <v>322.39999999999998</v>
      </c>
      <c r="G358">
        <v>1800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42530</v>
      </c>
      <c r="B359" s="116">
        <v>328.473333305496</v>
      </c>
      <c r="C359" s="116">
        <v>322.99795562162302</v>
      </c>
      <c r="D359" s="116">
        <v>317.769216572159</v>
      </c>
      <c r="E359" s="116">
        <v>328.473333305496</v>
      </c>
      <c r="F359" s="116">
        <v>327.39999999999998</v>
      </c>
      <c r="G359">
        <v>520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42531</v>
      </c>
      <c r="B360" s="116">
        <v>334.44198825818597</v>
      </c>
      <c r="C360" s="116">
        <v>322.406022899042</v>
      </c>
      <c r="D360" s="116">
        <v>318.45980474850302</v>
      </c>
      <c r="E360" s="116">
        <v>334.44198825818597</v>
      </c>
      <c r="F360" s="116">
        <v>326.8</v>
      </c>
      <c r="G360">
        <v>319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42534</v>
      </c>
      <c r="B361" s="116">
        <v>325.56299741947299</v>
      </c>
      <c r="C361" s="116">
        <v>315.74677977000698</v>
      </c>
      <c r="D361" s="116">
        <v>307.410393926994</v>
      </c>
      <c r="E361" s="116">
        <v>307.805015742048</v>
      </c>
      <c r="F361" s="116">
        <v>320.05</v>
      </c>
      <c r="G361">
        <v>1966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42535</v>
      </c>
      <c r="B362" s="116">
        <v>324.08316561302098</v>
      </c>
      <c r="C362" s="116">
        <v>315.15484704742698</v>
      </c>
      <c r="D362" s="116">
        <v>313.72434296785599</v>
      </c>
      <c r="E362" s="116">
        <v>320.63022473130002</v>
      </c>
      <c r="F362" s="116">
        <v>319.45</v>
      </c>
      <c r="G362">
        <v>1617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42536</v>
      </c>
      <c r="B363" s="116">
        <v>327.04282922592603</v>
      </c>
      <c r="C363" s="116">
        <v>316.38804021946999</v>
      </c>
      <c r="D363" s="116">
        <v>315.69745204312602</v>
      </c>
      <c r="E363" s="116">
        <v>327.04282922592603</v>
      </c>
      <c r="F363" s="116">
        <v>320.7</v>
      </c>
      <c r="G363">
        <v>2634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42537</v>
      </c>
      <c r="B364" s="116">
        <v>325.36568651194602</v>
      </c>
      <c r="C364" s="116">
        <v>320.72888018506302</v>
      </c>
      <c r="D364" s="116">
        <v>313.72434296785599</v>
      </c>
      <c r="E364" s="116">
        <v>313.77367069473797</v>
      </c>
      <c r="F364" s="116">
        <v>325.10000000000002</v>
      </c>
      <c r="G364">
        <v>2439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42538</v>
      </c>
      <c r="B365" s="116">
        <v>325.02039242377401</v>
      </c>
      <c r="C365" s="116">
        <v>318.45980474850302</v>
      </c>
      <c r="D365" s="116">
        <v>315.94409067753401</v>
      </c>
      <c r="E365" s="116">
        <v>319.643670193665</v>
      </c>
      <c r="F365" s="116">
        <v>322.8</v>
      </c>
      <c r="G365">
        <v>493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42541</v>
      </c>
      <c r="B366" s="116">
        <v>325.36568651194602</v>
      </c>
      <c r="C366" s="116">
        <v>323.58988834420398</v>
      </c>
      <c r="D366" s="116">
        <v>316.68400658076001</v>
      </c>
      <c r="E366" s="116">
        <v>316.733334307642</v>
      </c>
      <c r="F366" s="116">
        <v>328</v>
      </c>
      <c r="G366">
        <v>763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42542</v>
      </c>
      <c r="B367" s="116">
        <v>330.39711465388399</v>
      </c>
      <c r="C367" s="116">
        <v>320.63022473130002</v>
      </c>
      <c r="D367" s="116">
        <v>319.89030882807299</v>
      </c>
      <c r="E367" s="116">
        <v>330.39711465388399</v>
      </c>
      <c r="F367" s="116">
        <v>325</v>
      </c>
      <c r="G367">
        <v>456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42543</v>
      </c>
      <c r="B368" s="116">
        <v>325.56299741947299</v>
      </c>
      <c r="C368" s="116">
        <v>319.84098110119203</v>
      </c>
      <c r="D368" s="116">
        <v>313.77367069473797</v>
      </c>
      <c r="E368" s="116">
        <v>321.61677926893401</v>
      </c>
      <c r="F368" s="116">
        <v>324.2</v>
      </c>
      <c r="G368">
        <v>1214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42544</v>
      </c>
      <c r="B369" s="116">
        <v>320.63022473130002</v>
      </c>
      <c r="C369" s="116">
        <v>316.38804021946999</v>
      </c>
      <c r="D369" s="116">
        <v>309.87678027108097</v>
      </c>
      <c r="E369" s="116">
        <v>317.71988884527701</v>
      </c>
      <c r="F369" s="116">
        <v>320.7</v>
      </c>
      <c r="G369">
        <v>845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42545</v>
      </c>
      <c r="B370" s="116">
        <v>315.69745204312602</v>
      </c>
      <c r="C370" s="116">
        <v>306.91711665817598</v>
      </c>
      <c r="D370" s="116">
        <v>295.96636129042997</v>
      </c>
      <c r="E370" s="116">
        <v>310.76467935495202</v>
      </c>
      <c r="F370" s="116">
        <v>311.10000000000002</v>
      </c>
      <c r="G370">
        <v>2728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42548</v>
      </c>
      <c r="B371" s="116">
        <v>333.45543372055198</v>
      </c>
      <c r="C371" s="116">
        <v>326.944173772162</v>
      </c>
      <c r="D371" s="116">
        <v>310.76467935495202</v>
      </c>
      <c r="E371" s="116">
        <v>318.65711565602999</v>
      </c>
      <c r="F371" s="116">
        <v>331.4</v>
      </c>
      <c r="G371">
        <v>2477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42549</v>
      </c>
      <c r="B372" s="116">
        <v>332.27156827539</v>
      </c>
      <c r="C372" s="116">
        <v>324.13249333990302</v>
      </c>
      <c r="D372" s="116">
        <v>317.67056111839503</v>
      </c>
      <c r="E372" s="116">
        <v>322.60333380656903</v>
      </c>
      <c r="F372" s="116">
        <v>328.55</v>
      </c>
      <c r="G372">
        <v>5282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42550</v>
      </c>
      <c r="B373" s="116">
        <v>332.46887918291702</v>
      </c>
      <c r="C373" s="116">
        <v>324.52711515495702</v>
      </c>
      <c r="D373" s="116">
        <v>321.12350200011701</v>
      </c>
      <c r="E373" s="116">
        <v>332.46887918291702</v>
      </c>
      <c r="F373" s="116">
        <v>328.95</v>
      </c>
      <c r="G373">
        <v>2280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42551</v>
      </c>
      <c r="B374" s="116">
        <v>332.32089600227198</v>
      </c>
      <c r="C374" s="116">
        <v>317.96652747968602</v>
      </c>
      <c r="D374" s="116">
        <v>316.68400658076001</v>
      </c>
      <c r="E374" s="116">
        <v>332.32089600227198</v>
      </c>
      <c r="F374" s="116">
        <v>322.3</v>
      </c>
      <c r="G374">
        <v>531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42552</v>
      </c>
      <c r="B375" s="116">
        <v>328.37467785173197</v>
      </c>
      <c r="C375" s="116">
        <v>316.19072931194302</v>
      </c>
      <c r="D375" s="116">
        <v>315.69745204312602</v>
      </c>
      <c r="E375" s="116">
        <v>315.69745204312602</v>
      </c>
      <c r="F375" s="116">
        <v>320.5</v>
      </c>
      <c r="G375">
        <v>1324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42555</v>
      </c>
      <c r="B376" s="116">
        <v>326.99350149904399</v>
      </c>
      <c r="C376" s="116">
        <v>315.69745204312602</v>
      </c>
      <c r="D376" s="116">
        <v>313.72434296785599</v>
      </c>
      <c r="E376" s="116">
        <v>326.99350149904399</v>
      </c>
      <c r="F376" s="116">
        <v>320</v>
      </c>
      <c r="G376">
        <v>2663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42556</v>
      </c>
      <c r="B377" s="116">
        <v>324.47778742807498</v>
      </c>
      <c r="C377" s="116">
        <v>314.41493114420098</v>
      </c>
      <c r="D377" s="116">
        <v>309.82745254419899</v>
      </c>
      <c r="E377" s="116">
        <v>310.76467935495202</v>
      </c>
      <c r="F377" s="116">
        <v>318.7</v>
      </c>
      <c r="G377">
        <v>2392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42558</v>
      </c>
      <c r="B378" s="116">
        <v>323.047283348505</v>
      </c>
      <c r="C378" s="116">
        <v>317.17728384957798</v>
      </c>
      <c r="D378" s="116">
        <v>316.19072931194302</v>
      </c>
      <c r="E378" s="116">
        <v>323.047283348505</v>
      </c>
      <c r="F378" s="116">
        <v>321.5</v>
      </c>
      <c r="G378">
        <v>443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42559</v>
      </c>
      <c r="B379" s="116">
        <v>322.60333380656903</v>
      </c>
      <c r="C379" s="116">
        <v>315.15484704742698</v>
      </c>
      <c r="D379" s="116">
        <v>311.75123389258698</v>
      </c>
      <c r="E379" s="116">
        <v>313.72434296785599</v>
      </c>
      <c r="F379" s="116">
        <v>319.45</v>
      </c>
      <c r="G379">
        <v>1752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42562</v>
      </c>
      <c r="B380" s="116">
        <v>320.63022473130002</v>
      </c>
      <c r="C380" s="116">
        <v>316.38804021946999</v>
      </c>
      <c r="D380" s="116">
        <v>315.69745204312602</v>
      </c>
      <c r="E380" s="116">
        <v>320.63022473130002</v>
      </c>
      <c r="F380" s="116">
        <v>320.7</v>
      </c>
      <c r="G380">
        <v>3990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42563</v>
      </c>
      <c r="B381" s="116">
        <v>319.643670193665</v>
      </c>
      <c r="C381" s="116">
        <v>313.37904887968398</v>
      </c>
      <c r="D381" s="116">
        <v>311.15930117000602</v>
      </c>
      <c r="E381" s="116">
        <v>317.67056111839503</v>
      </c>
      <c r="F381" s="116">
        <v>317.64999999999998</v>
      </c>
      <c r="G381">
        <v>4579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42564</v>
      </c>
      <c r="B382" s="116">
        <v>319.44635928613798</v>
      </c>
      <c r="C382" s="116">
        <v>312.24451116140398</v>
      </c>
      <c r="D382" s="116">
        <v>311.75123389258698</v>
      </c>
      <c r="E382" s="116">
        <v>316.19072931194302</v>
      </c>
      <c r="F382" s="116">
        <v>316.5</v>
      </c>
      <c r="G382">
        <v>1274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42565</v>
      </c>
      <c r="B383" s="116">
        <v>315.69745204312602</v>
      </c>
      <c r="C383" s="116">
        <v>314.464258871082</v>
      </c>
      <c r="D383" s="116">
        <v>310.76467935495202</v>
      </c>
      <c r="E383" s="116">
        <v>315.50014113559899</v>
      </c>
      <c r="F383" s="116">
        <v>318.75</v>
      </c>
      <c r="G383">
        <v>1085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42566</v>
      </c>
      <c r="B384" s="116">
        <v>324.52711515495702</v>
      </c>
      <c r="C384" s="116">
        <v>320.038292008719</v>
      </c>
      <c r="D384" s="116">
        <v>310.86333480871502</v>
      </c>
      <c r="E384" s="116">
        <v>310.86333480871502</v>
      </c>
      <c r="F384" s="116">
        <v>324.39999999999998</v>
      </c>
      <c r="G384">
        <v>2505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42569</v>
      </c>
      <c r="B385" s="116">
        <v>320.63022473130002</v>
      </c>
      <c r="C385" s="116">
        <v>315.69745204312602</v>
      </c>
      <c r="D385" s="116">
        <v>309.77812481731701</v>
      </c>
      <c r="E385" s="116">
        <v>311.75123389258698</v>
      </c>
      <c r="F385" s="116">
        <v>320</v>
      </c>
      <c r="G385">
        <v>4891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42570</v>
      </c>
      <c r="B386" s="116">
        <v>319.15039292484698</v>
      </c>
      <c r="C386" s="116">
        <v>312.49114979581299</v>
      </c>
      <c r="D386" s="116">
        <v>311.75123389258698</v>
      </c>
      <c r="E386" s="116">
        <v>319.15039292484698</v>
      </c>
      <c r="F386" s="116">
        <v>316.75</v>
      </c>
      <c r="G386">
        <v>2930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42571</v>
      </c>
      <c r="B387" s="116">
        <v>345.244760445287</v>
      </c>
      <c r="C387" s="116">
        <v>333.65274462807798</v>
      </c>
      <c r="D387" s="116">
        <v>313.970981602265</v>
      </c>
      <c r="E387" s="116">
        <v>317.62123339151401</v>
      </c>
      <c r="F387" s="116">
        <v>338.2</v>
      </c>
      <c r="G387">
        <v>3624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42572</v>
      </c>
      <c r="B388" s="116">
        <v>354.715684006581</v>
      </c>
      <c r="C388" s="116">
        <v>339.81871048829601</v>
      </c>
      <c r="D388" s="116">
        <v>327.63476194850602</v>
      </c>
      <c r="E388" s="116">
        <v>335.379215068939</v>
      </c>
      <c r="F388" s="116">
        <v>344.45</v>
      </c>
      <c r="G388">
        <v>5944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42573</v>
      </c>
      <c r="B389" s="116">
        <v>339.37476094636003</v>
      </c>
      <c r="C389" s="116">
        <v>335.82316461087498</v>
      </c>
      <c r="D389" s="116">
        <v>331.48232464528201</v>
      </c>
      <c r="E389" s="116">
        <v>331.48232464528201</v>
      </c>
      <c r="F389" s="116">
        <v>340.4</v>
      </c>
      <c r="G389">
        <v>1616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42576</v>
      </c>
      <c r="B390" s="116">
        <v>349.24030632270802</v>
      </c>
      <c r="C390" s="116">
        <v>336.36576960657402</v>
      </c>
      <c r="D390" s="116">
        <v>335.42854279582099</v>
      </c>
      <c r="E390" s="116">
        <v>346.23131498292202</v>
      </c>
      <c r="F390" s="116">
        <v>340.95</v>
      </c>
      <c r="G390">
        <v>2052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42577</v>
      </c>
      <c r="B391" s="116">
        <v>345.04744953775997</v>
      </c>
      <c r="C391" s="116">
        <v>337.89492913990802</v>
      </c>
      <c r="D391" s="116">
        <v>337.89492913990802</v>
      </c>
      <c r="E391" s="116">
        <v>344.99812181087799</v>
      </c>
      <c r="F391" s="116">
        <v>342.5</v>
      </c>
      <c r="G391">
        <v>2698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42578</v>
      </c>
      <c r="B392" s="116">
        <v>341.19988684098502</v>
      </c>
      <c r="C392" s="116">
        <v>332.76484554420699</v>
      </c>
      <c r="D392" s="116">
        <v>332.46887918291702</v>
      </c>
      <c r="E392" s="116">
        <v>340.36131548399499</v>
      </c>
      <c r="F392" s="116">
        <v>337.3</v>
      </c>
      <c r="G392">
        <v>1258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42579</v>
      </c>
      <c r="B393" s="116">
        <v>345.04744953775997</v>
      </c>
      <c r="C393" s="116">
        <v>340.06534912270399</v>
      </c>
      <c r="D393" s="116">
        <v>325.809636053882</v>
      </c>
      <c r="E393" s="116">
        <v>335.42854279582099</v>
      </c>
      <c r="F393" s="116">
        <v>344.7</v>
      </c>
      <c r="G393">
        <v>6250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42580</v>
      </c>
      <c r="B394" s="116">
        <v>408.03895676574001</v>
      </c>
      <c r="C394" s="116">
        <v>408.03895676574001</v>
      </c>
      <c r="D394" s="116">
        <v>340.36131548399499</v>
      </c>
      <c r="E394" s="116">
        <v>342.33442455926399</v>
      </c>
      <c r="F394" s="116">
        <v>413.6</v>
      </c>
      <c r="G394">
        <v>24844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42583</v>
      </c>
      <c r="B395" s="116">
        <v>481.43861436576702</v>
      </c>
      <c r="C395" s="116">
        <v>440.200634692633</v>
      </c>
      <c r="D395" s="116">
        <v>434.08399655929799</v>
      </c>
      <c r="E395" s="116">
        <v>449.86886916145397</v>
      </c>
      <c r="F395" s="116">
        <v>446.2</v>
      </c>
      <c r="G395">
        <v>26759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42584</v>
      </c>
      <c r="B396" s="116">
        <v>445.92265101091499</v>
      </c>
      <c r="C396" s="116">
        <v>412.92240172703202</v>
      </c>
      <c r="D396" s="116">
        <v>404.98063769907202</v>
      </c>
      <c r="E396" s="116">
        <v>439.90466833134298</v>
      </c>
      <c r="F396" s="116">
        <v>418.55</v>
      </c>
      <c r="G396">
        <v>6741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42585</v>
      </c>
      <c r="B397" s="116">
        <v>427.17811479585401</v>
      </c>
      <c r="C397" s="116">
        <v>407.052402228105</v>
      </c>
      <c r="D397" s="116">
        <v>404.48736043025502</v>
      </c>
      <c r="E397" s="116">
        <v>409.42013311842902</v>
      </c>
      <c r="F397" s="116">
        <v>412.6</v>
      </c>
      <c r="G397">
        <v>1876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42586</v>
      </c>
      <c r="B398" s="116">
        <v>423.23189664531498</v>
      </c>
      <c r="C398" s="116">
        <v>393.73391597003598</v>
      </c>
      <c r="D398" s="116">
        <v>387.37063920229201</v>
      </c>
      <c r="E398" s="116">
        <v>408.43357858079401</v>
      </c>
      <c r="F398" s="116">
        <v>399.1</v>
      </c>
      <c r="G398">
        <v>3488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42587</v>
      </c>
      <c r="B399" s="116">
        <v>417.263241692625</v>
      </c>
      <c r="C399" s="116">
        <v>402.61290680874902</v>
      </c>
      <c r="D399" s="116">
        <v>395.11509232272499</v>
      </c>
      <c r="E399" s="116">
        <v>407.24971313563202</v>
      </c>
      <c r="F399" s="116">
        <v>408.1</v>
      </c>
      <c r="G399">
        <v>3668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42590</v>
      </c>
      <c r="B400" s="116">
        <v>412.37979673133299</v>
      </c>
      <c r="C400" s="116">
        <v>404.53668815713701</v>
      </c>
      <c r="D400" s="116">
        <v>394.57248732702499</v>
      </c>
      <c r="E400" s="116">
        <v>410.40668765606301</v>
      </c>
      <c r="F400" s="116">
        <v>410.05</v>
      </c>
      <c r="G400">
        <v>3232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42591</v>
      </c>
      <c r="B401" s="116">
        <v>416.27668715498999</v>
      </c>
      <c r="C401" s="116">
        <v>389.44240373132499</v>
      </c>
      <c r="D401" s="116">
        <v>380.316774258203</v>
      </c>
      <c r="E401" s="116">
        <v>416.27668715498999</v>
      </c>
      <c r="F401" s="116">
        <v>394.75</v>
      </c>
      <c r="G401">
        <v>2243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42592</v>
      </c>
      <c r="B402" s="116">
        <v>402.26761272057701</v>
      </c>
      <c r="C402" s="116">
        <v>367.34358208830599</v>
      </c>
      <c r="D402" s="116">
        <v>360.33904487109902</v>
      </c>
      <c r="E402" s="116">
        <v>385.54551330766702</v>
      </c>
      <c r="F402" s="116">
        <v>372.35</v>
      </c>
      <c r="G402">
        <v>5791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42593</v>
      </c>
      <c r="B403" s="116">
        <v>376.86383337648101</v>
      </c>
      <c r="C403" s="116">
        <v>367.49156526895098</v>
      </c>
      <c r="D403" s="116">
        <v>365.02517892486401</v>
      </c>
      <c r="E403" s="116">
        <v>365.02517892486401</v>
      </c>
      <c r="F403" s="116">
        <v>372.5</v>
      </c>
      <c r="G403">
        <v>1415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42594</v>
      </c>
      <c r="B404" s="116">
        <v>381.79660606465501</v>
      </c>
      <c r="C404" s="116">
        <v>355.35694445604298</v>
      </c>
      <c r="D404" s="116">
        <v>351.21341539797697</v>
      </c>
      <c r="E404" s="116">
        <v>371.93106068830701</v>
      </c>
      <c r="F404" s="116">
        <v>360.2</v>
      </c>
      <c r="G404">
        <v>2149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42598</v>
      </c>
      <c r="B405" s="116">
        <v>372.91761522594197</v>
      </c>
      <c r="C405" s="116">
        <v>358.06996943453902</v>
      </c>
      <c r="D405" s="116">
        <v>355.15963354851601</v>
      </c>
      <c r="E405" s="116">
        <v>372.91761522594197</v>
      </c>
      <c r="F405" s="116">
        <v>362.95</v>
      </c>
      <c r="G405">
        <v>611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42599</v>
      </c>
      <c r="B406" s="116">
        <v>371.93106068830701</v>
      </c>
      <c r="C406" s="116">
        <v>366.50501073131602</v>
      </c>
      <c r="D406" s="116">
        <v>360.63501123238899</v>
      </c>
      <c r="E406" s="116">
        <v>366.01173346249902</v>
      </c>
      <c r="F406" s="116">
        <v>371.5</v>
      </c>
      <c r="G406">
        <v>1679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42600</v>
      </c>
      <c r="B407" s="116">
        <v>382.63517742164498</v>
      </c>
      <c r="C407" s="116">
        <v>376.86383337648101</v>
      </c>
      <c r="D407" s="116">
        <v>368.97139707540299</v>
      </c>
      <c r="E407" s="116">
        <v>369.711312978629</v>
      </c>
      <c r="F407" s="116">
        <v>382</v>
      </c>
      <c r="G407">
        <v>976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42601</v>
      </c>
      <c r="B408" s="116">
        <v>379.823496989386</v>
      </c>
      <c r="C408" s="116">
        <v>371.93106068830701</v>
      </c>
      <c r="D408" s="116">
        <v>370.00727933991999</v>
      </c>
      <c r="E408" s="116">
        <v>375.92660656572798</v>
      </c>
      <c r="F408" s="116">
        <v>377</v>
      </c>
      <c r="G408">
        <v>1070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42604</v>
      </c>
      <c r="B409" s="116">
        <v>379.52753062809501</v>
      </c>
      <c r="C409" s="116">
        <v>370.94450615067302</v>
      </c>
      <c r="D409" s="116">
        <v>370.94450615067302</v>
      </c>
      <c r="E409" s="116">
        <v>371.93106068830701</v>
      </c>
      <c r="F409" s="116">
        <v>376</v>
      </c>
      <c r="G409">
        <v>550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42605</v>
      </c>
      <c r="B410" s="116">
        <v>392.59937825175598</v>
      </c>
      <c r="C410" s="116">
        <v>381.25400106895597</v>
      </c>
      <c r="D410" s="116">
        <v>369.95795161303801</v>
      </c>
      <c r="E410" s="116">
        <v>371.93106068830701</v>
      </c>
      <c r="F410" s="116">
        <v>386.45</v>
      </c>
      <c r="G410">
        <v>2213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42606</v>
      </c>
      <c r="B411" s="116">
        <v>385.249546946377</v>
      </c>
      <c r="C411" s="116">
        <v>378.59030381734198</v>
      </c>
      <c r="D411" s="116">
        <v>376.86383337648101</v>
      </c>
      <c r="E411" s="116">
        <v>378.83694245175099</v>
      </c>
      <c r="F411" s="116">
        <v>383.75</v>
      </c>
      <c r="G411">
        <v>722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42607</v>
      </c>
      <c r="B412" s="116">
        <v>389.68904236573297</v>
      </c>
      <c r="C412" s="116">
        <v>372.621648864652</v>
      </c>
      <c r="D412" s="116">
        <v>370.94450615067302</v>
      </c>
      <c r="E412" s="116">
        <v>380.81005152701999</v>
      </c>
      <c r="F412" s="116">
        <v>377.7</v>
      </c>
      <c r="G412">
        <v>687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42608</v>
      </c>
      <c r="B413" s="116">
        <v>379.823496989386</v>
      </c>
      <c r="C413" s="116">
        <v>370.94450615067302</v>
      </c>
      <c r="D413" s="116">
        <v>365.27181755927302</v>
      </c>
      <c r="E413" s="116">
        <v>379.823496989386</v>
      </c>
      <c r="F413" s="116">
        <v>376</v>
      </c>
      <c r="G413">
        <v>1177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42611</v>
      </c>
      <c r="B414" s="116">
        <v>380.81005152701999</v>
      </c>
      <c r="C414" s="116">
        <v>372.81895977217903</v>
      </c>
      <c r="D414" s="116">
        <v>369.95795161303801</v>
      </c>
      <c r="E414" s="116">
        <v>374.890724301212</v>
      </c>
      <c r="F414" s="116">
        <v>377.9</v>
      </c>
      <c r="G414">
        <v>1962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42612</v>
      </c>
      <c r="B415" s="116">
        <v>382.684505148526</v>
      </c>
      <c r="C415" s="116">
        <v>372.76963204529699</v>
      </c>
      <c r="D415" s="116">
        <v>370.20459024744702</v>
      </c>
      <c r="E415" s="116">
        <v>374.890724301212</v>
      </c>
      <c r="F415" s="116">
        <v>377.85</v>
      </c>
      <c r="G415">
        <v>1645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42613</v>
      </c>
      <c r="B416" s="116">
        <v>374.890724301212</v>
      </c>
      <c r="C416" s="116">
        <v>371.881732961426</v>
      </c>
      <c r="D416" s="116">
        <v>363.150725303358</v>
      </c>
      <c r="E416" s="116">
        <v>367.98484253776797</v>
      </c>
      <c r="F416" s="116">
        <v>376.95</v>
      </c>
      <c r="G416">
        <v>2394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42614</v>
      </c>
      <c r="B417" s="116">
        <v>374.890724301212</v>
      </c>
      <c r="C417" s="116">
        <v>364.186607567875</v>
      </c>
      <c r="D417" s="116">
        <v>357.62601989260298</v>
      </c>
      <c r="E417" s="116">
        <v>370.94450615067302</v>
      </c>
      <c r="F417" s="116">
        <v>369.15</v>
      </c>
      <c r="G417">
        <v>1572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42615</v>
      </c>
      <c r="B418" s="116">
        <v>389.19576509691598</v>
      </c>
      <c r="C418" s="116">
        <v>377.20912746465302</v>
      </c>
      <c r="D418" s="116">
        <v>372.52299341088798</v>
      </c>
      <c r="E418" s="116">
        <v>373.756186582932</v>
      </c>
      <c r="F418" s="116">
        <v>382.35</v>
      </c>
      <c r="G418">
        <v>2715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42619</v>
      </c>
      <c r="B419" s="116">
        <v>389.68904236573297</v>
      </c>
      <c r="C419" s="116">
        <v>366.06106118938101</v>
      </c>
      <c r="D419" s="116">
        <v>361.57223804314202</v>
      </c>
      <c r="E419" s="116">
        <v>389.68904236573297</v>
      </c>
      <c r="F419" s="116">
        <v>371.05</v>
      </c>
      <c r="G419">
        <v>3478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42620</v>
      </c>
      <c r="B420" s="116">
        <v>375.87727883884702</v>
      </c>
      <c r="C420" s="116">
        <v>365.07450665174599</v>
      </c>
      <c r="D420" s="116">
        <v>363.10139757647602</v>
      </c>
      <c r="E420" s="116">
        <v>375.87727883884702</v>
      </c>
      <c r="F420" s="116">
        <v>370.05</v>
      </c>
      <c r="G420">
        <v>1023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42621</v>
      </c>
      <c r="B421" s="116">
        <v>373.55887567540498</v>
      </c>
      <c r="C421" s="116">
        <v>365.56778392056299</v>
      </c>
      <c r="D421" s="116">
        <v>358.16862488830202</v>
      </c>
      <c r="E421" s="116">
        <v>373.55887567540498</v>
      </c>
      <c r="F421" s="116">
        <v>370.55</v>
      </c>
      <c r="G421">
        <v>2147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42622</v>
      </c>
      <c r="B422" s="116">
        <v>369.85929615927398</v>
      </c>
      <c r="C422" s="116">
        <v>362.016187585078</v>
      </c>
      <c r="D422" s="116">
        <v>351.21341539797697</v>
      </c>
      <c r="E422" s="116">
        <v>369.85929615927398</v>
      </c>
      <c r="F422" s="116">
        <v>366.95</v>
      </c>
      <c r="G422">
        <v>2263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42625</v>
      </c>
      <c r="B423" s="116">
        <v>359.59912896787301</v>
      </c>
      <c r="C423" s="116">
        <v>352.19996993561199</v>
      </c>
      <c r="D423" s="116">
        <v>349.24030632270802</v>
      </c>
      <c r="E423" s="116">
        <v>353.186524473247</v>
      </c>
      <c r="F423" s="116">
        <v>357</v>
      </c>
      <c r="G423">
        <v>1443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42627</v>
      </c>
      <c r="B424" s="116">
        <v>354.17307901088202</v>
      </c>
      <c r="C424" s="116">
        <v>351.80534812055799</v>
      </c>
      <c r="D424" s="116">
        <v>345.29408817216898</v>
      </c>
      <c r="E424" s="116">
        <v>354.17307901088202</v>
      </c>
      <c r="F424" s="116">
        <v>356.6</v>
      </c>
      <c r="G424">
        <v>2000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42628</v>
      </c>
      <c r="B425" s="116">
        <v>360.09240623669001</v>
      </c>
      <c r="C425" s="116">
        <v>350.42417176787001</v>
      </c>
      <c r="D425" s="116">
        <v>347.26719724743799</v>
      </c>
      <c r="E425" s="116">
        <v>355.15963354851601</v>
      </c>
      <c r="F425" s="116">
        <v>355.2</v>
      </c>
      <c r="G425">
        <v>2518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42629</v>
      </c>
      <c r="B426" s="116">
        <v>357.13274262378599</v>
      </c>
      <c r="C426" s="116">
        <v>352.19996993561199</v>
      </c>
      <c r="D426" s="116">
        <v>347.26719724743799</v>
      </c>
      <c r="E426" s="116">
        <v>347.26719724743799</v>
      </c>
      <c r="F426" s="116">
        <v>357</v>
      </c>
      <c r="G426">
        <v>1157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42632</v>
      </c>
      <c r="B427" s="116">
        <v>369.95795161303801</v>
      </c>
      <c r="C427" s="116">
        <v>348.648373600127</v>
      </c>
      <c r="D427" s="116">
        <v>336.46442506033799</v>
      </c>
      <c r="E427" s="116">
        <v>336.46442506033799</v>
      </c>
      <c r="F427" s="116">
        <v>353.4</v>
      </c>
      <c r="G427">
        <v>1194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42633</v>
      </c>
      <c r="B428" s="116">
        <v>353.186524473247</v>
      </c>
      <c r="C428" s="116">
        <v>348.007113150664</v>
      </c>
      <c r="D428" s="116">
        <v>345.29408817216898</v>
      </c>
      <c r="E428" s="116">
        <v>345.29408817216898</v>
      </c>
      <c r="F428" s="116">
        <v>352.75</v>
      </c>
      <c r="G428">
        <v>454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42634</v>
      </c>
      <c r="B429" s="116">
        <v>352.19996993561199</v>
      </c>
      <c r="C429" s="116">
        <v>352.19996993561199</v>
      </c>
      <c r="D429" s="116">
        <v>346.32997043668502</v>
      </c>
      <c r="E429" s="116">
        <v>346.32997043668502</v>
      </c>
      <c r="F429" s="116">
        <v>357</v>
      </c>
      <c r="G429">
        <v>203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42635</v>
      </c>
      <c r="B430" s="116">
        <v>355.15963354851601</v>
      </c>
      <c r="C430" s="116">
        <v>350.81879358292298</v>
      </c>
      <c r="D430" s="116">
        <v>342.72904637431799</v>
      </c>
      <c r="E430" s="116">
        <v>342.72904637431799</v>
      </c>
      <c r="F430" s="116">
        <v>355.6</v>
      </c>
      <c r="G430">
        <v>1373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42636</v>
      </c>
      <c r="B431" s="116">
        <v>359.89509532916298</v>
      </c>
      <c r="C431" s="116">
        <v>351.75602039367601</v>
      </c>
      <c r="D431" s="116">
        <v>348.30307951195499</v>
      </c>
      <c r="E431" s="116">
        <v>359.89509532916298</v>
      </c>
      <c r="F431" s="116">
        <v>356.55</v>
      </c>
      <c r="G431">
        <v>929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42639</v>
      </c>
      <c r="B432" s="116">
        <v>354.17307901088202</v>
      </c>
      <c r="C432" s="116">
        <v>352.19996993561199</v>
      </c>
      <c r="D432" s="116">
        <v>347.26719724743799</v>
      </c>
      <c r="E432" s="116">
        <v>354.17307901088202</v>
      </c>
      <c r="F432" s="116">
        <v>357</v>
      </c>
      <c r="G432">
        <v>437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42640</v>
      </c>
      <c r="B433" s="116">
        <v>374.64408566680299</v>
      </c>
      <c r="C433" s="116">
        <v>366.60366618507999</v>
      </c>
      <c r="D433" s="116">
        <v>349.24030632270802</v>
      </c>
      <c r="E433" s="116">
        <v>349.24030632270802</v>
      </c>
      <c r="F433" s="116">
        <v>371.6</v>
      </c>
      <c r="G433">
        <v>6957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42641</v>
      </c>
      <c r="B434" s="116">
        <v>382.73383287540798</v>
      </c>
      <c r="C434" s="116">
        <v>358.90854079152899</v>
      </c>
      <c r="D434" s="116">
        <v>351.21341539797697</v>
      </c>
      <c r="E434" s="116">
        <v>382.73383287540798</v>
      </c>
      <c r="F434" s="116">
        <v>363.8</v>
      </c>
      <c r="G434">
        <v>10132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42642</v>
      </c>
      <c r="B435" s="116">
        <v>369.36601889045698</v>
      </c>
      <c r="C435" s="116">
        <v>339.76938276141402</v>
      </c>
      <c r="D435" s="116">
        <v>336.415097333456</v>
      </c>
      <c r="E435" s="116">
        <v>369.36601889045698</v>
      </c>
      <c r="F435" s="116">
        <v>344.4</v>
      </c>
      <c r="G435">
        <v>5214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42643</v>
      </c>
      <c r="B436" s="116">
        <v>354.56770082593602</v>
      </c>
      <c r="C436" s="116">
        <v>343.51829000442598</v>
      </c>
      <c r="D436" s="116">
        <v>338.38820640872501</v>
      </c>
      <c r="E436" s="116">
        <v>345.29408817216898</v>
      </c>
      <c r="F436" s="116">
        <v>348.2</v>
      </c>
      <c r="G436">
        <v>1951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42646</v>
      </c>
      <c r="B437" s="116">
        <v>362.85475894206797</v>
      </c>
      <c r="C437" s="116">
        <v>348.15509633131001</v>
      </c>
      <c r="D437" s="116">
        <v>343.32097909689901</v>
      </c>
      <c r="E437" s="116">
        <v>351.21341539797697</v>
      </c>
      <c r="F437" s="116">
        <v>352.9</v>
      </c>
      <c r="G437">
        <v>1732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42647</v>
      </c>
      <c r="B438" s="116">
        <v>359.10585169905602</v>
      </c>
      <c r="C438" s="116">
        <v>343.32097909689901</v>
      </c>
      <c r="D438" s="116">
        <v>338.93081140442501</v>
      </c>
      <c r="E438" s="116">
        <v>351.21341539797697</v>
      </c>
      <c r="F438" s="116">
        <v>348</v>
      </c>
      <c r="G438">
        <v>6396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42648</v>
      </c>
      <c r="B439" s="116">
        <v>365.02517892486401</v>
      </c>
      <c r="C439" s="116">
        <v>355.01165036787103</v>
      </c>
      <c r="D439" s="116">
        <v>345.29408817216898</v>
      </c>
      <c r="E439" s="116">
        <v>353.679801742064</v>
      </c>
      <c r="F439" s="116">
        <v>359.85</v>
      </c>
      <c r="G439">
        <v>6916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42649</v>
      </c>
      <c r="B440" s="116">
        <v>360.09240623669001</v>
      </c>
      <c r="C440" s="116">
        <v>348.30307951195499</v>
      </c>
      <c r="D440" s="116">
        <v>345.44207135281403</v>
      </c>
      <c r="E440" s="116">
        <v>357.13274262378599</v>
      </c>
      <c r="F440" s="116">
        <v>353.05</v>
      </c>
      <c r="G440">
        <v>4029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42650</v>
      </c>
      <c r="B441" s="116">
        <v>352.89055811195601</v>
      </c>
      <c r="C441" s="116">
        <v>346.57660907109403</v>
      </c>
      <c r="D441" s="116">
        <v>337.89492913990802</v>
      </c>
      <c r="E441" s="116">
        <v>347.85912997001901</v>
      </c>
      <c r="F441" s="116">
        <v>351.3</v>
      </c>
      <c r="G441">
        <v>4767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42653</v>
      </c>
      <c r="B442" s="116">
        <v>358.119297161421</v>
      </c>
      <c r="C442" s="116">
        <v>350.07887767969697</v>
      </c>
      <c r="D442" s="116">
        <v>345.29408817216898</v>
      </c>
      <c r="E442" s="116">
        <v>358.119297161421</v>
      </c>
      <c r="F442" s="116">
        <v>354.85</v>
      </c>
      <c r="G442">
        <v>3160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42656</v>
      </c>
      <c r="B443" s="116">
        <v>351.21341539797697</v>
      </c>
      <c r="C443" s="116">
        <v>349.88156677217</v>
      </c>
      <c r="D443" s="116">
        <v>346.28064270980298</v>
      </c>
      <c r="E443" s="116">
        <v>351.21341539797697</v>
      </c>
      <c r="F443" s="116">
        <v>354.65</v>
      </c>
      <c r="G443">
        <v>6929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42657</v>
      </c>
      <c r="B444" s="116">
        <v>359.05652397217398</v>
      </c>
      <c r="C444" s="116">
        <v>353.33450765389199</v>
      </c>
      <c r="D444" s="116">
        <v>348.25375178507301</v>
      </c>
      <c r="E444" s="116">
        <v>359.05652397217398</v>
      </c>
      <c r="F444" s="116">
        <v>358.15</v>
      </c>
      <c r="G444">
        <v>5433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42660</v>
      </c>
      <c r="B445" s="116">
        <v>364.92652347110101</v>
      </c>
      <c r="C445" s="116">
        <v>357.52736443883998</v>
      </c>
      <c r="D445" s="116">
        <v>355.40627218292502</v>
      </c>
      <c r="E445" s="116">
        <v>358.119297161421</v>
      </c>
      <c r="F445" s="116">
        <v>362.4</v>
      </c>
      <c r="G445">
        <v>4215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42661</v>
      </c>
      <c r="B446" s="116">
        <v>360.09240623669001</v>
      </c>
      <c r="C446" s="116">
        <v>357.42870898507601</v>
      </c>
      <c r="D446" s="116">
        <v>355.15963354851601</v>
      </c>
      <c r="E446" s="116">
        <v>358.119297161421</v>
      </c>
      <c r="F446" s="116">
        <v>362.3</v>
      </c>
      <c r="G446">
        <v>2061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42662</v>
      </c>
      <c r="B447" s="116">
        <v>355.15963354851601</v>
      </c>
      <c r="C447" s="116">
        <v>350.276188587224</v>
      </c>
      <c r="D447" s="116">
        <v>349.24030632270802</v>
      </c>
      <c r="E447" s="116">
        <v>355.15963354851601</v>
      </c>
      <c r="F447" s="116">
        <v>355.05</v>
      </c>
      <c r="G447">
        <v>4086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42663</v>
      </c>
      <c r="B448" s="116">
        <v>357.82333080013001</v>
      </c>
      <c r="C448" s="116">
        <v>344.06089500012502</v>
      </c>
      <c r="D448" s="116">
        <v>343.32097909689901</v>
      </c>
      <c r="E448" s="116">
        <v>357.82333080013001</v>
      </c>
      <c r="F448" s="116">
        <v>348.75</v>
      </c>
      <c r="G448">
        <v>3494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42664</v>
      </c>
      <c r="B449" s="116">
        <v>347.76047451625601</v>
      </c>
      <c r="C449" s="116">
        <v>341.10123138722099</v>
      </c>
      <c r="D449" s="116">
        <v>337.40165187109102</v>
      </c>
      <c r="E449" s="116">
        <v>337.40165187109102</v>
      </c>
      <c r="F449" s="116">
        <v>345.75</v>
      </c>
      <c r="G449">
        <v>4955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42667</v>
      </c>
      <c r="B450" s="116">
        <v>344.80081090335102</v>
      </c>
      <c r="C450" s="116">
        <v>338.437534135607</v>
      </c>
      <c r="D450" s="116">
        <v>332.07425736786303</v>
      </c>
      <c r="E450" s="116">
        <v>340.36131548399499</v>
      </c>
      <c r="F450" s="116">
        <v>343.05</v>
      </c>
      <c r="G450">
        <v>5240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42668</v>
      </c>
      <c r="B451" s="116">
        <v>337.64829050549901</v>
      </c>
      <c r="C451" s="116">
        <v>337.00703005603702</v>
      </c>
      <c r="D451" s="116">
        <v>332.46887918291702</v>
      </c>
      <c r="E451" s="116">
        <v>335.67518143023</v>
      </c>
      <c r="F451" s="116">
        <v>341.6</v>
      </c>
      <c r="G451">
        <v>3033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42669</v>
      </c>
      <c r="B452" s="116">
        <v>350.22686086034298</v>
      </c>
      <c r="C452" s="116">
        <v>342.82770182808201</v>
      </c>
      <c r="D452" s="116">
        <v>334.44198825818597</v>
      </c>
      <c r="E452" s="116">
        <v>340.36131548399499</v>
      </c>
      <c r="F452" s="116">
        <v>347.5</v>
      </c>
      <c r="G452">
        <v>11084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42670</v>
      </c>
      <c r="B453" s="116">
        <v>343.32097909689901</v>
      </c>
      <c r="C453" s="116">
        <v>330.05182056571198</v>
      </c>
      <c r="D453" s="116">
        <v>325.90829150764603</v>
      </c>
      <c r="E453" s="116">
        <v>335.42854279582099</v>
      </c>
      <c r="F453" s="116">
        <v>334.55</v>
      </c>
      <c r="G453">
        <v>5239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42671</v>
      </c>
      <c r="B454" s="116">
        <v>337.40165187109102</v>
      </c>
      <c r="C454" s="116">
        <v>328.62131648614098</v>
      </c>
      <c r="D454" s="116">
        <v>325.90829150764603</v>
      </c>
      <c r="E454" s="116">
        <v>331.48232464528201</v>
      </c>
      <c r="F454" s="116">
        <v>333.1</v>
      </c>
      <c r="G454">
        <v>1833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42673</v>
      </c>
      <c r="B455" s="116">
        <v>343.32097909689901</v>
      </c>
      <c r="C455" s="116">
        <v>330.101148292593</v>
      </c>
      <c r="D455" s="116">
        <v>328.571988759259</v>
      </c>
      <c r="E455" s="116">
        <v>340.36131548399499</v>
      </c>
      <c r="F455" s="116">
        <v>334.6</v>
      </c>
      <c r="G455">
        <v>1795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42675</v>
      </c>
      <c r="B456" s="116">
        <v>334.04736644313198</v>
      </c>
      <c r="C456" s="116">
        <v>330.249131473239</v>
      </c>
      <c r="D456" s="116">
        <v>324.576442881839</v>
      </c>
      <c r="E456" s="116">
        <v>334.04736644313198</v>
      </c>
      <c r="F456" s="116">
        <v>334.75</v>
      </c>
      <c r="G456">
        <v>3982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42676</v>
      </c>
      <c r="B457" s="116">
        <v>331.48232464528201</v>
      </c>
      <c r="C457" s="116">
        <v>325.710980600119</v>
      </c>
      <c r="D457" s="116">
        <v>321.61677926893401</v>
      </c>
      <c r="E457" s="116">
        <v>322.11005653775197</v>
      </c>
      <c r="F457" s="116">
        <v>330.15</v>
      </c>
      <c r="G457">
        <v>1593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42677</v>
      </c>
      <c r="B458" s="116">
        <v>329.01593830119498</v>
      </c>
      <c r="C458" s="116">
        <v>323.68854379796699</v>
      </c>
      <c r="D458" s="116">
        <v>323.58988834420398</v>
      </c>
      <c r="E458" s="116">
        <v>328.91728284743198</v>
      </c>
      <c r="F458" s="116">
        <v>328.1</v>
      </c>
      <c r="G458">
        <v>1496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42678</v>
      </c>
      <c r="B459" s="116">
        <v>330.00249283882999</v>
      </c>
      <c r="C459" s="116">
        <v>322.45535062592398</v>
      </c>
      <c r="D459" s="116">
        <v>318.16383838721299</v>
      </c>
      <c r="E459" s="116">
        <v>330.00249283882999</v>
      </c>
      <c r="F459" s="116">
        <v>326.85000000000002</v>
      </c>
      <c r="G459">
        <v>2497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42681</v>
      </c>
      <c r="B460" s="116">
        <v>329.41056011624897</v>
      </c>
      <c r="C460" s="116">
        <v>319.49568701302002</v>
      </c>
      <c r="D460" s="116">
        <v>317.71988884527701</v>
      </c>
      <c r="E460" s="116">
        <v>329.41056011624897</v>
      </c>
      <c r="F460" s="116">
        <v>323.85000000000002</v>
      </c>
      <c r="G460">
        <v>3094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42682</v>
      </c>
      <c r="B461" s="116">
        <v>324.03383788614002</v>
      </c>
      <c r="C461" s="116">
        <v>318.06518293344902</v>
      </c>
      <c r="D461" s="116">
        <v>315.69745204312602</v>
      </c>
      <c r="E461" s="116">
        <v>320.63022473130002</v>
      </c>
      <c r="F461" s="116">
        <v>322.39999999999998</v>
      </c>
      <c r="G461">
        <v>1662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42683</v>
      </c>
      <c r="B462" s="116">
        <v>340.311987757113</v>
      </c>
      <c r="C462" s="116">
        <v>322.99795562162302</v>
      </c>
      <c r="D462" s="116">
        <v>298.92602490333502</v>
      </c>
      <c r="E462" s="116">
        <v>298.92602490333502</v>
      </c>
      <c r="F462" s="116">
        <v>327.39999999999998</v>
      </c>
      <c r="G462">
        <v>6356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42684</v>
      </c>
      <c r="B463" s="116">
        <v>331.38366919151798</v>
      </c>
      <c r="C463" s="116">
        <v>322.70198926033299</v>
      </c>
      <c r="D463" s="116">
        <v>320.63022473130002</v>
      </c>
      <c r="E463" s="116">
        <v>320.63022473130002</v>
      </c>
      <c r="F463" s="116">
        <v>327.10000000000002</v>
      </c>
      <c r="G463">
        <v>2090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42685</v>
      </c>
      <c r="B464" s="116">
        <v>327.28946786033401</v>
      </c>
      <c r="C464" s="116">
        <v>310.12341890548902</v>
      </c>
      <c r="D464" s="116">
        <v>308.05165437645599</v>
      </c>
      <c r="E464" s="116">
        <v>327.28946786033401</v>
      </c>
      <c r="F464" s="116">
        <v>314.35000000000002</v>
      </c>
      <c r="G464">
        <v>4466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42689</v>
      </c>
      <c r="B465" s="116">
        <v>317.473250210868</v>
      </c>
      <c r="C465" s="116">
        <v>290.14568951838498</v>
      </c>
      <c r="D465" s="116">
        <v>285.11426137644798</v>
      </c>
      <c r="E465" s="116">
        <v>313.72434296785599</v>
      </c>
      <c r="F465" s="116">
        <v>294.10000000000002</v>
      </c>
      <c r="G465">
        <v>3071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42690</v>
      </c>
      <c r="B466" s="116">
        <v>309.08753664097298</v>
      </c>
      <c r="C466" s="116">
        <v>289.30711816139598</v>
      </c>
      <c r="D466" s="116">
        <v>282.25325321730702</v>
      </c>
      <c r="E466" s="116">
        <v>309.08753664097298</v>
      </c>
      <c r="F466" s="116">
        <v>293.25</v>
      </c>
      <c r="G466">
        <v>6135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42691</v>
      </c>
      <c r="B467" s="116">
        <v>295.96636129042997</v>
      </c>
      <c r="C467" s="116">
        <v>293.20400858505297</v>
      </c>
      <c r="D467" s="116">
        <v>283.14115230117801</v>
      </c>
      <c r="E467" s="116">
        <v>283.14115230117801</v>
      </c>
      <c r="F467" s="116">
        <v>297.2</v>
      </c>
      <c r="G467">
        <v>5530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42692</v>
      </c>
      <c r="B468" s="116">
        <v>300.89913397860403</v>
      </c>
      <c r="C468" s="116">
        <v>296.85426037430199</v>
      </c>
      <c r="D468" s="116">
        <v>289.06047952698702</v>
      </c>
      <c r="E468" s="116">
        <v>299.91257944096901</v>
      </c>
      <c r="F468" s="116">
        <v>300.89999999999998</v>
      </c>
      <c r="G468">
        <v>3389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42695</v>
      </c>
      <c r="B469" s="116">
        <v>293.00669767752601</v>
      </c>
      <c r="C469" s="116">
        <v>280.08283323451099</v>
      </c>
      <c r="D469" s="116">
        <v>277.61644689042402</v>
      </c>
      <c r="E469" s="116">
        <v>288.22190816999699</v>
      </c>
      <c r="F469" s="116">
        <v>283.89999999999998</v>
      </c>
      <c r="G469">
        <v>3738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42696</v>
      </c>
      <c r="B470" s="116">
        <v>291.03358860225597</v>
      </c>
      <c r="C470" s="116">
        <v>288.12325271623399</v>
      </c>
      <c r="D470" s="116">
        <v>278.65232915493999</v>
      </c>
      <c r="E470" s="116">
        <v>291.03358860225597</v>
      </c>
      <c r="F470" s="116">
        <v>292.05</v>
      </c>
      <c r="G470">
        <v>3130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42697</v>
      </c>
      <c r="B471" s="116">
        <v>304.84535212914301</v>
      </c>
      <c r="C471" s="116">
        <v>302.47762123882001</v>
      </c>
      <c r="D471" s="116">
        <v>288.07392498935201</v>
      </c>
      <c r="E471" s="116">
        <v>288.07392498935201</v>
      </c>
      <c r="F471" s="116">
        <v>306.60000000000002</v>
      </c>
      <c r="G471">
        <v>5853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42698</v>
      </c>
      <c r="B472" s="116">
        <v>295.96636129042997</v>
      </c>
      <c r="C472" s="116">
        <v>295.769050382903</v>
      </c>
      <c r="D472" s="116">
        <v>291.03358860225597</v>
      </c>
      <c r="E472" s="116">
        <v>291.03358860225597</v>
      </c>
      <c r="F472" s="116">
        <v>299.8</v>
      </c>
      <c r="G472">
        <v>637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42699</v>
      </c>
      <c r="B473" s="116">
        <v>299.91257944096901</v>
      </c>
      <c r="C473" s="116">
        <v>292.46409268182703</v>
      </c>
      <c r="D473" s="116">
        <v>291.03358860225597</v>
      </c>
      <c r="E473" s="116">
        <v>299.91257944096901</v>
      </c>
      <c r="F473" s="116">
        <v>296.45</v>
      </c>
      <c r="G473">
        <v>488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42702</v>
      </c>
      <c r="B474" s="116">
        <v>298.92602490333502</v>
      </c>
      <c r="C474" s="116">
        <v>291.03358860225597</v>
      </c>
      <c r="D474" s="116">
        <v>288.07392498935201</v>
      </c>
      <c r="E474" s="116">
        <v>298.92602490333502</v>
      </c>
      <c r="F474" s="116">
        <v>295</v>
      </c>
      <c r="G474">
        <v>643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42703</v>
      </c>
      <c r="B475" s="116">
        <v>305.83190666677802</v>
      </c>
      <c r="C475" s="116">
        <v>297.00224355494697</v>
      </c>
      <c r="D475" s="116">
        <v>296.065016744194</v>
      </c>
      <c r="E475" s="116">
        <v>298.72871399580799</v>
      </c>
      <c r="F475" s="116">
        <v>301.05</v>
      </c>
      <c r="G475">
        <v>3289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42704</v>
      </c>
      <c r="B476" s="116">
        <v>330.44644238076501</v>
      </c>
      <c r="C476" s="116">
        <v>324.23114879366602</v>
      </c>
      <c r="D476" s="116">
        <v>301.836360789357</v>
      </c>
      <c r="E476" s="116">
        <v>301.836360789357</v>
      </c>
      <c r="F476" s="116">
        <v>328.65</v>
      </c>
      <c r="G476">
        <v>9904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42705</v>
      </c>
      <c r="B477" s="116">
        <v>336.415097333456</v>
      </c>
      <c r="C477" s="116">
        <v>320.97551881947197</v>
      </c>
      <c r="D477" s="116">
        <v>320.63022473130002</v>
      </c>
      <c r="E477" s="116">
        <v>321.61677926893401</v>
      </c>
      <c r="F477" s="116">
        <v>325.35000000000002</v>
      </c>
      <c r="G477">
        <v>726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42706</v>
      </c>
      <c r="B478" s="116">
        <v>335.23123188829402</v>
      </c>
      <c r="C478" s="116">
        <v>313.03375479151202</v>
      </c>
      <c r="D478" s="116">
        <v>312.836443883985</v>
      </c>
      <c r="E478" s="116">
        <v>335.23123188829402</v>
      </c>
      <c r="F478" s="116">
        <v>317.3</v>
      </c>
      <c r="G478">
        <v>1955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42709</v>
      </c>
      <c r="B479" s="116">
        <v>319.98896428183701</v>
      </c>
      <c r="C479" s="116">
        <v>317.71988884527701</v>
      </c>
      <c r="D479" s="116">
        <v>310.02476345172602</v>
      </c>
      <c r="E479" s="116">
        <v>310.02476345172602</v>
      </c>
      <c r="F479" s="116">
        <v>322.05</v>
      </c>
      <c r="G479">
        <v>430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42710</v>
      </c>
      <c r="B480" s="116">
        <v>325.46434196570999</v>
      </c>
      <c r="C480" s="116">
        <v>318.16383838721299</v>
      </c>
      <c r="D480" s="116">
        <v>318.16383838721299</v>
      </c>
      <c r="E480" s="116">
        <v>320.63022473130002</v>
      </c>
      <c r="F480" s="116">
        <v>322.5</v>
      </c>
      <c r="G480">
        <v>215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42711</v>
      </c>
      <c r="B481" s="116">
        <v>328.91728284743198</v>
      </c>
      <c r="C481" s="116">
        <v>315.79610749688902</v>
      </c>
      <c r="D481" s="116">
        <v>314.710897505491</v>
      </c>
      <c r="E481" s="116">
        <v>326.89484604528002</v>
      </c>
      <c r="F481" s="116">
        <v>320.10000000000002</v>
      </c>
      <c r="G481">
        <v>613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42712</v>
      </c>
      <c r="B482" s="116">
        <v>333.45543372055198</v>
      </c>
      <c r="C482" s="116">
        <v>313.72434296785599</v>
      </c>
      <c r="D482" s="116">
        <v>311.75123389258698</v>
      </c>
      <c r="E482" s="116">
        <v>311.75123389258698</v>
      </c>
      <c r="F482" s="116">
        <v>318</v>
      </c>
      <c r="G482">
        <v>6337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42713</v>
      </c>
      <c r="B483" s="116">
        <v>321.61677926893401</v>
      </c>
      <c r="C483" s="116">
        <v>312.34316661516698</v>
      </c>
      <c r="D483" s="116">
        <v>311.75123389258698</v>
      </c>
      <c r="E483" s="116">
        <v>321.61677926893401</v>
      </c>
      <c r="F483" s="116">
        <v>316.60000000000002</v>
      </c>
      <c r="G483">
        <v>2938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42716</v>
      </c>
      <c r="B484" s="116">
        <v>314.710897505491</v>
      </c>
      <c r="C484" s="116">
        <v>310.37005753989803</v>
      </c>
      <c r="D484" s="116">
        <v>307.410393926994</v>
      </c>
      <c r="E484" s="116">
        <v>311.84988934634998</v>
      </c>
      <c r="F484" s="116">
        <v>314.60000000000002</v>
      </c>
      <c r="G484">
        <v>818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42717</v>
      </c>
      <c r="B485" s="116">
        <v>310.76467935495202</v>
      </c>
      <c r="C485" s="116">
        <v>309.77812481731701</v>
      </c>
      <c r="D485" s="116">
        <v>309.77812481731701</v>
      </c>
      <c r="E485" s="116">
        <v>309.77812481731701</v>
      </c>
      <c r="F485" s="116">
        <v>314</v>
      </c>
      <c r="G485">
        <v>535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42718</v>
      </c>
      <c r="B486" s="116">
        <v>313.72434296785599</v>
      </c>
      <c r="C486" s="116">
        <v>312.39249434204902</v>
      </c>
      <c r="D486" s="116">
        <v>305.83190666677802</v>
      </c>
      <c r="E486" s="116">
        <v>310.76467935495202</v>
      </c>
      <c r="F486" s="116">
        <v>316.64999999999998</v>
      </c>
      <c r="G486">
        <v>1320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42719</v>
      </c>
      <c r="B487" s="116">
        <v>311.75123389258698</v>
      </c>
      <c r="C487" s="116">
        <v>308.59425937215502</v>
      </c>
      <c r="D487" s="116">
        <v>306.91711665817598</v>
      </c>
      <c r="E487" s="116">
        <v>311.75123389258698</v>
      </c>
      <c r="F487" s="116">
        <v>312.8</v>
      </c>
      <c r="G487">
        <v>236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42720</v>
      </c>
      <c r="B488" s="116">
        <v>314.710897505491</v>
      </c>
      <c r="C488" s="116">
        <v>312.88577161086698</v>
      </c>
      <c r="D488" s="116">
        <v>309.38350300226301</v>
      </c>
      <c r="E488" s="116">
        <v>309.77812481731701</v>
      </c>
      <c r="F488" s="116">
        <v>317.14999999999998</v>
      </c>
      <c r="G488">
        <v>619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42723</v>
      </c>
      <c r="B489" s="116">
        <v>325.56299741947299</v>
      </c>
      <c r="C489" s="116">
        <v>312.24451116140398</v>
      </c>
      <c r="D489" s="116">
        <v>312.24451116140398</v>
      </c>
      <c r="E489" s="116">
        <v>325.56299741947299</v>
      </c>
      <c r="F489" s="116">
        <v>316.5</v>
      </c>
      <c r="G489">
        <v>797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42724</v>
      </c>
      <c r="B490" s="116">
        <v>320.58089700441798</v>
      </c>
      <c r="C490" s="116">
        <v>313.72434296785599</v>
      </c>
      <c r="D490" s="116">
        <v>308.74224255280097</v>
      </c>
      <c r="E490" s="116">
        <v>320.58089700441798</v>
      </c>
      <c r="F490" s="116">
        <v>318</v>
      </c>
      <c r="G490">
        <v>3666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42725</v>
      </c>
      <c r="B491" s="116">
        <v>315.50014113559899</v>
      </c>
      <c r="C491" s="116">
        <v>309.58081390978998</v>
      </c>
      <c r="D491" s="116">
        <v>300.89913397860403</v>
      </c>
      <c r="E491" s="116">
        <v>305.83190666677802</v>
      </c>
      <c r="F491" s="116">
        <v>313.8</v>
      </c>
      <c r="G491">
        <v>405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42726</v>
      </c>
      <c r="B492" s="116">
        <v>308.79157027968199</v>
      </c>
      <c r="C492" s="116">
        <v>301.836360789357</v>
      </c>
      <c r="D492" s="116">
        <v>298.92602490333502</v>
      </c>
      <c r="E492" s="116">
        <v>308.79157027968199</v>
      </c>
      <c r="F492" s="116">
        <v>305.95</v>
      </c>
      <c r="G492">
        <v>329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42727</v>
      </c>
      <c r="B493" s="116">
        <v>310.71535162806998</v>
      </c>
      <c r="C493" s="116">
        <v>299.81392398720601</v>
      </c>
      <c r="D493" s="116">
        <v>298.92602490333502</v>
      </c>
      <c r="E493" s="116">
        <v>305.83190666677802</v>
      </c>
      <c r="F493" s="116">
        <v>303.89999999999998</v>
      </c>
      <c r="G493">
        <v>1162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42730</v>
      </c>
      <c r="B494" s="116">
        <v>304.84535212914301</v>
      </c>
      <c r="C494" s="116">
        <v>292.66140358935399</v>
      </c>
      <c r="D494" s="116">
        <v>286.100815914083</v>
      </c>
      <c r="E494" s="116">
        <v>286.100815914083</v>
      </c>
      <c r="F494" s="116">
        <v>296.64999999999998</v>
      </c>
      <c r="G494">
        <v>350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42731</v>
      </c>
      <c r="B495" s="116">
        <v>299.91257944096901</v>
      </c>
      <c r="C495" s="116">
        <v>293.84526903451598</v>
      </c>
      <c r="D495" s="116">
        <v>289.603084522686</v>
      </c>
      <c r="E495" s="116">
        <v>299.91257944096901</v>
      </c>
      <c r="F495" s="116">
        <v>297.85000000000002</v>
      </c>
      <c r="G495">
        <v>603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42732</v>
      </c>
      <c r="B496" s="116">
        <v>299.91257944096901</v>
      </c>
      <c r="C496" s="116">
        <v>294.88115129903201</v>
      </c>
      <c r="D496" s="116">
        <v>287.43266453989003</v>
      </c>
      <c r="E496" s="116">
        <v>295.96636129042997</v>
      </c>
      <c r="F496" s="116">
        <v>298.89999999999998</v>
      </c>
      <c r="G496">
        <v>1417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42733</v>
      </c>
      <c r="B497" s="116">
        <v>320.136947462482</v>
      </c>
      <c r="C497" s="116">
        <v>313.67501524097401</v>
      </c>
      <c r="D497" s="116">
        <v>296.95291582806499</v>
      </c>
      <c r="E497" s="116">
        <v>299.91257944096901</v>
      </c>
      <c r="F497" s="116">
        <v>317.95</v>
      </c>
      <c r="G497">
        <v>4988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42734</v>
      </c>
      <c r="B498" s="116">
        <v>319.643670193665</v>
      </c>
      <c r="C498" s="116">
        <v>309.58081390978998</v>
      </c>
      <c r="D498" s="116">
        <v>307.16375529258499</v>
      </c>
      <c r="E498" s="116">
        <v>319.643670193665</v>
      </c>
      <c r="F498" s="116">
        <v>313.8</v>
      </c>
      <c r="G498">
        <v>1382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42737</v>
      </c>
      <c r="B499" s="116">
        <v>319.34770383237401</v>
      </c>
      <c r="C499" s="116">
        <v>307.410393926994</v>
      </c>
      <c r="D499" s="116">
        <v>306.52249484312199</v>
      </c>
      <c r="E499" s="116">
        <v>319.34770383237401</v>
      </c>
      <c r="F499" s="116">
        <v>311.60000000000002</v>
      </c>
      <c r="G499">
        <v>697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42738</v>
      </c>
      <c r="B500" s="116">
        <v>314.710897505491</v>
      </c>
      <c r="C500" s="116">
        <v>308.79157027968199</v>
      </c>
      <c r="D500" s="116">
        <v>307.85434346892902</v>
      </c>
      <c r="E500" s="116">
        <v>314.710897505491</v>
      </c>
      <c r="F500" s="116">
        <v>313</v>
      </c>
      <c r="G500">
        <v>692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42739</v>
      </c>
      <c r="B501" s="116">
        <v>318.65711565602999</v>
      </c>
      <c r="C501" s="116">
        <v>307.01577211194001</v>
      </c>
      <c r="D501" s="116">
        <v>305.634595759251</v>
      </c>
      <c r="E501" s="116">
        <v>318.65711565602999</v>
      </c>
      <c r="F501" s="116">
        <v>311.2</v>
      </c>
      <c r="G501">
        <v>5324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42740</v>
      </c>
      <c r="B502" s="116">
        <v>313.72434296785599</v>
      </c>
      <c r="C502" s="116">
        <v>309.77812481731701</v>
      </c>
      <c r="D502" s="116">
        <v>309.28484754850001</v>
      </c>
      <c r="E502" s="116">
        <v>313.72434296785599</v>
      </c>
      <c r="F502" s="116">
        <v>314</v>
      </c>
      <c r="G502">
        <v>3175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42741</v>
      </c>
      <c r="B503" s="116">
        <v>317.67056111839503</v>
      </c>
      <c r="C503" s="116">
        <v>307.60770483452097</v>
      </c>
      <c r="D503" s="116">
        <v>305.83190666677802</v>
      </c>
      <c r="E503" s="116">
        <v>317.67056111839503</v>
      </c>
      <c r="F503" s="116">
        <v>311.8</v>
      </c>
      <c r="G503">
        <v>2031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42744</v>
      </c>
      <c r="B504" s="116">
        <v>328.52266103237798</v>
      </c>
      <c r="C504" s="116">
        <v>308.79157027968199</v>
      </c>
      <c r="D504" s="116">
        <v>307.01577211194001</v>
      </c>
      <c r="E504" s="116">
        <v>328.52266103237798</v>
      </c>
      <c r="F504" s="116">
        <v>313</v>
      </c>
      <c r="G504">
        <v>320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42745</v>
      </c>
      <c r="B505" s="116">
        <v>315.54946886248098</v>
      </c>
      <c r="C505" s="116">
        <v>304.84535212914301</v>
      </c>
      <c r="D505" s="116">
        <v>281.46400958719897</v>
      </c>
      <c r="E505" s="116">
        <v>281.46400958719897</v>
      </c>
      <c r="F505" s="116">
        <v>309</v>
      </c>
      <c r="G505">
        <v>2613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42746</v>
      </c>
      <c r="B506" s="116">
        <v>313.52703206032902</v>
      </c>
      <c r="C506" s="116">
        <v>307.65703256140199</v>
      </c>
      <c r="D506" s="116">
        <v>305.83190666677802</v>
      </c>
      <c r="E506" s="116">
        <v>310.76467935495202</v>
      </c>
      <c r="F506" s="116">
        <v>311.85000000000002</v>
      </c>
      <c r="G506">
        <v>1564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42747</v>
      </c>
      <c r="B507" s="116">
        <v>310.51804072054301</v>
      </c>
      <c r="C507" s="116">
        <v>307.805015742048</v>
      </c>
      <c r="D507" s="116">
        <v>300.89913397860403</v>
      </c>
      <c r="E507" s="116">
        <v>307.31173847322998</v>
      </c>
      <c r="F507" s="116">
        <v>312</v>
      </c>
      <c r="G507">
        <v>914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42748</v>
      </c>
      <c r="B508" s="116">
        <v>306.81846120441298</v>
      </c>
      <c r="C508" s="116">
        <v>304.15476395279899</v>
      </c>
      <c r="D508" s="116">
        <v>301.93501624312103</v>
      </c>
      <c r="E508" s="116">
        <v>306.52249484312199</v>
      </c>
      <c r="F508" s="116">
        <v>308.3</v>
      </c>
      <c r="G508">
        <v>774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42751</v>
      </c>
      <c r="B509" s="116">
        <v>305.78257893989598</v>
      </c>
      <c r="C509" s="116">
        <v>299.76459626032403</v>
      </c>
      <c r="D509" s="116">
        <v>297.9394703657</v>
      </c>
      <c r="E509" s="116">
        <v>303.85879759150902</v>
      </c>
      <c r="F509" s="116">
        <v>303.85000000000002</v>
      </c>
      <c r="G509">
        <v>2510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42752</v>
      </c>
      <c r="B510" s="116">
        <v>305.83190666677802</v>
      </c>
      <c r="C510" s="116">
        <v>301.49106670118499</v>
      </c>
      <c r="D510" s="116">
        <v>297.98879809258199</v>
      </c>
      <c r="E510" s="116">
        <v>305.83190666677802</v>
      </c>
      <c r="F510" s="116">
        <v>305.60000000000002</v>
      </c>
      <c r="G510">
        <v>514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42753</v>
      </c>
      <c r="B511" s="116">
        <v>308.24896528398301</v>
      </c>
      <c r="C511" s="116">
        <v>298.038125819463</v>
      </c>
      <c r="D511" s="116">
        <v>297.9394703657</v>
      </c>
      <c r="E511" s="116">
        <v>308.24896528398301</v>
      </c>
      <c r="F511" s="116">
        <v>302.10000000000002</v>
      </c>
      <c r="G511">
        <v>846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42754</v>
      </c>
      <c r="B512" s="116">
        <v>305.535940305488</v>
      </c>
      <c r="C512" s="116">
        <v>299.567285352797</v>
      </c>
      <c r="D512" s="116">
        <v>295.96636129042997</v>
      </c>
      <c r="E512" s="116">
        <v>300.99778943236799</v>
      </c>
      <c r="F512" s="116">
        <v>303.64999999999998</v>
      </c>
      <c r="G512">
        <v>3347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42755</v>
      </c>
      <c r="B513" s="116">
        <v>312.73778843022097</v>
      </c>
      <c r="C513" s="116">
        <v>303.90812531838998</v>
      </c>
      <c r="D513" s="116">
        <v>301.39241124742199</v>
      </c>
      <c r="E513" s="116">
        <v>304.74669667538001</v>
      </c>
      <c r="F513" s="116">
        <v>308.05</v>
      </c>
      <c r="G513">
        <v>6129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42758</v>
      </c>
      <c r="B514" s="116">
        <v>312.935099337748</v>
      </c>
      <c r="C514" s="116">
        <v>305.43728485172397</v>
      </c>
      <c r="D514" s="116">
        <v>304.35207486032601</v>
      </c>
      <c r="E514" s="116">
        <v>308.79157027968199</v>
      </c>
      <c r="F514" s="116">
        <v>309.60000000000002</v>
      </c>
      <c r="G514">
        <v>2267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42759</v>
      </c>
      <c r="B515" s="116">
        <v>309.77812481731701</v>
      </c>
      <c r="C515" s="116">
        <v>308.79157027968199</v>
      </c>
      <c r="D515" s="116">
        <v>306.81846120441298</v>
      </c>
      <c r="E515" s="116">
        <v>309.58081390978998</v>
      </c>
      <c r="F515" s="116">
        <v>313</v>
      </c>
      <c r="G515">
        <v>1070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42760</v>
      </c>
      <c r="B516" s="116">
        <v>316.68400658076001</v>
      </c>
      <c r="C516" s="116">
        <v>303.95745304527202</v>
      </c>
      <c r="D516" s="116">
        <v>295.96636129042997</v>
      </c>
      <c r="E516" s="116">
        <v>302.57627669258301</v>
      </c>
      <c r="F516" s="116">
        <v>308.10000000000002</v>
      </c>
      <c r="G516">
        <v>3940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42762</v>
      </c>
      <c r="B517" s="116">
        <v>305.83190666677802</v>
      </c>
      <c r="C517" s="116">
        <v>304.84535212914301</v>
      </c>
      <c r="D517" s="116">
        <v>300.89913397860403</v>
      </c>
      <c r="E517" s="116">
        <v>305.83190666677802</v>
      </c>
      <c r="F517" s="116">
        <v>309</v>
      </c>
      <c r="G517">
        <v>882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42765</v>
      </c>
      <c r="B518" s="116">
        <v>303.85879759150902</v>
      </c>
      <c r="C518" s="116">
        <v>302.77358760010998</v>
      </c>
      <c r="D518" s="116">
        <v>291.03358860225597</v>
      </c>
      <c r="E518" s="116">
        <v>298.72871399580799</v>
      </c>
      <c r="F518" s="116">
        <v>306.89999999999998</v>
      </c>
      <c r="G518">
        <v>2937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42766</v>
      </c>
      <c r="B519" s="116">
        <v>309.77812481731701</v>
      </c>
      <c r="C519" s="116">
        <v>299.91257944096901</v>
      </c>
      <c r="D519" s="116">
        <v>296.70627719365598</v>
      </c>
      <c r="E519" s="116">
        <v>296.70627719365598</v>
      </c>
      <c r="F519" s="116">
        <v>304</v>
      </c>
      <c r="G519">
        <v>4911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42767</v>
      </c>
      <c r="B520" s="116">
        <v>304.84535212914301</v>
      </c>
      <c r="C520" s="116">
        <v>297.44619309688301</v>
      </c>
      <c r="D520" s="116">
        <v>295.96636129042997</v>
      </c>
      <c r="E520" s="116">
        <v>297.9394703657</v>
      </c>
      <c r="F520" s="116">
        <v>301.5</v>
      </c>
      <c r="G520">
        <v>1883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42768</v>
      </c>
      <c r="B521" s="116">
        <v>304.45073031408901</v>
      </c>
      <c r="C521" s="116">
        <v>299.81392398720601</v>
      </c>
      <c r="D521" s="116">
        <v>299.12333581086199</v>
      </c>
      <c r="E521" s="116">
        <v>302.72425987322902</v>
      </c>
      <c r="F521" s="116">
        <v>303.89999999999998</v>
      </c>
      <c r="G521">
        <v>1238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42769</v>
      </c>
      <c r="B522" s="116">
        <v>303.66148668398199</v>
      </c>
      <c r="C522" s="116">
        <v>297.9394703657</v>
      </c>
      <c r="D522" s="116">
        <v>296.50896628612901</v>
      </c>
      <c r="E522" s="116">
        <v>303.66148668398199</v>
      </c>
      <c r="F522" s="116">
        <v>302</v>
      </c>
      <c r="G522">
        <v>405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42772</v>
      </c>
      <c r="B523" s="116">
        <v>303.80946986462698</v>
      </c>
      <c r="C523" s="116">
        <v>299.41930217215202</v>
      </c>
      <c r="D523" s="116">
        <v>298.18610900010901</v>
      </c>
      <c r="E523" s="116">
        <v>298.92602490333502</v>
      </c>
      <c r="F523" s="116">
        <v>303.5</v>
      </c>
      <c r="G523">
        <v>1215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42773</v>
      </c>
      <c r="B524" s="116">
        <v>301.88568851623899</v>
      </c>
      <c r="C524" s="116">
        <v>295.96636129042997</v>
      </c>
      <c r="D524" s="116">
        <v>293.00669767752601</v>
      </c>
      <c r="E524" s="116">
        <v>293.40131949258</v>
      </c>
      <c r="F524" s="116">
        <v>300</v>
      </c>
      <c r="G524">
        <v>2821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42774</v>
      </c>
      <c r="B525" s="116">
        <v>298.92602490333502</v>
      </c>
      <c r="C525" s="116">
        <v>294.28921857645099</v>
      </c>
      <c r="D525" s="116">
        <v>290.04703406462198</v>
      </c>
      <c r="E525" s="116">
        <v>290.04703406462198</v>
      </c>
      <c r="F525" s="116">
        <v>298.3</v>
      </c>
      <c r="G525">
        <v>3078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42775</v>
      </c>
      <c r="B526" s="116">
        <v>300.89913397860403</v>
      </c>
      <c r="C526" s="116">
        <v>297.39686537000102</v>
      </c>
      <c r="D526" s="116">
        <v>290.04703406462198</v>
      </c>
      <c r="E526" s="116">
        <v>295.71972265602199</v>
      </c>
      <c r="F526" s="116">
        <v>301.45</v>
      </c>
      <c r="G526">
        <v>5850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42776</v>
      </c>
      <c r="B527" s="116">
        <v>302.37896578505598</v>
      </c>
      <c r="C527" s="116">
        <v>290.638966787203</v>
      </c>
      <c r="D527" s="116">
        <v>288.86316861946</v>
      </c>
      <c r="E527" s="116">
        <v>302.37896578505598</v>
      </c>
      <c r="F527" s="116">
        <v>294.60000000000002</v>
      </c>
      <c r="G527">
        <v>2353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42779</v>
      </c>
      <c r="B528" s="116">
        <v>293.99325221516102</v>
      </c>
      <c r="C528" s="116">
        <v>281.61199276784401</v>
      </c>
      <c r="D528" s="116">
        <v>277.22182507537002</v>
      </c>
      <c r="E528" s="116">
        <v>293.99325221516102</v>
      </c>
      <c r="F528" s="116">
        <v>285.45</v>
      </c>
      <c r="G528">
        <v>5377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42780</v>
      </c>
      <c r="B529" s="116">
        <v>286.100815914083</v>
      </c>
      <c r="C529" s="116">
        <v>275.88997644956299</v>
      </c>
      <c r="D529" s="116">
        <v>274.26216146246497</v>
      </c>
      <c r="E529" s="116">
        <v>285.11426137644798</v>
      </c>
      <c r="F529" s="116">
        <v>279.64999999999998</v>
      </c>
      <c r="G529">
        <v>4720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42781</v>
      </c>
      <c r="B530" s="116">
        <v>280.08283323451099</v>
      </c>
      <c r="C530" s="116">
        <v>269.87199376999098</v>
      </c>
      <c r="D530" s="116">
        <v>241.70586172051799</v>
      </c>
      <c r="E530" s="116">
        <v>280.08283323451099</v>
      </c>
      <c r="F530" s="116">
        <v>273.55</v>
      </c>
      <c r="G530">
        <v>5065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42782</v>
      </c>
      <c r="B531" s="116">
        <v>280.97073231838198</v>
      </c>
      <c r="C531" s="116">
        <v>275.495354634509</v>
      </c>
      <c r="D531" s="116">
        <v>260.598381116224</v>
      </c>
      <c r="E531" s="116">
        <v>260.598381116224</v>
      </c>
      <c r="F531" s="116">
        <v>279.25</v>
      </c>
      <c r="G531">
        <v>4027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42783</v>
      </c>
      <c r="B532" s="116">
        <v>280.18148868827399</v>
      </c>
      <c r="C532" s="116">
        <v>278.50434597429501</v>
      </c>
      <c r="D532" s="116">
        <v>273.324934651712</v>
      </c>
      <c r="E532" s="116">
        <v>280.18148868827399</v>
      </c>
      <c r="F532" s="116">
        <v>282.3</v>
      </c>
      <c r="G532">
        <v>3540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42786</v>
      </c>
      <c r="B533" s="116">
        <v>281.168043225909</v>
      </c>
      <c r="C533" s="116">
        <v>274.26216146246497</v>
      </c>
      <c r="D533" s="116">
        <v>268.34283423665698</v>
      </c>
      <c r="E533" s="116">
        <v>276.728547806552</v>
      </c>
      <c r="F533" s="116">
        <v>278</v>
      </c>
      <c r="G533">
        <v>4283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42787</v>
      </c>
      <c r="B534" s="116">
        <v>279.19493415063903</v>
      </c>
      <c r="C534" s="116">
        <v>271.89443057214203</v>
      </c>
      <c r="D534" s="116">
        <v>269.37871650117302</v>
      </c>
      <c r="E534" s="116">
        <v>279.19493415063903</v>
      </c>
      <c r="F534" s="116">
        <v>275.60000000000002</v>
      </c>
      <c r="G534">
        <v>4592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42788</v>
      </c>
      <c r="B535" s="116">
        <v>276.03795963020798</v>
      </c>
      <c r="C535" s="116">
        <v>268.63880059794701</v>
      </c>
      <c r="D535" s="116">
        <v>268.34283423665698</v>
      </c>
      <c r="E535" s="116">
        <v>276.03795963020798</v>
      </c>
      <c r="F535" s="116">
        <v>272.3</v>
      </c>
      <c r="G535">
        <v>6006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42789</v>
      </c>
      <c r="B536" s="116">
        <v>274.16350600870197</v>
      </c>
      <c r="C536" s="116">
        <v>267.060313337732</v>
      </c>
      <c r="D536" s="116">
        <v>262.47283473773001</v>
      </c>
      <c r="E536" s="116">
        <v>274.06485055493903</v>
      </c>
      <c r="F536" s="116">
        <v>270.7</v>
      </c>
      <c r="G536">
        <v>10184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42793</v>
      </c>
      <c r="B537" s="116">
        <v>275.24871600009999</v>
      </c>
      <c r="C537" s="116">
        <v>263.01543973342899</v>
      </c>
      <c r="D537" s="116">
        <v>261.63426338073998</v>
      </c>
      <c r="E537" s="116">
        <v>263.41006154848299</v>
      </c>
      <c r="F537" s="116">
        <v>266.60000000000002</v>
      </c>
      <c r="G537">
        <v>4027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42794</v>
      </c>
      <c r="B538" s="116">
        <v>286.100815914083</v>
      </c>
      <c r="C538" s="116">
        <v>280.32947186891897</v>
      </c>
      <c r="D538" s="116">
        <v>266.41905288826899</v>
      </c>
      <c r="E538" s="116">
        <v>273.07829601730401</v>
      </c>
      <c r="F538" s="116">
        <v>284.14999999999998</v>
      </c>
      <c r="G538">
        <v>10532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42795</v>
      </c>
      <c r="B539" s="116">
        <v>293.00669767752601</v>
      </c>
      <c r="C539" s="116">
        <v>291.47753814419201</v>
      </c>
      <c r="D539" s="116">
        <v>281.168043225909</v>
      </c>
      <c r="E539" s="116">
        <v>283.14115230117801</v>
      </c>
      <c r="F539" s="116">
        <v>295.45</v>
      </c>
      <c r="G539">
        <v>3878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42796</v>
      </c>
      <c r="B540" s="116">
        <v>293.99325221516102</v>
      </c>
      <c r="C540" s="116">
        <v>285.16358910333003</v>
      </c>
      <c r="D540" s="116">
        <v>281.266698679672</v>
      </c>
      <c r="E540" s="116">
        <v>288.17258044311598</v>
      </c>
      <c r="F540" s="116">
        <v>289.05</v>
      </c>
      <c r="G540">
        <v>6978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42797</v>
      </c>
      <c r="B541" s="116">
        <v>290.78694996784799</v>
      </c>
      <c r="C541" s="116">
        <v>281.02006004526402</v>
      </c>
      <c r="D541" s="116">
        <v>277.32048052913302</v>
      </c>
      <c r="E541" s="116">
        <v>290.737622240966</v>
      </c>
      <c r="F541" s="116">
        <v>284.85000000000002</v>
      </c>
      <c r="G541">
        <v>3120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42800</v>
      </c>
      <c r="B542" s="116">
        <v>290.04703406462198</v>
      </c>
      <c r="C542" s="116">
        <v>284.12770683881303</v>
      </c>
      <c r="D542" s="116">
        <v>278.20837961300498</v>
      </c>
      <c r="E542" s="116">
        <v>278.20837961300498</v>
      </c>
      <c r="F542" s="116">
        <v>288</v>
      </c>
      <c r="G542">
        <v>7138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42801</v>
      </c>
      <c r="B543" s="116">
        <v>295.96636129042997</v>
      </c>
      <c r="C543" s="116">
        <v>282.401236397952</v>
      </c>
      <c r="D543" s="116">
        <v>282.15459776354402</v>
      </c>
      <c r="E543" s="116">
        <v>295.57173947537598</v>
      </c>
      <c r="F543" s="116">
        <v>286.25</v>
      </c>
      <c r="G543">
        <v>8447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42802</v>
      </c>
      <c r="B544" s="116">
        <v>288.02459726247002</v>
      </c>
      <c r="C544" s="116">
        <v>285.55821091838402</v>
      </c>
      <c r="D544" s="116">
        <v>280.87207686461801</v>
      </c>
      <c r="E544" s="116">
        <v>281.31602640655399</v>
      </c>
      <c r="F544" s="116">
        <v>289.45</v>
      </c>
      <c r="G544">
        <v>566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42803</v>
      </c>
      <c r="B545" s="116">
        <v>285.50888319150198</v>
      </c>
      <c r="C545" s="116">
        <v>285.50888319150198</v>
      </c>
      <c r="D545" s="116">
        <v>280.18148868827399</v>
      </c>
      <c r="E545" s="116">
        <v>281.06938777214498</v>
      </c>
      <c r="F545" s="116">
        <v>289.39999999999998</v>
      </c>
      <c r="G545">
        <v>379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42804</v>
      </c>
      <c r="B546" s="116">
        <v>286.100815914083</v>
      </c>
      <c r="C546" s="116">
        <v>277.22182507537002</v>
      </c>
      <c r="D546" s="116">
        <v>276.235270537735</v>
      </c>
      <c r="E546" s="116">
        <v>279.78686687321999</v>
      </c>
      <c r="F546" s="116">
        <v>281</v>
      </c>
      <c r="G546">
        <v>2013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42808</v>
      </c>
      <c r="B547" s="116">
        <v>281.168043225909</v>
      </c>
      <c r="C547" s="116">
        <v>278.35636279365002</v>
      </c>
      <c r="D547" s="116">
        <v>272.28905238719602</v>
      </c>
      <c r="E547" s="116">
        <v>276.77787553343398</v>
      </c>
      <c r="F547" s="116">
        <v>282.14999999999998</v>
      </c>
      <c r="G547">
        <v>7878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42809</v>
      </c>
      <c r="B548" s="116">
        <v>279.19493415063903</v>
      </c>
      <c r="C548" s="116">
        <v>274.459472369992</v>
      </c>
      <c r="D548" s="116">
        <v>268.34283423665698</v>
      </c>
      <c r="E548" s="116">
        <v>275.24871600009999</v>
      </c>
      <c r="F548" s="116">
        <v>278.2</v>
      </c>
      <c r="G548">
        <v>4805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42810</v>
      </c>
      <c r="B549" s="116">
        <v>275.88997644956299</v>
      </c>
      <c r="C549" s="116">
        <v>266.665691522678</v>
      </c>
      <c r="D549" s="116">
        <v>264.05132199794599</v>
      </c>
      <c r="E549" s="116">
        <v>275.88997644956299</v>
      </c>
      <c r="F549" s="116">
        <v>270.3</v>
      </c>
      <c r="G549">
        <v>5071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42811</v>
      </c>
      <c r="B550" s="116">
        <v>273.27560692483098</v>
      </c>
      <c r="C550" s="116">
        <v>265.03787653557998</v>
      </c>
      <c r="D550" s="116">
        <v>263.656700182892</v>
      </c>
      <c r="E550" s="116">
        <v>273.27560692483098</v>
      </c>
      <c r="F550" s="116">
        <v>268.64999999999998</v>
      </c>
      <c r="G550">
        <v>3374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42814</v>
      </c>
      <c r="B551" s="116">
        <v>271.25317012267902</v>
      </c>
      <c r="C551" s="116">
        <v>269.13207786676497</v>
      </c>
      <c r="D551" s="116">
        <v>265.38317062375302</v>
      </c>
      <c r="E551" s="116">
        <v>266.36972516138701</v>
      </c>
      <c r="F551" s="116">
        <v>272.8</v>
      </c>
      <c r="G551">
        <v>2563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42815</v>
      </c>
      <c r="B552" s="116">
        <v>276.08728735709002</v>
      </c>
      <c r="C552" s="116">
        <v>273.02896829042197</v>
      </c>
      <c r="D552" s="116">
        <v>270.26661558504497</v>
      </c>
      <c r="E552" s="116">
        <v>270.31594331192599</v>
      </c>
      <c r="F552" s="116">
        <v>276.75</v>
      </c>
      <c r="G552">
        <v>4402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42816</v>
      </c>
      <c r="B553" s="116">
        <v>275.100732819455</v>
      </c>
      <c r="C553" s="116">
        <v>270.51325421945302</v>
      </c>
      <c r="D553" s="116">
        <v>261.43695247321301</v>
      </c>
      <c r="E553" s="116">
        <v>261.43695247321301</v>
      </c>
      <c r="F553" s="116">
        <v>274.2</v>
      </c>
      <c r="G553">
        <v>6795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42817</v>
      </c>
      <c r="B554" s="116">
        <v>276.728547806552</v>
      </c>
      <c r="C554" s="116">
        <v>274.31148918934701</v>
      </c>
      <c r="D554" s="116">
        <v>270.562581946335</v>
      </c>
      <c r="E554" s="116">
        <v>276.728547806552</v>
      </c>
      <c r="F554" s="116">
        <v>278.05</v>
      </c>
      <c r="G554">
        <v>758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42818</v>
      </c>
      <c r="B555" s="116">
        <v>276.235270537735</v>
      </c>
      <c r="C555" s="116">
        <v>271.40115330332497</v>
      </c>
      <c r="D555" s="116">
        <v>268.83611150547398</v>
      </c>
      <c r="E555" s="116">
        <v>274.26216146246497</v>
      </c>
      <c r="F555" s="116">
        <v>275.10000000000002</v>
      </c>
      <c r="G555">
        <v>1186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42821</v>
      </c>
      <c r="B556" s="116">
        <v>275.24871600009999</v>
      </c>
      <c r="C556" s="116">
        <v>267.55359060654899</v>
      </c>
      <c r="D556" s="116">
        <v>265.38317062375302</v>
      </c>
      <c r="E556" s="116">
        <v>267.35627969902202</v>
      </c>
      <c r="F556" s="116">
        <v>271.2</v>
      </c>
      <c r="G556">
        <v>2933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42822</v>
      </c>
      <c r="B557" s="116">
        <v>273.02896829042197</v>
      </c>
      <c r="C557" s="116">
        <v>266.61636379579602</v>
      </c>
      <c r="D557" s="116">
        <v>265.38317062375302</v>
      </c>
      <c r="E557" s="116">
        <v>265.72846471192503</v>
      </c>
      <c r="F557" s="116">
        <v>270.25</v>
      </c>
      <c r="G557">
        <v>5946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42823</v>
      </c>
      <c r="B558" s="116">
        <v>276.235270537735</v>
      </c>
      <c r="C558" s="116">
        <v>275.495354634509</v>
      </c>
      <c r="D558" s="116">
        <v>265.87644789257001</v>
      </c>
      <c r="E558" s="116">
        <v>268.83611150547398</v>
      </c>
      <c r="F558" s="116">
        <v>279.25</v>
      </c>
      <c r="G558">
        <v>11700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42824</v>
      </c>
      <c r="B559" s="116">
        <v>279.19493415063903</v>
      </c>
      <c r="C559" s="116">
        <v>276.13661508397098</v>
      </c>
      <c r="D559" s="116">
        <v>269.97064922375398</v>
      </c>
      <c r="E559" s="116">
        <v>269.97064922375398</v>
      </c>
      <c r="F559" s="116">
        <v>279.89999999999998</v>
      </c>
      <c r="G559">
        <v>9867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42825</v>
      </c>
      <c r="B560" s="116">
        <v>276.235270537735</v>
      </c>
      <c r="C560" s="116">
        <v>276.235270537735</v>
      </c>
      <c r="D560" s="116">
        <v>273.27560692483098</v>
      </c>
      <c r="E560" s="116">
        <v>275.93930417644498</v>
      </c>
      <c r="F560" s="116">
        <v>280</v>
      </c>
      <c r="G560">
        <v>25248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42828</v>
      </c>
      <c r="B561" s="116">
        <v>294.97980675279598</v>
      </c>
      <c r="C561" s="116">
        <v>275.34737145386401</v>
      </c>
      <c r="D561" s="116">
        <v>274.26216146246497</v>
      </c>
      <c r="E561" s="116">
        <v>276.235270537735</v>
      </c>
      <c r="F561" s="116">
        <v>279.10000000000002</v>
      </c>
      <c r="G561">
        <v>4187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42830</v>
      </c>
      <c r="B562" s="116">
        <v>281.168043225909</v>
      </c>
      <c r="C562" s="116">
        <v>275.44602690762702</v>
      </c>
      <c r="D562" s="116">
        <v>272.28905238719602</v>
      </c>
      <c r="E562" s="116">
        <v>277.22182507537002</v>
      </c>
      <c r="F562" s="116">
        <v>279.2</v>
      </c>
      <c r="G562">
        <v>1940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42831</v>
      </c>
      <c r="B563" s="116">
        <v>282.15459776354402</v>
      </c>
      <c r="C563" s="116">
        <v>282.10527003666198</v>
      </c>
      <c r="D563" s="116">
        <v>275.29804372698197</v>
      </c>
      <c r="E563" s="116">
        <v>277.22182507537002</v>
      </c>
      <c r="F563" s="116">
        <v>285.95</v>
      </c>
      <c r="G563">
        <v>901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42832</v>
      </c>
      <c r="B564" s="116">
        <v>280.18148868827399</v>
      </c>
      <c r="C564" s="116">
        <v>275.54468236139098</v>
      </c>
      <c r="D564" s="116">
        <v>274.360816916229</v>
      </c>
      <c r="E564" s="116">
        <v>279.68821141945699</v>
      </c>
      <c r="F564" s="116">
        <v>279.3</v>
      </c>
      <c r="G564">
        <v>5889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42835</v>
      </c>
      <c r="B565" s="116">
        <v>278.20837961300498</v>
      </c>
      <c r="C565" s="116">
        <v>277.17249734848798</v>
      </c>
      <c r="D565" s="116">
        <v>270.01997695063602</v>
      </c>
      <c r="E565" s="116">
        <v>270.01997695063602</v>
      </c>
      <c r="F565" s="116">
        <v>280.95</v>
      </c>
      <c r="G565">
        <v>4226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42836</v>
      </c>
      <c r="B566" s="116">
        <v>278.20837961300498</v>
      </c>
      <c r="C566" s="116">
        <v>277.96174097859603</v>
      </c>
      <c r="D566" s="116">
        <v>274.50880009687398</v>
      </c>
      <c r="E566" s="116">
        <v>277.22182507537002</v>
      </c>
      <c r="F566" s="116">
        <v>281.75</v>
      </c>
      <c r="G566">
        <v>3163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42837</v>
      </c>
      <c r="B567" s="116">
        <v>276.235270537735</v>
      </c>
      <c r="C567" s="116">
        <v>273.27560692483098</v>
      </c>
      <c r="D567" s="116">
        <v>271.35182557644299</v>
      </c>
      <c r="E567" s="116">
        <v>274.50880009687398</v>
      </c>
      <c r="F567" s="116">
        <v>277</v>
      </c>
      <c r="G567">
        <v>2356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42838</v>
      </c>
      <c r="B568" s="116">
        <v>276.235270537735</v>
      </c>
      <c r="C568" s="116">
        <v>272.14106920655098</v>
      </c>
      <c r="D568" s="116">
        <v>271.40115330332497</v>
      </c>
      <c r="E568" s="116">
        <v>275.988631903326</v>
      </c>
      <c r="F568" s="116">
        <v>275.85000000000002</v>
      </c>
      <c r="G568">
        <v>1197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42842</v>
      </c>
      <c r="B569" s="116">
        <v>281.11871549902702</v>
      </c>
      <c r="C569" s="116">
        <v>276.235270537735</v>
      </c>
      <c r="D569" s="116">
        <v>273.867539647412</v>
      </c>
      <c r="E569" s="116">
        <v>281.11871549902702</v>
      </c>
      <c r="F569" s="116">
        <v>280</v>
      </c>
      <c r="G569">
        <v>2442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42843</v>
      </c>
      <c r="B570" s="116">
        <v>316.97997294205101</v>
      </c>
      <c r="C570" s="116">
        <v>304.79602440226199</v>
      </c>
      <c r="D570" s="116">
        <v>271.30249784956101</v>
      </c>
      <c r="E570" s="116">
        <v>271.30249784956101</v>
      </c>
      <c r="F570" s="116">
        <v>308.95</v>
      </c>
      <c r="G570">
        <v>25898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42844</v>
      </c>
      <c r="B571" s="116">
        <v>320.63022473130002</v>
      </c>
      <c r="C571" s="116">
        <v>317.52257793774999</v>
      </c>
      <c r="D571" s="116">
        <v>305.83190666677802</v>
      </c>
      <c r="E571" s="116">
        <v>310.271402086134</v>
      </c>
      <c r="F571" s="116">
        <v>321.85000000000002</v>
      </c>
      <c r="G571">
        <v>9534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42845</v>
      </c>
      <c r="B572" s="116">
        <v>373.70685885605002</v>
      </c>
      <c r="C572" s="116">
        <v>362.21349849260503</v>
      </c>
      <c r="D572" s="116">
        <v>324.97106469689197</v>
      </c>
      <c r="E572" s="116">
        <v>324.97106469689197</v>
      </c>
      <c r="F572" s="116">
        <v>367.15</v>
      </c>
      <c r="G572">
        <v>33639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42846</v>
      </c>
      <c r="B573" s="116">
        <v>397.58147866681099</v>
      </c>
      <c r="C573" s="116">
        <v>382.63517742164498</v>
      </c>
      <c r="D573" s="116">
        <v>355.15963354851601</v>
      </c>
      <c r="E573" s="116">
        <v>366.01173346249902</v>
      </c>
      <c r="F573" s="116">
        <v>387.85</v>
      </c>
      <c r="G573">
        <v>35637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42849</v>
      </c>
      <c r="B574" s="116">
        <v>396.594924129177</v>
      </c>
      <c r="C574" s="116">
        <v>383.02979923669898</v>
      </c>
      <c r="D574" s="116">
        <v>371.09248933131801</v>
      </c>
      <c r="E574" s="116">
        <v>384.75626967755898</v>
      </c>
      <c r="F574" s="116">
        <v>388.25</v>
      </c>
      <c r="G574">
        <v>9964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42850</v>
      </c>
      <c r="B575" s="116">
        <v>383.37509332487099</v>
      </c>
      <c r="C575" s="116">
        <v>367.93551481088701</v>
      </c>
      <c r="D575" s="116">
        <v>357.33005353131301</v>
      </c>
      <c r="E575" s="116">
        <v>380.81005152701999</v>
      </c>
      <c r="F575" s="116">
        <v>372.95</v>
      </c>
      <c r="G575">
        <v>5643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42851</v>
      </c>
      <c r="B576" s="116">
        <v>386.72937875282901</v>
      </c>
      <c r="C576" s="116">
        <v>377.554421552826</v>
      </c>
      <c r="D576" s="116">
        <v>366.01173346249902</v>
      </c>
      <c r="E576" s="116">
        <v>366.01173346249902</v>
      </c>
      <c r="F576" s="116">
        <v>382.7</v>
      </c>
      <c r="G576">
        <v>15148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42852</v>
      </c>
      <c r="B577" s="116">
        <v>379.823496989386</v>
      </c>
      <c r="C577" s="116">
        <v>370.747195243146</v>
      </c>
      <c r="D577" s="116">
        <v>363.052069849595</v>
      </c>
      <c r="E577" s="116">
        <v>375.13736293561999</v>
      </c>
      <c r="F577" s="116">
        <v>375.8</v>
      </c>
      <c r="G577">
        <v>3467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42853</v>
      </c>
      <c r="B578" s="116">
        <v>365.02517892486401</v>
      </c>
      <c r="C578" s="116">
        <v>355.70223854421602</v>
      </c>
      <c r="D578" s="116">
        <v>355.15963354851601</v>
      </c>
      <c r="E578" s="116">
        <v>365.02517892486401</v>
      </c>
      <c r="F578" s="116">
        <v>360.55</v>
      </c>
      <c r="G578">
        <v>2160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42857</v>
      </c>
      <c r="B579" s="116">
        <v>369.95795161303801</v>
      </c>
      <c r="C579" s="116">
        <v>352.69324720443001</v>
      </c>
      <c r="D579" s="116">
        <v>350.72013812915998</v>
      </c>
      <c r="E579" s="116">
        <v>355.15963354851601</v>
      </c>
      <c r="F579" s="116">
        <v>357.5</v>
      </c>
      <c r="G579">
        <v>2127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42858</v>
      </c>
      <c r="B580" s="116">
        <v>355.15963354851601</v>
      </c>
      <c r="C580" s="116">
        <v>349.88156677217</v>
      </c>
      <c r="D580" s="116">
        <v>342.48240773991</v>
      </c>
      <c r="E580" s="116">
        <v>355.15963354851601</v>
      </c>
      <c r="F580" s="116">
        <v>354.65</v>
      </c>
      <c r="G580">
        <v>3710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42859</v>
      </c>
      <c r="B581" s="116">
        <v>367.34358208830599</v>
      </c>
      <c r="C581" s="116">
        <v>367.34358208830599</v>
      </c>
      <c r="D581" s="116">
        <v>347.36585270120202</v>
      </c>
      <c r="E581" s="116">
        <v>348.25375178507301</v>
      </c>
      <c r="F581" s="116">
        <v>372.35</v>
      </c>
      <c r="G581">
        <v>14396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42860</v>
      </c>
      <c r="B582" s="116">
        <v>374.890724301212</v>
      </c>
      <c r="C582" s="116">
        <v>366.01173346249902</v>
      </c>
      <c r="D582" s="116">
        <v>355.15963354851601</v>
      </c>
      <c r="E582" s="116">
        <v>359.99375078292701</v>
      </c>
      <c r="F582" s="116">
        <v>371</v>
      </c>
      <c r="G582">
        <v>1197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42863</v>
      </c>
      <c r="B583" s="116">
        <v>374.890724301212</v>
      </c>
      <c r="C583" s="116">
        <v>369.85929615927398</v>
      </c>
      <c r="D583" s="116">
        <v>355.208961275398</v>
      </c>
      <c r="E583" s="116">
        <v>355.208961275398</v>
      </c>
      <c r="F583" s="116">
        <v>374.9</v>
      </c>
      <c r="G583">
        <v>1131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42864</v>
      </c>
      <c r="B584" s="116">
        <v>369.95795161303801</v>
      </c>
      <c r="C584" s="116">
        <v>367.73820390335999</v>
      </c>
      <c r="D584" s="116">
        <v>355.15963354851601</v>
      </c>
      <c r="E584" s="116">
        <v>355.15963354851601</v>
      </c>
      <c r="F584" s="116">
        <v>372.75</v>
      </c>
      <c r="G584">
        <v>1984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42865</v>
      </c>
      <c r="B585" s="116">
        <v>369.66198525174701</v>
      </c>
      <c r="C585" s="116">
        <v>363.052069849595</v>
      </c>
      <c r="D585" s="116">
        <v>360.33904487109902</v>
      </c>
      <c r="E585" s="116">
        <v>360.33904487109902</v>
      </c>
      <c r="F585" s="116">
        <v>368</v>
      </c>
      <c r="G585">
        <v>713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42866</v>
      </c>
      <c r="B586" s="116">
        <v>372.621648864652</v>
      </c>
      <c r="C586" s="116">
        <v>369.95795161303801</v>
      </c>
      <c r="D586" s="116">
        <v>355.65291081733398</v>
      </c>
      <c r="E586" s="116">
        <v>355.65291081733398</v>
      </c>
      <c r="F586" s="116">
        <v>375</v>
      </c>
      <c r="G586">
        <v>3073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42867</v>
      </c>
      <c r="B587" s="116">
        <v>366.99828800013398</v>
      </c>
      <c r="C587" s="116">
        <v>365.02517892486401</v>
      </c>
      <c r="D587" s="116">
        <v>363.052069849595</v>
      </c>
      <c r="E587" s="116">
        <v>366.01173346249902</v>
      </c>
      <c r="F587" s="116">
        <v>370</v>
      </c>
      <c r="G587">
        <v>544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42870</v>
      </c>
      <c r="B588" s="116">
        <v>371.93106068830701</v>
      </c>
      <c r="C588" s="116">
        <v>366.01173346249902</v>
      </c>
      <c r="D588" s="116">
        <v>357.13274262378599</v>
      </c>
      <c r="E588" s="116">
        <v>360.09240623669001</v>
      </c>
      <c r="F588" s="116">
        <v>371</v>
      </c>
      <c r="G588">
        <v>953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42871</v>
      </c>
      <c r="B589" s="116">
        <v>365.02517892486401</v>
      </c>
      <c r="C589" s="116">
        <v>360.14173396357199</v>
      </c>
      <c r="D589" s="116">
        <v>360.09240623669001</v>
      </c>
      <c r="E589" s="116">
        <v>360.09240623669001</v>
      </c>
      <c r="F589" s="116">
        <v>365.05</v>
      </c>
      <c r="G589">
        <v>839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42872</v>
      </c>
      <c r="B590" s="116">
        <v>366.20904437002599</v>
      </c>
      <c r="C590" s="116">
        <v>365.02517892486401</v>
      </c>
      <c r="D590" s="116">
        <v>360.09240623669001</v>
      </c>
      <c r="E590" s="116">
        <v>363.052069849595</v>
      </c>
      <c r="F590" s="116">
        <v>370</v>
      </c>
      <c r="G590">
        <v>602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42873</v>
      </c>
      <c r="B591" s="116">
        <v>365.12383437862798</v>
      </c>
      <c r="C591" s="116">
        <v>365.02517892486401</v>
      </c>
      <c r="D591" s="116">
        <v>360.09240623669001</v>
      </c>
      <c r="E591" s="116">
        <v>360.09240623669001</v>
      </c>
      <c r="F591" s="116">
        <v>370</v>
      </c>
      <c r="G591">
        <v>1598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42874</v>
      </c>
      <c r="B592" s="116">
        <v>369.95795161303801</v>
      </c>
      <c r="C592" s="116">
        <v>367.29425436142401</v>
      </c>
      <c r="D592" s="116">
        <v>357.62601989260298</v>
      </c>
      <c r="E592" s="116">
        <v>369.95795161303801</v>
      </c>
      <c r="F592" s="116">
        <v>372.3</v>
      </c>
      <c r="G592">
        <v>801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42877</v>
      </c>
      <c r="B593" s="116">
        <v>366.01173346249902</v>
      </c>
      <c r="C593" s="116">
        <v>358.513918976475</v>
      </c>
      <c r="D593" s="116">
        <v>356.14618808615103</v>
      </c>
      <c r="E593" s="116">
        <v>360.09240623669001</v>
      </c>
      <c r="F593" s="116">
        <v>363.4</v>
      </c>
      <c r="G593">
        <v>1000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360.09240623669001</v>
      </c>
      <c r="C594" s="116">
        <v>349.88156677217</v>
      </c>
      <c r="D594" s="116">
        <v>345.88602089475</v>
      </c>
      <c r="E594" s="116">
        <v>360.09240623669001</v>
      </c>
      <c r="F594" s="116">
        <v>354.65</v>
      </c>
      <c r="G594">
        <v>1788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349.24030632270802</v>
      </c>
      <c r="C595" s="116">
        <v>340.85459275281198</v>
      </c>
      <c r="D595" s="116">
        <v>340.45997093775799</v>
      </c>
      <c r="E595" s="116">
        <v>347.76047451625601</v>
      </c>
      <c r="F595" s="116">
        <v>345.5</v>
      </c>
      <c r="G595">
        <v>1589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343.81425636571697</v>
      </c>
      <c r="C596" s="116">
        <v>337.40165187109102</v>
      </c>
      <c r="D596" s="116">
        <v>337.40165187109102</v>
      </c>
      <c r="E596" s="116">
        <v>343.32097909689901</v>
      </c>
      <c r="F596" s="116">
        <v>342</v>
      </c>
      <c r="G596">
        <v>332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351.11475994421397</v>
      </c>
      <c r="C597" s="116">
        <v>345.78736544098598</v>
      </c>
      <c r="D597" s="116">
        <v>340.36131548399499</v>
      </c>
      <c r="E597" s="116">
        <v>340.36131548399499</v>
      </c>
      <c r="F597" s="116">
        <v>350.5</v>
      </c>
      <c r="G597">
        <v>1253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328.52266103237798</v>
      </c>
      <c r="C598" s="116">
        <v>328.52266103237798</v>
      </c>
      <c r="D598" s="116">
        <v>328.52266103237798</v>
      </c>
      <c r="E598" s="116">
        <v>328.52266103237798</v>
      </c>
      <c r="F598" s="116">
        <v>333</v>
      </c>
      <c r="G598">
        <v>1963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325.56299741947299</v>
      </c>
      <c r="C599" s="116">
        <v>316.338712492588</v>
      </c>
      <c r="D599" s="116">
        <v>314.76022523237299</v>
      </c>
      <c r="E599" s="116">
        <v>314.76022523237299</v>
      </c>
      <c r="F599" s="116">
        <v>320.64999999999998</v>
      </c>
      <c r="G599">
        <v>1565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332.12358509474501</v>
      </c>
      <c r="C600" s="116">
        <v>324.675098335602</v>
      </c>
      <c r="D600" s="116">
        <v>314.710897505491</v>
      </c>
      <c r="E600" s="116">
        <v>314.710897505491</v>
      </c>
      <c r="F600" s="116">
        <v>329.1</v>
      </c>
      <c r="G600">
        <v>1602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330.49577010764699</v>
      </c>
      <c r="C601" s="116">
        <v>326.54955195710801</v>
      </c>
      <c r="D601" s="116">
        <v>315.69745204312602</v>
      </c>
      <c r="E601" s="116">
        <v>330.49577010764699</v>
      </c>
      <c r="F601" s="116">
        <v>331</v>
      </c>
      <c r="G601">
        <v>2805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330.49577010764699</v>
      </c>
      <c r="C602" s="116">
        <v>316.78266203452398</v>
      </c>
      <c r="D602" s="116">
        <v>315.69745204312602</v>
      </c>
      <c r="E602" s="116">
        <v>327.53610649474302</v>
      </c>
      <c r="F602" s="116">
        <v>321.10000000000002</v>
      </c>
      <c r="G602">
        <v>1454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317.769216572159</v>
      </c>
      <c r="C603" s="116">
        <v>315.69745204312602</v>
      </c>
      <c r="D603" s="116">
        <v>310.76467935495202</v>
      </c>
      <c r="E603" s="116">
        <v>311.75123389258698</v>
      </c>
      <c r="F603" s="116">
        <v>320</v>
      </c>
      <c r="G603">
        <v>1577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320.58089700441798</v>
      </c>
      <c r="C604" s="116">
        <v>314.85888068613599</v>
      </c>
      <c r="D604" s="116">
        <v>309.77812481731701</v>
      </c>
      <c r="E604" s="116">
        <v>320.58089700441798</v>
      </c>
      <c r="F604" s="116">
        <v>319.14999999999998</v>
      </c>
      <c r="G604">
        <v>1471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325.069720150656</v>
      </c>
      <c r="C605" s="116">
        <v>320.63022473130002</v>
      </c>
      <c r="D605" s="116">
        <v>315.94409067753401</v>
      </c>
      <c r="E605" s="116">
        <v>315.94409067753401</v>
      </c>
      <c r="F605" s="116">
        <v>325</v>
      </c>
      <c r="G605">
        <v>1513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320.63022473130002</v>
      </c>
      <c r="C606" s="116">
        <v>320.38358609689101</v>
      </c>
      <c r="D606" s="116">
        <v>314.26694796355503</v>
      </c>
      <c r="E606" s="116">
        <v>320.63022473130002</v>
      </c>
      <c r="F606" s="116">
        <v>324.75</v>
      </c>
      <c r="G606">
        <v>1068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321.61677926893401</v>
      </c>
      <c r="C607" s="116">
        <v>317.17728384957798</v>
      </c>
      <c r="D607" s="116">
        <v>310.76467935495202</v>
      </c>
      <c r="E607" s="116">
        <v>315.45081340871701</v>
      </c>
      <c r="F607" s="116">
        <v>321.5</v>
      </c>
      <c r="G607">
        <v>1437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320.63022473130002</v>
      </c>
      <c r="C608" s="116">
        <v>314.26694796355503</v>
      </c>
      <c r="D608" s="116">
        <v>314.21762023667401</v>
      </c>
      <c r="E608" s="116">
        <v>320.63022473130002</v>
      </c>
      <c r="F608" s="116">
        <v>318.55</v>
      </c>
      <c r="G608">
        <v>418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319.59434246678302</v>
      </c>
      <c r="C609" s="116">
        <v>315.69745204312602</v>
      </c>
      <c r="D609" s="116">
        <v>308.00232664957502</v>
      </c>
      <c r="E609" s="116">
        <v>308.00232664957502</v>
      </c>
      <c r="F609" s="116">
        <v>320</v>
      </c>
      <c r="G609">
        <v>860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319.59434246678302</v>
      </c>
      <c r="C610" s="116">
        <v>315.69745204312602</v>
      </c>
      <c r="D610" s="116">
        <v>310.76467935495202</v>
      </c>
      <c r="E610" s="116">
        <v>319.59434246678302</v>
      </c>
      <c r="F610" s="116">
        <v>320</v>
      </c>
      <c r="G610">
        <v>1939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319.643670193665</v>
      </c>
      <c r="C611" s="116">
        <v>315.69745204312602</v>
      </c>
      <c r="D611" s="116">
        <v>315.69745204312602</v>
      </c>
      <c r="E611" s="116">
        <v>315.69745204312602</v>
      </c>
      <c r="F611" s="116">
        <v>320</v>
      </c>
      <c r="G611">
        <v>464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320.63022473130002</v>
      </c>
      <c r="C612" s="116">
        <v>312.24451116140398</v>
      </c>
      <c r="D612" s="116">
        <v>309.97543572484398</v>
      </c>
      <c r="E612" s="116">
        <v>316.68400658076001</v>
      </c>
      <c r="F612" s="116">
        <v>316.5</v>
      </c>
      <c r="G612">
        <v>790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315.69745204312602</v>
      </c>
      <c r="C613" s="116">
        <v>315.64812431624398</v>
      </c>
      <c r="D613" s="116">
        <v>310.76467935495202</v>
      </c>
      <c r="E613" s="116">
        <v>313.72434296785599</v>
      </c>
      <c r="F613" s="116">
        <v>319.95</v>
      </c>
      <c r="G613">
        <v>1222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325.56299741947299</v>
      </c>
      <c r="C614" s="116">
        <v>315.74677977000698</v>
      </c>
      <c r="D614" s="116">
        <v>310.76467935495202</v>
      </c>
      <c r="E614" s="116">
        <v>313.72434296785599</v>
      </c>
      <c r="F614" s="116">
        <v>320.05</v>
      </c>
      <c r="G614">
        <v>2231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323.49123289044002</v>
      </c>
      <c r="C615" s="116">
        <v>316.733334307642</v>
      </c>
      <c r="D615" s="116">
        <v>315.69745204312602</v>
      </c>
      <c r="E615" s="116">
        <v>318.16383838721299</v>
      </c>
      <c r="F615" s="116">
        <v>321.05</v>
      </c>
      <c r="G615">
        <v>2366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330.49577010764699</v>
      </c>
      <c r="C616" s="116">
        <v>322.406022899042</v>
      </c>
      <c r="D616" s="116">
        <v>310.37005753989803</v>
      </c>
      <c r="E616" s="116">
        <v>310.37005753989803</v>
      </c>
      <c r="F616" s="116">
        <v>326.8</v>
      </c>
      <c r="G616">
        <v>13319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321.66610699581599</v>
      </c>
      <c r="C617" s="116">
        <v>316.338712492588</v>
      </c>
      <c r="D617" s="116">
        <v>315.69745204312602</v>
      </c>
      <c r="E617" s="116">
        <v>321.66610699581599</v>
      </c>
      <c r="F617" s="116">
        <v>320.64999999999998</v>
      </c>
      <c r="G617">
        <v>1145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318.65711565602999</v>
      </c>
      <c r="C618" s="116">
        <v>309.531486182908</v>
      </c>
      <c r="D618" s="116">
        <v>306.81846120441298</v>
      </c>
      <c r="E618" s="116">
        <v>318.65711565602999</v>
      </c>
      <c r="F618" s="116">
        <v>313.75</v>
      </c>
      <c r="G618">
        <v>2551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312.540477522694</v>
      </c>
      <c r="C619" s="116">
        <v>306.47316711624097</v>
      </c>
      <c r="D619" s="116">
        <v>305.83190666677802</v>
      </c>
      <c r="E619" s="116">
        <v>312.49114979581299</v>
      </c>
      <c r="F619" s="116">
        <v>310.64999999999998</v>
      </c>
      <c r="G619">
        <v>987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319.59434246678302</v>
      </c>
      <c r="C620" s="116">
        <v>308.34762073774698</v>
      </c>
      <c r="D620" s="116">
        <v>307.36106620011202</v>
      </c>
      <c r="E620" s="116">
        <v>319.59434246678302</v>
      </c>
      <c r="F620" s="116">
        <v>312.55</v>
      </c>
      <c r="G620">
        <v>2175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318.607787929148</v>
      </c>
      <c r="C621" s="116">
        <v>308.79157027968199</v>
      </c>
      <c r="D621" s="116">
        <v>308.69291482591899</v>
      </c>
      <c r="E621" s="116">
        <v>309.038208914091</v>
      </c>
      <c r="F621" s="116">
        <v>313</v>
      </c>
      <c r="G621">
        <v>1348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320.63022473130002</v>
      </c>
      <c r="C622" s="116">
        <v>318.26249384097599</v>
      </c>
      <c r="D622" s="116">
        <v>308.89022573344602</v>
      </c>
      <c r="E622" s="116">
        <v>313.62568751409299</v>
      </c>
      <c r="F622" s="116">
        <v>322.60000000000002</v>
      </c>
      <c r="G622">
        <v>1212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329.50921557001197</v>
      </c>
      <c r="C623" s="116">
        <v>327.78274512915198</v>
      </c>
      <c r="D623" s="116">
        <v>315.69745204312602</v>
      </c>
      <c r="E623" s="116">
        <v>315.69745204312602</v>
      </c>
      <c r="F623" s="116">
        <v>332.25</v>
      </c>
      <c r="G623">
        <v>898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334.93526552700399</v>
      </c>
      <c r="C624" s="116">
        <v>324.72442606248399</v>
      </c>
      <c r="D624" s="116">
        <v>315.69745204312602</v>
      </c>
      <c r="E624" s="116">
        <v>326.54955195710801</v>
      </c>
      <c r="F624" s="116">
        <v>329.15</v>
      </c>
      <c r="G624">
        <v>3798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327.48677876786098</v>
      </c>
      <c r="C625" s="116">
        <v>325.46434196570999</v>
      </c>
      <c r="D625" s="116">
        <v>321.61677926893401</v>
      </c>
      <c r="E625" s="116">
        <v>324.97106469689197</v>
      </c>
      <c r="F625" s="116">
        <v>329.9</v>
      </c>
      <c r="G625">
        <v>1899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330.93971964958303</v>
      </c>
      <c r="C626" s="116">
        <v>322.15938426463299</v>
      </c>
      <c r="D626" s="116">
        <v>320.63022473130002</v>
      </c>
      <c r="E626" s="116">
        <v>327.58543422162501</v>
      </c>
      <c r="F626" s="116">
        <v>326.55</v>
      </c>
      <c r="G626">
        <v>1444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335.42854279582099</v>
      </c>
      <c r="C627" s="116">
        <v>328.22669467108699</v>
      </c>
      <c r="D627" s="116">
        <v>321.61677926893401</v>
      </c>
      <c r="E627" s="116">
        <v>321.61677926893401</v>
      </c>
      <c r="F627" s="116">
        <v>332.7</v>
      </c>
      <c r="G627">
        <v>1845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330.49577010764699</v>
      </c>
      <c r="C628" s="116">
        <v>326.59887968398999</v>
      </c>
      <c r="D628" s="116">
        <v>324.92173697001101</v>
      </c>
      <c r="E628" s="116">
        <v>324.92173697001101</v>
      </c>
      <c r="F628" s="116">
        <v>331.05</v>
      </c>
      <c r="G628">
        <v>269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330.49577010764699</v>
      </c>
      <c r="C629" s="116">
        <v>323.540560617322</v>
      </c>
      <c r="D629" s="116">
        <v>313.72434296785599</v>
      </c>
      <c r="E629" s="116">
        <v>330.49577010764699</v>
      </c>
      <c r="F629" s="116">
        <v>327.95</v>
      </c>
      <c r="G629">
        <v>3256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324.576442881839</v>
      </c>
      <c r="C630" s="116">
        <v>320.43291382377299</v>
      </c>
      <c r="D630" s="116">
        <v>302.970898507637</v>
      </c>
      <c r="E630" s="116">
        <v>302.970898507637</v>
      </c>
      <c r="F630" s="116">
        <v>324.8</v>
      </c>
      <c r="G630">
        <v>2644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323.540560617322</v>
      </c>
      <c r="C631" s="116">
        <v>319.643670193665</v>
      </c>
      <c r="D631" s="116">
        <v>311.84988934634998</v>
      </c>
      <c r="E631" s="116">
        <v>315.69745204312602</v>
      </c>
      <c r="F631" s="116">
        <v>324</v>
      </c>
      <c r="G631">
        <v>896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319.643670193665</v>
      </c>
      <c r="C632" s="116">
        <v>312.73778843022097</v>
      </c>
      <c r="D632" s="116">
        <v>310.76467935495202</v>
      </c>
      <c r="E632" s="116">
        <v>312.73778843022097</v>
      </c>
      <c r="F632" s="116">
        <v>317</v>
      </c>
      <c r="G632">
        <v>2436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311.25795662376902</v>
      </c>
      <c r="C633" s="116">
        <v>306.02921757430499</v>
      </c>
      <c r="D633" s="116">
        <v>293.99325221516102</v>
      </c>
      <c r="E633" s="116">
        <v>306.47316711624097</v>
      </c>
      <c r="F633" s="116">
        <v>310.2</v>
      </c>
      <c r="G633">
        <v>3491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312.73778843022097</v>
      </c>
      <c r="C634" s="116">
        <v>306.81846120441298</v>
      </c>
      <c r="D634" s="116">
        <v>305.83190666677802</v>
      </c>
      <c r="E634" s="116">
        <v>310.76467935495202</v>
      </c>
      <c r="F634" s="116">
        <v>311</v>
      </c>
      <c r="G634">
        <v>3157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315.69745204312602</v>
      </c>
      <c r="C635" s="116">
        <v>313.82299842162001</v>
      </c>
      <c r="D635" s="116">
        <v>305.83190666677802</v>
      </c>
      <c r="E635" s="116">
        <v>305.83190666677802</v>
      </c>
      <c r="F635" s="116">
        <v>318.10000000000002</v>
      </c>
      <c r="G635">
        <v>382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322.60333380656903</v>
      </c>
      <c r="C636" s="116">
        <v>311.800561619468</v>
      </c>
      <c r="D636" s="116">
        <v>305.83190666677802</v>
      </c>
      <c r="E636" s="116">
        <v>305.83190666677802</v>
      </c>
      <c r="F636" s="116">
        <v>316.05</v>
      </c>
      <c r="G636">
        <v>276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315.69745204312602</v>
      </c>
      <c r="C637" s="116">
        <v>314.41493114420098</v>
      </c>
      <c r="D637" s="116">
        <v>308.05165437645599</v>
      </c>
      <c r="E637" s="116">
        <v>310.76467935495202</v>
      </c>
      <c r="F637" s="116">
        <v>318.7</v>
      </c>
      <c r="G637">
        <v>2177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311.75123389258698</v>
      </c>
      <c r="C638" s="116">
        <v>308.89022573344602</v>
      </c>
      <c r="D638" s="116">
        <v>307.21308301946698</v>
      </c>
      <c r="E638" s="116">
        <v>309.77812481731701</v>
      </c>
      <c r="F638" s="116">
        <v>313.10000000000002</v>
      </c>
      <c r="G638">
        <v>1090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310.76467935495202</v>
      </c>
      <c r="C639" s="116">
        <v>308.49560391839202</v>
      </c>
      <c r="D639" s="116">
        <v>305.83190666677802</v>
      </c>
      <c r="E639" s="116">
        <v>307.805015742048</v>
      </c>
      <c r="F639" s="116">
        <v>312.7</v>
      </c>
      <c r="G639">
        <v>2335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308.00232664957502</v>
      </c>
      <c r="C640" s="116">
        <v>306.91711665817598</v>
      </c>
      <c r="D640" s="116">
        <v>305.83190666677802</v>
      </c>
      <c r="E640" s="116">
        <v>305.83190666677802</v>
      </c>
      <c r="F640" s="116">
        <v>311.10000000000002</v>
      </c>
      <c r="G640">
        <v>483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312.73778843022097</v>
      </c>
      <c r="C641" s="116">
        <v>312.73778843022097</v>
      </c>
      <c r="D641" s="116">
        <v>305.83190666677802</v>
      </c>
      <c r="E641" s="116">
        <v>307.805015742048</v>
      </c>
      <c r="F641" s="116">
        <v>317</v>
      </c>
      <c r="G641">
        <v>518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307.410393926994</v>
      </c>
      <c r="C642" s="116">
        <v>302.42829351193802</v>
      </c>
      <c r="D642" s="116">
        <v>300.89913397860403</v>
      </c>
      <c r="E642" s="116">
        <v>307.410393926994</v>
      </c>
      <c r="F642" s="116">
        <v>306.55</v>
      </c>
      <c r="G642">
        <v>1755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303.80946986462698</v>
      </c>
      <c r="C643" s="116">
        <v>300.701823071077</v>
      </c>
      <c r="D643" s="116">
        <v>291.03358860225597</v>
      </c>
      <c r="E643" s="116">
        <v>300.89913397860403</v>
      </c>
      <c r="F643" s="116">
        <v>304.8</v>
      </c>
      <c r="G643">
        <v>3495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295.96636129042997</v>
      </c>
      <c r="C644" s="116">
        <v>289.99770633774</v>
      </c>
      <c r="D644" s="116">
        <v>289.06047952698702</v>
      </c>
      <c r="E644" s="116">
        <v>295.96636129042997</v>
      </c>
      <c r="F644" s="116">
        <v>293.95</v>
      </c>
      <c r="G644">
        <v>583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300.40585670978697</v>
      </c>
      <c r="C645" s="116">
        <v>298.87669717645298</v>
      </c>
      <c r="D645" s="116">
        <v>286.100815914083</v>
      </c>
      <c r="E645" s="116">
        <v>288.66585771193297</v>
      </c>
      <c r="F645" s="116">
        <v>302.95</v>
      </c>
      <c r="G645">
        <v>260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300.84980625172199</v>
      </c>
      <c r="C646" s="116">
        <v>295.27577311408601</v>
      </c>
      <c r="D646" s="116">
        <v>286.5940931829</v>
      </c>
      <c r="E646" s="116">
        <v>286.5940931829</v>
      </c>
      <c r="F646" s="116">
        <v>299.3</v>
      </c>
      <c r="G646">
        <v>3183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294.97980675279598</v>
      </c>
      <c r="C647" s="116">
        <v>292.02014313989099</v>
      </c>
      <c r="D647" s="116">
        <v>292.02014313989099</v>
      </c>
      <c r="E647" s="116">
        <v>294.97980675279598</v>
      </c>
      <c r="F647" s="116">
        <v>296</v>
      </c>
      <c r="G647">
        <v>150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290.83627769472997</v>
      </c>
      <c r="C648" s="116">
        <v>281.85863140225302</v>
      </c>
      <c r="D648" s="116">
        <v>279.392245058166</v>
      </c>
      <c r="E648" s="116">
        <v>285.11426137644798</v>
      </c>
      <c r="F648" s="116">
        <v>285.7</v>
      </c>
      <c r="G648">
        <v>1680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290.98426087537501</v>
      </c>
      <c r="C649" s="116">
        <v>285.21291683021099</v>
      </c>
      <c r="D649" s="116">
        <v>285.21291683021099</v>
      </c>
      <c r="E649" s="116">
        <v>286.100815914083</v>
      </c>
      <c r="F649" s="116">
        <v>289.10000000000002</v>
      </c>
      <c r="G649">
        <v>261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278.84964006246702</v>
      </c>
      <c r="C650" s="116">
        <v>278.80031233558498</v>
      </c>
      <c r="D650" s="116">
        <v>277.61644689042402</v>
      </c>
      <c r="E650" s="116">
        <v>277.61644689042402</v>
      </c>
      <c r="F650" s="116">
        <v>282.60000000000002</v>
      </c>
      <c r="G650">
        <v>180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279.04695096999399</v>
      </c>
      <c r="C651" s="116">
        <v>276.728547806552</v>
      </c>
      <c r="D651" s="116">
        <v>269.329388774292</v>
      </c>
      <c r="E651" s="116">
        <v>273.27560692483098</v>
      </c>
      <c r="F651" s="116">
        <v>280.5</v>
      </c>
      <c r="G651">
        <v>1273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289.94837861085801</v>
      </c>
      <c r="C652" s="116">
        <v>280.08283323451099</v>
      </c>
      <c r="D652" s="116">
        <v>276.728547806552</v>
      </c>
      <c r="E652" s="116">
        <v>286.100815914083</v>
      </c>
      <c r="F652" s="116">
        <v>283.89999999999998</v>
      </c>
      <c r="G652">
        <v>969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285.70619409902901</v>
      </c>
      <c r="C653" s="116">
        <v>280.18148868827399</v>
      </c>
      <c r="D653" s="116">
        <v>274.26216146246497</v>
      </c>
      <c r="E653" s="116">
        <v>279.19493415063903</v>
      </c>
      <c r="F653" s="116">
        <v>284</v>
      </c>
      <c r="G653">
        <v>697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288.07392498935201</v>
      </c>
      <c r="C654" s="116">
        <v>281.266698679672</v>
      </c>
      <c r="D654" s="116">
        <v>276.235270537735</v>
      </c>
      <c r="E654" s="116">
        <v>285.11426137644798</v>
      </c>
      <c r="F654" s="116">
        <v>285.10000000000002</v>
      </c>
      <c r="G654">
        <v>2309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283.53577411623201</v>
      </c>
      <c r="C655" s="116">
        <v>276.18594281085302</v>
      </c>
      <c r="D655" s="116">
        <v>274.26216146246497</v>
      </c>
      <c r="E655" s="116">
        <v>276.235270537735</v>
      </c>
      <c r="F655" s="116">
        <v>279.95</v>
      </c>
      <c r="G655">
        <v>1155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289.30711816139598</v>
      </c>
      <c r="C656" s="116">
        <v>283.38779093558702</v>
      </c>
      <c r="D656" s="116">
        <v>283.14115230117801</v>
      </c>
      <c r="E656" s="116">
        <v>286.100815914083</v>
      </c>
      <c r="F656" s="116">
        <v>287.25</v>
      </c>
      <c r="G656">
        <v>305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284.12770683881303</v>
      </c>
      <c r="C657" s="116">
        <v>277.22182507537002</v>
      </c>
      <c r="D657" s="116">
        <v>276.235270537735</v>
      </c>
      <c r="E657" s="116">
        <v>284.12770683881303</v>
      </c>
      <c r="F657" s="116">
        <v>281</v>
      </c>
      <c r="G657">
        <v>2076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282.89451366677002</v>
      </c>
      <c r="C658" s="116">
        <v>281.95728685601699</v>
      </c>
      <c r="D658" s="116">
        <v>276.38325371837999</v>
      </c>
      <c r="E658" s="116">
        <v>276.38325371837999</v>
      </c>
      <c r="F658" s="116">
        <v>285.8</v>
      </c>
      <c r="G658">
        <v>194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281.168043225909</v>
      </c>
      <c r="C659" s="116">
        <v>269.28006104741002</v>
      </c>
      <c r="D659" s="116">
        <v>266.36972516138701</v>
      </c>
      <c r="E659" s="116">
        <v>277.32048052913302</v>
      </c>
      <c r="F659" s="116">
        <v>272.95</v>
      </c>
      <c r="G659">
        <v>2495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274.75543873128299</v>
      </c>
      <c r="C660" s="116">
        <v>274.75543873128299</v>
      </c>
      <c r="D660" s="116">
        <v>259.463843397944</v>
      </c>
      <c r="E660" s="116">
        <v>259.463843397944</v>
      </c>
      <c r="F660" s="116">
        <v>278.5</v>
      </c>
      <c r="G660">
        <v>2121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275.19938827321801</v>
      </c>
      <c r="C661" s="116">
        <v>263.50871700224701</v>
      </c>
      <c r="D661" s="116">
        <v>263.50871700224701</v>
      </c>
      <c r="E661" s="116">
        <v>270.31594331192599</v>
      </c>
      <c r="F661" s="116">
        <v>267.10000000000002</v>
      </c>
      <c r="G661">
        <v>405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281.168043225909</v>
      </c>
      <c r="C662" s="116">
        <v>271.598464210852</v>
      </c>
      <c r="D662" s="116">
        <v>271.598464210852</v>
      </c>
      <c r="E662" s="116">
        <v>276.235270537735</v>
      </c>
      <c r="F662" s="116">
        <v>275.3</v>
      </c>
      <c r="G662">
        <v>1237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270.31594331192599</v>
      </c>
      <c r="C663" s="116">
        <v>268.293506509775</v>
      </c>
      <c r="D663" s="116">
        <v>266.36972516138701</v>
      </c>
      <c r="E663" s="116">
        <v>270.31594331192599</v>
      </c>
      <c r="F663" s="116">
        <v>271.95</v>
      </c>
      <c r="G663">
        <v>2025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282.84518593988798</v>
      </c>
      <c r="C664" s="116">
        <v>282.84518593988798</v>
      </c>
      <c r="D664" s="116">
        <v>266.46838061515098</v>
      </c>
      <c r="E664" s="116">
        <v>266.46838061515098</v>
      </c>
      <c r="F664" s="116">
        <v>286.7</v>
      </c>
      <c r="G664">
        <v>1371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281.168043225909</v>
      </c>
      <c r="C665" s="116">
        <v>276.235270537735</v>
      </c>
      <c r="D665" s="116">
        <v>274.26216146246497</v>
      </c>
      <c r="E665" s="116">
        <v>276.235270537735</v>
      </c>
      <c r="F665" s="116">
        <v>280</v>
      </c>
      <c r="G665">
        <v>878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278.30703506676798</v>
      </c>
      <c r="C666" s="116">
        <v>273.226279197949</v>
      </c>
      <c r="D666" s="116">
        <v>266.36972516138701</v>
      </c>
      <c r="E666" s="116">
        <v>278.30703506676798</v>
      </c>
      <c r="F666" s="116">
        <v>276.95</v>
      </c>
      <c r="G666">
        <v>4422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274.11417828181999</v>
      </c>
      <c r="C667" s="116">
        <v>270.31594331192599</v>
      </c>
      <c r="D667" s="116">
        <v>267.35627969902202</v>
      </c>
      <c r="E667" s="116">
        <v>268.44148969041998</v>
      </c>
      <c r="F667" s="116">
        <v>274</v>
      </c>
      <c r="G667">
        <v>7770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272.28905238719602</v>
      </c>
      <c r="C668" s="116">
        <v>266.27106970762401</v>
      </c>
      <c r="D668" s="116">
        <v>264.64325472052599</v>
      </c>
      <c r="E668" s="116">
        <v>270.31594331192599</v>
      </c>
      <c r="F668" s="116">
        <v>269.89999999999998</v>
      </c>
      <c r="G668">
        <v>7984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266.36972516138701</v>
      </c>
      <c r="C669" s="116">
        <v>265.33384289687098</v>
      </c>
      <c r="D669" s="116">
        <v>264.54459926676299</v>
      </c>
      <c r="E669" s="116">
        <v>264.54459926676299</v>
      </c>
      <c r="F669" s="116">
        <v>268.95</v>
      </c>
      <c r="G669">
        <v>4636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268.83611150547398</v>
      </c>
      <c r="C670" s="116">
        <v>263.755355636655</v>
      </c>
      <c r="D670" s="116">
        <v>260.45039793557902</v>
      </c>
      <c r="E670" s="116">
        <v>266.36972516138701</v>
      </c>
      <c r="F670" s="116">
        <v>267.35000000000002</v>
      </c>
      <c r="G670">
        <v>6995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266.12308652697902</v>
      </c>
      <c r="C671" s="116">
        <v>263.80468336353698</v>
      </c>
      <c r="D671" s="116">
        <v>260.45039793557902</v>
      </c>
      <c r="E671" s="116">
        <v>262.52216246461199</v>
      </c>
      <c r="F671" s="116">
        <v>267.39999999999998</v>
      </c>
      <c r="G671">
        <v>3653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266.36972516138701</v>
      </c>
      <c r="C672" s="116">
        <v>261.58493565385902</v>
      </c>
      <c r="D672" s="116">
        <v>261.43695247321301</v>
      </c>
      <c r="E672" s="116">
        <v>261.63426338073998</v>
      </c>
      <c r="F672" s="116">
        <v>265.14999999999998</v>
      </c>
      <c r="G672">
        <v>2174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266.22174198074202</v>
      </c>
      <c r="C673" s="116">
        <v>258.77325522159998</v>
      </c>
      <c r="D673" s="116">
        <v>258.47728886030899</v>
      </c>
      <c r="E673" s="116">
        <v>261.93022974203097</v>
      </c>
      <c r="F673" s="116">
        <v>262.3</v>
      </c>
      <c r="G673">
        <v>2309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264.19930517859098</v>
      </c>
      <c r="C674" s="116">
        <v>263.360733821601</v>
      </c>
      <c r="D674" s="116">
        <v>252.656617088264</v>
      </c>
      <c r="E674" s="116">
        <v>263.41006154848299</v>
      </c>
      <c r="F674" s="116">
        <v>266.95</v>
      </c>
      <c r="G674">
        <v>2348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270.16796013128101</v>
      </c>
      <c r="C675" s="116">
        <v>262.37417928396701</v>
      </c>
      <c r="D675" s="116">
        <v>257.49073432267397</v>
      </c>
      <c r="E675" s="116">
        <v>270.16796013128101</v>
      </c>
      <c r="F675" s="116">
        <v>265.95</v>
      </c>
      <c r="G675">
        <v>4477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266.36972516138701</v>
      </c>
      <c r="C676" s="116">
        <v>263.31140609471998</v>
      </c>
      <c r="D676" s="116">
        <v>255.66560842805001</v>
      </c>
      <c r="E676" s="116">
        <v>266.36972516138701</v>
      </c>
      <c r="F676" s="116">
        <v>266.89999999999998</v>
      </c>
      <c r="G676">
        <v>6764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265.38317062375302</v>
      </c>
      <c r="C677" s="116">
        <v>260.64770884310599</v>
      </c>
      <c r="D677" s="116">
        <v>260.64770884310599</v>
      </c>
      <c r="E677" s="116">
        <v>265.38317062375302</v>
      </c>
      <c r="F677" s="116">
        <v>264.2</v>
      </c>
      <c r="G677">
        <v>2438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278.20837961300498</v>
      </c>
      <c r="C678" s="116">
        <v>270.11863240439902</v>
      </c>
      <c r="D678" s="116">
        <v>255.764263881814</v>
      </c>
      <c r="E678" s="116">
        <v>260.45039793557902</v>
      </c>
      <c r="F678" s="116">
        <v>273.8</v>
      </c>
      <c r="G678">
        <v>43096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280.132160961392</v>
      </c>
      <c r="C679" s="116">
        <v>256.20821342374899</v>
      </c>
      <c r="D679" s="116">
        <v>254.728381617297</v>
      </c>
      <c r="E679" s="116">
        <v>267.35627969902202</v>
      </c>
      <c r="F679" s="116">
        <v>259.7</v>
      </c>
      <c r="G679">
        <v>15013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273.226279197949</v>
      </c>
      <c r="C680" s="116">
        <v>257.194767961384</v>
      </c>
      <c r="D680" s="116">
        <v>251.62073482374799</v>
      </c>
      <c r="E680" s="116">
        <v>254.53107070977001</v>
      </c>
      <c r="F680" s="116">
        <v>260.7</v>
      </c>
      <c r="G680">
        <v>1964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260.89434747751397</v>
      </c>
      <c r="C681" s="116">
        <v>253.54451617213499</v>
      </c>
      <c r="D681" s="116">
        <v>251.57140709686601</v>
      </c>
      <c r="E681" s="116">
        <v>260.89434747751397</v>
      </c>
      <c r="F681" s="116">
        <v>257</v>
      </c>
      <c r="G681">
        <v>681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257.24409568826599</v>
      </c>
      <c r="C682" s="116">
        <v>248.118466215144</v>
      </c>
      <c r="D682" s="116">
        <v>246.983928496864</v>
      </c>
      <c r="E682" s="116">
        <v>253.54451617213499</v>
      </c>
      <c r="F682" s="116">
        <v>251.5</v>
      </c>
      <c r="G682">
        <v>4704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256.454852058158</v>
      </c>
      <c r="C683" s="116">
        <v>250.53552483234901</v>
      </c>
      <c r="D683" s="116">
        <v>236.77308903234399</v>
      </c>
      <c r="E683" s="116">
        <v>236.822416759226</v>
      </c>
      <c r="F683" s="116">
        <v>253.95</v>
      </c>
      <c r="G683">
        <v>1628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254.53107070977001</v>
      </c>
      <c r="C684" s="116">
        <v>249.54897029471499</v>
      </c>
      <c r="D684" s="116">
        <v>245.257458056003</v>
      </c>
      <c r="E684" s="116">
        <v>254.53107070977001</v>
      </c>
      <c r="F684" s="116">
        <v>252.95</v>
      </c>
      <c r="G684">
        <v>2318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249.30233166030601</v>
      </c>
      <c r="C685" s="116">
        <v>245.94804623234799</v>
      </c>
      <c r="D685" s="116">
        <v>245.652079871057</v>
      </c>
      <c r="E685" s="116">
        <v>246.687962135574</v>
      </c>
      <c r="F685" s="116">
        <v>249.3</v>
      </c>
      <c r="G685">
        <v>851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247.57586121944499</v>
      </c>
      <c r="C686" s="116">
        <v>244.17224806460499</v>
      </c>
      <c r="D686" s="116">
        <v>237.80897129686099</v>
      </c>
      <c r="E686" s="116">
        <v>245.20813032912201</v>
      </c>
      <c r="F686" s="116">
        <v>247.5</v>
      </c>
      <c r="G686">
        <v>1479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250.53552483234901</v>
      </c>
      <c r="C687" s="116">
        <v>247.32922258503601</v>
      </c>
      <c r="D687" s="116">
        <v>239.23947537643099</v>
      </c>
      <c r="E687" s="116">
        <v>239.23947537643099</v>
      </c>
      <c r="F687" s="116">
        <v>250.7</v>
      </c>
      <c r="G687">
        <v>3528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255.51762524740499</v>
      </c>
      <c r="C688" s="116">
        <v>254.03779344095301</v>
      </c>
      <c r="D688" s="116">
        <v>247.625188946327</v>
      </c>
      <c r="E688" s="116">
        <v>254.48174298288799</v>
      </c>
      <c r="F688" s="116">
        <v>257.5</v>
      </c>
      <c r="G688">
        <v>9972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263.360733821601</v>
      </c>
      <c r="C689" s="116">
        <v>258.329305679664</v>
      </c>
      <c r="D689" s="116">
        <v>242.248466716217</v>
      </c>
      <c r="E689" s="116">
        <v>242.248466716217</v>
      </c>
      <c r="F689" s="116">
        <v>261.85000000000002</v>
      </c>
      <c r="G689">
        <v>1716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261.43695247321301</v>
      </c>
      <c r="C690" s="116">
        <v>259.36518794417998</v>
      </c>
      <c r="D690" s="116">
        <v>250.584852559231</v>
      </c>
      <c r="E690" s="116">
        <v>261.43695247321301</v>
      </c>
      <c r="F690" s="116">
        <v>262.89999999999998</v>
      </c>
      <c r="G690">
        <v>1664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266.07375880009698</v>
      </c>
      <c r="C691" s="116">
        <v>256.50417978503998</v>
      </c>
      <c r="D691" s="116">
        <v>256.50417978503998</v>
      </c>
      <c r="E691" s="116">
        <v>266.07375880009698</v>
      </c>
      <c r="F691" s="116">
        <v>260</v>
      </c>
      <c r="G691">
        <v>1466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260.25308702805199</v>
      </c>
      <c r="C692" s="116">
        <v>260.25308702805199</v>
      </c>
      <c r="D692" s="116">
        <v>250.63418028611301</v>
      </c>
      <c r="E692" s="116">
        <v>250.63418028611301</v>
      </c>
      <c r="F692" s="116">
        <v>263.8</v>
      </c>
      <c r="G692">
        <v>1429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259.463843397944</v>
      </c>
      <c r="C693" s="116">
        <v>258.47728886030899</v>
      </c>
      <c r="D693" s="116">
        <v>249.894264382887</v>
      </c>
      <c r="E693" s="116">
        <v>251.07812982804799</v>
      </c>
      <c r="F693" s="116">
        <v>262</v>
      </c>
      <c r="G693">
        <v>1785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254.48174298288799</v>
      </c>
      <c r="C694" s="116">
        <v>251.57140709686601</v>
      </c>
      <c r="D694" s="116">
        <v>249.59829802159601</v>
      </c>
      <c r="E694" s="116">
        <v>253.74182707966199</v>
      </c>
      <c r="F694" s="116">
        <v>255</v>
      </c>
      <c r="G694">
        <v>729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264.34728835923602</v>
      </c>
      <c r="C695" s="116">
        <v>260.00644839364298</v>
      </c>
      <c r="D695" s="116">
        <v>246.63863440869201</v>
      </c>
      <c r="E695" s="116">
        <v>246.63863440869201</v>
      </c>
      <c r="F695" s="116">
        <v>263.55</v>
      </c>
      <c r="G695">
        <v>3962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257.98401159149199</v>
      </c>
      <c r="C696" s="116">
        <v>255.51762524740499</v>
      </c>
      <c r="D696" s="116">
        <v>252.557961634501</v>
      </c>
      <c r="E696" s="116">
        <v>257.98401159149199</v>
      </c>
      <c r="F696" s="116">
        <v>259</v>
      </c>
      <c r="G696">
        <v>1012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265.38317062375302</v>
      </c>
      <c r="C697" s="116">
        <v>256.20821342374899</v>
      </c>
      <c r="D697" s="116">
        <v>251.719390277511</v>
      </c>
      <c r="E697" s="116">
        <v>265.38317062375302</v>
      </c>
      <c r="F697" s="116">
        <v>259.7</v>
      </c>
      <c r="G697">
        <v>1501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260.05577612052502</v>
      </c>
      <c r="C698" s="116">
        <v>253.74182707966199</v>
      </c>
      <c r="D698" s="116">
        <v>250.68350801299499</v>
      </c>
      <c r="E698" s="116">
        <v>256.50417978503998</v>
      </c>
      <c r="F698" s="116">
        <v>257.2</v>
      </c>
      <c r="G698">
        <v>2511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254.87636479794199</v>
      </c>
      <c r="C699" s="116">
        <v>246.88527304310099</v>
      </c>
      <c r="D699" s="116">
        <v>246.14535713987499</v>
      </c>
      <c r="E699" s="116">
        <v>254.23510434848001</v>
      </c>
      <c r="F699" s="116">
        <v>250.25</v>
      </c>
      <c r="G699">
        <v>1870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254.38308752912499</v>
      </c>
      <c r="C700" s="116">
        <v>247.18123940439099</v>
      </c>
      <c r="D700" s="116">
        <v>246.63863440869201</v>
      </c>
      <c r="E700" s="116">
        <v>254.38308752912499</v>
      </c>
      <c r="F700" s="116">
        <v>250.55</v>
      </c>
      <c r="G700">
        <v>1221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253.495188445254</v>
      </c>
      <c r="C701" s="116">
        <v>249.49964256783301</v>
      </c>
      <c r="D701" s="116">
        <v>247.625188946327</v>
      </c>
      <c r="E701" s="116">
        <v>249.59829802159601</v>
      </c>
      <c r="F701" s="116">
        <v>252.9</v>
      </c>
      <c r="G701">
        <v>712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256.25754115063103</v>
      </c>
      <c r="C702" s="116">
        <v>248.85838211837</v>
      </c>
      <c r="D702" s="116">
        <v>248.61174348396199</v>
      </c>
      <c r="E702" s="116">
        <v>251.62073482374799</v>
      </c>
      <c r="F702" s="116">
        <v>252.25</v>
      </c>
      <c r="G702">
        <v>1052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259.41451567106202</v>
      </c>
      <c r="C703" s="116">
        <v>248.56241575708</v>
      </c>
      <c r="D703" s="116">
        <v>246.63863440869201</v>
      </c>
      <c r="E703" s="116">
        <v>251.57140709686601</v>
      </c>
      <c r="F703" s="116">
        <v>251.95</v>
      </c>
      <c r="G703">
        <v>2169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250.33821392482201</v>
      </c>
      <c r="C704" s="116">
        <v>250.14090301729499</v>
      </c>
      <c r="D704" s="116">
        <v>248.61174348396199</v>
      </c>
      <c r="E704" s="116">
        <v>249.253003933424</v>
      </c>
      <c r="F704" s="116">
        <v>253.55</v>
      </c>
      <c r="G704">
        <v>750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262.42350701084803</v>
      </c>
      <c r="C705" s="116">
        <v>256.80014614633001</v>
      </c>
      <c r="D705" s="116">
        <v>247.625188946327</v>
      </c>
      <c r="E705" s="116">
        <v>247.625188946327</v>
      </c>
      <c r="F705" s="116">
        <v>260.3</v>
      </c>
      <c r="G705">
        <v>2745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288.91249634634198</v>
      </c>
      <c r="C706" s="116">
        <v>282.59854730547897</v>
      </c>
      <c r="D706" s="116">
        <v>261.091658385041</v>
      </c>
      <c r="E706" s="116">
        <v>262.42350701084803</v>
      </c>
      <c r="F706" s="116">
        <v>286.45</v>
      </c>
      <c r="G706">
        <v>32447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286.00216046031898</v>
      </c>
      <c r="C707" s="116">
        <v>273.07829601730401</v>
      </c>
      <c r="D707" s="116">
        <v>271.89443057214203</v>
      </c>
      <c r="E707" s="116">
        <v>282.15459776354402</v>
      </c>
      <c r="F707" s="116">
        <v>276.8</v>
      </c>
      <c r="G707">
        <v>3528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274.26216146246497</v>
      </c>
      <c r="C708" s="116">
        <v>267.35627969902202</v>
      </c>
      <c r="D708" s="116">
        <v>267.35627969902202</v>
      </c>
      <c r="E708" s="116">
        <v>271.30249784956101</v>
      </c>
      <c r="F708" s="116">
        <v>271</v>
      </c>
      <c r="G708">
        <v>2201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275.74199326891801</v>
      </c>
      <c r="C709" s="116">
        <v>268.78678377859302</v>
      </c>
      <c r="D709" s="116">
        <v>266.91233015708599</v>
      </c>
      <c r="E709" s="116">
        <v>268.44148969041998</v>
      </c>
      <c r="F709" s="116">
        <v>272.45</v>
      </c>
      <c r="G709">
        <v>5937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280.87207686461801</v>
      </c>
      <c r="C710" s="116">
        <v>268.293506509775</v>
      </c>
      <c r="D710" s="116">
        <v>266.51770834203302</v>
      </c>
      <c r="E710" s="116">
        <v>280.87207686461801</v>
      </c>
      <c r="F710" s="116">
        <v>271.95</v>
      </c>
      <c r="G710">
        <v>1560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277.17249734848798</v>
      </c>
      <c r="C711" s="116">
        <v>275.100732819455</v>
      </c>
      <c r="D711" s="116">
        <v>271.30249784956101</v>
      </c>
      <c r="E711" s="116">
        <v>277.17249734848798</v>
      </c>
      <c r="F711" s="116">
        <v>278.85000000000002</v>
      </c>
      <c r="G711">
        <v>1004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284.76896728827597</v>
      </c>
      <c r="C712" s="116">
        <v>276.97518644096101</v>
      </c>
      <c r="D712" s="116">
        <v>269.08275013988299</v>
      </c>
      <c r="E712" s="116">
        <v>284.76896728827597</v>
      </c>
      <c r="F712" s="116">
        <v>280.75</v>
      </c>
      <c r="G712">
        <v>1367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279.19493415063903</v>
      </c>
      <c r="C713" s="116">
        <v>274.06485055493903</v>
      </c>
      <c r="D713" s="116">
        <v>266.86300243020497</v>
      </c>
      <c r="E713" s="116">
        <v>266.86300243020497</v>
      </c>
      <c r="F713" s="116">
        <v>277.8</v>
      </c>
      <c r="G713">
        <v>1950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276.235270537735</v>
      </c>
      <c r="C714" s="116">
        <v>270.80922058074401</v>
      </c>
      <c r="D714" s="116">
        <v>267.65224606031302</v>
      </c>
      <c r="E714" s="116">
        <v>276.235270537735</v>
      </c>
      <c r="F714" s="116">
        <v>274.5</v>
      </c>
      <c r="G714">
        <v>470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281.06938777214498</v>
      </c>
      <c r="C715" s="116">
        <v>264.396616086118</v>
      </c>
      <c r="D715" s="116">
        <v>258.723927494718</v>
      </c>
      <c r="E715" s="116">
        <v>258.723927494718</v>
      </c>
      <c r="F715" s="116">
        <v>268</v>
      </c>
      <c r="G715">
        <v>332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276.235270537735</v>
      </c>
      <c r="C716" s="116">
        <v>267.30695197213998</v>
      </c>
      <c r="D716" s="116">
        <v>261.68359110762202</v>
      </c>
      <c r="E716" s="116">
        <v>261.68359110762202</v>
      </c>
      <c r="F716" s="116">
        <v>270.95</v>
      </c>
      <c r="G716">
        <v>3825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305.83190666677802</v>
      </c>
      <c r="C717" s="116">
        <v>300.603167617314</v>
      </c>
      <c r="D717" s="116">
        <v>266.36972516138701</v>
      </c>
      <c r="E717" s="116">
        <v>267.40560742590401</v>
      </c>
      <c r="F717" s="116">
        <v>304.7</v>
      </c>
      <c r="G717">
        <v>50466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340.36131548399499</v>
      </c>
      <c r="C718" s="116">
        <v>326.845518318399</v>
      </c>
      <c r="D718" s="116">
        <v>305.33862939796097</v>
      </c>
      <c r="E718" s="116">
        <v>305.58526803236902</v>
      </c>
      <c r="F718" s="116">
        <v>331.3</v>
      </c>
      <c r="G718">
        <v>49807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379.922152443149</v>
      </c>
      <c r="C719" s="116">
        <v>351.46005403238598</v>
      </c>
      <c r="D719" s="116">
        <v>328.52266103237798</v>
      </c>
      <c r="E719" s="116">
        <v>334.44198825818597</v>
      </c>
      <c r="F719" s="116">
        <v>356.25</v>
      </c>
      <c r="G719">
        <v>42543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393.58593278939099</v>
      </c>
      <c r="C720" s="116">
        <v>377.25845519153501</v>
      </c>
      <c r="D720" s="116">
        <v>347.76047451625601</v>
      </c>
      <c r="E720" s="116">
        <v>359.10585169905602</v>
      </c>
      <c r="F720" s="116">
        <v>382.4</v>
      </c>
      <c r="G720">
        <v>52646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384.75626967755898</v>
      </c>
      <c r="C721" s="116">
        <v>363.24938075712203</v>
      </c>
      <c r="D721" s="116">
        <v>363.052069849595</v>
      </c>
      <c r="E721" s="116">
        <v>374.890724301212</v>
      </c>
      <c r="F721" s="116">
        <v>368.2</v>
      </c>
      <c r="G721">
        <v>5671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386.72937875282901</v>
      </c>
      <c r="C722" s="116">
        <v>377.11047201089002</v>
      </c>
      <c r="D722" s="116">
        <v>350.22686086034298</v>
      </c>
      <c r="E722" s="116">
        <v>374.00282521734101</v>
      </c>
      <c r="F722" s="116">
        <v>382.25</v>
      </c>
      <c r="G722">
        <v>25864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374.890724301212</v>
      </c>
      <c r="C723" s="116">
        <v>368.23148117217698</v>
      </c>
      <c r="D723" s="116">
        <v>363.052069849595</v>
      </c>
      <c r="E723" s="116">
        <v>368.47811980658599</v>
      </c>
      <c r="F723" s="116">
        <v>373.25</v>
      </c>
      <c r="G723">
        <v>4199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372.86828749906101</v>
      </c>
      <c r="C724" s="116">
        <v>357.083414896904</v>
      </c>
      <c r="D724" s="116">
        <v>351.312070851741</v>
      </c>
      <c r="E724" s="116">
        <v>367.98484253776797</v>
      </c>
      <c r="F724" s="116">
        <v>361.95</v>
      </c>
      <c r="G724">
        <v>2391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360.09240623669001</v>
      </c>
      <c r="C725" s="116">
        <v>348.25375178507301</v>
      </c>
      <c r="D725" s="116">
        <v>341.34787002163</v>
      </c>
      <c r="E725" s="116">
        <v>353.53181856141902</v>
      </c>
      <c r="F725" s="116">
        <v>353</v>
      </c>
      <c r="G725">
        <v>2660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352.19996993561199</v>
      </c>
      <c r="C726" s="116">
        <v>333.75140008184201</v>
      </c>
      <c r="D726" s="116">
        <v>332.46887918291702</v>
      </c>
      <c r="E726" s="116">
        <v>341.39719774851102</v>
      </c>
      <c r="F726" s="116">
        <v>338.3</v>
      </c>
      <c r="G726">
        <v>5541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340.36131548399499</v>
      </c>
      <c r="C727" s="116">
        <v>316.48669567323401</v>
      </c>
      <c r="D727" s="116">
        <v>312.73778843022097</v>
      </c>
      <c r="E727" s="116">
        <v>335.47787052270297</v>
      </c>
      <c r="F727" s="116">
        <v>320.8</v>
      </c>
      <c r="G727">
        <v>4114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325.56299741947299</v>
      </c>
      <c r="C728" s="116">
        <v>316.733334307642</v>
      </c>
      <c r="D728" s="116">
        <v>308.89022573344602</v>
      </c>
      <c r="E728" s="116">
        <v>325.56299741947299</v>
      </c>
      <c r="F728" s="116">
        <v>321.05</v>
      </c>
      <c r="G728">
        <v>2793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324.52711515495702</v>
      </c>
      <c r="C729" s="116">
        <v>321.61677926893401</v>
      </c>
      <c r="D729" s="116">
        <v>313.72434296785599</v>
      </c>
      <c r="E729" s="116">
        <v>314.31627569043701</v>
      </c>
      <c r="F729" s="116">
        <v>326</v>
      </c>
      <c r="G729">
        <v>662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325.56299741947299</v>
      </c>
      <c r="C730" s="116">
        <v>318.16383838721299</v>
      </c>
      <c r="D730" s="116">
        <v>315.69745204312602</v>
      </c>
      <c r="E730" s="116">
        <v>325.56299741947299</v>
      </c>
      <c r="F730" s="116">
        <v>322.5</v>
      </c>
      <c r="G730">
        <v>111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348.25375178507301</v>
      </c>
      <c r="C731" s="116">
        <v>343.91291181947997</v>
      </c>
      <c r="D731" s="116">
        <v>320.63022473130002</v>
      </c>
      <c r="E731" s="116">
        <v>344.110222727007</v>
      </c>
      <c r="F731" s="116">
        <v>348.6</v>
      </c>
      <c r="G731">
        <v>5092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353.581146288301</v>
      </c>
      <c r="C732" s="116">
        <v>341.742491836684</v>
      </c>
      <c r="D732" s="116">
        <v>335.92182006463798</v>
      </c>
      <c r="E732" s="116">
        <v>340.36131548399499</v>
      </c>
      <c r="F732" s="116">
        <v>346.4</v>
      </c>
      <c r="G732">
        <v>20263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353.186524473247</v>
      </c>
      <c r="C733" s="116">
        <v>344.15955045388898</v>
      </c>
      <c r="D733" s="116">
        <v>343.32097909689901</v>
      </c>
      <c r="E733" s="116">
        <v>345.29408817216898</v>
      </c>
      <c r="F733" s="116">
        <v>348.85</v>
      </c>
      <c r="G733">
        <v>2808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353.186524473247</v>
      </c>
      <c r="C734" s="116">
        <v>333.80072780872399</v>
      </c>
      <c r="D734" s="116">
        <v>328.52266103237798</v>
      </c>
      <c r="E734" s="116">
        <v>353.13719674636502</v>
      </c>
      <c r="F734" s="116">
        <v>338.35</v>
      </c>
      <c r="G734">
        <v>1556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343.12366818937198</v>
      </c>
      <c r="C735" s="116">
        <v>326.25358559581798</v>
      </c>
      <c r="D735" s="116">
        <v>322.60333380656903</v>
      </c>
      <c r="E735" s="116">
        <v>342.82770182808201</v>
      </c>
      <c r="F735" s="116">
        <v>330.7</v>
      </c>
      <c r="G735">
        <v>4970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334.44198825818597</v>
      </c>
      <c r="C736" s="116">
        <v>318.65711565602999</v>
      </c>
      <c r="D736" s="116">
        <v>316.68400658076001</v>
      </c>
      <c r="E736" s="116">
        <v>323.09661107538602</v>
      </c>
      <c r="F736" s="116">
        <v>323</v>
      </c>
      <c r="G736">
        <v>2863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328.52266103237798</v>
      </c>
      <c r="C737" s="116">
        <v>318.26249384097599</v>
      </c>
      <c r="D737" s="116">
        <v>315.69745204312602</v>
      </c>
      <c r="E737" s="116">
        <v>315.69745204312602</v>
      </c>
      <c r="F737" s="116">
        <v>322.60000000000002</v>
      </c>
      <c r="G737">
        <v>2710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323.29392198291299</v>
      </c>
      <c r="C738" s="116">
        <v>317.867872025922</v>
      </c>
      <c r="D738" s="116">
        <v>307.805015742048</v>
      </c>
      <c r="E738" s="116">
        <v>307.85434346892902</v>
      </c>
      <c r="F738" s="116">
        <v>322.2</v>
      </c>
      <c r="G738">
        <v>3024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324.08316561302098</v>
      </c>
      <c r="C739" s="116">
        <v>322.20871199151497</v>
      </c>
      <c r="D739" s="116">
        <v>315.69745204312602</v>
      </c>
      <c r="E739" s="116">
        <v>317.867872025922</v>
      </c>
      <c r="F739" s="116">
        <v>326.60000000000002</v>
      </c>
      <c r="G739">
        <v>2610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328.52266103237798</v>
      </c>
      <c r="C740" s="116">
        <v>321.71543472269798</v>
      </c>
      <c r="D740" s="116">
        <v>318.65711565602999</v>
      </c>
      <c r="E740" s="116">
        <v>321.912745630225</v>
      </c>
      <c r="F740" s="116">
        <v>326.10000000000002</v>
      </c>
      <c r="G740">
        <v>2192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328.52266103237798</v>
      </c>
      <c r="C741" s="116">
        <v>323.441905163559</v>
      </c>
      <c r="D741" s="116">
        <v>320.63022473130002</v>
      </c>
      <c r="E741" s="116">
        <v>325.56299741947299</v>
      </c>
      <c r="F741" s="116">
        <v>327.85</v>
      </c>
      <c r="G741">
        <v>2113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337.40165187109102</v>
      </c>
      <c r="C742" s="116">
        <v>328.81862739366801</v>
      </c>
      <c r="D742" s="116">
        <v>322.11005653775197</v>
      </c>
      <c r="E742" s="116">
        <v>332.41955145603498</v>
      </c>
      <c r="F742" s="116">
        <v>333.3</v>
      </c>
      <c r="G742">
        <v>7112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367.93551481088701</v>
      </c>
      <c r="C743" s="116">
        <v>350.52282722163301</v>
      </c>
      <c r="D743" s="116">
        <v>334.44198825818597</v>
      </c>
      <c r="E743" s="116">
        <v>337.89492913990802</v>
      </c>
      <c r="F743" s="116">
        <v>355.3</v>
      </c>
      <c r="G743">
        <v>11455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365.02517892486401</v>
      </c>
      <c r="C744" s="116">
        <v>356.19551581303301</v>
      </c>
      <c r="D744" s="116">
        <v>350.22686086034298</v>
      </c>
      <c r="E744" s="116">
        <v>350.22686086034298</v>
      </c>
      <c r="F744" s="116">
        <v>361.05</v>
      </c>
      <c r="G744">
        <v>8259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372.621648864652</v>
      </c>
      <c r="C745" s="116">
        <v>366.30769982378899</v>
      </c>
      <c r="D745" s="116">
        <v>352.84123038507499</v>
      </c>
      <c r="E745" s="116">
        <v>353.186524473247</v>
      </c>
      <c r="F745" s="116">
        <v>371.3</v>
      </c>
      <c r="G745">
        <v>5701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372.720304318415</v>
      </c>
      <c r="C746" s="116">
        <v>352.051986754967</v>
      </c>
      <c r="D746" s="116">
        <v>348.50039041948202</v>
      </c>
      <c r="E746" s="116">
        <v>371.881732961426</v>
      </c>
      <c r="F746" s="116">
        <v>356.85</v>
      </c>
      <c r="G746">
        <v>3520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358.80988533776502</v>
      </c>
      <c r="C747" s="116">
        <v>355.65291081733398</v>
      </c>
      <c r="D747" s="116">
        <v>350.72013812915998</v>
      </c>
      <c r="E747" s="116">
        <v>351.26274312485901</v>
      </c>
      <c r="F747" s="116">
        <v>360.5</v>
      </c>
      <c r="G747">
        <v>4197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358.119297161421</v>
      </c>
      <c r="C748" s="116">
        <v>355.80089399797902</v>
      </c>
      <c r="D748" s="116">
        <v>353.186524473247</v>
      </c>
      <c r="E748" s="116">
        <v>355.30761672916202</v>
      </c>
      <c r="F748" s="116">
        <v>360.65</v>
      </c>
      <c r="G748">
        <v>2497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361.07896077432503</v>
      </c>
      <c r="C749" s="116">
        <v>357.28072580443097</v>
      </c>
      <c r="D749" s="116">
        <v>355.15963354851601</v>
      </c>
      <c r="E749" s="116">
        <v>356.14618808615103</v>
      </c>
      <c r="F749" s="116">
        <v>362.15</v>
      </c>
      <c r="G749">
        <v>2116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414.25425035283899</v>
      </c>
      <c r="C750" s="116">
        <v>382.585849694763</v>
      </c>
      <c r="D750" s="116">
        <v>360.09240623669001</v>
      </c>
      <c r="E750" s="116">
        <v>360.09240623669001</v>
      </c>
      <c r="F750" s="116">
        <v>387.8</v>
      </c>
      <c r="G750">
        <v>31791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393.43794960874499</v>
      </c>
      <c r="C751" s="116">
        <v>375.77862338508299</v>
      </c>
      <c r="D751" s="116">
        <v>372.02971614207098</v>
      </c>
      <c r="E751" s="116">
        <v>383.37509332487099</v>
      </c>
      <c r="F751" s="116">
        <v>380.9</v>
      </c>
      <c r="G751">
        <v>4312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393.63526051627201</v>
      </c>
      <c r="C752" s="116">
        <v>380.76072380013898</v>
      </c>
      <c r="D752" s="116">
        <v>378.83694245175099</v>
      </c>
      <c r="E752" s="116">
        <v>380.02080789691303</v>
      </c>
      <c r="F752" s="116">
        <v>385.95</v>
      </c>
      <c r="G752">
        <v>2578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381.99391697218198</v>
      </c>
      <c r="C753" s="116">
        <v>371.881732961426</v>
      </c>
      <c r="D753" s="116">
        <v>371.14181705819999</v>
      </c>
      <c r="E753" s="116">
        <v>381.99391697218198</v>
      </c>
      <c r="F753" s="116">
        <v>376.95</v>
      </c>
      <c r="G753">
        <v>1924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384.75626967755898</v>
      </c>
      <c r="C754" s="116">
        <v>371.881732961426</v>
      </c>
      <c r="D754" s="116">
        <v>370.94450615067302</v>
      </c>
      <c r="E754" s="116">
        <v>376.86383337648101</v>
      </c>
      <c r="F754" s="116">
        <v>376.95</v>
      </c>
      <c r="G754">
        <v>1563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379.77416926250402</v>
      </c>
      <c r="C755" s="116">
        <v>361.12828850120701</v>
      </c>
      <c r="D755" s="116">
        <v>356.14618808615103</v>
      </c>
      <c r="E755" s="116">
        <v>371.09248933131801</v>
      </c>
      <c r="F755" s="116">
        <v>366.05</v>
      </c>
      <c r="G755">
        <v>4281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366.99828800013398</v>
      </c>
      <c r="C756" s="116">
        <v>350.22686086034298</v>
      </c>
      <c r="D756" s="116">
        <v>347.56316360872898</v>
      </c>
      <c r="E756" s="116">
        <v>360.14173396357199</v>
      </c>
      <c r="F756" s="116">
        <v>355</v>
      </c>
      <c r="G756">
        <v>3541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366.89963254637001</v>
      </c>
      <c r="C757" s="116">
        <v>358.41526352271097</v>
      </c>
      <c r="D757" s="116">
        <v>348.25375178507301</v>
      </c>
      <c r="E757" s="116">
        <v>355.15963354851601</v>
      </c>
      <c r="F757" s="116">
        <v>363.3</v>
      </c>
      <c r="G757">
        <v>4443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356.14618808615103</v>
      </c>
      <c r="C758" s="116">
        <v>348.35240723883697</v>
      </c>
      <c r="D758" s="116">
        <v>347.26719724743799</v>
      </c>
      <c r="E758" s="116">
        <v>353.92644037647301</v>
      </c>
      <c r="F758" s="116">
        <v>353.1</v>
      </c>
      <c r="G758">
        <v>2543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350.22686086034298</v>
      </c>
      <c r="C759" s="116">
        <v>348.35240723883697</v>
      </c>
      <c r="D759" s="116">
        <v>336.513752787219</v>
      </c>
      <c r="E759" s="116">
        <v>347.56316360872898</v>
      </c>
      <c r="F759" s="116">
        <v>353.1</v>
      </c>
      <c r="G759">
        <v>1097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359.00719624529199</v>
      </c>
      <c r="C760" s="116">
        <v>341.841147290447</v>
      </c>
      <c r="D760" s="116">
        <v>335.52719824958501</v>
      </c>
      <c r="E760" s="116">
        <v>350.22686086034298</v>
      </c>
      <c r="F760" s="116">
        <v>346.5</v>
      </c>
      <c r="G760">
        <v>8995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345.19543271840502</v>
      </c>
      <c r="C761" s="116">
        <v>329.45988784313101</v>
      </c>
      <c r="D761" s="116">
        <v>315.69745204312602</v>
      </c>
      <c r="E761" s="116">
        <v>338.38820640872501</v>
      </c>
      <c r="F761" s="116">
        <v>333.95</v>
      </c>
      <c r="G761">
        <v>9342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340.26266003023102</v>
      </c>
      <c r="C762" s="116">
        <v>336.71106369474597</v>
      </c>
      <c r="D762" s="116">
        <v>332.46887918291702</v>
      </c>
      <c r="E762" s="116">
        <v>337.89492913990802</v>
      </c>
      <c r="F762" s="116">
        <v>341.3</v>
      </c>
      <c r="G762">
        <v>2453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339.37476094636003</v>
      </c>
      <c r="C763" s="116">
        <v>329.01593830119498</v>
      </c>
      <c r="D763" s="116">
        <v>325.61232514635498</v>
      </c>
      <c r="E763" s="116">
        <v>339.37476094636003</v>
      </c>
      <c r="F763" s="116">
        <v>333.5</v>
      </c>
      <c r="G763">
        <v>1960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331.48232464528201</v>
      </c>
      <c r="C764" s="116">
        <v>327.04282922592603</v>
      </c>
      <c r="D764" s="116">
        <v>322.80064471409599</v>
      </c>
      <c r="E764" s="116">
        <v>325.56299741947299</v>
      </c>
      <c r="F764" s="116">
        <v>331.5</v>
      </c>
      <c r="G764">
        <v>1286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327.48677876786098</v>
      </c>
      <c r="C765" s="116">
        <v>321.56745154205299</v>
      </c>
      <c r="D765" s="116">
        <v>320.67955245818098</v>
      </c>
      <c r="E765" s="116">
        <v>325.56299741947299</v>
      </c>
      <c r="F765" s="116">
        <v>325.95</v>
      </c>
      <c r="G765">
        <v>348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330.49577010764699</v>
      </c>
      <c r="C766" s="116">
        <v>323.047283348505</v>
      </c>
      <c r="D766" s="116">
        <v>321.61677926893401</v>
      </c>
      <c r="E766" s="116">
        <v>325.56299741947299</v>
      </c>
      <c r="F766" s="116">
        <v>327.45</v>
      </c>
      <c r="G766">
        <v>2256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320.63022473130002</v>
      </c>
      <c r="C767" s="116">
        <v>319.19972065172902</v>
      </c>
      <c r="D767" s="116">
        <v>316.38804021946999</v>
      </c>
      <c r="E767" s="116">
        <v>316.733334307642</v>
      </c>
      <c r="F767" s="116">
        <v>323.55</v>
      </c>
      <c r="G767">
        <v>1774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323.58988834420398</v>
      </c>
      <c r="C768" s="116">
        <v>310.271402086134</v>
      </c>
      <c r="D768" s="116">
        <v>307.805015742048</v>
      </c>
      <c r="E768" s="116">
        <v>318.65711565602999</v>
      </c>
      <c r="F768" s="116">
        <v>314.5</v>
      </c>
      <c r="G768">
        <v>3341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334.34333280442303</v>
      </c>
      <c r="C769" s="116">
        <v>318.65711565602999</v>
      </c>
      <c r="D769" s="116">
        <v>314.02030932914698</v>
      </c>
      <c r="E769" s="116">
        <v>314.21762023667401</v>
      </c>
      <c r="F769" s="116">
        <v>323</v>
      </c>
      <c r="G769">
        <v>1843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310.76467935495202</v>
      </c>
      <c r="C770" s="116">
        <v>299.27131899150697</v>
      </c>
      <c r="D770" s="116">
        <v>297.9394703657</v>
      </c>
      <c r="E770" s="116">
        <v>310.76467935495202</v>
      </c>
      <c r="F770" s="116">
        <v>303.35000000000002</v>
      </c>
      <c r="G770">
        <v>5149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304.79602440226199</v>
      </c>
      <c r="C771" s="116">
        <v>300.94846170548601</v>
      </c>
      <c r="D771" s="116">
        <v>293.00669767752601</v>
      </c>
      <c r="E771" s="116">
        <v>293.00669767752601</v>
      </c>
      <c r="F771" s="116">
        <v>305.05</v>
      </c>
      <c r="G771">
        <v>1869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295.96636129042997</v>
      </c>
      <c r="C772" s="116">
        <v>290.58963906032102</v>
      </c>
      <c r="D772" s="116">
        <v>286.100815914083</v>
      </c>
      <c r="E772" s="116">
        <v>286.100815914083</v>
      </c>
      <c r="F772" s="116">
        <v>294.55</v>
      </c>
      <c r="G772">
        <v>3876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310.76467935495202</v>
      </c>
      <c r="C773" s="116">
        <v>307.01577211194001</v>
      </c>
      <c r="D773" s="116">
        <v>296.01568901731201</v>
      </c>
      <c r="E773" s="116">
        <v>305.83190666677802</v>
      </c>
      <c r="F773" s="116">
        <v>311.2</v>
      </c>
      <c r="G773">
        <v>914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349.141650868944</v>
      </c>
      <c r="C774" s="116">
        <v>324.08316561302098</v>
      </c>
      <c r="D774" s="116">
        <v>310.76467935495202</v>
      </c>
      <c r="E774" s="116">
        <v>310.76467935495202</v>
      </c>
      <c r="F774" s="116">
        <v>328.5</v>
      </c>
      <c r="G774">
        <v>7037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325.56299741947299</v>
      </c>
      <c r="C775" s="116">
        <v>317.22661157646002</v>
      </c>
      <c r="D775" s="116">
        <v>313.72434296785599</v>
      </c>
      <c r="E775" s="116">
        <v>315.69745204312602</v>
      </c>
      <c r="F775" s="116">
        <v>321.55</v>
      </c>
      <c r="G775">
        <v>2430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380.66206834637501</v>
      </c>
      <c r="C776" s="116">
        <v>374.79206884744798</v>
      </c>
      <c r="D776" s="116">
        <v>321.51812381517101</v>
      </c>
      <c r="E776" s="116">
        <v>321.66610699581599</v>
      </c>
      <c r="F776" s="116">
        <v>379.9</v>
      </c>
      <c r="G776">
        <v>51368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390.57694144960499</v>
      </c>
      <c r="C777" s="116">
        <v>341.69316410980201</v>
      </c>
      <c r="D777" s="116">
        <v>340.41064321087703</v>
      </c>
      <c r="E777" s="116">
        <v>390.57694144960499</v>
      </c>
      <c r="F777" s="116">
        <v>346.35</v>
      </c>
      <c r="G777">
        <v>13497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355.15963354851601</v>
      </c>
      <c r="C778" s="116">
        <v>339.22677776571498</v>
      </c>
      <c r="D778" s="116">
        <v>337.45097959797198</v>
      </c>
      <c r="E778" s="116">
        <v>345.63938226034099</v>
      </c>
      <c r="F778" s="116">
        <v>343.85</v>
      </c>
      <c r="G778">
        <v>18983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354.17307901088202</v>
      </c>
      <c r="C779" s="116">
        <v>314.76022523237299</v>
      </c>
      <c r="D779" s="116">
        <v>309.77812481731701</v>
      </c>
      <c r="E779" s="116">
        <v>354.17307901088202</v>
      </c>
      <c r="F779" s="116">
        <v>319.05</v>
      </c>
      <c r="G779">
        <v>7113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323.49123289044002</v>
      </c>
      <c r="C780" s="116">
        <v>310.074091178608</v>
      </c>
      <c r="D780" s="116">
        <v>303.85879759150902</v>
      </c>
      <c r="E780" s="116">
        <v>314.76022523237299</v>
      </c>
      <c r="F780" s="116">
        <v>314.3</v>
      </c>
      <c r="G780">
        <v>6105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322.60333380656903</v>
      </c>
      <c r="C781" s="116">
        <v>309.82745254419899</v>
      </c>
      <c r="D781" s="116">
        <v>306.07854530118698</v>
      </c>
      <c r="E781" s="116">
        <v>322.60333380656903</v>
      </c>
      <c r="F781" s="116">
        <v>314.05</v>
      </c>
      <c r="G781">
        <v>2067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307.06509983882103</v>
      </c>
      <c r="C782" s="116">
        <v>306.374511662477</v>
      </c>
      <c r="D782" s="116">
        <v>306.07854530118698</v>
      </c>
      <c r="E782" s="116">
        <v>307.01577211194001</v>
      </c>
      <c r="F782" s="116">
        <v>310.55</v>
      </c>
      <c r="G782">
        <v>861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310.76467935495202</v>
      </c>
      <c r="C783" s="116">
        <v>310.76467935495202</v>
      </c>
      <c r="D783" s="116">
        <v>310.76467935495202</v>
      </c>
      <c r="E783" s="116">
        <v>310.76467935495202</v>
      </c>
      <c r="F783" s="116">
        <v>315</v>
      </c>
      <c r="G783">
        <v>230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314.66156977860902</v>
      </c>
      <c r="C784" s="116">
        <v>309.531486182908</v>
      </c>
      <c r="D784" s="116">
        <v>307.903671195811</v>
      </c>
      <c r="E784" s="116">
        <v>309.97543572484398</v>
      </c>
      <c r="F784" s="116">
        <v>313.75</v>
      </c>
      <c r="G784">
        <v>1667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315.40148568183503</v>
      </c>
      <c r="C785" s="116">
        <v>311.307284350651</v>
      </c>
      <c r="D785" s="116">
        <v>300.89913397860403</v>
      </c>
      <c r="E785" s="116">
        <v>308.89022573344602</v>
      </c>
      <c r="F785" s="116">
        <v>315.55</v>
      </c>
      <c r="G785">
        <v>2735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313.62568751409299</v>
      </c>
      <c r="C786" s="116">
        <v>310.86333480871502</v>
      </c>
      <c r="D786" s="116">
        <v>310.76467935495202</v>
      </c>
      <c r="E786" s="116">
        <v>312.73778843022097</v>
      </c>
      <c r="F786" s="116">
        <v>315.10000000000002</v>
      </c>
      <c r="G786">
        <v>551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313.47770433344698</v>
      </c>
      <c r="C787" s="116">
        <v>310.41938526678001</v>
      </c>
      <c r="D787" s="116">
        <v>308.298293010865</v>
      </c>
      <c r="E787" s="116">
        <v>310.76467935495202</v>
      </c>
      <c r="F787" s="116">
        <v>314.64999999999998</v>
      </c>
      <c r="G787">
        <v>938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312.73778843022097</v>
      </c>
      <c r="C788" s="116">
        <v>312.04720025387701</v>
      </c>
      <c r="D788" s="116">
        <v>307.805015742048</v>
      </c>
      <c r="E788" s="116">
        <v>308.79157027968199</v>
      </c>
      <c r="F788" s="116">
        <v>316.3</v>
      </c>
      <c r="G788">
        <v>458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317.769216572159</v>
      </c>
      <c r="C789" s="116">
        <v>306.81846120441298</v>
      </c>
      <c r="D789" s="116">
        <v>305.83190666677802</v>
      </c>
      <c r="E789" s="116">
        <v>306.91711665817598</v>
      </c>
      <c r="F789" s="116">
        <v>311</v>
      </c>
      <c r="G789">
        <v>2179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307.85434346892902</v>
      </c>
      <c r="C790" s="116">
        <v>306.81846120441298</v>
      </c>
      <c r="D790" s="116">
        <v>306.81846120441298</v>
      </c>
      <c r="E790" s="116">
        <v>307.805015742048</v>
      </c>
      <c r="F790" s="116">
        <v>311</v>
      </c>
      <c r="G790">
        <v>8409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309.28484754850001</v>
      </c>
      <c r="C791" s="116">
        <v>300.89913397860403</v>
      </c>
      <c r="D791" s="116">
        <v>299.91257944096901</v>
      </c>
      <c r="E791" s="116">
        <v>309.28484754850001</v>
      </c>
      <c r="F791" s="116">
        <v>305</v>
      </c>
      <c r="G791">
        <v>1547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300.89913397860403</v>
      </c>
      <c r="C792" s="116">
        <v>296.41031083236601</v>
      </c>
      <c r="D792" s="116">
        <v>287.08737045171699</v>
      </c>
      <c r="E792" s="116">
        <v>299.91257944096901</v>
      </c>
      <c r="F792" s="116">
        <v>300.45</v>
      </c>
      <c r="G792">
        <v>4801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314.710897505491</v>
      </c>
      <c r="C793" s="116">
        <v>294.58518493774199</v>
      </c>
      <c r="D793" s="116">
        <v>290.44165587967598</v>
      </c>
      <c r="E793" s="116">
        <v>290.44165587967598</v>
      </c>
      <c r="F793" s="116">
        <v>298.60000000000002</v>
      </c>
      <c r="G793">
        <v>1384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295.96636129042997</v>
      </c>
      <c r="C794" s="116">
        <v>294.634512664623</v>
      </c>
      <c r="D794" s="116">
        <v>291.03358860225597</v>
      </c>
      <c r="E794" s="116">
        <v>294.58518493774199</v>
      </c>
      <c r="F794" s="116">
        <v>298.64999999999998</v>
      </c>
      <c r="G794">
        <v>12725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299.91257944096901</v>
      </c>
      <c r="C795" s="116">
        <v>299.22199126462499</v>
      </c>
      <c r="D795" s="116">
        <v>291.03358860225597</v>
      </c>
      <c r="E795" s="116">
        <v>291.08291632913802</v>
      </c>
      <c r="F795" s="116">
        <v>303.3</v>
      </c>
      <c r="G795">
        <v>3595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300.89913397860403</v>
      </c>
      <c r="C796" s="116">
        <v>295.96636129042997</v>
      </c>
      <c r="D796" s="116">
        <v>293.99325221516102</v>
      </c>
      <c r="E796" s="116">
        <v>297.00224355494697</v>
      </c>
      <c r="F796" s="116">
        <v>300</v>
      </c>
      <c r="G796">
        <v>1722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299.91257944096901</v>
      </c>
      <c r="C797" s="116">
        <v>293.94392448827898</v>
      </c>
      <c r="D797" s="116">
        <v>281.168043225909</v>
      </c>
      <c r="E797" s="116">
        <v>299.91257944096901</v>
      </c>
      <c r="F797" s="116">
        <v>297.95</v>
      </c>
      <c r="G797">
        <v>3016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297.15022673559201</v>
      </c>
      <c r="C798" s="116">
        <v>293.84526903451598</v>
      </c>
      <c r="D798" s="116">
        <v>292.11879859365501</v>
      </c>
      <c r="E798" s="116">
        <v>294.97980675279598</v>
      </c>
      <c r="F798" s="116">
        <v>297.85000000000002</v>
      </c>
      <c r="G798">
        <v>25656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298.92602490333502</v>
      </c>
      <c r="C799" s="116">
        <v>295.81837810978499</v>
      </c>
      <c r="D799" s="116">
        <v>288.12325271623399</v>
      </c>
      <c r="E799" s="116">
        <v>298.92602490333502</v>
      </c>
      <c r="F799" s="116">
        <v>299.85000000000002</v>
      </c>
      <c r="G799">
        <v>18137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293.99325221516102</v>
      </c>
      <c r="C800" s="116">
        <v>288.41921907752402</v>
      </c>
      <c r="D800" s="116">
        <v>288.07392498935201</v>
      </c>
      <c r="E800" s="116">
        <v>293.99325221516102</v>
      </c>
      <c r="F800" s="116">
        <v>292.35000000000002</v>
      </c>
      <c r="G800">
        <v>768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291.03358860225597</v>
      </c>
      <c r="C801" s="116">
        <v>282.35190867107099</v>
      </c>
      <c r="D801" s="116">
        <v>281.168043225909</v>
      </c>
      <c r="E801" s="116">
        <v>291.03358860225597</v>
      </c>
      <c r="F801" s="116">
        <v>286.2</v>
      </c>
      <c r="G801">
        <v>2238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288.07392498935201</v>
      </c>
      <c r="C802" s="116">
        <v>273.57157328612101</v>
      </c>
      <c r="D802" s="116">
        <v>270.31594331192599</v>
      </c>
      <c r="E802" s="116">
        <v>282.15459776354402</v>
      </c>
      <c r="F802" s="116">
        <v>277.3</v>
      </c>
      <c r="G802">
        <v>5267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276.235270537735</v>
      </c>
      <c r="C803" s="116">
        <v>271.697119664615</v>
      </c>
      <c r="D803" s="116">
        <v>260.64770884310599</v>
      </c>
      <c r="E803" s="116">
        <v>271.30249784956101</v>
      </c>
      <c r="F803" s="116">
        <v>275.39999999999998</v>
      </c>
      <c r="G803">
        <v>4981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278.20837961300498</v>
      </c>
      <c r="C804" s="116">
        <v>272.78232965601302</v>
      </c>
      <c r="D804" s="116">
        <v>268.34283423665698</v>
      </c>
      <c r="E804" s="116">
        <v>269.329388774292</v>
      </c>
      <c r="F804" s="116">
        <v>276.5</v>
      </c>
      <c r="G804">
        <v>15302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289.25779043451399</v>
      </c>
      <c r="C805" s="116">
        <v>278.20837961300498</v>
      </c>
      <c r="D805" s="116">
        <v>271.30249784956101</v>
      </c>
      <c r="E805" s="116">
        <v>276.33392599149897</v>
      </c>
      <c r="F805" s="116">
        <v>282</v>
      </c>
      <c r="G805">
        <v>3759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280.62543823021002</v>
      </c>
      <c r="C806" s="116">
        <v>279.68821141945699</v>
      </c>
      <c r="D806" s="116">
        <v>271.30249784956101</v>
      </c>
      <c r="E806" s="116">
        <v>273.27560692483098</v>
      </c>
      <c r="F806" s="116">
        <v>283.5</v>
      </c>
      <c r="G806">
        <v>1864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290.98426087537501</v>
      </c>
      <c r="C807" s="116">
        <v>278.94829551623098</v>
      </c>
      <c r="D807" s="116">
        <v>265.38317062375302</v>
      </c>
      <c r="E807" s="116">
        <v>290.98426087537501</v>
      </c>
      <c r="F807" s="116">
        <v>282.75</v>
      </c>
      <c r="G807">
        <v>5018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281.168043225909</v>
      </c>
      <c r="C808" s="116">
        <v>279.24426187752101</v>
      </c>
      <c r="D808" s="116">
        <v>272.28905238719602</v>
      </c>
      <c r="E808" s="116">
        <v>274.80476645816498</v>
      </c>
      <c r="F808" s="116">
        <v>283.05</v>
      </c>
      <c r="G808">
        <v>3726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292.95736995064402</v>
      </c>
      <c r="C809" s="116">
        <v>281.71064822160798</v>
      </c>
      <c r="D809" s="116">
        <v>280.18148868827399</v>
      </c>
      <c r="E809" s="116">
        <v>280.18148868827399</v>
      </c>
      <c r="F809" s="116">
        <v>285.55</v>
      </c>
      <c r="G809">
        <v>2319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302.62560441946499</v>
      </c>
      <c r="C810" s="116">
        <v>292.31610950118198</v>
      </c>
      <c r="D810" s="116">
        <v>281.21737095279099</v>
      </c>
      <c r="E810" s="116">
        <v>281.21737095279099</v>
      </c>
      <c r="F810" s="116">
        <v>296.3</v>
      </c>
      <c r="G810">
        <v>6395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310.666023901188</v>
      </c>
      <c r="C811" s="116">
        <v>297.05157128182901</v>
      </c>
      <c r="D811" s="116">
        <v>291.08291632913802</v>
      </c>
      <c r="E811" s="116">
        <v>291.18157178290198</v>
      </c>
      <c r="F811" s="116">
        <v>301.10000000000002</v>
      </c>
      <c r="G811">
        <v>8547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310.76467935495202</v>
      </c>
      <c r="C812" s="116">
        <v>293.894596761397</v>
      </c>
      <c r="D812" s="116">
        <v>292.02014313989099</v>
      </c>
      <c r="E812" s="116">
        <v>300.89913397860403</v>
      </c>
      <c r="F812" s="116">
        <v>297.89999999999998</v>
      </c>
      <c r="G812">
        <v>11479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300.40585670978697</v>
      </c>
      <c r="C813" s="116">
        <v>295.029134479677</v>
      </c>
      <c r="D813" s="116">
        <v>289.06047952698702</v>
      </c>
      <c r="E813" s="116">
        <v>292.11879859365501</v>
      </c>
      <c r="F813" s="116">
        <v>299.05</v>
      </c>
      <c r="G813">
        <v>2579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295.96636129042997</v>
      </c>
      <c r="C814" s="116">
        <v>287.18602590548102</v>
      </c>
      <c r="D814" s="116">
        <v>287.08737045171699</v>
      </c>
      <c r="E814" s="116">
        <v>292.02014313989099</v>
      </c>
      <c r="F814" s="116">
        <v>291.10000000000002</v>
      </c>
      <c r="G814">
        <v>1626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292.02014313989099</v>
      </c>
      <c r="C815" s="116">
        <v>292.02014313989099</v>
      </c>
      <c r="D815" s="116">
        <v>288.66585771193297</v>
      </c>
      <c r="E815" s="116">
        <v>288.66585771193297</v>
      </c>
      <c r="F815" s="116">
        <v>296</v>
      </c>
      <c r="G815">
        <v>162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294.97980675279598</v>
      </c>
      <c r="C816" s="116">
        <v>285.80484955279201</v>
      </c>
      <c r="D816" s="116">
        <v>283.14115230117801</v>
      </c>
      <c r="E816" s="116">
        <v>291.03358860225597</v>
      </c>
      <c r="F816" s="116">
        <v>289.7</v>
      </c>
      <c r="G816">
        <v>1917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287.18602590548102</v>
      </c>
      <c r="C817" s="116">
        <v>284.27569001945801</v>
      </c>
      <c r="D817" s="116">
        <v>283.73308502375897</v>
      </c>
      <c r="E817" s="116">
        <v>287.18602590548102</v>
      </c>
      <c r="F817" s="116">
        <v>288.14999999999998</v>
      </c>
      <c r="G817">
        <v>270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294.930479025914</v>
      </c>
      <c r="C818" s="116">
        <v>285.01560592268402</v>
      </c>
      <c r="D818" s="116">
        <v>283.14115230117801</v>
      </c>
      <c r="E818" s="116">
        <v>294.930479025914</v>
      </c>
      <c r="F818" s="116">
        <v>288.89999999999998</v>
      </c>
      <c r="G818">
        <v>4832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317.67056111839503</v>
      </c>
      <c r="C819" s="116">
        <v>302.872243053874</v>
      </c>
      <c r="D819" s="116">
        <v>285.11426137644798</v>
      </c>
      <c r="E819" s="116">
        <v>285.11426137644798</v>
      </c>
      <c r="F819" s="116">
        <v>307</v>
      </c>
      <c r="G819">
        <v>44585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307.805015742048</v>
      </c>
      <c r="C820" s="116">
        <v>300.25787352914199</v>
      </c>
      <c r="D820" s="116">
        <v>297.199554462474</v>
      </c>
      <c r="E820" s="116">
        <v>307.805015742048</v>
      </c>
      <c r="F820" s="116">
        <v>304.35000000000002</v>
      </c>
      <c r="G820">
        <v>2205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300.89913397860403</v>
      </c>
      <c r="C821" s="116">
        <v>294.19056312268799</v>
      </c>
      <c r="D821" s="116">
        <v>292.06947086677297</v>
      </c>
      <c r="E821" s="116">
        <v>300.89913397860403</v>
      </c>
      <c r="F821" s="116">
        <v>298.2</v>
      </c>
      <c r="G821">
        <v>3629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300.603167617314</v>
      </c>
      <c r="C822" s="116">
        <v>289.504429068923</v>
      </c>
      <c r="D822" s="116">
        <v>289.30711816139598</v>
      </c>
      <c r="E822" s="116">
        <v>293.99325221516102</v>
      </c>
      <c r="F822" s="116">
        <v>293.45</v>
      </c>
      <c r="G822">
        <v>3636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299.91257944096901</v>
      </c>
      <c r="C823" s="116">
        <v>289.65241224956799</v>
      </c>
      <c r="D823" s="116">
        <v>289.06047952698702</v>
      </c>
      <c r="E823" s="116">
        <v>293.00669767752601</v>
      </c>
      <c r="F823" s="116">
        <v>293.60000000000002</v>
      </c>
      <c r="G823">
        <v>2842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293.00669767752601</v>
      </c>
      <c r="C824" s="116">
        <v>289.80039543021297</v>
      </c>
      <c r="D824" s="116">
        <v>288.17258044311598</v>
      </c>
      <c r="E824" s="116">
        <v>289.06047952698702</v>
      </c>
      <c r="F824" s="116">
        <v>293.75</v>
      </c>
      <c r="G824">
        <v>2965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293.84526903451598</v>
      </c>
      <c r="C825" s="116">
        <v>287.43266453989003</v>
      </c>
      <c r="D825" s="116">
        <v>283.14115230117801</v>
      </c>
      <c r="E825" s="116">
        <v>289.15913498075003</v>
      </c>
      <c r="F825" s="116">
        <v>291.35000000000002</v>
      </c>
      <c r="G825">
        <v>2222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292.908042223763</v>
      </c>
      <c r="C826" s="116">
        <v>288.27123589687898</v>
      </c>
      <c r="D826" s="116">
        <v>285.60753864526498</v>
      </c>
      <c r="E826" s="116">
        <v>288.07392498935201</v>
      </c>
      <c r="F826" s="116">
        <v>292.2</v>
      </c>
      <c r="G826">
        <v>465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294.88115129903201</v>
      </c>
      <c r="C827" s="116">
        <v>287.235353632363</v>
      </c>
      <c r="D827" s="116">
        <v>285.11426137644798</v>
      </c>
      <c r="E827" s="116">
        <v>291.03358860225597</v>
      </c>
      <c r="F827" s="116">
        <v>291.14999999999998</v>
      </c>
      <c r="G827">
        <v>1180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290.78694996784799</v>
      </c>
      <c r="C828" s="116">
        <v>274.50880009687398</v>
      </c>
      <c r="D828" s="116">
        <v>271.49980875708798</v>
      </c>
      <c r="E828" s="116">
        <v>281.41468186031801</v>
      </c>
      <c r="F828" s="116">
        <v>278.25</v>
      </c>
      <c r="G828">
        <v>4260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277.22182507537002</v>
      </c>
      <c r="C829" s="116">
        <v>273.966195101175</v>
      </c>
      <c r="D829" s="116">
        <v>266.36972516138701</v>
      </c>
      <c r="E829" s="116">
        <v>277.22182507537002</v>
      </c>
      <c r="F829" s="116">
        <v>277.7</v>
      </c>
      <c r="G829">
        <v>2588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273.71955646676599</v>
      </c>
      <c r="C830" s="116">
        <v>267.94821242160299</v>
      </c>
      <c r="D830" s="116">
        <v>265.38317062375302</v>
      </c>
      <c r="E830" s="116">
        <v>273.71955646676599</v>
      </c>
      <c r="F830" s="116">
        <v>271.60000000000002</v>
      </c>
      <c r="G830">
        <v>625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281.168043225909</v>
      </c>
      <c r="C831" s="116">
        <v>269.72401058934503</v>
      </c>
      <c r="D831" s="116">
        <v>262.52216246461199</v>
      </c>
      <c r="E831" s="116">
        <v>266.36972516138701</v>
      </c>
      <c r="F831" s="116">
        <v>273.39999999999998</v>
      </c>
      <c r="G831">
        <v>1226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276.18594281085302</v>
      </c>
      <c r="C832" s="116">
        <v>268.194851056012</v>
      </c>
      <c r="D832" s="116">
        <v>267.45493515278599</v>
      </c>
      <c r="E832" s="116">
        <v>271.30249784956101</v>
      </c>
      <c r="F832" s="116">
        <v>271.85000000000002</v>
      </c>
      <c r="G832">
        <v>1114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279.14560642375801</v>
      </c>
      <c r="C833" s="116">
        <v>273.867539647412</v>
      </c>
      <c r="D833" s="116">
        <v>265.38317062375302</v>
      </c>
      <c r="E833" s="116">
        <v>265.38317062375302</v>
      </c>
      <c r="F833" s="116">
        <v>277.60000000000002</v>
      </c>
      <c r="G833">
        <v>2654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284.86762274203898</v>
      </c>
      <c r="C834" s="116">
        <v>269.67468286246401</v>
      </c>
      <c r="D834" s="116">
        <v>266.665691522678</v>
      </c>
      <c r="E834" s="116">
        <v>271.30249784956101</v>
      </c>
      <c r="F834" s="116">
        <v>273.35000000000002</v>
      </c>
      <c r="G834">
        <v>6136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270.80922058074401</v>
      </c>
      <c r="C835" s="116">
        <v>266.71501924955999</v>
      </c>
      <c r="D835" s="116">
        <v>261.63426338073998</v>
      </c>
      <c r="E835" s="116">
        <v>267.35627969902202</v>
      </c>
      <c r="F835" s="116">
        <v>270.35000000000002</v>
      </c>
      <c r="G835">
        <v>1844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270.31594331192599</v>
      </c>
      <c r="C836" s="116">
        <v>266.46838061515098</v>
      </c>
      <c r="D836" s="116">
        <v>264.889893354935</v>
      </c>
      <c r="E836" s="116">
        <v>264.889893354935</v>
      </c>
      <c r="F836" s="116">
        <v>270.10000000000002</v>
      </c>
      <c r="G836">
        <v>794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275.19938827321801</v>
      </c>
      <c r="C837" s="116">
        <v>265.38317062375302</v>
      </c>
      <c r="D837" s="116">
        <v>263.41006154848299</v>
      </c>
      <c r="E837" s="116">
        <v>263.41006154848299</v>
      </c>
      <c r="F837" s="116">
        <v>269</v>
      </c>
      <c r="G837">
        <v>1383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268.34283423665698</v>
      </c>
      <c r="C838" s="116">
        <v>265.48182607751602</v>
      </c>
      <c r="D838" s="116">
        <v>261.43695247321301</v>
      </c>
      <c r="E838" s="116">
        <v>261.97955746891301</v>
      </c>
      <c r="F838" s="116">
        <v>269.10000000000002</v>
      </c>
      <c r="G838">
        <v>23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272.28905238719602</v>
      </c>
      <c r="C839" s="116">
        <v>268.09619560224797</v>
      </c>
      <c r="D839" s="116">
        <v>262.42350701084803</v>
      </c>
      <c r="E839" s="116">
        <v>272.23972466031398</v>
      </c>
      <c r="F839" s="116">
        <v>271.75</v>
      </c>
      <c r="G839">
        <v>987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271.25317012267902</v>
      </c>
      <c r="C840" s="116">
        <v>266.71501924955999</v>
      </c>
      <c r="D840" s="116">
        <v>262.42350701084803</v>
      </c>
      <c r="E840" s="116">
        <v>264.396616086118</v>
      </c>
      <c r="F840" s="116">
        <v>270.35000000000002</v>
      </c>
      <c r="G840">
        <v>2235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274.06485055493903</v>
      </c>
      <c r="C841" s="116">
        <v>266.36972516138701</v>
      </c>
      <c r="D841" s="116">
        <v>259.51317112482599</v>
      </c>
      <c r="E841" s="116">
        <v>274.06485055493903</v>
      </c>
      <c r="F841" s="116">
        <v>270</v>
      </c>
      <c r="G841">
        <v>2037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268.34283423665698</v>
      </c>
      <c r="C842" s="116">
        <v>266.36972516138701</v>
      </c>
      <c r="D842" s="116">
        <v>265.38317062375302</v>
      </c>
      <c r="E842" s="116">
        <v>268.34283423665698</v>
      </c>
      <c r="F842" s="116">
        <v>270</v>
      </c>
      <c r="G842">
        <v>612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274.26216146246497</v>
      </c>
      <c r="C843" s="116">
        <v>264.396616086118</v>
      </c>
      <c r="D843" s="116">
        <v>263.41006154848299</v>
      </c>
      <c r="E843" s="116">
        <v>263.41006154848299</v>
      </c>
      <c r="F843" s="116">
        <v>268</v>
      </c>
      <c r="G843">
        <v>4592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269.329388774292</v>
      </c>
      <c r="C844" s="116">
        <v>267.800229240958</v>
      </c>
      <c r="D844" s="116">
        <v>262.67014564525698</v>
      </c>
      <c r="E844" s="116">
        <v>262.67014564525698</v>
      </c>
      <c r="F844" s="116">
        <v>271.45</v>
      </c>
      <c r="G844">
        <v>1866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281.168043225909</v>
      </c>
      <c r="C845" s="116">
        <v>274.70611100440101</v>
      </c>
      <c r="D845" s="116">
        <v>263.41006154848299</v>
      </c>
      <c r="E845" s="116">
        <v>267.35627969902202</v>
      </c>
      <c r="F845" s="116">
        <v>278.45</v>
      </c>
      <c r="G845">
        <v>3275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295.91703356354901</v>
      </c>
      <c r="C846" s="116">
        <v>289.10980725386901</v>
      </c>
      <c r="D846" s="116">
        <v>276.235270537735</v>
      </c>
      <c r="E846" s="116">
        <v>280.18148868827399</v>
      </c>
      <c r="F846" s="116">
        <v>293.05</v>
      </c>
      <c r="G846">
        <v>17072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305.83190666677802</v>
      </c>
      <c r="C847" s="116">
        <v>274.60745555063801</v>
      </c>
      <c r="D847" s="116">
        <v>273.27560692483098</v>
      </c>
      <c r="E847" s="116">
        <v>305.83190666677802</v>
      </c>
      <c r="F847" s="116">
        <v>278.35000000000002</v>
      </c>
      <c r="G847">
        <v>10061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281.168043225909</v>
      </c>
      <c r="C848" s="116">
        <v>271.54913648397002</v>
      </c>
      <c r="D848" s="116">
        <v>269.18140559364599</v>
      </c>
      <c r="E848" s="116">
        <v>276.235270537735</v>
      </c>
      <c r="F848" s="116">
        <v>275.25</v>
      </c>
      <c r="G848">
        <v>4530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278.997623243112</v>
      </c>
      <c r="C849" s="116">
        <v>266.96165788396797</v>
      </c>
      <c r="D849" s="116">
        <v>264.495271539881</v>
      </c>
      <c r="E849" s="116">
        <v>278.997623243112</v>
      </c>
      <c r="F849" s="116">
        <v>270.60000000000002</v>
      </c>
      <c r="G849">
        <v>3316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270.31594331192599</v>
      </c>
      <c r="C850" s="116">
        <v>262.81812882590202</v>
      </c>
      <c r="D850" s="116">
        <v>260.45039793557902</v>
      </c>
      <c r="E850" s="116">
        <v>264.44594381299999</v>
      </c>
      <c r="F850" s="116">
        <v>266.39999999999998</v>
      </c>
      <c r="G850">
        <v>2362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263.41006154848299</v>
      </c>
      <c r="C851" s="116">
        <v>254.13644889471601</v>
      </c>
      <c r="D851" s="116">
        <v>246.63863440869201</v>
      </c>
      <c r="E851" s="116">
        <v>257.49073432267397</v>
      </c>
      <c r="F851" s="116">
        <v>257.60000000000002</v>
      </c>
      <c r="G851">
        <v>4690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252.557961634501</v>
      </c>
      <c r="C852" s="116">
        <v>243.03771034632501</v>
      </c>
      <c r="D852" s="116">
        <v>234.79997995707501</v>
      </c>
      <c r="E852" s="116">
        <v>246.786617589337</v>
      </c>
      <c r="F852" s="116">
        <v>246.35</v>
      </c>
      <c r="G852">
        <v>12601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253.44586071837199</v>
      </c>
      <c r="C853" s="116">
        <v>251.76871800439301</v>
      </c>
      <c r="D853" s="116">
        <v>237.956954477506</v>
      </c>
      <c r="E853" s="116">
        <v>237.956954477506</v>
      </c>
      <c r="F853" s="116">
        <v>255.2</v>
      </c>
      <c r="G853">
        <v>1100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259.463843397944</v>
      </c>
      <c r="C854" s="116">
        <v>250.78216346675799</v>
      </c>
      <c r="D854" s="116">
        <v>248.71039893772499</v>
      </c>
      <c r="E854" s="116">
        <v>255.51762524740499</v>
      </c>
      <c r="F854" s="116">
        <v>254.2</v>
      </c>
      <c r="G854">
        <v>2364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254.432415256007</v>
      </c>
      <c r="C855" s="116">
        <v>251.62073482374799</v>
      </c>
      <c r="D855" s="116">
        <v>248.61174348396199</v>
      </c>
      <c r="E855" s="116">
        <v>248.61174348396199</v>
      </c>
      <c r="F855" s="116">
        <v>255.05</v>
      </c>
      <c r="G855">
        <v>809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265.33384289687098</v>
      </c>
      <c r="C856" s="116">
        <v>255.07367570546899</v>
      </c>
      <c r="D856" s="116">
        <v>252.853927995791</v>
      </c>
      <c r="E856" s="116">
        <v>265.33384289687098</v>
      </c>
      <c r="F856" s="116">
        <v>258.55</v>
      </c>
      <c r="G856">
        <v>2088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259.26653249041698</v>
      </c>
      <c r="C857" s="116">
        <v>253.74182707966199</v>
      </c>
      <c r="D857" s="116">
        <v>251.57140709686601</v>
      </c>
      <c r="E857" s="116">
        <v>255.07367570546899</v>
      </c>
      <c r="F857" s="116">
        <v>257.2</v>
      </c>
      <c r="G857">
        <v>2364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261.43695247321301</v>
      </c>
      <c r="C858" s="116">
        <v>257.63871750331998</v>
      </c>
      <c r="D858" s="116">
        <v>253.54451617213499</v>
      </c>
      <c r="E858" s="116">
        <v>253.54451617213499</v>
      </c>
      <c r="F858" s="116">
        <v>261.14999999999998</v>
      </c>
      <c r="G858">
        <v>4278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259.21720476353499</v>
      </c>
      <c r="C859" s="116">
        <v>256.50417978503998</v>
      </c>
      <c r="D859" s="116">
        <v>256.50417978503998</v>
      </c>
      <c r="E859" s="116">
        <v>258.47728886030899</v>
      </c>
      <c r="F859" s="116">
        <v>260</v>
      </c>
      <c r="G859">
        <v>917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260.45039793557902</v>
      </c>
      <c r="C860" s="116">
        <v>257.54006204955601</v>
      </c>
      <c r="D860" s="116">
        <v>247.625188946327</v>
      </c>
      <c r="E860" s="116">
        <v>253.54451617213499</v>
      </c>
      <c r="F860" s="116">
        <v>261.05</v>
      </c>
      <c r="G860">
        <v>855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264.396616086118</v>
      </c>
      <c r="C861" s="116">
        <v>262.86745655278401</v>
      </c>
      <c r="D861" s="116">
        <v>256.50417978503998</v>
      </c>
      <c r="E861" s="116">
        <v>259.463843397944</v>
      </c>
      <c r="F861" s="116">
        <v>266.45</v>
      </c>
      <c r="G861">
        <v>991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274.21283373558401</v>
      </c>
      <c r="C862" s="116">
        <v>260.45039793557902</v>
      </c>
      <c r="D862" s="116">
        <v>260.45039793557902</v>
      </c>
      <c r="E862" s="116">
        <v>270.31594331192599</v>
      </c>
      <c r="F862" s="116">
        <v>264</v>
      </c>
      <c r="G862">
        <v>2332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266.36972516138701</v>
      </c>
      <c r="C863" s="116">
        <v>261.73291883450401</v>
      </c>
      <c r="D863" s="116">
        <v>261.58493565385902</v>
      </c>
      <c r="E863" s="116">
        <v>264.44594381299999</v>
      </c>
      <c r="F863" s="116">
        <v>265.3</v>
      </c>
      <c r="G863">
        <v>763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264.396616086118</v>
      </c>
      <c r="C864" s="116">
        <v>264.396616086118</v>
      </c>
      <c r="D864" s="116">
        <v>261.68359110762202</v>
      </c>
      <c r="E864" s="116">
        <v>261.68359110762202</v>
      </c>
      <c r="F864" s="116">
        <v>268</v>
      </c>
      <c r="G864">
        <v>747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265.38317062375302</v>
      </c>
      <c r="C865" s="116">
        <v>261.486280200095</v>
      </c>
      <c r="D865" s="116">
        <v>259.66115430547097</v>
      </c>
      <c r="E865" s="116">
        <v>261.68359110762202</v>
      </c>
      <c r="F865" s="116">
        <v>265.05</v>
      </c>
      <c r="G865">
        <v>4181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269.18140559364599</v>
      </c>
      <c r="C866" s="116">
        <v>257.04678478073902</v>
      </c>
      <c r="D866" s="116">
        <v>254.629726163534</v>
      </c>
      <c r="E866" s="116">
        <v>269.18140559364599</v>
      </c>
      <c r="F866" s="116">
        <v>260.55</v>
      </c>
      <c r="G866">
        <v>1048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264.34728835923602</v>
      </c>
      <c r="C867" s="116">
        <v>256.99745705385698</v>
      </c>
      <c r="D867" s="116">
        <v>256.99745705385698</v>
      </c>
      <c r="E867" s="116">
        <v>259.463843397944</v>
      </c>
      <c r="F867" s="116">
        <v>260.5</v>
      </c>
      <c r="G867">
        <v>448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260.45039793557902</v>
      </c>
      <c r="C868" s="116">
        <v>250.93014664740301</v>
      </c>
      <c r="D868" s="116">
        <v>247.526533492563</v>
      </c>
      <c r="E868" s="116">
        <v>256.70149069256701</v>
      </c>
      <c r="F868" s="116">
        <v>254.35</v>
      </c>
      <c r="G868">
        <v>2841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251.57140709686601</v>
      </c>
      <c r="C869" s="116">
        <v>249.055693025897</v>
      </c>
      <c r="D869" s="116">
        <v>249.055693025897</v>
      </c>
      <c r="E869" s="116">
        <v>251.57140709686601</v>
      </c>
      <c r="F869" s="116">
        <v>252.45</v>
      </c>
      <c r="G869">
        <v>1696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275.39669918074497</v>
      </c>
      <c r="C870" s="116">
        <v>256.50417978503998</v>
      </c>
      <c r="D870" s="116">
        <v>242.692416258153</v>
      </c>
      <c r="E870" s="116">
        <v>275.39669918074497</v>
      </c>
      <c r="F870" s="116">
        <v>260</v>
      </c>
      <c r="G870">
        <v>14502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254.53107070977001</v>
      </c>
      <c r="C871" s="116">
        <v>250.584852559231</v>
      </c>
      <c r="D871" s="116">
        <v>242.791071711916</v>
      </c>
      <c r="E871" s="116">
        <v>251.57140709686601</v>
      </c>
      <c r="F871" s="116">
        <v>254</v>
      </c>
      <c r="G871">
        <v>1688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253.54451617213499</v>
      </c>
      <c r="C872" s="116">
        <v>253.495188445254</v>
      </c>
      <c r="D872" s="116">
        <v>248.71039893772499</v>
      </c>
      <c r="E872" s="116">
        <v>252.557961634501</v>
      </c>
      <c r="F872" s="116">
        <v>256.95</v>
      </c>
      <c r="G872">
        <v>466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260.25308702805199</v>
      </c>
      <c r="C873" s="116">
        <v>260.25308702805199</v>
      </c>
      <c r="D873" s="116">
        <v>253.54451617213499</v>
      </c>
      <c r="E873" s="116">
        <v>253.54451617213499</v>
      </c>
      <c r="F873" s="116">
        <v>263.8</v>
      </c>
      <c r="G873">
        <v>1090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261.38762474633199</v>
      </c>
      <c r="C874" s="116">
        <v>255.56695297428701</v>
      </c>
      <c r="D874" s="116">
        <v>252.60728936138199</v>
      </c>
      <c r="E874" s="116">
        <v>258.47728886030899</v>
      </c>
      <c r="F874" s="116">
        <v>259.05</v>
      </c>
      <c r="G874">
        <v>1095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259.463843397944</v>
      </c>
      <c r="C875" s="116">
        <v>251.818045731274</v>
      </c>
      <c r="D875" s="116">
        <v>249.59829802159601</v>
      </c>
      <c r="E875" s="116">
        <v>259.463843397944</v>
      </c>
      <c r="F875" s="116">
        <v>255.25</v>
      </c>
      <c r="G875">
        <v>9367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260.40107020869698</v>
      </c>
      <c r="C876" s="116">
        <v>252.853927995791</v>
      </c>
      <c r="D876" s="116">
        <v>251.818045731274</v>
      </c>
      <c r="E876" s="116">
        <v>253.05123890331799</v>
      </c>
      <c r="F876" s="116">
        <v>256.3</v>
      </c>
      <c r="G876">
        <v>257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261.28896929256803</v>
      </c>
      <c r="C877" s="116">
        <v>256.40552433127601</v>
      </c>
      <c r="D877" s="116">
        <v>248.71039893772499</v>
      </c>
      <c r="E877" s="116">
        <v>248.71039893772499</v>
      </c>
      <c r="F877" s="116">
        <v>259.89999999999998</v>
      </c>
      <c r="G877">
        <v>469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256.50417978503998</v>
      </c>
      <c r="C878" s="116">
        <v>255.56695297428701</v>
      </c>
      <c r="D878" s="116">
        <v>252.853927995791</v>
      </c>
      <c r="E878" s="116">
        <v>256.454852058158</v>
      </c>
      <c r="F878" s="116">
        <v>259.05</v>
      </c>
      <c r="G878">
        <v>500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263.11409518719302</v>
      </c>
      <c r="C879" s="116">
        <v>256.50417978503998</v>
      </c>
      <c r="D879" s="116">
        <v>252.06468436568301</v>
      </c>
      <c r="E879" s="116">
        <v>263.11409518719302</v>
      </c>
      <c r="F879" s="116">
        <v>260</v>
      </c>
      <c r="G879">
        <v>1908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259.41451567106202</v>
      </c>
      <c r="C880" s="116">
        <v>256.35619660439397</v>
      </c>
      <c r="D880" s="116">
        <v>253.54451617213499</v>
      </c>
      <c r="E880" s="116">
        <v>253.54451617213499</v>
      </c>
      <c r="F880" s="116">
        <v>259.85000000000002</v>
      </c>
      <c r="G880">
        <v>2005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256.454852058158</v>
      </c>
      <c r="C881" s="116">
        <v>246.983928496864</v>
      </c>
      <c r="D881" s="116">
        <v>243.67897079578799</v>
      </c>
      <c r="E881" s="116">
        <v>254.827037071061</v>
      </c>
      <c r="F881" s="116">
        <v>250.35</v>
      </c>
      <c r="G881">
        <v>5835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247.625188946327</v>
      </c>
      <c r="C882" s="116">
        <v>247.13191167750901</v>
      </c>
      <c r="D882" s="116">
        <v>242.93905489256201</v>
      </c>
      <c r="E882" s="116">
        <v>242.93905489256201</v>
      </c>
      <c r="F882" s="116">
        <v>250.5</v>
      </c>
      <c r="G882">
        <v>210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262.42350701084803</v>
      </c>
      <c r="C883" s="116">
        <v>247.625188946327</v>
      </c>
      <c r="D883" s="116">
        <v>242.692416258153</v>
      </c>
      <c r="E883" s="116">
        <v>262.42350701084803</v>
      </c>
      <c r="F883" s="116">
        <v>251</v>
      </c>
      <c r="G883">
        <v>2580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246.14535713987499</v>
      </c>
      <c r="C884" s="116">
        <v>238.450231746323</v>
      </c>
      <c r="D884" s="116">
        <v>237.858299023743</v>
      </c>
      <c r="E884" s="116">
        <v>241.70586172051799</v>
      </c>
      <c r="F884" s="116">
        <v>241.7</v>
      </c>
      <c r="G884">
        <v>1895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238.74619810761399</v>
      </c>
      <c r="C885" s="116">
        <v>237.858299023743</v>
      </c>
      <c r="D885" s="116">
        <v>233.81342541943999</v>
      </c>
      <c r="E885" s="116">
        <v>238.74619810761399</v>
      </c>
      <c r="F885" s="116">
        <v>241.1</v>
      </c>
      <c r="G885">
        <v>372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243.925609430196</v>
      </c>
      <c r="C886" s="116">
        <v>241.40989535922799</v>
      </c>
      <c r="D886" s="116">
        <v>236.77308903234399</v>
      </c>
      <c r="E886" s="116">
        <v>243.925609430196</v>
      </c>
      <c r="F886" s="116">
        <v>244.7</v>
      </c>
      <c r="G886">
        <v>485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249.59829802159601</v>
      </c>
      <c r="C887" s="116">
        <v>247.57586121944499</v>
      </c>
      <c r="D887" s="116">
        <v>242.19913898933501</v>
      </c>
      <c r="E887" s="116">
        <v>242.19913898933501</v>
      </c>
      <c r="F887" s="116">
        <v>250.95</v>
      </c>
      <c r="G887">
        <v>1159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255.51762524740499</v>
      </c>
      <c r="C888" s="116">
        <v>252.80460026890901</v>
      </c>
      <c r="D888" s="116">
        <v>246.63863440869201</v>
      </c>
      <c r="E888" s="116">
        <v>246.63863440869201</v>
      </c>
      <c r="F888" s="116">
        <v>256.25</v>
      </c>
      <c r="G888">
        <v>628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256.50417978503998</v>
      </c>
      <c r="C889" s="116">
        <v>250.48619710546799</v>
      </c>
      <c r="D889" s="116">
        <v>248.85838211837</v>
      </c>
      <c r="E889" s="116">
        <v>252.656617088264</v>
      </c>
      <c r="F889" s="116">
        <v>253.9</v>
      </c>
      <c r="G889">
        <v>1157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254.53107070977001</v>
      </c>
      <c r="C890" s="116">
        <v>253.64317162589899</v>
      </c>
      <c r="D890" s="116">
        <v>251.76871800439301</v>
      </c>
      <c r="E890" s="116">
        <v>254.53107070977001</v>
      </c>
      <c r="F890" s="116">
        <v>257.10000000000002</v>
      </c>
      <c r="G890">
        <v>282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255.51762524740499</v>
      </c>
      <c r="C891" s="116">
        <v>254.58039843665199</v>
      </c>
      <c r="D891" s="116">
        <v>250.63418028611301</v>
      </c>
      <c r="E891" s="116">
        <v>251.57140709686601</v>
      </c>
      <c r="F891" s="116">
        <v>258.05</v>
      </c>
      <c r="G891">
        <v>1826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256.94812932697499</v>
      </c>
      <c r="C892" s="116">
        <v>256.94812932697499</v>
      </c>
      <c r="D892" s="116">
        <v>250.584852559231</v>
      </c>
      <c r="E892" s="116">
        <v>251.57140709686601</v>
      </c>
      <c r="F892" s="116">
        <v>260.45</v>
      </c>
      <c r="G892">
        <v>210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267.35627969902202</v>
      </c>
      <c r="C893" s="116">
        <v>266.56703606891398</v>
      </c>
      <c r="D893" s="116">
        <v>256.50417978503998</v>
      </c>
      <c r="E893" s="116">
        <v>256.50417978503998</v>
      </c>
      <c r="F893" s="116">
        <v>270.2</v>
      </c>
      <c r="G893">
        <v>5059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269.67468286246401</v>
      </c>
      <c r="C894" s="116">
        <v>265.28451516998899</v>
      </c>
      <c r="D894" s="116">
        <v>246.88527304310099</v>
      </c>
      <c r="E894" s="116">
        <v>260.45039793557902</v>
      </c>
      <c r="F894" s="116">
        <v>268.89999999999998</v>
      </c>
      <c r="G894">
        <v>1899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266.36972516138701</v>
      </c>
      <c r="C895" s="116">
        <v>259.858465212998</v>
      </c>
      <c r="D895" s="116">
        <v>258.47728886030899</v>
      </c>
      <c r="E895" s="116">
        <v>264.396616086118</v>
      </c>
      <c r="F895" s="116">
        <v>263.39999999999998</v>
      </c>
      <c r="G895">
        <v>1312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273.27560692483098</v>
      </c>
      <c r="C896" s="116">
        <v>271.25317012267902</v>
      </c>
      <c r="D896" s="116">
        <v>260.45039793557902</v>
      </c>
      <c r="E896" s="116">
        <v>260.45039793557902</v>
      </c>
      <c r="F896" s="116">
        <v>274.95</v>
      </c>
      <c r="G896">
        <v>1474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269.52669968181903</v>
      </c>
      <c r="C897" s="116">
        <v>269.37871650117302</v>
      </c>
      <c r="D897" s="116">
        <v>257.49073432267397</v>
      </c>
      <c r="E897" s="116">
        <v>266.36972516138701</v>
      </c>
      <c r="F897" s="116">
        <v>273.05</v>
      </c>
      <c r="G897">
        <v>1422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267.35627969902202</v>
      </c>
      <c r="C898" s="116">
        <v>261.53560792697698</v>
      </c>
      <c r="D898" s="116">
        <v>260.54905338934202</v>
      </c>
      <c r="E898" s="116">
        <v>267.35627969902202</v>
      </c>
      <c r="F898" s="116">
        <v>265.10000000000002</v>
      </c>
      <c r="G898">
        <v>391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274.26216146246497</v>
      </c>
      <c r="C899" s="116">
        <v>272.48636329472299</v>
      </c>
      <c r="D899" s="116">
        <v>266.36972516138701</v>
      </c>
      <c r="E899" s="116">
        <v>266.36972516138701</v>
      </c>
      <c r="F899" s="116">
        <v>276.2</v>
      </c>
      <c r="G899">
        <v>2412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271.30249784956101</v>
      </c>
      <c r="C900" s="116">
        <v>267.158968791495</v>
      </c>
      <c r="D900" s="116">
        <v>261.97955746891301</v>
      </c>
      <c r="E900" s="116">
        <v>271.30249784956101</v>
      </c>
      <c r="F900" s="116">
        <v>270.8</v>
      </c>
      <c r="G900">
        <v>2511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267.35627969902202</v>
      </c>
      <c r="C901" s="116">
        <v>260.94367520439602</v>
      </c>
      <c r="D901" s="116">
        <v>256.50417978503998</v>
      </c>
      <c r="E901" s="116">
        <v>256.553507511921</v>
      </c>
      <c r="F901" s="116">
        <v>264.5</v>
      </c>
      <c r="G901">
        <v>3090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270.26661558504497</v>
      </c>
      <c r="C902" s="116">
        <v>256.99745705385698</v>
      </c>
      <c r="D902" s="116">
        <v>254.53107070977001</v>
      </c>
      <c r="E902" s="116">
        <v>256.50417978503998</v>
      </c>
      <c r="F902" s="116">
        <v>260.5</v>
      </c>
      <c r="G902">
        <v>4169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262.42350701084803</v>
      </c>
      <c r="C903" s="116">
        <v>258.822582948481</v>
      </c>
      <c r="D903" s="116">
        <v>256.50417978503998</v>
      </c>
      <c r="E903" s="116">
        <v>260.45039793557902</v>
      </c>
      <c r="F903" s="116">
        <v>262.35000000000002</v>
      </c>
      <c r="G903">
        <v>2756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264.396616086118</v>
      </c>
      <c r="C904" s="116">
        <v>262.17686837643998</v>
      </c>
      <c r="D904" s="116">
        <v>257.49073432267397</v>
      </c>
      <c r="E904" s="116">
        <v>257.54006204955601</v>
      </c>
      <c r="F904" s="116">
        <v>265.75</v>
      </c>
      <c r="G904">
        <v>2233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261.53560792697698</v>
      </c>
      <c r="C905" s="116">
        <v>261.43695247321301</v>
      </c>
      <c r="D905" s="116">
        <v>258.18132249901902</v>
      </c>
      <c r="E905" s="116">
        <v>258.47728886030899</v>
      </c>
      <c r="F905" s="116">
        <v>265</v>
      </c>
      <c r="G905">
        <v>3276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264.396616086118</v>
      </c>
      <c r="C906" s="116">
        <v>260.54905338934202</v>
      </c>
      <c r="D906" s="116">
        <v>259.06922158289001</v>
      </c>
      <c r="E906" s="116">
        <v>259.16787703665398</v>
      </c>
      <c r="F906" s="116">
        <v>264.10000000000002</v>
      </c>
      <c r="G906">
        <v>1202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265.23518744310701</v>
      </c>
      <c r="C907" s="116">
        <v>261.19031383880503</v>
      </c>
      <c r="D907" s="116">
        <v>258.23065022589998</v>
      </c>
      <c r="E907" s="116">
        <v>258.97056612912701</v>
      </c>
      <c r="F907" s="116">
        <v>264.75</v>
      </c>
      <c r="G907">
        <v>2845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266.27106970762401</v>
      </c>
      <c r="C908" s="116">
        <v>261.63426338073998</v>
      </c>
      <c r="D908" s="116">
        <v>260.45039793557902</v>
      </c>
      <c r="E908" s="116">
        <v>261.43695247321301</v>
      </c>
      <c r="F908" s="116">
        <v>265.2</v>
      </c>
      <c r="G908">
        <v>1116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294.88115129903201</v>
      </c>
      <c r="C909" s="116">
        <v>284.32501774634</v>
      </c>
      <c r="D909" s="116">
        <v>262.91678427966599</v>
      </c>
      <c r="E909" s="116">
        <v>265.38317062375302</v>
      </c>
      <c r="F909" s="116">
        <v>288.2</v>
      </c>
      <c r="G909">
        <v>15928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294.97980675279598</v>
      </c>
      <c r="C910" s="116">
        <v>281.85863140225302</v>
      </c>
      <c r="D910" s="116">
        <v>280.72409368397302</v>
      </c>
      <c r="E910" s="116">
        <v>292.95736995064402</v>
      </c>
      <c r="F910" s="116">
        <v>285.7</v>
      </c>
      <c r="G910">
        <v>4670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290.98426087537501</v>
      </c>
      <c r="C911" s="116">
        <v>283.930395931286</v>
      </c>
      <c r="D911" s="116">
        <v>279.68821141945699</v>
      </c>
      <c r="E911" s="116">
        <v>281.168043225909</v>
      </c>
      <c r="F911" s="116">
        <v>287.8</v>
      </c>
      <c r="G911">
        <v>2245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285.95283273343802</v>
      </c>
      <c r="C912" s="116">
        <v>277.27115280225098</v>
      </c>
      <c r="D912" s="116">
        <v>275.34737145386401</v>
      </c>
      <c r="E912" s="116">
        <v>282.25325321730702</v>
      </c>
      <c r="F912" s="116">
        <v>281.05</v>
      </c>
      <c r="G912">
        <v>4158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285.064933649566</v>
      </c>
      <c r="C913" s="116">
        <v>283.04249684741501</v>
      </c>
      <c r="D913" s="116">
        <v>276.235270537735</v>
      </c>
      <c r="E913" s="116">
        <v>283.14115230117801</v>
      </c>
      <c r="F913" s="116">
        <v>286.89999999999998</v>
      </c>
      <c r="G913">
        <v>4789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289.06047952698702</v>
      </c>
      <c r="C914" s="116">
        <v>282.45056412483399</v>
      </c>
      <c r="D914" s="116">
        <v>280.18148868827399</v>
      </c>
      <c r="E914" s="116">
        <v>285.11426137644798</v>
      </c>
      <c r="F914" s="116">
        <v>286.3</v>
      </c>
      <c r="G914">
        <v>2313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282.74653048612402</v>
      </c>
      <c r="C915" s="116">
        <v>272.831657382895</v>
      </c>
      <c r="D915" s="116">
        <v>271.598464210852</v>
      </c>
      <c r="E915" s="116">
        <v>281.168043225909</v>
      </c>
      <c r="F915" s="116">
        <v>276.55</v>
      </c>
      <c r="G915">
        <v>2485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272.23972466031398</v>
      </c>
      <c r="C916" s="116">
        <v>263.45938927536503</v>
      </c>
      <c r="D916" s="116">
        <v>260.45039793557902</v>
      </c>
      <c r="E916" s="116">
        <v>272.23972466031398</v>
      </c>
      <c r="F916" s="116">
        <v>267.05</v>
      </c>
      <c r="G916">
        <v>4438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271.055859215152</v>
      </c>
      <c r="C917" s="116">
        <v>265.72846471192503</v>
      </c>
      <c r="D917" s="116">
        <v>261.43695247321301</v>
      </c>
      <c r="E917" s="116">
        <v>271.055859215152</v>
      </c>
      <c r="F917" s="116">
        <v>269.35000000000002</v>
      </c>
      <c r="G917">
        <v>785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266.36972516138701</v>
      </c>
      <c r="C918" s="116">
        <v>264.495271539881</v>
      </c>
      <c r="D918" s="116">
        <v>263.41006154848299</v>
      </c>
      <c r="E918" s="116">
        <v>264.396616086118</v>
      </c>
      <c r="F918" s="116">
        <v>268.10000000000002</v>
      </c>
      <c r="G918">
        <v>770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267.25762424525902</v>
      </c>
      <c r="C919" s="116">
        <v>258.723927494718</v>
      </c>
      <c r="D919" s="116">
        <v>258.47728886030899</v>
      </c>
      <c r="E919" s="116">
        <v>267.25762424525902</v>
      </c>
      <c r="F919" s="116">
        <v>262.25</v>
      </c>
      <c r="G919">
        <v>2745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270.26661558504497</v>
      </c>
      <c r="C920" s="116">
        <v>260.05577612052502</v>
      </c>
      <c r="D920" s="116">
        <v>252.557961634501</v>
      </c>
      <c r="E920" s="116">
        <v>252.557961634501</v>
      </c>
      <c r="F920" s="116">
        <v>263.60000000000002</v>
      </c>
      <c r="G920">
        <v>6250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259.41451567106202</v>
      </c>
      <c r="C921" s="116">
        <v>258.23065022589998</v>
      </c>
      <c r="D921" s="116">
        <v>252.60728936138199</v>
      </c>
      <c r="E921" s="116">
        <v>252.60728936138199</v>
      </c>
      <c r="F921" s="116">
        <v>261.75</v>
      </c>
      <c r="G921">
        <v>660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268.34283423665698</v>
      </c>
      <c r="C922" s="116">
        <v>263.80468336353698</v>
      </c>
      <c r="D922" s="116">
        <v>258.47728886030899</v>
      </c>
      <c r="E922" s="116">
        <v>260.00644839364298</v>
      </c>
      <c r="F922" s="116">
        <v>267.39999999999998</v>
      </c>
      <c r="G922">
        <v>8624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263.41006154848299</v>
      </c>
      <c r="C923" s="116">
        <v>261.43695247321301</v>
      </c>
      <c r="D923" s="116">
        <v>253.54451617213499</v>
      </c>
      <c r="E923" s="116">
        <v>253.54451617213499</v>
      </c>
      <c r="F923" s="116">
        <v>265</v>
      </c>
      <c r="G923">
        <v>1470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261.43695247321301</v>
      </c>
      <c r="C924" s="116">
        <v>257.24409568826599</v>
      </c>
      <c r="D924" s="116">
        <v>256.70149069256701</v>
      </c>
      <c r="E924" s="116">
        <v>261.43695247321301</v>
      </c>
      <c r="F924" s="116">
        <v>260.75</v>
      </c>
      <c r="G924">
        <v>1173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264.495271539881</v>
      </c>
      <c r="C925" s="116">
        <v>251.818045731274</v>
      </c>
      <c r="D925" s="116">
        <v>250.584852559231</v>
      </c>
      <c r="E925" s="116">
        <v>264.495271539881</v>
      </c>
      <c r="F925" s="116">
        <v>255.25</v>
      </c>
      <c r="G925">
        <v>2735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262.27552383020299</v>
      </c>
      <c r="C926" s="116">
        <v>246.391995774283</v>
      </c>
      <c r="D926" s="116">
        <v>242.692416258153</v>
      </c>
      <c r="E926" s="116">
        <v>262.27552383020299</v>
      </c>
      <c r="F926" s="116">
        <v>249.75</v>
      </c>
      <c r="G926">
        <v>2437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250.63418028611301</v>
      </c>
      <c r="C927" s="116">
        <v>243.383004434497</v>
      </c>
      <c r="D927" s="116">
        <v>236.87174448610801</v>
      </c>
      <c r="E927" s="116">
        <v>250.63418028611301</v>
      </c>
      <c r="F927" s="116">
        <v>246.7</v>
      </c>
      <c r="G927">
        <v>28814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252.50863390761899</v>
      </c>
      <c r="C928" s="116">
        <v>241.26191217858201</v>
      </c>
      <c r="D928" s="116">
        <v>237.16771084739801</v>
      </c>
      <c r="E928" s="116">
        <v>238.00628220438799</v>
      </c>
      <c r="F928" s="116">
        <v>244.55</v>
      </c>
      <c r="G928">
        <v>3190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249.30233166030601</v>
      </c>
      <c r="C929" s="116">
        <v>242.34712216998099</v>
      </c>
      <c r="D929" s="116">
        <v>240.719307182883</v>
      </c>
      <c r="E929" s="116">
        <v>243.67897079578799</v>
      </c>
      <c r="F929" s="116">
        <v>245.65</v>
      </c>
      <c r="G929">
        <v>2073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243.67897079578799</v>
      </c>
      <c r="C930" s="116">
        <v>235.93451767535501</v>
      </c>
      <c r="D930" s="116">
        <v>234.79997995707501</v>
      </c>
      <c r="E930" s="116">
        <v>240.02871900653901</v>
      </c>
      <c r="F930" s="116">
        <v>239.15</v>
      </c>
      <c r="G930">
        <v>3035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239.683424918367</v>
      </c>
      <c r="C931" s="116">
        <v>221.87611551405899</v>
      </c>
      <c r="D931" s="116">
        <v>219.015107354918</v>
      </c>
      <c r="E931" s="116">
        <v>235.78653449471</v>
      </c>
      <c r="F931" s="116">
        <v>224.9</v>
      </c>
      <c r="G931">
        <v>8985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215.85813283448701</v>
      </c>
      <c r="C932" s="116">
        <v>210.53073833125899</v>
      </c>
      <c r="D932" s="116">
        <v>193.36468937641499</v>
      </c>
      <c r="E932" s="116">
        <v>212.30653649900199</v>
      </c>
      <c r="F932" s="116">
        <v>213.4</v>
      </c>
      <c r="G932">
        <v>9530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245.652079871057</v>
      </c>
      <c r="C933" s="116">
        <v>217.387292367821</v>
      </c>
      <c r="D933" s="116">
        <v>210.03746106244199</v>
      </c>
      <c r="E933" s="116">
        <v>210.03746106244199</v>
      </c>
      <c r="F933" s="116">
        <v>220.35</v>
      </c>
      <c r="G933">
        <v>3549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219.952334165671</v>
      </c>
      <c r="C934" s="116">
        <v>208.952251071044</v>
      </c>
      <c r="D934" s="116">
        <v>207.176452903301</v>
      </c>
      <c r="E934" s="116">
        <v>219.952334165671</v>
      </c>
      <c r="F934" s="116">
        <v>211.8</v>
      </c>
      <c r="G934">
        <v>10327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212.109225591475</v>
      </c>
      <c r="C935" s="116">
        <v>206.58452018072001</v>
      </c>
      <c r="D935" s="116">
        <v>202.39166339577301</v>
      </c>
      <c r="E935" s="116">
        <v>208.952251071044</v>
      </c>
      <c r="F935" s="116">
        <v>209.4</v>
      </c>
      <c r="G935">
        <v>4278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209.149561978571</v>
      </c>
      <c r="C936" s="116">
        <v>204.16746156351499</v>
      </c>
      <c r="D936" s="116">
        <v>201.35578113125601</v>
      </c>
      <c r="E936" s="116">
        <v>203.23023475276199</v>
      </c>
      <c r="F936" s="116">
        <v>206.95</v>
      </c>
      <c r="G936">
        <v>2217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204.710066559214</v>
      </c>
      <c r="C937" s="116">
        <v>202.73695748394499</v>
      </c>
      <c r="D937" s="116">
        <v>201.25712567749301</v>
      </c>
      <c r="E937" s="116">
        <v>204.216789290397</v>
      </c>
      <c r="F937" s="116">
        <v>205.5</v>
      </c>
      <c r="G937">
        <v>1762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211.96124241083001</v>
      </c>
      <c r="C938" s="116">
        <v>202.88494066459</v>
      </c>
      <c r="D938" s="116">
        <v>200.12258795921301</v>
      </c>
      <c r="E938" s="116">
        <v>204.06880610975199</v>
      </c>
      <c r="F938" s="116">
        <v>205.65</v>
      </c>
      <c r="G938">
        <v>6985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202.243680215127</v>
      </c>
      <c r="C939" s="116">
        <v>197.90284024953399</v>
      </c>
      <c r="D939" s="116">
        <v>195.83107572050099</v>
      </c>
      <c r="E939" s="116">
        <v>198.29746206458799</v>
      </c>
      <c r="F939" s="116">
        <v>200.6</v>
      </c>
      <c r="G939">
        <v>4366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212.109225591475</v>
      </c>
      <c r="C940" s="116">
        <v>209.49485606674301</v>
      </c>
      <c r="D940" s="116">
        <v>204.06880610975199</v>
      </c>
      <c r="E940" s="116">
        <v>204.06880610975199</v>
      </c>
      <c r="F940" s="116">
        <v>212.35</v>
      </c>
      <c r="G940">
        <v>2031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208.310990621581</v>
      </c>
      <c r="C941" s="116">
        <v>203.03292384523499</v>
      </c>
      <c r="D941" s="116">
        <v>198.741411606524</v>
      </c>
      <c r="E941" s="116">
        <v>202.342335668891</v>
      </c>
      <c r="F941" s="116">
        <v>205.8</v>
      </c>
      <c r="G941">
        <v>5956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214.42762875491701</v>
      </c>
      <c r="C942" s="116">
        <v>209.79082242803301</v>
      </c>
      <c r="D942" s="116">
        <v>203.23023475276199</v>
      </c>
      <c r="E942" s="116">
        <v>203.23023475276199</v>
      </c>
      <c r="F942" s="116">
        <v>212.65</v>
      </c>
      <c r="G942">
        <v>2436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204.36477247104199</v>
      </c>
      <c r="C943" s="116">
        <v>188.92519395705801</v>
      </c>
      <c r="D943" s="116">
        <v>177.57981677425801</v>
      </c>
      <c r="E943" s="116">
        <v>204.36477247104199</v>
      </c>
      <c r="F943" s="116">
        <v>191.5</v>
      </c>
      <c r="G943">
        <v>8300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194.05527755275901</v>
      </c>
      <c r="C944" s="116">
        <v>183.943093542002</v>
      </c>
      <c r="D944" s="116">
        <v>180.98342992909801</v>
      </c>
      <c r="E944" s="116">
        <v>193.315361649533</v>
      </c>
      <c r="F944" s="116">
        <v>186.45</v>
      </c>
      <c r="G944">
        <v>3825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189.41847122587501</v>
      </c>
      <c r="C945" s="116">
        <v>185.077631260282</v>
      </c>
      <c r="D945" s="116">
        <v>180.83544674845299</v>
      </c>
      <c r="E945" s="116">
        <v>184.683009445229</v>
      </c>
      <c r="F945" s="116">
        <v>187.6</v>
      </c>
      <c r="G945">
        <v>1367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186.45880761297099</v>
      </c>
      <c r="C946" s="116">
        <v>179.306287215119</v>
      </c>
      <c r="D946" s="116">
        <v>178.56637131189299</v>
      </c>
      <c r="E946" s="116">
        <v>186.45880761297099</v>
      </c>
      <c r="F946" s="116">
        <v>181.75</v>
      </c>
      <c r="G946">
        <v>3224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188.875866230176</v>
      </c>
      <c r="C947" s="116">
        <v>180.88477447533501</v>
      </c>
      <c r="D947" s="116">
        <v>179.602253576409</v>
      </c>
      <c r="E947" s="116">
        <v>188.875866230176</v>
      </c>
      <c r="F947" s="116">
        <v>183.35</v>
      </c>
      <c r="G947">
        <v>487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194.15393300652201</v>
      </c>
      <c r="C948" s="116">
        <v>181.772673559206</v>
      </c>
      <c r="D948" s="116">
        <v>179.65158130329101</v>
      </c>
      <c r="E948" s="116">
        <v>188.43191668824099</v>
      </c>
      <c r="F948" s="116">
        <v>184.25</v>
      </c>
      <c r="G948">
        <v>2499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183.69645490759399</v>
      </c>
      <c r="C949" s="116">
        <v>180.934102202216</v>
      </c>
      <c r="D949" s="116">
        <v>177.678472228022</v>
      </c>
      <c r="E949" s="116">
        <v>181.575362651679</v>
      </c>
      <c r="F949" s="116">
        <v>183.4</v>
      </c>
      <c r="G949">
        <v>2996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186.16284125168099</v>
      </c>
      <c r="C950" s="116">
        <v>183.005866731249</v>
      </c>
      <c r="D950" s="116">
        <v>179.55292584952801</v>
      </c>
      <c r="E950" s="116">
        <v>179.55292584952801</v>
      </c>
      <c r="F950" s="116">
        <v>185.5</v>
      </c>
      <c r="G950">
        <v>683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192.37813483878</v>
      </c>
      <c r="C951" s="116">
        <v>190.50368121727399</v>
      </c>
      <c r="D951" s="116">
        <v>178.56637131189299</v>
      </c>
      <c r="E951" s="116">
        <v>179.65158130329101</v>
      </c>
      <c r="F951" s="116">
        <v>193.1</v>
      </c>
      <c r="G951">
        <v>1717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190.40502576351</v>
      </c>
      <c r="C952" s="116">
        <v>183.400488546303</v>
      </c>
      <c r="D952" s="116">
        <v>180.68746356780801</v>
      </c>
      <c r="E952" s="116">
        <v>187.544017604369</v>
      </c>
      <c r="F952" s="116">
        <v>185.9</v>
      </c>
      <c r="G952">
        <v>4538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187.445362150606</v>
      </c>
      <c r="C953" s="116">
        <v>183.99242126888399</v>
      </c>
      <c r="D953" s="116">
        <v>182.512589462432</v>
      </c>
      <c r="E953" s="116">
        <v>184.48569853770201</v>
      </c>
      <c r="F953" s="116">
        <v>186.5</v>
      </c>
      <c r="G953">
        <v>989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192.32880711189799</v>
      </c>
      <c r="C954" s="116">
        <v>186.55746306673501</v>
      </c>
      <c r="D954" s="116">
        <v>184.48569853770201</v>
      </c>
      <c r="E954" s="116">
        <v>184.48569853770201</v>
      </c>
      <c r="F954" s="116">
        <v>189.1</v>
      </c>
      <c r="G954">
        <v>1505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187.445362150606</v>
      </c>
      <c r="C955" s="116">
        <v>184.73233717210999</v>
      </c>
      <c r="D955" s="116">
        <v>184.48569853770201</v>
      </c>
      <c r="E955" s="116">
        <v>184.48569853770201</v>
      </c>
      <c r="F955" s="116">
        <v>187.25</v>
      </c>
      <c r="G955">
        <v>187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188.23460578071399</v>
      </c>
      <c r="C956" s="116">
        <v>188.13595032695</v>
      </c>
      <c r="D956" s="116">
        <v>186.95208488178801</v>
      </c>
      <c r="E956" s="116">
        <v>187.445362150606</v>
      </c>
      <c r="F956" s="116">
        <v>190.7</v>
      </c>
      <c r="G956">
        <v>377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196.32435298931901</v>
      </c>
      <c r="C957" s="116">
        <v>186.212168978562</v>
      </c>
      <c r="D957" s="116">
        <v>182.611244916196</v>
      </c>
      <c r="E957" s="116">
        <v>196.32435298931901</v>
      </c>
      <c r="F957" s="116">
        <v>188.75</v>
      </c>
      <c r="G957">
        <v>210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196.22569753555501</v>
      </c>
      <c r="C958" s="116">
        <v>189.66510986028399</v>
      </c>
      <c r="D958" s="116">
        <v>187.445362150606</v>
      </c>
      <c r="E958" s="116">
        <v>187.445362150606</v>
      </c>
      <c r="F958" s="116">
        <v>192.25</v>
      </c>
      <c r="G958">
        <v>1235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192.37813483878</v>
      </c>
      <c r="C959" s="116">
        <v>190.40502576351</v>
      </c>
      <c r="D959" s="116">
        <v>187.445362150606</v>
      </c>
      <c r="E959" s="116">
        <v>188.23460578071399</v>
      </c>
      <c r="F959" s="116">
        <v>193</v>
      </c>
      <c r="G959">
        <v>626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190.50368121727399</v>
      </c>
      <c r="C960" s="116">
        <v>179.70090903017299</v>
      </c>
      <c r="D960" s="116">
        <v>177.57981677425801</v>
      </c>
      <c r="E960" s="116">
        <v>190.50368121727399</v>
      </c>
      <c r="F960" s="116">
        <v>182.15</v>
      </c>
      <c r="G960">
        <v>5768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183.005866731249</v>
      </c>
      <c r="C961" s="116">
        <v>173.436287716192</v>
      </c>
      <c r="D961" s="116">
        <v>172.64704408608401</v>
      </c>
      <c r="E961" s="116">
        <v>180.243514025872</v>
      </c>
      <c r="F961" s="116">
        <v>175.8</v>
      </c>
      <c r="G961">
        <v>3016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181.42737947103399</v>
      </c>
      <c r="C962" s="116">
        <v>178.41838813124801</v>
      </c>
      <c r="D962" s="116">
        <v>173.68292635060101</v>
      </c>
      <c r="E962" s="116">
        <v>176.49460678285999</v>
      </c>
      <c r="F962" s="116">
        <v>180.85</v>
      </c>
      <c r="G962">
        <v>2312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179.55292584952801</v>
      </c>
      <c r="C963" s="116">
        <v>175.85334633339701</v>
      </c>
      <c r="D963" s="116">
        <v>175.75469087963401</v>
      </c>
      <c r="E963" s="116">
        <v>176.59326223662299</v>
      </c>
      <c r="F963" s="116">
        <v>178.25</v>
      </c>
      <c r="G963">
        <v>1500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180.49015266028101</v>
      </c>
      <c r="C964" s="116">
        <v>175.06410270328999</v>
      </c>
      <c r="D964" s="116">
        <v>174.62015316135401</v>
      </c>
      <c r="E964" s="116">
        <v>175.606707698989</v>
      </c>
      <c r="F964" s="116">
        <v>177.45</v>
      </c>
      <c r="G964">
        <v>170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183.49914400006699</v>
      </c>
      <c r="C965" s="116">
        <v>175.310741337698</v>
      </c>
      <c r="D965" s="116">
        <v>175.11343043017101</v>
      </c>
      <c r="E965" s="116">
        <v>175.11343043017101</v>
      </c>
      <c r="F965" s="116">
        <v>177.7</v>
      </c>
      <c r="G965">
        <v>2648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181.52603492479699</v>
      </c>
      <c r="C966" s="116">
        <v>179.99687539146299</v>
      </c>
      <c r="D966" s="116">
        <v>172.745699539848</v>
      </c>
      <c r="E966" s="116">
        <v>180.638135840926</v>
      </c>
      <c r="F966" s="116">
        <v>182.45</v>
      </c>
      <c r="G966">
        <v>613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183.44981627318501</v>
      </c>
      <c r="C967" s="116">
        <v>179.75023675705501</v>
      </c>
      <c r="D967" s="116">
        <v>172.79502726672999</v>
      </c>
      <c r="E967" s="116">
        <v>181.52603492479699</v>
      </c>
      <c r="F967" s="116">
        <v>182.2</v>
      </c>
      <c r="G967">
        <v>14302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181.42737947103399</v>
      </c>
      <c r="C968" s="116">
        <v>177.08653950544101</v>
      </c>
      <c r="D968" s="116">
        <v>172.745699539848</v>
      </c>
      <c r="E968" s="116">
        <v>179.65158130329101</v>
      </c>
      <c r="F968" s="116">
        <v>179.5</v>
      </c>
      <c r="G968">
        <v>765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179.55292584952801</v>
      </c>
      <c r="C969" s="116">
        <v>175.705363152752</v>
      </c>
      <c r="D969" s="116">
        <v>175.705363152752</v>
      </c>
      <c r="E969" s="116">
        <v>179.55292584952801</v>
      </c>
      <c r="F969" s="116">
        <v>178.1</v>
      </c>
      <c r="G969">
        <v>447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180.49015266028101</v>
      </c>
      <c r="C970" s="116">
        <v>175.804018606516</v>
      </c>
      <c r="D970" s="116">
        <v>175.606707698989</v>
      </c>
      <c r="E970" s="116">
        <v>175.705363152752</v>
      </c>
      <c r="F970" s="116">
        <v>178.2</v>
      </c>
      <c r="G970">
        <v>498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176.09998496780599</v>
      </c>
      <c r="C971" s="116">
        <v>174.62015316135401</v>
      </c>
      <c r="D971" s="116">
        <v>171.66048954844999</v>
      </c>
      <c r="E971" s="116">
        <v>176.09998496780599</v>
      </c>
      <c r="F971" s="116">
        <v>177</v>
      </c>
      <c r="G971">
        <v>1316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175.705363152752</v>
      </c>
      <c r="C972" s="116">
        <v>173.92956498500999</v>
      </c>
      <c r="D972" s="116">
        <v>170.772590464578</v>
      </c>
      <c r="E972" s="116">
        <v>175.705363152752</v>
      </c>
      <c r="F972" s="116">
        <v>176.3</v>
      </c>
      <c r="G972">
        <v>1491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178.51704358501101</v>
      </c>
      <c r="C973" s="116">
        <v>169.68738047318001</v>
      </c>
      <c r="D973" s="116">
        <v>169.68738047318001</v>
      </c>
      <c r="E973" s="116">
        <v>175.705363152752</v>
      </c>
      <c r="F973" s="116">
        <v>172</v>
      </c>
      <c r="G973">
        <v>510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173.38695998930999</v>
      </c>
      <c r="C974" s="116">
        <v>172.64704408608401</v>
      </c>
      <c r="D974" s="116">
        <v>170.575279557051</v>
      </c>
      <c r="E974" s="116">
        <v>170.575279557051</v>
      </c>
      <c r="F974" s="116">
        <v>175</v>
      </c>
      <c r="G974">
        <v>825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172.44973317855701</v>
      </c>
      <c r="C975" s="116">
        <v>172.44973317855701</v>
      </c>
      <c r="D975" s="116">
        <v>165.88914550328599</v>
      </c>
      <c r="E975" s="116">
        <v>168.700825935545</v>
      </c>
      <c r="F975" s="116">
        <v>174.8</v>
      </c>
      <c r="G975">
        <v>238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171.611161821568</v>
      </c>
      <c r="C976" s="116">
        <v>171.611161821568</v>
      </c>
      <c r="D976" s="116">
        <v>167.81292685167401</v>
      </c>
      <c r="E976" s="116">
        <v>168.94746456995401</v>
      </c>
      <c r="F976" s="116">
        <v>173.95</v>
      </c>
      <c r="G976">
        <v>212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172.64704408608401</v>
      </c>
      <c r="C977" s="116">
        <v>171.167212279632</v>
      </c>
      <c r="D977" s="116">
        <v>167.71427139791101</v>
      </c>
      <c r="E977" s="116">
        <v>167.71427139791101</v>
      </c>
      <c r="F977" s="116">
        <v>173.5</v>
      </c>
      <c r="G977">
        <v>574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169.68738047318001</v>
      </c>
      <c r="C978" s="116">
        <v>167.81292685167401</v>
      </c>
      <c r="D978" s="116">
        <v>167.81292685167401</v>
      </c>
      <c r="E978" s="116">
        <v>167.81292685167401</v>
      </c>
      <c r="F978" s="116">
        <v>170.1</v>
      </c>
      <c r="G978">
        <v>285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169.68738047318001</v>
      </c>
      <c r="C979" s="116">
        <v>167.81292685167401</v>
      </c>
      <c r="D979" s="116">
        <v>167.81292685167401</v>
      </c>
      <c r="E979" s="116">
        <v>167.81292685167401</v>
      </c>
      <c r="F979" s="116">
        <v>170.1</v>
      </c>
      <c r="G979">
        <v>1813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181.52603492479699</v>
      </c>
      <c r="C980" s="116">
        <v>171.85780045597701</v>
      </c>
      <c r="D980" s="116">
        <v>171.85780045597701</v>
      </c>
      <c r="E980" s="116">
        <v>173.53494316995599</v>
      </c>
      <c r="F980" s="116">
        <v>174.2</v>
      </c>
      <c r="G980">
        <v>304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175.606707698989</v>
      </c>
      <c r="C981" s="116">
        <v>175.606707698989</v>
      </c>
      <c r="D981" s="116">
        <v>175.606707698989</v>
      </c>
      <c r="E981" s="116">
        <v>175.606707698989</v>
      </c>
      <c r="F981" s="116">
        <v>178</v>
      </c>
      <c r="G981">
        <v>200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181.42737947103399</v>
      </c>
      <c r="C982" s="116">
        <v>180.49015266028101</v>
      </c>
      <c r="D982" s="116">
        <v>177.481161320495</v>
      </c>
      <c r="E982" s="116">
        <v>177.481161320495</v>
      </c>
      <c r="F982" s="116">
        <v>182.95</v>
      </c>
      <c r="G982">
        <v>521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179.306287215119</v>
      </c>
      <c r="C983" s="116">
        <v>176.79057314414999</v>
      </c>
      <c r="D983" s="116">
        <v>173.140321354902</v>
      </c>
      <c r="E983" s="116">
        <v>173.140321354902</v>
      </c>
      <c r="F983" s="116">
        <v>179.2</v>
      </c>
      <c r="G983">
        <v>529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181.18074083662501</v>
      </c>
      <c r="C984" s="116">
        <v>177.62914450113999</v>
      </c>
      <c r="D984" s="116">
        <v>172.64704408608401</v>
      </c>
      <c r="E984" s="116">
        <v>172.64704408608401</v>
      </c>
      <c r="F984" s="116">
        <v>180.05</v>
      </c>
      <c r="G984">
        <v>683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177.57981677425801</v>
      </c>
      <c r="C985" s="116">
        <v>177.57981677425801</v>
      </c>
      <c r="D985" s="116">
        <v>175.804018606516</v>
      </c>
      <c r="E985" s="116">
        <v>177.481161320495</v>
      </c>
      <c r="F985" s="116">
        <v>180</v>
      </c>
      <c r="G985">
        <v>1555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178.56637131189299</v>
      </c>
      <c r="C986" s="116">
        <v>174.71880861511701</v>
      </c>
      <c r="D986" s="116">
        <v>174.71880861511701</v>
      </c>
      <c r="E986" s="116">
        <v>174.81746406888101</v>
      </c>
      <c r="F986" s="116">
        <v>177.1</v>
      </c>
      <c r="G986">
        <v>145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181.42737947103399</v>
      </c>
      <c r="C987" s="116">
        <v>172.79502726672999</v>
      </c>
      <c r="D987" s="116">
        <v>168.700825935545</v>
      </c>
      <c r="E987" s="116">
        <v>180.440824933399</v>
      </c>
      <c r="F987" s="116">
        <v>175.15</v>
      </c>
      <c r="G987">
        <v>1139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174.570825434472</v>
      </c>
      <c r="C988" s="116">
        <v>169.440741838771</v>
      </c>
      <c r="D988" s="116">
        <v>168.84880911619101</v>
      </c>
      <c r="E988" s="116">
        <v>172.745699539848</v>
      </c>
      <c r="F988" s="116">
        <v>171.75</v>
      </c>
      <c r="G988">
        <v>38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172.64704408608401</v>
      </c>
      <c r="C989" s="116">
        <v>172.64704408608401</v>
      </c>
      <c r="D989" s="116">
        <v>168.10889321296401</v>
      </c>
      <c r="E989" s="116">
        <v>168.10889321296401</v>
      </c>
      <c r="F989" s="116">
        <v>175</v>
      </c>
      <c r="G989">
        <v>120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176.59326223662299</v>
      </c>
      <c r="C990" s="116">
        <v>175.55737997210699</v>
      </c>
      <c r="D990" s="116">
        <v>172.54838863232101</v>
      </c>
      <c r="E990" s="116">
        <v>176.59326223662299</v>
      </c>
      <c r="F990" s="116">
        <v>177.95</v>
      </c>
      <c r="G990">
        <v>520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175.55737997210699</v>
      </c>
      <c r="C991" s="116">
        <v>175.11343043017101</v>
      </c>
      <c r="D991" s="116">
        <v>172.64704408608401</v>
      </c>
      <c r="E991" s="116">
        <v>175.55737997210699</v>
      </c>
      <c r="F991" s="116">
        <v>177.5</v>
      </c>
      <c r="G991">
        <v>449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180.539480387163</v>
      </c>
      <c r="C992" s="116">
        <v>178.073094043076</v>
      </c>
      <c r="D992" s="116">
        <v>174.91611952264401</v>
      </c>
      <c r="E992" s="116">
        <v>176.59326223662299</v>
      </c>
      <c r="F992" s="116">
        <v>180.5</v>
      </c>
      <c r="G992">
        <v>435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180.49015266028101</v>
      </c>
      <c r="C993" s="116">
        <v>179.75023675705501</v>
      </c>
      <c r="D993" s="116">
        <v>177.57981677425801</v>
      </c>
      <c r="E993" s="116">
        <v>177.57981677425801</v>
      </c>
      <c r="F993" s="116">
        <v>182.2</v>
      </c>
      <c r="G993">
        <v>315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186.85342942802501</v>
      </c>
      <c r="C994" s="116">
        <v>182.46326173554999</v>
      </c>
      <c r="D994" s="116">
        <v>178.61569903877501</v>
      </c>
      <c r="E994" s="116">
        <v>181.476707197916</v>
      </c>
      <c r="F994" s="116">
        <v>184.95</v>
      </c>
      <c r="G994">
        <v>634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185.176286714046</v>
      </c>
      <c r="C995" s="116">
        <v>180.539480387163</v>
      </c>
      <c r="D995" s="116">
        <v>178.56637131189299</v>
      </c>
      <c r="E995" s="116">
        <v>178.56637131189299</v>
      </c>
      <c r="F995" s="116">
        <v>183</v>
      </c>
      <c r="G995">
        <v>550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187.445362150606</v>
      </c>
      <c r="C996" s="116">
        <v>184.88032035275501</v>
      </c>
      <c r="D996" s="116">
        <v>178.56637131189299</v>
      </c>
      <c r="E996" s="116">
        <v>178.61569903877501</v>
      </c>
      <c r="F996" s="116">
        <v>187.4</v>
      </c>
      <c r="G996">
        <v>5945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181.575362651679</v>
      </c>
      <c r="C997" s="116">
        <v>177.974438589312</v>
      </c>
      <c r="D997" s="116">
        <v>177.92511086242999</v>
      </c>
      <c r="E997" s="116">
        <v>181.575362651679</v>
      </c>
      <c r="F997" s="116">
        <v>180.4</v>
      </c>
      <c r="G997">
        <v>380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184.48569853770201</v>
      </c>
      <c r="C998" s="116">
        <v>184.48569853770201</v>
      </c>
      <c r="D998" s="116">
        <v>177.72779995490299</v>
      </c>
      <c r="E998" s="116">
        <v>177.72779995490299</v>
      </c>
      <c r="F998" s="116">
        <v>187</v>
      </c>
      <c r="G998">
        <v>105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184.28838763017501</v>
      </c>
      <c r="C999" s="116">
        <v>184.28838763017501</v>
      </c>
      <c r="D999" s="116">
        <v>179.55292584952801</v>
      </c>
      <c r="E999" s="116">
        <v>179.55292584952801</v>
      </c>
      <c r="F999" s="116">
        <v>186.8</v>
      </c>
      <c r="G999">
        <v>5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184.28838763017501</v>
      </c>
      <c r="C1000" s="116">
        <v>180.78611902157101</v>
      </c>
      <c r="D1000" s="116">
        <v>179.55292584952801</v>
      </c>
      <c r="E1000" s="116">
        <v>184.28838763017501</v>
      </c>
      <c r="F1000" s="116">
        <v>183.25</v>
      </c>
      <c r="G1000">
        <v>389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179.55292584952801</v>
      </c>
      <c r="C1001" s="116">
        <v>177.57981677425801</v>
      </c>
      <c r="D1001" s="116">
        <v>177.57981677425801</v>
      </c>
      <c r="E1001" s="116">
        <v>179.55292584952801</v>
      </c>
      <c r="F1001" s="116">
        <v>180</v>
      </c>
      <c r="G1001">
        <v>783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180.440824933399</v>
      </c>
      <c r="C1002" s="116">
        <v>176.24796814845101</v>
      </c>
      <c r="D1002" s="116">
        <v>172.64704408608401</v>
      </c>
      <c r="E1002" s="116">
        <v>177.57981677425801</v>
      </c>
      <c r="F1002" s="116">
        <v>178.65</v>
      </c>
      <c r="G1002">
        <v>841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182.512589462432</v>
      </c>
      <c r="C1003" s="116">
        <v>182.31527855490501</v>
      </c>
      <c r="D1003" s="116">
        <v>182.26595082802299</v>
      </c>
      <c r="E1003" s="116">
        <v>182.26595082802299</v>
      </c>
      <c r="F1003" s="116">
        <v>184.8</v>
      </c>
      <c r="G1003">
        <v>122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180.539480387163</v>
      </c>
      <c r="C1004" s="116">
        <v>180.49015266028101</v>
      </c>
      <c r="D1004" s="116">
        <v>176.59326223662299</v>
      </c>
      <c r="E1004" s="116">
        <v>177.037211778559</v>
      </c>
      <c r="F1004" s="116">
        <v>182.95</v>
      </c>
      <c r="G1004">
        <v>541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182.413934008669</v>
      </c>
      <c r="C1005" s="116">
        <v>178.56637131189299</v>
      </c>
      <c r="D1005" s="116">
        <v>178.56637131189299</v>
      </c>
      <c r="E1005" s="116">
        <v>178.56637131189299</v>
      </c>
      <c r="F1005" s="116">
        <v>181</v>
      </c>
      <c r="G1005">
        <v>314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182.46326173554999</v>
      </c>
      <c r="C1006" s="116">
        <v>182.46326173554999</v>
      </c>
      <c r="D1006" s="116">
        <v>176.59326223662299</v>
      </c>
      <c r="E1006" s="116">
        <v>176.59326223662299</v>
      </c>
      <c r="F1006" s="116">
        <v>184.95</v>
      </c>
      <c r="G1006">
        <v>252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176.59326223662299</v>
      </c>
      <c r="C1007" s="116">
        <v>176.59326223662299</v>
      </c>
      <c r="D1007" s="116">
        <v>175.65603542586999</v>
      </c>
      <c r="E1007" s="116">
        <v>175.65603542586999</v>
      </c>
      <c r="F1007" s="116">
        <v>179</v>
      </c>
      <c r="G1007">
        <v>4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182.413934008669</v>
      </c>
      <c r="C1008" s="116">
        <v>174.373514526945</v>
      </c>
      <c r="D1008" s="116">
        <v>172.69637181296599</v>
      </c>
      <c r="E1008" s="116">
        <v>174.62015316135401</v>
      </c>
      <c r="F1008" s="116">
        <v>176.75</v>
      </c>
      <c r="G1008">
        <v>618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172.64704408608401</v>
      </c>
      <c r="C1009" s="116">
        <v>170.92057364522401</v>
      </c>
      <c r="D1009" s="116">
        <v>170.92057364522401</v>
      </c>
      <c r="E1009" s="116">
        <v>171.75914500221299</v>
      </c>
      <c r="F1009" s="116">
        <v>173.25</v>
      </c>
      <c r="G1009">
        <v>587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174.62015316135401</v>
      </c>
      <c r="C1010" s="116">
        <v>172.301749997912</v>
      </c>
      <c r="D1010" s="116">
        <v>171.66048954844999</v>
      </c>
      <c r="E1010" s="116">
        <v>172.64704408608401</v>
      </c>
      <c r="F1010" s="116">
        <v>174.65</v>
      </c>
      <c r="G1010">
        <v>222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172.59771635920299</v>
      </c>
      <c r="C1011" s="116">
        <v>167.171666402211</v>
      </c>
      <c r="D1011" s="116">
        <v>163.373431432318</v>
      </c>
      <c r="E1011" s="116">
        <v>167.76359912479199</v>
      </c>
      <c r="F1011" s="116">
        <v>169.45</v>
      </c>
      <c r="G1011">
        <v>1270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165.642506868878</v>
      </c>
      <c r="C1012" s="116">
        <v>161.44965008393001</v>
      </c>
      <c r="D1012" s="116">
        <v>157.84872602156301</v>
      </c>
      <c r="E1012" s="116">
        <v>157.89805374844499</v>
      </c>
      <c r="F1012" s="116">
        <v>163.65</v>
      </c>
      <c r="G1012">
        <v>614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158.835280559198</v>
      </c>
      <c r="C1013" s="116">
        <v>158.14469238285301</v>
      </c>
      <c r="D1013" s="116">
        <v>158.09536465597199</v>
      </c>
      <c r="E1013" s="116">
        <v>158.14469238285301</v>
      </c>
      <c r="F1013" s="116">
        <v>160.30000000000001</v>
      </c>
      <c r="G1013">
        <v>110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165.741162322641</v>
      </c>
      <c r="C1014" s="116">
        <v>164.310658243071</v>
      </c>
      <c r="D1014" s="116">
        <v>156.96082693769199</v>
      </c>
      <c r="E1014" s="116">
        <v>157.996709202208</v>
      </c>
      <c r="F1014" s="116">
        <v>166.55</v>
      </c>
      <c r="G1014">
        <v>519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171.41385091404101</v>
      </c>
      <c r="C1015" s="116">
        <v>170.673935010815</v>
      </c>
      <c r="D1015" s="116">
        <v>161.79494417210199</v>
      </c>
      <c r="E1015" s="116">
        <v>161.79494417210199</v>
      </c>
      <c r="F1015" s="116">
        <v>173</v>
      </c>
      <c r="G1015">
        <v>235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171.66048954844999</v>
      </c>
      <c r="C1016" s="116">
        <v>167.31964958285701</v>
      </c>
      <c r="D1016" s="116">
        <v>163.768053247371</v>
      </c>
      <c r="E1016" s="116">
        <v>171.56183409468599</v>
      </c>
      <c r="F1016" s="116">
        <v>169.6</v>
      </c>
      <c r="G1016">
        <v>489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170.52595183016999</v>
      </c>
      <c r="C1017" s="116">
        <v>162.28822144091899</v>
      </c>
      <c r="D1017" s="116">
        <v>159.871162823714</v>
      </c>
      <c r="E1017" s="116">
        <v>159.871162823714</v>
      </c>
      <c r="F1017" s="116">
        <v>164.5</v>
      </c>
      <c r="G1017">
        <v>314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162.78149870973701</v>
      </c>
      <c r="C1018" s="116">
        <v>158.637969651671</v>
      </c>
      <c r="D1018" s="116">
        <v>154.64242377425001</v>
      </c>
      <c r="E1018" s="116">
        <v>154.64242377425001</v>
      </c>
      <c r="F1018" s="116">
        <v>160.80000000000001</v>
      </c>
      <c r="G1018">
        <v>509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157.84872602156301</v>
      </c>
      <c r="C1019" s="116">
        <v>156.96082693769199</v>
      </c>
      <c r="D1019" s="116">
        <v>147.98318064521499</v>
      </c>
      <c r="E1019" s="116">
        <v>156.86217148392799</v>
      </c>
      <c r="F1019" s="116">
        <v>159.1</v>
      </c>
      <c r="G1019">
        <v>951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157.84872602156301</v>
      </c>
      <c r="C1020" s="116">
        <v>156.07292785382</v>
      </c>
      <c r="D1020" s="116">
        <v>149.01906290973201</v>
      </c>
      <c r="E1020" s="116">
        <v>149.01906290973201</v>
      </c>
      <c r="F1020" s="116">
        <v>158.19999999999999</v>
      </c>
      <c r="G1020">
        <v>519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161.79494417210199</v>
      </c>
      <c r="C1021" s="116">
        <v>154.54376832048601</v>
      </c>
      <c r="D1021" s="116">
        <v>147.98318064521499</v>
      </c>
      <c r="E1021" s="116">
        <v>154.88906240865899</v>
      </c>
      <c r="F1021" s="116">
        <v>156.65</v>
      </c>
      <c r="G1021">
        <v>363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166.234439591458</v>
      </c>
      <c r="C1022" s="116">
        <v>152.91595333338901</v>
      </c>
      <c r="D1022" s="116">
        <v>151.929398795754</v>
      </c>
      <c r="E1022" s="116">
        <v>152.91595333338901</v>
      </c>
      <c r="F1022" s="116">
        <v>155</v>
      </c>
      <c r="G1022">
        <v>1340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146.99662610758</v>
      </c>
      <c r="C1023" s="116">
        <v>139.400156167793</v>
      </c>
      <c r="D1023" s="116">
        <v>138.41360163015801</v>
      </c>
      <c r="E1023" s="116">
        <v>140.18939979790099</v>
      </c>
      <c r="F1023" s="116">
        <v>141.30000000000001</v>
      </c>
      <c r="G1023">
        <v>29285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144.036962494676</v>
      </c>
      <c r="C1024" s="116">
        <v>143.98763476779399</v>
      </c>
      <c r="D1024" s="116">
        <v>139.10418980650201</v>
      </c>
      <c r="E1024" s="116">
        <v>139.400156167793</v>
      </c>
      <c r="F1024" s="116">
        <v>145.94999999999999</v>
      </c>
      <c r="G1024">
        <v>1459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140.09074434413699</v>
      </c>
      <c r="C1025" s="116">
        <v>138.41360163015801</v>
      </c>
      <c r="D1025" s="116">
        <v>137.131080731233</v>
      </c>
      <c r="E1025" s="116">
        <v>139.696122529083</v>
      </c>
      <c r="F1025" s="116">
        <v>140.30000000000001</v>
      </c>
      <c r="G1025">
        <v>653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142.11318114628801</v>
      </c>
      <c r="C1026" s="116">
        <v>137.131080731233</v>
      </c>
      <c r="D1026" s="116">
        <v>136.14452619359801</v>
      </c>
      <c r="E1026" s="116">
        <v>137.18040845811399</v>
      </c>
      <c r="F1026" s="116">
        <v>139</v>
      </c>
      <c r="G1026">
        <v>633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137.62435800004999</v>
      </c>
      <c r="C1027" s="116">
        <v>132.44494667746801</v>
      </c>
      <c r="D1027" s="116">
        <v>130.32385442155299</v>
      </c>
      <c r="E1027" s="116">
        <v>137.131080731233</v>
      </c>
      <c r="F1027" s="116">
        <v>134.25</v>
      </c>
      <c r="G1027">
        <v>672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145.91141611618201</v>
      </c>
      <c r="C1028" s="116">
        <v>133.23419030757501</v>
      </c>
      <c r="D1028" s="116">
        <v>133.23419030757501</v>
      </c>
      <c r="E1028" s="116">
        <v>145.91141611618201</v>
      </c>
      <c r="F1028" s="116">
        <v>135.05000000000001</v>
      </c>
      <c r="G1028">
        <v>112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140.04141661725501</v>
      </c>
      <c r="C1029" s="116">
        <v>137.47637481940501</v>
      </c>
      <c r="D1029" s="116">
        <v>133.28351803445699</v>
      </c>
      <c r="E1029" s="116">
        <v>137.131080731233</v>
      </c>
      <c r="F1029" s="116">
        <v>139.35</v>
      </c>
      <c r="G1029">
        <v>179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143.05040795704099</v>
      </c>
      <c r="C1030" s="116">
        <v>141.86654251188</v>
      </c>
      <c r="D1030" s="116">
        <v>136.63780346241501</v>
      </c>
      <c r="E1030" s="116">
        <v>143.05040795704099</v>
      </c>
      <c r="F1030" s="116">
        <v>143.80000000000001</v>
      </c>
      <c r="G1030">
        <v>930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151.436121526937</v>
      </c>
      <c r="C1031" s="116">
        <v>134.960660748436</v>
      </c>
      <c r="D1031" s="116">
        <v>132.395618950586</v>
      </c>
      <c r="E1031" s="116">
        <v>151.436121526937</v>
      </c>
      <c r="F1031" s="116">
        <v>136.80000000000001</v>
      </c>
      <c r="G1031">
        <v>401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141.07729888177201</v>
      </c>
      <c r="C1032" s="116">
        <v>136.04587073983501</v>
      </c>
      <c r="D1032" s="116">
        <v>134.467383479619</v>
      </c>
      <c r="E1032" s="116">
        <v>134.51671120650099</v>
      </c>
      <c r="F1032" s="116">
        <v>137.9</v>
      </c>
      <c r="G1032">
        <v>113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140.04141661725501</v>
      </c>
      <c r="C1033" s="116">
        <v>139.79477798284699</v>
      </c>
      <c r="D1033" s="116">
        <v>136.14452619359801</v>
      </c>
      <c r="E1033" s="116">
        <v>136.14452619359801</v>
      </c>
      <c r="F1033" s="116">
        <v>141.69999999999999</v>
      </c>
      <c r="G1033">
        <v>206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140.04141661725501</v>
      </c>
      <c r="C1034" s="116">
        <v>134.270072572092</v>
      </c>
      <c r="D1034" s="116">
        <v>134.22074484520999</v>
      </c>
      <c r="E1034" s="116">
        <v>140.04141661725501</v>
      </c>
      <c r="F1034" s="116">
        <v>136.1</v>
      </c>
      <c r="G1034">
        <v>230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141.07729888177201</v>
      </c>
      <c r="C1035" s="116">
        <v>137.131080731233</v>
      </c>
      <c r="D1035" s="116">
        <v>137.131080731233</v>
      </c>
      <c r="E1035" s="116">
        <v>141.07729888177201</v>
      </c>
      <c r="F1035" s="116">
        <v>139</v>
      </c>
      <c r="G1035">
        <v>459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143.938307040913</v>
      </c>
      <c r="C1036" s="116">
        <v>143.74099613338601</v>
      </c>
      <c r="D1036" s="116">
        <v>141.57057615058901</v>
      </c>
      <c r="E1036" s="116">
        <v>142.01452569252501</v>
      </c>
      <c r="F1036" s="116">
        <v>145.69999999999999</v>
      </c>
      <c r="G1036">
        <v>1325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150.94284425811901</v>
      </c>
      <c r="C1037" s="116">
        <v>149.95628972048499</v>
      </c>
      <c r="D1037" s="116">
        <v>141.12662660865399</v>
      </c>
      <c r="E1037" s="116">
        <v>143.099735683923</v>
      </c>
      <c r="F1037" s="116">
        <v>152</v>
      </c>
      <c r="G1037">
        <v>1410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152.42267606457199</v>
      </c>
      <c r="C1038" s="116">
        <v>148.96973518285</v>
      </c>
      <c r="D1038" s="116">
        <v>141.12662660865399</v>
      </c>
      <c r="E1038" s="116">
        <v>141.12662660865399</v>
      </c>
      <c r="F1038" s="116">
        <v>151</v>
      </c>
      <c r="G1038">
        <v>1110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150.94284425811901</v>
      </c>
      <c r="C1039" s="116">
        <v>150.94284425811901</v>
      </c>
      <c r="D1039" s="116">
        <v>150.94284425811901</v>
      </c>
      <c r="E1039" s="116">
        <v>150.94284425811901</v>
      </c>
      <c r="F1039" s="116">
        <v>153</v>
      </c>
      <c r="G1039">
        <v>1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152.91595333338901</v>
      </c>
      <c r="C1040" s="116">
        <v>152.91595333338901</v>
      </c>
      <c r="D1040" s="116">
        <v>140.68267706671801</v>
      </c>
      <c r="E1040" s="116">
        <v>140.68267706671801</v>
      </c>
      <c r="F1040" s="116">
        <v>155</v>
      </c>
      <c r="G1040">
        <v>1225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168.700825935545</v>
      </c>
      <c r="C1041" s="116">
        <v>163.768053247371</v>
      </c>
      <c r="D1041" s="116">
        <v>149.01906290973201</v>
      </c>
      <c r="E1041" s="116">
        <v>162.78149870973701</v>
      </c>
      <c r="F1041" s="116">
        <v>166</v>
      </c>
      <c r="G1041">
        <v>4705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171.46317864092299</v>
      </c>
      <c r="C1042" s="116">
        <v>163.02813734414499</v>
      </c>
      <c r="D1042" s="116">
        <v>161.844271898984</v>
      </c>
      <c r="E1042" s="116">
        <v>171.46317864092299</v>
      </c>
      <c r="F1042" s="116">
        <v>165.25</v>
      </c>
      <c r="G1042">
        <v>507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167.71427139791101</v>
      </c>
      <c r="C1043" s="116">
        <v>162.830826436618</v>
      </c>
      <c r="D1043" s="116">
        <v>162.041582806511</v>
      </c>
      <c r="E1043" s="116">
        <v>167.71427139791101</v>
      </c>
      <c r="F1043" s="116">
        <v>165.05</v>
      </c>
      <c r="G1043">
        <v>113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171.167212279632</v>
      </c>
      <c r="C1044" s="116">
        <v>167.66494367102899</v>
      </c>
      <c r="D1044" s="116">
        <v>162.78149870973701</v>
      </c>
      <c r="E1044" s="116">
        <v>171.167212279632</v>
      </c>
      <c r="F1044" s="116">
        <v>169.95</v>
      </c>
      <c r="G1044">
        <v>672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168.700825935545</v>
      </c>
      <c r="C1045" s="116">
        <v>165.741162322641</v>
      </c>
      <c r="D1045" s="116">
        <v>163.768053247371</v>
      </c>
      <c r="E1045" s="116">
        <v>163.768053247371</v>
      </c>
      <c r="F1045" s="116">
        <v>168</v>
      </c>
      <c r="G1045">
        <v>2085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172.40040545167599</v>
      </c>
      <c r="C1046" s="116">
        <v>166.18511186457701</v>
      </c>
      <c r="D1046" s="116">
        <v>160.36444009253199</v>
      </c>
      <c r="E1046" s="116">
        <v>160.36444009253199</v>
      </c>
      <c r="F1046" s="116">
        <v>168.45</v>
      </c>
      <c r="G1046">
        <v>30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166.234439591458</v>
      </c>
      <c r="C1047" s="116">
        <v>162.78149870973701</v>
      </c>
      <c r="D1047" s="116">
        <v>162.337549167801</v>
      </c>
      <c r="E1047" s="116">
        <v>162.97880961726401</v>
      </c>
      <c r="F1047" s="116">
        <v>165</v>
      </c>
      <c r="G1047">
        <v>1336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162.78149870973701</v>
      </c>
      <c r="C1048" s="116">
        <v>162.78149870973701</v>
      </c>
      <c r="D1048" s="116">
        <v>160.80838963446701</v>
      </c>
      <c r="E1048" s="116">
        <v>160.80838963446701</v>
      </c>
      <c r="F1048" s="116">
        <v>165</v>
      </c>
      <c r="G1048">
        <v>787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165.741162322641</v>
      </c>
      <c r="C1049" s="116">
        <v>161.79494417210199</v>
      </c>
      <c r="D1049" s="116">
        <v>161.79494417210199</v>
      </c>
      <c r="E1049" s="116">
        <v>165.49452368823199</v>
      </c>
      <c r="F1049" s="116">
        <v>164</v>
      </c>
      <c r="G1049">
        <v>157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163.274775978554</v>
      </c>
      <c r="C1050" s="116">
        <v>157.94738147532601</v>
      </c>
      <c r="D1050" s="116">
        <v>157.94738147532601</v>
      </c>
      <c r="E1050" s="116">
        <v>157.996709202208</v>
      </c>
      <c r="F1050" s="116">
        <v>160.1</v>
      </c>
      <c r="G1050">
        <v>258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159.03259146672499</v>
      </c>
      <c r="C1051" s="116">
        <v>158.835280559198</v>
      </c>
      <c r="D1051" s="116">
        <v>156.91149921081001</v>
      </c>
      <c r="E1051" s="116">
        <v>156.91149921081001</v>
      </c>
      <c r="F1051" s="116">
        <v>161</v>
      </c>
      <c r="G1051">
        <v>312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162.78149870973701</v>
      </c>
      <c r="C1052" s="116">
        <v>155.530322858121</v>
      </c>
      <c r="D1052" s="116">
        <v>154.93839013554</v>
      </c>
      <c r="E1052" s="116">
        <v>154.93839013554</v>
      </c>
      <c r="F1052" s="116">
        <v>157.65</v>
      </c>
      <c r="G1052">
        <v>2761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164.75460778500599</v>
      </c>
      <c r="C1053" s="116">
        <v>161.203011449521</v>
      </c>
      <c r="D1053" s="116">
        <v>156.86217148392799</v>
      </c>
      <c r="E1053" s="116">
        <v>164.75460778500599</v>
      </c>
      <c r="F1053" s="116">
        <v>163.4</v>
      </c>
      <c r="G1053">
        <v>13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159.575196462424</v>
      </c>
      <c r="C1054" s="116">
        <v>159.575196462424</v>
      </c>
      <c r="D1054" s="116">
        <v>156.86217148392799</v>
      </c>
      <c r="E1054" s="116">
        <v>156.86217148392799</v>
      </c>
      <c r="F1054" s="116">
        <v>161.75</v>
      </c>
      <c r="G1054">
        <v>200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160.80838963446701</v>
      </c>
      <c r="C1055" s="116">
        <v>156.91149921081001</v>
      </c>
      <c r="D1055" s="116">
        <v>155.87561694629301</v>
      </c>
      <c r="E1055" s="116">
        <v>155.92494467317499</v>
      </c>
      <c r="F1055" s="116">
        <v>159.05000000000001</v>
      </c>
      <c r="G1055">
        <v>680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165.54385141511401</v>
      </c>
      <c r="C1056" s="116">
        <v>156.02360012693899</v>
      </c>
      <c r="D1056" s="116">
        <v>155.974272400057</v>
      </c>
      <c r="E1056" s="116">
        <v>165.54385141511401</v>
      </c>
      <c r="F1056" s="116">
        <v>158.15</v>
      </c>
      <c r="G1056">
        <v>192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182.413934008669</v>
      </c>
      <c r="C1057" s="116">
        <v>160.85771736134899</v>
      </c>
      <c r="D1057" s="116">
        <v>160.561751000058</v>
      </c>
      <c r="E1057" s="116">
        <v>182.413934008669</v>
      </c>
      <c r="F1057" s="116">
        <v>163.05000000000001</v>
      </c>
      <c r="G1057">
        <v>243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163.71872552049001</v>
      </c>
      <c r="C1058" s="116">
        <v>163.570742339845</v>
      </c>
      <c r="D1058" s="116">
        <v>160.95637281511199</v>
      </c>
      <c r="E1058" s="116">
        <v>161.05502826887599</v>
      </c>
      <c r="F1058" s="116">
        <v>165.8</v>
      </c>
      <c r="G1058">
        <v>331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164.705280058124</v>
      </c>
      <c r="C1059" s="116">
        <v>164.55729687747899</v>
      </c>
      <c r="D1059" s="116">
        <v>158.88460828607899</v>
      </c>
      <c r="E1059" s="116">
        <v>164.705280058124</v>
      </c>
      <c r="F1059" s="116">
        <v>166.8</v>
      </c>
      <c r="G1059">
        <v>102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166.234439591458</v>
      </c>
      <c r="C1060" s="116">
        <v>159.52586873554199</v>
      </c>
      <c r="D1060" s="116">
        <v>158.835280559198</v>
      </c>
      <c r="E1060" s="116">
        <v>166.234439591458</v>
      </c>
      <c r="F1060" s="116">
        <v>161.69999999999999</v>
      </c>
      <c r="G1060">
        <v>540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160.80838963446701</v>
      </c>
      <c r="C1061" s="116">
        <v>160.80838963446701</v>
      </c>
      <c r="D1061" s="116">
        <v>155.38233967747601</v>
      </c>
      <c r="E1061" s="116">
        <v>155.431667404358</v>
      </c>
      <c r="F1061" s="116">
        <v>163</v>
      </c>
      <c r="G1061">
        <v>4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157.84872602156301</v>
      </c>
      <c r="C1062" s="116">
        <v>157.84872602156301</v>
      </c>
      <c r="D1062" s="116">
        <v>154.88906240865899</v>
      </c>
      <c r="E1062" s="116">
        <v>155.38233967747601</v>
      </c>
      <c r="F1062" s="116">
        <v>160</v>
      </c>
      <c r="G1062">
        <v>668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155.87561694629301</v>
      </c>
      <c r="C1063" s="116">
        <v>155.87561694629301</v>
      </c>
      <c r="D1063" s="116">
        <v>155.87561694629301</v>
      </c>
      <c r="E1063" s="116">
        <v>155.87561694629301</v>
      </c>
      <c r="F1063" s="116">
        <v>158</v>
      </c>
      <c r="G1063">
        <v>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43570</v>
      </c>
      <c r="B1064" s="116">
        <v>157.84872602156301</v>
      </c>
      <c r="C1064" s="116">
        <v>157.84872602156301</v>
      </c>
      <c r="D1064" s="116">
        <v>152.91595333338901</v>
      </c>
      <c r="E1064" s="116">
        <v>153.16259196779799</v>
      </c>
      <c r="F1064" s="116">
        <v>160</v>
      </c>
      <c r="G1064">
        <v>1459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43571</v>
      </c>
      <c r="B1065" s="116">
        <v>166.72771686027599</v>
      </c>
      <c r="C1065" s="116">
        <v>161.25233917640301</v>
      </c>
      <c r="D1065" s="116">
        <v>154.59309604736799</v>
      </c>
      <c r="E1065" s="116">
        <v>166.72771686027599</v>
      </c>
      <c r="F1065" s="116">
        <v>163.44999999999999</v>
      </c>
      <c r="G1065">
        <v>56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43573</v>
      </c>
      <c r="B1066" s="116">
        <v>161.74561644522001</v>
      </c>
      <c r="C1066" s="116">
        <v>152.02805424951799</v>
      </c>
      <c r="D1066" s="116">
        <v>151.929398795754</v>
      </c>
      <c r="E1066" s="116">
        <v>155.72763376564799</v>
      </c>
      <c r="F1066" s="116">
        <v>154.1</v>
      </c>
      <c r="G1066">
        <v>860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43577</v>
      </c>
      <c r="B1067" s="116">
        <v>153.85318014414199</v>
      </c>
      <c r="C1067" s="116">
        <v>148.47645791403301</v>
      </c>
      <c r="D1067" s="116">
        <v>146.10872702370901</v>
      </c>
      <c r="E1067" s="116">
        <v>146.10872702370901</v>
      </c>
      <c r="F1067" s="116">
        <v>150.5</v>
      </c>
      <c r="G1067">
        <v>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43578</v>
      </c>
      <c r="B1068" s="116">
        <v>166.48107822586701</v>
      </c>
      <c r="C1068" s="116">
        <v>151.929398795754</v>
      </c>
      <c r="D1068" s="116">
        <v>148.47645791403301</v>
      </c>
      <c r="E1068" s="116">
        <v>148.47645791403301</v>
      </c>
      <c r="F1068" s="116">
        <v>154</v>
      </c>
      <c r="G1068">
        <v>149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43579</v>
      </c>
      <c r="B1069" s="116">
        <v>152.17603743016301</v>
      </c>
      <c r="C1069" s="116">
        <v>149.660323359194</v>
      </c>
      <c r="D1069" s="116">
        <v>148.229819279624</v>
      </c>
      <c r="E1069" s="116">
        <v>151.929398795754</v>
      </c>
      <c r="F1069" s="116">
        <v>151.69999999999999</v>
      </c>
      <c r="G1069">
        <v>360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43580</v>
      </c>
      <c r="B1070" s="116">
        <v>177.57981677425801</v>
      </c>
      <c r="C1070" s="116">
        <v>155.333011950594</v>
      </c>
      <c r="D1070" s="116">
        <v>149.01906290973201</v>
      </c>
      <c r="E1070" s="116">
        <v>177.57981677425801</v>
      </c>
      <c r="F1070" s="116">
        <v>157.44999999999999</v>
      </c>
      <c r="G1070">
        <v>598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43581</v>
      </c>
      <c r="B1071" s="116">
        <v>153.902507871024</v>
      </c>
      <c r="C1071" s="116">
        <v>150.94284425811901</v>
      </c>
      <c r="D1071" s="116">
        <v>148.96973518285</v>
      </c>
      <c r="E1071" s="116">
        <v>153.60654150973301</v>
      </c>
      <c r="F1071" s="116">
        <v>153</v>
      </c>
      <c r="G1071">
        <v>610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43585</v>
      </c>
      <c r="B1072" s="116">
        <v>150.94284425811901</v>
      </c>
      <c r="C1072" s="116">
        <v>150.94284425811901</v>
      </c>
      <c r="D1072" s="116">
        <v>150.94284425811901</v>
      </c>
      <c r="E1072" s="116">
        <v>150.94284425811901</v>
      </c>
      <c r="F1072" s="116">
        <v>153</v>
      </c>
      <c r="G1072">
        <v>101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43587</v>
      </c>
      <c r="B1073" s="116">
        <v>172.64704408608401</v>
      </c>
      <c r="C1073" s="116">
        <v>155.72763376564799</v>
      </c>
      <c r="D1073" s="116">
        <v>149.95628972048499</v>
      </c>
      <c r="E1073" s="116">
        <v>172.64704408608401</v>
      </c>
      <c r="F1073" s="116">
        <v>157.85</v>
      </c>
      <c r="G1073">
        <v>404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43588</v>
      </c>
      <c r="B1074" s="116">
        <v>151.929398795754</v>
      </c>
      <c r="C1074" s="116">
        <v>148.96973518285</v>
      </c>
      <c r="D1074" s="116">
        <v>143.099735683923</v>
      </c>
      <c r="E1074" s="116">
        <v>143.099735683923</v>
      </c>
      <c r="F1074" s="116">
        <v>151</v>
      </c>
      <c r="G1074">
        <v>112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43591</v>
      </c>
      <c r="B1075" s="116">
        <v>149.90696199360301</v>
      </c>
      <c r="C1075" s="116">
        <v>149.90696199360301</v>
      </c>
      <c r="D1075" s="116">
        <v>148.96973518285</v>
      </c>
      <c r="E1075" s="116">
        <v>148.96973518285</v>
      </c>
      <c r="F1075" s="116">
        <v>151.94999999999999</v>
      </c>
      <c r="G1075">
        <v>201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43592</v>
      </c>
      <c r="B1076" s="116">
        <v>149.95628972048499</v>
      </c>
      <c r="C1076" s="116">
        <v>138.85755117209399</v>
      </c>
      <c r="D1076" s="116">
        <v>138.561584810803</v>
      </c>
      <c r="E1076" s="116">
        <v>149.95628972048499</v>
      </c>
      <c r="F1076" s="116">
        <v>140.75</v>
      </c>
      <c r="G1076">
        <v>743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43593</v>
      </c>
      <c r="B1077" s="116">
        <v>143.79032386026699</v>
      </c>
      <c r="C1077" s="116">
        <v>138.70956799144801</v>
      </c>
      <c r="D1077" s="116">
        <v>138.166962995749</v>
      </c>
      <c r="E1077" s="116">
        <v>138.51225708392101</v>
      </c>
      <c r="F1077" s="116">
        <v>140.6</v>
      </c>
      <c r="G1077">
        <v>263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43594</v>
      </c>
      <c r="B1078" s="116">
        <v>143.98763476779399</v>
      </c>
      <c r="C1078" s="116">
        <v>137.18040845811399</v>
      </c>
      <c r="D1078" s="116">
        <v>135.65124892478099</v>
      </c>
      <c r="E1078" s="116">
        <v>143.98763476779399</v>
      </c>
      <c r="F1078" s="116">
        <v>139.05000000000001</v>
      </c>
      <c r="G1078">
        <v>650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43595</v>
      </c>
      <c r="B1079" s="116">
        <v>141.965197965643</v>
      </c>
      <c r="C1079" s="116">
        <v>139.10418980650201</v>
      </c>
      <c r="D1079" s="116">
        <v>137.131080731233</v>
      </c>
      <c r="E1079" s="116">
        <v>137.131080731233</v>
      </c>
      <c r="F1079" s="116">
        <v>141</v>
      </c>
      <c r="G1079">
        <v>587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43598</v>
      </c>
      <c r="B1080" s="116">
        <v>138.31494617639399</v>
      </c>
      <c r="C1080" s="116">
        <v>138.11763526886801</v>
      </c>
      <c r="D1080" s="116">
        <v>133.38217348822101</v>
      </c>
      <c r="E1080" s="116">
        <v>138.31494617639399</v>
      </c>
      <c r="F1080" s="116">
        <v>140</v>
      </c>
      <c r="G1080">
        <v>20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43599</v>
      </c>
      <c r="B1081" s="116">
        <v>142.75444159575099</v>
      </c>
      <c r="C1081" s="116">
        <v>138.80822344521201</v>
      </c>
      <c r="D1081" s="116">
        <v>137.92032436134099</v>
      </c>
      <c r="E1081" s="116">
        <v>138.11763526886801</v>
      </c>
      <c r="F1081" s="116">
        <v>140.69999999999999</v>
      </c>
      <c r="G1081">
        <v>108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43600</v>
      </c>
      <c r="B1082" s="116">
        <v>146.94729838069901</v>
      </c>
      <c r="C1082" s="116">
        <v>137.131080731233</v>
      </c>
      <c r="D1082" s="116">
        <v>137.131080731233</v>
      </c>
      <c r="E1082" s="116">
        <v>146.94729838069901</v>
      </c>
      <c r="F1082" s="116">
        <v>139</v>
      </c>
      <c r="G1082">
        <v>281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43601</v>
      </c>
      <c r="B1083" s="116">
        <v>147.933852918333</v>
      </c>
      <c r="C1083" s="116">
        <v>134.664694387146</v>
      </c>
      <c r="D1083" s="116">
        <v>133.67813984951101</v>
      </c>
      <c r="E1083" s="116">
        <v>147.933852918333</v>
      </c>
      <c r="F1083" s="116">
        <v>136.5</v>
      </c>
      <c r="G1083">
        <v>164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43602</v>
      </c>
      <c r="B1084" s="116">
        <v>133.18486258069399</v>
      </c>
      <c r="C1084" s="116">
        <v>132.88889621940299</v>
      </c>
      <c r="D1084" s="116">
        <v>129.38662761079999</v>
      </c>
      <c r="E1084" s="116">
        <v>133.18486258069399</v>
      </c>
      <c r="F1084" s="116">
        <v>134.69999999999999</v>
      </c>
      <c r="G1084">
        <v>495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43605</v>
      </c>
      <c r="B1085" s="116">
        <v>145.02351703231099</v>
      </c>
      <c r="C1085" s="116">
        <v>138.11763526886801</v>
      </c>
      <c r="D1085" s="116">
        <v>130.225198967789</v>
      </c>
      <c r="E1085" s="116">
        <v>145.02351703231099</v>
      </c>
      <c r="F1085" s="116">
        <v>140</v>
      </c>
      <c r="G1085">
        <v>925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43606</v>
      </c>
      <c r="B1086" s="116">
        <v>147.933852918333</v>
      </c>
      <c r="C1086" s="116">
        <v>134.17141711832801</v>
      </c>
      <c r="D1086" s="116">
        <v>134.17141711832801</v>
      </c>
      <c r="E1086" s="116">
        <v>147.933852918333</v>
      </c>
      <c r="F1086" s="116">
        <v>136</v>
      </c>
      <c r="G1086">
        <v>2801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43607</v>
      </c>
      <c r="B1087" s="116">
        <v>134.17141711832801</v>
      </c>
      <c r="C1087" s="116">
        <v>132.24763576994101</v>
      </c>
      <c r="D1087" s="116">
        <v>131.70503077424101</v>
      </c>
      <c r="E1087" s="116">
        <v>134.17141711832801</v>
      </c>
      <c r="F1087" s="116">
        <v>134.05000000000001</v>
      </c>
      <c r="G1087">
        <v>155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43608</v>
      </c>
      <c r="B1088" s="116">
        <v>152.866625606507</v>
      </c>
      <c r="C1088" s="116">
        <v>135.40461029037201</v>
      </c>
      <c r="D1088" s="116">
        <v>128.35074534628299</v>
      </c>
      <c r="E1088" s="116">
        <v>152.866625606507</v>
      </c>
      <c r="F1088" s="116">
        <v>137.25</v>
      </c>
      <c r="G1088">
        <v>1134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43609</v>
      </c>
      <c r="B1089" s="116">
        <v>141.02797115489</v>
      </c>
      <c r="C1089" s="116">
        <v>136.63780346241501</v>
      </c>
      <c r="D1089" s="116">
        <v>136.39116482800699</v>
      </c>
      <c r="E1089" s="116">
        <v>141.02797115489</v>
      </c>
      <c r="F1089" s="116">
        <v>138.5</v>
      </c>
      <c r="G1089">
        <v>285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43612</v>
      </c>
      <c r="B1090" s="116">
        <v>155.57965058500301</v>
      </c>
      <c r="C1090" s="116">
        <v>147.73654201080601</v>
      </c>
      <c r="D1090" s="116">
        <v>136.63780346241501</v>
      </c>
      <c r="E1090" s="116">
        <v>136.63780346241501</v>
      </c>
      <c r="F1090" s="116">
        <v>149.75</v>
      </c>
      <c r="G1090">
        <v>13507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43613</v>
      </c>
      <c r="B1091" s="116">
        <v>177.28385041296801</v>
      </c>
      <c r="C1091" s="116">
        <v>172.79502726672999</v>
      </c>
      <c r="D1091" s="116">
        <v>157.84872602156301</v>
      </c>
      <c r="E1091" s="116">
        <v>171.167212279632</v>
      </c>
      <c r="F1091" s="116">
        <v>175.15</v>
      </c>
      <c r="G1091">
        <v>9550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43614</v>
      </c>
      <c r="B1092" s="116">
        <v>178.56637131189299</v>
      </c>
      <c r="C1092" s="116">
        <v>173.28830453554701</v>
      </c>
      <c r="D1092" s="116">
        <v>170.032674561352</v>
      </c>
      <c r="E1092" s="116">
        <v>178.56637131189299</v>
      </c>
      <c r="F1092" s="116">
        <v>175.65</v>
      </c>
      <c r="G1092">
        <v>968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43615</v>
      </c>
      <c r="B1093" s="116">
        <v>177.481161320495</v>
      </c>
      <c r="C1093" s="116">
        <v>171.31519546027701</v>
      </c>
      <c r="D1093" s="116">
        <v>170.27931319576101</v>
      </c>
      <c r="E1093" s="116">
        <v>177.481161320495</v>
      </c>
      <c r="F1093" s="116">
        <v>173.65</v>
      </c>
      <c r="G1093">
        <v>1214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43616</v>
      </c>
      <c r="B1094" s="116">
        <v>179.306287215119</v>
      </c>
      <c r="C1094" s="116">
        <v>175.310741337698</v>
      </c>
      <c r="D1094" s="116">
        <v>168.99679229683599</v>
      </c>
      <c r="E1094" s="116">
        <v>179.306287215119</v>
      </c>
      <c r="F1094" s="116">
        <v>177.7</v>
      </c>
      <c r="G1094">
        <v>3859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43620</v>
      </c>
      <c r="B1095" s="116">
        <v>168.10889321296401</v>
      </c>
      <c r="C1095" s="116">
        <v>164.01469188178001</v>
      </c>
      <c r="D1095" s="116">
        <v>159.82183509683199</v>
      </c>
      <c r="E1095" s="116">
        <v>166.08645641081301</v>
      </c>
      <c r="F1095" s="116">
        <v>166.25</v>
      </c>
      <c r="G1095">
        <v>1762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43622</v>
      </c>
      <c r="B1096" s="116">
        <v>169.68738047318001</v>
      </c>
      <c r="C1096" s="116">
        <v>162.78149870973701</v>
      </c>
      <c r="D1096" s="116">
        <v>159.92049055059601</v>
      </c>
      <c r="E1096" s="116">
        <v>168.207548666728</v>
      </c>
      <c r="F1096" s="116">
        <v>165</v>
      </c>
      <c r="G1096">
        <v>1421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43623</v>
      </c>
      <c r="B1097" s="116">
        <v>165.741162322641</v>
      </c>
      <c r="C1097" s="116">
        <v>161.94292735274701</v>
      </c>
      <c r="D1097" s="116">
        <v>161.79494417210199</v>
      </c>
      <c r="E1097" s="116">
        <v>161.79494417210199</v>
      </c>
      <c r="F1097" s="116">
        <v>164.15</v>
      </c>
      <c r="G1097">
        <v>600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43626</v>
      </c>
      <c r="B1098" s="116">
        <v>170.032674561352</v>
      </c>
      <c r="C1098" s="116">
        <v>170.032674561352</v>
      </c>
      <c r="D1098" s="116">
        <v>155.135701043067</v>
      </c>
      <c r="E1098" s="116">
        <v>169.638052746298</v>
      </c>
      <c r="F1098" s="116">
        <v>172.35</v>
      </c>
      <c r="G1098">
        <v>1074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43627</v>
      </c>
      <c r="B1099" s="116">
        <v>170.032674561352</v>
      </c>
      <c r="C1099" s="116">
        <v>162.09091053339199</v>
      </c>
      <c r="D1099" s="116">
        <v>161.59763326457499</v>
      </c>
      <c r="E1099" s="116">
        <v>170.032674561352</v>
      </c>
      <c r="F1099" s="116">
        <v>164.3</v>
      </c>
      <c r="G1099">
        <v>2039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43628</v>
      </c>
      <c r="B1100" s="116">
        <v>169.68738047318001</v>
      </c>
      <c r="C1100" s="116">
        <v>159.82183509683199</v>
      </c>
      <c r="D1100" s="116">
        <v>158.835280559198</v>
      </c>
      <c r="E1100" s="116">
        <v>169.68738047318001</v>
      </c>
      <c r="F1100" s="116">
        <v>162</v>
      </c>
      <c r="G1100">
        <v>955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43629</v>
      </c>
      <c r="B1101" s="116">
        <v>162.78149870973701</v>
      </c>
      <c r="C1101" s="116">
        <v>162.78149870973701</v>
      </c>
      <c r="D1101" s="116">
        <v>159.82183509683199</v>
      </c>
      <c r="E1101" s="116">
        <v>159.82183509683199</v>
      </c>
      <c r="F1101" s="116">
        <v>165</v>
      </c>
      <c r="G1101">
        <v>125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43630</v>
      </c>
      <c r="B1102" s="116">
        <v>165.642506868878</v>
      </c>
      <c r="C1102" s="116">
        <v>162.68284325597301</v>
      </c>
      <c r="D1102" s="116">
        <v>155.974272400057</v>
      </c>
      <c r="E1102" s="116">
        <v>165.642506868878</v>
      </c>
      <c r="F1102" s="116">
        <v>164.9</v>
      </c>
      <c r="G1102">
        <v>91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43633</v>
      </c>
      <c r="B1103" s="116">
        <v>160.80838963446701</v>
      </c>
      <c r="C1103" s="116">
        <v>154.69175150113199</v>
      </c>
      <c r="D1103" s="116">
        <v>154.59309604736799</v>
      </c>
      <c r="E1103" s="116">
        <v>154.88906240865899</v>
      </c>
      <c r="F1103" s="116">
        <v>156.80000000000001</v>
      </c>
      <c r="G1103">
        <v>3353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43634</v>
      </c>
      <c r="B1104" s="116">
        <v>154.88906240865899</v>
      </c>
      <c r="C1104" s="116">
        <v>147.98318064521499</v>
      </c>
      <c r="D1104" s="116">
        <v>147.98318064521499</v>
      </c>
      <c r="E1104" s="116">
        <v>154.88906240865899</v>
      </c>
      <c r="F1104" s="116">
        <v>150</v>
      </c>
      <c r="G1104">
        <v>554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43635</v>
      </c>
      <c r="B1105" s="116">
        <v>147.98318064521499</v>
      </c>
      <c r="C1105" s="116">
        <v>144.036962494676</v>
      </c>
      <c r="D1105" s="116">
        <v>142.063853419407</v>
      </c>
      <c r="E1105" s="116">
        <v>147.98318064521499</v>
      </c>
      <c r="F1105" s="116">
        <v>146</v>
      </c>
      <c r="G1105">
        <v>372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43636</v>
      </c>
      <c r="B1106" s="116">
        <v>143.05040795704099</v>
      </c>
      <c r="C1106" s="116">
        <v>138.364273903276</v>
      </c>
      <c r="D1106" s="116">
        <v>136.835114369942</v>
      </c>
      <c r="E1106" s="116">
        <v>138.21629072263099</v>
      </c>
      <c r="F1106" s="116">
        <v>140.25</v>
      </c>
      <c r="G1106">
        <v>402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43637</v>
      </c>
      <c r="B1107" s="116">
        <v>145.02351703231099</v>
      </c>
      <c r="C1107" s="116">
        <v>145.02351703231099</v>
      </c>
      <c r="D1107" s="116">
        <v>135.157971655963</v>
      </c>
      <c r="E1107" s="116">
        <v>138.61091253768501</v>
      </c>
      <c r="F1107" s="116">
        <v>147</v>
      </c>
      <c r="G1107">
        <v>272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43640</v>
      </c>
      <c r="B1108" s="116">
        <v>144.924861578547</v>
      </c>
      <c r="C1108" s="116">
        <v>144.924861578547</v>
      </c>
      <c r="D1108" s="116">
        <v>137.77234118069501</v>
      </c>
      <c r="E1108" s="116">
        <v>137.77234118069501</v>
      </c>
      <c r="F1108" s="116">
        <v>146.9</v>
      </c>
      <c r="G1108">
        <v>1034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43641</v>
      </c>
      <c r="B1109" s="116">
        <v>146.207382477473</v>
      </c>
      <c r="C1109" s="116">
        <v>146.059399296827</v>
      </c>
      <c r="D1109" s="116">
        <v>145.763432935537</v>
      </c>
      <c r="E1109" s="116">
        <v>145.763432935537</v>
      </c>
      <c r="F1109" s="116">
        <v>148.05000000000001</v>
      </c>
      <c r="G1109">
        <v>426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43642</v>
      </c>
      <c r="B1110" s="116">
        <v>151.88007106887301</v>
      </c>
      <c r="C1110" s="116">
        <v>150.99217198500099</v>
      </c>
      <c r="D1110" s="116">
        <v>143.099735683923</v>
      </c>
      <c r="E1110" s="116">
        <v>143.099735683923</v>
      </c>
      <c r="F1110" s="116">
        <v>153.05000000000001</v>
      </c>
      <c r="G1110">
        <v>562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43643</v>
      </c>
      <c r="B1111" s="116">
        <v>149.95628972048499</v>
      </c>
      <c r="C1111" s="116">
        <v>149.75897881295799</v>
      </c>
      <c r="D1111" s="116">
        <v>146.99662610758</v>
      </c>
      <c r="E1111" s="116">
        <v>146.99662610758</v>
      </c>
      <c r="F1111" s="116">
        <v>151.80000000000001</v>
      </c>
      <c r="G1111">
        <v>449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43644</v>
      </c>
      <c r="B1112" s="116">
        <v>147.98318064521499</v>
      </c>
      <c r="C1112" s="116">
        <v>145.072844759193</v>
      </c>
      <c r="D1112" s="116">
        <v>145.02351703231099</v>
      </c>
      <c r="E1112" s="116">
        <v>147.98318064521499</v>
      </c>
      <c r="F1112" s="116">
        <v>147.05000000000001</v>
      </c>
      <c r="G1112">
        <v>194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43647</v>
      </c>
      <c r="B1113" s="116">
        <v>149.95628972048499</v>
      </c>
      <c r="C1113" s="116">
        <v>142.21183660005201</v>
      </c>
      <c r="D1113" s="116">
        <v>142.063853419407</v>
      </c>
      <c r="E1113" s="116">
        <v>142.11318114628801</v>
      </c>
      <c r="F1113" s="116">
        <v>144.15</v>
      </c>
      <c r="G1113">
        <v>788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43648</v>
      </c>
      <c r="B1114" s="116">
        <v>146.01007156994601</v>
      </c>
      <c r="C1114" s="116">
        <v>146.01007156994601</v>
      </c>
      <c r="D1114" s="116">
        <v>139.202845260266</v>
      </c>
      <c r="E1114" s="116">
        <v>139.202845260266</v>
      </c>
      <c r="F1114" s="116">
        <v>148</v>
      </c>
      <c r="G1114">
        <v>209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43649</v>
      </c>
      <c r="B1115" s="116">
        <v>147.98318064521499</v>
      </c>
      <c r="C1115" s="116">
        <v>147.98318064521499</v>
      </c>
      <c r="D1115" s="116">
        <v>138.70956799144801</v>
      </c>
      <c r="E1115" s="116">
        <v>138.70956799144801</v>
      </c>
      <c r="F1115" s="116">
        <v>150</v>
      </c>
      <c r="G1115">
        <v>405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43651</v>
      </c>
      <c r="B1116" s="116">
        <v>145.96074384306399</v>
      </c>
      <c r="C1116" s="116">
        <v>145.96074384306399</v>
      </c>
      <c r="D1116" s="116">
        <v>141.07729888177201</v>
      </c>
      <c r="E1116" s="116">
        <v>141.07729888177201</v>
      </c>
      <c r="F1116" s="116">
        <v>147.94999999999999</v>
      </c>
      <c r="G1116">
        <v>55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43654</v>
      </c>
      <c r="B1117" s="116">
        <v>149.95628972048499</v>
      </c>
      <c r="C1117" s="116">
        <v>139.202845260266</v>
      </c>
      <c r="D1117" s="116">
        <v>139.202845260266</v>
      </c>
      <c r="E1117" s="116">
        <v>139.202845260266</v>
      </c>
      <c r="F1117" s="116">
        <v>141.1</v>
      </c>
      <c r="G1117">
        <v>56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43655</v>
      </c>
      <c r="B1118" s="116">
        <v>146.15805475059099</v>
      </c>
      <c r="C1118" s="116">
        <v>143.00108023016</v>
      </c>
      <c r="D1118" s="116">
        <v>134.22074484520999</v>
      </c>
      <c r="E1118" s="116">
        <v>139.10418980650201</v>
      </c>
      <c r="F1118" s="116">
        <v>144.94999999999999</v>
      </c>
      <c r="G1118">
        <v>3134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43657</v>
      </c>
      <c r="B1119" s="116">
        <v>137.131080731233</v>
      </c>
      <c r="C1119" s="116">
        <v>136.736458916179</v>
      </c>
      <c r="D1119" s="116">
        <v>135.897887559189</v>
      </c>
      <c r="E1119" s="116">
        <v>135.897887559189</v>
      </c>
      <c r="F1119" s="116">
        <v>138.6</v>
      </c>
      <c r="G1119">
        <v>144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43661</v>
      </c>
      <c r="B1120" s="116">
        <v>142.45847523446</v>
      </c>
      <c r="C1120" s="116">
        <v>142.45847523446</v>
      </c>
      <c r="D1120" s="116">
        <v>142.45847523446</v>
      </c>
      <c r="E1120" s="116">
        <v>142.45847523446</v>
      </c>
      <c r="F1120" s="116">
        <v>144.4</v>
      </c>
      <c r="G1120">
        <v>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43662</v>
      </c>
      <c r="B1121" s="116">
        <v>143.05040795704099</v>
      </c>
      <c r="C1121" s="116">
        <v>140.09074434413699</v>
      </c>
      <c r="D1121" s="116">
        <v>137.131080731233</v>
      </c>
      <c r="E1121" s="116">
        <v>137.131080731233</v>
      </c>
      <c r="F1121" s="116">
        <v>142</v>
      </c>
      <c r="G1121">
        <v>493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43663</v>
      </c>
      <c r="B1122" s="116">
        <v>140.09074434413699</v>
      </c>
      <c r="C1122" s="116">
        <v>138.11763526886801</v>
      </c>
      <c r="D1122" s="116">
        <v>138.11763526886801</v>
      </c>
      <c r="E1122" s="116">
        <v>140.09074434413699</v>
      </c>
      <c r="F1122" s="116">
        <v>140</v>
      </c>
      <c r="G1122">
        <v>773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43664</v>
      </c>
      <c r="B1123" s="116">
        <v>142.063853419407</v>
      </c>
      <c r="C1123" s="116">
        <v>135.30595483660801</v>
      </c>
      <c r="D1123" s="116">
        <v>135.157971655963</v>
      </c>
      <c r="E1123" s="116">
        <v>137.032425277469</v>
      </c>
      <c r="F1123" s="116">
        <v>137.15</v>
      </c>
      <c r="G1123">
        <v>1062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43665</v>
      </c>
      <c r="B1124" s="116">
        <v>136.14452619359801</v>
      </c>
      <c r="C1124" s="116">
        <v>136.14452619359801</v>
      </c>
      <c r="D1124" s="116">
        <v>129.23864443015501</v>
      </c>
      <c r="E1124" s="116">
        <v>136.14452619359801</v>
      </c>
      <c r="F1124" s="116">
        <v>138</v>
      </c>
      <c r="G1124">
        <v>1154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43668</v>
      </c>
      <c r="B1125" s="116">
        <v>135.65124892478099</v>
      </c>
      <c r="C1125" s="116">
        <v>135.65124892478099</v>
      </c>
      <c r="D1125" s="116">
        <v>130.225198967789</v>
      </c>
      <c r="E1125" s="116">
        <v>130.225198967789</v>
      </c>
      <c r="F1125" s="116">
        <v>137.5</v>
      </c>
      <c r="G1125">
        <v>135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43669</v>
      </c>
      <c r="B1126" s="116">
        <v>136.14452619359801</v>
      </c>
      <c r="C1126" s="116">
        <v>134.467383479619</v>
      </c>
      <c r="D1126" s="116">
        <v>132.198308043059</v>
      </c>
      <c r="E1126" s="116">
        <v>132.198308043059</v>
      </c>
      <c r="F1126" s="116">
        <v>136.30000000000001</v>
      </c>
      <c r="G1126">
        <v>363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43670</v>
      </c>
      <c r="B1127" s="116">
        <v>136.14452619359801</v>
      </c>
      <c r="C1127" s="116">
        <v>136.14452619359801</v>
      </c>
      <c r="D1127" s="116">
        <v>127.758812623702</v>
      </c>
      <c r="E1127" s="116">
        <v>127.758812623702</v>
      </c>
      <c r="F1127" s="116">
        <v>138</v>
      </c>
      <c r="G1127">
        <v>531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43671</v>
      </c>
      <c r="B1128" s="116">
        <v>132.44494667746801</v>
      </c>
      <c r="C1128" s="116">
        <v>132.198308043059</v>
      </c>
      <c r="D1128" s="116">
        <v>132.198308043059</v>
      </c>
      <c r="E1128" s="116">
        <v>132.44494667746801</v>
      </c>
      <c r="F1128" s="116">
        <v>134</v>
      </c>
      <c r="G1128">
        <v>350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43672</v>
      </c>
      <c r="B1129" s="116">
        <v>134.17141711832801</v>
      </c>
      <c r="C1129" s="116">
        <v>133.87545075703801</v>
      </c>
      <c r="D1129" s="116">
        <v>126.476291724777</v>
      </c>
      <c r="E1129" s="116">
        <v>131.21175350542401</v>
      </c>
      <c r="F1129" s="116">
        <v>135.69999999999999</v>
      </c>
      <c r="G1129">
        <v>805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43675</v>
      </c>
      <c r="B1130" s="116">
        <v>130.225198967789</v>
      </c>
      <c r="C1130" s="116">
        <v>128.54805625380999</v>
      </c>
      <c r="D1130" s="116">
        <v>128.35074534628299</v>
      </c>
      <c r="E1130" s="116">
        <v>130.225198967789</v>
      </c>
      <c r="F1130" s="116">
        <v>130.30000000000001</v>
      </c>
      <c r="G1130">
        <v>320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43676</v>
      </c>
      <c r="B1131" s="116">
        <v>134.862005294673</v>
      </c>
      <c r="C1131" s="116">
        <v>128.25208989251999</v>
      </c>
      <c r="D1131" s="116">
        <v>128.25208989251999</v>
      </c>
      <c r="E1131" s="116">
        <v>128.25208989251999</v>
      </c>
      <c r="F1131" s="116">
        <v>130</v>
      </c>
      <c r="G1131">
        <v>683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43677</v>
      </c>
      <c r="B1132" s="116">
        <v>132.592929858113</v>
      </c>
      <c r="C1132" s="116">
        <v>128.696039434455</v>
      </c>
      <c r="D1132" s="116">
        <v>128.25208989251999</v>
      </c>
      <c r="E1132" s="116">
        <v>128.25208989251999</v>
      </c>
      <c r="F1132" s="116">
        <v>130.44999999999999</v>
      </c>
      <c r="G1132">
        <v>155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43678</v>
      </c>
      <c r="B1133" s="116">
        <v>134.12208939144699</v>
      </c>
      <c r="C1133" s="116">
        <v>127.265535354885</v>
      </c>
      <c r="D1133" s="116">
        <v>124.30587174198099</v>
      </c>
      <c r="E1133" s="116">
        <v>134.12208939144699</v>
      </c>
      <c r="F1133" s="116">
        <v>129</v>
      </c>
      <c r="G1133">
        <v>2972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43679</v>
      </c>
      <c r="B1134" s="116">
        <v>128.25208989251999</v>
      </c>
      <c r="C1134" s="116">
        <v>127.462846262412</v>
      </c>
      <c r="D1134" s="116">
        <v>122.826039935529</v>
      </c>
      <c r="E1134" s="116">
        <v>128.25208989251999</v>
      </c>
      <c r="F1134" s="116">
        <v>129.19999999999999</v>
      </c>
      <c r="G1134">
        <v>1027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43682</v>
      </c>
      <c r="B1135" s="116">
        <v>130.225198967789</v>
      </c>
      <c r="C1135" s="116">
        <v>130.17587124090801</v>
      </c>
      <c r="D1135" s="116">
        <v>121.099569494668</v>
      </c>
      <c r="E1135" s="116">
        <v>130.17587124090801</v>
      </c>
      <c r="F1135" s="116">
        <v>131.94999999999999</v>
      </c>
      <c r="G1135">
        <v>371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43683</v>
      </c>
      <c r="B1136" s="116">
        <v>130.225198967789</v>
      </c>
      <c r="C1136" s="116">
        <v>125.687048094669</v>
      </c>
      <c r="D1136" s="116">
        <v>125.292426279616</v>
      </c>
      <c r="E1136" s="116">
        <v>130.225198967789</v>
      </c>
      <c r="F1136" s="116">
        <v>127.4</v>
      </c>
      <c r="G1136">
        <v>800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43684</v>
      </c>
      <c r="B1137" s="116">
        <v>130.225198967789</v>
      </c>
      <c r="C1137" s="116">
        <v>128.05477898499299</v>
      </c>
      <c r="D1137" s="116">
        <v>120.408981318323</v>
      </c>
      <c r="E1137" s="116">
        <v>120.408981318323</v>
      </c>
      <c r="F1137" s="116">
        <v>129.80000000000001</v>
      </c>
      <c r="G1137">
        <v>10215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43685</v>
      </c>
      <c r="B1138" s="116">
        <v>128.25208989251999</v>
      </c>
      <c r="C1138" s="116">
        <v>126.574947178541</v>
      </c>
      <c r="D1138" s="116">
        <v>121.83948539789399</v>
      </c>
      <c r="E1138" s="116">
        <v>122.33276266671101</v>
      </c>
      <c r="F1138" s="116">
        <v>128.30000000000001</v>
      </c>
      <c r="G1138">
        <v>630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43686</v>
      </c>
      <c r="B1139" s="116">
        <v>132.691585311876</v>
      </c>
      <c r="C1139" s="116">
        <v>128.25208989251999</v>
      </c>
      <c r="D1139" s="116">
        <v>128.25208989251999</v>
      </c>
      <c r="E1139" s="116">
        <v>132.691585311876</v>
      </c>
      <c r="F1139" s="116">
        <v>130</v>
      </c>
      <c r="G1139">
        <v>260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43690</v>
      </c>
      <c r="B1140" s="116">
        <v>125.292426279616</v>
      </c>
      <c r="C1140" s="116">
        <v>121.938140851657</v>
      </c>
      <c r="D1140" s="116">
        <v>121.83948539789399</v>
      </c>
      <c r="E1140" s="116">
        <v>125.292426279616</v>
      </c>
      <c r="F1140" s="116">
        <v>123.6</v>
      </c>
      <c r="G1140">
        <v>1205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43691</v>
      </c>
      <c r="B1141" s="116">
        <v>125.292426279616</v>
      </c>
      <c r="C1141" s="116">
        <v>124.799149010798</v>
      </c>
      <c r="D1141" s="116">
        <v>115.920158172085</v>
      </c>
      <c r="E1141" s="116">
        <v>125.292426279616</v>
      </c>
      <c r="F1141" s="116">
        <v>126.5</v>
      </c>
      <c r="G1141">
        <v>450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43693</v>
      </c>
      <c r="B1142" s="116">
        <v>123.26998947746399</v>
      </c>
      <c r="C1142" s="116">
        <v>123.26998947746399</v>
      </c>
      <c r="D1142" s="116">
        <v>123.22066175058301</v>
      </c>
      <c r="E1142" s="116">
        <v>123.22066175058301</v>
      </c>
      <c r="F1142" s="116">
        <v>124.95</v>
      </c>
      <c r="G1142">
        <v>100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43696</v>
      </c>
      <c r="B1143" s="116">
        <v>128.15343443875599</v>
      </c>
      <c r="C1143" s="116">
        <v>127.166879901122</v>
      </c>
      <c r="D1143" s="116">
        <v>122.33276266671101</v>
      </c>
      <c r="E1143" s="116">
        <v>122.33276266671101</v>
      </c>
      <c r="F1143" s="116">
        <v>128.9</v>
      </c>
      <c r="G1143">
        <v>199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43697</v>
      </c>
      <c r="B1144" s="116">
        <v>126.229653090369</v>
      </c>
      <c r="C1144" s="116">
        <v>123.516628111873</v>
      </c>
      <c r="D1144" s="116">
        <v>120.951586314023</v>
      </c>
      <c r="E1144" s="116">
        <v>121.346208129076</v>
      </c>
      <c r="F1144" s="116">
        <v>125.2</v>
      </c>
      <c r="G1144">
        <v>652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43698</v>
      </c>
      <c r="B1145" s="116">
        <v>126.27898081725</v>
      </c>
      <c r="C1145" s="116">
        <v>122.03679630542101</v>
      </c>
      <c r="D1145" s="116">
        <v>120.359653591442</v>
      </c>
      <c r="E1145" s="116">
        <v>126.27898081725</v>
      </c>
      <c r="F1145" s="116">
        <v>123.7</v>
      </c>
      <c r="G1145">
        <v>300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43699</v>
      </c>
      <c r="B1146" s="116">
        <v>128.05477898499299</v>
      </c>
      <c r="C1146" s="116">
        <v>116.413435440903</v>
      </c>
      <c r="D1146" s="116">
        <v>116.11746907961199</v>
      </c>
      <c r="E1146" s="116">
        <v>128.05477898499299</v>
      </c>
      <c r="F1146" s="116">
        <v>118</v>
      </c>
      <c r="G1146">
        <v>97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43703</v>
      </c>
      <c r="B1147" s="116">
        <v>122.13545175918399</v>
      </c>
      <c r="C1147" s="116">
        <v>118.33721678929</v>
      </c>
      <c r="D1147" s="116">
        <v>118.33721678929</v>
      </c>
      <c r="E1147" s="116">
        <v>122.13545175918399</v>
      </c>
      <c r="F1147" s="116">
        <v>119.95</v>
      </c>
      <c r="G1147">
        <v>224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43704</v>
      </c>
      <c r="B1148" s="116">
        <v>124.207216288217</v>
      </c>
      <c r="C1148" s="116">
        <v>124.207216288217</v>
      </c>
      <c r="D1148" s="116">
        <v>118.38654451617199</v>
      </c>
      <c r="E1148" s="116">
        <v>121.296880402195</v>
      </c>
      <c r="F1148" s="116">
        <v>125.9</v>
      </c>
      <c r="G1148">
        <v>675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43705</v>
      </c>
      <c r="B1149" s="116">
        <v>124.30587174198099</v>
      </c>
      <c r="C1149" s="116">
        <v>124.30587174198099</v>
      </c>
      <c r="D1149" s="116">
        <v>123.31931720434601</v>
      </c>
      <c r="E1149" s="116">
        <v>123.31931720434601</v>
      </c>
      <c r="F1149" s="116">
        <v>126</v>
      </c>
      <c r="G1149">
        <v>555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43706</v>
      </c>
      <c r="B1150" s="116">
        <v>126.27898081725</v>
      </c>
      <c r="C1150" s="116">
        <v>123.31931720434601</v>
      </c>
      <c r="D1150" s="116">
        <v>123.31931720434601</v>
      </c>
      <c r="E1150" s="116">
        <v>126.27898081725</v>
      </c>
      <c r="F1150" s="116">
        <v>125</v>
      </c>
      <c r="G1150">
        <v>174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43707</v>
      </c>
      <c r="B1151" s="116">
        <v>127.265535354885</v>
      </c>
      <c r="C1151" s="116">
        <v>121.494191309722</v>
      </c>
      <c r="D1151" s="116">
        <v>120.359653591442</v>
      </c>
      <c r="E1151" s="116">
        <v>121.346208129076</v>
      </c>
      <c r="F1151" s="116">
        <v>123.15</v>
      </c>
      <c r="G1151">
        <v>134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43711</v>
      </c>
      <c r="B1152" s="116">
        <v>123.31931720434601</v>
      </c>
      <c r="C1152" s="116">
        <v>123.31931720434601</v>
      </c>
      <c r="D1152" s="116">
        <v>115.525536357031</v>
      </c>
      <c r="E1152" s="116">
        <v>120.359653591442</v>
      </c>
      <c r="F1152" s="116">
        <v>125</v>
      </c>
      <c r="G1152">
        <v>420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43712</v>
      </c>
      <c r="B1153" s="116">
        <v>121.346208129076</v>
      </c>
      <c r="C1153" s="116">
        <v>117.893267247355</v>
      </c>
      <c r="D1153" s="116">
        <v>117.15335134412901</v>
      </c>
      <c r="E1153" s="116">
        <v>117.15335134412901</v>
      </c>
      <c r="F1153" s="116">
        <v>119.5</v>
      </c>
      <c r="G1153">
        <v>1660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43713</v>
      </c>
      <c r="B1154" s="116">
        <v>122.33276266671101</v>
      </c>
      <c r="C1154" s="116">
        <v>122.33276266671101</v>
      </c>
      <c r="D1154" s="116">
        <v>115.920158172085</v>
      </c>
      <c r="E1154" s="116">
        <v>115.920158172085</v>
      </c>
      <c r="F1154" s="116">
        <v>124</v>
      </c>
      <c r="G1154">
        <v>92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43714</v>
      </c>
      <c r="B1155" s="116">
        <v>122.33276266671101</v>
      </c>
      <c r="C1155" s="116">
        <v>118.633183150581</v>
      </c>
      <c r="D1155" s="116">
        <v>118.38654451617199</v>
      </c>
      <c r="E1155" s="116">
        <v>119.373099053807</v>
      </c>
      <c r="F1155" s="116">
        <v>120.25</v>
      </c>
      <c r="G1155">
        <v>967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43717</v>
      </c>
      <c r="B1156" s="116">
        <v>123.31931720434601</v>
      </c>
      <c r="C1156" s="116">
        <v>119.373099053807</v>
      </c>
      <c r="D1156" s="116">
        <v>119.373099053807</v>
      </c>
      <c r="E1156" s="116">
        <v>123.31931720434601</v>
      </c>
      <c r="F1156" s="116">
        <v>121</v>
      </c>
      <c r="G1156">
        <v>253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43719</v>
      </c>
      <c r="B1157" s="116">
        <v>122.33276266671101</v>
      </c>
      <c r="C1157" s="116">
        <v>121.691502217249</v>
      </c>
      <c r="D1157" s="116">
        <v>118.38654451617199</v>
      </c>
      <c r="E1157" s="116">
        <v>122.33276266671101</v>
      </c>
      <c r="F1157" s="116">
        <v>123.35</v>
      </c>
      <c r="G1157">
        <v>177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43720</v>
      </c>
      <c r="B1158" s="116">
        <v>125.78570354843301</v>
      </c>
      <c r="C1158" s="116">
        <v>121.494191309722</v>
      </c>
      <c r="D1158" s="116">
        <v>120.359653591442</v>
      </c>
      <c r="E1158" s="116">
        <v>125.78570354843301</v>
      </c>
      <c r="F1158" s="116">
        <v>123.15</v>
      </c>
      <c r="G1158">
        <v>544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43721</v>
      </c>
      <c r="B1159" s="116">
        <v>124.30587174198099</v>
      </c>
      <c r="C1159" s="116">
        <v>124.30587174198099</v>
      </c>
      <c r="D1159" s="116">
        <v>124.30587174198099</v>
      </c>
      <c r="E1159" s="116">
        <v>124.30587174198099</v>
      </c>
      <c r="F1159" s="116">
        <v>126</v>
      </c>
      <c r="G1159">
        <v>500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43724</v>
      </c>
      <c r="B1160" s="116">
        <v>130.17587124090801</v>
      </c>
      <c r="C1160" s="116">
        <v>130.17587124090801</v>
      </c>
      <c r="D1160" s="116">
        <v>121.346208129076</v>
      </c>
      <c r="E1160" s="116">
        <v>130.17587124090801</v>
      </c>
      <c r="F1160" s="116">
        <v>131.94999999999999</v>
      </c>
      <c r="G1160">
        <v>213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43725</v>
      </c>
      <c r="B1161" s="116">
        <v>135.996543012953</v>
      </c>
      <c r="C1161" s="116">
        <v>125.835031275315</v>
      </c>
      <c r="D1161" s="116">
        <v>125.835031275315</v>
      </c>
      <c r="E1161" s="116">
        <v>135.996543012953</v>
      </c>
      <c r="F1161" s="116">
        <v>127.55</v>
      </c>
      <c r="G1161">
        <v>657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43726</v>
      </c>
      <c r="B1162" s="116">
        <v>128.25208989251999</v>
      </c>
      <c r="C1162" s="116">
        <v>128.25208989251999</v>
      </c>
      <c r="D1162" s="116">
        <v>128.00545125811101</v>
      </c>
      <c r="E1162" s="116">
        <v>128.25208989251999</v>
      </c>
      <c r="F1162" s="116">
        <v>130</v>
      </c>
      <c r="G1162">
        <v>395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43727</v>
      </c>
      <c r="B1163" s="116">
        <v>128.893350341982</v>
      </c>
      <c r="C1163" s="116">
        <v>126.377636271014</v>
      </c>
      <c r="D1163" s="116">
        <v>121.83948539789399</v>
      </c>
      <c r="E1163" s="116">
        <v>121.83948539789399</v>
      </c>
      <c r="F1163" s="116">
        <v>128.1</v>
      </c>
      <c r="G1163">
        <v>330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43728</v>
      </c>
      <c r="B1164" s="116">
        <v>131.70503077424101</v>
      </c>
      <c r="C1164" s="116">
        <v>131.50771986671501</v>
      </c>
      <c r="D1164" s="116">
        <v>120.85293086025899</v>
      </c>
      <c r="E1164" s="116">
        <v>131.70503077424101</v>
      </c>
      <c r="F1164" s="116">
        <v>133.30000000000001</v>
      </c>
      <c r="G1164">
        <v>956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43731</v>
      </c>
      <c r="B1165" s="116">
        <v>138.068307541986</v>
      </c>
      <c r="C1165" s="116">
        <v>133.48082894198399</v>
      </c>
      <c r="D1165" s="116">
        <v>128.498728526929</v>
      </c>
      <c r="E1165" s="116">
        <v>138.068307541986</v>
      </c>
      <c r="F1165" s="116">
        <v>135.30000000000001</v>
      </c>
      <c r="G1165">
        <v>115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43732</v>
      </c>
      <c r="B1166" s="116">
        <v>132.93822394628501</v>
      </c>
      <c r="C1166" s="116">
        <v>127.166879901122</v>
      </c>
      <c r="D1166" s="116">
        <v>127.01889672047599</v>
      </c>
      <c r="E1166" s="116">
        <v>130.225198967789</v>
      </c>
      <c r="F1166" s="116">
        <v>128.9</v>
      </c>
      <c r="G1166">
        <v>2797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43733</v>
      </c>
      <c r="B1167" s="116">
        <v>133.135534853812</v>
      </c>
      <c r="C1167" s="116">
        <v>125.292426279616</v>
      </c>
      <c r="D1167" s="116">
        <v>125.292426279616</v>
      </c>
      <c r="E1167" s="116">
        <v>133.135534853812</v>
      </c>
      <c r="F1167" s="116">
        <v>127</v>
      </c>
      <c r="G1167">
        <v>405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43734</v>
      </c>
      <c r="B1168" s="116">
        <v>128.25208989251999</v>
      </c>
      <c r="C1168" s="116">
        <v>128.25208989251999</v>
      </c>
      <c r="D1168" s="116">
        <v>122.826039935529</v>
      </c>
      <c r="E1168" s="116">
        <v>122.826039935529</v>
      </c>
      <c r="F1168" s="116">
        <v>130</v>
      </c>
      <c r="G1168">
        <v>821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43738</v>
      </c>
      <c r="B1169" s="116">
        <v>124.30587174198099</v>
      </c>
      <c r="C1169" s="116">
        <v>121.83948539789399</v>
      </c>
      <c r="D1169" s="116">
        <v>121.83948539789399</v>
      </c>
      <c r="E1169" s="116">
        <v>123.31931720434601</v>
      </c>
      <c r="F1169" s="116">
        <v>123.5</v>
      </c>
      <c r="G1169">
        <v>991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43739</v>
      </c>
      <c r="B1170" s="116">
        <v>118.38654451617199</v>
      </c>
      <c r="C1170" s="116">
        <v>116.956040436602</v>
      </c>
      <c r="D1170" s="116">
        <v>116.90671270972</v>
      </c>
      <c r="E1170" s="116">
        <v>116.90671270972</v>
      </c>
      <c r="F1170" s="116">
        <v>118.55</v>
      </c>
      <c r="G1170">
        <v>1004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43741</v>
      </c>
      <c r="B1171" s="116">
        <v>120.359653591442</v>
      </c>
      <c r="C1171" s="116">
        <v>113.50309955488</v>
      </c>
      <c r="D1171" s="116">
        <v>111.480662752729</v>
      </c>
      <c r="E1171" s="116">
        <v>111.480662752729</v>
      </c>
      <c r="F1171" s="116">
        <v>115.05</v>
      </c>
      <c r="G1171">
        <v>501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43742</v>
      </c>
      <c r="B1172" s="116">
        <v>118.781166331226</v>
      </c>
      <c r="C1172" s="116">
        <v>115.426880903268</v>
      </c>
      <c r="D1172" s="116">
        <v>112.467217290364</v>
      </c>
      <c r="E1172" s="116">
        <v>118.73183860434401</v>
      </c>
      <c r="F1172" s="116">
        <v>117</v>
      </c>
      <c r="G1172">
        <v>1406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43745</v>
      </c>
      <c r="B1173" s="116">
        <v>117.893267247355</v>
      </c>
      <c r="C1173" s="116">
        <v>114.440326365633</v>
      </c>
      <c r="D1173" s="116">
        <v>112.467217290364</v>
      </c>
      <c r="E1173" s="116">
        <v>113.453771827998</v>
      </c>
      <c r="F1173" s="116">
        <v>116</v>
      </c>
      <c r="G1173">
        <v>46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43747</v>
      </c>
      <c r="B1174" s="116">
        <v>118.28788906240899</v>
      </c>
      <c r="C1174" s="116">
        <v>118.28788906240899</v>
      </c>
      <c r="D1174" s="116">
        <v>113.453771827998</v>
      </c>
      <c r="E1174" s="116">
        <v>113.453771827998</v>
      </c>
      <c r="F1174" s="116">
        <v>119.9</v>
      </c>
      <c r="G1174">
        <v>325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43748</v>
      </c>
      <c r="B1175" s="116">
        <v>117.74528406671</v>
      </c>
      <c r="C1175" s="116">
        <v>109.063604135524</v>
      </c>
      <c r="D1175" s="116">
        <v>106.54789006455501</v>
      </c>
      <c r="E1175" s="116">
        <v>111.677973660256</v>
      </c>
      <c r="F1175" s="116">
        <v>110.55</v>
      </c>
      <c r="G1175">
        <v>1418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43749</v>
      </c>
      <c r="B1176" s="116">
        <v>115.82150271832199</v>
      </c>
      <c r="C1176" s="116">
        <v>109.556881404341</v>
      </c>
      <c r="D1176" s="116">
        <v>107.63310005595299</v>
      </c>
      <c r="E1176" s="116">
        <v>107.63310005595299</v>
      </c>
      <c r="F1176" s="116">
        <v>111.05</v>
      </c>
      <c r="G1176">
        <v>600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43752</v>
      </c>
      <c r="B1177" s="116">
        <v>120.31032586456</v>
      </c>
      <c r="C1177" s="116">
        <v>113.453771827998</v>
      </c>
      <c r="D1177" s="116">
        <v>106.54789006455501</v>
      </c>
      <c r="E1177" s="116">
        <v>120.31032586456</v>
      </c>
      <c r="F1177" s="116">
        <v>115</v>
      </c>
      <c r="G1177">
        <v>3163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43753</v>
      </c>
      <c r="B1178" s="116">
        <v>115.426880903268</v>
      </c>
      <c r="C1178" s="116">
        <v>113.453771827998</v>
      </c>
      <c r="D1178" s="116">
        <v>113.453771827998</v>
      </c>
      <c r="E1178" s="116">
        <v>115.426880903268</v>
      </c>
      <c r="F1178" s="116">
        <v>115</v>
      </c>
      <c r="G1178">
        <v>26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43754</v>
      </c>
      <c r="B1179" s="116">
        <v>120.359653591442</v>
      </c>
      <c r="C1179" s="116">
        <v>112.467217290364</v>
      </c>
      <c r="D1179" s="116">
        <v>108.520999139824</v>
      </c>
      <c r="E1179" s="116">
        <v>108.520999139824</v>
      </c>
      <c r="F1179" s="116">
        <v>114</v>
      </c>
      <c r="G1179">
        <v>60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43755</v>
      </c>
      <c r="B1180" s="116">
        <v>115.328225449504</v>
      </c>
      <c r="C1180" s="116">
        <v>110.740746849503</v>
      </c>
      <c r="D1180" s="116">
        <v>109.507553677459</v>
      </c>
      <c r="E1180" s="116">
        <v>115.328225449504</v>
      </c>
      <c r="F1180" s="116">
        <v>112.25</v>
      </c>
      <c r="G1180">
        <v>507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43756</v>
      </c>
      <c r="B1181" s="116">
        <v>117.30133452477401</v>
      </c>
      <c r="C1181" s="116">
        <v>112.911166832299</v>
      </c>
      <c r="D1181" s="116">
        <v>109.556881404341</v>
      </c>
      <c r="E1181" s="116">
        <v>112.467217290364</v>
      </c>
      <c r="F1181" s="116">
        <v>114.45</v>
      </c>
      <c r="G1181">
        <v>936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43760</v>
      </c>
      <c r="B1182" s="116">
        <v>116.413435440903</v>
      </c>
      <c r="C1182" s="116">
        <v>110.543435941976</v>
      </c>
      <c r="D1182" s="116">
        <v>110.543435941976</v>
      </c>
      <c r="E1182" s="116">
        <v>111.480662752729</v>
      </c>
      <c r="F1182" s="116">
        <v>112.05</v>
      </c>
      <c r="G1182">
        <v>1474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43761</v>
      </c>
      <c r="B1183" s="116">
        <v>117.942594974236</v>
      </c>
      <c r="C1183" s="116">
        <v>113.453771827998</v>
      </c>
      <c r="D1183" s="116">
        <v>107.53444460219001</v>
      </c>
      <c r="E1183" s="116">
        <v>117.942594974236</v>
      </c>
      <c r="F1183" s="116">
        <v>115</v>
      </c>
      <c r="G1183">
        <v>1100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43762</v>
      </c>
      <c r="B1184" s="116">
        <v>120.70494767961399</v>
      </c>
      <c r="C1184" s="116">
        <v>112.22057865595499</v>
      </c>
      <c r="D1184" s="116">
        <v>110.395452761331</v>
      </c>
      <c r="E1184" s="116">
        <v>112.467217290364</v>
      </c>
      <c r="F1184" s="116">
        <v>113.75</v>
      </c>
      <c r="G1184">
        <v>695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43763</v>
      </c>
      <c r="B1185" s="116">
        <v>117.20267907101</v>
      </c>
      <c r="C1185" s="116">
        <v>116.413435440903</v>
      </c>
      <c r="D1185" s="116">
        <v>110.987385483911</v>
      </c>
      <c r="E1185" s="116">
        <v>110.987385483911</v>
      </c>
      <c r="F1185" s="116">
        <v>118</v>
      </c>
      <c r="G1185">
        <v>503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43765</v>
      </c>
      <c r="B1186" s="116">
        <v>120.85293086025899</v>
      </c>
      <c r="C1186" s="116">
        <v>116.956040436602</v>
      </c>
      <c r="D1186" s="116">
        <v>113.453771827998</v>
      </c>
      <c r="E1186" s="116">
        <v>120.85293086025899</v>
      </c>
      <c r="F1186" s="116">
        <v>118.55</v>
      </c>
      <c r="G1186">
        <v>200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43767</v>
      </c>
      <c r="B1187" s="116">
        <v>118.139905881763</v>
      </c>
      <c r="C1187" s="116">
        <v>117.39998997853699</v>
      </c>
      <c r="D1187" s="116">
        <v>115.426880903268</v>
      </c>
      <c r="E1187" s="116">
        <v>118.139905881763</v>
      </c>
      <c r="F1187" s="116">
        <v>119</v>
      </c>
      <c r="G1187">
        <v>75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43768</v>
      </c>
      <c r="B1188" s="116">
        <v>118.38654451617199</v>
      </c>
      <c r="C1188" s="116">
        <v>115.328225449504</v>
      </c>
      <c r="D1188" s="116">
        <v>115.328225449504</v>
      </c>
      <c r="E1188" s="116">
        <v>118.38654451617199</v>
      </c>
      <c r="F1188" s="116">
        <v>116.9</v>
      </c>
      <c r="G1188">
        <v>148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43769</v>
      </c>
      <c r="B1189" s="116">
        <v>120.359653591442</v>
      </c>
      <c r="C1189" s="116">
        <v>119.66906541509699</v>
      </c>
      <c r="D1189" s="116">
        <v>111.677973660256</v>
      </c>
      <c r="E1189" s="116">
        <v>111.677973660256</v>
      </c>
      <c r="F1189" s="116">
        <v>121.3</v>
      </c>
      <c r="G1189">
        <v>1082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43770</v>
      </c>
      <c r="B1190" s="116">
        <v>121.00091404090399</v>
      </c>
      <c r="C1190" s="116">
        <v>118.682510877463</v>
      </c>
      <c r="D1190" s="116">
        <v>115.525536357031</v>
      </c>
      <c r="E1190" s="116">
        <v>120.359653591442</v>
      </c>
      <c r="F1190" s="116">
        <v>120.3</v>
      </c>
      <c r="G1190">
        <v>895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43773</v>
      </c>
      <c r="B1191" s="116">
        <v>121.05024176778601</v>
      </c>
      <c r="C1191" s="116">
        <v>117.547973159183</v>
      </c>
      <c r="D1191" s="116">
        <v>113.453771827998</v>
      </c>
      <c r="E1191" s="116">
        <v>115.920158172085</v>
      </c>
      <c r="F1191" s="116">
        <v>119.15</v>
      </c>
      <c r="G1191">
        <v>2042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43774</v>
      </c>
      <c r="B1192" s="116">
        <v>118.38654451617199</v>
      </c>
      <c r="C1192" s="116">
        <v>111.677973660256</v>
      </c>
      <c r="D1192" s="116">
        <v>111.677973660256</v>
      </c>
      <c r="E1192" s="116">
        <v>118.38654451617199</v>
      </c>
      <c r="F1192" s="116">
        <v>113.2</v>
      </c>
      <c r="G1192">
        <v>850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43775</v>
      </c>
      <c r="B1193" s="116">
        <v>117.350662251656</v>
      </c>
      <c r="C1193" s="116">
        <v>116.90671270972</v>
      </c>
      <c r="D1193" s="116">
        <v>111.727301387137</v>
      </c>
      <c r="E1193" s="116">
        <v>117.25200679789199</v>
      </c>
      <c r="F1193" s="116">
        <v>118.5</v>
      </c>
      <c r="G1193">
        <v>1025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43776</v>
      </c>
      <c r="B1194" s="116">
        <v>118.041250428</v>
      </c>
      <c r="C1194" s="116">
        <v>114.440326365633</v>
      </c>
      <c r="D1194" s="116">
        <v>114.440326365633</v>
      </c>
      <c r="E1194" s="116">
        <v>118.041250428</v>
      </c>
      <c r="F1194" s="116">
        <v>116</v>
      </c>
      <c r="G1194">
        <v>421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43777</v>
      </c>
      <c r="B1195" s="116">
        <v>117.39998997853699</v>
      </c>
      <c r="C1195" s="116">
        <v>116.413435440903</v>
      </c>
      <c r="D1195" s="116">
        <v>113.453771827998</v>
      </c>
      <c r="E1195" s="116">
        <v>113.453771827998</v>
      </c>
      <c r="F1195" s="116">
        <v>118</v>
      </c>
      <c r="G1195">
        <v>698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43780</v>
      </c>
      <c r="B1196" s="116">
        <v>116.413435440903</v>
      </c>
      <c r="C1196" s="116">
        <v>114.440326365633</v>
      </c>
      <c r="D1196" s="116">
        <v>114.440326365633</v>
      </c>
      <c r="E1196" s="116">
        <v>116.413435440903</v>
      </c>
      <c r="F1196" s="116">
        <v>116</v>
      </c>
      <c r="G1196">
        <v>561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43782</v>
      </c>
      <c r="B1197" s="116">
        <v>125.88435900219601</v>
      </c>
      <c r="C1197" s="116">
        <v>125.88435900219601</v>
      </c>
      <c r="D1197" s="116">
        <v>109.556881404341</v>
      </c>
      <c r="E1197" s="116">
        <v>112.51654501724499</v>
      </c>
      <c r="F1197" s="116">
        <v>127.6</v>
      </c>
      <c r="G1197">
        <v>4961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43783</v>
      </c>
      <c r="B1198" s="116">
        <v>138.11763526886801</v>
      </c>
      <c r="C1198" s="116">
        <v>131.21175350542401</v>
      </c>
      <c r="D1198" s="116">
        <v>120.458309045205</v>
      </c>
      <c r="E1198" s="116">
        <v>135.94721528607101</v>
      </c>
      <c r="F1198" s="116">
        <v>133</v>
      </c>
      <c r="G1198">
        <v>3192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43784</v>
      </c>
      <c r="B1199" s="116">
        <v>130.225198967789</v>
      </c>
      <c r="C1199" s="116">
        <v>127.11755217424</v>
      </c>
      <c r="D1199" s="116">
        <v>126.27898081725</v>
      </c>
      <c r="E1199" s="116">
        <v>130.225198967789</v>
      </c>
      <c r="F1199" s="116">
        <v>128.85</v>
      </c>
      <c r="G1199">
        <v>875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43787</v>
      </c>
      <c r="B1200" s="116">
        <v>128.25208989251999</v>
      </c>
      <c r="C1200" s="116">
        <v>128.00545125811101</v>
      </c>
      <c r="D1200" s="116">
        <v>120.85293086025899</v>
      </c>
      <c r="E1200" s="116">
        <v>121.346208129076</v>
      </c>
      <c r="F1200" s="116">
        <v>129.75</v>
      </c>
      <c r="G1200">
        <v>690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43788</v>
      </c>
      <c r="B1201" s="116">
        <v>128.00545125811101</v>
      </c>
      <c r="C1201" s="116">
        <v>123.26998947746399</v>
      </c>
      <c r="D1201" s="116">
        <v>117.39998997853699</v>
      </c>
      <c r="E1201" s="116">
        <v>128.00545125811101</v>
      </c>
      <c r="F1201" s="116">
        <v>124.95</v>
      </c>
      <c r="G1201">
        <v>751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43789</v>
      </c>
      <c r="B1202" s="116">
        <v>129.23864443015501</v>
      </c>
      <c r="C1202" s="116">
        <v>121.346208129076</v>
      </c>
      <c r="D1202" s="116">
        <v>120.85293086025899</v>
      </c>
      <c r="E1202" s="116">
        <v>120.85293086025899</v>
      </c>
      <c r="F1202" s="116">
        <v>123</v>
      </c>
      <c r="G1202">
        <v>341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43790</v>
      </c>
      <c r="B1203" s="116">
        <v>122.33276266671101</v>
      </c>
      <c r="C1203" s="116">
        <v>120.359653591442</v>
      </c>
      <c r="D1203" s="116">
        <v>120.359653591442</v>
      </c>
      <c r="E1203" s="116">
        <v>122.33276266671101</v>
      </c>
      <c r="F1203" s="116">
        <v>122</v>
      </c>
      <c r="G1203">
        <v>400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43791</v>
      </c>
      <c r="B1204" s="116">
        <v>122.28343493982899</v>
      </c>
      <c r="C1204" s="116">
        <v>115.77217499144</v>
      </c>
      <c r="D1204" s="116">
        <v>110.642091395739</v>
      </c>
      <c r="E1204" s="116">
        <v>117.695956339828</v>
      </c>
      <c r="F1204" s="116">
        <v>117.35</v>
      </c>
      <c r="G1204">
        <v>1696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43794</v>
      </c>
      <c r="B1205" s="116">
        <v>122.28343493982899</v>
      </c>
      <c r="C1205" s="116">
        <v>117.350662251656</v>
      </c>
      <c r="D1205" s="116">
        <v>115.574864083913</v>
      </c>
      <c r="E1205" s="116">
        <v>121.346208129076</v>
      </c>
      <c r="F1205" s="116">
        <v>118.95</v>
      </c>
      <c r="G1205">
        <v>720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43795</v>
      </c>
      <c r="B1206" s="116">
        <v>122.57940130112</v>
      </c>
      <c r="C1206" s="116">
        <v>118.43587224305401</v>
      </c>
      <c r="D1206" s="116">
        <v>116.413435440903</v>
      </c>
      <c r="E1206" s="116">
        <v>121.247552675313</v>
      </c>
      <c r="F1206" s="116">
        <v>120.05</v>
      </c>
      <c r="G1206">
        <v>1181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43796</v>
      </c>
      <c r="B1207" s="116">
        <v>119.373099053807</v>
      </c>
      <c r="C1207" s="116">
        <v>116.413435440903</v>
      </c>
      <c r="D1207" s="116">
        <v>116.413435440903</v>
      </c>
      <c r="E1207" s="116">
        <v>116.413435440903</v>
      </c>
      <c r="F1207" s="116">
        <v>118</v>
      </c>
      <c r="G1207">
        <v>1755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43797</v>
      </c>
      <c r="B1208" s="116">
        <v>123.31931720434601</v>
      </c>
      <c r="C1208" s="116">
        <v>116.512090894666</v>
      </c>
      <c r="D1208" s="116">
        <v>116.512090894666</v>
      </c>
      <c r="E1208" s="116">
        <v>123.31931720434601</v>
      </c>
      <c r="F1208" s="116">
        <v>118.1</v>
      </c>
      <c r="G1208">
        <v>125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43798</v>
      </c>
      <c r="B1209" s="116">
        <v>122.33276266671101</v>
      </c>
      <c r="C1209" s="116">
        <v>122.234107212948</v>
      </c>
      <c r="D1209" s="116">
        <v>116.462763167784</v>
      </c>
      <c r="E1209" s="116">
        <v>116.462763167784</v>
      </c>
      <c r="F1209" s="116">
        <v>123.9</v>
      </c>
      <c r="G1209">
        <v>466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43801</v>
      </c>
      <c r="B1210" s="116">
        <v>118.38654451617199</v>
      </c>
      <c r="C1210" s="116">
        <v>115.032259088214</v>
      </c>
      <c r="D1210" s="116">
        <v>112.467217290364</v>
      </c>
      <c r="E1210" s="116">
        <v>115.920158172085</v>
      </c>
      <c r="F1210" s="116">
        <v>116.6</v>
      </c>
      <c r="G1210">
        <v>744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43802</v>
      </c>
      <c r="B1211" s="116">
        <v>118.38654451617199</v>
      </c>
      <c r="C1211" s="116">
        <v>118.38654451617199</v>
      </c>
      <c r="D1211" s="116">
        <v>118.38654451617199</v>
      </c>
      <c r="E1211" s="116">
        <v>118.38654451617199</v>
      </c>
      <c r="F1211" s="116">
        <v>120</v>
      </c>
      <c r="G1211">
        <v>260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43803</v>
      </c>
      <c r="B1212" s="116">
        <v>117.39998997853699</v>
      </c>
      <c r="C1212" s="116">
        <v>117.054695890365</v>
      </c>
      <c r="D1212" s="116">
        <v>116.660074075311</v>
      </c>
      <c r="E1212" s="116">
        <v>117.39998997853699</v>
      </c>
      <c r="F1212" s="116">
        <v>118.65</v>
      </c>
      <c r="G1212">
        <v>571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43804</v>
      </c>
      <c r="B1213" s="116">
        <v>117.39998997853699</v>
      </c>
      <c r="C1213" s="116">
        <v>117.39998997853699</v>
      </c>
      <c r="D1213" s="116">
        <v>116.61074634843</v>
      </c>
      <c r="E1213" s="116">
        <v>116.61074634843</v>
      </c>
      <c r="F1213" s="116">
        <v>119</v>
      </c>
      <c r="G1213">
        <v>754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43805</v>
      </c>
      <c r="B1214" s="116">
        <v>114.440326365633</v>
      </c>
      <c r="C1214" s="116">
        <v>114.440326365633</v>
      </c>
      <c r="D1214" s="116">
        <v>114.440326365633</v>
      </c>
      <c r="E1214" s="116">
        <v>114.440326365633</v>
      </c>
      <c r="F1214" s="116">
        <v>116</v>
      </c>
      <c r="G1214">
        <v>5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43808</v>
      </c>
      <c r="B1215" s="116">
        <v>117.39998997853699</v>
      </c>
      <c r="C1215" s="116">
        <v>111.973940021546</v>
      </c>
      <c r="D1215" s="116">
        <v>111.480662752729</v>
      </c>
      <c r="E1215" s="116">
        <v>117.39998997853699</v>
      </c>
      <c r="F1215" s="116">
        <v>113.5</v>
      </c>
      <c r="G1215">
        <v>2831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43809</v>
      </c>
      <c r="B1216" s="116">
        <v>111.973940021546</v>
      </c>
      <c r="C1216" s="116">
        <v>103.98284826670501</v>
      </c>
      <c r="D1216" s="116">
        <v>103.489570997887</v>
      </c>
      <c r="E1216" s="116">
        <v>110.592763668857</v>
      </c>
      <c r="F1216" s="116">
        <v>105.4</v>
      </c>
      <c r="G1216">
        <v>6180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43810</v>
      </c>
      <c r="B1217" s="116">
        <v>112.467217290364</v>
      </c>
      <c r="C1217" s="116">
        <v>108.91562095487799</v>
      </c>
      <c r="D1217" s="116">
        <v>102.60167191401599</v>
      </c>
      <c r="E1217" s="116">
        <v>106.54789006455501</v>
      </c>
      <c r="F1217" s="116">
        <v>110.4</v>
      </c>
      <c r="G1217">
        <v>3846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43811</v>
      </c>
      <c r="B1218" s="116">
        <v>112.911166832299</v>
      </c>
      <c r="C1218" s="116">
        <v>106.843856425845</v>
      </c>
      <c r="D1218" s="116">
        <v>104.574780989285</v>
      </c>
      <c r="E1218" s="116">
        <v>104.574780989285</v>
      </c>
      <c r="F1218" s="116">
        <v>108.3</v>
      </c>
      <c r="G1218">
        <v>975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43812</v>
      </c>
      <c r="B1219" s="116">
        <v>114.390998638751</v>
      </c>
      <c r="C1219" s="116">
        <v>108.520999139824</v>
      </c>
      <c r="D1219" s="116">
        <v>106.54789006455501</v>
      </c>
      <c r="E1219" s="116">
        <v>106.54789006455501</v>
      </c>
      <c r="F1219" s="116">
        <v>110</v>
      </c>
      <c r="G1219">
        <v>2716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43815</v>
      </c>
      <c r="B1220" s="116">
        <v>110.987385483911</v>
      </c>
      <c r="C1220" s="116">
        <v>103.637554178532</v>
      </c>
      <c r="D1220" s="116">
        <v>103.588226451651</v>
      </c>
      <c r="E1220" s="116">
        <v>108.520999139824</v>
      </c>
      <c r="F1220" s="116">
        <v>105.05</v>
      </c>
      <c r="G1220">
        <v>2022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43816</v>
      </c>
      <c r="B1221" s="116">
        <v>113.157805466708</v>
      </c>
      <c r="C1221" s="116">
        <v>108.718310047351</v>
      </c>
      <c r="D1221" s="116">
        <v>105.56133552692</v>
      </c>
      <c r="E1221" s="116">
        <v>105.56133552692</v>
      </c>
      <c r="F1221" s="116">
        <v>110.2</v>
      </c>
      <c r="G1221">
        <v>1174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43817</v>
      </c>
      <c r="B1222" s="116">
        <v>118.189233608645</v>
      </c>
      <c r="C1222" s="116">
        <v>110.198141853804</v>
      </c>
      <c r="D1222" s="116">
        <v>108.520999139824</v>
      </c>
      <c r="E1222" s="116">
        <v>108.520999139824</v>
      </c>
      <c r="F1222" s="116">
        <v>111.7</v>
      </c>
      <c r="G1222">
        <v>5214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43818</v>
      </c>
      <c r="B1223" s="116">
        <v>113.355116374235</v>
      </c>
      <c r="C1223" s="116">
        <v>107.435789148426</v>
      </c>
      <c r="D1223" s="116">
        <v>106.54789006455501</v>
      </c>
      <c r="E1223" s="116">
        <v>113.355116374235</v>
      </c>
      <c r="F1223" s="116">
        <v>108.9</v>
      </c>
      <c r="G1223">
        <v>1823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43819</v>
      </c>
      <c r="B1224" s="116">
        <v>111.924612294664</v>
      </c>
      <c r="C1224" s="116">
        <v>106.64654551831801</v>
      </c>
      <c r="D1224" s="116">
        <v>106.54789006455501</v>
      </c>
      <c r="E1224" s="116">
        <v>111.38200729896499</v>
      </c>
      <c r="F1224" s="116">
        <v>108.1</v>
      </c>
      <c r="G1224">
        <v>172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43822</v>
      </c>
      <c r="B1225" s="116">
        <v>112.41788956348201</v>
      </c>
      <c r="C1225" s="116">
        <v>109.556881404341</v>
      </c>
      <c r="D1225" s="116">
        <v>106.942511879609</v>
      </c>
      <c r="E1225" s="116">
        <v>112.36856183659999</v>
      </c>
      <c r="F1225" s="116">
        <v>111.05</v>
      </c>
      <c r="G1225">
        <v>503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43823</v>
      </c>
      <c r="B1226" s="116">
        <v>115.377553176386</v>
      </c>
      <c r="C1226" s="116">
        <v>109.11293186240501</v>
      </c>
      <c r="D1226" s="116">
        <v>105.36402461939301</v>
      </c>
      <c r="E1226" s="116">
        <v>105.56133552692</v>
      </c>
      <c r="F1226" s="116">
        <v>110.6</v>
      </c>
      <c r="G1226">
        <v>2238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43825</v>
      </c>
      <c r="B1227" s="116">
        <v>111.28335184520201</v>
      </c>
      <c r="C1227" s="116">
        <v>111.13536866455701</v>
      </c>
      <c r="D1227" s="116">
        <v>108.520999139824</v>
      </c>
      <c r="E1227" s="116">
        <v>109.507553677459</v>
      </c>
      <c r="F1227" s="116">
        <v>112.65</v>
      </c>
      <c r="G1227">
        <v>1484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43826</v>
      </c>
      <c r="B1228" s="116">
        <v>114.440326365633</v>
      </c>
      <c r="C1228" s="116">
        <v>110.494108215094</v>
      </c>
      <c r="D1228" s="116">
        <v>106.54789006455501</v>
      </c>
      <c r="E1228" s="116">
        <v>106.54789006455501</v>
      </c>
      <c r="F1228" s="116">
        <v>112</v>
      </c>
      <c r="G1228">
        <v>1687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43829</v>
      </c>
      <c r="B1229" s="116">
        <v>115.426880903268</v>
      </c>
      <c r="C1229" s="116">
        <v>110.839402303266</v>
      </c>
      <c r="D1229" s="116">
        <v>109.507553677459</v>
      </c>
      <c r="E1229" s="116">
        <v>111.480662752729</v>
      </c>
      <c r="F1229" s="116">
        <v>112.35</v>
      </c>
      <c r="G1229">
        <v>895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43830</v>
      </c>
      <c r="B1230" s="116">
        <v>118.38654451617199</v>
      </c>
      <c r="C1230" s="116">
        <v>115.77217499144</v>
      </c>
      <c r="D1230" s="116">
        <v>113.453771827998</v>
      </c>
      <c r="E1230" s="116">
        <v>113.50309955488</v>
      </c>
      <c r="F1230" s="116">
        <v>117.35</v>
      </c>
      <c r="G1230">
        <v>5009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43831</v>
      </c>
      <c r="B1231" s="116">
        <v>113.749738189289</v>
      </c>
      <c r="C1231" s="116">
        <v>112.121923202191</v>
      </c>
      <c r="D1231" s="116">
        <v>110.00083094627701</v>
      </c>
      <c r="E1231" s="116">
        <v>113.749738189289</v>
      </c>
      <c r="F1231" s="116">
        <v>113.65</v>
      </c>
      <c r="G1231">
        <v>1784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43832</v>
      </c>
      <c r="B1232" s="116">
        <v>115.96948589896699</v>
      </c>
      <c r="C1232" s="116">
        <v>112.36856183659999</v>
      </c>
      <c r="D1232" s="116">
        <v>108.520999139824</v>
      </c>
      <c r="E1232" s="116">
        <v>108.520999139824</v>
      </c>
      <c r="F1232" s="116">
        <v>113.9</v>
      </c>
      <c r="G1232">
        <v>887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43833</v>
      </c>
      <c r="B1233" s="116">
        <v>117.30133452477401</v>
      </c>
      <c r="C1233" s="116">
        <v>108.225032778534</v>
      </c>
      <c r="D1233" s="116">
        <v>107.53444460219001</v>
      </c>
      <c r="E1233" s="116">
        <v>112.51654501724499</v>
      </c>
      <c r="F1233" s="116">
        <v>109.7</v>
      </c>
      <c r="G1233">
        <v>5226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43836</v>
      </c>
      <c r="B1234" s="116">
        <v>114.440326365633</v>
      </c>
      <c r="C1234" s="116">
        <v>106.49856233767299</v>
      </c>
      <c r="D1234" s="116">
        <v>105.709318707565</v>
      </c>
      <c r="E1234" s="116">
        <v>114.440326365633</v>
      </c>
      <c r="F1234" s="116">
        <v>107.95</v>
      </c>
      <c r="G1234">
        <v>6047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43837</v>
      </c>
      <c r="B1235" s="116">
        <v>112.467217290364</v>
      </c>
      <c r="C1235" s="116">
        <v>112.36856183659999</v>
      </c>
      <c r="D1235" s="116">
        <v>108.520999139824</v>
      </c>
      <c r="E1235" s="116">
        <v>108.520999139824</v>
      </c>
      <c r="F1235" s="116">
        <v>113.9</v>
      </c>
      <c r="G1235">
        <v>1663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43838</v>
      </c>
      <c r="B1236" s="116">
        <v>111.38200729896499</v>
      </c>
      <c r="C1236" s="116">
        <v>108.175705051652</v>
      </c>
      <c r="D1236" s="116">
        <v>104.722764169931</v>
      </c>
      <c r="E1236" s="116">
        <v>108.520999139824</v>
      </c>
      <c r="F1236" s="116">
        <v>109.65</v>
      </c>
      <c r="G1236">
        <v>1195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43839</v>
      </c>
      <c r="B1237" s="116">
        <v>113.453771827998</v>
      </c>
      <c r="C1237" s="116">
        <v>111.480662752729</v>
      </c>
      <c r="D1237" s="116">
        <v>107.583772329071</v>
      </c>
      <c r="E1237" s="116">
        <v>110.494108215094</v>
      </c>
      <c r="F1237" s="116">
        <v>113</v>
      </c>
      <c r="G1237">
        <v>1615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43840</v>
      </c>
      <c r="B1238" s="116">
        <v>116.413435440903</v>
      </c>
      <c r="C1238" s="116">
        <v>115.328225449504</v>
      </c>
      <c r="D1238" s="116">
        <v>111.480662752729</v>
      </c>
      <c r="E1238" s="116">
        <v>111.480662752729</v>
      </c>
      <c r="F1238" s="116">
        <v>116.9</v>
      </c>
      <c r="G1238">
        <v>315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43843</v>
      </c>
      <c r="B1239" s="116">
        <v>120.31032586456</v>
      </c>
      <c r="C1239" s="116">
        <v>114.98293136133201</v>
      </c>
      <c r="D1239" s="116">
        <v>112.467217290364</v>
      </c>
      <c r="E1239" s="116">
        <v>115.426880903268</v>
      </c>
      <c r="F1239" s="116">
        <v>116.55</v>
      </c>
      <c r="G1239">
        <v>2567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43844</v>
      </c>
      <c r="B1240" s="116">
        <v>117.39998997853699</v>
      </c>
      <c r="C1240" s="116">
        <v>116.956040436602</v>
      </c>
      <c r="D1240" s="116">
        <v>115.574864083913</v>
      </c>
      <c r="E1240" s="116">
        <v>117.39998997853699</v>
      </c>
      <c r="F1240" s="116">
        <v>118.55</v>
      </c>
      <c r="G1240">
        <v>1147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43845</v>
      </c>
      <c r="B1241" s="116">
        <v>120.60629222585</v>
      </c>
      <c r="C1241" s="116">
        <v>118.139905881763</v>
      </c>
      <c r="D1241" s="116">
        <v>112.763183651654</v>
      </c>
      <c r="E1241" s="116">
        <v>120.60629222585</v>
      </c>
      <c r="F1241" s="116">
        <v>119.75</v>
      </c>
      <c r="G1241">
        <v>1240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43846</v>
      </c>
      <c r="B1242" s="116">
        <v>126.821585812949</v>
      </c>
      <c r="C1242" s="116">
        <v>121.395535855958</v>
      </c>
      <c r="D1242" s="116">
        <v>114.68696500004199</v>
      </c>
      <c r="E1242" s="116">
        <v>114.68696500004199</v>
      </c>
      <c r="F1242" s="116">
        <v>123.05</v>
      </c>
      <c r="G1242">
        <v>2493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43847</v>
      </c>
      <c r="B1243" s="116">
        <v>123.26998947746399</v>
      </c>
      <c r="C1243" s="116">
        <v>119.126460419398</v>
      </c>
      <c r="D1243" s="116">
        <v>118.87982178499</v>
      </c>
      <c r="E1243" s="116">
        <v>123.26998947746399</v>
      </c>
      <c r="F1243" s="116">
        <v>120.75</v>
      </c>
      <c r="G1243">
        <v>394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43850</v>
      </c>
      <c r="B1244" s="116">
        <v>119.077132692516</v>
      </c>
      <c r="C1244" s="116">
        <v>115.96948589896699</v>
      </c>
      <c r="D1244" s="116">
        <v>114.440326365633</v>
      </c>
      <c r="E1244" s="116">
        <v>119.077132692516</v>
      </c>
      <c r="F1244" s="116">
        <v>117.55</v>
      </c>
      <c r="G1244">
        <v>1069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43851</v>
      </c>
      <c r="B1245" s="116">
        <v>139.15351753338399</v>
      </c>
      <c r="C1245" s="116">
        <v>137.427047092523</v>
      </c>
      <c r="D1245" s="116">
        <v>114.83494818068699</v>
      </c>
      <c r="E1245" s="116">
        <v>115.081586815096</v>
      </c>
      <c r="F1245" s="116">
        <v>139.30000000000001</v>
      </c>
      <c r="G1245">
        <v>79191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43852</v>
      </c>
      <c r="B1246" s="116">
        <v>150.94284425811901</v>
      </c>
      <c r="C1246" s="116">
        <v>143.099735683923</v>
      </c>
      <c r="D1246" s="116">
        <v>137.62435800004999</v>
      </c>
      <c r="E1246" s="116">
        <v>139.35082844091099</v>
      </c>
      <c r="F1246" s="116">
        <v>145.05000000000001</v>
      </c>
      <c r="G1246">
        <v>26210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43853</v>
      </c>
      <c r="B1247" s="116">
        <v>149.75897881295799</v>
      </c>
      <c r="C1247" s="116">
        <v>140.929315701127</v>
      </c>
      <c r="D1247" s="116">
        <v>140.14007207101901</v>
      </c>
      <c r="E1247" s="116">
        <v>149.75897881295799</v>
      </c>
      <c r="F1247" s="116">
        <v>142.85</v>
      </c>
      <c r="G1247">
        <v>6012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43854</v>
      </c>
      <c r="B1248" s="116">
        <v>143.05040795704099</v>
      </c>
      <c r="C1248" s="116">
        <v>140.68267706671801</v>
      </c>
      <c r="D1248" s="116">
        <v>138.364273903276</v>
      </c>
      <c r="E1248" s="116">
        <v>143.05040795704099</v>
      </c>
      <c r="F1248" s="116">
        <v>142.6</v>
      </c>
      <c r="G1248">
        <v>2035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43857</v>
      </c>
      <c r="B1249" s="116">
        <v>142.902424776396</v>
      </c>
      <c r="C1249" s="116">
        <v>133.628812122629</v>
      </c>
      <c r="D1249" s="116">
        <v>132.691585311876</v>
      </c>
      <c r="E1249" s="116">
        <v>138.11763526886801</v>
      </c>
      <c r="F1249" s="116">
        <v>135.44999999999999</v>
      </c>
      <c r="G1249">
        <v>2652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43858</v>
      </c>
      <c r="B1250" s="116">
        <v>141.669231604353</v>
      </c>
      <c r="C1250" s="116">
        <v>131.80368622800501</v>
      </c>
      <c r="D1250" s="116">
        <v>130.81713169036999</v>
      </c>
      <c r="E1250" s="116">
        <v>141.57057615058901</v>
      </c>
      <c r="F1250" s="116">
        <v>133.6</v>
      </c>
      <c r="G1250">
        <v>1027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43859</v>
      </c>
      <c r="B1251" s="116">
        <v>143.79032386026699</v>
      </c>
      <c r="C1251" s="116">
        <v>135.00998847531801</v>
      </c>
      <c r="D1251" s="116">
        <v>134.17141711832801</v>
      </c>
      <c r="E1251" s="116">
        <v>137.870996634459</v>
      </c>
      <c r="F1251" s="116">
        <v>136.85</v>
      </c>
      <c r="G1251">
        <v>1222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43860</v>
      </c>
      <c r="B1252" s="116">
        <v>132.691585311876</v>
      </c>
      <c r="C1252" s="116">
        <v>128.05477898499299</v>
      </c>
      <c r="D1252" s="116">
        <v>126.525619451659</v>
      </c>
      <c r="E1252" s="116">
        <v>131.21175350542401</v>
      </c>
      <c r="F1252" s="116">
        <v>129.80000000000001</v>
      </c>
      <c r="G1252">
        <v>3160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43861</v>
      </c>
      <c r="B1253" s="116">
        <v>141.07729888177201</v>
      </c>
      <c r="C1253" s="116">
        <v>123.7139390194</v>
      </c>
      <c r="D1253" s="116">
        <v>123.368644931228</v>
      </c>
      <c r="E1253" s="116">
        <v>141.07729888177201</v>
      </c>
      <c r="F1253" s="116">
        <v>125.4</v>
      </c>
      <c r="G1253">
        <v>4929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43862</v>
      </c>
      <c r="B1254" s="116">
        <v>129.731921698972</v>
      </c>
      <c r="C1254" s="116">
        <v>112.763183651654</v>
      </c>
      <c r="D1254" s="116">
        <v>111.480662752729</v>
      </c>
      <c r="E1254" s="116">
        <v>129.731921698972</v>
      </c>
      <c r="F1254" s="116">
        <v>114.3</v>
      </c>
      <c r="G1254">
        <v>3171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43864</v>
      </c>
      <c r="B1255" s="116">
        <v>124.55251037638899</v>
      </c>
      <c r="C1255" s="116">
        <v>117.15335134412901</v>
      </c>
      <c r="D1255" s="116">
        <v>116.413435440903</v>
      </c>
      <c r="E1255" s="116">
        <v>124.30587174198099</v>
      </c>
      <c r="F1255" s="116">
        <v>118.75</v>
      </c>
      <c r="G1255">
        <v>1997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43865</v>
      </c>
      <c r="B1256" s="116">
        <v>125.292426279616</v>
      </c>
      <c r="C1256" s="116">
        <v>125.292426279616</v>
      </c>
      <c r="D1256" s="116">
        <v>116.413435440903</v>
      </c>
      <c r="E1256" s="116">
        <v>123.31931720434601</v>
      </c>
      <c r="F1256" s="116">
        <v>127</v>
      </c>
      <c r="G1256">
        <v>4266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43866</v>
      </c>
      <c r="B1257" s="116">
        <v>135.157971655963</v>
      </c>
      <c r="C1257" s="116">
        <v>127.462846262412</v>
      </c>
      <c r="D1257" s="116">
        <v>126.229653090369</v>
      </c>
      <c r="E1257" s="116">
        <v>126.229653090369</v>
      </c>
      <c r="F1257" s="116">
        <v>129.19999999999999</v>
      </c>
      <c r="G1257">
        <v>4742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43867</v>
      </c>
      <c r="B1258" s="116">
        <v>133.135534853812</v>
      </c>
      <c r="C1258" s="116">
        <v>124.700493557035</v>
      </c>
      <c r="D1258" s="116">
        <v>124.30587174198099</v>
      </c>
      <c r="E1258" s="116">
        <v>133.03687940004801</v>
      </c>
      <c r="F1258" s="116">
        <v>126.4</v>
      </c>
      <c r="G1258">
        <v>1365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43868</v>
      </c>
      <c r="B1259" s="116">
        <v>129.23864443015501</v>
      </c>
      <c r="C1259" s="116">
        <v>126.27898081725</v>
      </c>
      <c r="D1259" s="116">
        <v>123.31931720434601</v>
      </c>
      <c r="E1259" s="116">
        <v>129.23864443015501</v>
      </c>
      <c r="F1259" s="116">
        <v>128</v>
      </c>
      <c r="G1259">
        <v>979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43871</v>
      </c>
      <c r="B1260" s="116">
        <v>131.90234168176801</v>
      </c>
      <c r="C1260" s="116">
        <v>121.88881312477599</v>
      </c>
      <c r="D1260" s="116">
        <v>120.408981318323</v>
      </c>
      <c r="E1260" s="116">
        <v>131.90234168176801</v>
      </c>
      <c r="F1260" s="116">
        <v>123.55</v>
      </c>
      <c r="G1260">
        <v>2889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43872</v>
      </c>
      <c r="B1261" s="116">
        <v>140.28805525166399</v>
      </c>
      <c r="C1261" s="116">
        <v>128.597383980692</v>
      </c>
      <c r="D1261" s="116">
        <v>122.382090393593</v>
      </c>
      <c r="E1261" s="116">
        <v>122.382090393593</v>
      </c>
      <c r="F1261" s="116">
        <v>130.35</v>
      </c>
      <c r="G1261">
        <v>4169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43873</v>
      </c>
      <c r="B1262" s="116">
        <v>133.18486258069399</v>
      </c>
      <c r="C1262" s="116">
        <v>128.893350341982</v>
      </c>
      <c r="D1262" s="116">
        <v>126.27898081725</v>
      </c>
      <c r="E1262" s="116">
        <v>132.93822394628501</v>
      </c>
      <c r="F1262" s="116">
        <v>130.65</v>
      </c>
      <c r="G1262">
        <v>1515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43874</v>
      </c>
      <c r="B1263" s="116">
        <v>139.10418980650201</v>
      </c>
      <c r="C1263" s="116">
        <v>131.359736686069</v>
      </c>
      <c r="D1263" s="116">
        <v>129.23864443015501</v>
      </c>
      <c r="E1263" s="116">
        <v>136.88444209682399</v>
      </c>
      <c r="F1263" s="116">
        <v>133.15</v>
      </c>
      <c r="G1263">
        <v>1630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43875</v>
      </c>
      <c r="B1264" s="116">
        <v>125.292426279616</v>
      </c>
      <c r="C1264" s="116">
        <v>119.373099053807</v>
      </c>
      <c r="D1264" s="116">
        <v>111.628645933374</v>
      </c>
      <c r="E1264" s="116">
        <v>122.33276266671101</v>
      </c>
      <c r="F1264" s="116">
        <v>121</v>
      </c>
      <c r="G1264">
        <v>2514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43878</v>
      </c>
      <c r="B1265" s="116">
        <v>124.799149010798</v>
      </c>
      <c r="C1265" s="116">
        <v>122.924695389292</v>
      </c>
      <c r="D1265" s="116">
        <v>115.47620863015</v>
      </c>
      <c r="E1265" s="116">
        <v>121.346208129076</v>
      </c>
      <c r="F1265" s="116">
        <v>124.6</v>
      </c>
      <c r="G1265">
        <v>727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43879</v>
      </c>
      <c r="B1266" s="116">
        <v>123.26998947746399</v>
      </c>
      <c r="C1266" s="116">
        <v>117.991922701118</v>
      </c>
      <c r="D1266" s="116">
        <v>116.462763167784</v>
      </c>
      <c r="E1266" s="116">
        <v>116.462763167784</v>
      </c>
      <c r="F1266" s="116">
        <v>119.6</v>
      </c>
      <c r="G1266">
        <v>543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43880</v>
      </c>
      <c r="B1267" s="116">
        <v>123.31931720434601</v>
      </c>
      <c r="C1267" s="116">
        <v>119.76772086886101</v>
      </c>
      <c r="D1267" s="116">
        <v>118.87982178499</v>
      </c>
      <c r="E1267" s="116">
        <v>123.31931720434601</v>
      </c>
      <c r="F1267" s="116">
        <v>121.4</v>
      </c>
      <c r="G1267">
        <v>1055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43881</v>
      </c>
      <c r="B1268" s="116">
        <v>127.265535354885</v>
      </c>
      <c r="C1268" s="116">
        <v>125.73637582155099</v>
      </c>
      <c r="D1268" s="116">
        <v>119.373099053807</v>
      </c>
      <c r="E1268" s="116">
        <v>120.359653591442</v>
      </c>
      <c r="F1268" s="116">
        <v>127.45</v>
      </c>
      <c r="G1268">
        <v>1115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43885</v>
      </c>
      <c r="B1269" s="116">
        <v>126.130997636605</v>
      </c>
      <c r="C1269" s="116">
        <v>120.359653591442</v>
      </c>
      <c r="D1269" s="116">
        <v>120.359653591442</v>
      </c>
      <c r="E1269" s="116">
        <v>120.359653591442</v>
      </c>
      <c r="F1269" s="116">
        <v>122</v>
      </c>
      <c r="G1269">
        <v>1066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43886</v>
      </c>
      <c r="B1270" s="116">
        <v>125.243098552734</v>
      </c>
      <c r="C1270" s="116">
        <v>117.25200679789199</v>
      </c>
      <c r="D1270" s="116">
        <v>117.15335134412901</v>
      </c>
      <c r="E1270" s="116">
        <v>120.359653591442</v>
      </c>
      <c r="F1270" s="116">
        <v>118.85</v>
      </c>
      <c r="G1270">
        <v>531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43887</v>
      </c>
      <c r="B1271" s="116">
        <v>121.099569494668</v>
      </c>
      <c r="C1271" s="116">
        <v>117.942594974236</v>
      </c>
      <c r="D1271" s="116">
        <v>114.440326365633</v>
      </c>
      <c r="E1271" s="116">
        <v>114.489654092515</v>
      </c>
      <c r="F1271" s="116">
        <v>119.55</v>
      </c>
      <c r="G1271">
        <v>1263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43888</v>
      </c>
      <c r="B1272" s="116">
        <v>121.296880402195</v>
      </c>
      <c r="C1272" s="116">
        <v>118.48519996993601</v>
      </c>
      <c r="D1272" s="116">
        <v>114.045704550579</v>
      </c>
      <c r="E1272" s="116">
        <v>121.296880402195</v>
      </c>
      <c r="F1272" s="116">
        <v>120.1</v>
      </c>
      <c r="G1272">
        <v>1798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43889</v>
      </c>
      <c r="B1273" s="116">
        <v>115.426880903268</v>
      </c>
      <c r="C1273" s="116">
        <v>112.41788956348201</v>
      </c>
      <c r="D1273" s="116">
        <v>107.583772329071</v>
      </c>
      <c r="E1273" s="116">
        <v>107.583772329071</v>
      </c>
      <c r="F1273" s="116">
        <v>113.95</v>
      </c>
      <c r="G1273">
        <v>1891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43892</v>
      </c>
      <c r="B1274" s="116">
        <v>114.390998638751</v>
      </c>
      <c r="C1274" s="116">
        <v>110.494108215094</v>
      </c>
      <c r="D1274" s="116">
        <v>108.570326866706</v>
      </c>
      <c r="E1274" s="116">
        <v>112.41788956348201</v>
      </c>
      <c r="F1274" s="116">
        <v>112</v>
      </c>
      <c r="G1274">
        <v>284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43893</v>
      </c>
      <c r="B1275" s="116">
        <v>116.808057255957</v>
      </c>
      <c r="C1275" s="116">
        <v>110.00083094627701</v>
      </c>
      <c r="D1275" s="116">
        <v>109.507553677459</v>
      </c>
      <c r="E1275" s="116">
        <v>109.754192311868</v>
      </c>
      <c r="F1275" s="116">
        <v>111.5</v>
      </c>
      <c r="G1275">
        <v>196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43894</v>
      </c>
      <c r="B1276" s="116">
        <v>108.520999139824</v>
      </c>
      <c r="C1276" s="116">
        <v>107.041167333372</v>
      </c>
      <c r="D1276" s="116">
        <v>105.857301888211</v>
      </c>
      <c r="E1276" s="116">
        <v>105.857301888211</v>
      </c>
      <c r="F1276" s="116">
        <v>108.5</v>
      </c>
      <c r="G1276">
        <v>633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43895</v>
      </c>
      <c r="B1277" s="116">
        <v>112.41788956348201</v>
      </c>
      <c r="C1277" s="116">
        <v>108.76763777423299</v>
      </c>
      <c r="D1277" s="116">
        <v>104.08150372046801</v>
      </c>
      <c r="E1277" s="116">
        <v>104.08150372046801</v>
      </c>
      <c r="F1277" s="116">
        <v>110.25</v>
      </c>
      <c r="G1277">
        <v>1586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43896</v>
      </c>
      <c r="B1278" s="116">
        <v>113.453771827998</v>
      </c>
      <c r="C1278" s="116">
        <v>113.355116374235</v>
      </c>
      <c r="D1278" s="116">
        <v>103.588226451651</v>
      </c>
      <c r="E1278" s="116">
        <v>104.13083144735</v>
      </c>
      <c r="F1278" s="116">
        <v>114.9</v>
      </c>
      <c r="G1278">
        <v>1024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43899</v>
      </c>
      <c r="B1279" s="116">
        <v>112.41788956348201</v>
      </c>
      <c r="C1279" s="116">
        <v>109.310242769932</v>
      </c>
      <c r="D1279" s="116">
        <v>101.66444510326301</v>
      </c>
      <c r="E1279" s="116">
        <v>101.66444510326301</v>
      </c>
      <c r="F1279" s="116">
        <v>110.8</v>
      </c>
      <c r="G1279">
        <v>350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43901</v>
      </c>
      <c r="B1280" s="116">
        <v>106.054612795738</v>
      </c>
      <c r="C1280" s="116">
        <v>106.054612795738</v>
      </c>
      <c r="D1280" s="116">
        <v>105.857301888211</v>
      </c>
      <c r="E1280" s="116">
        <v>105.857301888211</v>
      </c>
      <c r="F1280" s="116">
        <v>107.5</v>
      </c>
      <c r="G1280">
        <v>36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43902</v>
      </c>
      <c r="B1281" s="116">
        <v>102.552344187134</v>
      </c>
      <c r="C1281" s="116">
        <v>99.395369666702905</v>
      </c>
      <c r="D1281" s="116">
        <v>94.758563339819403</v>
      </c>
      <c r="E1281" s="116">
        <v>94.758563339819403</v>
      </c>
      <c r="F1281" s="116">
        <v>100.75</v>
      </c>
      <c r="G1281">
        <v>2724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43903</v>
      </c>
      <c r="B1282" s="116">
        <v>100.62856283874601</v>
      </c>
      <c r="C1282" s="116">
        <v>94.709235612937704</v>
      </c>
      <c r="D1282" s="116">
        <v>79.910917548416194</v>
      </c>
      <c r="E1282" s="116">
        <v>100.62856283874601</v>
      </c>
      <c r="F1282" s="116">
        <v>96</v>
      </c>
      <c r="G1282">
        <v>9008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43906</v>
      </c>
      <c r="B1283" s="116">
        <v>94.709235612937704</v>
      </c>
      <c r="C1283" s="116">
        <v>87.310076580676906</v>
      </c>
      <c r="D1283" s="116">
        <v>85.830244774224795</v>
      </c>
      <c r="E1283" s="116">
        <v>94.709235612937704</v>
      </c>
      <c r="F1283" s="116">
        <v>88.5</v>
      </c>
      <c r="G1283">
        <v>3835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43907</v>
      </c>
      <c r="B1284" s="116">
        <v>88.049992483902997</v>
      </c>
      <c r="C1284" s="116">
        <v>82.179992984976195</v>
      </c>
      <c r="D1284" s="116">
        <v>79.220329372071902</v>
      </c>
      <c r="E1284" s="116">
        <v>88.049992483902997</v>
      </c>
      <c r="F1284" s="116">
        <v>83.3</v>
      </c>
      <c r="G1284">
        <v>3136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43908</v>
      </c>
      <c r="B1285" s="116">
        <v>83.857135698955304</v>
      </c>
      <c r="C1285" s="116">
        <v>80.897472086050996</v>
      </c>
      <c r="D1285" s="116">
        <v>80.897472086050996</v>
      </c>
      <c r="E1285" s="116">
        <v>80.996127539814395</v>
      </c>
      <c r="F1285" s="116">
        <v>82</v>
      </c>
      <c r="G1285">
        <v>359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43909</v>
      </c>
      <c r="B1286" s="116">
        <v>86.767471584977798</v>
      </c>
      <c r="C1286" s="116">
        <v>80.749488905405698</v>
      </c>
      <c r="D1286" s="116">
        <v>73.991590322607607</v>
      </c>
      <c r="E1286" s="116">
        <v>73.991590322607607</v>
      </c>
      <c r="F1286" s="116">
        <v>81.849999999999994</v>
      </c>
      <c r="G1286">
        <v>2374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43910</v>
      </c>
      <c r="B1287" s="116">
        <v>86.718143858096099</v>
      </c>
      <c r="C1287" s="116">
        <v>79.269657098953601</v>
      </c>
      <c r="D1287" s="116">
        <v>78.283102561318799</v>
      </c>
      <c r="E1287" s="116">
        <v>80.650833451642299</v>
      </c>
      <c r="F1287" s="116">
        <v>80.349999999999994</v>
      </c>
      <c r="G1287">
        <v>1262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43913</v>
      </c>
      <c r="B1288" s="116">
        <v>78.825707557018006</v>
      </c>
      <c r="C1288" s="116">
        <v>71.919825793574603</v>
      </c>
      <c r="D1288" s="116">
        <v>64.126044946259896</v>
      </c>
      <c r="E1288" s="116">
        <v>67.135036286045903</v>
      </c>
      <c r="F1288" s="116">
        <v>72.900000000000006</v>
      </c>
      <c r="G1288">
        <v>5349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43914</v>
      </c>
      <c r="B1289" s="116">
        <v>79.910917548416194</v>
      </c>
      <c r="C1289" s="116">
        <v>76.211338032285795</v>
      </c>
      <c r="D1289" s="116">
        <v>65.655204479593806</v>
      </c>
      <c r="E1289" s="116">
        <v>66.049826294647701</v>
      </c>
      <c r="F1289" s="116">
        <v>77.25</v>
      </c>
      <c r="G1289">
        <v>492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43915</v>
      </c>
      <c r="B1290" s="116">
        <v>77.937808473146703</v>
      </c>
      <c r="C1290" s="116">
        <v>73.153018965618003</v>
      </c>
      <c r="D1290" s="116">
        <v>65.260582664539896</v>
      </c>
      <c r="E1290" s="116">
        <v>65.309910391421596</v>
      </c>
      <c r="F1290" s="116">
        <v>74.150000000000006</v>
      </c>
      <c r="G1290">
        <v>358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43916</v>
      </c>
      <c r="B1291" s="116">
        <v>73.547640780671898</v>
      </c>
      <c r="C1291" s="116">
        <v>69.502767176369403</v>
      </c>
      <c r="D1291" s="116">
        <v>65.605876752712106</v>
      </c>
      <c r="E1291" s="116">
        <v>65.605876752712106</v>
      </c>
      <c r="F1291" s="116">
        <v>70.45</v>
      </c>
      <c r="G1291">
        <v>1784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43917</v>
      </c>
      <c r="B1292" s="116">
        <v>75.964699397877098</v>
      </c>
      <c r="C1292" s="116">
        <v>73.646296234435397</v>
      </c>
      <c r="D1292" s="116">
        <v>67.085708559164203</v>
      </c>
      <c r="E1292" s="116">
        <v>70.045372172068497</v>
      </c>
      <c r="F1292" s="116">
        <v>74.650000000000006</v>
      </c>
      <c r="G1292">
        <v>2309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43920</v>
      </c>
      <c r="B1293" s="116">
        <v>73.646296234435397</v>
      </c>
      <c r="C1293" s="116">
        <v>67.480330374218099</v>
      </c>
      <c r="D1293" s="116">
        <v>67.431002647336399</v>
      </c>
      <c r="E1293" s="116">
        <v>73.646296234435397</v>
      </c>
      <c r="F1293" s="116">
        <v>68.400000000000006</v>
      </c>
      <c r="G1293">
        <v>2021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43921</v>
      </c>
      <c r="B1294" s="116">
        <v>72.807724877445906</v>
      </c>
      <c r="C1294" s="116">
        <v>66.888397651637305</v>
      </c>
      <c r="D1294" s="116">
        <v>62.152935870990397</v>
      </c>
      <c r="E1294" s="116">
        <v>72.807724877445906</v>
      </c>
      <c r="F1294" s="116">
        <v>67.8</v>
      </c>
      <c r="G1294">
        <v>2600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43922</v>
      </c>
      <c r="B1295" s="116">
        <v>78.628396649490995</v>
      </c>
      <c r="C1295" s="116">
        <v>72.265119881746699</v>
      </c>
      <c r="D1295" s="116">
        <v>69.946716718304998</v>
      </c>
      <c r="E1295" s="116">
        <v>72.807724877445906</v>
      </c>
      <c r="F1295" s="116">
        <v>73.25</v>
      </c>
      <c r="G1295">
        <v>4264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43924</v>
      </c>
      <c r="B1296" s="116">
        <v>84.695707055944794</v>
      </c>
      <c r="C1296" s="116">
        <v>81.242766174223107</v>
      </c>
      <c r="D1296" s="116">
        <v>75.964699397877098</v>
      </c>
      <c r="E1296" s="116">
        <v>75.964699397877098</v>
      </c>
      <c r="F1296" s="116">
        <v>82.35</v>
      </c>
      <c r="G1296">
        <v>4176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43928</v>
      </c>
      <c r="B1297" s="116">
        <v>90.763017462398594</v>
      </c>
      <c r="C1297" s="116">
        <v>89.085874748419499</v>
      </c>
      <c r="D1297" s="116">
        <v>83.906463425837003</v>
      </c>
      <c r="E1297" s="116">
        <v>86.816799311859597</v>
      </c>
      <c r="F1297" s="116">
        <v>90.3</v>
      </c>
      <c r="G1297">
        <v>5589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43929</v>
      </c>
      <c r="B1298" s="116">
        <v>92.242849268850804</v>
      </c>
      <c r="C1298" s="116">
        <v>91.108311550570804</v>
      </c>
      <c r="D1298" s="116">
        <v>82.870581161320501</v>
      </c>
      <c r="E1298" s="116">
        <v>85.238312051643902</v>
      </c>
      <c r="F1298" s="116">
        <v>92.35</v>
      </c>
      <c r="G1298">
        <v>1285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43930</v>
      </c>
      <c r="B1299" s="116">
        <v>92.440160176377702</v>
      </c>
      <c r="C1299" s="116">
        <v>89.529824290355194</v>
      </c>
      <c r="D1299" s="116">
        <v>80.256211636588404</v>
      </c>
      <c r="E1299" s="116">
        <v>80.256211636588404</v>
      </c>
      <c r="F1299" s="116">
        <v>90.75</v>
      </c>
      <c r="G1299">
        <v>1003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43934</v>
      </c>
      <c r="B1300" s="116">
        <v>93.624025621539502</v>
      </c>
      <c r="C1300" s="116">
        <v>82.574614800030105</v>
      </c>
      <c r="D1300" s="116">
        <v>80.6015057247605</v>
      </c>
      <c r="E1300" s="116">
        <v>80.6015057247605</v>
      </c>
      <c r="F1300" s="116">
        <v>83.7</v>
      </c>
      <c r="G1300">
        <v>1228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43936</v>
      </c>
      <c r="B1301" s="116">
        <v>89.776462924763905</v>
      </c>
      <c r="C1301" s="116">
        <v>87.260748853795207</v>
      </c>
      <c r="D1301" s="116">
        <v>81.390749354868305</v>
      </c>
      <c r="E1301" s="116">
        <v>81.390749354868305</v>
      </c>
      <c r="F1301" s="116">
        <v>88.45</v>
      </c>
      <c r="G1301">
        <v>2860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43937</v>
      </c>
      <c r="B1302" s="116">
        <v>88.789908387129103</v>
      </c>
      <c r="C1302" s="116">
        <v>88.789908387129103</v>
      </c>
      <c r="D1302" s="116">
        <v>85.830244774224795</v>
      </c>
      <c r="E1302" s="116">
        <v>87.260748853795207</v>
      </c>
      <c r="F1302" s="116">
        <v>90</v>
      </c>
      <c r="G1302">
        <v>894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43938</v>
      </c>
      <c r="B1303" s="116">
        <v>93.229403806485607</v>
      </c>
      <c r="C1303" s="116">
        <v>87.458059761322204</v>
      </c>
      <c r="D1303" s="116">
        <v>86.816799311859597</v>
      </c>
      <c r="E1303" s="116">
        <v>88.789908387129103</v>
      </c>
      <c r="F1303" s="116">
        <v>88.65</v>
      </c>
      <c r="G1303">
        <v>1849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43941</v>
      </c>
      <c r="B1304" s="116">
        <v>92.982765172076896</v>
      </c>
      <c r="C1304" s="116">
        <v>92.390832449496003</v>
      </c>
      <c r="D1304" s="116">
        <v>88.395286572075193</v>
      </c>
      <c r="E1304" s="116">
        <v>91.256294731216002</v>
      </c>
      <c r="F1304" s="116">
        <v>93.65</v>
      </c>
      <c r="G1304">
        <v>310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43942</v>
      </c>
      <c r="B1305" s="116">
        <v>92.341504722614303</v>
      </c>
      <c r="C1305" s="116">
        <v>92.193521541969105</v>
      </c>
      <c r="D1305" s="116">
        <v>88.789908387129103</v>
      </c>
      <c r="E1305" s="116">
        <v>92.341504722614303</v>
      </c>
      <c r="F1305" s="116">
        <v>93.45</v>
      </c>
      <c r="G1305">
        <v>1153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43943</v>
      </c>
      <c r="B1306" s="116">
        <v>92.193521541969105</v>
      </c>
      <c r="C1306" s="116">
        <v>89.233857929064797</v>
      </c>
      <c r="D1306" s="116">
        <v>87.014110219386495</v>
      </c>
      <c r="E1306" s="116">
        <v>87.014110219386495</v>
      </c>
      <c r="F1306" s="116">
        <v>90.45</v>
      </c>
      <c r="G1306">
        <v>795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43944</v>
      </c>
      <c r="B1307" s="116">
        <v>89.776462924763905</v>
      </c>
      <c r="C1307" s="116">
        <v>89.332513382828196</v>
      </c>
      <c r="D1307" s="116">
        <v>87.211421126913507</v>
      </c>
      <c r="E1307" s="116">
        <v>89.677807471000406</v>
      </c>
      <c r="F1307" s="116">
        <v>90.55</v>
      </c>
      <c r="G1307">
        <v>2510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43945</v>
      </c>
      <c r="B1308" s="116">
        <v>90.269740193581299</v>
      </c>
      <c r="C1308" s="116">
        <v>89.973773832290803</v>
      </c>
      <c r="D1308" s="116">
        <v>86.816799311859597</v>
      </c>
      <c r="E1308" s="116">
        <v>88.789908387129103</v>
      </c>
      <c r="F1308" s="116">
        <v>91.2</v>
      </c>
      <c r="G1308">
        <v>763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43948</v>
      </c>
      <c r="B1309" s="116">
        <v>93.180076079603793</v>
      </c>
      <c r="C1309" s="116">
        <v>89.875118378527304</v>
      </c>
      <c r="D1309" s="116">
        <v>89.776462924763905</v>
      </c>
      <c r="E1309" s="116">
        <v>91.749572000033396</v>
      </c>
      <c r="F1309" s="116">
        <v>91.1</v>
      </c>
      <c r="G1309">
        <v>657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43949</v>
      </c>
      <c r="B1310" s="116">
        <v>91.700244273151696</v>
      </c>
      <c r="C1310" s="116">
        <v>91.256294731216002</v>
      </c>
      <c r="D1310" s="116">
        <v>87.310076580676906</v>
      </c>
      <c r="E1310" s="116">
        <v>91.700244273151696</v>
      </c>
      <c r="F1310" s="116">
        <v>92.5</v>
      </c>
      <c r="G1310">
        <v>305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43950</v>
      </c>
      <c r="B1311" s="116">
        <v>97.866210133368995</v>
      </c>
      <c r="C1311" s="116">
        <v>96.682344688207294</v>
      </c>
      <c r="D1311" s="116">
        <v>92.242849268850804</v>
      </c>
      <c r="E1311" s="116">
        <v>93.180076079603793</v>
      </c>
      <c r="F1311" s="116">
        <v>98</v>
      </c>
      <c r="G1311">
        <v>553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43951</v>
      </c>
      <c r="B1312" s="116">
        <v>99.543352847348103</v>
      </c>
      <c r="C1312" s="116">
        <v>91.502933365624699</v>
      </c>
      <c r="D1312" s="116">
        <v>90.763017462398594</v>
      </c>
      <c r="E1312" s="116">
        <v>91.305622458097801</v>
      </c>
      <c r="F1312" s="116">
        <v>92.75</v>
      </c>
      <c r="G1312">
        <v>1970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43955</v>
      </c>
      <c r="B1313" s="116">
        <v>92.736126537668198</v>
      </c>
      <c r="C1313" s="116">
        <v>92.6374710839047</v>
      </c>
      <c r="D1313" s="116">
        <v>91.749572000033396</v>
      </c>
      <c r="E1313" s="116">
        <v>92.736126537668198</v>
      </c>
      <c r="F1313" s="116">
        <v>93.9</v>
      </c>
      <c r="G1313">
        <v>124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43956</v>
      </c>
      <c r="B1314" s="116">
        <v>92.6374710839047</v>
      </c>
      <c r="C1314" s="116">
        <v>86.816799311859597</v>
      </c>
      <c r="D1314" s="116">
        <v>85.830244774224795</v>
      </c>
      <c r="E1314" s="116">
        <v>92.6374710839047</v>
      </c>
      <c r="F1314" s="116">
        <v>88</v>
      </c>
      <c r="G1314">
        <v>2143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43957</v>
      </c>
      <c r="B1315" s="116">
        <v>88.789908387129103</v>
      </c>
      <c r="C1315" s="116">
        <v>85.978227954869993</v>
      </c>
      <c r="D1315" s="116">
        <v>85.830244774224795</v>
      </c>
      <c r="E1315" s="116">
        <v>88.740580660247403</v>
      </c>
      <c r="F1315" s="116">
        <v>87.15</v>
      </c>
      <c r="G1315">
        <v>1563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43958</v>
      </c>
      <c r="B1316" s="116">
        <v>86.816799311859597</v>
      </c>
      <c r="C1316" s="116">
        <v>85.3862952322892</v>
      </c>
      <c r="D1316" s="116">
        <v>84.843690236590007</v>
      </c>
      <c r="E1316" s="116">
        <v>86.767471584977798</v>
      </c>
      <c r="F1316" s="116">
        <v>86.55</v>
      </c>
      <c r="G1316">
        <v>1703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43959</v>
      </c>
      <c r="B1317" s="116">
        <v>87.606042941967402</v>
      </c>
      <c r="C1317" s="116">
        <v>87.606042941967402</v>
      </c>
      <c r="D1317" s="116">
        <v>87.408732034440405</v>
      </c>
      <c r="E1317" s="116">
        <v>87.408732034440405</v>
      </c>
      <c r="F1317" s="116">
        <v>88.8</v>
      </c>
      <c r="G1317">
        <v>35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43962</v>
      </c>
      <c r="B1318" s="116">
        <v>87.704698395730901</v>
      </c>
      <c r="C1318" s="116">
        <v>84.399740694654398</v>
      </c>
      <c r="D1318" s="116">
        <v>84.350412967772698</v>
      </c>
      <c r="E1318" s="116">
        <v>84.597051602181295</v>
      </c>
      <c r="F1318" s="116">
        <v>85.55</v>
      </c>
      <c r="G1318">
        <v>160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43963</v>
      </c>
      <c r="B1319" s="116">
        <v>86.816799311859597</v>
      </c>
      <c r="C1319" s="116">
        <v>84.843690236590007</v>
      </c>
      <c r="D1319" s="116">
        <v>84.794362509708293</v>
      </c>
      <c r="E1319" s="116">
        <v>86.816799311859597</v>
      </c>
      <c r="F1319" s="116">
        <v>86</v>
      </c>
      <c r="G1319">
        <v>55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43964</v>
      </c>
      <c r="B1320" s="116">
        <v>88.789908387129103</v>
      </c>
      <c r="C1320" s="116">
        <v>88.789908387129103</v>
      </c>
      <c r="D1320" s="116">
        <v>85.928900227988294</v>
      </c>
      <c r="E1320" s="116">
        <v>88.543269752720406</v>
      </c>
      <c r="F1320" s="116">
        <v>90</v>
      </c>
      <c r="G1320">
        <v>385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43965</v>
      </c>
      <c r="B1321" s="116">
        <v>88.789908387129103</v>
      </c>
      <c r="C1321" s="116">
        <v>84.843690236590007</v>
      </c>
      <c r="D1321" s="116">
        <v>84.843690236590007</v>
      </c>
      <c r="E1321" s="116">
        <v>88.789908387129103</v>
      </c>
      <c r="F1321" s="116">
        <v>86</v>
      </c>
      <c r="G1321">
        <v>36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43966</v>
      </c>
      <c r="B1322" s="116">
        <v>91.108311550570804</v>
      </c>
      <c r="C1322" s="116">
        <v>88.789908387129103</v>
      </c>
      <c r="D1322" s="116">
        <v>88.789908387129103</v>
      </c>
      <c r="E1322" s="116">
        <v>91.108311550570804</v>
      </c>
      <c r="F1322" s="116">
        <v>90</v>
      </c>
      <c r="G1322">
        <v>102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43969</v>
      </c>
      <c r="B1323" s="116">
        <v>83.857135698955304</v>
      </c>
      <c r="C1323" s="116">
        <v>78.875035283899706</v>
      </c>
      <c r="D1323" s="116">
        <v>77.049909389275399</v>
      </c>
      <c r="E1323" s="116">
        <v>83.363858430137896</v>
      </c>
      <c r="F1323" s="116">
        <v>79.95</v>
      </c>
      <c r="G1323">
        <v>4897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43970</v>
      </c>
      <c r="B1324" s="116">
        <v>85.731589320461296</v>
      </c>
      <c r="C1324" s="116">
        <v>83.0185643419657</v>
      </c>
      <c r="D1324" s="116">
        <v>76.901926208630201</v>
      </c>
      <c r="E1324" s="116">
        <v>76.901926208630201</v>
      </c>
      <c r="F1324" s="116">
        <v>84.15</v>
      </c>
      <c r="G1324">
        <v>1547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43971</v>
      </c>
      <c r="B1325" s="116">
        <v>83.857135698955304</v>
      </c>
      <c r="C1325" s="116">
        <v>78.973690737663205</v>
      </c>
      <c r="D1325" s="116">
        <v>78.924363010781406</v>
      </c>
      <c r="E1325" s="116">
        <v>83.857135698955304</v>
      </c>
      <c r="F1325" s="116">
        <v>80.05</v>
      </c>
      <c r="G1325">
        <v>1034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43973</v>
      </c>
      <c r="B1326" s="116">
        <v>82.525287073148306</v>
      </c>
      <c r="C1326" s="116">
        <v>77.789825292501405</v>
      </c>
      <c r="D1326" s="116">
        <v>77.444531204329294</v>
      </c>
      <c r="E1326" s="116">
        <v>82.525287073148306</v>
      </c>
      <c r="F1326" s="116">
        <v>78.849999999999994</v>
      </c>
      <c r="G1326">
        <v>22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43977</v>
      </c>
      <c r="B1327" s="116">
        <v>83.857135698955304</v>
      </c>
      <c r="C1327" s="116">
        <v>80.650833451642299</v>
      </c>
      <c r="D1327" s="116">
        <v>77.592514384974507</v>
      </c>
      <c r="E1327" s="116">
        <v>78.875035283899706</v>
      </c>
      <c r="F1327" s="116">
        <v>81.75</v>
      </c>
      <c r="G1327">
        <v>1476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43978</v>
      </c>
      <c r="B1328" s="116">
        <v>82.475959346266606</v>
      </c>
      <c r="C1328" s="116">
        <v>80.256211636588404</v>
      </c>
      <c r="D1328" s="116">
        <v>78.924363010781406</v>
      </c>
      <c r="E1328" s="116">
        <v>78.924363010781406</v>
      </c>
      <c r="F1328" s="116">
        <v>81.349999999999994</v>
      </c>
      <c r="G1328">
        <v>431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43979</v>
      </c>
      <c r="B1329" s="116">
        <v>87.162093400031694</v>
      </c>
      <c r="C1329" s="116">
        <v>80.009573002179707</v>
      </c>
      <c r="D1329" s="116">
        <v>78.924363010781406</v>
      </c>
      <c r="E1329" s="116">
        <v>80.700161178523999</v>
      </c>
      <c r="F1329" s="116">
        <v>81.099999999999994</v>
      </c>
      <c r="G1329">
        <v>1341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43980</v>
      </c>
      <c r="B1330" s="116">
        <v>83.610497064546607</v>
      </c>
      <c r="C1330" s="116">
        <v>83.265202976374397</v>
      </c>
      <c r="D1330" s="116">
        <v>79.910917548416194</v>
      </c>
      <c r="E1330" s="116">
        <v>79.910917548416194</v>
      </c>
      <c r="F1330" s="116">
        <v>84.4</v>
      </c>
      <c r="G1330">
        <v>1040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43983</v>
      </c>
      <c r="B1331" s="116">
        <v>93.229403806485607</v>
      </c>
      <c r="C1331" s="116">
        <v>90.565706554871696</v>
      </c>
      <c r="D1331" s="116">
        <v>80.5521779978788</v>
      </c>
      <c r="E1331" s="116">
        <v>83.857135698955304</v>
      </c>
      <c r="F1331" s="116">
        <v>91.8</v>
      </c>
      <c r="G1331">
        <v>769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43984</v>
      </c>
      <c r="B1332" s="116">
        <v>90.467051101108197</v>
      </c>
      <c r="C1332" s="116">
        <v>87.014110219386495</v>
      </c>
      <c r="D1332" s="116">
        <v>79.910917548416194</v>
      </c>
      <c r="E1332" s="116">
        <v>79.910917548416194</v>
      </c>
      <c r="F1332" s="116">
        <v>88.2</v>
      </c>
      <c r="G1332">
        <v>466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43985</v>
      </c>
      <c r="B1333" s="116">
        <v>92.686798810786399</v>
      </c>
      <c r="C1333" s="116">
        <v>87.902009303257799</v>
      </c>
      <c r="D1333" s="116">
        <v>84.942345690353505</v>
      </c>
      <c r="E1333" s="116">
        <v>84.942345690353505</v>
      </c>
      <c r="F1333" s="116">
        <v>89.1</v>
      </c>
      <c r="G1333">
        <v>307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43986</v>
      </c>
      <c r="B1334" s="116">
        <v>86.816799311859597</v>
      </c>
      <c r="C1334" s="116">
        <v>85.188984324762203</v>
      </c>
      <c r="D1334" s="116">
        <v>82.870581161320501</v>
      </c>
      <c r="E1334" s="116">
        <v>86.816799311859597</v>
      </c>
      <c r="F1334" s="116">
        <v>86.35</v>
      </c>
      <c r="G1334">
        <v>1224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43987</v>
      </c>
      <c r="B1335" s="116">
        <v>93.673353348421202</v>
      </c>
      <c r="C1335" s="116">
        <v>91.700244273151696</v>
      </c>
      <c r="D1335" s="116">
        <v>87.8033538494943</v>
      </c>
      <c r="E1335" s="116">
        <v>88.740580660247403</v>
      </c>
      <c r="F1335" s="116">
        <v>92.95</v>
      </c>
      <c r="G1335">
        <v>2016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43990</v>
      </c>
      <c r="B1336" s="116">
        <v>107.53444460219001</v>
      </c>
      <c r="C1336" s="116">
        <v>101.76310055702599</v>
      </c>
      <c r="D1336" s="116">
        <v>79.171001645190103</v>
      </c>
      <c r="E1336" s="116">
        <v>79.171001645190103</v>
      </c>
      <c r="F1336" s="116">
        <v>103.15</v>
      </c>
      <c r="G1336">
        <v>5514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43991</v>
      </c>
      <c r="B1337" s="116">
        <v>107.78108323659799</v>
      </c>
      <c r="C1337" s="116">
        <v>106.54789006455501</v>
      </c>
      <c r="D1337" s="116">
        <v>99.642008301111503</v>
      </c>
      <c r="E1337" s="116">
        <v>99.642008301111503</v>
      </c>
      <c r="F1337" s="116">
        <v>108</v>
      </c>
      <c r="G1337">
        <v>1760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43992</v>
      </c>
      <c r="B1338" s="116">
        <v>106.942511879609</v>
      </c>
      <c r="C1338" s="116">
        <v>98.803436944121998</v>
      </c>
      <c r="D1338" s="116">
        <v>97.224949683906402</v>
      </c>
      <c r="E1338" s="116">
        <v>106.942511879609</v>
      </c>
      <c r="F1338" s="116">
        <v>100.15</v>
      </c>
      <c r="G1338">
        <v>1358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43993</v>
      </c>
      <c r="B1339" s="116">
        <v>105.51200780003801</v>
      </c>
      <c r="C1339" s="116">
        <v>100.135285569929</v>
      </c>
      <c r="D1339" s="116">
        <v>98.162176494659406</v>
      </c>
      <c r="E1339" s="116">
        <v>100.036630116165</v>
      </c>
      <c r="F1339" s="116">
        <v>101.5</v>
      </c>
      <c r="G1339">
        <v>3283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43994</v>
      </c>
      <c r="B1340" s="116">
        <v>99.148731032294194</v>
      </c>
      <c r="C1340" s="116">
        <v>99.148731032294194</v>
      </c>
      <c r="D1340" s="116">
        <v>97.668899225841997</v>
      </c>
      <c r="E1340" s="116">
        <v>97.668899225841997</v>
      </c>
      <c r="F1340" s="116">
        <v>100.5</v>
      </c>
      <c r="G1340">
        <v>760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43997</v>
      </c>
      <c r="B1341" s="116">
        <v>99.148731032294194</v>
      </c>
      <c r="C1341" s="116">
        <v>96.731672415088994</v>
      </c>
      <c r="D1341" s="116">
        <v>96.682344688207294</v>
      </c>
      <c r="E1341" s="116">
        <v>99.148731032294194</v>
      </c>
      <c r="F1341" s="116">
        <v>98.05</v>
      </c>
      <c r="G1341">
        <v>182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43998</v>
      </c>
      <c r="B1342" s="116">
        <v>101.417806468854</v>
      </c>
      <c r="C1342" s="116">
        <v>101.417806468854</v>
      </c>
      <c r="D1342" s="116">
        <v>93.722681075302901</v>
      </c>
      <c r="E1342" s="116">
        <v>96.781000141970694</v>
      </c>
      <c r="F1342" s="116">
        <v>102.8</v>
      </c>
      <c r="G1342">
        <v>501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43999</v>
      </c>
      <c r="B1343" s="116">
        <v>102.503016460252</v>
      </c>
      <c r="C1343" s="116">
        <v>101.86175601079</v>
      </c>
      <c r="D1343" s="116">
        <v>91.009656096807305</v>
      </c>
      <c r="E1343" s="116">
        <v>91.009656096807305</v>
      </c>
      <c r="F1343" s="116">
        <v>103.25</v>
      </c>
      <c r="G1343">
        <v>3008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44000</v>
      </c>
      <c r="B1344" s="116">
        <v>106.54789006455501</v>
      </c>
      <c r="C1344" s="116">
        <v>104.821419623694</v>
      </c>
      <c r="D1344" s="116">
        <v>101.417806468854</v>
      </c>
      <c r="E1344" s="116">
        <v>101.417806468854</v>
      </c>
      <c r="F1344" s="116">
        <v>106.25</v>
      </c>
      <c r="G1344">
        <v>1634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44001</v>
      </c>
      <c r="B1345" s="116">
        <v>109.507553677459</v>
      </c>
      <c r="C1345" s="116">
        <v>102.256377825844</v>
      </c>
      <c r="D1345" s="116">
        <v>101.86175601079</v>
      </c>
      <c r="E1345" s="116">
        <v>104.574780989285</v>
      </c>
      <c r="F1345" s="116">
        <v>103.65</v>
      </c>
      <c r="G1345">
        <v>930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44004</v>
      </c>
      <c r="B1346" s="116">
        <v>108.520999139824</v>
      </c>
      <c r="C1346" s="116">
        <v>106.54789006455501</v>
      </c>
      <c r="D1346" s="116">
        <v>96.682344688207294</v>
      </c>
      <c r="E1346" s="116">
        <v>98.754109217240298</v>
      </c>
      <c r="F1346" s="116">
        <v>108</v>
      </c>
      <c r="G1346">
        <v>1126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44005</v>
      </c>
      <c r="B1347" s="116">
        <v>109.902175492513</v>
      </c>
      <c r="C1347" s="116">
        <v>102.65099964089799</v>
      </c>
      <c r="D1347" s="116">
        <v>99.642008301111503</v>
      </c>
      <c r="E1347" s="116">
        <v>109.902175492513</v>
      </c>
      <c r="F1347" s="116">
        <v>104.05</v>
      </c>
      <c r="G1347">
        <v>3300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44006</v>
      </c>
      <c r="B1348" s="116">
        <v>106.54789006455501</v>
      </c>
      <c r="C1348" s="116">
        <v>100.924529200037</v>
      </c>
      <c r="D1348" s="116">
        <v>99.642008301111503</v>
      </c>
      <c r="E1348" s="116">
        <v>99.987302389283698</v>
      </c>
      <c r="F1348" s="116">
        <v>102.3</v>
      </c>
      <c r="G1348">
        <v>1017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44007</v>
      </c>
      <c r="B1349" s="116">
        <v>102.355033279607</v>
      </c>
      <c r="C1349" s="116">
        <v>99.592680574229803</v>
      </c>
      <c r="D1349" s="116">
        <v>98.6554537634768</v>
      </c>
      <c r="E1349" s="116">
        <v>98.704781490358499</v>
      </c>
      <c r="F1349" s="116">
        <v>100.95</v>
      </c>
      <c r="G1349">
        <v>1320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44008</v>
      </c>
      <c r="B1350" s="116">
        <v>106.25192370326501</v>
      </c>
      <c r="C1350" s="116">
        <v>100.48057965810099</v>
      </c>
      <c r="D1350" s="116">
        <v>100.135285569929</v>
      </c>
      <c r="E1350" s="116">
        <v>104.525453262404</v>
      </c>
      <c r="F1350" s="116">
        <v>101.85</v>
      </c>
      <c r="G1350">
        <v>3096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44011</v>
      </c>
      <c r="B1351" s="116">
        <v>110.198141853804</v>
      </c>
      <c r="C1351" s="116">
        <v>103.242932363478</v>
      </c>
      <c r="D1351" s="116">
        <v>99.691336027993302</v>
      </c>
      <c r="E1351" s="116">
        <v>100.62856283874601</v>
      </c>
      <c r="F1351" s="116">
        <v>104.65</v>
      </c>
      <c r="G1351">
        <v>2596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44012</v>
      </c>
      <c r="B1352" s="116">
        <v>102.108394645198</v>
      </c>
      <c r="C1352" s="116">
        <v>97.570243772078499</v>
      </c>
      <c r="D1352" s="116">
        <v>97.175621957024603</v>
      </c>
      <c r="E1352" s="116">
        <v>101.713772830145</v>
      </c>
      <c r="F1352" s="116">
        <v>98.9</v>
      </c>
      <c r="G1352">
        <v>1347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44013</v>
      </c>
      <c r="B1353" s="116">
        <v>103.588226451651</v>
      </c>
      <c r="C1353" s="116">
        <v>99.198058759175893</v>
      </c>
      <c r="D1353" s="116">
        <v>97.915537860250694</v>
      </c>
      <c r="E1353" s="116">
        <v>98.6554537634768</v>
      </c>
      <c r="F1353" s="116">
        <v>100.55</v>
      </c>
      <c r="G1353">
        <v>1328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44014</v>
      </c>
      <c r="B1354" s="116">
        <v>104.476125535522</v>
      </c>
      <c r="C1354" s="116">
        <v>100.52990738498301</v>
      </c>
      <c r="D1354" s="116">
        <v>99.642008301111503</v>
      </c>
      <c r="E1354" s="116">
        <v>99.642008301111503</v>
      </c>
      <c r="F1354" s="116">
        <v>101.9</v>
      </c>
      <c r="G1354">
        <v>460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44015</v>
      </c>
      <c r="B1355" s="116">
        <v>103.588226451651</v>
      </c>
      <c r="C1355" s="116">
        <v>102.94696600218801</v>
      </c>
      <c r="D1355" s="116">
        <v>98.704781490358499</v>
      </c>
      <c r="E1355" s="116">
        <v>99.642008301111503</v>
      </c>
      <c r="F1355" s="116">
        <v>104.35</v>
      </c>
      <c r="G1355">
        <v>1241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44018</v>
      </c>
      <c r="B1356" s="116">
        <v>116.90671270972</v>
      </c>
      <c r="C1356" s="116">
        <v>113.108477739826</v>
      </c>
      <c r="D1356" s="116">
        <v>103.09494918283301</v>
      </c>
      <c r="E1356" s="116">
        <v>103.09494918283301</v>
      </c>
      <c r="F1356" s="116">
        <v>114.65</v>
      </c>
      <c r="G1356">
        <v>6234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44019</v>
      </c>
      <c r="B1357" s="116">
        <v>113.453771827998</v>
      </c>
      <c r="C1357" s="116">
        <v>108.520999139824</v>
      </c>
      <c r="D1357" s="116">
        <v>108.520999139824</v>
      </c>
      <c r="E1357" s="116">
        <v>113.453771827998</v>
      </c>
      <c r="F1357" s="116">
        <v>110</v>
      </c>
      <c r="G1357">
        <v>1874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44020</v>
      </c>
      <c r="B1358" s="116">
        <v>123.31931720434601</v>
      </c>
      <c r="C1358" s="116">
        <v>117.054695890365</v>
      </c>
      <c r="D1358" s="116">
        <v>109.507553677459</v>
      </c>
      <c r="E1358" s="116">
        <v>109.507553677459</v>
      </c>
      <c r="F1358" s="116">
        <v>118.65</v>
      </c>
      <c r="G1358">
        <v>7293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44021</v>
      </c>
      <c r="B1359" s="116">
        <v>118.38654451617199</v>
      </c>
      <c r="C1359" s="116">
        <v>111.13536866455701</v>
      </c>
      <c r="D1359" s="116">
        <v>108.520999139824</v>
      </c>
      <c r="E1359" s="116">
        <v>118.38654451617199</v>
      </c>
      <c r="F1359" s="116">
        <v>112.65</v>
      </c>
      <c r="G1359">
        <v>3081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44022</v>
      </c>
      <c r="B1360" s="116">
        <v>110.642091395739</v>
      </c>
      <c r="C1360" s="116">
        <v>110.14881412692201</v>
      </c>
      <c r="D1360" s="116">
        <v>108.520999139824</v>
      </c>
      <c r="E1360" s="116">
        <v>110.642091395739</v>
      </c>
      <c r="F1360" s="116">
        <v>111.65</v>
      </c>
      <c r="G1360">
        <v>1062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44025</v>
      </c>
      <c r="B1361" s="116">
        <v>129.13998897639101</v>
      </c>
      <c r="C1361" s="116">
        <v>124.897804464562</v>
      </c>
      <c r="D1361" s="116">
        <v>110.740746849503</v>
      </c>
      <c r="E1361" s="116">
        <v>110.740746849503</v>
      </c>
      <c r="F1361" s="116">
        <v>126.6</v>
      </c>
      <c r="G1361">
        <v>6034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44026</v>
      </c>
      <c r="B1362" s="116">
        <v>149.85763426672099</v>
      </c>
      <c r="C1362" s="116">
        <v>148.92040745596799</v>
      </c>
      <c r="D1362" s="116">
        <v>128.84402261510101</v>
      </c>
      <c r="E1362" s="116">
        <v>130.225198967789</v>
      </c>
      <c r="F1362" s="116">
        <v>150.94999999999999</v>
      </c>
      <c r="G1362">
        <v>41523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44027</v>
      </c>
      <c r="B1363" s="116">
        <v>162.78149870973701</v>
      </c>
      <c r="C1363" s="116">
        <v>159.27923010113301</v>
      </c>
      <c r="D1363" s="116">
        <v>139.10418980650201</v>
      </c>
      <c r="E1363" s="116">
        <v>152.91595333338901</v>
      </c>
      <c r="F1363" s="116">
        <v>161.44999999999999</v>
      </c>
      <c r="G1363">
        <v>40015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44028</v>
      </c>
      <c r="B1364" s="116">
        <v>170.673935010815</v>
      </c>
      <c r="C1364" s="116">
        <v>160.41376781941301</v>
      </c>
      <c r="D1364" s="116">
        <v>153.11326424091601</v>
      </c>
      <c r="E1364" s="116">
        <v>161.79494417210199</v>
      </c>
      <c r="F1364" s="116">
        <v>162.6</v>
      </c>
      <c r="G1364">
        <v>20804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44029</v>
      </c>
      <c r="B1365" s="116">
        <v>162.68284325597301</v>
      </c>
      <c r="C1365" s="116">
        <v>159.772507369951</v>
      </c>
      <c r="D1365" s="116">
        <v>154.88906240865899</v>
      </c>
      <c r="E1365" s="116">
        <v>157.799398294681</v>
      </c>
      <c r="F1365" s="116">
        <v>161.94999999999999</v>
      </c>
      <c r="G1365">
        <v>5810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44032</v>
      </c>
      <c r="B1366" s="116">
        <v>160.36444009253199</v>
      </c>
      <c r="C1366" s="116">
        <v>155.57965058500301</v>
      </c>
      <c r="D1366" s="116">
        <v>152.12670970328099</v>
      </c>
      <c r="E1366" s="116">
        <v>160.31511236565001</v>
      </c>
      <c r="F1366" s="116">
        <v>157.69999999999999</v>
      </c>
      <c r="G1366">
        <v>2280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44033</v>
      </c>
      <c r="B1367" s="116">
        <v>158.637969651671</v>
      </c>
      <c r="C1367" s="116">
        <v>152.81729787962601</v>
      </c>
      <c r="D1367" s="116">
        <v>148.57511336779601</v>
      </c>
      <c r="E1367" s="116">
        <v>155.037045589304</v>
      </c>
      <c r="F1367" s="116">
        <v>154.9</v>
      </c>
      <c r="G1367">
        <v>3143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44034</v>
      </c>
      <c r="B1368" s="116">
        <v>156.61553284951901</v>
      </c>
      <c r="C1368" s="116">
        <v>148.328474733387</v>
      </c>
      <c r="D1368" s="116">
        <v>146.99662610758</v>
      </c>
      <c r="E1368" s="116">
        <v>152.02805424951799</v>
      </c>
      <c r="F1368" s="116">
        <v>150.35</v>
      </c>
      <c r="G1368">
        <v>2789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44035</v>
      </c>
      <c r="B1369" s="116">
        <v>157.84872602156301</v>
      </c>
      <c r="C1369" s="116">
        <v>151.04149971188301</v>
      </c>
      <c r="D1369" s="116">
        <v>147.48990337639799</v>
      </c>
      <c r="E1369" s="116">
        <v>149.80830653983901</v>
      </c>
      <c r="F1369" s="116">
        <v>153.1</v>
      </c>
      <c r="G1369">
        <v>1150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44036</v>
      </c>
      <c r="B1370" s="116">
        <v>150.94284425811901</v>
      </c>
      <c r="C1370" s="116">
        <v>145.02351703231099</v>
      </c>
      <c r="D1370" s="116">
        <v>141.22528206241699</v>
      </c>
      <c r="E1370" s="116">
        <v>150.94284425811901</v>
      </c>
      <c r="F1370" s="116">
        <v>147</v>
      </c>
      <c r="G1370">
        <v>2895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44039</v>
      </c>
      <c r="B1371" s="116">
        <v>144.036962494676</v>
      </c>
      <c r="C1371" s="116">
        <v>140.78133252048099</v>
      </c>
      <c r="D1371" s="116">
        <v>140.337382978546</v>
      </c>
      <c r="E1371" s="116">
        <v>143.05040795704099</v>
      </c>
      <c r="F1371" s="116">
        <v>142.69999999999999</v>
      </c>
      <c r="G1371">
        <v>1045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44040</v>
      </c>
      <c r="B1372" s="116">
        <v>146.897970653817</v>
      </c>
      <c r="C1372" s="116">
        <v>141.91587023876099</v>
      </c>
      <c r="D1372" s="116">
        <v>137.131080731233</v>
      </c>
      <c r="E1372" s="116">
        <v>143.74099613338601</v>
      </c>
      <c r="F1372" s="116">
        <v>143.85</v>
      </c>
      <c r="G1372">
        <v>1695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44041</v>
      </c>
      <c r="B1373" s="116">
        <v>142.063853419407</v>
      </c>
      <c r="C1373" s="116">
        <v>141.52124842370699</v>
      </c>
      <c r="D1373" s="116">
        <v>138.70956799144801</v>
      </c>
      <c r="E1373" s="116">
        <v>142.063853419407</v>
      </c>
      <c r="F1373" s="116">
        <v>143.44999999999999</v>
      </c>
      <c r="G1373">
        <v>278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44042</v>
      </c>
      <c r="B1374" s="116">
        <v>141.02797115489</v>
      </c>
      <c r="C1374" s="116">
        <v>137.131080731233</v>
      </c>
      <c r="D1374" s="116">
        <v>137.131080731233</v>
      </c>
      <c r="E1374" s="116">
        <v>139.10418980650201</v>
      </c>
      <c r="F1374" s="116">
        <v>139</v>
      </c>
      <c r="G1374">
        <v>381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44043</v>
      </c>
      <c r="B1375" s="116">
        <v>138.80822344521201</v>
      </c>
      <c r="C1375" s="116">
        <v>138.80822344521201</v>
      </c>
      <c r="D1375" s="116">
        <v>136.19385392048</v>
      </c>
      <c r="E1375" s="116">
        <v>136.63780346241501</v>
      </c>
      <c r="F1375" s="116">
        <v>140.69999999999999</v>
      </c>
      <c r="G1375">
        <v>307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44046</v>
      </c>
      <c r="B1376" s="116">
        <v>141.32393751618</v>
      </c>
      <c r="C1376" s="116">
        <v>141.32393751618</v>
      </c>
      <c r="D1376" s="116">
        <v>137.032425277469</v>
      </c>
      <c r="E1376" s="116">
        <v>137.032425277469</v>
      </c>
      <c r="F1376" s="116">
        <v>143.25</v>
      </c>
      <c r="G1376">
        <v>255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44047</v>
      </c>
      <c r="B1377" s="116">
        <v>147.98318064521499</v>
      </c>
      <c r="C1377" s="116">
        <v>138.85755117209399</v>
      </c>
      <c r="D1377" s="116">
        <v>137.37771936564101</v>
      </c>
      <c r="E1377" s="116">
        <v>147.98318064521499</v>
      </c>
      <c r="F1377" s="116">
        <v>140.75</v>
      </c>
      <c r="G1377">
        <v>434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44048</v>
      </c>
      <c r="B1378" s="116">
        <v>145.763432935537</v>
      </c>
      <c r="C1378" s="116">
        <v>133.97410621080101</v>
      </c>
      <c r="D1378" s="116">
        <v>133.431501215102</v>
      </c>
      <c r="E1378" s="116">
        <v>145.763432935537</v>
      </c>
      <c r="F1378" s="116">
        <v>135.80000000000001</v>
      </c>
      <c r="G1378">
        <v>1132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44049</v>
      </c>
      <c r="B1379" s="116">
        <v>139.99208889037399</v>
      </c>
      <c r="C1379" s="116">
        <v>135.799232105426</v>
      </c>
      <c r="D1379" s="116">
        <v>133.48082894198399</v>
      </c>
      <c r="E1379" s="116">
        <v>134.17141711832801</v>
      </c>
      <c r="F1379" s="116">
        <v>137.65</v>
      </c>
      <c r="G1379">
        <v>610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44050</v>
      </c>
      <c r="B1380" s="116">
        <v>137.52570254628699</v>
      </c>
      <c r="C1380" s="116">
        <v>137.52570254628699</v>
      </c>
      <c r="D1380" s="116">
        <v>132.198308043059</v>
      </c>
      <c r="E1380" s="116">
        <v>136.14452619359801</v>
      </c>
      <c r="F1380" s="116">
        <v>139.4</v>
      </c>
      <c r="G1380">
        <v>727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44053</v>
      </c>
      <c r="B1381" s="116">
        <v>138.11763526886801</v>
      </c>
      <c r="C1381" s="116">
        <v>133.18486258069399</v>
      </c>
      <c r="D1381" s="116">
        <v>132.24763576994101</v>
      </c>
      <c r="E1381" s="116">
        <v>138.11763526886801</v>
      </c>
      <c r="F1381" s="116">
        <v>135</v>
      </c>
      <c r="G1381">
        <v>149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44054</v>
      </c>
      <c r="B1382" s="116">
        <v>137.131080731233</v>
      </c>
      <c r="C1382" s="116">
        <v>133.431501215102</v>
      </c>
      <c r="D1382" s="116">
        <v>131.70503077424101</v>
      </c>
      <c r="E1382" s="116">
        <v>133.18486258069399</v>
      </c>
      <c r="F1382" s="116">
        <v>135.25</v>
      </c>
      <c r="G1382">
        <v>957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44055</v>
      </c>
      <c r="B1383" s="116">
        <v>136.14452619359801</v>
      </c>
      <c r="C1383" s="116">
        <v>128.74536716133699</v>
      </c>
      <c r="D1383" s="116">
        <v>126.77225808606801</v>
      </c>
      <c r="E1383" s="116">
        <v>129.33729988391801</v>
      </c>
      <c r="F1383" s="116">
        <v>130.5</v>
      </c>
      <c r="G1383">
        <v>6558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44056</v>
      </c>
      <c r="B1384" s="116">
        <v>133.67813984951101</v>
      </c>
      <c r="C1384" s="116">
        <v>130.61982078284299</v>
      </c>
      <c r="D1384" s="116">
        <v>126.27898081725</v>
      </c>
      <c r="E1384" s="116">
        <v>133.67813984951101</v>
      </c>
      <c r="F1384" s="116">
        <v>132.4</v>
      </c>
      <c r="G1384">
        <v>279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44057</v>
      </c>
      <c r="B1385" s="116">
        <v>130.225198967789</v>
      </c>
      <c r="C1385" s="116">
        <v>126.574947178541</v>
      </c>
      <c r="D1385" s="116">
        <v>126.27898081725</v>
      </c>
      <c r="E1385" s="116">
        <v>126.27898081725</v>
      </c>
      <c r="F1385" s="116">
        <v>128.30000000000001</v>
      </c>
      <c r="G1385">
        <v>653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44060</v>
      </c>
      <c r="B1386" s="116">
        <v>128.25208989251999</v>
      </c>
      <c r="C1386" s="116">
        <v>124.947132191443</v>
      </c>
      <c r="D1386" s="116">
        <v>121.44486358284</v>
      </c>
      <c r="E1386" s="116">
        <v>121.44486358284</v>
      </c>
      <c r="F1386" s="116">
        <v>126.65</v>
      </c>
      <c r="G1386">
        <v>699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44061</v>
      </c>
      <c r="B1387" s="116">
        <v>131.162425778542</v>
      </c>
      <c r="C1387" s="116">
        <v>128.35074534628299</v>
      </c>
      <c r="D1387" s="116">
        <v>127.265535354885</v>
      </c>
      <c r="E1387" s="116">
        <v>131.11309805166101</v>
      </c>
      <c r="F1387" s="116">
        <v>130.1</v>
      </c>
      <c r="G1387">
        <v>3643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44062</v>
      </c>
      <c r="B1388" s="116">
        <v>134.763349840909</v>
      </c>
      <c r="C1388" s="116">
        <v>131.063770324779</v>
      </c>
      <c r="D1388" s="116">
        <v>128.84402261510101</v>
      </c>
      <c r="E1388" s="116">
        <v>134.763349840909</v>
      </c>
      <c r="F1388" s="116">
        <v>132.85</v>
      </c>
      <c r="G1388">
        <v>425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44063</v>
      </c>
      <c r="B1389" s="116">
        <v>137.57503027316801</v>
      </c>
      <c r="C1389" s="116">
        <v>137.57503027316801</v>
      </c>
      <c r="D1389" s="116">
        <v>131.21175350542401</v>
      </c>
      <c r="E1389" s="116">
        <v>136.98309755058801</v>
      </c>
      <c r="F1389" s="116">
        <v>139.44999999999999</v>
      </c>
      <c r="G1389">
        <v>3518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44064</v>
      </c>
      <c r="B1390" s="116">
        <v>144.43158430973</v>
      </c>
      <c r="C1390" s="116">
        <v>144.43158430973</v>
      </c>
      <c r="D1390" s="116">
        <v>138.11763526886801</v>
      </c>
      <c r="E1390" s="116">
        <v>138.11763526886801</v>
      </c>
      <c r="F1390" s="116">
        <v>146.4</v>
      </c>
      <c r="G1390">
        <v>3122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44067</v>
      </c>
      <c r="B1391" s="116">
        <v>151.633432434464</v>
      </c>
      <c r="C1391" s="116">
        <v>151.633432434464</v>
      </c>
      <c r="D1391" s="116">
        <v>148.96973518285</v>
      </c>
      <c r="E1391" s="116">
        <v>148.96973518285</v>
      </c>
      <c r="F1391" s="116">
        <v>153.69999999999999</v>
      </c>
      <c r="G1391">
        <v>2392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44068</v>
      </c>
      <c r="B1392" s="116">
        <v>159.18057464737001</v>
      </c>
      <c r="C1392" s="116">
        <v>156.270238761347</v>
      </c>
      <c r="D1392" s="116">
        <v>152.91595333338901</v>
      </c>
      <c r="E1392" s="116">
        <v>159.18057464737001</v>
      </c>
      <c r="F1392" s="116">
        <v>158.4</v>
      </c>
      <c r="G1392">
        <v>6606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44069</v>
      </c>
      <c r="B1393" s="116">
        <v>158.835280559198</v>
      </c>
      <c r="C1393" s="116">
        <v>152.47200379145301</v>
      </c>
      <c r="D1393" s="116">
        <v>148.47645791403301</v>
      </c>
      <c r="E1393" s="116">
        <v>153.902507871024</v>
      </c>
      <c r="F1393" s="116">
        <v>154.55000000000001</v>
      </c>
      <c r="G1393">
        <v>4509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44070</v>
      </c>
      <c r="B1394" s="116">
        <v>154.88906240865899</v>
      </c>
      <c r="C1394" s="116">
        <v>149.80830653983901</v>
      </c>
      <c r="D1394" s="116">
        <v>145.02351703231099</v>
      </c>
      <c r="E1394" s="116">
        <v>151.929398795754</v>
      </c>
      <c r="F1394" s="116">
        <v>151.85</v>
      </c>
      <c r="G1394">
        <v>1255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44071</v>
      </c>
      <c r="B1395" s="116">
        <v>157.25679329898199</v>
      </c>
      <c r="C1395" s="116">
        <v>150.54822244306601</v>
      </c>
      <c r="D1395" s="116">
        <v>149.01906290973201</v>
      </c>
      <c r="E1395" s="116">
        <v>157.25679329898199</v>
      </c>
      <c r="F1395" s="116">
        <v>152.6</v>
      </c>
      <c r="G1395">
        <v>2722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44074</v>
      </c>
      <c r="B1396" s="116">
        <v>149.01906290973201</v>
      </c>
      <c r="C1396" s="116">
        <v>147.48990337639799</v>
      </c>
      <c r="D1396" s="116">
        <v>143.05040795704099</v>
      </c>
      <c r="E1396" s="116">
        <v>146.01007156994601</v>
      </c>
      <c r="F1396" s="116">
        <v>149.5</v>
      </c>
      <c r="G1396">
        <v>1996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44075</v>
      </c>
      <c r="B1397" s="116">
        <v>146.01007156994601</v>
      </c>
      <c r="C1397" s="116">
        <v>140.18939979790099</v>
      </c>
      <c r="D1397" s="116">
        <v>140.14007207101901</v>
      </c>
      <c r="E1397" s="116">
        <v>146.01007156994601</v>
      </c>
      <c r="F1397" s="116">
        <v>142.1</v>
      </c>
      <c r="G1397">
        <v>1000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44076</v>
      </c>
      <c r="B1398" s="116">
        <v>146.01007156994601</v>
      </c>
      <c r="C1398" s="116">
        <v>136.19385392048</v>
      </c>
      <c r="D1398" s="116">
        <v>133.23419030757501</v>
      </c>
      <c r="E1398" s="116">
        <v>133.23419030757501</v>
      </c>
      <c r="F1398" s="116">
        <v>138.05000000000001</v>
      </c>
      <c r="G1398">
        <v>268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44077</v>
      </c>
      <c r="B1399" s="116">
        <v>143.00108023016</v>
      </c>
      <c r="C1399" s="116">
        <v>139.202845260266</v>
      </c>
      <c r="D1399" s="116">
        <v>134.270072572092</v>
      </c>
      <c r="E1399" s="116">
        <v>142.95175250327799</v>
      </c>
      <c r="F1399" s="116">
        <v>141.1</v>
      </c>
      <c r="G1399">
        <v>970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44078</v>
      </c>
      <c r="B1400" s="116">
        <v>146.01007156994601</v>
      </c>
      <c r="C1400" s="116">
        <v>146.01007156994601</v>
      </c>
      <c r="D1400" s="116">
        <v>139.10418980650201</v>
      </c>
      <c r="E1400" s="116">
        <v>143.05040795704099</v>
      </c>
      <c r="F1400" s="116">
        <v>148</v>
      </c>
      <c r="G1400">
        <v>1903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44081</v>
      </c>
      <c r="B1401" s="116">
        <v>144.036962494676</v>
      </c>
      <c r="C1401" s="116">
        <v>138.70956799144801</v>
      </c>
      <c r="D1401" s="116">
        <v>138.70956799144801</v>
      </c>
      <c r="E1401" s="116">
        <v>143.05040795704099</v>
      </c>
      <c r="F1401" s="116">
        <v>140.6</v>
      </c>
      <c r="G1401">
        <v>3162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44082</v>
      </c>
      <c r="B1402" s="116">
        <v>139.10418980650201</v>
      </c>
      <c r="C1402" s="116">
        <v>131.80368622800501</v>
      </c>
      <c r="D1402" s="116">
        <v>131.80368622800501</v>
      </c>
      <c r="E1402" s="116">
        <v>139.10418980650201</v>
      </c>
      <c r="F1402" s="116">
        <v>133.6</v>
      </c>
      <c r="G1402">
        <v>1852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44083</v>
      </c>
      <c r="B1403" s="116">
        <v>137.62435800004999</v>
      </c>
      <c r="C1403" s="116">
        <v>137.57503027316801</v>
      </c>
      <c r="D1403" s="116">
        <v>128.35074534628299</v>
      </c>
      <c r="E1403" s="116">
        <v>128.35074534628299</v>
      </c>
      <c r="F1403" s="116">
        <v>139.44999999999999</v>
      </c>
      <c r="G1403">
        <v>3005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44084</v>
      </c>
      <c r="B1404" s="116">
        <v>144.43158430973</v>
      </c>
      <c r="C1404" s="116">
        <v>144.18494567532099</v>
      </c>
      <c r="D1404" s="116">
        <v>142.45847523446</v>
      </c>
      <c r="E1404" s="116">
        <v>142.45847523446</v>
      </c>
      <c r="F1404" s="116">
        <v>146.15</v>
      </c>
      <c r="G1404">
        <v>2694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44085</v>
      </c>
      <c r="B1405" s="116">
        <v>148.92040745596799</v>
      </c>
      <c r="C1405" s="116">
        <v>138.364273903276</v>
      </c>
      <c r="D1405" s="116">
        <v>137.131080731233</v>
      </c>
      <c r="E1405" s="116">
        <v>148.92040745596799</v>
      </c>
      <c r="F1405" s="116">
        <v>140.25</v>
      </c>
      <c r="G1405">
        <v>2168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44088</v>
      </c>
      <c r="B1406" s="116">
        <v>143.05040795704099</v>
      </c>
      <c r="C1406" s="116">
        <v>135.897887559189</v>
      </c>
      <c r="D1406" s="116">
        <v>133.18486258069399</v>
      </c>
      <c r="E1406" s="116">
        <v>138.364273903276</v>
      </c>
      <c r="F1406" s="116">
        <v>137.75</v>
      </c>
      <c r="G1406">
        <v>3150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44089</v>
      </c>
      <c r="B1407" s="116">
        <v>141.27460978929901</v>
      </c>
      <c r="C1407" s="116">
        <v>140.830660247363</v>
      </c>
      <c r="D1407" s="116">
        <v>134.17141711832801</v>
      </c>
      <c r="E1407" s="116">
        <v>136.14452619359801</v>
      </c>
      <c r="F1407" s="116">
        <v>142.75</v>
      </c>
      <c r="G1407">
        <v>921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44090</v>
      </c>
      <c r="B1408" s="116">
        <v>147.48990337639799</v>
      </c>
      <c r="C1408" s="116">
        <v>134.12208939144699</v>
      </c>
      <c r="D1408" s="116">
        <v>133.826123030156</v>
      </c>
      <c r="E1408" s="116">
        <v>147.48990337639799</v>
      </c>
      <c r="F1408" s="116">
        <v>135.94999999999999</v>
      </c>
      <c r="G1408">
        <v>3853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44091</v>
      </c>
      <c r="B1409" s="116">
        <v>140.78133252048099</v>
      </c>
      <c r="C1409" s="116">
        <v>139.301500714029</v>
      </c>
      <c r="D1409" s="116">
        <v>133.628812122629</v>
      </c>
      <c r="E1409" s="116">
        <v>140.78133252048099</v>
      </c>
      <c r="F1409" s="116">
        <v>141.19999999999999</v>
      </c>
      <c r="G1409">
        <v>2471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44092</v>
      </c>
      <c r="B1410" s="116">
        <v>142.85309704951399</v>
      </c>
      <c r="C1410" s="116">
        <v>135.65124892478099</v>
      </c>
      <c r="D1410" s="116">
        <v>134.17141711832801</v>
      </c>
      <c r="E1410" s="116">
        <v>142.85309704951399</v>
      </c>
      <c r="F1410" s="116">
        <v>137.5</v>
      </c>
      <c r="G1410">
        <v>900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44095</v>
      </c>
      <c r="B1411" s="116">
        <v>141.07729888177201</v>
      </c>
      <c r="C1411" s="116">
        <v>130.27452669467101</v>
      </c>
      <c r="D1411" s="116">
        <v>129.23864443015501</v>
      </c>
      <c r="E1411" s="116">
        <v>138.11763526886801</v>
      </c>
      <c r="F1411" s="116">
        <v>132.05000000000001</v>
      </c>
      <c r="G1411">
        <v>2667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44096</v>
      </c>
      <c r="B1412" s="116">
        <v>136.53914800865201</v>
      </c>
      <c r="C1412" s="116">
        <v>130.225198967789</v>
      </c>
      <c r="D1412" s="116">
        <v>123.763266746282</v>
      </c>
      <c r="E1412" s="116">
        <v>123.763266746282</v>
      </c>
      <c r="F1412" s="116">
        <v>132</v>
      </c>
      <c r="G1412">
        <v>1470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44097</v>
      </c>
      <c r="B1413" s="116">
        <v>130.225198967789</v>
      </c>
      <c r="C1413" s="116">
        <v>129.23864443015501</v>
      </c>
      <c r="D1413" s="116">
        <v>124.30587174198099</v>
      </c>
      <c r="E1413" s="116">
        <v>124.30587174198099</v>
      </c>
      <c r="F1413" s="116">
        <v>131</v>
      </c>
      <c r="G1413">
        <v>179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44098</v>
      </c>
      <c r="B1414" s="116">
        <v>129.23864443015501</v>
      </c>
      <c r="C1414" s="116">
        <v>128.25208989251999</v>
      </c>
      <c r="D1414" s="116">
        <v>124.30587174198099</v>
      </c>
      <c r="E1414" s="116">
        <v>129.23864443015501</v>
      </c>
      <c r="F1414" s="116">
        <v>130</v>
      </c>
      <c r="G1414">
        <v>396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44099</v>
      </c>
      <c r="B1415" s="116">
        <v>134.17141711832801</v>
      </c>
      <c r="C1415" s="116">
        <v>126.27898081725</v>
      </c>
      <c r="D1415" s="116">
        <v>123.812594473163</v>
      </c>
      <c r="E1415" s="116">
        <v>129.23864443015501</v>
      </c>
      <c r="F1415" s="116">
        <v>128</v>
      </c>
      <c r="G1415">
        <v>1576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44102</v>
      </c>
      <c r="B1416" s="116">
        <v>126.27898081725</v>
      </c>
      <c r="C1416" s="116">
        <v>125.292426279616</v>
      </c>
      <c r="D1416" s="116">
        <v>119.965031776388</v>
      </c>
      <c r="E1416" s="116">
        <v>126.27898081725</v>
      </c>
      <c r="F1416" s="116">
        <v>127</v>
      </c>
      <c r="G1416">
        <v>4224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44103</v>
      </c>
      <c r="B1417" s="116">
        <v>129.23864443015501</v>
      </c>
      <c r="C1417" s="116">
        <v>126.77225808606801</v>
      </c>
      <c r="D1417" s="116">
        <v>126.27898081725</v>
      </c>
      <c r="E1417" s="116">
        <v>129.23864443015501</v>
      </c>
      <c r="F1417" s="116">
        <v>128.5</v>
      </c>
      <c r="G1417">
        <v>320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44104</v>
      </c>
      <c r="B1418" s="116">
        <v>131.21175350542401</v>
      </c>
      <c r="C1418" s="116">
        <v>124.60183810327101</v>
      </c>
      <c r="D1418" s="116">
        <v>124.30587174198099</v>
      </c>
      <c r="E1418" s="116">
        <v>124.30587174198099</v>
      </c>
      <c r="F1418" s="116">
        <v>126.3</v>
      </c>
      <c r="G1418">
        <v>42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44105</v>
      </c>
      <c r="B1419" s="116">
        <v>129.23864443015501</v>
      </c>
      <c r="C1419" s="116">
        <v>128.893350341982</v>
      </c>
      <c r="D1419" s="116">
        <v>127.314863081767</v>
      </c>
      <c r="E1419" s="116">
        <v>128.25208989251999</v>
      </c>
      <c r="F1419" s="116">
        <v>130.65</v>
      </c>
      <c r="G1419">
        <v>2000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44109</v>
      </c>
      <c r="B1420" s="116">
        <v>131.21175350542401</v>
      </c>
      <c r="C1420" s="116">
        <v>130.126543514026</v>
      </c>
      <c r="D1420" s="116">
        <v>122.480745847356</v>
      </c>
      <c r="E1420" s="116">
        <v>129.23864443015501</v>
      </c>
      <c r="F1420" s="116">
        <v>131.9</v>
      </c>
      <c r="G1420">
        <v>5168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44110</v>
      </c>
      <c r="B1421" s="116">
        <v>134.07276166456501</v>
      </c>
      <c r="C1421" s="116">
        <v>127.265535354885</v>
      </c>
      <c r="D1421" s="116">
        <v>125.539064914024</v>
      </c>
      <c r="E1421" s="116">
        <v>134.07276166456501</v>
      </c>
      <c r="F1421" s="116">
        <v>129</v>
      </c>
      <c r="G1421">
        <v>662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44111</v>
      </c>
      <c r="B1422" s="116">
        <v>127.265535354885</v>
      </c>
      <c r="C1422" s="116">
        <v>127.265535354885</v>
      </c>
      <c r="D1422" s="116">
        <v>125.292426279616</v>
      </c>
      <c r="E1422" s="116">
        <v>127.265535354885</v>
      </c>
      <c r="F1422" s="116">
        <v>129</v>
      </c>
      <c r="G1422">
        <v>3336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44112</v>
      </c>
      <c r="B1423" s="116">
        <v>130.17587124090801</v>
      </c>
      <c r="C1423" s="116">
        <v>128.20276216563801</v>
      </c>
      <c r="D1423" s="116">
        <v>124.996459918325</v>
      </c>
      <c r="E1423" s="116">
        <v>130.17587124090801</v>
      </c>
      <c r="F1423" s="116">
        <v>129.94999999999999</v>
      </c>
      <c r="G1423">
        <v>2042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44113</v>
      </c>
      <c r="B1424" s="116">
        <v>130.17587124090801</v>
      </c>
      <c r="C1424" s="116">
        <v>125.88435900219601</v>
      </c>
      <c r="D1424" s="116">
        <v>125.88435900219601</v>
      </c>
      <c r="E1424" s="116">
        <v>127.265535354885</v>
      </c>
      <c r="F1424" s="116">
        <v>127.6</v>
      </c>
      <c r="G1424">
        <v>1097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44116</v>
      </c>
      <c r="B1425" s="116">
        <v>132.05032486241399</v>
      </c>
      <c r="C1425" s="116">
        <v>128.104106711875</v>
      </c>
      <c r="D1425" s="116">
        <v>125.292426279616</v>
      </c>
      <c r="E1425" s="116">
        <v>132.05032486241399</v>
      </c>
      <c r="F1425" s="116">
        <v>129.85</v>
      </c>
      <c r="G1425">
        <v>252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44117</v>
      </c>
      <c r="B1426" s="116">
        <v>125.341754006497</v>
      </c>
      <c r="C1426" s="116">
        <v>122.530073574238</v>
      </c>
      <c r="D1426" s="116">
        <v>122.382090393593</v>
      </c>
      <c r="E1426" s="116">
        <v>125.341754006497</v>
      </c>
      <c r="F1426" s="116">
        <v>124.2</v>
      </c>
      <c r="G1426">
        <v>1603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44118</v>
      </c>
      <c r="B1427" s="116">
        <v>124.30587174198099</v>
      </c>
      <c r="C1427" s="116">
        <v>124.30587174198099</v>
      </c>
      <c r="D1427" s="116">
        <v>122.530073574238</v>
      </c>
      <c r="E1427" s="116">
        <v>122.530073574238</v>
      </c>
      <c r="F1427" s="116">
        <v>126</v>
      </c>
      <c r="G1427">
        <v>315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44119</v>
      </c>
      <c r="B1428" s="116">
        <v>125.292426279616</v>
      </c>
      <c r="C1428" s="116">
        <v>120.60629222585</v>
      </c>
      <c r="D1428" s="116">
        <v>120.60629222585</v>
      </c>
      <c r="E1428" s="116">
        <v>124.30587174198099</v>
      </c>
      <c r="F1428" s="116">
        <v>122.25</v>
      </c>
      <c r="G1428">
        <v>812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44120</v>
      </c>
      <c r="B1429" s="116">
        <v>122.826039935529</v>
      </c>
      <c r="C1429" s="116">
        <v>122.826039935529</v>
      </c>
      <c r="D1429" s="116">
        <v>122.826039935529</v>
      </c>
      <c r="E1429" s="116">
        <v>122.826039935529</v>
      </c>
      <c r="F1429" s="116">
        <v>124.5</v>
      </c>
      <c r="G1429">
        <v>90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44123</v>
      </c>
      <c r="B1430" s="116">
        <v>127.216207628003</v>
      </c>
      <c r="C1430" s="116">
        <v>126.229653090369</v>
      </c>
      <c r="D1430" s="116">
        <v>123.812594473163</v>
      </c>
      <c r="E1430" s="116">
        <v>127.216207628003</v>
      </c>
      <c r="F1430" s="116">
        <v>127.95</v>
      </c>
      <c r="G1430">
        <v>435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44124</v>
      </c>
      <c r="B1431" s="116">
        <v>126.27898081725</v>
      </c>
      <c r="C1431" s="116">
        <v>123.31931720434601</v>
      </c>
      <c r="D1431" s="116">
        <v>121.395535855958</v>
      </c>
      <c r="E1431" s="116">
        <v>121.395535855958</v>
      </c>
      <c r="F1431" s="116">
        <v>125</v>
      </c>
      <c r="G1431">
        <v>2344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44125</v>
      </c>
      <c r="B1432" s="116">
        <v>125.243098552734</v>
      </c>
      <c r="C1432" s="116">
        <v>121.346208129076</v>
      </c>
      <c r="D1432" s="116">
        <v>121.346208129076</v>
      </c>
      <c r="E1432" s="116">
        <v>125.243098552734</v>
      </c>
      <c r="F1432" s="116">
        <v>123</v>
      </c>
      <c r="G1432">
        <v>71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44126</v>
      </c>
      <c r="B1433" s="116">
        <v>125.292426279616</v>
      </c>
      <c r="C1433" s="116">
        <v>122.33276266671101</v>
      </c>
      <c r="D1433" s="116">
        <v>122.33276266671101</v>
      </c>
      <c r="E1433" s="116">
        <v>125.292426279616</v>
      </c>
      <c r="F1433" s="116">
        <v>124</v>
      </c>
      <c r="G1433">
        <v>9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44127</v>
      </c>
      <c r="B1434" s="116">
        <v>125.292426279616</v>
      </c>
      <c r="C1434" s="116">
        <v>124.45385492262599</v>
      </c>
      <c r="D1434" s="116">
        <v>123.31931720434601</v>
      </c>
      <c r="E1434" s="116">
        <v>125.292426279616</v>
      </c>
      <c r="F1434" s="116">
        <v>126.15</v>
      </c>
      <c r="G1434">
        <v>170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44130</v>
      </c>
      <c r="B1435" s="116">
        <v>124.45385492262599</v>
      </c>
      <c r="C1435" s="116">
        <v>124.30587174198099</v>
      </c>
      <c r="D1435" s="116">
        <v>124.30587174198099</v>
      </c>
      <c r="E1435" s="116">
        <v>124.30587174198099</v>
      </c>
      <c r="F1435" s="116">
        <v>126</v>
      </c>
      <c r="G1435">
        <v>652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44131</v>
      </c>
      <c r="B1436" s="116">
        <v>125.292426279616</v>
      </c>
      <c r="C1436" s="116">
        <v>124.55251037638899</v>
      </c>
      <c r="D1436" s="116">
        <v>118.48519996993601</v>
      </c>
      <c r="E1436" s="116">
        <v>123.46730038499101</v>
      </c>
      <c r="F1436" s="116">
        <v>126.25</v>
      </c>
      <c r="G1436">
        <v>793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44132</v>
      </c>
      <c r="B1437" s="116">
        <v>123.31931720434601</v>
      </c>
      <c r="C1437" s="116">
        <v>122.33276266671101</v>
      </c>
      <c r="D1437" s="116">
        <v>122.33276266671101</v>
      </c>
      <c r="E1437" s="116">
        <v>123.31931720434601</v>
      </c>
      <c r="F1437" s="116">
        <v>124</v>
      </c>
      <c r="G1437">
        <v>700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44133</v>
      </c>
      <c r="B1438" s="116">
        <v>125.243098552734</v>
      </c>
      <c r="C1438" s="116">
        <v>125.243098552734</v>
      </c>
      <c r="D1438" s="116">
        <v>121.346208129076</v>
      </c>
      <c r="E1438" s="116">
        <v>121.346208129076</v>
      </c>
      <c r="F1438" s="116">
        <v>126.95</v>
      </c>
      <c r="G1438">
        <v>170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44134</v>
      </c>
      <c r="B1439" s="116">
        <v>125.687048094669</v>
      </c>
      <c r="C1439" s="116">
        <v>120.60629222585</v>
      </c>
      <c r="D1439" s="116">
        <v>120.507636772087</v>
      </c>
      <c r="E1439" s="116">
        <v>125.687048094669</v>
      </c>
      <c r="F1439" s="116">
        <v>122.25</v>
      </c>
      <c r="G1439">
        <v>202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44137</v>
      </c>
      <c r="B1440" s="116">
        <v>120.85293086025899</v>
      </c>
      <c r="C1440" s="116">
        <v>120.55696449896899</v>
      </c>
      <c r="D1440" s="116">
        <v>120.359653591442</v>
      </c>
      <c r="E1440" s="116">
        <v>120.85293086025899</v>
      </c>
      <c r="F1440" s="116">
        <v>122.2</v>
      </c>
      <c r="G1440">
        <v>160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44138</v>
      </c>
      <c r="B1441" s="116">
        <v>125.243098552734</v>
      </c>
      <c r="C1441" s="116">
        <v>122.03679630542101</v>
      </c>
      <c r="D1441" s="116">
        <v>115.426880903268</v>
      </c>
      <c r="E1441" s="116">
        <v>120.75427540649601</v>
      </c>
      <c r="F1441" s="116">
        <v>123.7</v>
      </c>
      <c r="G1441">
        <v>1749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44139</v>
      </c>
      <c r="B1442" s="116">
        <v>121.98746857853899</v>
      </c>
      <c r="C1442" s="116">
        <v>121.98746857853899</v>
      </c>
      <c r="D1442" s="116">
        <v>116.90671270972</v>
      </c>
      <c r="E1442" s="116">
        <v>116.956040436602</v>
      </c>
      <c r="F1442" s="116">
        <v>123.65</v>
      </c>
      <c r="G1442">
        <v>741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44140</v>
      </c>
      <c r="B1443" s="116">
        <v>126.27898081725</v>
      </c>
      <c r="C1443" s="116">
        <v>119.61973768821601</v>
      </c>
      <c r="D1443" s="116">
        <v>118.633183150581</v>
      </c>
      <c r="E1443" s="116">
        <v>121.98746857853899</v>
      </c>
      <c r="F1443" s="116">
        <v>121.25</v>
      </c>
      <c r="G1443">
        <v>1343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44141</v>
      </c>
      <c r="B1444" s="116">
        <v>124.996459918325</v>
      </c>
      <c r="C1444" s="116">
        <v>123.664611292518</v>
      </c>
      <c r="D1444" s="116">
        <v>119.373099053807</v>
      </c>
      <c r="E1444" s="116">
        <v>120.408981318323</v>
      </c>
      <c r="F1444" s="116">
        <v>125.35</v>
      </c>
      <c r="G1444">
        <v>761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44144</v>
      </c>
      <c r="B1445" s="116">
        <v>129.731921698972</v>
      </c>
      <c r="C1445" s="116">
        <v>126.77225808606801</v>
      </c>
      <c r="D1445" s="116">
        <v>117.547973159183</v>
      </c>
      <c r="E1445" s="116">
        <v>124.30587174198099</v>
      </c>
      <c r="F1445" s="116">
        <v>128.5</v>
      </c>
      <c r="G1445">
        <v>1970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44145</v>
      </c>
      <c r="B1446" s="116">
        <v>128.64671170757401</v>
      </c>
      <c r="C1446" s="116">
        <v>120.60629222585</v>
      </c>
      <c r="D1446" s="116">
        <v>120.458309045205</v>
      </c>
      <c r="E1446" s="116">
        <v>128.64671170757401</v>
      </c>
      <c r="F1446" s="116">
        <v>122.25</v>
      </c>
      <c r="G1446">
        <v>2746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44146</v>
      </c>
      <c r="B1447" s="116">
        <v>126.624274905422</v>
      </c>
      <c r="C1447" s="116">
        <v>126.624274905422</v>
      </c>
      <c r="D1447" s="116">
        <v>120.60629222585</v>
      </c>
      <c r="E1447" s="116">
        <v>125.98301445596</v>
      </c>
      <c r="F1447" s="116">
        <v>128.35</v>
      </c>
      <c r="G1447">
        <v>13808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44147</v>
      </c>
      <c r="B1448" s="116">
        <v>132.93822394628501</v>
      </c>
      <c r="C1448" s="116">
        <v>132.93822394628501</v>
      </c>
      <c r="D1448" s="116">
        <v>132.93822394628501</v>
      </c>
      <c r="E1448" s="116">
        <v>132.93822394628501</v>
      </c>
      <c r="F1448" s="116">
        <v>134.75</v>
      </c>
      <c r="G1448">
        <v>2913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44148</v>
      </c>
      <c r="B1449" s="116">
        <v>139.54813934843801</v>
      </c>
      <c r="C1449" s="116">
        <v>139.54813934843801</v>
      </c>
      <c r="D1449" s="116">
        <v>139.54813934843801</v>
      </c>
      <c r="E1449" s="116">
        <v>139.54813934843801</v>
      </c>
      <c r="F1449" s="116">
        <v>141.44999999999999</v>
      </c>
      <c r="G1449">
        <v>1518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44149</v>
      </c>
      <c r="B1450" s="116">
        <v>146.503348838763</v>
      </c>
      <c r="C1450" s="116">
        <v>146.503348838763</v>
      </c>
      <c r="D1450" s="116">
        <v>145.02351703231099</v>
      </c>
      <c r="E1450" s="116">
        <v>145.02351703231099</v>
      </c>
      <c r="F1450" s="116">
        <v>148.5</v>
      </c>
      <c r="G1450">
        <v>367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44152</v>
      </c>
      <c r="B1451" s="116">
        <v>153.80385241726</v>
      </c>
      <c r="C1451" s="116">
        <v>153.80385241726</v>
      </c>
      <c r="D1451" s="116">
        <v>153.80385241726</v>
      </c>
      <c r="E1451" s="116">
        <v>153.80385241726</v>
      </c>
      <c r="F1451" s="116">
        <v>155.9</v>
      </c>
      <c r="G1451">
        <v>2660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44153</v>
      </c>
      <c r="B1452" s="116">
        <v>161.44965008393001</v>
      </c>
      <c r="C1452" s="116">
        <v>161.44965008393001</v>
      </c>
      <c r="D1452" s="116">
        <v>161.44965008393001</v>
      </c>
      <c r="E1452" s="116">
        <v>161.44965008393001</v>
      </c>
      <c r="F1452" s="116">
        <v>163.65</v>
      </c>
      <c r="G1452">
        <v>1181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44154</v>
      </c>
      <c r="B1453" s="116">
        <v>169.49006956565299</v>
      </c>
      <c r="C1453" s="116">
        <v>169.49006956565299</v>
      </c>
      <c r="D1453" s="116">
        <v>169.49006956565299</v>
      </c>
      <c r="E1453" s="116">
        <v>169.49006956565299</v>
      </c>
      <c r="F1453" s="116">
        <v>171.8</v>
      </c>
      <c r="G1453">
        <v>2913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44155</v>
      </c>
      <c r="B1454" s="116">
        <v>177.92511086242999</v>
      </c>
      <c r="C1454" s="116">
        <v>177.92511086242999</v>
      </c>
      <c r="D1454" s="116">
        <v>167.66494367102899</v>
      </c>
      <c r="E1454" s="116">
        <v>177.92511086242999</v>
      </c>
      <c r="F1454" s="116">
        <v>180.35</v>
      </c>
      <c r="G1454">
        <v>75823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44158</v>
      </c>
      <c r="B1455" s="116">
        <v>186.804101701143</v>
      </c>
      <c r="C1455" s="116">
        <v>186.804101701143</v>
      </c>
      <c r="D1455" s="116">
        <v>172.69637181296599</v>
      </c>
      <c r="E1455" s="116">
        <v>186.804101701143</v>
      </c>
      <c r="F1455" s="116">
        <v>189.35</v>
      </c>
      <c r="G1455">
        <v>22878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44159</v>
      </c>
      <c r="B1456" s="116">
        <v>193.36468937641499</v>
      </c>
      <c r="C1456" s="116">
        <v>190.99695848609099</v>
      </c>
      <c r="D1456" s="116">
        <v>180.638135840926</v>
      </c>
      <c r="E1456" s="116">
        <v>192.23015165813499</v>
      </c>
      <c r="F1456" s="116">
        <v>193.6</v>
      </c>
      <c r="G1456">
        <v>20035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44160</v>
      </c>
      <c r="B1457" s="116">
        <v>198.544100698997</v>
      </c>
      <c r="C1457" s="116">
        <v>195.73242026673799</v>
      </c>
      <c r="D1457" s="116">
        <v>186.75477397426201</v>
      </c>
      <c r="E1457" s="116">
        <v>187.59334533125099</v>
      </c>
      <c r="F1457" s="116">
        <v>198.4</v>
      </c>
      <c r="G1457">
        <v>20125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44161</v>
      </c>
      <c r="B1458" s="116">
        <v>205.49931018932199</v>
      </c>
      <c r="C1458" s="116">
        <v>205.49931018932199</v>
      </c>
      <c r="D1458" s="116">
        <v>193.46334483017799</v>
      </c>
      <c r="E1458" s="116">
        <v>196.32435298931901</v>
      </c>
      <c r="F1458" s="116">
        <v>208.3</v>
      </c>
      <c r="G1458">
        <v>17916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44162</v>
      </c>
      <c r="B1459" s="116">
        <v>215.75947738072401</v>
      </c>
      <c r="C1459" s="116">
        <v>215.75947738072401</v>
      </c>
      <c r="D1459" s="116">
        <v>215.56216647319701</v>
      </c>
      <c r="E1459" s="116">
        <v>215.75947738072401</v>
      </c>
      <c r="F1459" s="116">
        <v>218.7</v>
      </c>
      <c r="G1459">
        <v>7659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44166</v>
      </c>
      <c r="B1460" s="116">
        <v>226.51292184094299</v>
      </c>
      <c r="C1460" s="116">
        <v>226.51292184094299</v>
      </c>
      <c r="D1460" s="116">
        <v>223.947880043092</v>
      </c>
      <c r="E1460" s="116">
        <v>226.51292184094299</v>
      </c>
      <c r="F1460" s="116">
        <v>229.6</v>
      </c>
      <c r="G1460">
        <v>10938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44167</v>
      </c>
      <c r="B1461" s="116">
        <v>237.80897129686099</v>
      </c>
      <c r="C1461" s="116">
        <v>230.80443407965399</v>
      </c>
      <c r="D1461" s="116">
        <v>219.26174598932701</v>
      </c>
      <c r="E1461" s="116">
        <v>234.50401359578399</v>
      </c>
      <c r="F1461" s="116">
        <v>233.95</v>
      </c>
      <c r="G1461">
        <v>23347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44168</v>
      </c>
      <c r="B1462" s="116">
        <v>232.185610432343</v>
      </c>
      <c r="C1462" s="116">
        <v>226.216955479652</v>
      </c>
      <c r="D1462" s="116">
        <v>226.216955479652</v>
      </c>
      <c r="E1462" s="116">
        <v>232.185610432343</v>
      </c>
      <c r="F1462" s="116">
        <v>229.3</v>
      </c>
      <c r="G1462">
        <v>3318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44169</v>
      </c>
      <c r="B1463" s="116">
        <v>225.920989118362</v>
      </c>
      <c r="C1463" s="116">
        <v>221.77746006029599</v>
      </c>
      <c r="D1463" s="116">
        <v>221.72813233341401</v>
      </c>
      <c r="E1463" s="116">
        <v>221.77746006029599</v>
      </c>
      <c r="F1463" s="116">
        <v>224.8</v>
      </c>
      <c r="G1463">
        <v>5946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44172</v>
      </c>
      <c r="B1464" s="116">
        <v>222.91199777857599</v>
      </c>
      <c r="C1464" s="116">
        <v>217.387292367821</v>
      </c>
      <c r="D1464" s="116">
        <v>217.387292367821</v>
      </c>
      <c r="E1464" s="116">
        <v>217.485947821585</v>
      </c>
      <c r="F1464" s="116">
        <v>220.35</v>
      </c>
      <c r="G1464">
        <v>7156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44173</v>
      </c>
      <c r="B1465" s="116">
        <v>215.06888920437899</v>
      </c>
      <c r="C1465" s="116">
        <v>213.046452402228</v>
      </c>
      <c r="D1465" s="116">
        <v>213.046452402228</v>
      </c>
      <c r="E1465" s="116">
        <v>213.49040194416401</v>
      </c>
      <c r="F1465" s="116">
        <v>215.95</v>
      </c>
      <c r="G1465">
        <v>5481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44174</v>
      </c>
      <c r="B1466" s="116">
        <v>214.97023375061599</v>
      </c>
      <c r="C1466" s="116">
        <v>208.80426789039899</v>
      </c>
      <c r="D1466" s="116">
        <v>208.80426789039899</v>
      </c>
      <c r="E1466" s="116">
        <v>214.97023375061599</v>
      </c>
      <c r="F1466" s="116">
        <v>211.65</v>
      </c>
      <c r="G1466">
        <v>3048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44175</v>
      </c>
      <c r="B1467" s="116">
        <v>212.947796948465</v>
      </c>
      <c r="C1467" s="116">
        <v>209.19888970545301</v>
      </c>
      <c r="D1467" s="116">
        <v>204.66073883233301</v>
      </c>
      <c r="E1467" s="116">
        <v>204.66073883233301</v>
      </c>
      <c r="F1467" s="116">
        <v>212.05</v>
      </c>
      <c r="G1467">
        <v>7651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44176</v>
      </c>
      <c r="B1468" s="116">
        <v>213.34241876351899</v>
      </c>
      <c r="C1468" s="116">
        <v>213.14510785599199</v>
      </c>
      <c r="D1468" s="116">
        <v>208.16300744093601</v>
      </c>
      <c r="E1468" s="116">
        <v>213.09578012911001</v>
      </c>
      <c r="F1468" s="116">
        <v>216.05</v>
      </c>
      <c r="G1468">
        <v>7088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44179</v>
      </c>
      <c r="B1469" s="116">
        <v>217.33796464093899</v>
      </c>
      <c r="C1469" s="116">
        <v>208.90292334416199</v>
      </c>
      <c r="D1469" s="116">
        <v>208.90292334416199</v>
      </c>
      <c r="E1469" s="116">
        <v>209.445528339861</v>
      </c>
      <c r="F1469" s="116">
        <v>211.75</v>
      </c>
      <c r="G1469">
        <v>4040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44180</v>
      </c>
      <c r="B1470" s="116">
        <v>212.99712467534599</v>
      </c>
      <c r="C1470" s="116">
        <v>204.75939428609601</v>
      </c>
      <c r="D1470" s="116">
        <v>204.75939428609601</v>
      </c>
      <c r="E1470" s="116">
        <v>208.90292334416199</v>
      </c>
      <c r="F1470" s="116">
        <v>207.55</v>
      </c>
      <c r="G1470">
        <v>2169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44181</v>
      </c>
      <c r="B1471" s="116">
        <v>208.85359561728001</v>
      </c>
      <c r="C1471" s="116">
        <v>200.91183158932</v>
      </c>
      <c r="D1471" s="116">
        <v>200.66519295491199</v>
      </c>
      <c r="E1471" s="116">
        <v>200.91183158932</v>
      </c>
      <c r="F1471" s="116">
        <v>203.65</v>
      </c>
      <c r="G1471">
        <v>5736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44182</v>
      </c>
      <c r="B1472" s="116">
        <v>204.907377466741</v>
      </c>
      <c r="C1472" s="116">
        <v>198.88939478716901</v>
      </c>
      <c r="D1472" s="116">
        <v>198.29746206458799</v>
      </c>
      <c r="E1472" s="116">
        <v>204.06880610975199</v>
      </c>
      <c r="F1472" s="116">
        <v>201.6</v>
      </c>
      <c r="G1472">
        <v>2801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44183</v>
      </c>
      <c r="B1473" s="116">
        <v>202.83561293770799</v>
      </c>
      <c r="C1473" s="116">
        <v>202.49031884953601</v>
      </c>
      <c r="D1473" s="116">
        <v>194.94317663663</v>
      </c>
      <c r="E1473" s="116">
        <v>195.48578163232901</v>
      </c>
      <c r="F1473" s="116">
        <v>205.25</v>
      </c>
      <c r="G1473">
        <v>3148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44186</v>
      </c>
      <c r="B1474" s="116">
        <v>206.53519245383899</v>
      </c>
      <c r="C1474" s="116">
        <v>199.579982963514</v>
      </c>
      <c r="D1474" s="116">
        <v>198.445445245234</v>
      </c>
      <c r="E1474" s="116">
        <v>206.53519245383899</v>
      </c>
      <c r="F1474" s="116">
        <v>202.3</v>
      </c>
      <c r="G1474">
        <v>5537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44187</v>
      </c>
      <c r="B1475" s="116">
        <v>203.52620111405301</v>
      </c>
      <c r="C1475" s="116">
        <v>203.52620111405301</v>
      </c>
      <c r="D1475" s="116">
        <v>195.63376481297399</v>
      </c>
      <c r="E1475" s="116">
        <v>201.55309203878301</v>
      </c>
      <c r="F1475" s="116">
        <v>206.3</v>
      </c>
      <c r="G1475">
        <v>7597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44188</v>
      </c>
      <c r="B1476" s="116">
        <v>207.57107471835499</v>
      </c>
      <c r="C1476" s="116">
        <v>207.57107471835499</v>
      </c>
      <c r="D1476" s="116">
        <v>204.216789290397</v>
      </c>
      <c r="E1476" s="116">
        <v>204.216789290397</v>
      </c>
      <c r="F1476" s="116">
        <v>210.4</v>
      </c>
      <c r="G1476">
        <v>4049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44189</v>
      </c>
      <c r="B1477" s="116">
        <v>211.714603776421</v>
      </c>
      <c r="C1477" s="116">
        <v>211.714603776421</v>
      </c>
      <c r="D1477" s="116">
        <v>211.714603776421</v>
      </c>
      <c r="E1477" s="116">
        <v>211.714603776421</v>
      </c>
      <c r="F1477" s="116">
        <v>214.6</v>
      </c>
      <c r="G1477">
        <v>2327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44193</v>
      </c>
      <c r="B1478" s="116">
        <v>215.90746056136899</v>
      </c>
      <c r="C1478" s="116">
        <v>209.84015015491499</v>
      </c>
      <c r="D1478" s="116">
        <v>207.52174699147301</v>
      </c>
      <c r="E1478" s="116">
        <v>215.90746056136899</v>
      </c>
      <c r="F1478" s="116">
        <v>212.7</v>
      </c>
      <c r="G1478">
        <v>2862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44194</v>
      </c>
      <c r="B1479" s="116">
        <v>212.99712467534599</v>
      </c>
      <c r="C1479" s="116">
        <v>210.284099696851</v>
      </c>
      <c r="D1479" s="116">
        <v>205.745948823731</v>
      </c>
      <c r="E1479" s="116">
        <v>205.745948823731</v>
      </c>
      <c r="F1479" s="116">
        <v>213.15</v>
      </c>
      <c r="G1479">
        <v>3980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44195</v>
      </c>
      <c r="B1480" s="116">
        <v>212.01057013771199</v>
      </c>
      <c r="C1480" s="116">
        <v>207.76838562588199</v>
      </c>
      <c r="D1480" s="116">
        <v>207.176452903301</v>
      </c>
      <c r="E1480" s="116">
        <v>212.01057013771199</v>
      </c>
      <c r="F1480" s="116">
        <v>210.6</v>
      </c>
      <c r="G1480">
        <v>2464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44196</v>
      </c>
      <c r="B1481" s="116">
        <v>211.911914683948</v>
      </c>
      <c r="C1481" s="116">
        <v>211.46796514201199</v>
      </c>
      <c r="D1481" s="116">
        <v>206.23922609254799</v>
      </c>
      <c r="E1481" s="116">
        <v>207.176452903301</v>
      </c>
      <c r="F1481" s="116">
        <v>214.35</v>
      </c>
      <c r="G1481">
        <v>2520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44197</v>
      </c>
      <c r="B1482" s="116">
        <v>215.66082192696001</v>
      </c>
      <c r="C1482" s="116">
        <v>215.66082192696001</v>
      </c>
      <c r="D1482" s="116">
        <v>214.822250569971</v>
      </c>
      <c r="E1482" s="116">
        <v>215.06888920437899</v>
      </c>
      <c r="F1482" s="116">
        <v>218.6</v>
      </c>
      <c r="G1482">
        <v>3950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44200</v>
      </c>
      <c r="B1483" s="116">
        <v>219.952334165671</v>
      </c>
      <c r="C1483" s="116">
        <v>219.952334165671</v>
      </c>
      <c r="D1483" s="116">
        <v>219.853678711908</v>
      </c>
      <c r="E1483" s="116">
        <v>219.853678711908</v>
      </c>
      <c r="F1483" s="116">
        <v>222.95</v>
      </c>
      <c r="G1483">
        <v>2390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44201</v>
      </c>
      <c r="B1484" s="116">
        <v>224.34250185814599</v>
      </c>
      <c r="C1484" s="116">
        <v>221.03754415706999</v>
      </c>
      <c r="D1484" s="116">
        <v>218.22586372481101</v>
      </c>
      <c r="E1484" s="116">
        <v>224.29317413126401</v>
      </c>
      <c r="F1484" s="116">
        <v>224.05</v>
      </c>
      <c r="G1484">
        <v>8220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44202</v>
      </c>
      <c r="B1485" s="116">
        <v>225.42771184954401</v>
      </c>
      <c r="C1485" s="116">
        <v>220.39628370760701</v>
      </c>
      <c r="D1485" s="116">
        <v>217.04199827964899</v>
      </c>
      <c r="E1485" s="116">
        <v>219.06443508180001</v>
      </c>
      <c r="F1485" s="116">
        <v>223.4</v>
      </c>
      <c r="G1485">
        <v>4990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44203</v>
      </c>
      <c r="B1486" s="116">
        <v>224.786451400082</v>
      </c>
      <c r="C1486" s="116">
        <v>220.84023324954299</v>
      </c>
      <c r="D1486" s="116">
        <v>219.015107354918</v>
      </c>
      <c r="E1486" s="116">
        <v>223.947880043092</v>
      </c>
      <c r="F1486" s="116">
        <v>223.85</v>
      </c>
      <c r="G1486">
        <v>1887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44204</v>
      </c>
      <c r="B1487" s="116">
        <v>225.23040094201801</v>
      </c>
      <c r="C1487" s="116">
        <v>218.47250235921899</v>
      </c>
      <c r="D1487" s="116">
        <v>216.450065557068</v>
      </c>
      <c r="E1487" s="116">
        <v>220.84023324954299</v>
      </c>
      <c r="F1487" s="116">
        <v>221.45</v>
      </c>
      <c r="G1487">
        <v>1893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44207</v>
      </c>
      <c r="B1488" s="116">
        <v>220.988216430188</v>
      </c>
      <c r="C1488" s="116">
        <v>215.414183292552</v>
      </c>
      <c r="D1488" s="116">
        <v>214.13166239362599</v>
      </c>
      <c r="E1488" s="116">
        <v>215.36485556567001</v>
      </c>
      <c r="F1488" s="116">
        <v>218.35</v>
      </c>
      <c r="G1488">
        <v>6510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44208</v>
      </c>
      <c r="B1489" s="116">
        <v>219.60704007749899</v>
      </c>
      <c r="C1489" s="116">
        <v>215.06888920437899</v>
      </c>
      <c r="D1489" s="116">
        <v>211.12267105384001</v>
      </c>
      <c r="E1489" s="116">
        <v>219.60704007749899</v>
      </c>
      <c r="F1489" s="116">
        <v>218</v>
      </c>
      <c r="G1489">
        <v>1211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44209</v>
      </c>
      <c r="B1490" s="116">
        <v>216.79535964524001</v>
      </c>
      <c r="C1490" s="116">
        <v>210.777376965668</v>
      </c>
      <c r="D1490" s="116">
        <v>210.777376965668</v>
      </c>
      <c r="E1490" s="116">
        <v>211.31998196136701</v>
      </c>
      <c r="F1490" s="116">
        <v>213.65</v>
      </c>
      <c r="G1490">
        <v>1280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44210</v>
      </c>
      <c r="B1491" s="116">
        <v>212.99712467534599</v>
      </c>
      <c r="C1491" s="116">
        <v>208.113679714054</v>
      </c>
      <c r="D1491" s="116">
        <v>206.58452018072001</v>
      </c>
      <c r="E1491" s="116">
        <v>206.58452018072001</v>
      </c>
      <c r="F1491" s="116">
        <v>210.95</v>
      </c>
      <c r="G1491">
        <v>1236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44211</v>
      </c>
      <c r="B1492" s="116">
        <v>207.42309153771001</v>
      </c>
      <c r="C1492" s="116">
        <v>207.176452903301</v>
      </c>
      <c r="D1492" s="116">
        <v>207.176452903301</v>
      </c>
      <c r="E1492" s="116">
        <v>207.27510835706499</v>
      </c>
      <c r="F1492" s="116">
        <v>210</v>
      </c>
      <c r="G1492">
        <v>305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44214</v>
      </c>
      <c r="B1493" s="116">
        <v>211.02401560007701</v>
      </c>
      <c r="C1493" s="116">
        <v>204.216789290397</v>
      </c>
      <c r="D1493" s="116">
        <v>203.03292384523499</v>
      </c>
      <c r="E1493" s="116">
        <v>207.176452903301</v>
      </c>
      <c r="F1493" s="116">
        <v>207</v>
      </c>
      <c r="G1493">
        <v>15681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44215</v>
      </c>
      <c r="B1494" s="116">
        <v>208.16300744093601</v>
      </c>
      <c r="C1494" s="116">
        <v>205.20334382803199</v>
      </c>
      <c r="D1494" s="116">
        <v>203.378217933407</v>
      </c>
      <c r="E1494" s="116">
        <v>206.18989836566601</v>
      </c>
      <c r="F1494" s="116">
        <v>208</v>
      </c>
      <c r="G1494">
        <v>1492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44216</v>
      </c>
      <c r="B1495" s="116">
        <v>209.29754515921601</v>
      </c>
      <c r="C1495" s="116">
        <v>203.52620111405301</v>
      </c>
      <c r="D1495" s="116">
        <v>201.35578113125601</v>
      </c>
      <c r="E1495" s="116">
        <v>202.342335668891</v>
      </c>
      <c r="F1495" s="116">
        <v>206.3</v>
      </c>
      <c r="G1495">
        <v>1169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44217</v>
      </c>
      <c r="B1496" s="116">
        <v>207.57107471835499</v>
      </c>
      <c r="C1496" s="116">
        <v>199.72796614415901</v>
      </c>
      <c r="D1496" s="116">
        <v>199.48132750975</v>
      </c>
      <c r="E1496" s="116">
        <v>205.20334382803199</v>
      </c>
      <c r="F1496" s="116">
        <v>202.45</v>
      </c>
      <c r="G1496">
        <v>2855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44218</v>
      </c>
      <c r="B1497" s="116">
        <v>201.15847022372901</v>
      </c>
      <c r="C1497" s="116">
        <v>198.544100698997</v>
      </c>
      <c r="D1497" s="116">
        <v>195.78174799362</v>
      </c>
      <c r="E1497" s="116">
        <v>199.28401660222301</v>
      </c>
      <c r="F1497" s="116">
        <v>201.25</v>
      </c>
      <c r="G1497">
        <v>5642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44221</v>
      </c>
      <c r="B1498" s="116">
        <v>202.49031884953601</v>
      </c>
      <c r="C1498" s="116">
        <v>200.171915686094</v>
      </c>
      <c r="D1498" s="116">
        <v>194.59788254845799</v>
      </c>
      <c r="E1498" s="116">
        <v>202.243680215127</v>
      </c>
      <c r="F1498" s="116">
        <v>202.9</v>
      </c>
      <c r="G1498">
        <v>1577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44223</v>
      </c>
      <c r="B1499" s="116">
        <v>200.171915686094</v>
      </c>
      <c r="C1499" s="116">
        <v>197.21225207319</v>
      </c>
      <c r="D1499" s="116">
        <v>196.176369808674</v>
      </c>
      <c r="E1499" s="116">
        <v>200.171915686094</v>
      </c>
      <c r="F1499" s="116">
        <v>199.9</v>
      </c>
      <c r="G1499">
        <v>2471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44224</v>
      </c>
      <c r="B1500" s="116">
        <v>200.96115931620199</v>
      </c>
      <c r="C1500" s="116">
        <v>200.91183158932</v>
      </c>
      <c r="D1500" s="116">
        <v>193.315361649533</v>
      </c>
      <c r="E1500" s="116">
        <v>196.176369808674</v>
      </c>
      <c r="F1500" s="116">
        <v>203.65</v>
      </c>
      <c r="G1500">
        <v>838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44225</v>
      </c>
      <c r="B1501" s="116">
        <v>203.03292384523499</v>
      </c>
      <c r="C1501" s="116">
        <v>197.06426889254499</v>
      </c>
      <c r="D1501" s="116">
        <v>196.9162857119</v>
      </c>
      <c r="E1501" s="116">
        <v>197.36023525383499</v>
      </c>
      <c r="F1501" s="116">
        <v>199.75</v>
      </c>
      <c r="G1501">
        <v>2060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44228</v>
      </c>
      <c r="B1502" s="116">
        <v>200.91183158932</v>
      </c>
      <c r="C1502" s="116">
        <v>199.28401660222301</v>
      </c>
      <c r="D1502" s="116">
        <v>193.21670619576901</v>
      </c>
      <c r="E1502" s="116">
        <v>193.26603392265099</v>
      </c>
      <c r="F1502" s="116">
        <v>202</v>
      </c>
      <c r="G1502">
        <v>158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44229</v>
      </c>
      <c r="B1503" s="116">
        <v>203.23023475276199</v>
      </c>
      <c r="C1503" s="116">
        <v>199.08670569469601</v>
      </c>
      <c r="D1503" s="116">
        <v>195.33779845168399</v>
      </c>
      <c r="E1503" s="116">
        <v>203.03292384523499</v>
      </c>
      <c r="F1503" s="116">
        <v>201.8</v>
      </c>
      <c r="G1503">
        <v>1881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44230</v>
      </c>
      <c r="B1504" s="116">
        <v>202.243680215127</v>
      </c>
      <c r="C1504" s="116">
        <v>196.176369808674</v>
      </c>
      <c r="D1504" s="116">
        <v>195.584437086093</v>
      </c>
      <c r="E1504" s="116">
        <v>195.83107572050099</v>
      </c>
      <c r="F1504" s="116">
        <v>198.85</v>
      </c>
      <c r="G1504">
        <v>2148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44231</v>
      </c>
      <c r="B1505" s="116">
        <v>200.07326023233099</v>
      </c>
      <c r="C1505" s="116">
        <v>200.07326023233099</v>
      </c>
      <c r="D1505" s="116">
        <v>195.43645390544799</v>
      </c>
      <c r="E1505" s="116">
        <v>200.02393250544901</v>
      </c>
      <c r="F1505" s="116">
        <v>202.8</v>
      </c>
      <c r="G1505">
        <v>1826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44232</v>
      </c>
      <c r="B1506" s="116">
        <v>210.03746106244199</v>
      </c>
      <c r="C1506" s="116">
        <v>210.03746106244199</v>
      </c>
      <c r="D1506" s="116">
        <v>200.56653750114799</v>
      </c>
      <c r="E1506" s="116">
        <v>210.03746106244199</v>
      </c>
      <c r="F1506" s="116">
        <v>212.9</v>
      </c>
      <c r="G1506">
        <v>11253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44235</v>
      </c>
      <c r="B1507" s="116">
        <v>219.755023258145</v>
      </c>
      <c r="C1507" s="116">
        <v>218.817796447392</v>
      </c>
      <c r="D1507" s="116">
        <v>212.20788104523899</v>
      </c>
      <c r="E1507" s="116">
        <v>219.755023258145</v>
      </c>
      <c r="F1507" s="116">
        <v>221.8</v>
      </c>
      <c r="G1507">
        <v>4425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44236</v>
      </c>
      <c r="B1508" s="116">
        <v>229.37393000008399</v>
      </c>
      <c r="C1508" s="116">
        <v>214.279645574272</v>
      </c>
      <c r="D1508" s="116">
        <v>208.16300744093601</v>
      </c>
      <c r="E1508" s="116">
        <v>217.04199827964899</v>
      </c>
      <c r="F1508" s="116">
        <v>217.2</v>
      </c>
      <c r="G1508">
        <v>5637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44237</v>
      </c>
      <c r="B1509" s="116">
        <v>219.80435098502599</v>
      </c>
      <c r="C1509" s="116">
        <v>217.288636914058</v>
      </c>
      <c r="D1509" s="116">
        <v>204.75939428609601</v>
      </c>
      <c r="E1509" s="116">
        <v>209.248217432334</v>
      </c>
      <c r="F1509" s="116">
        <v>220.25</v>
      </c>
      <c r="G1509">
        <v>5182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44238</v>
      </c>
      <c r="B1510" s="116">
        <v>219.015107354918</v>
      </c>
      <c r="C1510" s="116">
        <v>212.40519195276599</v>
      </c>
      <c r="D1510" s="116">
        <v>212.109225591475</v>
      </c>
      <c r="E1510" s="116">
        <v>217.04199827964899</v>
      </c>
      <c r="F1510" s="116">
        <v>215.3</v>
      </c>
      <c r="G1510">
        <v>2383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44239</v>
      </c>
      <c r="B1511" s="116">
        <v>223.010653232339</v>
      </c>
      <c r="C1511" s="116">
        <v>222.320065055995</v>
      </c>
      <c r="D1511" s="116">
        <v>208.45897380222601</v>
      </c>
      <c r="E1511" s="116">
        <v>208.45897380222601</v>
      </c>
      <c r="F1511" s="116">
        <v>225.35</v>
      </c>
      <c r="G1511">
        <v>9853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44242</v>
      </c>
      <c r="B1512" s="116">
        <v>233.418803604386</v>
      </c>
      <c r="C1512" s="116">
        <v>233.418803604386</v>
      </c>
      <c r="D1512" s="116">
        <v>222.96132550545801</v>
      </c>
      <c r="E1512" s="116">
        <v>233.418803604386</v>
      </c>
      <c r="F1512" s="116">
        <v>236.6</v>
      </c>
      <c r="G1512">
        <v>21882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44243</v>
      </c>
      <c r="B1513" s="116">
        <v>245.06014714847601</v>
      </c>
      <c r="C1513" s="116">
        <v>243.62964306890601</v>
      </c>
      <c r="D1513" s="116">
        <v>221.77746006029599</v>
      </c>
      <c r="E1513" s="116">
        <v>245.06014714847601</v>
      </c>
      <c r="F1513" s="116">
        <v>246.95</v>
      </c>
      <c r="G1513">
        <v>31479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44244</v>
      </c>
      <c r="B1514" s="116">
        <v>251.07812982804799</v>
      </c>
      <c r="C1514" s="116">
        <v>238.54888720008699</v>
      </c>
      <c r="D1514" s="116">
        <v>236.77308903234399</v>
      </c>
      <c r="E1514" s="116">
        <v>244.66552533342201</v>
      </c>
      <c r="F1514" s="116">
        <v>241.8</v>
      </c>
      <c r="G1514">
        <v>5109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44245</v>
      </c>
      <c r="B1515" s="116">
        <v>244.61619760654099</v>
      </c>
      <c r="C1515" s="116">
        <v>234.060064053849</v>
      </c>
      <c r="D1515" s="116">
        <v>228.92998045814801</v>
      </c>
      <c r="E1515" s="116">
        <v>240.719307182883</v>
      </c>
      <c r="F1515" s="116">
        <v>237.25</v>
      </c>
      <c r="G1515">
        <v>6137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44246</v>
      </c>
      <c r="B1516" s="116">
        <v>236.77308903234399</v>
      </c>
      <c r="C1516" s="116">
        <v>227.20351001728699</v>
      </c>
      <c r="D1516" s="116">
        <v>225.920989118362</v>
      </c>
      <c r="E1516" s="116">
        <v>236.77308903234399</v>
      </c>
      <c r="F1516" s="116">
        <v>230.3</v>
      </c>
      <c r="G1516">
        <v>7827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44249</v>
      </c>
      <c r="B1517" s="116">
        <v>235.78653449471</v>
      </c>
      <c r="C1517" s="116">
        <v>216.351410103305</v>
      </c>
      <c r="D1517" s="116">
        <v>215.85813283448701</v>
      </c>
      <c r="E1517" s="116">
        <v>235.78653449471</v>
      </c>
      <c r="F1517" s="116">
        <v>219.3</v>
      </c>
      <c r="G1517">
        <v>10915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44250</v>
      </c>
      <c r="B1518" s="116">
        <v>216.05544374201401</v>
      </c>
      <c r="C1518" s="116">
        <v>210.18544424308701</v>
      </c>
      <c r="D1518" s="116">
        <v>205.69662109684899</v>
      </c>
      <c r="E1518" s="116">
        <v>215.16754465814299</v>
      </c>
      <c r="F1518" s="116">
        <v>213.05</v>
      </c>
      <c r="G1518">
        <v>10163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44251</v>
      </c>
      <c r="B1519" s="116">
        <v>216.05544374201401</v>
      </c>
      <c r="C1519" s="116">
        <v>212.05989786459301</v>
      </c>
      <c r="D1519" s="116">
        <v>207.71905789900001</v>
      </c>
      <c r="E1519" s="116">
        <v>207.71905789900001</v>
      </c>
      <c r="F1519" s="116">
        <v>214.95</v>
      </c>
      <c r="G1519">
        <v>3911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44252</v>
      </c>
      <c r="B1520" s="116">
        <v>220.889560976425</v>
      </c>
      <c r="C1520" s="116">
        <v>219.557712350618</v>
      </c>
      <c r="D1520" s="116">
        <v>211.12267105384001</v>
      </c>
      <c r="E1520" s="116">
        <v>220.00166189255299</v>
      </c>
      <c r="F1520" s="116">
        <v>222.55</v>
      </c>
      <c r="G1520">
        <v>7014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44253</v>
      </c>
      <c r="B1521" s="116">
        <v>220.988216430188</v>
      </c>
      <c r="C1521" s="116">
        <v>210.87603241943199</v>
      </c>
      <c r="D1521" s="116">
        <v>208.60695698287199</v>
      </c>
      <c r="E1521" s="116">
        <v>220.889560976425</v>
      </c>
      <c r="F1521" s="116">
        <v>213.75</v>
      </c>
      <c r="G1521">
        <v>9066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44256</v>
      </c>
      <c r="B1522" s="116">
        <v>220.19897280008001</v>
      </c>
      <c r="C1522" s="116">
        <v>213.34241876351899</v>
      </c>
      <c r="D1522" s="116">
        <v>211.12267105384001</v>
      </c>
      <c r="E1522" s="116">
        <v>220.19897280008001</v>
      </c>
      <c r="F1522" s="116">
        <v>216.25</v>
      </c>
      <c r="G1522">
        <v>1277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44257</v>
      </c>
      <c r="B1523" s="116">
        <v>219.16309053556401</v>
      </c>
      <c r="C1523" s="116">
        <v>216.49939328395001</v>
      </c>
      <c r="D1523" s="116">
        <v>211.12267105384001</v>
      </c>
      <c r="E1523" s="116">
        <v>217.04199827964899</v>
      </c>
      <c r="F1523" s="116">
        <v>219.45</v>
      </c>
      <c r="G1523">
        <v>2571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44258</v>
      </c>
      <c r="B1524" s="116">
        <v>223.947880043092</v>
      </c>
      <c r="C1524" s="116">
        <v>223.70124140868401</v>
      </c>
      <c r="D1524" s="116">
        <v>212.20788104523899</v>
      </c>
      <c r="E1524" s="116">
        <v>218.916451901155</v>
      </c>
      <c r="F1524" s="116">
        <v>226.75</v>
      </c>
      <c r="G1524">
        <v>6571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44259</v>
      </c>
      <c r="B1525" s="116">
        <v>225.82233366459801</v>
      </c>
      <c r="C1525" s="116">
        <v>223.10930868610299</v>
      </c>
      <c r="D1525" s="116">
        <v>219.015107354918</v>
      </c>
      <c r="E1525" s="116">
        <v>223.947880043092</v>
      </c>
      <c r="F1525" s="116">
        <v>226.15</v>
      </c>
      <c r="G1525">
        <v>3716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44260</v>
      </c>
      <c r="B1526" s="116">
        <v>224.93443458072699</v>
      </c>
      <c r="C1526" s="116">
        <v>219.015107354918</v>
      </c>
      <c r="D1526" s="116">
        <v>217.04199827964899</v>
      </c>
      <c r="E1526" s="116">
        <v>224.885106853845</v>
      </c>
      <c r="F1526" s="116">
        <v>222</v>
      </c>
      <c r="G1526">
        <v>3931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44263</v>
      </c>
      <c r="B1527" s="116">
        <v>224.93443458072699</v>
      </c>
      <c r="C1527" s="116">
        <v>222.86267005169401</v>
      </c>
      <c r="D1527" s="116">
        <v>217.09132600653101</v>
      </c>
      <c r="E1527" s="116">
        <v>217.09132600653101</v>
      </c>
      <c r="F1527" s="116">
        <v>225.9</v>
      </c>
      <c r="G1527">
        <v>6538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44264</v>
      </c>
      <c r="B1528" s="116">
        <v>224.93443458072699</v>
      </c>
      <c r="C1528" s="116">
        <v>216.154099195778</v>
      </c>
      <c r="D1528" s="116">
        <v>216.154099195778</v>
      </c>
      <c r="E1528" s="116">
        <v>222.96132550545801</v>
      </c>
      <c r="F1528" s="116">
        <v>219.1</v>
      </c>
      <c r="G1528">
        <v>3160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44265</v>
      </c>
      <c r="B1529" s="116">
        <v>219.952334165671</v>
      </c>
      <c r="C1529" s="116">
        <v>219.952334165671</v>
      </c>
      <c r="D1529" s="116">
        <v>216.154099195778</v>
      </c>
      <c r="E1529" s="116">
        <v>216.154099195778</v>
      </c>
      <c r="F1529" s="116">
        <v>222.95</v>
      </c>
      <c r="G1529">
        <v>1546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44267</v>
      </c>
      <c r="B1530" s="116">
        <v>224.93443458072699</v>
      </c>
      <c r="C1530" s="116">
        <v>218.17653599792899</v>
      </c>
      <c r="D1530" s="116">
        <v>215.56216647319701</v>
      </c>
      <c r="E1530" s="116">
        <v>217.04199827964899</v>
      </c>
      <c r="F1530" s="116">
        <v>221.15</v>
      </c>
      <c r="G1530">
        <v>4973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44270</v>
      </c>
      <c r="B1531" s="116">
        <v>218.02855281728401</v>
      </c>
      <c r="C1531" s="116">
        <v>212.109225591475</v>
      </c>
      <c r="D1531" s="116">
        <v>208.508301529108</v>
      </c>
      <c r="E1531" s="116">
        <v>218.02855281728401</v>
      </c>
      <c r="F1531" s="116">
        <v>215</v>
      </c>
      <c r="G1531">
        <v>2410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44271</v>
      </c>
      <c r="B1532" s="116">
        <v>219.409729169972</v>
      </c>
      <c r="C1532" s="116">
        <v>212.70115831405599</v>
      </c>
      <c r="D1532" s="116">
        <v>209.149561978571</v>
      </c>
      <c r="E1532" s="116">
        <v>219.36040144309101</v>
      </c>
      <c r="F1532" s="116">
        <v>215.6</v>
      </c>
      <c r="G1532">
        <v>1930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44272</v>
      </c>
      <c r="B1533" s="116">
        <v>216.89401509900401</v>
      </c>
      <c r="C1533" s="116">
        <v>213.39174649040001</v>
      </c>
      <c r="D1533" s="116">
        <v>210.13611651620599</v>
      </c>
      <c r="E1533" s="116">
        <v>212.109225591475</v>
      </c>
      <c r="F1533" s="116">
        <v>216.3</v>
      </c>
      <c r="G1533">
        <v>2288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44273</v>
      </c>
      <c r="B1534" s="116">
        <v>209.74149470115199</v>
      </c>
      <c r="C1534" s="116">
        <v>205.44998246244</v>
      </c>
      <c r="D1534" s="116">
        <v>202.73695748394499</v>
      </c>
      <c r="E1534" s="116">
        <v>209.74149470115199</v>
      </c>
      <c r="F1534" s="116">
        <v>208.25</v>
      </c>
      <c r="G1534">
        <v>3751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44274</v>
      </c>
      <c r="B1535" s="116">
        <v>209.149561978571</v>
      </c>
      <c r="C1535" s="116">
        <v>202.88494066459</v>
      </c>
      <c r="D1535" s="116">
        <v>195.33779845168399</v>
      </c>
      <c r="E1535" s="116">
        <v>207.176452903301</v>
      </c>
      <c r="F1535" s="116">
        <v>205.65</v>
      </c>
      <c r="G1535">
        <v>5770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44277</v>
      </c>
      <c r="B1536" s="116">
        <v>202.243680215127</v>
      </c>
      <c r="C1536" s="116">
        <v>197.606873888244</v>
      </c>
      <c r="D1536" s="116">
        <v>197.310907526954</v>
      </c>
      <c r="E1536" s="116">
        <v>197.90284024953399</v>
      </c>
      <c r="F1536" s="116">
        <v>200.3</v>
      </c>
      <c r="G1536">
        <v>1550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44278</v>
      </c>
      <c r="B1537" s="116">
        <v>201.947713853837</v>
      </c>
      <c r="C1537" s="116">
        <v>197.06426889254499</v>
      </c>
      <c r="D1537" s="116">
        <v>192.67410120007</v>
      </c>
      <c r="E1537" s="116">
        <v>195.33779845168399</v>
      </c>
      <c r="F1537" s="116">
        <v>199.75</v>
      </c>
      <c r="G1537">
        <v>2981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44279</v>
      </c>
      <c r="B1538" s="116">
        <v>202.19435248824601</v>
      </c>
      <c r="C1538" s="116">
        <v>202.0463693076</v>
      </c>
      <c r="D1538" s="116">
        <v>193.414017103296</v>
      </c>
      <c r="E1538" s="116">
        <v>195.33779845168399</v>
      </c>
      <c r="F1538" s="116">
        <v>204.8</v>
      </c>
      <c r="G1538">
        <v>7849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44280</v>
      </c>
      <c r="B1539" s="116">
        <v>202.243680215127</v>
      </c>
      <c r="C1539" s="116">
        <v>193.66065573770501</v>
      </c>
      <c r="D1539" s="116">
        <v>192.37813483878</v>
      </c>
      <c r="E1539" s="116">
        <v>196.42300844308201</v>
      </c>
      <c r="F1539" s="116">
        <v>196.3</v>
      </c>
      <c r="G1539">
        <v>3253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44281</v>
      </c>
      <c r="B1540" s="116">
        <v>203.23023475276199</v>
      </c>
      <c r="C1540" s="116">
        <v>190.75031985168201</v>
      </c>
      <c r="D1540" s="116">
        <v>189.41847122587501</v>
      </c>
      <c r="E1540" s="116">
        <v>193.36468937641499</v>
      </c>
      <c r="F1540" s="116">
        <v>193.35</v>
      </c>
      <c r="G1540">
        <v>6108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44285</v>
      </c>
      <c r="B1541" s="116">
        <v>200.27057113985799</v>
      </c>
      <c r="C1541" s="116">
        <v>191.49023575490801</v>
      </c>
      <c r="D1541" s="116">
        <v>191.39158030114501</v>
      </c>
      <c r="E1541" s="116">
        <v>195.33779845168399</v>
      </c>
      <c r="F1541" s="116">
        <v>194.1</v>
      </c>
      <c r="G1541">
        <v>3070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44286</v>
      </c>
      <c r="B1542" s="116">
        <v>194.59788254845799</v>
      </c>
      <c r="C1542" s="116">
        <v>191.53956348179</v>
      </c>
      <c r="D1542" s="116">
        <v>182.512589462432</v>
      </c>
      <c r="E1542" s="116">
        <v>192.37813483878</v>
      </c>
      <c r="F1542" s="116">
        <v>194.15</v>
      </c>
      <c r="G1542">
        <v>6055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44287</v>
      </c>
      <c r="B1543" s="116">
        <v>201.109142496847</v>
      </c>
      <c r="C1543" s="116">
        <v>200.813176135557</v>
      </c>
      <c r="D1543" s="116">
        <v>190.45435349039201</v>
      </c>
      <c r="E1543" s="116">
        <v>190.45435349039201</v>
      </c>
      <c r="F1543" s="116">
        <v>203.55</v>
      </c>
      <c r="G1543">
        <v>7444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44291</v>
      </c>
      <c r="B1544" s="116">
        <v>201.99704158071901</v>
      </c>
      <c r="C1544" s="116">
        <v>195.23914299792099</v>
      </c>
      <c r="D1544" s="116">
        <v>194.10460527964099</v>
      </c>
      <c r="E1544" s="116">
        <v>201.99704158071901</v>
      </c>
      <c r="F1544" s="116">
        <v>197.9</v>
      </c>
      <c r="G1544">
        <v>3470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44292</v>
      </c>
      <c r="B1545" s="116">
        <v>200.27057113985799</v>
      </c>
      <c r="C1545" s="116">
        <v>200.27057113985799</v>
      </c>
      <c r="D1545" s="116">
        <v>195.33779845168399</v>
      </c>
      <c r="E1545" s="116">
        <v>195.53510935921099</v>
      </c>
      <c r="F1545" s="116">
        <v>203</v>
      </c>
      <c r="G1545">
        <v>1780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44293</v>
      </c>
      <c r="B1546" s="116">
        <v>209.149561978571</v>
      </c>
      <c r="C1546" s="116">
        <v>204.36477247104199</v>
      </c>
      <c r="D1546" s="116">
        <v>197.310907526954</v>
      </c>
      <c r="E1546" s="116">
        <v>199.28401660222301</v>
      </c>
      <c r="F1546" s="116">
        <v>207.15</v>
      </c>
      <c r="G1546">
        <v>5394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44294</v>
      </c>
      <c r="B1547" s="116">
        <v>216.647376464595</v>
      </c>
      <c r="C1547" s="116">
        <v>211.911914683948</v>
      </c>
      <c r="D1547" s="116">
        <v>205.10468837426799</v>
      </c>
      <c r="E1547" s="116">
        <v>205.10468837426799</v>
      </c>
      <c r="F1547" s="116">
        <v>214.8</v>
      </c>
      <c r="G1547">
        <v>6482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44295</v>
      </c>
      <c r="B1548" s="116">
        <v>220.00166189255299</v>
      </c>
      <c r="C1548" s="116">
        <v>217.92989736352001</v>
      </c>
      <c r="D1548" s="116">
        <v>210.13611651620599</v>
      </c>
      <c r="E1548" s="116">
        <v>216.05544374201401</v>
      </c>
      <c r="F1548" s="116">
        <v>220.9</v>
      </c>
      <c r="G1548">
        <v>4006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44298</v>
      </c>
      <c r="B1549" s="116">
        <v>213.09578012911001</v>
      </c>
      <c r="C1549" s="116">
        <v>202.243680215127</v>
      </c>
      <c r="D1549" s="116">
        <v>198.49477297211499</v>
      </c>
      <c r="E1549" s="116">
        <v>210.13611651620599</v>
      </c>
      <c r="F1549" s="116">
        <v>205</v>
      </c>
      <c r="G1549">
        <v>3099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44299</v>
      </c>
      <c r="B1550" s="116">
        <v>207.176452903301</v>
      </c>
      <c r="C1550" s="116">
        <v>203.18090702588</v>
      </c>
      <c r="D1550" s="116">
        <v>201.306453404374</v>
      </c>
      <c r="E1550" s="116">
        <v>203.23023475276199</v>
      </c>
      <c r="F1550" s="116">
        <v>205.95</v>
      </c>
      <c r="G1550">
        <v>2800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44301</v>
      </c>
      <c r="B1551" s="116">
        <v>209.10023425168899</v>
      </c>
      <c r="C1551" s="116">
        <v>202.39166339577301</v>
      </c>
      <c r="D1551" s="116">
        <v>199.28401660222301</v>
      </c>
      <c r="E1551" s="116">
        <v>204.216789290397</v>
      </c>
      <c r="F1551" s="116">
        <v>205.15</v>
      </c>
      <c r="G1551">
        <v>2836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44302</v>
      </c>
      <c r="B1552" s="116">
        <v>207.176452903301</v>
      </c>
      <c r="C1552" s="116">
        <v>202.83561293770799</v>
      </c>
      <c r="D1552" s="116">
        <v>201.75040294631</v>
      </c>
      <c r="E1552" s="116">
        <v>203.23023475276199</v>
      </c>
      <c r="F1552" s="116">
        <v>205.6</v>
      </c>
      <c r="G1552">
        <v>1047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44305</v>
      </c>
      <c r="B1553" s="116">
        <v>223.10930868610299</v>
      </c>
      <c r="C1553" s="116">
        <v>223.10930868610299</v>
      </c>
      <c r="D1553" s="116">
        <v>208.16300744093601</v>
      </c>
      <c r="E1553" s="116">
        <v>208.16300744093601</v>
      </c>
      <c r="F1553" s="116">
        <v>226.15</v>
      </c>
      <c r="G1553">
        <v>38779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44306</v>
      </c>
      <c r="B1554" s="116">
        <v>245.40544123664901</v>
      </c>
      <c r="C1554" s="116">
        <v>245.40544123664901</v>
      </c>
      <c r="D1554" s="116">
        <v>236.57577812481699</v>
      </c>
      <c r="E1554" s="116">
        <v>236.57577812481699</v>
      </c>
      <c r="F1554" s="116">
        <v>248.75</v>
      </c>
      <c r="G1554">
        <v>52030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44308</v>
      </c>
      <c r="B1555" s="116">
        <v>269.92132149687302</v>
      </c>
      <c r="C1555" s="116">
        <v>257.88535613772802</v>
      </c>
      <c r="D1555" s="116">
        <v>249.10502075277901</v>
      </c>
      <c r="E1555" s="116">
        <v>265.13653198934401</v>
      </c>
      <c r="F1555" s="116">
        <v>261.39999999999998</v>
      </c>
      <c r="G1555">
        <v>70592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44309</v>
      </c>
      <c r="B1556" s="116">
        <v>270.75989285386203</v>
      </c>
      <c r="C1556" s="116">
        <v>268.194851056012</v>
      </c>
      <c r="D1556" s="116">
        <v>251.818045731274</v>
      </c>
      <c r="E1556" s="116">
        <v>260.79569202375097</v>
      </c>
      <c r="F1556" s="116">
        <v>271.85000000000002</v>
      </c>
      <c r="G1556">
        <v>47222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44312</v>
      </c>
      <c r="B1557" s="116">
        <v>276.03795963020798</v>
      </c>
      <c r="C1557" s="116">
        <v>261.43695247321301</v>
      </c>
      <c r="D1557" s="116">
        <v>260.45039793557902</v>
      </c>
      <c r="E1557" s="116">
        <v>269.329388774292</v>
      </c>
      <c r="F1557" s="116">
        <v>265</v>
      </c>
      <c r="G1557">
        <v>16380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44313</v>
      </c>
      <c r="B1558" s="116">
        <v>274.50880009687398</v>
      </c>
      <c r="C1558" s="116">
        <v>273.91686737429302</v>
      </c>
      <c r="D1558" s="116">
        <v>255.56695297428701</v>
      </c>
      <c r="E1558" s="116">
        <v>261.43695247321301</v>
      </c>
      <c r="F1558" s="116">
        <v>277.64999999999998</v>
      </c>
      <c r="G1558">
        <v>14473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44314</v>
      </c>
      <c r="B1559" s="116">
        <v>287.58064772053501</v>
      </c>
      <c r="C1559" s="116">
        <v>274.80476645816498</v>
      </c>
      <c r="D1559" s="116">
        <v>271.49980875708798</v>
      </c>
      <c r="E1559" s="116">
        <v>281.168043225909</v>
      </c>
      <c r="F1559" s="116">
        <v>278.55</v>
      </c>
      <c r="G1559">
        <v>20438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44315</v>
      </c>
      <c r="B1560" s="116">
        <v>284.02905138505002</v>
      </c>
      <c r="C1560" s="116">
        <v>270.41459876569002</v>
      </c>
      <c r="D1560" s="116">
        <v>266.36972516138701</v>
      </c>
      <c r="E1560" s="116">
        <v>280.92140459149999</v>
      </c>
      <c r="F1560" s="116">
        <v>274.10000000000002</v>
      </c>
      <c r="G1560">
        <v>5380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44316</v>
      </c>
      <c r="B1561" s="116">
        <v>275.05140509257302</v>
      </c>
      <c r="C1561" s="116">
        <v>261.68359110762202</v>
      </c>
      <c r="D1561" s="116">
        <v>260.64770884310599</v>
      </c>
      <c r="E1561" s="116">
        <v>275.05140509257302</v>
      </c>
      <c r="F1561" s="116">
        <v>265.25</v>
      </c>
      <c r="G1561">
        <v>7551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44319</v>
      </c>
      <c r="B1562" s="116">
        <v>271.79577511837903</v>
      </c>
      <c r="C1562" s="116">
        <v>262.76880109901998</v>
      </c>
      <c r="D1562" s="116">
        <v>260.45039793557902</v>
      </c>
      <c r="E1562" s="116">
        <v>262.42350701084803</v>
      </c>
      <c r="F1562" s="116">
        <v>266.35000000000002</v>
      </c>
      <c r="G1562">
        <v>3287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44320</v>
      </c>
      <c r="B1563" s="116">
        <v>270.80922058074401</v>
      </c>
      <c r="C1563" s="116">
        <v>261.83157428826701</v>
      </c>
      <c r="D1563" s="116">
        <v>256.50417978503998</v>
      </c>
      <c r="E1563" s="116">
        <v>269.28006104741002</v>
      </c>
      <c r="F1563" s="116">
        <v>265.39999999999998</v>
      </c>
      <c r="G1563">
        <v>5532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44321</v>
      </c>
      <c r="B1564" s="116">
        <v>269.23073332052797</v>
      </c>
      <c r="C1564" s="116">
        <v>264.84056562805301</v>
      </c>
      <c r="D1564" s="116">
        <v>259.463843397944</v>
      </c>
      <c r="E1564" s="116">
        <v>269.23073332052797</v>
      </c>
      <c r="F1564" s="116">
        <v>268.45</v>
      </c>
      <c r="G1564">
        <v>2376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44322</v>
      </c>
      <c r="B1565" s="116">
        <v>266.36972516138701</v>
      </c>
      <c r="C1565" s="116">
        <v>261.23964156568701</v>
      </c>
      <c r="D1565" s="116">
        <v>259.75980975923397</v>
      </c>
      <c r="E1565" s="116">
        <v>266.36972516138701</v>
      </c>
      <c r="F1565" s="116">
        <v>264.8</v>
      </c>
      <c r="G1565">
        <v>3462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44323</v>
      </c>
      <c r="B1566" s="116">
        <v>263.360733821601</v>
      </c>
      <c r="C1566" s="116">
        <v>252.60728936138199</v>
      </c>
      <c r="D1566" s="116">
        <v>250.63418028611301</v>
      </c>
      <c r="E1566" s="116">
        <v>261.43695247321301</v>
      </c>
      <c r="F1566" s="116">
        <v>256.05</v>
      </c>
      <c r="G1566">
        <v>14690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44326</v>
      </c>
      <c r="B1567" s="116">
        <v>265.23518744310701</v>
      </c>
      <c r="C1567" s="116">
        <v>257.44140659579301</v>
      </c>
      <c r="D1567" s="116">
        <v>251.57140709686601</v>
      </c>
      <c r="E1567" s="116">
        <v>261.091658385041</v>
      </c>
      <c r="F1567" s="116">
        <v>260.95</v>
      </c>
      <c r="G1567">
        <v>8848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44327</v>
      </c>
      <c r="B1568" s="116">
        <v>263.90333881729998</v>
      </c>
      <c r="C1568" s="116">
        <v>256.94812932697499</v>
      </c>
      <c r="D1568" s="116">
        <v>248.61174348396199</v>
      </c>
      <c r="E1568" s="116">
        <v>252.31132300009199</v>
      </c>
      <c r="F1568" s="116">
        <v>260.45</v>
      </c>
      <c r="G1568">
        <v>10894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44328</v>
      </c>
      <c r="B1569" s="116">
        <v>269.47737195493698</v>
      </c>
      <c r="C1569" s="116">
        <v>265.13653198934401</v>
      </c>
      <c r="D1569" s="116">
        <v>256.99745705385698</v>
      </c>
      <c r="E1569" s="116">
        <v>263.360733821601</v>
      </c>
      <c r="F1569" s="116">
        <v>268.75</v>
      </c>
      <c r="G1569">
        <v>5732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44330</v>
      </c>
      <c r="B1570" s="116">
        <v>274.26216146246497</v>
      </c>
      <c r="C1570" s="116">
        <v>261.43695247321301</v>
      </c>
      <c r="D1570" s="116">
        <v>256.50417978503998</v>
      </c>
      <c r="E1570" s="116">
        <v>264.396616086118</v>
      </c>
      <c r="F1570" s="116">
        <v>265</v>
      </c>
      <c r="G1570">
        <v>5872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44333</v>
      </c>
      <c r="B1571" s="116">
        <v>271.25317012267902</v>
      </c>
      <c r="C1571" s="116">
        <v>263.06476746031097</v>
      </c>
      <c r="D1571" s="116">
        <v>259.56249885170701</v>
      </c>
      <c r="E1571" s="116">
        <v>271.25317012267902</v>
      </c>
      <c r="F1571" s="116">
        <v>266.64999999999998</v>
      </c>
      <c r="G1571">
        <v>4011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44334</v>
      </c>
      <c r="B1572" s="116">
        <v>276.18594281085302</v>
      </c>
      <c r="C1572" s="116">
        <v>275.69266554203602</v>
      </c>
      <c r="D1572" s="116">
        <v>263.21275064095602</v>
      </c>
      <c r="E1572" s="116">
        <v>269.13207786676497</v>
      </c>
      <c r="F1572" s="116">
        <v>279.45</v>
      </c>
      <c r="G1572">
        <v>10994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44335</v>
      </c>
      <c r="B1573" s="116">
        <v>289.45510134204102</v>
      </c>
      <c r="C1573" s="116">
        <v>289.45510134204102</v>
      </c>
      <c r="D1573" s="116">
        <v>285.11426137644798</v>
      </c>
      <c r="E1573" s="116">
        <v>289.06047952698702</v>
      </c>
      <c r="F1573" s="116">
        <v>293.39999999999998</v>
      </c>
      <c r="G1573">
        <v>20932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44336</v>
      </c>
      <c r="B1574" s="116">
        <v>303.90812531838998</v>
      </c>
      <c r="C1574" s="116">
        <v>301.98434397000199</v>
      </c>
      <c r="D1574" s="116">
        <v>294.97980675279598</v>
      </c>
      <c r="E1574" s="116">
        <v>294.97980675279598</v>
      </c>
      <c r="F1574" s="116">
        <v>306.10000000000002</v>
      </c>
      <c r="G1574">
        <v>17181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44337</v>
      </c>
      <c r="B1575" s="116">
        <v>310.666023901188</v>
      </c>
      <c r="C1575" s="116">
        <v>289.504429068923</v>
      </c>
      <c r="D1575" s="116">
        <v>286.89005954419002</v>
      </c>
      <c r="E1575" s="116">
        <v>310.666023901188</v>
      </c>
      <c r="F1575" s="116">
        <v>293.45</v>
      </c>
      <c r="G1575">
        <v>8362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44340</v>
      </c>
      <c r="B1576" s="116">
        <v>295.86770583666703</v>
      </c>
      <c r="C1576" s="116">
        <v>289.99770633774</v>
      </c>
      <c r="D1576" s="116">
        <v>288.07392498935201</v>
      </c>
      <c r="E1576" s="116">
        <v>291.03358860225597</v>
      </c>
      <c r="F1576" s="116">
        <v>293.95</v>
      </c>
      <c r="G1576">
        <v>3645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44341</v>
      </c>
      <c r="B1577" s="116">
        <v>295.96636129042997</v>
      </c>
      <c r="C1577" s="116">
        <v>281.85863140225302</v>
      </c>
      <c r="D1577" s="116">
        <v>281.168043225909</v>
      </c>
      <c r="E1577" s="116">
        <v>289.99770633774</v>
      </c>
      <c r="F1577" s="116">
        <v>285.7</v>
      </c>
      <c r="G1577">
        <v>4515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44342</v>
      </c>
      <c r="B1578" s="116">
        <v>295.91703356354901</v>
      </c>
      <c r="C1578" s="116">
        <v>292.21745404741802</v>
      </c>
      <c r="D1578" s="116">
        <v>281.266698679672</v>
      </c>
      <c r="E1578" s="116">
        <v>283.14115230117801</v>
      </c>
      <c r="F1578" s="116">
        <v>296.2</v>
      </c>
      <c r="G1578">
        <v>30109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44343</v>
      </c>
      <c r="B1579" s="116">
        <v>298.77804172268901</v>
      </c>
      <c r="C1579" s="116">
        <v>294.48652948397802</v>
      </c>
      <c r="D1579" s="116">
        <v>286.100815914083</v>
      </c>
      <c r="E1579" s="116">
        <v>298.77804172268901</v>
      </c>
      <c r="F1579" s="116">
        <v>298.5</v>
      </c>
      <c r="G1579">
        <v>4084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44344</v>
      </c>
      <c r="B1580" s="116">
        <v>294.68384039150499</v>
      </c>
      <c r="C1580" s="116">
        <v>281.90795912913501</v>
      </c>
      <c r="D1580" s="116">
        <v>281.266698679672</v>
      </c>
      <c r="E1580" s="116">
        <v>291.03358860225597</v>
      </c>
      <c r="F1580" s="116">
        <v>285.75</v>
      </c>
      <c r="G1580">
        <v>4163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44347</v>
      </c>
      <c r="B1581" s="116">
        <v>294.88115129903201</v>
      </c>
      <c r="C1581" s="116">
        <v>277.02451416784299</v>
      </c>
      <c r="D1581" s="116">
        <v>270.36527103880798</v>
      </c>
      <c r="E1581" s="116">
        <v>294.88115129903201</v>
      </c>
      <c r="F1581" s="116">
        <v>280.8</v>
      </c>
      <c r="G1581">
        <v>5149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44348</v>
      </c>
      <c r="B1582" s="116">
        <v>276.235270537735</v>
      </c>
      <c r="C1582" s="116">
        <v>269.03342241300101</v>
      </c>
      <c r="D1582" s="116">
        <v>267.35627969902202</v>
      </c>
      <c r="E1582" s="116">
        <v>271.79577511837903</v>
      </c>
      <c r="F1582" s="116">
        <v>272.7</v>
      </c>
      <c r="G1582">
        <v>3745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44349</v>
      </c>
      <c r="B1583" s="116">
        <v>282.45056412483399</v>
      </c>
      <c r="C1583" s="116">
        <v>282.05594230977999</v>
      </c>
      <c r="D1583" s="116">
        <v>268.34283423665698</v>
      </c>
      <c r="E1583" s="116">
        <v>268.34283423665698</v>
      </c>
      <c r="F1583" s="116">
        <v>285.89999999999998</v>
      </c>
      <c r="G1583">
        <v>7377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44350</v>
      </c>
      <c r="B1584" s="116">
        <v>291.03358860225597</v>
      </c>
      <c r="C1584" s="116">
        <v>287.38333681300799</v>
      </c>
      <c r="D1584" s="116">
        <v>281.168043225909</v>
      </c>
      <c r="E1584" s="116">
        <v>284.12770683881303</v>
      </c>
      <c r="F1584" s="116">
        <v>291.3</v>
      </c>
      <c r="G1584">
        <v>8027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44351</v>
      </c>
      <c r="B1585" s="116">
        <v>287.629975447417</v>
      </c>
      <c r="C1585" s="116">
        <v>281.85863140225302</v>
      </c>
      <c r="D1585" s="116">
        <v>278.20837961300498</v>
      </c>
      <c r="E1585" s="116">
        <v>285.11426137644798</v>
      </c>
      <c r="F1585" s="116">
        <v>285.7</v>
      </c>
      <c r="G1585">
        <v>7867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44354</v>
      </c>
      <c r="B1586" s="116">
        <v>300.80047852484103</v>
      </c>
      <c r="C1586" s="116">
        <v>288.27123589687898</v>
      </c>
      <c r="D1586" s="116">
        <v>280.18148868827399</v>
      </c>
      <c r="E1586" s="116">
        <v>287.334009086126</v>
      </c>
      <c r="F1586" s="116">
        <v>292.2</v>
      </c>
      <c r="G1586">
        <v>22629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44355</v>
      </c>
      <c r="B1587" s="116">
        <v>294.930479025914</v>
      </c>
      <c r="C1587" s="116">
        <v>285.65686637214702</v>
      </c>
      <c r="D1587" s="116">
        <v>282.20392549042498</v>
      </c>
      <c r="E1587" s="116">
        <v>294.930479025914</v>
      </c>
      <c r="F1587" s="116">
        <v>289.55</v>
      </c>
      <c r="G1587">
        <v>6096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44356</v>
      </c>
      <c r="B1588" s="116">
        <v>291.03358860225597</v>
      </c>
      <c r="C1588" s="116">
        <v>276.235270537735</v>
      </c>
      <c r="D1588" s="116">
        <v>272.33838011407801</v>
      </c>
      <c r="E1588" s="116">
        <v>291.03358860225597</v>
      </c>
      <c r="F1588" s="116">
        <v>280</v>
      </c>
      <c r="G1588">
        <v>6068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44357</v>
      </c>
      <c r="B1589" s="116">
        <v>284.02905138505002</v>
      </c>
      <c r="C1589" s="116">
        <v>281.31602640655399</v>
      </c>
      <c r="D1589" s="116">
        <v>275.24871600009999</v>
      </c>
      <c r="E1589" s="116">
        <v>278.257707339886</v>
      </c>
      <c r="F1589" s="116">
        <v>285.14999999999998</v>
      </c>
      <c r="G1589">
        <v>5504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44358</v>
      </c>
      <c r="B1590" s="116">
        <v>287.97526953558901</v>
      </c>
      <c r="C1590" s="116">
        <v>274.75543873128299</v>
      </c>
      <c r="D1590" s="116">
        <v>271.30249784956101</v>
      </c>
      <c r="E1590" s="116">
        <v>281.168043225909</v>
      </c>
      <c r="F1590" s="116">
        <v>278.5</v>
      </c>
      <c r="G1590">
        <v>8493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44361</v>
      </c>
      <c r="B1591" s="116">
        <v>282.15459776354402</v>
      </c>
      <c r="C1591" s="116">
        <v>269.08275013988299</v>
      </c>
      <c r="D1591" s="116">
        <v>266.36972516138701</v>
      </c>
      <c r="E1591" s="116">
        <v>275.29804372698197</v>
      </c>
      <c r="F1591" s="116">
        <v>272.75</v>
      </c>
      <c r="G1591">
        <v>7631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44362</v>
      </c>
      <c r="B1592" s="116">
        <v>280.72409368397302</v>
      </c>
      <c r="C1592" s="116">
        <v>271.89443057214203</v>
      </c>
      <c r="D1592" s="116">
        <v>270.31594331192599</v>
      </c>
      <c r="E1592" s="116">
        <v>270.31594331192599</v>
      </c>
      <c r="F1592" s="116">
        <v>275.60000000000002</v>
      </c>
      <c r="G1592">
        <v>2855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44363</v>
      </c>
      <c r="B1593" s="116">
        <v>279.49090051193002</v>
      </c>
      <c r="C1593" s="116">
        <v>274.01552282805699</v>
      </c>
      <c r="D1593" s="116">
        <v>269.57602740869999</v>
      </c>
      <c r="E1593" s="116">
        <v>276.728547806552</v>
      </c>
      <c r="F1593" s="116">
        <v>277.75</v>
      </c>
      <c r="G1593">
        <v>6685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44364</v>
      </c>
      <c r="B1594" s="116">
        <v>273.27560692483098</v>
      </c>
      <c r="C1594" s="116">
        <v>270.36527103880798</v>
      </c>
      <c r="D1594" s="116">
        <v>268.34283423665698</v>
      </c>
      <c r="E1594" s="116">
        <v>273.27560692483098</v>
      </c>
      <c r="F1594" s="116">
        <v>274.05</v>
      </c>
      <c r="G1594">
        <v>2809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44365</v>
      </c>
      <c r="B1595" s="116">
        <v>269.329388774292</v>
      </c>
      <c r="C1595" s="116">
        <v>261.04233065815998</v>
      </c>
      <c r="D1595" s="116">
        <v>252.557961634501</v>
      </c>
      <c r="E1595" s="116">
        <v>269.329388774292</v>
      </c>
      <c r="F1595" s="116">
        <v>264.60000000000002</v>
      </c>
      <c r="G1595">
        <v>8819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44368</v>
      </c>
      <c r="B1596" s="116">
        <v>269.67468286246401</v>
      </c>
      <c r="C1596" s="116">
        <v>258.97056612912701</v>
      </c>
      <c r="D1596" s="116">
        <v>254.53107070977001</v>
      </c>
      <c r="E1596" s="116">
        <v>269.13207786676497</v>
      </c>
      <c r="F1596" s="116">
        <v>262.5</v>
      </c>
      <c r="G1596">
        <v>8938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44369</v>
      </c>
      <c r="B1597" s="116">
        <v>266.36972516138701</v>
      </c>
      <c r="C1597" s="116">
        <v>262.57149019149301</v>
      </c>
      <c r="D1597" s="116">
        <v>256.50417978503998</v>
      </c>
      <c r="E1597" s="116">
        <v>259.463843397944</v>
      </c>
      <c r="F1597" s="116">
        <v>266.14999999999998</v>
      </c>
      <c r="G1597">
        <v>4363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44370</v>
      </c>
      <c r="B1598" s="116">
        <v>271.30249784956101</v>
      </c>
      <c r="C1598" s="116">
        <v>270.11863240439902</v>
      </c>
      <c r="D1598" s="116">
        <v>261.43695247321301</v>
      </c>
      <c r="E1598" s="116">
        <v>263.41006154848299</v>
      </c>
      <c r="F1598" s="116">
        <v>273.8</v>
      </c>
      <c r="G1598">
        <v>2522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44371</v>
      </c>
      <c r="B1599" s="116">
        <v>272.78232965601302</v>
      </c>
      <c r="C1599" s="116">
        <v>266.96165788396797</v>
      </c>
      <c r="D1599" s="116">
        <v>263.41006154848299</v>
      </c>
      <c r="E1599" s="116">
        <v>263.41006154848299</v>
      </c>
      <c r="F1599" s="116">
        <v>270.60000000000002</v>
      </c>
      <c r="G1599">
        <v>2311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44372</v>
      </c>
      <c r="B1600" s="116">
        <v>276.235270537735</v>
      </c>
      <c r="C1600" s="116">
        <v>272.93031283665903</v>
      </c>
      <c r="D1600" s="116">
        <v>266.36972516138701</v>
      </c>
      <c r="E1600" s="116">
        <v>267.35627969902202</v>
      </c>
      <c r="F1600" s="116">
        <v>276.64999999999998</v>
      </c>
      <c r="G1600">
        <v>5053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44375</v>
      </c>
      <c r="B1601" s="116">
        <v>282.15459776354402</v>
      </c>
      <c r="C1601" s="116">
        <v>272.831657382895</v>
      </c>
      <c r="D1601" s="116">
        <v>271.30249784956101</v>
      </c>
      <c r="E1601" s="116">
        <v>275.24871600009999</v>
      </c>
      <c r="F1601" s="116">
        <v>276.55</v>
      </c>
      <c r="G1601">
        <v>5047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44376</v>
      </c>
      <c r="B1602" s="116">
        <v>280.08283323451099</v>
      </c>
      <c r="C1602" s="116">
        <v>273.37426237859398</v>
      </c>
      <c r="D1602" s="116">
        <v>268.34283423665698</v>
      </c>
      <c r="E1602" s="116">
        <v>272.68367420225002</v>
      </c>
      <c r="F1602" s="116">
        <v>277.10000000000002</v>
      </c>
      <c r="G1602">
        <v>6559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44377</v>
      </c>
      <c r="B1603" s="116">
        <v>300.701823071077</v>
      </c>
      <c r="C1603" s="116">
        <v>300.701823071077</v>
      </c>
      <c r="D1603" s="116">
        <v>273.37426237859398</v>
      </c>
      <c r="E1603" s="116">
        <v>273.37426237859398</v>
      </c>
      <c r="F1603" s="116">
        <v>304.8</v>
      </c>
      <c r="G1603">
        <v>85784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44378</v>
      </c>
      <c r="B1604" s="116">
        <v>330.742408742056</v>
      </c>
      <c r="C1604" s="116">
        <v>330.742408742056</v>
      </c>
      <c r="D1604" s="116">
        <v>317.91719975280398</v>
      </c>
      <c r="E1604" s="116">
        <v>330.742408742056</v>
      </c>
      <c r="F1604" s="116">
        <v>335.25</v>
      </c>
      <c r="G1604">
        <v>81271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44379</v>
      </c>
      <c r="B1605" s="116">
        <v>347.02055861303</v>
      </c>
      <c r="C1605" s="116">
        <v>334.244677350659</v>
      </c>
      <c r="D1605" s="116">
        <v>320.67955245818098</v>
      </c>
      <c r="E1605" s="116">
        <v>335.42854279582099</v>
      </c>
      <c r="F1605" s="116">
        <v>338.8</v>
      </c>
      <c r="G1605">
        <v>61253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44382</v>
      </c>
      <c r="B1606" s="116">
        <v>339.37476094636003</v>
      </c>
      <c r="C1606" s="116">
        <v>329.50921557001197</v>
      </c>
      <c r="D1606" s="116">
        <v>317.67056111839503</v>
      </c>
      <c r="E1606" s="116">
        <v>329.95316511194801</v>
      </c>
      <c r="F1606" s="116">
        <v>334</v>
      </c>
      <c r="G1606">
        <v>36612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44383</v>
      </c>
      <c r="B1607" s="116">
        <v>333.45543372055198</v>
      </c>
      <c r="C1607" s="116">
        <v>315.25350250118998</v>
      </c>
      <c r="D1607" s="116">
        <v>313.72434296785599</v>
      </c>
      <c r="E1607" s="116">
        <v>329.06526602807702</v>
      </c>
      <c r="F1607" s="116">
        <v>319.55</v>
      </c>
      <c r="G1607">
        <v>15459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44384</v>
      </c>
      <c r="B1608" s="116">
        <v>322.06072881086999</v>
      </c>
      <c r="C1608" s="116">
        <v>315.74677977000698</v>
      </c>
      <c r="D1608" s="116">
        <v>311.75123389258698</v>
      </c>
      <c r="E1608" s="116">
        <v>319.15039292484698</v>
      </c>
      <c r="F1608" s="116">
        <v>320.05</v>
      </c>
      <c r="G1608">
        <v>7677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44385</v>
      </c>
      <c r="B1609" s="116">
        <v>318.85442656355701</v>
      </c>
      <c r="C1609" s="116">
        <v>309.72879709043502</v>
      </c>
      <c r="D1609" s="116">
        <v>306.81846120441298</v>
      </c>
      <c r="E1609" s="116">
        <v>318.85442656355701</v>
      </c>
      <c r="F1609" s="116">
        <v>313.95</v>
      </c>
      <c r="G1609">
        <v>6782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44386</v>
      </c>
      <c r="B1610" s="116">
        <v>317.67056111839503</v>
      </c>
      <c r="C1610" s="116">
        <v>313.03375479151202</v>
      </c>
      <c r="D1610" s="116">
        <v>305.97988984742301</v>
      </c>
      <c r="E1610" s="116">
        <v>309.72879709043502</v>
      </c>
      <c r="F1610" s="116">
        <v>317.3</v>
      </c>
      <c r="G1610">
        <v>9510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44389</v>
      </c>
      <c r="B1611" s="116">
        <v>323.49123289044002</v>
      </c>
      <c r="C1611" s="116">
        <v>310.074091178608</v>
      </c>
      <c r="D1611" s="116">
        <v>306.91711665817598</v>
      </c>
      <c r="E1611" s="116">
        <v>323.49123289044002</v>
      </c>
      <c r="F1611" s="116">
        <v>314.3</v>
      </c>
      <c r="G1611">
        <v>11637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44390</v>
      </c>
      <c r="B1612" s="116">
        <v>317.62123339151401</v>
      </c>
      <c r="C1612" s="116">
        <v>315.30283022807203</v>
      </c>
      <c r="D1612" s="116">
        <v>309.87678027108097</v>
      </c>
      <c r="E1612" s="116">
        <v>309.87678027108097</v>
      </c>
      <c r="F1612" s="116">
        <v>319.60000000000002</v>
      </c>
      <c r="G1612">
        <v>9124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44391</v>
      </c>
      <c r="B1613" s="116">
        <v>322.60333380656903</v>
      </c>
      <c r="C1613" s="116">
        <v>315.50014113559899</v>
      </c>
      <c r="D1613" s="116">
        <v>315.35215795495401</v>
      </c>
      <c r="E1613" s="116">
        <v>320.58089700441798</v>
      </c>
      <c r="F1613" s="116">
        <v>319.8</v>
      </c>
      <c r="G1613">
        <v>6690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44392</v>
      </c>
      <c r="B1614" s="116">
        <v>322.60333380656903</v>
      </c>
      <c r="C1614" s="116">
        <v>318.16383838721299</v>
      </c>
      <c r="D1614" s="116">
        <v>310.81400708183401</v>
      </c>
      <c r="E1614" s="116">
        <v>315.69745204312602</v>
      </c>
      <c r="F1614" s="116">
        <v>322.5</v>
      </c>
      <c r="G1614">
        <v>6955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44393</v>
      </c>
      <c r="B1615" s="116">
        <v>320.63022473130002</v>
      </c>
      <c r="C1615" s="116">
        <v>311.25795662376902</v>
      </c>
      <c r="D1615" s="116">
        <v>308.10098210333803</v>
      </c>
      <c r="E1615" s="116">
        <v>318.16383838721299</v>
      </c>
      <c r="F1615" s="116">
        <v>315.5</v>
      </c>
      <c r="G1615">
        <v>8395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44396</v>
      </c>
      <c r="B1616" s="116">
        <v>320.63022473130002</v>
      </c>
      <c r="C1616" s="116">
        <v>314.16829250979202</v>
      </c>
      <c r="D1616" s="116">
        <v>309.77812481731701</v>
      </c>
      <c r="E1616" s="116">
        <v>319.643670193665</v>
      </c>
      <c r="F1616" s="116">
        <v>318.45</v>
      </c>
      <c r="G1616">
        <v>9369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44397</v>
      </c>
      <c r="B1617" s="116">
        <v>320.63022473130002</v>
      </c>
      <c r="C1617" s="116">
        <v>317.62123339151401</v>
      </c>
      <c r="D1617" s="116">
        <v>311.06064571624199</v>
      </c>
      <c r="E1617" s="116">
        <v>313.72434296785599</v>
      </c>
      <c r="F1617" s="116">
        <v>321.95</v>
      </c>
      <c r="G1617">
        <v>9984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44399</v>
      </c>
      <c r="B1618" s="116">
        <v>345.29408817216898</v>
      </c>
      <c r="C1618" s="116">
        <v>343.27165137001703</v>
      </c>
      <c r="D1618" s="116">
        <v>317.81854429904001</v>
      </c>
      <c r="E1618" s="116">
        <v>318.65711565602999</v>
      </c>
      <c r="F1618" s="116">
        <v>347.95</v>
      </c>
      <c r="G1618">
        <v>32015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44400</v>
      </c>
      <c r="B1619" s="116">
        <v>367.98484253776797</v>
      </c>
      <c r="C1619" s="116">
        <v>360.98030532056202</v>
      </c>
      <c r="D1619" s="116">
        <v>347.513835881847</v>
      </c>
      <c r="E1619" s="116">
        <v>351.11475994421397</v>
      </c>
      <c r="F1619" s="116">
        <v>365.9</v>
      </c>
      <c r="G1619">
        <v>59795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44403</v>
      </c>
      <c r="B1620" s="116">
        <v>387.07467284100102</v>
      </c>
      <c r="C1620" s="116">
        <v>368.13282571841398</v>
      </c>
      <c r="D1620" s="116">
        <v>362.06551531195998</v>
      </c>
      <c r="E1620" s="116">
        <v>372.91761522594197</v>
      </c>
      <c r="F1620" s="116">
        <v>373.15</v>
      </c>
      <c r="G1620">
        <v>24975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44404</v>
      </c>
      <c r="B1621" s="116">
        <v>374.890724301212</v>
      </c>
      <c r="C1621" s="116">
        <v>351.75602039367601</v>
      </c>
      <c r="D1621" s="116">
        <v>347.513835881847</v>
      </c>
      <c r="E1621" s="116">
        <v>374.890724301212</v>
      </c>
      <c r="F1621" s="116">
        <v>356.55</v>
      </c>
      <c r="G1621">
        <v>15312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44405</v>
      </c>
      <c r="B1622" s="116">
        <v>367.83685935712299</v>
      </c>
      <c r="C1622" s="116">
        <v>351.60803721303103</v>
      </c>
      <c r="D1622" s="116">
        <v>345.29408817216898</v>
      </c>
      <c r="E1622" s="116">
        <v>367.83685935712299</v>
      </c>
      <c r="F1622" s="116">
        <v>356.4</v>
      </c>
      <c r="G1622">
        <v>7662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44406</v>
      </c>
      <c r="B1623" s="116">
        <v>359.10585169905602</v>
      </c>
      <c r="C1623" s="116">
        <v>354.074423557118</v>
      </c>
      <c r="D1623" s="116">
        <v>349.24030632270802</v>
      </c>
      <c r="E1623" s="116">
        <v>351.60803721303103</v>
      </c>
      <c r="F1623" s="116">
        <v>358.9</v>
      </c>
      <c r="G1623">
        <v>3356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44407</v>
      </c>
      <c r="B1624" s="116">
        <v>368.92206934852101</v>
      </c>
      <c r="C1624" s="116">
        <v>361.374927135615</v>
      </c>
      <c r="D1624" s="116">
        <v>355.15963354851601</v>
      </c>
      <c r="E1624" s="116">
        <v>368.92206934852101</v>
      </c>
      <c r="F1624" s="116">
        <v>366.3</v>
      </c>
      <c r="G1624">
        <v>5764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44410</v>
      </c>
      <c r="B1625" s="116">
        <v>364.82786801733698</v>
      </c>
      <c r="C1625" s="116">
        <v>358.513918976475</v>
      </c>
      <c r="D1625" s="116">
        <v>354.17307901088202</v>
      </c>
      <c r="E1625" s="116">
        <v>361.374927135615</v>
      </c>
      <c r="F1625" s="116">
        <v>363.4</v>
      </c>
      <c r="G1625">
        <v>5273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44411</v>
      </c>
      <c r="B1626" s="116">
        <v>360.881649866798</v>
      </c>
      <c r="C1626" s="116">
        <v>352.10131448184899</v>
      </c>
      <c r="D1626" s="116">
        <v>346.32997043668502</v>
      </c>
      <c r="E1626" s="116">
        <v>351.26274312485901</v>
      </c>
      <c r="F1626" s="116">
        <v>356.9</v>
      </c>
      <c r="G1626">
        <v>5161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44412</v>
      </c>
      <c r="B1627" s="116">
        <v>364.97585119798202</v>
      </c>
      <c r="C1627" s="116">
        <v>348.89501223453601</v>
      </c>
      <c r="D1627" s="116">
        <v>347.26719724743799</v>
      </c>
      <c r="E1627" s="116">
        <v>355.65291081733398</v>
      </c>
      <c r="F1627" s="116">
        <v>353.65</v>
      </c>
      <c r="G1627">
        <v>5237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44413</v>
      </c>
      <c r="B1628" s="116">
        <v>360.09240623669001</v>
      </c>
      <c r="C1628" s="116">
        <v>340.16400457646802</v>
      </c>
      <c r="D1628" s="116">
        <v>334.49131598506801</v>
      </c>
      <c r="E1628" s="116">
        <v>349.33896177647102</v>
      </c>
      <c r="F1628" s="116">
        <v>344.8</v>
      </c>
      <c r="G1628">
        <v>7486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44414</v>
      </c>
      <c r="B1629" s="116">
        <v>385.74282421519399</v>
      </c>
      <c r="C1629" s="116">
        <v>378.54097609045999</v>
      </c>
      <c r="D1629" s="116">
        <v>343.56761773130802</v>
      </c>
      <c r="E1629" s="116">
        <v>343.56761773130802</v>
      </c>
      <c r="F1629" s="116">
        <v>383.7</v>
      </c>
      <c r="G1629">
        <v>43199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44417</v>
      </c>
      <c r="B1630" s="116">
        <v>402.31694044745802</v>
      </c>
      <c r="C1630" s="116">
        <v>393.04332779369201</v>
      </c>
      <c r="D1630" s="116">
        <v>386.72937875282901</v>
      </c>
      <c r="E1630" s="116">
        <v>394.62181505390703</v>
      </c>
      <c r="F1630" s="116">
        <v>398.4</v>
      </c>
      <c r="G1630">
        <v>44908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44418</v>
      </c>
      <c r="B1631" s="116">
        <v>399.50526001519899</v>
      </c>
      <c r="C1631" s="116">
        <v>359.79643987539998</v>
      </c>
      <c r="D1631" s="116">
        <v>349.24030632270802</v>
      </c>
      <c r="E1631" s="116">
        <v>399.50526001519899</v>
      </c>
      <c r="F1631" s="116">
        <v>364.7</v>
      </c>
      <c r="G1631">
        <v>25880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44419</v>
      </c>
      <c r="B1632" s="116">
        <v>382.585849694763</v>
      </c>
      <c r="C1632" s="116">
        <v>349.43761723023499</v>
      </c>
      <c r="D1632" s="116">
        <v>331.58098009904501</v>
      </c>
      <c r="E1632" s="116">
        <v>382.585849694763</v>
      </c>
      <c r="F1632" s="116">
        <v>354.2</v>
      </c>
      <c r="G1632">
        <v>25148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44420</v>
      </c>
      <c r="B1633" s="116">
        <v>369.95795161303801</v>
      </c>
      <c r="C1633" s="116">
        <v>368.182153445295</v>
      </c>
      <c r="D1633" s="116">
        <v>353.186524473247</v>
      </c>
      <c r="E1633" s="116">
        <v>364.82786801733698</v>
      </c>
      <c r="F1633" s="116">
        <v>373.2</v>
      </c>
      <c r="G1633">
        <v>17407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44421</v>
      </c>
      <c r="B1634" s="116">
        <v>386.72937875282901</v>
      </c>
      <c r="C1634" s="116">
        <v>365.07450665174599</v>
      </c>
      <c r="D1634" s="116">
        <v>363.052069849595</v>
      </c>
      <c r="E1634" s="116">
        <v>369.90862388615602</v>
      </c>
      <c r="F1634" s="116">
        <v>370.05</v>
      </c>
      <c r="G1634">
        <v>9647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44424</v>
      </c>
      <c r="B1635" s="116">
        <v>409.42013311842902</v>
      </c>
      <c r="C1635" s="116">
        <v>365.27181755927302</v>
      </c>
      <c r="D1635" s="116">
        <v>358.119297161421</v>
      </c>
      <c r="E1635" s="116">
        <v>404.48736043025502</v>
      </c>
      <c r="F1635" s="116">
        <v>370.25</v>
      </c>
      <c r="G1635">
        <v>39545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44425</v>
      </c>
      <c r="B1636" s="116">
        <v>377.653077006589</v>
      </c>
      <c r="C1636" s="116">
        <v>366.15971664314401</v>
      </c>
      <c r="D1636" s="116">
        <v>366.01173346249902</v>
      </c>
      <c r="E1636" s="116">
        <v>377.653077006589</v>
      </c>
      <c r="F1636" s="116">
        <v>371.15</v>
      </c>
      <c r="G1636">
        <v>8889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44426</v>
      </c>
      <c r="B1637" s="116">
        <v>373.41089249475999</v>
      </c>
      <c r="C1637" s="116">
        <v>351.55870948615001</v>
      </c>
      <c r="D1637" s="116">
        <v>350.32551631410598</v>
      </c>
      <c r="E1637" s="116">
        <v>370.00727933991999</v>
      </c>
      <c r="F1637" s="116">
        <v>356.35</v>
      </c>
      <c r="G1637">
        <v>8024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44428</v>
      </c>
      <c r="B1638" s="116">
        <v>345.29408817216898</v>
      </c>
      <c r="C1638" s="116">
        <v>333.011484178616</v>
      </c>
      <c r="D1638" s="116">
        <v>328.571988759259</v>
      </c>
      <c r="E1638" s="116">
        <v>345.29408817216898</v>
      </c>
      <c r="F1638" s="116">
        <v>337.55</v>
      </c>
      <c r="G1638">
        <v>11121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44431</v>
      </c>
      <c r="B1639" s="116">
        <v>338.042912320553</v>
      </c>
      <c r="C1639" s="116">
        <v>320.63022473130002</v>
      </c>
      <c r="D1639" s="116">
        <v>315.84543522377101</v>
      </c>
      <c r="E1639" s="116">
        <v>328.76929966678603</v>
      </c>
      <c r="F1639" s="116">
        <v>325</v>
      </c>
      <c r="G1639">
        <v>6536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44432</v>
      </c>
      <c r="B1640" s="116">
        <v>346.28064270980298</v>
      </c>
      <c r="C1640" s="116">
        <v>338.24022322808003</v>
      </c>
      <c r="D1640" s="116">
        <v>327.53610649474302</v>
      </c>
      <c r="E1640" s="116">
        <v>329.50921557001197</v>
      </c>
      <c r="F1640" s="116">
        <v>342.85</v>
      </c>
      <c r="G1640">
        <v>6636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44433</v>
      </c>
      <c r="B1641" s="116">
        <v>348.20442405819102</v>
      </c>
      <c r="C1641" s="116">
        <v>323.88585470549401</v>
      </c>
      <c r="D1641" s="116">
        <v>322.15938426463299</v>
      </c>
      <c r="E1641" s="116">
        <v>348.20442405819102</v>
      </c>
      <c r="F1641" s="116">
        <v>328.3</v>
      </c>
      <c r="G1641">
        <v>12210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44434</v>
      </c>
      <c r="B1642" s="116">
        <v>330.49577010764699</v>
      </c>
      <c r="C1642" s="116">
        <v>310.46871299366097</v>
      </c>
      <c r="D1642" s="116">
        <v>306.374511662477</v>
      </c>
      <c r="E1642" s="116">
        <v>330.49577010764699</v>
      </c>
      <c r="F1642" s="116">
        <v>314.7</v>
      </c>
      <c r="G1642">
        <v>15088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44435</v>
      </c>
      <c r="B1643" s="116">
        <v>322.55400607968699</v>
      </c>
      <c r="C1643" s="116">
        <v>315.598796589362</v>
      </c>
      <c r="D1643" s="116">
        <v>308.05165437645599</v>
      </c>
      <c r="E1643" s="116">
        <v>308.05165437645599</v>
      </c>
      <c r="F1643" s="116">
        <v>319.89999999999998</v>
      </c>
      <c r="G1643">
        <v>10055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44438</v>
      </c>
      <c r="B1644" s="116">
        <v>337.40165187109102</v>
      </c>
      <c r="C1644" s="116">
        <v>324.87240924312903</v>
      </c>
      <c r="D1644" s="116">
        <v>321.66610699581599</v>
      </c>
      <c r="E1644" s="116">
        <v>325.41501423882801</v>
      </c>
      <c r="F1644" s="116">
        <v>329.3</v>
      </c>
      <c r="G1644">
        <v>33160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44439</v>
      </c>
      <c r="B1645" s="116">
        <v>334.44198825818597</v>
      </c>
      <c r="C1645" s="116">
        <v>321.76476244958002</v>
      </c>
      <c r="D1645" s="116">
        <v>317.91719975280398</v>
      </c>
      <c r="E1645" s="116">
        <v>334.44198825818597</v>
      </c>
      <c r="F1645" s="116">
        <v>326.14999999999998</v>
      </c>
      <c r="G1645">
        <v>16041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44440</v>
      </c>
      <c r="B1646" s="116">
        <v>325.56299741947299</v>
      </c>
      <c r="C1646" s="116">
        <v>315.84543522377101</v>
      </c>
      <c r="D1646" s="116">
        <v>312.441822068931</v>
      </c>
      <c r="E1646" s="116">
        <v>318.75577110979401</v>
      </c>
      <c r="F1646" s="116">
        <v>320.14999999999998</v>
      </c>
      <c r="G1646">
        <v>7249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44441</v>
      </c>
      <c r="B1647" s="116">
        <v>324.52711515495702</v>
      </c>
      <c r="C1647" s="116">
        <v>317.22661157646002</v>
      </c>
      <c r="D1647" s="116">
        <v>310.76467935495202</v>
      </c>
      <c r="E1647" s="116">
        <v>324.52711515495702</v>
      </c>
      <c r="F1647" s="116">
        <v>321.55</v>
      </c>
      <c r="G1647">
        <v>9989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44442</v>
      </c>
      <c r="B1648" s="116">
        <v>325.56299741947299</v>
      </c>
      <c r="C1648" s="116">
        <v>311.60325071194097</v>
      </c>
      <c r="D1648" s="116">
        <v>306.81846120441298</v>
      </c>
      <c r="E1648" s="116">
        <v>324.576442881839</v>
      </c>
      <c r="F1648" s="116">
        <v>315.85000000000002</v>
      </c>
      <c r="G1648">
        <v>13714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44445</v>
      </c>
      <c r="B1649" s="116">
        <v>323.09661107538602</v>
      </c>
      <c r="C1649" s="116">
        <v>315.598796589362</v>
      </c>
      <c r="D1649" s="116">
        <v>312.836443883985</v>
      </c>
      <c r="E1649" s="116">
        <v>322.60333380656903</v>
      </c>
      <c r="F1649" s="116">
        <v>319.89999999999998</v>
      </c>
      <c r="G1649">
        <v>14592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44446</v>
      </c>
      <c r="B1650" s="116">
        <v>319.10106519796602</v>
      </c>
      <c r="C1650" s="116">
        <v>310.71535162806998</v>
      </c>
      <c r="D1650" s="116">
        <v>306.81846120441298</v>
      </c>
      <c r="E1650" s="116">
        <v>319.10106519796602</v>
      </c>
      <c r="F1650" s="116">
        <v>314.95</v>
      </c>
      <c r="G1650">
        <v>9723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44447</v>
      </c>
      <c r="B1651" s="116">
        <v>316.68400658076001</v>
      </c>
      <c r="C1651" s="116">
        <v>310.81400708183401</v>
      </c>
      <c r="D1651" s="116">
        <v>306.81846120441298</v>
      </c>
      <c r="E1651" s="116">
        <v>316.68400658076001</v>
      </c>
      <c r="F1651" s="116">
        <v>315.05</v>
      </c>
      <c r="G1651">
        <v>6719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44448</v>
      </c>
      <c r="B1652" s="116">
        <v>312.73778843022097</v>
      </c>
      <c r="C1652" s="116">
        <v>305.48661257860601</v>
      </c>
      <c r="D1652" s="116">
        <v>302.92157078075502</v>
      </c>
      <c r="E1652" s="116">
        <v>312.73778843022097</v>
      </c>
      <c r="F1652" s="116">
        <v>309.64999999999998</v>
      </c>
      <c r="G1652">
        <v>12057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44452</v>
      </c>
      <c r="B1653" s="116">
        <v>310.71535162806998</v>
      </c>
      <c r="C1653" s="116">
        <v>305.83190666677802</v>
      </c>
      <c r="D1653" s="116">
        <v>303.85879759150902</v>
      </c>
      <c r="E1653" s="116">
        <v>310.71535162806998</v>
      </c>
      <c r="F1653" s="116">
        <v>310</v>
      </c>
      <c r="G1653">
        <v>25953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44453</v>
      </c>
      <c r="B1654" s="116">
        <v>322.11005653775197</v>
      </c>
      <c r="C1654" s="116">
        <v>307.16375529258499</v>
      </c>
      <c r="D1654" s="116">
        <v>292.11879859365501</v>
      </c>
      <c r="E1654" s="116">
        <v>322.11005653775197</v>
      </c>
      <c r="F1654" s="116">
        <v>311.35000000000002</v>
      </c>
      <c r="G1654">
        <v>17313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44454</v>
      </c>
      <c r="B1655" s="116">
        <v>343.32097909689901</v>
      </c>
      <c r="C1655" s="116">
        <v>340.75593729904898</v>
      </c>
      <c r="D1655" s="116">
        <v>307.805015742048</v>
      </c>
      <c r="E1655" s="116">
        <v>314.11896478290998</v>
      </c>
      <c r="F1655" s="116">
        <v>345.4</v>
      </c>
      <c r="G1655">
        <v>67933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44455</v>
      </c>
      <c r="B1656" s="116">
        <v>368.97139707540299</v>
      </c>
      <c r="C1656" s="116">
        <v>342.43308001302802</v>
      </c>
      <c r="D1656" s="116">
        <v>339.37476094636003</v>
      </c>
      <c r="E1656" s="116">
        <v>359.10585169905602</v>
      </c>
      <c r="F1656" s="116">
        <v>347.1</v>
      </c>
      <c r="G1656">
        <v>67078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44456</v>
      </c>
      <c r="B1657" s="116">
        <v>349.141650868944</v>
      </c>
      <c r="C1657" s="116">
        <v>335.32988734205799</v>
      </c>
      <c r="D1657" s="116">
        <v>328.571988759259</v>
      </c>
      <c r="E1657" s="116">
        <v>349.141650868944</v>
      </c>
      <c r="F1657" s="116">
        <v>339.9</v>
      </c>
      <c r="G1657">
        <v>17041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44459</v>
      </c>
      <c r="B1658" s="116">
        <v>340.36131548399499</v>
      </c>
      <c r="C1658" s="116">
        <v>330.69308101517402</v>
      </c>
      <c r="D1658" s="116">
        <v>322.99795562162302</v>
      </c>
      <c r="E1658" s="116">
        <v>322.99795562162302</v>
      </c>
      <c r="F1658" s="116">
        <v>335.2</v>
      </c>
      <c r="G1658">
        <v>7833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44460</v>
      </c>
      <c r="B1659" s="116">
        <v>338.33887868184399</v>
      </c>
      <c r="C1659" s="116">
        <v>324.18182106678501</v>
      </c>
      <c r="D1659" s="116">
        <v>318.65711565602999</v>
      </c>
      <c r="E1659" s="116">
        <v>330.49577010764699</v>
      </c>
      <c r="F1659" s="116">
        <v>328.6</v>
      </c>
      <c r="G1659">
        <v>10353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44461</v>
      </c>
      <c r="B1660" s="116">
        <v>337.40165187109102</v>
      </c>
      <c r="C1660" s="116">
        <v>333.504761447433</v>
      </c>
      <c r="D1660" s="116">
        <v>321.61677926893401</v>
      </c>
      <c r="E1660" s="116">
        <v>337.40165187109102</v>
      </c>
      <c r="F1660" s="116">
        <v>338.05</v>
      </c>
      <c r="G1660">
        <v>7746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44462</v>
      </c>
      <c r="B1661" s="116">
        <v>345.09677726464201</v>
      </c>
      <c r="C1661" s="116">
        <v>342.33442455926399</v>
      </c>
      <c r="D1661" s="116">
        <v>330.93971964958303</v>
      </c>
      <c r="E1661" s="116">
        <v>340.21333230335</v>
      </c>
      <c r="F1661" s="116">
        <v>347</v>
      </c>
      <c r="G1661">
        <v>18245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44463</v>
      </c>
      <c r="B1662" s="116">
        <v>351.21341539797697</v>
      </c>
      <c r="C1662" s="116">
        <v>340.80526502593102</v>
      </c>
      <c r="D1662" s="116">
        <v>335.72450915711198</v>
      </c>
      <c r="E1662" s="116">
        <v>350.177533133461</v>
      </c>
      <c r="F1662" s="116">
        <v>345.45</v>
      </c>
      <c r="G1662">
        <v>12192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44466</v>
      </c>
      <c r="B1663" s="116">
        <v>350.22686086034298</v>
      </c>
      <c r="C1663" s="116">
        <v>343.715600911953</v>
      </c>
      <c r="D1663" s="116">
        <v>338.38820640872501</v>
      </c>
      <c r="E1663" s="116">
        <v>350.22686086034298</v>
      </c>
      <c r="F1663" s="116">
        <v>348.4</v>
      </c>
      <c r="G1663">
        <v>9434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44467</v>
      </c>
      <c r="B1664" s="116">
        <v>349.141650868944</v>
      </c>
      <c r="C1664" s="116">
        <v>344.110222727007</v>
      </c>
      <c r="D1664" s="116">
        <v>337.45097959797198</v>
      </c>
      <c r="E1664" s="116">
        <v>349.141650868944</v>
      </c>
      <c r="F1664" s="116">
        <v>348.8</v>
      </c>
      <c r="G1664">
        <v>6526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44468</v>
      </c>
      <c r="B1665" s="116">
        <v>345.29408817216898</v>
      </c>
      <c r="C1665" s="116">
        <v>339.96669366894099</v>
      </c>
      <c r="D1665" s="116">
        <v>335.57652597646597</v>
      </c>
      <c r="E1665" s="116">
        <v>344.110222727007</v>
      </c>
      <c r="F1665" s="116">
        <v>344.6</v>
      </c>
      <c r="G1665">
        <v>7145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44469</v>
      </c>
      <c r="B1666" s="116">
        <v>346.28064270980298</v>
      </c>
      <c r="C1666" s="116">
        <v>337.45097959797198</v>
      </c>
      <c r="D1666" s="116">
        <v>330.49577010764699</v>
      </c>
      <c r="E1666" s="116">
        <v>346.28064270980298</v>
      </c>
      <c r="F1666" s="116">
        <v>342.05</v>
      </c>
      <c r="G1666">
        <v>4365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44470</v>
      </c>
      <c r="B1667" s="116">
        <v>358.119297161421</v>
      </c>
      <c r="C1667" s="116">
        <v>354.715684006581</v>
      </c>
      <c r="D1667" s="116">
        <v>329.50921557001197</v>
      </c>
      <c r="E1667" s="116">
        <v>330.69308101517402</v>
      </c>
      <c r="F1667" s="116">
        <v>359.55</v>
      </c>
      <c r="G1667">
        <v>28443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44473</v>
      </c>
      <c r="B1668" s="116">
        <v>379.823496989386</v>
      </c>
      <c r="C1668" s="116">
        <v>371.43778341949002</v>
      </c>
      <c r="D1668" s="116">
        <v>355.35694445604298</v>
      </c>
      <c r="E1668" s="116">
        <v>355.35694445604298</v>
      </c>
      <c r="F1668" s="116">
        <v>376.5</v>
      </c>
      <c r="G1668">
        <v>36374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44474</v>
      </c>
      <c r="B1669" s="116">
        <v>384.75626967755898</v>
      </c>
      <c r="C1669" s="116">
        <v>378.19568200228798</v>
      </c>
      <c r="D1669" s="116">
        <v>372.91761522594197</v>
      </c>
      <c r="E1669" s="116">
        <v>377.80106018723399</v>
      </c>
      <c r="F1669" s="116">
        <v>383.35</v>
      </c>
      <c r="G1669">
        <v>26928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44475</v>
      </c>
      <c r="B1670" s="116">
        <v>384.75626967755898</v>
      </c>
      <c r="C1670" s="116">
        <v>371.487111146372</v>
      </c>
      <c r="D1670" s="116">
        <v>368.97139707540299</v>
      </c>
      <c r="E1670" s="116">
        <v>384.70694195067802</v>
      </c>
      <c r="F1670" s="116">
        <v>376.55</v>
      </c>
      <c r="G1670">
        <v>21303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44476</v>
      </c>
      <c r="B1671" s="116">
        <v>379.57685835497699</v>
      </c>
      <c r="C1671" s="116">
        <v>371.83240523454401</v>
      </c>
      <c r="D1671" s="116">
        <v>370.94450615067302</v>
      </c>
      <c r="E1671" s="116">
        <v>376.27190065389999</v>
      </c>
      <c r="F1671" s="116">
        <v>376.9</v>
      </c>
      <c r="G1671">
        <v>6960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44477</v>
      </c>
      <c r="B1672" s="116">
        <v>376.81450564959999</v>
      </c>
      <c r="C1672" s="116">
        <v>369.16870798293002</v>
      </c>
      <c r="D1672" s="116">
        <v>365.27181755927302</v>
      </c>
      <c r="E1672" s="116">
        <v>372.91761522594197</v>
      </c>
      <c r="F1672" s="116">
        <v>374.2</v>
      </c>
      <c r="G1672">
        <v>7092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44480</v>
      </c>
      <c r="B1673" s="116">
        <v>398.56803320444601</v>
      </c>
      <c r="C1673" s="116">
        <v>377.554421552826</v>
      </c>
      <c r="D1673" s="116">
        <v>366.06106118938101</v>
      </c>
      <c r="E1673" s="116">
        <v>370.05660706680101</v>
      </c>
      <c r="F1673" s="116">
        <v>382.7</v>
      </c>
      <c r="G1673">
        <v>42174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44481</v>
      </c>
      <c r="B1674" s="116">
        <v>371.93106068830701</v>
      </c>
      <c r="C1674" s="116">
        <v>351.21341539797697</v>
      </c>
      <c r="D1674" s="116">
        <v>346.379298163567</v>
      </c>
      <c r="E1674" s="116">
        <v>366.15971664314401</v>
      </c>
      <c r="F1674" s="116">
        <v>356</v>
      </c>
      <c r="G1674">
        <v>65225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44482</v>
      </c>
      <c r="B1675" s="116">
        <v>355.110305821635</v>
      </c>
      <c r="C1675" s="116">
        <v>351.312070851741</v>
      </c>
      <c r="D1675" s="116">
        <v>348.25375178507301</v>
      </c>
      <c r="E1675" s="116">
        <v>355.110305821635</v>
      </c>
      <c r="F1675" s="116">
        <v>356.1</v>
      </c>
      <c r="G1675">
        <v>21074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44483</v>
      </c>
      <c r="B1676" s="116">
        <v>372.22702704959801</v>
      </c>
      <c r="C1676" s="116">
        <v>361.27627168185199</v>
      </c>
      <c r="D1676" s="116">
        <v>349.38828950335301</v>
      </c>
      <c r="E1676" s="116">
        <v>349.38828950335301</v>
      </c>
      <c r="F1676" s="116">
        <v>366.2</v>
      </c>
      <c r="G1676">
        <v>40561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44487</v>
      </c>
      <c r="B1677" s="116">
        <v>366.25837209690798</v>
      </c>
      <c r="C1677" s="116">
        <v>355.60358309045199</v>
      </c>
      <c r="D1677" s="116">
        <v>353.581146288301</v>
      </c>
      <c r="E1677" s="116">
        <v>353.581146288301</v>
      </c>
      <c r="F1677" s="116">
        <v>360.45</v>
      </c>
      <c r="G1677">
        <v>60695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44488</v>
      </c>
      <c r="B1678" s="116">
        <v>362.55879258077698</v>
      </c>
      <c r="C1678" s="116">
        <v>348.94433996141697</v>
      </c>
      <c r="D1678" s="116">
        <v>346.47795361733</v>
      </c>
      <c r="E1678" s="116">
        <v>360.09240623669001</v>
      </c>
      <c r="F1678" s="116">
        <v>353.7</v>
      </c>
      <c r="G1678">
        <v>29620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44489</v>
      </c>
      <c r="B1679" s="116">
        <v>351.21341539797697</v>
      </c>
      <c r="C1679" s="116">
        <v>346.773919978621</v>
      </c>
      <c r="D1679" s="116">
        <v>344.30753363453402</v>
      </c>
      <c r="E1679" s="116">
        <v>348.25375178507301</v>
      </c>
      <c r="F1679" s="116">
        <v>351.5</v>
      </c>
      <c r="G1679">
        <v>23513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44490</v>
      </c>
      <c r="B1680" s="116">
        <v>351.46005403238598</v>
      </c>
      <c r="C1680" s="116">
        <v>347.21786952055697</v>
      </c>
      <c r="D1680" s="116">
        <v>345.44207135281403</v>
      </c>
      <c r="E1680" s="116">
        <v>345.44207135281403</v>
      </c>
      <c r="F1680" s="116">
        <v>351.95</v>
      </c>
      <c r="G1680">
        <v>11530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44491</v>
      </c>
      <c r="B1681" s="116">
        <v>351.36139857862298</v>
      </c>
      <c r="C1681" s="116">
        <v>347.513835881847</v>
      </c>
      <c r="D1681" s="116">
        <v>346.28064270980298</v>
      </c>
      <c r="E1681" s="116">
        <v>349.09232314206298</v>
      </c>
      <c r="F1681" s="116">
        <v>352.25</v>
      </c>
      <c r="G1681">
        <v>24683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44494</v>
      </c>
      <c r="B1682" s="116">
        <v>348.99366768829901</v>
      </c>
      <c r="C1682" s="116">
        <v>344.850138630233</v>
      </c>
      <c r="D1682" s="116">
        <v>340.41064321087703</v>
      </c>
      <c r="E1682" s="116">
        <v>347.26719724743799</v>
      </c>
      <c r="F1682" s="116">
        <v>349.55</v>
      </c>
      <c r="G1682">
        <v>15797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44495</v>
      </c>
      <c r="B1683" s="116">
        <v>353.186524473247</v>
      </c>
      <c r="C1683" s="116">
        <v>350.81879358292298</v>
      </c>
      <c r="D1683" s="116">
        <v>341.841147290447</v>
      </c>
      <c r="E1683" s="116">
        <v>343.56761773130802</v>
      </c>
      <c r="F1683" s="116">
        <v>355.6</v>
      </c>
      <c r="G1683">
        <v>27232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44496</v>
      </c>
      <c r="B1684" s="116">
        <v>352.74257493131103</v>
      </c>
      <c r="C1684" s="116">
        <v>346.773919978621</v>
      </c>
      <c r="D1684" s="116">
        <v>345.29408817216898</v>
      </c>
      <c r="E1684" s="116">
        <v>352.74257493131103</v>
      </c>
      <c r="F1684" s="116">
        <v>351.5</v>
      </c>
      <c r="G1684">
        <v>7891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44497</v>
      </c>
      <c r="B1685" s="116">
        <v>350.22686086034298</v>
      </c>
      <c r="C1685" s="116">
        <v>345.44207135281403</v>
      </c>
      <c r="D1685" s="116">
        <v>345.29408817216898</v>
      </c>
      <c r="E1685" s="116">
        <v>350.22686086034298</v>
      </c>
      <c r="F1685" s="116">
        <v>350.15</v>
      </c>
      <c r="G1685">
        <v>8685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44498</v>
      </c>
      <c r="B1686" s="116">
        <v>347.76047451625601</v>
      </c>
      <c r="C1686" s="116">
        <v>344.89946635711499</v>
      </c>
      <c r="D1686" s="116">
        <v>343.37030682378099</v>
      </c>
      <c r="E1686" s="116">
        <v>346.28064270980298</v>
      </c>
      <c r="F1686" s="116">
        <v>349.6</v>
      </c>
      <c r="G1686">
        <v>14386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44501</v>
      </c>
      <c r="B1687" s="116">
        <v>347.56316360872898</v>
      </c>
      <c r="C1687" s="116">
        <v>346.23131498292202</v>
      </c>
      <c r="D1687" s="116">
        <v>343.86358409259799</v>
      </c>
      <c r="E1687" s="116">
        <v>345.29408817216898</v>
      </c>
      <c r="F1687" s="116">
        <v>350.95</v>
      </c>
      <c r="G1687">
        <v>6874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44502</v>
      </c>
      <c r="B1688" s="116">
        <v>347.16854179367499</v>
      </c>
      <c r="C1688" s="116">
        <v>342.581063193673</v>
      </c>
      <c r="D1688" s="116">
        <v>342.03845819797402</v>
      </c>
      <c r="E1688" s="116">
        <v>344.30753363453402</v>
      </c>
      <c r="F1688" s="116">
        <v>347.25</v>
      </c>
      <c r="G1688">
        <v>11312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44503</v>
      </c>
      <c r="B1689" s="116">
        <v>348.99366768829901</v>
      </c>
      <c r="C1689" s="116">
        <v>347.513835881847</v>
      </c>
      <c r="D1689" s="116">
        <v>336.513752787219</v>
      </c>
      <c r="E1689" s="116">
        <v>340.36131548399499</v>
      </c>
      <c r="F1689" s="116">
        <v>352.25</v>
      </c>
      <c r="G1689">
        <v>6088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44504</v>
      </c>
      <c r="B1690" s="116">
        <v>352.59459175066598</v>
      </c>
      <c r="C1690" s="116">
        <v>350.62148267539601</v>
      </c>
      <c r="D1690" s="116">
        <v>345.39274362593198</v>
      </c>
      <c r="E1690" s="116">
        <v>351.55870948615001</v>
      </c>
      <c r="F1690" s="116">
        <v>355.4</v>
      </c>
      <c r="G1690">
        <v>12073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44508</v>
      </c>
      <c r="B1691" s="116">
        <v>354.12375128399998</v>
      </c>
      <c r="C1691" s="116">
        <v>350.02954995281601</v>
      </c>
      <c r="D1691" s="116">
        <v>345.29408817216898</v>
      </c>
      <c r="E1691" s="116">
        <v>349.98022222593403</v>
      </c>
      <c r="F1691" s="116">
        <v>354.8</v>
      </c>
      <c r="G1691">
        <v>17605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44509</v>
      </c>
      <c r="B1692" s="116">
        <v>353.13719674636502</v>
      </c>
      <c r="C1692" s="116">
        <v>350.917449036687</v>
      </c>
      <c r="D1692" s="116">
        <v>346.32997043668502</v>
      </c>
      <c r="E1692" s="116">
        <v>347.26719724743799</v>
      </c>
      <c r="F1692" s="116">
        <v>355.7</v>
      </c>
      <c r="G1692">
        <v>12448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44510</v>
      </c>
      <c r="B1693" s="116">
        <v>350.22686086034298</v>
      </c>
      <c r="C1693" s="116">
        <v>348.84568450765403</v>
      </c>
      <c r="D1693" s="116">
        <v>347.26719724743799</v>
      </c>
      <c r="E1693" s="116">
        <v>350.12820540657901</v>
      </c>
      <c r="F1693" s="116">
        <v>353.6</v>
      </c>
      <c r="G1693">
        <v>10907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44511</v>
      </c>
      <c r="B1694" s="116">
        <v>350.22686086034298</v>
      </c>
      <c r="C1694" s="116">
        <v>347.31652497431998</v>
      </c>
      <c r="D1694" s="116">
        <v>346.773919978621</v>
      </c>
      <c r="E1694" s="116">
        <v>350.22686086034298</v>
      </c>
      <c r="F1694" s="116">
        <v>352.05</v>
      </c>
      <c r="G1694">
        <v>11853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44512</v>
      </c>
      <c r="B1695" s="116">
        <v>350.22686086034298</v>
      </c>
      <c r="C1695" s="116">
        <v>346.67526452485703</v>
      </c>
      <c r="D1695" s="116">
        <v>346.28064270980298</v>
      </c>
      <c r="E1695" s="116">
        <v>350.22686086034298</v>
      </c>
      <c r="F1695" s="116">
        <v>351.4</v>
      </c>
      <c r="G1695">
        <v>14497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44515</v>
      </c>
      <c r="B1696" s="116">
        <v>346.28064270980298</v>
      </c>
      <c r="C1696" s="116">
        <v>341.69316410980201</v>
      </c>
      <c r="D1696" s="116">
        <v>337.59896277861799</v>
      </c>
      <c r="E1696" s="116">
        <v>346.03400407539499</v>
      </c>
      <c r="F1696" s="116">
        <v>346.35</v>
      </c>
      <c r="G1696">
        <v>44362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44516</v>
      </c>
      <c r="B1697" s="116">
        <v>346.773919978621</v>
      </c>
      <c r="C1697" s="116">
        <v>343.96223954636201</v>
      </c>
      <c r="D1697" s="116">
        <v>339.86803821517799</v>
      </c>
      <c r="E1697" s="116">
        <v>340.36131548399499</v>
      </c>
      <c r="F1697" s="116">
        <v>348.65</v>
      </c>
      <c r="G1697">
        <v>19796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44517</v>
      </c>
      <c r="B1698" s="116">
        <v>346.28064270980298</v>
      </c>
      <c r="C1698" s="116">
        <v>343.12366818937198</v>
      </c>
      <c r="D1698" s="116">
        <v>340.65728184528501</v>
      </c>
      <c r="E1698" s="116">
        <v>341.841147290447</v>
      </c>
      <c r="F1698" s="116">
        <v>347.8</v>
      </c>
      <c r="G1698">
        <v>21940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44518</v>
      </c>
      <c r="B1699" s="116">
        <v>345.78736544098598</v>
      </c>
      <c r="C1699" s="116">
        <v>344.850138630233</v>
      </c>
      <c r="D1699" s="116">
        <v>341.446525475393</v>
      </c>
      <c r="E1699" s="116">
        <v>343.12366818937198</v>
      </c>
      <c r="F1699" s="116">
        <v>349.55</v>
      </c>
      <c r="G1699">
        <v>10402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44522</v>
      </c>
      <c r="B1700" s="116">
        <v>347.26719724743799</v>
      </c>
      <c r="C1700" s="116">
        <v>345.59005453345901</v>
      </c>
      <c r="D1700" s="116">
        <v>339.47341640012399</v>
      </c>
      <c r="E1700" s="116">
        <v>347.26719724743799</v>
      </c>
      <c r="F1700" s="116">
        <v>350.3</v>
      </c>
      <c r="G1700">
        <v>40329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44523</v>
      </c>
      <c r="B1701" s="116">
        <v>347.26719724743799</v>
      </c>
      <c r="C1701" s="116">
        <v>343.22232364313601</v>
      </c>
      <c r="D1701" s="116">
        <v>341.69316410980201</v>
      </c>
      <c r="E1701" s="116">
        <v>341.69316410980201</v>
      </c>
      <c r="F1701" s="116">
        <v>347.9</v>
      </c>
      <c r="G1701">
        <v>58170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44524</v>
      </c>
      <c r="B1702" s="116">
        <v>347.26719724743799</v>
      </c>
      <c r="C1702" s="116">
        <v>346.97123088614802</v>
      </c>
      <c r="D1702" s="116">
        <v>341.69316410980201</v>
      </c>
      <c r="E1702" s="116">
        <v>345.29408817216898</v>
      </c>
      <c r="F1702" s="116">
        <v>351.7</v>
      </c>
      <c r="G1702">
        <v>28855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44525</v>
      </c>
      <c r="B1703" s="116">
        <v>349.63492813776202</v>
      </c>
      <c r="C1703" s="116">
        <v>348.40173496571799</v>
      </c>
      <c r="D1703" s="116">
        <v>343.32097909689901</v>
      </c>
      <c r="E1703" s="116">
        <v>346.28064270980298</v>
      </c>
      <c r="F1703" s="116">
        <v>353.15</v>
      </c>
      <c r="G1703">
        <v>17877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44526</v>
      </c>
      <c r="B1704" s="116">
        <v>348.74702905389</v>
      </c>
      <c r="C1704" s="116">
        <v>343.02501273560898</v>
      </c>
      <c r="D1704" s="116">
        <v>342.581063193673</v>
      </c>
      <c r="E1704" s="116">
        <v>348.74702905389</v>
      </c>
      <c r="F1704" s="116">
        <v>347.7</v>
      </c>
      <c r="G1704">
        <v>38299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44529</v>
      </c>
      <c r="B1705" s="116">
        <v>344.30753363453402</v>
      </c>
      <c r="C1705" s="116">
        <v>342.43308001302802</v>
      </c>
      <c r="D1705" s="116">
        <v>291.03358860225597</v>
      </c>
      <c r="E1705" s="116">
        <v>342.581063193673</v>
      </c>
      <c r="F1705" s="116">
        <v>347.1</v>
      </c>
      <c r="G1705">
        <v>31301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44530</v>
      </c>
      <c r="B1706" s="116">
        <v>346.773919978621</v>
      </c>
      <c r="C1706" s="116">
        <v>338.33887868184399</v>
      </c>
      <c r="D1706" s="116">
        <v>321.61677926893401</v>
      </c>
      <c r="E1706" s="116">
        <v>346.773919978621</v>
      </c>
      <c r="F1706" s="116">
        <v>342.95</v>
      </c>
      <c r="G1706">
        <v>59371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44531</v>
      </c>
      <c r="B1707" s="116">
        <v>343.81425636571697</v>
      </c>
      <c r="C1707" s="116">
        <v>342.23576910550099</v>
      </c>
      <c r="D1707" s="116">
        <v>338.93081140442501</v>
      </c>
      <c r="E1707" s="116">
        <v>343.81425636571697</v>
      </c>
      <c r="F1707" s="116">
        <v>346.9</v>
      </c>
      <c r="G1707">
        <v>9454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44532</v>
      </c>
      <c r="B1708" s="116">
        <v>349.24030632270802</v>
      </c>
      <c r="C1708" s="116">
        <v>347.36585270120202</v>
      </c>
      <c r="D1708" s="116">
        <v>342.67971864743703</v>
      </c>
      <c r="E1708" s="116">
        <v>344.30753363453402</v>
      </c>
      <c r="F1708" s="116">
        <v>352.1</v>
      </c>
      <c r="G1708">
        <v>44416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44533</v>
      </c>
      <c r="B1709" s="116">
        <v>359.89509532916298</v>
      </c>
      <c r="C1709" s="116">
        <v>351.80534812055799</v>
      </c>
      <c r="D1709" s="116">
        <v>343.715600911953</v>
      </c>
      <c r="E1709" s="116">
        <v>348.15509633131001</v>
      </c>
      <c r="F1709" s="116">
        <v>356.6</v>
      </c>
      <c r="G1709">
        <v>60733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44536</v>
      </c>
      <c r="B1710" s="116">
        <v>358.06996943453902</v>
      </c>
      <c r="C1710" s="116">
        <v>352.49593629690298</v>
      </c>
      <c r="D1710" s="116">
        <v>341.54518092915703</v>
      </c>
      <c r="E1710" s="116">
        <v>351.80534812055799</v>
      </c>
      <c r="F1710" s="116">
        <v>357.3</v>
      </c>
      <c r="G1710">
        <v>17036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44537</v>
      </c>
      <c r="B1711" s="116">
        <v>355.15963354851601</v>
      </c>
      <c r="C1711" s="116">
        <v>350.67081040227799</v>
      </c>
      <c r="D1711" s="116">
        <v>347.26719724743799</v>
      </c>
      <c r="E1711" s="116">
        <v>355.15963354851601</v>
      </c>
      <c r="F1711" s="116">
        <v>355.45</v>
      </c>
      <c r="G1711">
        <v>8293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44538</v>
      </c>
      <c r="B1712" s="116">
        <v>355.15963354851601</v>
      </c>
      <c r="C1712" s="116">
        <v>349.141650868944</v>
      </c>
      <c r="D1712" s="116">
        <v>346.32997043668502</v>
      </c>
      <c r="E1712" s="116">
        <v>352.19996993561199</v>
      </c>
      <c r="F1712" s="116">
        <v>353.9</v>
      </c>
      <c r="G1712">
        <v>9176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44539</v>
      </c>
      <c r="B1713" s="116">
        <v>353.186524473247</v>
      </c>
      <c r="C1713" s="116">
        <v>352.69324720443001</v>
      </c>
      <c r="D1713" s="116">
        <v>343.46896227754399</v>
      </c>
      <c r="E1713" s="116">
        <v>345.29408817216898</v>
      </c>
      <c r="F1713" s="116">
        <v>357.5</v>
      </c>
      <c r="G1713">
        <v>11473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44540</v>
      </c>
      <c r="B1714" s="116">
        <v>359.99375078292701</v>
      </c>
      <c r="C1714" s="116">
        <v>355.50492763668899</v>
      </c>
      <c r="D1714" s="116">
        <v>354.17307901088202</v>
      </c>
      <c r="E1714" s="116">
        <v>354.66635627969902</v>
      </c>
      <c r="F1714" s="116">
        <v>360.35</v>
      </c>
      <c r="G1714">
        <v>65656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44543</v>
      </c>
      <c r="B1715" s="116">
        <v>355.15963354851601</v>
      </c>
      <c r="C1715" s="116">
        <v>351.410726305504</v>
      </c>
      <c r="D1715" s="116">
        <v>350.32551631410598</v>
      </c>
      <c r="E1715" s="116">
        <v>355.15963354851601</v>
      </c>
      <c r="F1715" s="116">
        <v>356.2</v>
      </c>
      <c r="G1715">
        <v>2650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44544</v>
      </c>
      <c r="B1716" s="116">
        <v>359.99375078292701</v>
      </c>
      <c r="C1716" s="116">
        <v>357.28072580443097</v>
      </c>
      <c r="D1716" s="116">
        <v>348.25375178507301</v>
      </c>
      <c r="E1716" s="116">
        <v>348.25375178507301</v>
      </c>
      <c r="F1716" s="116">
        <v>362.15</v>
      </c>
      <c r="G1716">
        <v>16015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44545</v>
      </c>
      <c r="B1717" s="116">
        <v>397.58147866681099</v>
      </c>
      <c r="C1717" s="116">
        <v>384.80559740444102</v>
      </c>
      <c r="D1717" s="116">
        <v>360.09240623669001</v>
      </c>
      <c r="E1717" s="116">
        <v>360.09240623669001</v>
      </c>
      <c r="F1717" s="116">
        <v>390.05</v>
      </c>
      <c r="G1717">
        <v>74122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44546</v>
      </c>
      <c r="B1718" s="116">
        <v>404.48736043025502</v>
      </c>
      <c r="C1718" s="116">
        <v>388.70248782809898</v>
      </c>
      <c r="D1718" s="116">
        <v>380.85937925390198</v>
      </c>
      <c r="E1718" s="116">
        <v>404.48736043025502</v>
      </c>
      <c r="F1718" s="116">
        <v>394</v>
      </c>
      <c r="G1718">
        <v>32537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44547</v>
      </c>
      <c r="B1719" s="116">
        <v>408.43357858079401</v>
      </c>
      <c r="C1719" s="116">
        <v>405.128620879717</v>
      </c>
      <c r="D1719" s="116">
        <v>383.76971513992498</v>
      </c>
      <c r="E1719" s="116">
        <v>388.70248782809898</v>
      </c>
      <c r="F1719" s="116">
        <v>410.65</v>
      </c>
      <c r="G1719">
        <v>69020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44550</v>
      </c>
      <c r="B1720" s="116">
        <v>403.20483953132998</v>
      </c>
      <c r="C1720" s="116">
        <v>385.89080739583898</v>
      </c>
      <c r="D1720" s="116">
        <v>384.90425285820498</v>
      </c>
      <c r="E1720" s="116">
        <v>402.51425135498499</v>
      </c>
      <c r="F1720" s="116">
        <v>391.15</v>
      </c>
      <c r="G1720">
        <v>31876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44551</v>
      </c>
      <c r="B1721" s="116">
        <v>393.63526051627201</v>
      </c>
      <c r="C1721" s="116">
        <v>387.56795010981898</v>
      </c>
      <c r="D1721" s="116">
        <v>384.953580585086</v>
      </c>
      <c r="E1721" s="116">
        <v>393.63526051627201</v>
      </c>
      <c r="F1721" s="116">
        <v>392.85</v>
      </c>
      <c r="G1721">
        <v>13508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44552</v>
      </c>
      <c r="B1722" s="116">
        <v>409.42013311842902</v>
      </c>
      <c r="C1722" s="116">
        <v>401.23173045606001</v>
      </c>
      <c r="D1722" s="116">
        <v>380.21811880443897</v>
      </c>
      <c r="E1722" s="116">
        <v>394.02988233132601</v>
      </c>
      <c r="F1722" s="116">
        <v>406.7</v>
      </c>
      <c r="G1722">
        <v>22745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44553</v>
      </c>
      <c r="B1723" s="116">
        <v>472.36231261952702</v>
      </c>
      <c r="C1723" s="116">
        <v>465.80172494425602</v>
      </c>
      <c r="D1723" s="116">
        <v>411.39324219369797</v>
      </c>
      <c r="E1723" s="116">
        <v>413.26769581520398</v>
      </c>
      <c r="F1723" s="116">
        <v>472.15</v>
      </c>
      <c r="G1723">
        <v>110689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44554</v>
      </c>
      <c r="B1724" s="116">
        <v>490.31760520448</v>
      </c>
      <c r="C1724" s="116">
        <v>486.96331977652102</v>
      </c>
      <c r="D1724" s="116">
        <v>455.34424684532701</v>
      </c>
      <c r="E1724" s="116">
        <v>473.546178064689</v>
      </c>
      <c r="F1724" s="116">
        <v>493.6</v>
      </c>
      <c r="G1724">
        <v>42310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44557</v>
      </c>
      <c r="B1725" s="116">
        <v>512.95903184319798</v>
      </c>
      <c r="C1725" s="116">
        <v>483.55970662168102</v>
      </c>
      <c r="D1725" s="116">
        <v>473.644833518452</v>
      </c>
      <c r="E1725" s="116">
        <v>493.27726881738403</v>
      </c>
      <c r="F1725" s="116">
        <v>490.15</v>
      </c>
      <c r="G1725">
        <v>32669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44558</v>
      </c>
      <c r="B1726" s="116">
        <v>490.31760520448</v>
      </c>
      <c r="C1726" s="116">
        <v>473.89147215286101</v>
      </c>
      <c r="D1726" s="116">
        <v>465.65374176361001</v>
      </c>
      <c r="E1726" s="116">
        <v>468.613405376515</v>
      </c>
      <c r="F1726" s="116">
        <v>480.35</v>
      </c>
      <c r="G1726">
        <v>25352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44559</v>
      </c>
      <c r="B1727" s="116">
        <v>478.47895075286198</v>
      </c>
      <c r="C1727" s="116">
        <v>474.68071578296798</v>
      </c>
      <c r="D1727" s="116">
        <v>460.72096907543698</v>
      </c>
      <c r="E1727" s="116">
        <v>478.47895075286198</v>
      </c>
      <c r="F1727" s="116">
        <v>481.15</v>
      </c>
      <c r="G1727">
        <v>13453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44560</v>
      </c>
      <c r="B1728" s="116">
        <v>502.10693192921502</v>
      </c>
      <c r="C1728" s="116">
        <v>488.93642885179099</v>
      </c>
      <c r="D1728" s="116">
        <v>464.91382586038401</v>
      </c>
      <c r="E1728" s="116">
        <v>464.91382586038401</v>
      </c>
      <c r="F1728" s="116">
        <v>495.6</v>
      </c>
      <c r="G1728">
        <v>18908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44561</v>
      </c>
      <c r="B1729" s="116">
        <v>509.01281369265803</v>
      </c>
      <c r="C1729" s="116">
        <v>500.52844466900001</v>
      </c>
      <c r="D1729" s="116">
        <v>480.55071528189501</v>
      </c>
      <c r="E1729" s="116">
        <v>488.34449612920997</v>
      </c>
      <c r="F1729" s="116">
        <v>507.35</v>
      </c>
      <c r="G1729">
        <v>14626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44564</v>
      </c>
      <c r="B1730" s="116">
        <v>517.94113225825299</v>
      </c>
      <c r="C1730" s="116">
        <v>514.389535922768</v>
      </c>
      <c r="D1730" s="116">
        <v>502.25491510986001</v>
      </c>
      <c r="E1730" s="116">
        <v>512.46575457437996</v>
      </c>
      <c r="F1730" s="116">
        <v>521.4</v>
      </c>
      <c r="G1730">
        <v>14351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44565</v>
      </c>
      <c r="B1731" s="116">
        <v>525.83356855933096</v>
      </c>
      <c r="C1731" s="116">
        <v>505.70785599158199</v>
      </c>
      <c r="D1731" s="116">
        <v>500.18315058082698</v>
      </c>
      <c r="E1731" s="116">
        <v>513.99491410771395</v>
      </c>
      <c r="F1731" s="116">
        <v>512.6</v>
      </c>
      <c r="G1731">
        <v>10243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44566</v>
      </c>
      <c r="B1732" s="116">
        <v>511.13390594857299</v>
      </c>
      <c r="C1732" s="116">
        <v>501.514999206634</v>
      </c>
      <c r="D1732" s="116">
        <v>491.304159742114</v>
      </c>
      <c r="E1732" s="116">
        <v>511.03525049480999</v>
      </c>
      <c r="F1732" s="116">
        <v>508.35</v>
      </c>
      <c r="G1732">
        <v>6930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44567</v>
      </c>
      <c r="B1733" s="116">
        <v>531.75289578514003</v>
      </c>
      <c r="C1733" s="116">
        <v>522.52861085825498</v>
      </c>
      <c r="D1733" s="116">
        <v>499.29525149695598</v>
      </c>
      <c r="E1733" s="116">
        <v>508.075586881905</v>
      </c>
      <c r="F1733" s="116">
        <v>529.65</v>
      </c>
      <c r="G1733">
        <v>18635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44568</v>
      </c>
      <c r="B1734" s="116">
        <v>537.67222301094796</v>
      </c>
      <c r="C1734" s="116">
        <v>519.32230861094195</v>
      </c>
      <c r="D1734" s="116">
        <v>503.14281419373202</v>
      </c>
      <c r="E1734" s="116">
        <v>525.83356855933096</v>
      </c>
      <c r="F1734" s="116">
        <v>526.4</v>
      </c>
      <c r="G1734">
        <v>12541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44571</v>
      </c>
      <c r="B1735" s="116">
        <v>533.23272759159204</v>
      </c>
      <c r="C1735" s="116">
        <v>520.456846329222</v>
      </c>
      <c r="D1735" s="116">
        <v>509.16079687330398</v>
      </c>
      <c r="E1735" s="116">
        <v>509.16079687330398</v>
      </c>
      <c r="F1735" s="116">
        <v>527.54999999999995</v>
      </c>
      <c r="G1735">
        <v>19616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44572</v>
      </c>
      <c r="B1736" s="116">
        <v>522.77524949266297</v>
      </c>
      <c r="C1736" s="116">
        <v>506.053150079754</v>
      </c>
      <c r="D1736" s="116">
        <v>500.380461488354</v>
      </c>
      <c r="E1736" s="116">
        <v>516.51062817868296</v>
      </c>
      <c r="F1736" s="116">
        <v>512.95000000000005</v>
      </c>
      <c r="G1736">
        <v>7324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44573</v>
      </c>
      <c r="B1737" s="116">
        <v>529.68113125610705</v>
      </c>
      <c r="C1737" s="116">
        <v>498.111386051794</v>
      </c>
      <c r="D1737" s="116">
        <v>493.32659654426601</v>
      </c>
      <c r="E1737" s="116">
        <v>529.68113125610705</v>
      </c>
      <c r="F1737" s="116">
        <v>504.9</v>
      </c>
      <c r="G1737">
        <v>6523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44574</v>
      </c>
      <c r="B1738" s="116">
        <v>527.80667763460099</v>
      </c>
      <c r="C1738" s="116">
        <v>488.88710112490901</v>
      </c>
      <c r="D1738" s="116">
        <v>485.878109785123</v>
      </c>
      <c r="E1738" s="116">
        <v>501.21903284534397</v>
      </c>
      <c r="F1738" s="116">
        <v>495.55</v>
      </c>
      <c r="G1738">
        <v>21245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44575</v>
      </c>
      <c r="B1739" s="116">
        <v>516.85592226685503</v>
      </c>
      <c r="C1739" s="116">
        <v>502.05760420233298</v>
      </c>
      <c r="D1739" s="116">
        <v>497.07550378727802</v>
      </c>
      <c r="E1739" s="116">
        <v>497.07550378727802</v>
      </c>
      <c r="F1739" s="116">
        <v>508.9</v>
      </c>
      <c r="G1739">
        <v>25048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44578</v>
      </c>
      <c r="B1740" s="116">
        <v>520.60482950986705</v>
      </c>
      <c r="C1740" s="116">
        <v>506.54642734857202</v>
      </c>
      <c r="D1740" s="116">
        <v>496.23693243028799</v>
      </c>
      <c r="E1740" s="116">
        <v>520.60482950986705</v>
      </c>
      <c r="F1740" s="116">
        <v>513.45000000000005</v>
      </c>
      <c r="G1740">
        <v>6685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44579</v>
      </c>
      <c r="B1741" s="116">
        <v>515.96802318298398</v>
      </c>
      <c r="C1741" s="116">
        <v>504.47466281953899</v>
      </c>
      <c r="D1741" s="116">
        <v>500.18315058082698</v>
      </c>
      <c r="E1741" s="116">
        <v>515.96802318298398</v>
      </c>
      <c r="F1741" s="116">
        <v>511.35</v>
      </c>
      <c r="G1741">
        <v>4404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44580</v>
      </c>
      <c r="B1742" s="116">
        <v>512.41642684749797</v>
      </c>
      <c r="C1742" s="116">
        <v>503.19214192061298</v>
      </c>
      <c r="D1742" s="116">
        <v>499.19659604319298</v>
      </c>
      <c r="E1742" s="116">
        <v>512.41642684749797</v>
      </c>
      <c r="F1742" s="116">
        <v>510.05</v>
      </c>
      <c r="G1742">
        <v>4657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44581</v>
      </c>
      <c r="B1743" s="116">
        <v>508.02625915502398</v>
      </c>
      <c r="C1743" s="116">
        <v>499.640545585128</v>
      </c>
      <c r="D1743" s="116">
        <v>493.27726881738403</v>
      </c>
      <c r="E1743" s="116">
        <v>508.02625915502398</v>
      </c>
      <c r="F1743" s="116">
        <v>506.45</v>
      </c>
      <c r="G1743">
        <v>2701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44582</v>
      </c>
      <c r="B1744" s="116">
        <v>509.01281369265803</v>
      </c>
      <c r="C1744" s="116">
        <v>469.35332127974101</v>
      </c>
      <c r="D1744" s="116">
        <v>463.68063268834101</v>
      </c>
      <c r="E1744" s="116">
        <v>495.25037789265298</v>
      </c>
      <c r="F1744" s="116">
        <v>475.75</v>
      </c>
      <c r="G1744">
        <v>13044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44585</v>
      </c>
      <c r="B1745" s="116">
        <v>472.55962352705399</v>
      </c>
      <c r="C1745" s="116">
        <v>423.77450164101498</v>
      </c>
      <c r="D1745" s="116">
        <v>408.828200395848</v>
      </c>
      <c r="E1745" s="116">
        <v>461.75685133995302</v>
      </c>
      <c r="F1745" s="116">
        <v>429.55</v>
      </c>
      <c r="G1745">
        <v>18159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44586</v>
      </c>
      <c r="B1746" s="116">
        <v>441.97643286037601</v>
      </c>
      <c r="C1746" s="116">
        <v>437.58626516790099</v>
      </c>
      <c r="D1746" s="116">
        <v>404.48736043025502</v>
      </c>
      <c r="E1746" s="116">
        <v>419.18702304101299</v>
      </c>
      <c r="F1746" s="116">
        <v>443.55</v>
      </c>
      <c r="G1746">
        <v>6226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44588</v>
      </c>
      <c r="B1747" s="116">
        <v>437.38895426037402</v>
      </c>
      <c r="C1747" s="116">
        <v>430.18710613564099</v>
      </c>
      <c r="D1747" s="116">
        <v>414.35290580660302</v>
      </c>
      <c r="E1747" s="116">
        <v>429.15122387112399</v>
      </c>
      <c r="F1747" s="116">
        <v>436.05</v>
      </c>
      <c r="G1747">
        <v>5229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44589</v>
      </c>
      <c r="B1748" s="116">
        <v>434.08399655929799</v>
      </c>
      <c r="C1748" s="116">
        <v>425.79693844316603</v>
      </c>
      <c r="D1748" s="116">
        <v>417.31256941950699</v>
      </c>
      <c r="E1748" s="116">
        <v>430.18710613564099</v>
      </c>
      <c r="F1748" s="116">
        <v>431.6</v>
      </c>
      <c r="G1748">
        <v>7702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44592</v>
      </c>
      <c r="B1749" s="116">
        <v>428.16466933348897</v>
      </c>
      <c r="C1749" s="116">
        <v>424.90903935929401</v>
      </c>
      <c r="D1749" s="116">
        <v>409.42013311842902</v>
      </c>
      <c r="E1749" s="116">
        <v>427.17811479585401</v>
      </c>
      <c r="F1749" s="116">
        <v>430.7</v>
      </c>
      <c r="G1749">
        <v>7846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44593</v>
      </c>
      <c r="B1750" s="116">
        <v>429.15122387112399</v>
      </c>
      <c r="C1750" s="116">
        <v>424.81038390553101</v>
      </c>
      <c r="D1750" s="116">
        <v>410.456015382945</v>
      </c>
      <c r="E1750" s="116">
        <v>414.500888987248</v>
      </c>
      <c r="F1750" s="116">
        <v>430.6</v>
      </c>
      <c r="G1750">
        <v>2673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44594</v>
      </c>
      <c r="B1751" s="116">
        <v>445.08407965392502</v>
      </c>
      <c r="C1751" s="116">
        <v>443.604247847473</v>
      </c>
      <c r="D1751" s="116">
        <v>419.28567849477599</v>
      </c>
      <c r="E1751" s="116">
        <v>426.19156025822002</v>
      </c>
      <c r="F1751" s="116">
        <v>449.65</v>
      </c>
      <c r="G1751">
        <v>6252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44595</v>
      </c>
      <c r="B1752" s="116">
        <v>462.69407815070599</v>
      </c>
      <c r="C1752" s="116">
        <v>446.90920554855001</v>
      </c>
      <c r="D1752" s="116">
        <v>442.96298739801102</v>
      </c>
      <c r="E1752" s="116">
        <v>462.69407815070599</v>
      </c>
      <c r="F1752" s="116">
        <v>453</v>
      </c>
      <c r="G1752">
        <v>4680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44596</v>
      </c>
      <c r="B1753" s="116">
        <v>468.12012810769698</v>
      </c>
      <c r="C1753" s="116">
        <v>462.64475042382401</v>
      </c>
      <c r="D1753" s="116">
        <v>450.85542369908899</v>
      </c>
      <c r="E1753" s="116">
        <v>450.85542369908899</v>
      </c>
      <c r="F1753" s="116">
        <v>468.95</v>
      </c>
      <c r="G1753">
        <v>6728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44599</v>
      </c>
      <c r="B1754" s="116">
        <v>478.577606206626</v>
      </c>
      <c r="C1754" s="116">
        <v>472.06634625823602</v>
      </c>
      <c r="D1754" s="116">
        <v>463.18735541952401</v>
      </c>
      <c r="E1754" s="116">
        <v>464.66718722597602</v>
      </c>
      <c r="F1754" s="116">
        <v>478.5</v>
      </c>
      <c r="G1754">
        <v>6457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44600</v>
      </c>
      <c r="B1755" s="116">
        <v>473.546178064689</v>
      </c>
      <c r="C1755" s="116">
        <v>457.56399455500502</v>
      </c>
      <c r="D1755" s="116">
        <v>449.86886916145397</v>
      </c>
      <c r="E1755" s="116">
        <v>473.49685033780702</v>
      </c>
      <c r="F1755" s="116">
        <v>463.8</v>
      </c>
      <c r="G1755">
        <v>6676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44601</v>
      </c>
      <c r="B1756" s="116">
        <v>482.42516890340102</v>
      </c>
      <c r="C1756" s="116">
        <v>478.52827847974402</v>
      </c>
      <c r="D1756" s="116">
        <v>453.81508731199301</v>
      </c>
      <c r="E1756" s="116">
        <v>453.81508731199301</v>
      </c>
      <c r="F1756" s="116">
        <v>485.05</v>
      </c>
      <c r="G1756">
        <v>9409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44602</v>
      </c>
      <c r="B1757" s="116">
        <v>486.37138705394102</v>
      </c>
      <c r="C1757" s="116">
        <v>473.69416124533399</v>
      </c>
      <c r="D1757" s="116">
        <v>473.546178064689</v>
      </c>
      <c r="E1757" s="116">
        <v>481.53726981953002</v>
      </c>
      <c r="F1757" s="116">
        <v>480.15</v>
      </c>
      <c r="G1757">
        <v>4669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44603</v>
      </c>
      <c r="B1758" s="116">
        <v>482.91844617221898</v>
      </c>
      <c r="C1758" s="116">
        <v>464.22323768403999</v>
      </c>
      <c r="D1758" s="116">
        <v>460.72096907543698</v>
      </c>
      <c r="E1758" s="116">
        <v>478.42962302598102</v>
      </c>
      <c r="F1758" s="116">
        <v>470.55</v>
      </c>
      <c r="G1758">
        <v>2292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44606</v>
      </c>
      <c r="B1759" s="116">
        <v>458.69853227328502</v>
      </c>
      <c r="C1759" s="116">
        <v>437.14231562596598</v>
      </c>
      <c r="D1759" s="116">
        <v>434.08399655929799</v>
      </c>
      <c r="E1759" s="116">
        <v>446.02130646467901</v>
      </c>
      <c r="F1759" s="116">
        <v>443.1</v>
      </c>
      <c r="G1759">
        <v>6294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44607</v>
      </c>
      <c r="B1760" s="116">
        <v>467.62685083887999</v>
      </c>
      <c r="C1760" s="116">
        <v>446.56391146037799</v>
      </c>
      <c r="D1760" s="116">
        <v>416.57265351628098</v>
      </c>
      <c r="E1760" s="116">
        <v>467.62685083887999</v>
      </c>
      <c r="F1760" s="116">
        <v>452.65</v>
      </c>
      <c r="G1760">
        <v>13752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44608</v>
      </c>
      <c r="B1761" s="116">
        <v>488.09785749480102</v>
      </c>
      <c r="C1761" s="116">
        <v>475.12466532490402</v>
      </c>
      <c r="D1761" s="116">
        <v>466.64029630124497</v>
      </c>
      <c r="E1761" s="116">
        <v>467.38021220447098</v>
      </c>
      <c r="F1761" s="116">
        <v>481.6</v>
      </c>
      <c r="G1761">
        <v>19183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44609</v>
      </c>
      <c r="B1762" s="116">
        <v>485.77945433136</v>
      </c>
      <c r="C1762" s="116">
        <v>464.86449813350299</v>
      </c>
      <c r="D1762" s="116">
        <v>458.74786000016701</v>
      </c>
      <c r="E1762" s="116">
        <v>485.77945433136</v>
      </c>
      <c r="F1762" s="116">
        <v>471.2</v>
      </c>
      <c r="G1762">
        <v>8028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44610</v>
      </c>
      <c r="B1763" s="116">
        <v>478.23231211845399</v>
      </c>
      <c r="C1763" s="116">
        <v>459.142481815221</v>
      </c>
      <c r="D1763" s="116">
        <v>449.671558253927</v>
      </c>
      <c r="E1763" s="116">
        <v>471.57306898941903</v>
      </c>
      <c r="F1763" s="116">
        <v>465.4</v>
      </c>
      <c r="G1763">
        <v>4253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44613</v>
      </c>
      <c r="B1764" s="116">
        <v>468.613405376515</v>
      </c>
      <c r="C1764" s="116">
        <v>435.95845018080399</v>
      </c>
      <c r="D1764" s="116">
        <v>435.070551096933</v>
      </c>
      <c r="E1764" s="116">
        <v>448.88231462381901</v>
      </c>
      <c r="F1764" s="116">
        <v>441.9</v>
      </c>
      <c r="G1764">
        <v>7919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44614</v>
      </c>
      <c r="B1765" s="116">
        <v>438.96744152059</v>
      </c>
      <c r="C1765" s="116">
        <v>435.21853427757799</v>
      </c>
      <c r="D1765" s="116">
        <v>414.84618307542002</v>
      </c>
      <c r="E1765" s="116">
        <v>414.84618307542002</v>
      </c>
      <c r="F1765" s="116">
        <v>441.15</v>
      </c>
      <c r="G1765">
        <v>9610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44615</v>
      </c>
      <c r="B1766" s="116">
        <v>478.47895075286198</v>
      </c>
      <c r="C1766" s="116">
        <v>461.95416224747999</v>
      </c>
      <c r="D1766" s="116">
        <v>443.55492012059199</v>
      </c>
      <c r="E1766" s="116">
        <v>443.55492012059199</v>
      </c>
      <c r="F1766" s="116">
        <v>468.25</v>
      </c>
      <c r="G1766">
        <v>7878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44616</v>
      </c>
      <c r="B1767" s="116">
        <v>477.98567348404498</v>
      </c>
      <c r="C1767" s="116">
        <v>434.67592928187901</v>
      </c>
      <c r="D1767" s="116">
        <v>429.29920705176897</v>
      </c>
      <c r="E1767" s="116">
        <v>429.29920705176897</v>
      </c>
      <c r="F1767" s="116">
        <v>440.6</v>
      </c>
      <c r="G1767">
        <v>12212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44617</v>
      </c>
      <c r="B1768" s="116">
        <v>473.84214442597897</v>
      </c>
      <c r="C1768" s="116">
        <v>454.505675488338</v>
      </c>
      <c r="D1768" s="116">
        <v>448.931642350701</v>
      </c>
      <c r="E1768" s="116">
        <v>461.46088497866299</v>
      </c>
      <c r="F1768" s="116">
        <v>460.7</v>
      </c>
      <c r="G1768">
        <v>2586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44620</v>
      </c>
      <c r="B1769" s="116">
        <v>458.55054909263998</v>
      </c>
      <c r="C1769" s="116">
        <v>449.17828098511001</v>
      </c>
      <c r="D1769" s="116">
        <v>430.23643386252201</v>
      </c>
      <c r="E1769" s="116">
        <v>444.93609647327997</v>
      </c>
      <c r="F1769" s="116">
        <v>455.3</v>
      </c>
      <c r="G1769">
        <v>6778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44622</v>
      </c>
      <c r="B1770" s="116">
        <v>466.09769130554599</v>
      </c>
      <c r="C1770" s="116">
        <v>462.25012860877001</v>
      </c>
      <c r="D1770" s="116">
        <v>444.98542420016202</v>
      </c>
      <c r="E1770" s="116">
        <v>456.28147365607998</v>
      </c>
      <c r="F1770" s="116">
        <v>468.55</v>
      </c>
      <c r="G1770">
        <v>6708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44623</v>
      </c>
      <c r="B1771" s="116">
        <v>466.14701903242798</v>
      </c>
      <c r="C1771" s="116">
        <v>464.27256541092203</v>
      </c>
      <c r="D1771" s="116">
        <v>457.76130546253199</v>
      </c>
      <c r="E1771" s="116">
        <v>457.76130546253199</v>
      </c>
      <c r="F1771" s="116">
        <v>470.6</v>
      </c>
      <c r="G1771">
        <v>5265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44624</v>
      </c>
      <c r="B1772" s="116">
        <v>470.09323718296702</v>
      </c>
      <c r="C1772" s="116">
        <v>459.88239771844701</v>
      </c>
      <c r="D1772" s="116">
        <v>448.98097007758298</v>
      </c>
      <c r="E1772" s="116">
        <v>467.62685083887999</v>
      </c>
      <c r="F1772" s="116">
        <v>466.15</v>
      </c>
      <c r="G1772">
        <v>8738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44627</v>
      </c>
      <c r="B1773" s="116">
        <v>463.63130496145902</v>
      </c>
      <c r="C1773" s="116">
        <v>456.08416274855301</v>
      </c>
      <c r="D1773" s="116">
        <v>427.47408115714501</v>
      </c>
      <c r="E1773" s="116">
        <v>463.63130496145902</v>
      </c>
      <c r="F1773" s="116">
        <v>462.3</v>
      </c>
      <c r="G1773">
        <v>5243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44628</v>
      </c>
      <c r="B1774" s="116">
        <v>471.57306898941903</v>
      </c>
      <c r="C1774" s="116">
        <v>463.08869996575999</v>
      </c>
      <c r="D1774" s="116">
        <v>453.81508731199301</v>
      </c>
      <c r="E1774" s="116">
        <v>453.81508731199301</v>
      </c>
      <c r="F1774" s="116">
        <v>469.4</v>
      </c>
      <c r="G1774">
        <v>4165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44629</v>
      </c>
      <c r="B1775" s="116">
        <v>478.47895075286198</v>
      </c>
      <c r="C1775" s="116">
        <v>468.21878356146101</v>
      </c>
      <c r="D1775" s="116">
        <v>461.70752361307098</v>
      </c>
      <c r="E1775" s="116">
        <v>468.613405376515</v>
      </c>
      <c r="F1775" s="116">
        <v>474.6</v>
      </c>
      <c r="G1775">
        <v>12323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44630</v>
      </c>
      <c r="B1776" s="116">
        <v>485.878109785123</v>
      </c>
      <c r="C1776" s="116">
        <v>457.90928864317698</v>
      </c>
      <c r="D1776" s="116">
        <v>453.81508731199301</v>
      </c>
      <c r="E1776" s="116">
        <v>485.878109785123</v>
      </c>
      <c r="F1776" s="116">
        <v>464.15</v>
      </c>
      <c r="G1776">
        <v>7912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44631</v>
      </c>
      <c r="B1777" s="116">
        <v>475.51928713995801</v>
      </c>
      <c r="C1777" s="116">
        <v>470.98113626683801</v>
      </c>
      <c r="D1777" s="116">
        <v>455.78819638726299</v>
      </c>
      <c r="E1777" s="116">
        <v>457.76130546253199</v>
      </c>
      <c r="F1777" s="116">
        <v>477.4</v>
      </c>
      <c r="G1777">
        <v>5660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44634</v>
      </c>
      <c r="B1778" s="116">
        <v>481.93189163458402</v>
      </c>
      <c r="C1778" s="116">
        <v>480.846681643186</v>
      </c>
      <c r="D1778" s="116">
        <v>474.53273260232299</v>
      </c>
      <c r="E1778" s="116">
        <v>476.407186223829</v>
      </c>
      <c r="F1778" s="116">
        <v>487.4</v>
      </c>
      <c r="G1778">
        <v>2990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44635</v>
      </c>
      <c r="B1779" s="116">
        <v>482.42516890340102</v>
      </c>
      <c r="C1779" s="116">
        <v>469.99458172920299</v>
      </c>
      <c r="D1779" s="116">
        <v>464.81517040662101</v>
      </c>
      <c r="E1779" s="116">
        <v>482.42516890340102</v>
      </c>
      <c r="F1779" s="116">
        <v>476.4</v>
      </c>
      <c r="G1779">
        <v>6641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44636</v>
      </c>
      <c r="B1780" s="116">
        <v>485.38483251630601</v>
      </c>
      <c r="C1780" s="116">
        <v>469.501304460386</v>
      </c>
      <c r="D1780" s="116">
        <v>463.87794359586798</v>
      </c>
      <c r="E1780" s="116">
        <v>481.14264800447597</v>
      </c>
      <c r="F1780" s="116">
        <v>475.9</v>
      </c>
      <c r="G1780">
        <v>10180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44637</v>
      </c>
      <c r="B1781" s="116">
        <v>486.86466432275802</v>
      </c>
      <c r="C1781" s="116">
        <v>483.16508480662799</v>
      </c>
      <c r="D1781" s="116">
        <v>474.53273260232299</v>
      </c>
      <c r="E1781" s="116">
        <v>480.00811028619597</v>
      </c>
      <c r="F1781" s="116">
        <v>489.75</v>
      </c>
      <c r="G1781">
        <v>9043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44641</v>
      </c>
      <c r="B1782" s="116">
        <v>511.03525049480999</v>
      </c>
      <c r="C1782" s="116">
        <v>496.82886515286901</v>
      </c>
      <c r="D1782" s="116">
        <v>471.62239671630101</v>
      </c>
      <c r="E1782" s="116">
        <v>471.62239671630101</v>
      </c>
      <c r="F1782" s="116">
        <v>503.6</v>
      </c>
      <c r="G1782">
        <v>20083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44642</v>
      </c>
      <c r="B1783" s="116">
        <v>508.075586881905</v>
      </c>
      <c r="C1783" s="116">
        <v>489.577689301254</v>
      </c>
      <c r="D1783" s="116">
        <v>486.42071478082198</v>
      </c>
      <c r="E1783" s="116">
        <v>508.075586881905</v>
      </c>
      <c r="F1783" s="116">
        <v>496.25</v>
      </c>
      <c r="G1783">
        <v>3299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44643</v>
      </c>
      <c r="B1784" s="116">
        <v>512.41642684749797</v>
      </c>
      <c r="C1784" s="116">
        <v>508.223570062551</v>
      </c>
      <c r="D1784" s="116">
        <v>489.38037839372703</v>
      </c>
      <c r="E1784" s="116">
        <v>505.90516689910902</v>
      </c>
      <c r="F1784" s="116">
        <v>515.15</v>
      </c>
      <c r="G1784">
        <v>11443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44644</v>
      </c>
      <c r="B1785" s="116">
        <v>519.91424133352302</v>
      </c>
      <c r="C1785" s="116">
        <v>513.79760320018704</v>
      </c>
      <c r="D1785" s="116">
        <v>508.223570062551</v>
      </c>
      <c r="E1785" s="116">
        <v>512.90970411631599</v>
      </c>
      <c r="F1785" s="116">
        <v>520.79999999999995</v>
      </c>
      <c r="G1785">
        <v>6263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44645</v>
      </c>
      <c r="B1786" s="116">
        <v>566.28230460235704</v>
      </c>
      <c r="C1786" s="116">
        <v>552.56919652923398</v>
      </c>
      <c r="D1786" s="116">
        <v>514.98146864534897</v>
      </c>
      <c r="E1786" s="116">
        <v>514.98146864534897</v>
      </c>
      <c r="F1786" s="116">
        <v>560.1</v>
      </c>
      <c r="G1786">
        <v>25315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44648</v>
      </c>
      <c r="B1787" s="116">
        <v>590.94616804322595</v>
      </c>
      <c r="C1787" s="116">
        <v>562.38541417869897</v>
      </c>
      <c r="D1787" s="116">
        <v>557.50196921740701</v>
      </c>
      <c r="E1787" s="116">
        <v>582.06717720451297</v>
      </c>
      <c r="F1787" s="116">
        <v>570.04999999999995</v>
      </c>
      <c r="G1787">
        <v>16141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44649</v>
      </c>
      <c r="B1788" s="116">
        <v>638.99137402603901</v>
      </c>
      <c r="C1788" s="116">
        <v>629.47112273786399</v>
      </c>
      <c r="D1788" s="116">
        <v>558.38986830127897</v>
      </c>
      <c r="E1788" s="116">
        <v>580.98196721311501</v>
      </c>
      <c r="F1788" s="116">
        <v>638.04999999999995</v>
      </c>
      <c r="G1788">
        <v>41771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44650</v>
      </c>
      <c r="B1789" s="116">
        <v>689.60162180670295</v>
      </c>
      <c r="C1789" s="116">
        <v>659.41305295507902</v>
      </c>
      <c r="D1789" s="116">
        <v>632.52944180453096</v>
      </c>
      <c r="E1789" s="116">
        <v>649.10355803679602</v>
      </c>
      <c r="F1789" s="116">
        <v>668.4</v>
      </c>
      <c r="G1789">
        <v>42150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44651</v>
      </c>
      <c r="B1790" s="116">
        <v>679.63742097659201</v>
      </c>
      <c r="C1790" s="116">
        <v>610.67725879592103</v>
      </c>
      <c r="D1790" s="116">
        <v>603.77137703247797</v>
      </c>
      <c r="E1790" s="116">
        <v>664.93775836583302</v>
      </c>
      <c r="F1790" s="116">
        <v>619</v>
      </c>
      <c r="G1790">
        <v>26197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44652</v>
      </c>
      <c r="B1791" s="116">
        <v>629.32313955721804</v>
      </c>
      <c r="C1791" s="116">
        <v>593.56053756795802</v>
      </c>
      <c r="D1791" s="116">
        <v>587.19726080021405</v>
      </c>
      <c r="E1791" s="116">
        <v>621.52935870990405</v>
      </c>
      <c r="F1791" s="116">
        <v>601.65</v>
      </c>
      <c r="G1791">
        <v>18176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44655</v>
      </c>
      <c r="B1792" s="116">
        <v>619.16162781957996</v>
      </c>
      <c r="C1792" s="116">
        <v>591.48877303892505</v>
      </c>
      <c r="D1792" s="116">
        <v>587.98650443032204</v>
      </c>
      <c r="E1792" s="116">
        <v>610.47994788839401</v>
      </c>
      <c r="F1792" s="116">
        <v>599.54999999999995</v>
      </c>
      <c r="G1792">
        <v>13997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44656</v>
      </c>
      <c r="B1793" s="116">
        <v>611.66381333355605</v>
      </c>
      <c r="C1793" s="116">
        <v>567.07154823246401</v>
      </c>
      <c r="D1793" s="116">
        <v>562.28675872493602</v>
      </c>
      <c r="E1793" s="116">
        <v>611.66381333355605</v>
      </c>
      <c r="F1793" s="116">
        <v>574.79999999999995</v>
      </c>
      <c r="G1793">
        <v>21876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44657</v>
      </c>
      <c r="B1794" s="116">
        <v>655.86145661959404</v>
      </c>
      <c r="C1794" s="116">
        <v>634.15725679162904</v>
      </c>
      <c r="D1794" s="116">
        <v>557.40331376364395</v>
      </c>
      <c r="E1794" s="116">
        <v>562.33608645181801</v>
      </c>
      <c r="F1794" s="116">
        <v>642.79999999999995</v>
      </c>
      <c r="G1794">
        <v>30007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44658</v>
      </c>
      <c r="B1795" s="116">
        <v>654.08565845185103</v>
      </c>
      <c r="C1795" s="116">
        <v>622.56524097442002</v>
      </c>
      <c r="D1795" s="116">
        <v>602.78482249484296</v>
      </c>
      <c r="E1795" s="116">
        <v>648.16633122604196</v>
      </c>
      <c r="F1795" s="116">
        <v>631.04999999999995</v>
      </c>
      <c r="G1795">
        <v>13722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44659</v>
      </c>
      <c r="B1796" s="116">
        <v>635.34112223679097</v>
      </c>
      <c r="C1796" s="116">
        <v>631.24692090560598</v>
      </c>
      <c r="D1796" s="116">
        <v>616.64591374861197</v>
      </c>
      <c r="E1796" s="116">
        <v>631.39490408625102</v>
      </c>
      <c r="F1796" s="116">
        <v>639.85</v>
      </c>
      <c r="G1796">
        <v>3149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44662</v>
      </c>
      <c r="B1797" s="116">
        <v>680.72263096798997</v>
      </c>
      <c r="C1797" s="116">
        <v>664.19784246260701</v>
      </c>
      <c r="D1797" s="116">
        <v>616.59658602172999</v>
      </c>
      <c r="E1797" s="116">
        <v>618.61902282388098</v>
      </c>
      <c r="F1797" s="116">
        <v>673.25</v>
      </c>
      <c r="G1797">
        <v>15773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44663</v>
      </c>
      <c r="B1798" s="116">
        <v>657.53859933357296</v>
      </c>
      <c r="C1798" s="116">
        <v>633.41734088840303</v>
      </c>
      <c r="D1798" s="116">
        <v>623.20650142388297</v>
      </c>
      <c r="E1798" s="116">
        <v>640.32322265184598</v>
      </c>
      <c r="F1798" s="116">
        <v>642.04999999999995</v>
      </c>
      <c r="G1798">
        <v>7356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44664</v>
      </c>
      <c r="B1799" s="116">
        <v>654.82557435507704</v>
      </c>
      <c r="C1799" s="116">
        <v>647.77170941098905</v>
      </c>
      <c r="D1799" s="116">
        <v>632.38145862388603</v>
      </c>
      <c r="E1799" s="116">
        <v>641.11246628195397</v>
      </c>
      <c r="F1799" s="116">
        <v>656.6</v>
      </c>
      <c r="G1799">
        <v>6021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44669</v>
      </c>
      <c r="B1800" s="116">
        <v>675.78985827981603</v>
      </c>
      <c r="C1800" s="116">
        <v>657.14397751851902</v>
      </c>
      <c r="D1800" s="116">
        <v>642.74028126905102</v>
      </c>
      <c r="E1800" s="116">
        <v>660.99154021529398</v>
      </c>
      <c r="F1800" s="116">
        <v>666.1</v>
      </c>
      <c r="G1800">
        <v>22243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44670</v>
      </c>
      <c r="B1801" s="116">
        <v>729.55708058091102</v>
      </c>
      <c r="C1801" s="116">
        <v>691.42674770132703</v>
      </c>
      <c r="D1801" s="116">
        <v>660.99154021529398</v>
      </c>
      <c r="E1801" s="116">
        <v>678.650866438957</v>
      </c>
      <c r="F1801" s="116">
        <v>700.85</v>
      </c>
      <c r="G1801">
        <v>57722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44671</v>
      </c>
      <c r="B1802" s="116">
        <v>725.61086243037198</v>
      </c>
      <c r="C1802" s="116">
        <v>718.50766975940098</v>
      </c>
      <c r="D1802" s="116">
        <v>697.49405810778103</v>
      </c>
      <c r="E1802" s="116">
        <v>715.05472887767996</v>
      </c>
      <c r="F1802" s="116">
        <v>728.3</v>
      </c>
      <c r="G1802">
        <v>15708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44672</v>
      </c>
      <c r="B1803" s="116">
        <v>738.23876051209697</v>
      </c>
      <c r="C1803" s="116">
        <v>706.27439349273004</v>
      </c>
      <c r="D1803" s="116">
        <v>700.45372172068505</v>
      </c>
      <c r="E1803" s="116">
        <v>729.063803312093</v>
      </c>
      <c r="F1803" s="116">
        <v>715.9</v>
      </c>
      <c r="G1803">
        <v>13551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44673</v>
      </c>
      <c r="B1804" s="116">
        <v>715.25203978520699</v>
      </c>
      <c r="C1804" s="116">
        <v>690.78548725186397</v>
      </c>
      <c r="D1804" s="116">
        <v>686.987252281971</v>
      </c>
      <c r="E1804" s="116">
        <v>715.25203978520699</v>
      </c>
      <c r="F1804" s="116">
        <v>700.2</v>
      </c>
      <c r="G1804">
        <v>14424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44676</v>
      </c>
      <c r="B1805" s="116">
        <v>708.05019166047305</v>
      </c>
      <c r="C1805" s="116">
        <v>683.189017312077</v>
      </c>
      <c r="D1805" s="116">
        <v>663.013977017446</v>
      </c>
      <c r="E1805" s="116">
        <v>663.26061565185398</v>
      </c>
      <c r="F1805" s="116">
        <v>692.5</v>
      </c>
      <c r="G1805">
        <v>9239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44677</v>
      </c>
      <c r="B1806" s="116">
        <v>700.45372172068505</v>
      </c>
      <c r="C1806" s="116">
        <v>677.07237917874102</v>
      </c>
      <c r="D1806" s="116">
        <v>663.60590974002696</v>
      </c>
      <c r="E1806" s="116">
        <v>700.45372172068505</v>
      </c>
      <c r="F1806" s="116">
        <v>686.3</v>
      </c>
      <c r="G1806">
        <v>6376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44678</v>
      </c>
      <c r="B1807" s="116">
        <v>680.72263096798997</v>
      </c>
      <c r="C1807" s="116">
        <v>667.20683380239302</v>
      </c>
      <c r="D1807" s="116">
        <v>651.12599483894701</v>
      </c>
      <c r="E1807" s="116">
        <v>677.51632872067705</v>
      </c>
      <c r="F1807" s="116">
        <v>676.3</v>
      </c>
      <c r="G1807">
        <v>5362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44679</v>
      </c>
      <c r="B1808" s="116">
        <v>680.72263096798997</v>
      </c>
      <c r="C1808" s="116">
        <v>664.247170189489</v>
      </c>
      <c r="D1808" s="116">
        <v>635.34112223679097</v>
      </c>
      <c r="E1808" s="116">
        <v>666.91086744110305</v>
      </c>
      <c r="F1808" s="116">
        <v>673.3</v>
      </c>
      <c r="G1808">
        <v>3607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44680</v>
      </c>
      <c r="B1809" s="116">
        <v>700.40439399380296</v>
      </c>
      <c r="C1809" s="116">
        <v>670.70910241099705</v>
      </c>
      <c r="D1809" s="116">
        <v>661.978094752929</v>
      </c>
      <c r="E1809" s="116">
        <v>670.85708559164198</v>
      </c>
      <c r="F1809" s="116">
        <v>679.85</v>
      </c>
      <c r="G1809">
        <v>9882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44683</v>
      </c>
      <c r="B1810" s="116">
        <v>688.51641181530397</v>
      </c>
      <c r="C1810" s="116">
        <v>678.79884961960204</v>
      </c>
      <c r="D1810" s="116">
        <v>660.99154021529398</v>
      </c>
      <c r="E1810" s="116">
        <v>688.51641181530397</v>
      </c>
      <c r="F1810" s="116">
        <v>688.05</v>
      </c>
      <c r="G1810">
        <v>5173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44685</v>
      </c>
      <c r="B1811" s="116">
        <v>689.55229407982097</v>
      </c>
      <c r="C1811" s="116">
        <v>655.26952389701296</v>
      </c>
      <c r="D1811" s="116">
        <v>646.19322215077295</v>
      </c>
      <c r="E1811" s="116">
        <v>689.55229407982097</v>
      </c>
      <c r="F1811" s="116">
        <v>664.2</v>
      </c>
      <c r="G1811">
        <v>5040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44686</v>
      </c>
      <c r="B1812" s="116">
        <v>683.68229458089399</v>
      </c>
      <c r="C1812" s="116">
        <v>629.76708909915396</v>
      </c>
      <c r="D1812" s="116">
        <v>626.56078685184104</v>
      </c>
      <c r="E1812" s="116">
        <v>678.74952189272005</v>
      </c>
      <c r="F1812" s="116">
        <v>638.35</v>
      </c>
      <c r="G1812">
        <v>5549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44687</v>
      </c>
      <c r="B1813" s="116">
        <v>619.55624963463401</v>
      </c>
      <c r="C1813" s="116">
        <v>618.32305646259101</v>
      </c>
      <c r="D1813" s="116">
        <v>579.15684131849002</v>
      </c>
      <c r="E1813" s="116">
        <v>616.59658602172999</v>
      </c>
      <c r="F1813" s="116">
        <v>626.75</v>
      </c>
      <c r="G1813">
        <v>9850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44690</v>
      </c>
      <c r="B1814" s="116">
        <v>611.91045196796495</v>
      </c>
      <c r="C1814" s="116">
        <v>591.09415122387099</v>
      </c>
      <c r="D1814" s="116">
        <v>573.18818636579999</v>
      </c>
      <c r="E1814" s="116">
        <v>611.91045196796495</v>
      </c>
      <c r="F1814" s="116">
        <v>599.15</v>
      </c>
      <c r="G1814">
        <v>14503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44691</v>
      </c>
      <c r="B1815" s="116">
        <v>604.65927611634902</v>
      </c>
      <c r="C1815" s="116">
        <v>575.50658952924198</v>
      </c>
      <c r="D1815" s="116">
        <v>560.60961601095698</v>
      </c>
      <c r="E1815" s="116">
        <v>603.77137703247797</v>
      </c>
      <c r="F1815" s="116">
        <v>583.35</v>
      </c>
      <c r="G1815">
        <v>2922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44692</v>
      </c>
      <c r="B1816" s="116">
        <v>577.13440451633903</v>
      </c>
      <c r="C1816" s="116">
        <v>561.10289327977398</v>
      </c>
      <c r="D1816" s="116">
        <v>517.94113225825299</v>
      </c>
      <c r="E1816" s="116">
        <v>575.16129544107002</v>
      </c>
      <c r="F1816" s="116">
        <v>568.75</v>
      </c>
      <c r="G1816">
        <v>14343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44693</v>
      </c>
      <c r="B1817" s="116">
        <v>556.36743149912695</v>
      </c>
      <c r="C1817" s="116">
        <v>504.178696458248</v>
      </c>
      <c r="D1817" s="116">
        <v>488.39382385609201</v>
      </c>
      <c r="E1817" s="116">
        <v>542.85163433353102</v>
      </c>
      <c r="F1817" s="116">
        <v>511.05</v>
      </c>
      <c r="G1817">
        <v>21094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44694</v>
      </c>
      <c r="B1818" s="116">
        <v>547.53776838729596</v>
      </c>
      <c r="C1818" s="116">
        <v>541.56911343460604</v>
      </c>
      <c r="D1818" s="116">
        <v>513.00835957007905</v>
      </c>
      <c r="E1818" s="116">
        <v>515.96802318298398</v>
      </c>
      <c r="F1818" s="116">
        <v>548.95000000000005</v>
      </c>
      <c r="G1818">
        <v>11529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44697</v>
      </c>
      <c r="B1819" s="116">
        <v>561.30020418730101</v>
      </c>
      <c r="C1819" s="116">
        <v>542.70365115288598</v>
      </c>
      <c r="D1819" s="116">
        <v>522.87390494642705</v>
      </c>
      <c r="E1819" s="116">
        <v>537.67222301094796</v>
      </c>
      <c r="F1819" s="116">
        <v>550.1</v>
      </c>
      <c r="G1819">
        <v>2769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44698</v>
      </c>
      <c r="B1820" s="116">
        <v>590.79818486258102</v>
      </c>
      <c r="C1820" s="116">
        <v>564.062556892678</v>
      </c>
      <c r="D1820" s="116">
        <v>542.60499569912201</v>
      </c>
      <c r="E1820" s="116">
        <v>562.33608645181801</v>
      </c>
      <c r="F1820" s="116">
        <v>571.75</v>
      </c>
      <c r="G1820">
        <v>8586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44699</v>
      </c>
      <c r="B1821" s="116">
        <v>577.08507678945796</v>
      </c>
      <c r="C1821" s="116">
        <v>556.81138104106299</v>
      </c>
      <c r="D1821" s="116">
        <v>546.94583566471499</v>
      </c>
      <c r="E1821" s="116">
        <v>557.40331376364395</v>
      </c>
      <c r="F1821" s="116">
        <v>564.4</v>
      </c>
      <c r="G1821">
        <v>1583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44700</v>
      </c>
      <c r="B1822" s="116">
        <v>564.21054007332395</v>
      </c>
      <c r="C1822" s="116">
        <v>550.54675972708196</v>
      </c>
      <c r="D1822" s="116">
        <v>523.07121585395396</v>
      </c>
      <c r="E1822" s="116">
        <v>538.65877754858298</v>
      </c>
      <c r="F1822" s="116">
        <v>558.04999999999995</v>
      </c>
      <c r="G1822">
        <v>1709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44701</v>
      </c>
      <c r="B1823" s="116">
        <v>577.62768178515705</v>
      </c>
      <c r="C1823" s="116">
        <v>561.30020418730101</v>
      </c>
      <c r="D1823" s="116">
        <v>548.52432292493097</v>
      </c>
      <c r="E1823" s="116">
        <v>548.52432292493097</v>
      </c>
      <c r="F1823" s="116">
        <v>568.95000000000005</v>
      </c>
      <c r="G1823">
        <v>3093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44704</v>
      </c>
      <c r="B1824" s="116">
        <v>562.33608645181801</v>
      </c>
      <c r="C1824" s="116">
        <v>533.084744410947</v>
      </c>
      <c r="D1824" s="116">
        <v>524.00844266470699</v>
      </c>
      <c r="E1824" s="116">
        <v>562.33608645181801</v>
      </c>
      <c r="F1824" s="116">
        <v>540.35</v>
      </c>
      <c r="G1824">
        <v>1622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44705</v>
      </c>
      <c r="B1825" s="116">
        <v>548.37633974428604</v>
      </c>
      <c r="C1825" s="116">
        <v>526.91877855072903</v>
      </c>
      <c r="D1825" s="116">
        <v>517.94113225825299</v>
      </c>
      <c r="E1825" s="116">
        <v>528.793232172236</v>
      </c>
      <c r="F1825" s="116">
        <v>534.1</v>
      </c>
      <c r="G1825">
        <v>4002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44706</v>
      </c>
      <c r="B1826" s="116">
        <v>537.47491210342196</v>
      </c>
      <c r="C1826" s="116">
        <v>496.38491561093298</v>
      </c>
      <c r="D1826" s="116">
        <v>486.42071478082198</v>
      </c>
      <c r="E1826" s="116">
        <v>537.47491210342196</v>
      </c>
      <c r="F1826" s="116">
        <v>503.15</v>
      </c>
      <c r="G1826">
        <v>10725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44707</v>
      </c>
      <c r="B1827" s="116">
        <v>503.14281419373202</v>
      </c>
      <c r="C1827" s="116">
        <v>495.15172243888998</v>
      </c>
      <c r="D1827" s="116">
        <v>478.47895075286198</v>
      </c>
      <c r="E1827" s="116">
        <v>498.16071377867598</v>
      </c>
      <c r="F1827" s="116">
        <v>501.9</v>
      </c>
      <c r="G1827">
        <v>4092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44708</v>
      </c>
      <c r="B1828" s="116">
        <v>522.82457721954495</v>
      </c>
      <c r="C1828" s="116">
        <v>512.16978821308999</v>
      </c>
      <c r="D1828" s="116">
        <v>500.18315058082698</v>
      </c>
      <c r="E1828" s="116">
        <v>519.91424133352302</v>
      </c>
      <c r="F1828" s="116">
        <v>519.15</v>
      </c>
      <c r="G1828">
        <v>876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44711</v>
      </c>
      <c r="B1829" s="116">
        <v>556.91003649482604</v>
      </c>
      <c r="C1829" s="116">
        <v>499.04861286254697</v>
      </c>
      <c r="D1829" s="116">
        <v>483.41172344103597</v>
      </c>
      <c r="E1829" s="116">
        <v>537.57356755718502</v>
      </c>
      <c r="F1829" s="116">
        <v>505.85</v>
      </c>
      <c r="G1829">
        <v>8913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44712</v>
      </c>
      <c r="B1830" s="116">
        <v>517.39852726255401</v>
      </c>
      <c r="C1830" s="116">
        <v>505.26390644964602</v>
      </c>
      <c r="D1830" s="116">
        <v>483.41172344103597</v>
      </c>
      <c r="E1830" s="116">
        <v>509.06214141954001</v>
      </c>
      <c r="F1830" s="116">
        <v>512.15</v>
      </c>
      <c r="G1830">
        <v>11605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44713</v>
      </c>
      <c r="B1831" s="116">
        <v>540.63188662385301</v>
      </c>
      <c r="C1831" s="116">
        <v>505.954494625991</v>
      </c>
      <c r="D1831" s="116">
        <v>495.349033346417</v>
      </c>
      <c r="E1831" s="116">
        <v>510.73928413351899</v>
      </c>
      <c r="F1831" s="116">
        <v>512.85</v>
      </c>
      <c r="G1831">
        <v>8897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44714</v>
      </c>
      <c r="B1832" s="116">
        <v>513.00835957007905</v>
      </c>
      <c r="C1832" s="116">
        <v>488.541807036737</v>
      </c>
      <c r="D1832" s="116">
        <v>481.43861436576702</v>
      </c>
      <c r="E1832" s="116">
        <v>513.00835957007905</v>
      </c>
      <c r="F1832" s="116">
        <v>495.2</v>
      </c>
      <c r="G1832">
        <v>8583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44715</v>
      </c>
      <c r="B1833" s="116">
        <v>520.70348496362999</v>
      </c>
      <c r="C1833" s="116">
        <v>494.41180653566403</v>
      </c>
      <c r="D1833" s="116">
        <v>484.743572066843</v>
      </c>
      <c r="E1833" s="116">
        <v>503.14281419373202</v>
      </c>
      <c r="F1833" s="116">
        <v>501.15</v>
      </c>
      <c r="G1833">
        <v>2406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44718</v>
      </c>
      <c r="B1834" s="116">
        <v>508.075586881905</v>
      </c>
      <c r="C1834" s="116">
        <v>495.25037789265298</v>
      </c>
      <c r="D1834" s="116">
        <v>479.76147165178799</v>
      </c>
      <c r="E1834" s="116">
        <v>493.42525199802901</v>
      </c>
      <c r="F1834" s="116">
        <v>502</v>
      </c>
      <c r="G1834">
        <v>1751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44719</v>
      </c>
      <c r="B1835" s="116">
        <v>498.21004150555802</v>
      </c>
      <c r="C1835" s="116">
        <v>491.304159742114</v>
      </c>
      <c r="D1835" s="116">
        <v>479.76147165178799</v>
      </c>
      <c r="E1835" s="116">
        <v>488.34449612920997</v>
      </c>
      <c r="F1835" s="116">
        <v>498</v>
      </c>
      <c r="G1835">
        <v>896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44720</v>
      </c>
      <c r="B1836" s="116">
        <v>517.94113225825299</v>
      </c>
      <c r="C1836" s="116">
        <v>511.03525049480999</v>
      </c>
      <c r="D1836" s="116">
        <v>483.70768980232702</v>
      </c>
      <c r="E1836" s="116">
        <v>483.70768980232702</v>
      </c>
      <c r="F1836" s="116">
        <v>518</v>
      </c>
      <c r="G1836">
        <v>9199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44721</v>
      </c>
      <c r="B1837" s="116">
        <v>508.02625915502398</v>
      </c>
      <c r="C1837" s="116">
        <v>501.07104966469899</v>
      </c>
      <c r="D1837" s="116">
        <v>498.40735241308499</v>
      </c>
      <c r="E1837" s="116">
        <v>503.14281419373202</v>
      </c>
      <c r="F1837" s="116">
        <v>507.9</v>
      </c>
      <c r="G1837">
        <v>1177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44722</v>
      </c>
      <c r="B1838" s="116">
        <v>510.985922767928</v>
      </c>
      <c r="C1838" s="116">
        <v>487.55525249910198</v>
      </c>
      <c r="D1838" s="116">
        <v>478.47895075286198</v>
      </c>
      <c r="E1838" s="116">
        <v>510.985922767928</v>
      </c>
      <c r="F1838" s="116">
        <v>494.2</v>
      </c>
      <c r="G1838">
        <v>4283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44725</v>
      </c>
      <c r="B1839" s="116">
        <v>501.12037739158001</v>
      </c>
      <c r="C1839" s="116">
        <v>462.74340587758797</v>
      </c>
      <c r="D1839" s="116">
        <v>458.84651545393098</v>
      </c>
      <c r="E1839" s="116">
        <v>477.59105166899099</v>
      </c>
      <c r="F1839" s="116">
        <v>469.05</v>
      </c>
      <c r="G1839">
        <v>9290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44726</v>
      </c>
      <c r="B1840" s="116">
        <v>481.43861436576702</v>
      </c>
      <c r="C1840" s="116">
        <v>452.58189413995001</v>
      </c>
      <c r="D1840" s="116">
        <v>446.90920554855001</v>
      </c>
      <c r="E1840" s="116">
        <v>458.89584318081199</v>
      </c>
      <c r="F1840" s="116">
        <v>458.75</v>
      </c>
      <c r="G1840">
        <v>6678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44727</v>
      </c>
      <c r="B1841" s="116">
        <v>457.76130546253199</v>
      </c>
      <c r="C1841" s="116">
        <v>441.18718923026802</v>
      </c>
      <c r="D1841" s="116">
        <v>436.205088815213</v>
      </c>
      <c r="E1841" s="116">
        <v>457.76130546253199</v>
      </c>
      <c r="F1841" s="116">
        <v>447.2</v>
      </c>
      <c r="G1841">
        <v>5474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44728</v>
      </c>
      <c r="B1842" s="116">
        <v>453.76575958511103</v>
      </c>
      <c r="C1842" s="116">
        <v>431.12433294639402</v>
      </c>
      <c r="D1842" s="116">
        <v>420.42021621305599</v>
      </c>
      <c r="E1842" s="116">
        <v>439.26340788188003</v>
      </c>
      <c r="F1842" s="116">
        <v>437</v>
      </c>
      <c r="G1842">
        <v>8472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44729</v>
      </c>
      <c r="B1843" s="116">
        <v>443.94954193564598</v>
      </c>
      <c r="C1843" s="116">
        <v>440.496601053924</v>
      </c>
      <c r="D1843" s="116">
        <v>420.37088848617498</v>
      </c>
      <c r="E1843" s="116">
        <v>424.71172845176801</v>
      </c>
      <c r="F1843" s="116">
        <v>446.5</v>
      </c>
      <c r="G1843">
        <v>5168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44732</v>
      </c>
      <c r="B1844" s="116">
        <v>441.729794225967</v>
      </c>
      <c r="C1844" s="116">
        <v>378.88627017863303</v>
      </c>
      <c r="D1844" s="116">
        <v>372.91761522594197</v>
      </c>
      <c r="E1844" s="116">
        <v>441.03920604962298</v>
      </c>
      <c r="F1844" s="116">
        <v>384.05</v>
      </c>
      <c r="G1844">
        <v>20809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44733</v>
      </c>
      <c r="B1845" s="116">
        <v>414.20492262595701</v>
      </c>
      <c r="C1845" s="116">
        <v>401.03441954853298</v>
      </c>
      <c r="D1845" s="116">
        <v>384.75626967755898</v>
      </c>
      <c r="E1845" s="116">
        <v>393.63526051627201</v>
      </c>
      <c r="F1845" s="116">
        <v>406.5</v>
      </c>
      <c r="G1845">
        <v>5979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44734</v>
      </c>
      <c r="B1846" s="116">
        <v>404.48736043025502</v>
      </c>
      <c r="C1846" s="116">
        <v>394.52315960014403</v>
      </c>
      <c r="D1846" s="116">
        <v>384.854925131323</v>
      </c>
      <c r="E1846" s="116">
        <v>403.50080589262001</v>
      </c>
      <c r="F1846" s="116">
        <v>399.9</v>
      </c>
      <c r="G1846">
        <v>2820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44735</v>
      </c>
      <c r="B1847" s="116">
        <v>413.07038490767701</v>
      </c>
      <c r="C1847" s="116">
        <v>408.68021721520302</v>
      </c>
      <c r="D1847" s="116">
        <v>385.79215194207598</v>
      </c>
      <c r="E1847" s="116">
        <v>394.52315960014403</v>
      </c>
      <c r="F1847" s="116">
        <v>414.25</v>
      </c>
      <c r="G1847">
        <v>4774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44736</v>
      </c>
      <c r="B1848" s="116">
        <v>439.01676924747198</v>
      </c>
      <c r="C1848" s="116">
        <v>430.08845068187702</v>
      </c>
      <c r="D1848" s="116">
        <v>397.77878957433802</v>
      </c>
      <c r="E1848" s="116">
        <v>404.48736043025502</v>
      </c>
      <c r="F1848" s="116">
        <v>435.95</v>
      </c>
      <c r="G1848">
        <v>5775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44739</v>
      </c>
      <c r="B1849" s="116">
        <v>465.45643085608401</v>
      </c>
      <c r="C1849" s="116">
        <v>453.81508731199301</v>
      </c>
      <c r="D1849" s="116">
        <v>436.05710563456699</v>
      </c>
      <c r="E1849" s="116">
        <v>450.806095972207</v>
      </c>
      <c r="F1849" s="116">
        <v>460</v>
      </c>
      <c r="G1849">
        <v>4952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44740</v>
      </c>
      <c r="B1850" s="116">
        <v>456.77475092489698</v>
      </c>
      <c r="C1850" s="116">
        <v>452.53256641306803</v>
      </c>
      <c r="D1850" s="116">
        <v>439.066096974353</v>
      </c>
      <c r="E1850" s="116">
        <v>456.77475092489698</v>
      </c>
      <c r="F1850" s="116">
        <v>458.7</v>
      </c>
      <c r="G1850">
        <v>4135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44741</v>
      </c>
      <c r="B1851" s="116">
        <v>473.546178064689</v>
      </c>
      <c r="C1851" s="116">
        <v>468.31743901522401</v>
      </c>
      <c r="D1851" s="116">
        <v>444.98542420016202</v>
      </c>
      <c r="E1851" s="116">
        <v>467.577523111998</v>
      </c>
      <c r="F1851" s="116">
        <v>474.7</v>
      </c>
      <c r="G1851">
        <v>5102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44742</v>
      </c>
      <c r="B1852" s="116">
        <v>467.38021220447098</v>
      </c>
      <c r="C1852" s="116">
        <v>453.963070492638</v>
      </c>
      <c r="D1852" s="116">
        <v>450.066180068981</v>
      </c>
      <c r="E1852" s="116">
        <v>460.91827998296401</v>
      </c>
      <c r="F1852" s="116">
        <v>460.15</v>
      </c>
      <c r="G1852">
        <v>881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44743</v>
      </c>
      <c r="B1853" s="116">
        <v>460.671641348555</v>
      </c>
      <c r="C1853" s="116">
        <v>447.89576008618502</v>
      </c>
      <c r="D1853" s="116">
        <v>436.05710563456699</v>
      </c>
      <c r="E1853" s="116">
        <v>445.97197873779697</v>
      </c>
      <c r="F1853" s="116">
        <v>454</v>
      </c>
      <c r="G1853">
        <v>3603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44746</v>
      </c>
      <c r="B1854" s="116">
        <v>488.34449612920997</v>
      </c>
      <c r="C1854" s="116">
        <v>474.97668214425897</v>
      </c>
      <c r="D1854" s="116">
        <v>446.36660055285103</v>
      </c>
      <c r="E1854" s="116">
        <v>480.45205982813201</v>
      </c>
      <c r="F1854" s="116">
        <v>481.45</v>
      </c>
      <c r="G1854">
        <v>12418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44747</v>
      </c>
      <c r="B1855" s="116">
        <v>486.32205932705898</v>
      </c>
      <c r="C1855" s="116">
        <v>468.02147265393398</v>
      </c>
      <c r="D1855" s="116">
        <v>456.133490475435</v>
      </c>
      <c r="E1855" s="116">
        <v>486.32205932705898</v>
      </c>
      <c r="F1855" s="116">
        <v>474.4</v>
      </c>
      <c r="G1855">
        <v>966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44748</v>
      </c>
      <c r="B1856" s="116">
        <v>473.44752261092498</v>
      </c>
      <c r="C1856" s="116">
        <v>471.62239671630101</v>
      </c>
      <c r="D1856" s="116">
        <v>457.76130546253199</v>
      </c>
      <c r="E1856" s="116">
        <v>457.76130546253199</v>
      </c>
      <c r="F1856" s="116">
        <v>478.05</v>
      </c>
      <c r="G1856">
        <v>485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44749</v>
      </c>
      <c r="B1857" s="116">
        <v>482.62247981092798</v>
      </c>
      <c r="C1857" s="116">
        <v>467.67617856576197</v>
      </c>
      <c r="D1857" s="116">
        <v>461.70752361307098</v>
      </c>
      <c r="E1857" s="116">
        <v>468.613405376515</v>
      </c>
      <c r="F1857" s="116">
        <v>474.05</v>
      </c>
      <c r="G1857">
        <v>1548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44750</v>
      </c>
      <c r="B1858" s="116">
        <v>477.8376903034</v>
      </c>
      <c r="C1858" s="116">
        <v>468.12012810769698</v>
      </c>
      <c r="D1858" s="116">
        <v>465.94970812490101</v>
      </c>
      <c r="E1858" s="116">
        <v>477.8376903034</v>
      </c>
      <c r="F1858" s="116">
        <v>474.5</v>
      </c>
      <c r="G1858">
        <v>1232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44753</v>
      </c>
      <c r="B1859" s="116">
        <v>477.443068488346</v>
      </c>
      <c r="C1859" s="116">
        <v>439.41139106252598</v>
      </c>
      <c r="D1859" s="116">
        <v>436.303744268976</v>
      </c>
      <c r="E1859" s="116">
        <v>473.05290079587098</v>
      </c>
      <c r="F1859" s="116">
        <v>445.4</v>
      </c>
      <c r="G1859">
        <v>13046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44754</v>
      </c>
      <c r="B1860" s="116">
        <v>452.77920504747698</v>
      </c>
      <c r="C1860" s="116">
        <v>433.83735792488898</v>
      </c>
      <c r="D1860" s="116">
        <v>430.137778408759</v>
      </c>
      <c r="E1860" s="116">
        <v>439.41139106252598</v>
      </c>
      <c r="F1860" s="116">
        <v>439.75</v>
      </c>
      <c r="G1860">
        <v>3882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44755</v>
      </c>
      <c r="B1861" s="116">
        <v>453.56844867758502</v>
      </c>
      <c r="C1861" s="116">
        <v>435.66248381951402</v>
      </c>
      <c r="D1861" s="116">
        <v>419.97626667112098</v>
      </c>
      <c r="E1861" s="116">
        <v>419.97626667112098</v>
      </c>
      <c r="F1861" s="116">
        <v>441.6</v>
      </c>
      <c r="G1861">
        <v>3777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44756</v>
      </c>
      <c r="B1862" s="116">
        <v>448.88231462381901</v>
      </c>
      <c r="C1862" s="116">
        <v>430.38441704316699</v>
      </c>
      <c r="D1862" s="116">
        <v>424.51441754424098</v>
      </c>
      <c r="E1862" s="116">
        <v>424.51441754424098</v>
      </c>
      <c r="F1862" s="116">
        <v>436.25</v>
      </c>
      <c r="G1862">
        <v>1368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44757</v>
      </c>
      <c r="B1863" s="116">
        <v>448.88231462381901</v>
      </c>
      <c r="C1863" s="116">
        <v>439.55937424317102</v>
      </c>
      <c r="D1863" s="116">
        <v>419.28567849477599</v>
      </c>
      <c r="E1863" s="116">
        <v>443.900214208764</v>
      </c>
      <c r="F1863" s="116">
        <v>445.55</v>
      </c>
      <c r="G1863">
        <v>4843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44760</v>
      </c>
      <c r="B1864" s="116">
        <v>473.546178064689</v>
      </c>
      <c r="C1864" s="116">
        <v>470.43853127113903</v>
      </c>
      <c r="D1864" s="116">
        <v>444.93609647327997</v>
      </c>
      <c r="E1864" s="116">
        <v>451.54601187543301</v>
      </c>
      <c r="F1864" s="116">
        <v>476.85</v>
      </c>
      <c r="G1864">
        <v>20767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44761</v>
      </c>
      <c r="B1865" s="116">
        <v>498.21004150555802</v>
      </c>
      <c r="C1865" s="116">
        <v>495.20105016577202</v>
      </c>
      <c r="D1865" s="116">
        <v>469.59995991415002</v>
      </c>
      <c r="E1865" s="116">
        <v>473.546178064689</v>
      </c>
      <c r="F1865" s="116">
        <v>501.95</v>
      </c>
      <c r="G1865">
        <v>10121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44762</v>
      </c>
      <c r="B1866" s="116">
        <v>511.03525049480999</v>
      </c>
      <c r="C1866" s="116">
        <v>498.30869695932103</v>
      </c>
      <c r="D1866" s="116">
        <v>479.46550529049699</v>
      </c>
      <c r="E1866" s="116">
        <v>511.03525049480999</v>
      </c>
      <c r="F1866" s="116">
        <v>505.1</v>
      </c>
      <c r="G1866">
        <v>2352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44763</v>
      </c>
      <c r="B1867" s="116">
        <v>514.93214091846698</v>
      </c>
      <c r="C1867" s="116">
        <v>512.41642684749797</v>
      </c>
      <c r="D1867" s="116">
        <v>473.79281669909699</v>
      </c>
      <c r="E1867" s="116">
        <v>490.31760520448</v>
      </c>
      <c r="F1867" s="116">
        <v>519.4</v>
      </c>
      <c r="G1867">
        <v>9303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44764</v>
      </c>
      <c r="B1868" s="116">
        <v>527.757349907719</v>
      </c>
      <c r="C1868" s="116">
        <v>503.14281419373202</v>
      </c>
      <c r="D1868" s="116">
        <v>494.26382335501899</v>
      </c>
      <c r="E1868" s="116">
        <v>527.757349907719</v>
      </c>
      <c r="F1868" s="116">
        <v>510</v>
      </c>
      <c r="G1868">
        <v>11370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44767</v>
      </c>
      <c r="B1869" s="116">
        <v>505.11592326900097</v>
      </c>
      <c r="C1869" s="116">
        <v>488.541807036737</v>
      </c>
      <c r="D1869" s="116">
        <v>470.58651445178401</v>
      </c>
      <c r="E1869" s="116">
        <v>498.45668013996601</v>
      </c>
      <c r="F1869" s="116">
        <v>495.2</v>
      </c>
      <c r="G1869">
        <v>10617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44768</v>
      </c>
      <c r="B1870" s="116">
        <v>508.075586881905</v>
      </c>
      <c r="C1870" s="116">
        <v>504.47466281953899</v>
      </c>
      <c r="D1870" s="116">
        <v>488.34449612920997</v>
      </c>
      <c r="E1870" s="116">
        <v>488.34449612920997</v>
      </c>
      <c r="F1870" s="116">
        <v>511.35</v>
      </c>
      <c r="G1870">
        <v>6943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44769</v>
      </c>
      <c r="B1871" s="116">
        <v>516.95457772061798</v>
      </c>
      <c r="C1871" s="116">
        <v>497.66743650985899</v>
      </c>
      <c r="D1871" s="116">
        <v>479.36684983673399</v>
      </c>
      <c r="E1871" s="116">
        <v>504.47466281953899</v>
      </c>
      <c r="F1871" s="116">
        <v>504.45</v>
      </c>
      <c r="G1871">
        <v>4042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44770</v>
      </c>
      <c r="B1872" s="116">
        <v>528.793232172236</v>
      </c>
      <c r="C1872" s="116">
        <v>492.63600836792102</v>
      </c>
      <c r="D1872" s="116">
        <v>487.45659704533898</v>
      </c>
      <c r="E1872" s="116">
        <v>502.05760420233298</v>
      </c>
      <c r="F1872" s="116">
        <v>499.35</v>
      </c>
      <c r="G1872">
        <v>3638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44771</v>
      </c>
      <c r="B1873" s="116">
        <v>512.41642684749797</v>
      </c>
      <c r="C1873" s="116">
        <v>490.31760520448</v>
      </c>
      <c r="D1873" s="116">
        <v>478.47895075286198</v>
      </c>
      <c r="E1873" s="116">
        <v>502.15625965609701</v>
      </c>
      <c r="F1873" s="116">
        <v>497</v>
      </c>
      <c r="G1873">
        <v>11242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44774</v>
      </c>
      <c r="B1874" s="116">
        <v>493.22794109050199</v>
      </c>
      <c r="C1874" s="116">
        <v>491.25483201523298</v>
      </c>
      <c r="D1874" s="116">
        <v>465.65374176361001</v>
      </c>
      <c r="E1874" s="116">
        <v>479.46550529049699</v>
      </c>
      <c r="F1874" s="116">
        <v>497.95</v>
      </c>
      <c r="G1874">
        <v>10809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44775</v>
      </c>
      <c r="B1875" s="116">
        <v>491.20550428835099</v>
      </c>
      <c r="C1875" s="116">
        <v>483.65836207544498</v>
      </c>
      <c r="D1875" s="116">
        <v>477.59105166899099</v>
      </c>
      <c r="E1875" s="116">
        <v>477.59105166899099</v>
      </c>
      <c r="F1875" s="116">
        <v>490.25</v>
      </c>
      <c r="G1875">
        <v>4260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44776</v>
      </c>
      <c r="B1876" s="116">
        <v>489.23239521308102</v>
      </c>
      <c r="C1876" s="116">
        <v>478.676261660389</v>
      </c>
      <c r="D1876" s="116">
        <v>478.47895075286198</v>
      </c>
      <c r="E1876" s="116">
        <v>478.52827847974402</v>
      </c>
      <c r="F1876" s="116">
        <v>485.2</v>
      </c>
      <c r="G1876">
        <v>3478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44777</v>
      </c>
      <c r="B1877" s="116">
        <v>500.67642784964499</v>
      </c>
      <c r="C1877" s="116">
        <v>489.72567248189898</v>
      </c>
      <c r="D1877" s="116">
        <v>478.97222802168</v>
      </c>
      <c r="E1877" s="116">
        <v>478.97222802168</v>
      </c>
      <c r="F1877" s="116">
        <v>496.4</v>
      </c>
      <c r="G1877">
        <v>10167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44778</v>
      </c>
      <c r="B1878" s="116">
        <v>492.29071427974901</v>
      </c>
      <c r="C1878" s="116">
        <v>485.33550478942402</v>
      </c>
      <c r="D1878" s="116">
        <v>481.43861436576702</v>
      </c>
      <c r="E1878" s="116">
        <v>489.72567248189898</v>
      </c>
      <c r="F1878" s="116">
        <v>491.95</v>
      </c>
      <c r="G1878">
        <v>2126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44781</v>
      </c>
      <c r="B1879" s="116">
        <v>570.08053957225104</v>
      </c>
      <c r="C1879" s="116">
        <v>519.37163633782404</v>
      </c>
      <c r="D1879" s="116">
        <v>501.16970511846199</v>
      </c>
      <c r="E1879" s="116">
        <v>507.82894824749701</v>
      </c>
      <c r="F1879" s="116">
        <v>526.45000000000005</v>
      </c>
      <c r="G1879">
        <v>14111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44783</v>
      </c>
      <c r="B1880" s="116">
        <v>527.80667763460099</v>
      </c>
      <c r="C1880" s="116">
        <v>514.93214091846698</v>
      </c>
      <c r="D1880" s="116">
        <v>503.19214192061298</v>
      </c>
      <c r="E1880" s="116">
        <v>521.39407313997503</v>
      </c>
      <c r="F1880" s="116">
        <v>521.95000000000005</v>
      </c>
      <c r="G1880">
        <v>19667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44784</v>
      </c>
      <c r="B1881" s="116">
        <v>521.59138404750195</v>
      </c>
      <c r="C1881" s="116">
        <v>506.10247780663599</v>
      </c>
      <c r="D1881" s="116">
        <v>503.19214192061298</v>
      </c>
      <c r="E1881" s="116">
        <v>508.12491460878698</v>
      </c>
      <c r="F1881" s="116">
        <v>513</v>
      </c>
      <c r="G1881">
        <v>2889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44785</v>
      </c>
      <c r="B1882" s="116">
        <v>520.85146814427605</v>
      </c>
      <c r="C1882" s="116">
        <v>495.743655161471</v>
      </c>
      <c r="D1882" s="116">
        <v>480.05743801307801</v>
      </c>
      <c r="E1882" s="116">
        <v>520.80214041739396</v>
      </c>
      <c r="F1882" s="116">
        <v>502.5</v>
      </c>
      <c r="G1882">
        <v>17031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44789</v>
      </c>
      <c r="B1883" s="116">
        <v>513.00835957007905</v>
      </c>
      <c r="C1883" s="116">
        <v>495.15172243888998</v>
      </c>
      <c r="D1883" s="116">
        <v>483.46105116791801</v>
      </c>
      <c r="E1883" s="116">
        <v>483.46105116791801</v>
      </c>
      <c r="F1883" s="116">
        <v>501.9</v>
      </c>
      <c r="G1883">
        <v>6049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44790</v>
      </c>
      <c r="B1884" s="116">
        <v>503.044158739968</v>
      </c>
      <c r="C1884" s="116">
        <v>498.21004150555802</v>
      </c>
      <c r="D1884" s="116">
        <v>486.37138705394102</v>
      </c>
      <c r="E1884" s="116">
        <v>490.61357156576997</v>
      </c>
      <c r="F1884" s="116">
        <v>505</v>
      </c>
      <c r="G1884">
        <v>13312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44791</v>
      </c>
      <c r="B1885" s="116">
        <v>508.66751960448602</v>
      </c>
      <c r="C1885" s="116">
        <v>486.07542069265003</v>
      </c>
      <c r="D1885" s="116">
        <v>479.36684983673399</v>
      </c>
      <c r="E1885" s="116">
        <v>497.81541969050397</v>
      </c>
      <c r="F1885" s="116">
        <v>492.7</v>
      </c>
      <c r="G1885">
        <v>8327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44792</v>
      </c>
      <c r="B1886" s="116">
        <v>502.649536924914</v>
      </c>
      <c r="C1886" s="116">
        <v>483.5103788948</v>
      </c>
      <c r="D1886" s="116">
        <v>478.47895075286198</v>
      </c>
      <c r="E1886" s="116">
        <v>486.42071478082198</v>
      </c>
      <c r="F1886" s="116">
        <v>490.1</v>
      </c>
      <c r="G1886">
        <v>5436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44795</v>
      </c>
      <c r="B1887" s="116">
        <v>495.20105016577202</v>
      </c>
      <c r="C1887" s="116">
        <v>485.878109785123</v>
      </c>
      <c r="D1887" s="116">
        <v>482.62247981092798</v>
      </c>
      <c r="E1887" s="116">
        <v>488.34449612920997</v>
      </c>
      <c r="F1887" s="116">
        <v>492.5</v>
      </c>
      <c r="G1887">
        <v>1707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44796</v>
      </c>
      <c r="B1888" s="116">
        <v>498.012730598031</v>
      </c>
      <c r="C1888" s="116">
        <v>483.01710162598198</v>
      </c>
      <c r="D1888" s="116">
        <v>474.58206032920498</v>
      </c>
      <c r="E1888" s="116">
        <v>488.39382385609201</v>
      </c>
      <c r="F1888" s="116">
        <v>489.6</v>
      </c>
      <c r="G1888">
        <v>1579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44797</v>
      </c>
      <c r="B1889" s="116">
        <v>503.98138555072097</v>
      </c>
      <c r="C1889" s="116">
        <v>486.02609296576799</v>
      </c>
      <c r="D1889" s="116">
        <v>485.38483251630601</v>
      </c>
      <c r="E1889" s="116">
        <v>488.34449612920997</v>
      </c>
      <c r="F1889" s="116">
        <v>492.65</v>
      </c>
      <c r="G1889">
        <v>2789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44798</v>
      </c>
      <c r="B1890" s="116">
        <v>511.77516639803599</v>
      </c>
      <c r="C1890" s="116">
        <v>487.60458022598402</v>
      </c>
      <c r="D1890" s="116">
        <v>486.42071478082198</v>
      </c>
      <c r="E1890" s="116">
        <v>511.77516639803599</v>
      </c>
      <c r="F1890" s="116">
        <v>494.25</v>
      </c>
      <c r="G1890">
        <v>2037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44799</v>
      </c>
      <c r="B1891" s="116">
        <v>505.11592326900097</v>
      </c>
      <c r="C1891" s="116">
        <v>488.39382385609201</v>
      </c>
      <c r="D1891" s="116">
        <v>486.56869796146702</v>
      </c>
      <c r="E1891" s="116">
        <v>502.10693192921502</v>
      </c>
      <c r="F1891" s="116">
        <v>495.05</v>
      </c>
      <c r="G1891">
        <v>2615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44802</v>
      </c>
      <c r="B1892" s="116">
        <v>506.00382235287202</v>
      </c>
      <c r="C1892" s="116">
        <v>497.81541969050397</v>
      </c>
      <c r="D1892" s="116">
        <v>468.66273310339602</v>
      </c>
      <c r="E1892" s="116">
        <v>488.34449612920997</v>
      </c>
      <c r="F1892" s="116">
        <v>504.6</v>
      </c>
      <c r="G1892">
        <v>4397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44803</v>
      </c>
      <c r="B1893" s="116">
        <v>503.14281419373202</v>
      </c>
      <c r="C1893" s="116">
        <v>488.04852976792</v>
      </c>
      <c r="D1893" s="116">
        <v>480.60004300877699</v>
      </c>
      <c r="E1893" s="116">
        <v>498.30869695932103</v>
      </c>
      <c r="F1893" s="116">
        <v>494.7</v>
      </c>
      <c r="G1893">
        <v>4033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44805</v>
      </c>
      <c r="B1894" s="116">
        <v>501.12037739158001</v>
      </c>
      <c r="C1894" s="116">
        <v>494.65844517007298</v>
      </c>
      <c r="D1894" s="116">
        <v>480.45205982813201</v>
      </c>
      <c r="E1894" s="116">
        <v>488.34449612920997</v>
      </c>
      <c r="F1894" s="116">
        <v>501.4</v>
      </c>
      <c r="G1894">
        <v>14155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44806</v>
      </c>
      <c r="B1895" s="116">
        <v>505.11592326900097</v>
      </c>
      <c r="C1895" s="116">
        <v>498.012730598031</v>
      </c>
      <c r="D1895" s="116">
        <v>488.34449612920997</v>
      </c>
      <c r="E1895" s="116">
        <v>502.945503286205</v>
      </c>
      <c r="F1895" s="116">
        <v>504.8</v>
      </c>
      <c r="G1895">
        <v>14881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44809</v>
      </c>
      <c r="B1896" s="116">
        <v>505.51054508405502</v>
      </c>
      <c r="C1896" s="116">
        <v>504.080041004485</v>
      </c>
      <c r="D1896" s="116">
        <v>493.37592427114703</v>
      </c>
      <c r="E1896" s="116">
        <v>503.14281419373202</v>
      </c>
      <c r="F1896" s="116">
        <v>510.95</v>
      </c>
      <c r="G1896">
        <v>5994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44810</v>
      </c>
      <c r="B1897" s="116">
        <v>498.16071377867598</v>
      </c>
      <c r="C1897" s="116">
        <v>483.95432843673501</v>
      </c>
      <c r="D1897" s="116">
        <v>476.75248031200198</v>
      </c>
      <c r="E1897" s="116">
        <v>496.23693243028799</v>
      </c>
      <c r="F1897" s="116">
        <v>490.55</v>
      </c>
      <c r="G1897">
        <v>12815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44811</v>
      </c>
      <c r="B1898" s="116">
        <v>541.51978570772405</v>
      </c>
      <c r="C1898" s="116">
        <v>522.77524949266297</v>
      </c>
      <c r="D1898" s="116">
        <v>475.51928713995801</v>
      </c>
      <c r="E1898" s="116">
        <v>475.51928713995801</v>
      </c>
      <c r="F1898" s="116">
        <v>529.9</v>
      </c>
      <c r="G1898">
        <v>38458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44812</v>
      </c>
      <c r="B1899" s="116">
        <v>537.67222301094796</v>
      </c>
      <c r="C1899" s="116">
        <v>528.39861035718195</v>
      </c>
      <c r="D1899" s="116">
        <v>521.88735040879203</v>
      </c>
      <c r="E1899" s="116">
        <v>529.38516489481594</v>
      </c>
      <c r="F1899" s="116">
        <v>535.6</v>
      </c>
      <c r="G1899">
        <v>18283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44813</v>
      </c>
      <c r="B1900" s="116">
        <v>552.47054107547001</v>
      </c>
      <c r="C1900" s="116">
        <v>536.83365165395901</v>
      </c>
      <c r="D1900" s="116">
        <v>526.82012309696597</v>
      </c>
      <c r="E1900" s="116">
        <v>541.61844116148802</v>
      </c>
      <c r="F1900" s="116">
        <v>544.15</v>
      </c>
      <c r="G1900">
        <v>17095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44816</v>
      </c>
      <c r="B1901" s="116">
        <v>547.48844066041397</v>
      </c>
      <c r="C1901" s="116">
        <v>535.64978620879697</v>
      </c>
      <c r="D1901" s="116">
        <v>528.00398854212801</v>
      </c>
      <c r="E1901" s="116">
        <v>541.61844116148802</v>
      </c>
      <c r="F1901" s="116">
        <v>542.95000000000005</v>
      </c>
      <c r="G1901">
        <v>6127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44817</v>
      </c>
      <c r="B1902" s="116">
        <v>544.52877704750995</v>
      </c>
      <c r="C1902" s="116">
        <v>532.59146714212898</v>
      </c>
      <c r="D1902" s="116">
        <v>529.43449262169804</v>
      </c>
      <c r="E1902" s="116">
        <v>540.58255889697102</v>
      </c>
      <c r="F1902" s="116">
        <v>539.85</v>
      </c>
      <c r="G1902">
        <v>2684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44818</v>
      </c>
      <c r="B1903" s="116">
        <v>537.67222301094796</v>
      </c>
      <c r="C1903" s="116">
        <v>529.63180352922495</v>
      </c>
      <c r="D1903" s="116">
        <v>519.91424133352302</v>
      </c>
      <c r="E1903" s="116">
        <v>519.91424133352302</v>
      </c>
      <c r="F1903" s="116">
        <v>536.85</v>
      </c>
      <c r="G1903">
        <v>11625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44819</v>
      </c>
      <c r="B1904" s="116">
        <v>543.59155023675703</v>
      </c>
      <c r="C1904" s="116">
        <v>540.53323117008904</v>
      </c>
      <c r="D1904" s="116">
        <v>527.85600536148297</v>
      </c>
      <c r="E1904" s="116">
        <v>537.27760119589504</v>
      </c>
      <c r="F1904" s="116">
        <v>547.9</v>
      </c>
      <c r="G1904">
        <v>8117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44820</v>
      </c>
      <c r="B1905" s="116">
        <v>542.55566797224105</v>
      </c>
      <c r="C1905" s="116">
        <v>529.03987080664399</v>
      </c>
      <c r="D1905" s="116">
        <v>526.32684582814898</v>
      </c>
      <c r="E1905" s="116">
        <v>539.64533208621799</v>
      </c>
      <c r="F1905" s="116">
        <v>536.25</v>
      </c>
      <c r="G1905">
        <v>8777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44823</v>
      </c>
      <c r="B1906" s="116">
        <v>542.50634024535896</v>
      </c>
      <c r="C1906" s="116">
        <v>527.80667763460099</v>
      </c>
      <c r="D1906" s="116">
        <v>524.89634174857804</v>
      </c>
      <c r="E1906" s="116">
        <v>524.89634174857804</v>
      </c>
      <c r="F1906" s="116">
        <v>535</v>
      </c>
      <c r="G1906">
        <v>3766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44824</v>
      </c>
      <c r="B1907" s="116">
        <v>541.61844116148802</v>
      </c>
      <c r="C1907" s="116">
        <v>530.47037488621504</v>
      </c>
      <c r="D1907" s="116">
        <v>527.80667763460099</v>
      </c>
      <c r="E1907" s="116">
        <v>527.80667763460099</v>
      </c>
      <c r="F1907" s="116">
        <v>537.70000000000005</v>
      </c>
      <c r="G1907">
        <v>3402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44825</v>
      </c>
      <c r="B1908" s="116">
        <v>533.28205531847402</v>
      </c>
      <c r="C1908" s="116">
        <v>531.90087896578495</v>
      </c>
      <c r="D1908" s="116">
        <v>523.36718221524404</v>
      </c>
      <c r="E1908" s="116">
        <v>526.42550128191203</v>
      </c>
      <c r="F1908" s="116">
        <v>539.15</v>
      </c>
      <c r="G1908">
        <v>7228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44826</v>
      </c>
      <c r="B1909" s="116">
        <v>539.64533208621799</v>
      </c>
      <c r="C1909" s="116">
        <v>534.95919803245295</v>
      </c>
      <c r="D1909" s="116">
        <v>522.87390494642705</v>
      </c>
      <c r="E1909" s="116">
        <v>522.87390494642705</v>
      </c>
      <c r="F1909" s="116">
        <v>542.25</v>
      </c>
      <c r="G1909">
        <v>6088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44827</v>
      </c>
      <c r="B1910" s="116">
        <v>541.61844116148802</v>
      </c>
      <c r="C1910" s="116">
        <v>532.19684532707595</v>
      </c>
      <c r="D1910" s="116">
        <v>524.94566947546002</v>
      </c>
      <c r="E1910" s="116">
        <v>541.61844116148802</v>
      </c>
      <c r="F1910" s="116">
        <v>539.45000000000005</v>
      </c>
      <c r="G1910">
        <v>5260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44830</v>
      </c>
      <c r="B1911" s="116">
        <v>553.95037288192202</v>
      </c>
      <c r="C1911" s="116">
        <v>519.86491360664104</v>
      </c>
      <c r="D1911" s="116">
        <v>513.10701502384302</v>
      </c>
      <c r="E1911" s="116">
        <v>527.80667763460099</v>
      </c>
      <c r="F1911" s="116">
        <v>526.95000000000005</v>
      </c>
      <c r="G1911">
        <v>6548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44831</v>
      </c>
      <c r="B1912" s="116">
        <v>547.53776838729596</v>
      </c>
      <c r="C1912" s="116">
        <v>520.85146814427605</v>
      </c>
      <c r="D1912" s="116">
        <v>513.15634275072398</v>
      </c>
      <c r="E1912" s="116">
        <v>522.87390494642705</v>
      </c>
      <c r="F1912" s="116">
        <v>527.95000000000005</v>
      </c>
      <c r="G1912">
        <v>2526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44832</v>
      </c>
      <c r="B1913" s="116">
        <v>525.58692992492297</v>
      </c>
      <c r="C1913" s="116">
        <v>521.04877905180297</v>
      </c>
      <c r="D1913" s="116">
        <v>508.12491460878698</v>
      </c>
      <c r="E1913" s="116">
        <v>513.05768729696103</v>
      </c>
      <c r="F1913" s="116">
        <v>528.15</v>
      </c>
      <c r="G1913">
        <v>3961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44833</v>
      </c>
      <c r="B1914" s="116">
        <v>544.57810477439205</v>
      </c>
      <c r="C1914" s="116">
        <v>522.42995540449101</v>
      </c>
      <c r="D1914" s="116">
        <v>516.01735090986494</v>
      </c>
      <c r="E1914" s="116">
        <v>516.01735090986494</v>
      </c>
      <c r="F1914" s="116">
        <v>529.54999999999995</v>
      </c>
      <c r="G1914">
        <v>4624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44834</v>
      </c>
      <c r="B1915" s="116">
        <v>537.32692892277601</v>
      </c>
      <c r="C1915" s="116">
        <v>526.03087946685798</v>
      </c>
      <c r="D1915" s="116">
        <v>502.649536924914</v>
      </c>
      <c r="E1915" s="116">
        <v>519.56894724535096</v>
      </c>
      <c r="F1915" s="116">
        <v>533.20000000000005</v>
      </c>
      <c r="G1915">
        <v>3156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44837</v>
      </c>
      <c r="B1916" s="116">
        <v>550.20146563891001</v>
      </c>
      <c r="C1916" s="116">
        <v>530.22373625180603</v>
      </c>
      <c r="D1916" s="116">
        <v>524.40306447976104</v>
      </c>
      <c r="E1916" s="116">
        <v>527.80667763460099</v>
      </c>
      <c r="F1916" s="116">
        <v>537.45000000000005</v>
      </c>
      <c r="G1916">
        <v>17059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44838</v>
      </c>
      <c r="B1917" s="116">
        <v>544.57810477439205</v>
      </c>
      <c r="C1917" s="116">
        <v>539.79331526686303</v>
      </c>
      <c r="D1917" s="116">
        <v>530.22373625180603</v>
      </c>
      <c r="E1917" s="116">
        <v>530.22373625180603</v>
      </c>
      <c r="F1917" s="116">
        <v>547.15</v>
      </c>
      <c r="G1917">
        <v>4492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44840</v>
      </c>
      <c r="B1918" s="116">
        <v>589.46633623677405</v>
      </c>
      <c r="C1918" s="116">
        <v>581.12995039376005</v>
      </c>
      <c r="D1918" s="116">
        <v>544.57810477439205</v>
      </c>
      <c r="E1918" s="116">
        <v>544.57810477439205</v>
      </c>
      <c r="F1918" s="116">
        <v>589.04999999999995</v>
      </c>
      <c r="G1918">
        <v>26076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44841</v>
      </c>
      <c r="B1919" s="116">
        <v>616.59658602172999</v>
      </c>
      <c r="C1919" s="116">
        <v>610.92389743033004</v>
      </c>
      <c r="D1919" s="116">
        <v>582.06717720451297</v>
      </c>
      <c r="E1919" s="116">
        <v>582.11650493139496</v>
      </c>
      <c r="F1919" s="116">
        <v>619.25</v>
      </c>
      <c r="G1919">
        <v>12660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44844</v>
      </c>
      <c r="B1920" s="116">
        <v>629.42179501098201</v>
      </c>
      <c r="C1920" s="116">
        <v>620.98675371420495</v>
      </c>
      <c r="D1920" s="116">
        <v>582.11650493139496</v>
      </c>
      <c r="E1920" s="116">
        <v>610.775914249685</v>
      </c>
      <c r="F1920" s="116">
        <v>629.45000000000005</v>
      </c>
      <c r="G1920">
        <v>12986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44845</v>
      </c>
      <c r="B1921" s="116">
        <v>623.50246778517305</v>
      </c>
      <c r="C1921" s="116">
        <v>599.43053706688499</v>
      </c>
      <c r="D1921" s="116">
        <v>594.89238619376499</v>
      </c>
      <c r="E1921" s="116">
        <v>620.54280417226903</v>
      </c>
      <c r="F1921" s="116">
        <v>607.6</v>
      </c>
      <c r="G1921">
        <v>2533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44846</v>
      </c>
      <c r="B1922" s="116">
        <v>619.50692190775203</v>
      </c>
      <c r="C1922" s="116">
        <v>587.83852124967598</v>
      </c>
      <c r="D1922" s="116">
        <v>582.06717720451297</v>
      </c>
      <c r="E1922" s="116">
        <v>619.50692190775203</v>
      </c>
      <c r="F1922" s="116">
        <v>595.85</v>
      </c>
      <c r="G1922">
        <v>4370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44847</v>
      </c>
      <c r="B1923" s="116">
        <v>605.69515838086602</v>
      </c>
      <c r="C1923" s="116">
        <v>587.93717670343995</v>
      </c>
      <c r="D1923" s="116">
        <v>577.38104315074804</v>
      </c>
      <c r="E1923" s="116">
        <v>605.69515838086602</v>
      </c>
      <c r="F1923" s="116">
        <v>595.95000000000005</v>
      </c>
      <c r="G1923">
        <v>4681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44848</v>
      </c>
      <c r="B1924" s="116">
        <v>596.372218000217</v>
      </c>
      <c r="C1924" s="116">
        <v>586.062723081934</v>
      </c>
      <c r="D1924" s="116">
        <v>577.38104315074804</v>
      </c>
      <c r="E1924" s="116">
        <v>577.38104315074804</v>
      </c>
      <c r="F1924" s="116">
        <v>594.04999999999995</v>
      </c>
      <c r="G1924">
        <v>6305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44851</v>
      </c>
      <c r="B1925" s="116">
        <v>609.69070425828602</v>
      </c>
      <c r="C1925" s="116">
        <v>587.64121034214895</v>
      </c>
      <c r="D1925" s="116">
        <v>578.91020268408204</v>
      </c>
      <c r="E1925" s="116">
        <v>609.69070425828602</v>
      </c>
      <c r="F1925" s="116">
        <v>595.65</v>
      </c>
      <c r="G1925">
        <v>3717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44852</v>
      </c>
      <c r="B1926" s="116">
        <v>595.87894073140001</v>
      </c>
      <c r="C1926" s="116">
        <v>590.69952940881706</v>
      </c>
      <c r="D1926" s="116">
        <v>577.18373224322102</v>
      </c>
      <c r="E1926" s="116">
        <v>577.18373224322102</v>
      </c>
      <c r="F1926" s="116">
        <v>598.75</v>
      </c>
      <c r="G1926">
        <v>1612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44853</v>
      </c>
      <c r="B1927" s="116">
        <v>596.86549526903502</v>
      </c>
      <c r="C1927" s="116">
        <v>590.25557986688204</v>
      </c>
      <c r="D1927" s="116">
        <v>572.20163182816498</v>
      </c>
      <c r="E1927" s="116">
        <v>592.91927711849496</v>
      </c>
      <c r="F1927" s="116">
        <v>598.29999999999995</v>
      </c>
      <c r="G1927">
        <v>1816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44854</v>
      </c>
      <c r="B1928" s="116">
        <v>581.96852175075003</v>
      </c>
      <c r="C1928" s="116">
        <v>570.86978320235801</v>
      </c>
      <c r="D1928" s="116">
        <v>568.25541367762605</v>
      </c>
      <c r="E1928" s="116">
        <v>572.20163182816498</v>
      </c>
      <c r="F1928" s="116">
        <v>578.65</v>
      </c>
      <c r="G1928">
        <v>1917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44855</v>
      </c>
      <c r="B1929" s="116">
        <v>591.73541167333406</v>
      </c>
      <c r="C1929" s="116">
        <v>565.78902733353902</v>
      </c>
      <c r="D1929" s="116">
        <v>563.47062417009795</v>
      </c>
      <c r="E1929" s="116">
        <v>570.86978320235801</v>
      </c>
      <c r="F1929" s="116">
        <v>573.5</v>
      </c>
      <c r="G1929">
        <v>3312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44858</v>
      </c>
      <c r="B1930" s="116">
        <v>591.39011758516199</v>
      </c>
      <c r="C1930" s="116">
        <v>585.27347945182601</v>
      </c>
      <c r="D1930" s="116">
        <v>577.13440451633903</v>
      </c>
      <c r="E1930" s="116">
        <v>579.10751359160895</v>
      </c>
      <c r="F1930" s="116">
        <v>593.25</v>
      </c>
      <c r="G1930">
        <v>8432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44859</v>
      </c>
      <c r="B1931" s="116">
        <v>594.84305846688301</v>
      </c>
      <c r="C1931" s="116">
        <v>577.62768178515705</v>
      </c>
      <c r="D1931" s="116">
        <v>577.13440451633903</v>
      </c>
      <c r="E1931" s="116">
        <v>594.84305846688301</v>
      </c>
      <c r="F1931" s="116">
        <v>585.5</v>
      </c>
      <c r="G1931">
        <v>1987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44861</v>
      </c>
      <c r="B1932" s="116">
        <v>587.88784897655796</v>
      </c>
      <c r="C1932" s="116">
        <v>575.703900436769</v>
      </c>
      <c r="D1932" s="116">
        <v>572.25095955504696</v>
      </c>
      <c r="E1932" s="116">
        <v>577.13440451633903</v>
      </c>
      <c r="F1932" s="116">
        <v>583.54999999999995</v>
      </c>
      <c r="G1932">
        <v>1485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44862</v>
      </c>
      <c r="B1933" s="116">
        <v>616.59658602172999</v>
      </c>
      <c r="C1933" s="116">
        <v>605.69515838086602</v>
      </c>
      <c r="D1933" s="116">
        <v>567.367514593755</v>
      </c>
      <c r="E1933" s="116">
        <v>567.367514593755</v>
      </c>
      <c r="F1933" s="116">
        <v>613.95000000000005</v>
      </c>
      <c r="G1933">
        <v>28535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44865</v>
      </c>
      <c r="B1934" s="116">
        <v>621.43070325613996</v>
      </c>
      <c r="C1934" s="116">
        <v>610.33196470774897</v>
      </c>
      <c r="D1934" s="116">
        <v>598.09868844107802</v>
      </c>
      <c r="E1934" s="116">
        <v>621.43070325613996</v>
      </c>
      <c r="F1934" s="116">
        <v>618.65</v>
      </c>
      <c r="G1934">
        <v>3326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44866</v>
      </c>
      <c r="B1935" s="116">
        <v>617.82977919377299</v>
      </c>
      <c r="C1935" s="116">
        <v>616.54725829484801</v>
      </c>
      <c r="D1935" s="116">
        <v>604.41263748194001</v>
      </c>
      <c r="E1935" s="116">
        <v>606.731040645382</v>
      </c>
      <c r="F1935" s="116">
        <v>624.95000000000005</v>
      </c>
      <c r="G1935">
        <v>26762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44867</v>
      </c>
      <c r="B1936" s="116">
        <v>622.02263597872104</v>
      </c>
      <c r="C1936" s="116">
        <v>616.89255238301996</v>
      </c>
      <c r="D1936" s="116">
        <v>608.80280517441497</v>
      </c>
      <c r="E1936" s="116">
        <v>622.02263597872104</v>
      </c>
      <c r="F1936" s="116">
        <v>625.29999999999995</v>
      </c>
      <c r="G1936">
        <v>2103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44868</v>
      </c>
      <c r="B1937" s="116">
        <v>612.25574605613701</v>
      </c>
      <c r="C1937" s="116">
        <v>604.06734339376806</v>
      </c>
      <c r="D1937" s="116">
        <v>602.439528406671</v>
      </c>
      <c r="E1937" s="116">
        <v>610.18398152710404</v>
      </c>
      <c r="F1937" s="116">
        <v>612.29999999999995</v>
      </c>
      <c r="G1937">
        <v>463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44869</v>
      </c>
      <c r="B1938" s="116">
        <v>616.59658602172999</v>
      </c>
      <c r="C1938" s="116">
        <v>615.11675421527798</v>
      </c>
      <c r="D1938" s="116">
        <v>607.76692290989899</v>
      </c>
      <c r="E1938" s="116">
        <v>608.70414972065203</v>
      </c>
      <c r="F1938" s="116">
        <v>623.5</v>
      </c>
      <c r="G1938">
        <v>2472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44872</v>
      </c>
      <c r="B1939" s="116">
        <v>620.04952690345203</v>
      </c>
      <c r="C1939" s="116">
        <v>604.46196520882199</v>
      </c>
      <c r="D1939" s="116">
        <v>598.98658752494896</v>
      </c>
      <c r="E1939" s="116">
        <v>620.04952690345203</v>
      </c>
      <c r="F1939" s="116">
        <v>612.70000000000005</v>
      </c>
      <c r="G1939">
        <v>2508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44874</v>
      </c>
      <c r="B1940" s="116">
        <v>616.59658602172999</v>
      </c>
      <c r="C1940" s="116">
        <v>613.48893922818002</v>
      </c>
      <c r="D1940" s="116">
        <v>599.87448660882103</v>
      </c>
      <c r="E1940" s="116">
        <v>606.731040645382</v>
      </c>
      <c r="F1940" s="116">
        <v>621.85</v>
      </c>
      <c r="G1940">
        <v>2368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44875</v>
      </c>
      <c r="B1941" s="116">
        <v>611.51583015291101</v>
      </c>
      <c r="C1941" s="116">
        <v>604.60994838946704</v>
      </c>
      <c r="D1941" s="116">
        <v>599.87448660882103</v>
      </c>
      <c r="E1941" s="116">
        <v>611.51583015291101</v>
      </c>
      <c r="F1941" s="116">
        <v>612.85</v>
      </c>
      <c r="G1941">
        <v>796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44876</v>
      </c>
      <c r="B1942" s="116">
        <v>619.26028327334404</v>
      </c>
      <c r="C1942" s="116">
        <v>608.75347744753299</v>
      </c>
      <c r="D1942" s="116">
        <v>592.91927711849496</v>
      </c>
      <c r="E1942" s="116">
        <v>601.30499068839094</v>
      </c>
      <c r="F1942" s="116">
        <v>617.04999999999995</v>
      </c>
      <c r="G1942">
        <v>4296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44879</v>
      </c>
      <c r="B1943" s="116">
        <v>622.17061915936597</v>
      </c>
      <c r="C1943" s="116">
        <v>597.55608344537904</v>
      </c>
      <c r="D1943" s="116">
        <v>585.17482399806204</v>
      </c>
      <c r="E1943" s="116">
        <v>622.17061915936597</v>
      </c>
      <c r="F1943" s="116">
        <v>605.70000000000005</v>
      </c>
      <c r="G1943">
        <v>1625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44880</v>
      </c>
      <c r="B1944" s="116">
        <v>604.26465430129497</v>
      </c>
      <c r="C1944" s="116">
        <v>577.43037087763003</v>
      </c>
      <c r="D1944" s="116">
        <v>567.31818686687302</v>
      </c>
      <c r="E1944" s="116">
        <v>596.86549526903502</v>
      </c>
      <c r="F1944" s="116">
        <v>585.29999999999995</v>
      </c>
      <c r="G1944">
        <v>3974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44881</v>
      </c>
      <c r="B1945" s="116">
        <v>590.79818486258102</v>
      </c>
      <c r="C1945" s="116">
        <v>573.38549727332702</v>
      </c>
      <c r="D1945" s="116">
        <v>567.41684232063699</v>
      </c>
      <c r="E1945" s="116">
        <v>571.21507729053099</v>
      </c>
      <c r="F1945" s="116">
        <v>581.20000000000005</v>
      </c>
      <c r="G1945">
        <v>1489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44882</v>
      </c>
      <c r="B1946" s="116">
        <v>576.98642133569399</v>
      </c>
      <c r="C1946" s="116">
        <v>572.20163182816498</v>
      </c>
      <c r="D1946" s="116">
        <v>567.367514593755</v>
      </c>
      <c r="E1946" s="116">
        <v>570.82045547547705</v>
      </c>
      <c r="F1946" s="116">
        <v>580</v>
      </c>
      <c r="G1946">
        <v>1304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44883</v>
      </c>
      <c r="B1947" s="116">
        <v>582.06717720451297</v>
      </c>
      <c r="C1947" s="116">
        <v>572.20163182816498</v>
      </c>
      <c r="D1947" s="116">
        <v>569.24196821526095</v>
      </c>
      <c r="E1947" s="116">
        <v>582.06717720451297</v>
      </c>
      <c r="F1947" s="116">
        <v>580</v>
      </c>
      <c r="G1947">
        <v>140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44886</v>
      </c>
      <c r="B1948" s="116">
        <v>586.85196671204199</v>
      </c>
      <c r="C1948" s="116">
        <v>563.02667462816203</v>
      </c>
      <c r="D1948" s="116">
        <v>557.50196921740701</v>
      </c>
      <c r="E1948" s="116">
        <v>572.20163182816498</v>
      </c>
      <c r="F1948" s="116">
        <v>570.70000000000005</v>
      </c>
      <c r="G1948">
        <v>4675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44887</v>
      </c>
      <c r="B1949" s="116">
        <v>573.97742999590798</v>
      </c>
      <c r="C1949" s="116">
        <v>545.76197021955397</v>
      </c>
      <c r="D1949" s="116">
        <v>542.60499569912201</v>
      </c>
      <c r="E1949" s="116">
        <v>561.34953191418299</v>
      </c>
      <c r="F1949" s="116">
        <v>553.20000000000005</v>
      </c>
      <c r="G1949">
        <v>4014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44888</v>
      </c>
      <c r="B1950" s="116">
        <v>552.37188562170695</v>
      </c>
      <c r="C1950" s="116">
        <v>543.34491160234802</v>
      </c>
      <c r="D1950" s="116">
        <v>535.00852575933504</v>
      </c>
      <c r="E1950" s="116">
        <v>538.65877754858298</v>
      </c>
      <c r="F1950" s="116">
        <v>550.75</v>
      </c>
      <c r="G1950">
        <v>4478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44889</v>
      </c>
      <c r="B1951" s="116">
        <v>555.23289378084701</v>
      </c>
      <c r="C1951" s="116">
        <v>543.887516598047</v>
      </c>
      <c r="D1951" s="116">
        <v>542.60499569912201</v>
      </c>
      <c r="E1951" s="116">
        <v>552.47054107547001</v>
      </c>
      <c r="F1951" s="116">
        <v>551.29999999999995</v>
      </c>
      <c r="G1951">
        <v>2399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44890</v>
      </c>
      <c r="B1952" s="116">
        <v>552.42121334858803</v>
      </c>
      <c r="C1952" s="116">
        <v>543.09827296794003</v>
      </c>
      <c r="D1952" s="116">
        <v>542.60499569912201</v>
      </c>
      <c r="E1952" s="116">
        <v>552.42121334858803</v>
      </c>
      <c r="F1952" s="116">
        <v>550.5</v>
      </c>
      <c r="G1952">
        <v>1101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44893</v>
      </c>
      <c r="B1953" s="116">
        <v>547.53776838729596</v>
      </c>
      <c r="C1953" s="116">
        <v>541.37180252707901</v>
      </c>
      <c r="D1953" s="116">
        <v>536.68566847331397</v>
      </c>
      <c r="E1953" s="116">
        <v>542.60499569912201</v>
      </c>
      <c r="F1953" s="116">
        <v>548.75</v>
      </c>
      <c r="G1953">
        <v>2929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44894</v>
      </c>
      <c r="B1954" s="116">
        <v>556.41675922600905</v>
      </c>
      <c r="C1954" s="116">
        <v>539.74398753998196</v>
      </c>
      <c r="D1954" s="116">
        <v>536.88297938084099</v>
      </c>
      <c r="E1954" s="116">
        <v>536.88297938084099</v>
      </c>
      <c r="F1954" s="116">
        <v>547.1</v>
      </c>
      <c r="G1954">
        <v>3926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44895</v>
      </c>
      <c r="B1955" s="116">
        <v>552.47054107547001</v>
      </c>
      <c r="C1955" s="116">
        <v>527.65869445395595</v>
      </c>
      <c r="D1955" s="116">
        <v>525.34029129051396</v>
      </c>
      <c r="E1955" s="116">
        <v>542.60499569912201</v>
      </c>
      <c r="F1955" s="116">
        <v>534.85</v>
      </c>
      <c r="G1955">
        <v>13761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44896</v>
      </c>
      <c r="B1956" s="116">
        <v>550.39877654643703</v>
      </c>
      <c r="C1956" s="116">
        <v>548.52432292493097</v>
      </c>
      <c r="D1956" s="116">
        <v>518.03978771201696</v>
      </c>
      <c r="E1956" s="116">
        <v>547.53776838729596</v>
      </c>
      <c r="F1956" s="116">
        <v>556</v>
      </c>
      <c r="G1956">
        <v>7974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44897</v>
      </c>
      <c r="B1957" s="116">
        <v>556.36743149912695</v>
      </c>
      <c r="C1957" s="116">
        <v>543.93684432492898</v>
      </c>
      <c r="D1957" s="116">
        <v>533.52869395288201</v>
      </c>
      <c r="E1957" s="116">
        <v>556.36743149912695</v>
      </c>
      <c r="F1957" s="116">
        <v>551.35</v>
      </c>
      <c r="G1957">
        <v>7193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44900</v>
      </c>
      <c r="B1958" s="116">
        <v>552.32255789482497</v>
      </c>
      <c r="C1958" s="116">
        <v>544.82474340880003</v>
      </c>
      <c r="D1958" s="116">
        <v>536.78432392707703</v>
      </c>
      <c r="E1958" s="116">
        <v>543.93684432492898</v>
      </c>
      <c r="F1958" s="116">
        <v>552.25</v>
      </c>
      <c r="G1958">
        <v>1651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44901</v>
      </c>
      <c r="B1959" s="116">
        <v>542.60499569912201</v>
      </c>
      <c r="C1959" s="116">
        <v>529.92776989051504</v>
      </c>
      <c r="D1959" s="116">
        <v>523.31785448836297</v>
      </c>
      <c r="E1959" s="116">
        <v>542.60499569912201</v>
      </c>
      <c r="F1959" s="116">
        <v>537.15</v>
      </c>
      <c r="G1959">
        <v>5692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44902</v>
      </c>
      <c r="B1960" s="116">
        <v>537.622895284067</v>
      </c>
      <c r="C1960" s="116">
        <v>527.11608945825606</v>
      </c>
      <c r="D1960" s="116">
        <v>524.94566947546002</v>
      </c>
      <c r="E1960" s="116">
        <v>524.94566947546002</v>
      </c>
      <c r="F1960" s="116">
        <v>534.29999999999995</v>
      </c>
      <c r="G1960">
        <v>1031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44903</v>
      </c>
      <c r="B1961" s="116">
        <v>533.52869395288201</v>
      </c>
      <c r="C1961" s="116">
        <v>516.85592226685503</v>
      </c>
      <c r="D1961" s="116">
        <v>514.24155274212296</v>
      </c>
      <c r="E1961" s="116">
        <v>523.86045948406195</v>
      </c>
      <c r="F1961" s="116">
        <v>523.9</v>
      </c>
      <c r="G1961">
        <v>3355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44904</v>
      </c>
      <c r="B1962" s="116">
        <v>530.76634124750501</v>
      </c>
      <c r="C1962" s="116">
        <v>521.09810677868404</v>
      </c>
      <c r="D1962" s="116">
        <v>515.08012409911203</v>
      </c>
      <c r="E1962" s="116">
        <v>520.950123598039</v>
      </c>
      <c r="F1962" s="116">
        <v>528.20000000000005</v>
      </c>
      <c r="G1962">
        <v>1630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44907</v>
      </c>
      <c r="B1963" s="116">
        <v>532.64079486901096</v>
      </c>
      <c r="C1963" s="116">
        <v>517.05323317438194</v>
      </c>
      <c r="D1963" s="116">
        <v>513.05768729696103</v>
      </c>
      <c r="E1963" s="116">
        <v>532.64079486901096</v>
      </c>
      <c r="F1963" s="116">
        <v>524.1</v>
      </c>
      <c r="G1963">
        <v>3098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44908</v>
      </c>
      <c r="B1964" s="116">
        <v>534.21928212922705</v>
      </c>
      <c r="C1964" s="116">
        <v>509.752729595885</v>
      </c>
      <c r="D1964" s="116">
        <v>493.27726881738403</v>
      </c>
      <c r="E1964" s="116">
        <v>534.21928212922705</v>
      </c>
      <c r="F1964" s="116">
        <v>516.70000000000005</v>
      </c>
      <c r="G1964">
        <v>12783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44909</v>
      </c>
      <c r="B1965" s="116">
        <v>518.92768679588801</v>
      </c>
      <c r="C1965" s="116">
        <v>513.74827547330494</v>
      </c>
      <c r="D1965" s="116">
        <v>508.27289778943202</v>
      </c>
      <c r="E1965" s="116">
        <v>508.27289778943202</v>
      </c>
      <c r="F1965" s="116">
        <v>520.75</v>
      </c>
      <c r="G1965">
        <v>2036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44910</v>
      </c>
      <c r="B1966" s="116">
        <v>517.79314907760795</v>
      </c>
      <c r="C1966" s="116">
        <v>507.089032344271</v>
      </c>
      <c r="D1966" s="116">
        <v>503.14281419373202</v>
      </c>
      <c r="E1966" s="116">
        <v>512.90970411631599</v>
      </c>
      <c r="F1966" s="116">
        <v>514</v>
      </c>
      <c r="G1966">
        <v>2012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44911</v>
      </c>
      <c r="B1967" s="116">
        <v>516.65861135932801</v>
      </c>
      <c r="C1967" s="116">
        <v>495.89163834211598</v>
      </c>
      <c r="D1967" s="116">
        <v>483.41172344103597</v>
      </c>
      <c r="E1967" s="116">
        <v>516.65861135932801</v>
      </c>
      <c r="F1967" s="116">
        <v>502.65</v>
      </c>
      <c r="G1967">
        <v>4220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44914</v>
      </c>
      <c r="B1968" s="116">
        <v>537.08029028836802</v>
      </c>
      <c r="C1968" s="116">
        <v>508.27289778943202</v>
      </c>
      <c r="D1968" s="116">
        <v>493.27726881738403</v>
      </c>
      <c r="E1968" s="116">
        <v>537.08029028836802</v>
      </c>
      <c r="F1968" s="116">
        <v>515.20000000000005</v>
      </c>
      <c r="G1968">
        <v>1525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44915</v>
      </c>
      <c r="B1969" s="116">
        <v>518.87835906900602</v>
      </c>
      <c r="C1969" s="116">
        <v>515.86936772922002</v>
      </c>
      <c r="D1969" s="116">
        <v>484.39827797867099</v>
      </c>
      <c r="E1969" s="116">
        <v>493.52390745179298</v>
      </c>
      <c r="F1969" s="116">
        <v>522.9</v>
      </c>
      <c r="G1969">
        <v>1223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44916</v>
      </c>
      <c r="B1970" s="116">
        <v>518.92768679588801</v>
      </c>
      <c r="C1970" s="116">
        <v>517.84247680449005</v>
      </c>
      <c r="D1970" s="116">
        <v>503.14281419373202</v>
      </c>
      <c r="E1970" s="116">
        <v>508.075586881905</v>
      </c>
      <c r="F1970" s="116">
        <v>524.9</v>
      </c>
      <c r="G1970">
        <v>10903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44917</v>
      </c>
      <c r="B1971" s="116">
        <v>517.94113225825299</v>
      </c>
      <c r="C1971" s="116">
        <v>513.25499820448795</v>
      </c>
      <c r="D1971" s="116">
        <v>508.075586881905</v>
      </c>
      <c r="E1971" s="116">
        <v>513.10701502384302</v>
      </c>
      <c r="F1971" s="116">
        <v>520.25</v>
      </c>
      <c r="G1971">
        <v>6247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44918</v>
      </c>
      <c r="B1972" s="116">
        <v>519.91424133352302</v>
      </c>
      <c r="C1972" s="116">
        <v>498.012730598031</v>
      </c>
      <c r="D1972" s="116">
        <v>484.89155524748799</v>
      </c>
      <c r="E1972" s="116">
        <v>505.11592326900097</v>
      </c>
      <c r="F1972" s="116">
        <v>504.8</v>
      </c>
      <c r="G1972">
        <v>2731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44921</v>
      </c>
      <c r="B1973" s="116">
        <v>510.04869595717503</v>
      </c>
      <c r="C1973" s="116">
        <v>498.21004150555802</v>
      </c>
      <c r="D1973" s="116">
        <v>489.62701702813501</v>
      </c>
      <c r="E1973" s="116">
        <v>497.22348696792301</v>
      </c>
      <c r="F1973" s="116">
        <v>505</v>
      </c>
      <c r="G1973">
        <v>1217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44922</v>
      </c>
      <c r="B1974" s="116">
        <v>536.58701301955</v>
      </c>
      <c r="C1974" s="116">
        <v>499.54189013136499</v>
      </c>
      <c r="D1974" s="116">
        <v>499.19659604319298</v>
      </c>
      <c r="E1974" s="116">
        <v>535.69911393567895</v>
      </c>
      <c r="F1974" s="116">
        <v>506.35</v>
      </c>
      <c r="G1974">
        <v>1029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44923</v>
      </c>
      <c r="B1975" s="116">
        <v>524.84701402169696</v>
      </c>
      <c r="C1975" s="116">
        <v>519.66760269911401</v>
      </c>
      <c r="D1975" s="116">
        <v>500.23247830770902</v>
      </c>
      <c r="E1975" s="116">
        <v>500.87373875717202</v>
      </c>
      <c r="F1975" s="116">
        <v>526.75</v>
      </c>
      <c r="G1975">
        <v>1856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44924</v>
      </c>
      <c r="B1976" s="116">
        <v>523.36718221524404</v>
      </c>
      <c r="C1976" s="116">
        <v>521.93667813567401</v>
      </c>
      <c r="D1976" s="116">
        <v>505.16525099588301</v>
      </c>
      <c r="E1976" s="116">
        <v>519.81558587975906</v>
      </c>
      <c r="F1976" s="116">
        <v>529.04999999999995</v>
      </c>
      <c r="G1976">
        <v>6074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44925</v>
      </c>
      <c r="B1977" s="116">
        <v>546.55121384966105</v>
      </c>
      <c r="C1977" s="116">
        <v>536.98163483460405</v>
      </c>
      <c r="D1977" s="116">
        <v>515.82004000233803</v>
      </c>
      <c r="E1977" s="116">
        <v>515.86936772922002</v>
      </c>
      <c r="F1977" s="116">
        <v>544.29999999999995</v>
      </c>
      <c r="G1977">
        <v>20424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44928</v>
      </c>
      <c r="B1978" s="116">
        <v>547.34045747976904</v>
      </c>
      <c r="C1978" s="116">
        <v>523.71247630341702</v>
      </c>
      <c r="D1978" s="116">
        <v>517.20121635502699</v>
      </c>
      <c r="E1978" s="116">
        <v>547.34045747976904</v>
      </c>
      <c r="F1978" s="116">
        <v>530.85</v>
      </c>
      <c r="G1978">
        <v>812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44929</v>
      </c>
      <c r="B1979" s="116">
        <v>537.72155073782994</v>
      </c>
      <c r="C1979" s="116">
        <v>522.38062767761005</v>
      </c>
      <c r="D1979" s="116">
        <v>517.94113225825299</v>
      </c>
      <c r="E1979" s="116">
        <v>522.87390494642705</v>
      </c>
      <c r="F1979" s="116">
        <v>529.5</v>
      </c>
      <c r="G1979">
        <v>3093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44930</v>
      </c>
      <c r="B1980" s="116">
        <v>537.52423983030303</v>
      </c>
      <c r="C1980" s="116">
        <v>530.22373625180603</v>
      </c>
      <c r="D1980" s="116">
        <v>513.99491410771395</v>
      </c>
      <c r="E1980" s="116">
        <v>537.52423983030303</v>
      </c>
      <c r="F1980" s="116">
        <v>537.45000000000005</v>
      </c>
      <c r="G1980">
        <v>1545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44931</v>
      </c>
      <c r="B1981" s="116">
        <v>532.19684532707595</v>
      </c>
      <c r="C1981" s="116">
        <v>515.47474591416596</v>
      </c>
      <c r="D1981" s="116">
        <v>506.89172143674398</v>
      </c>
      <c r="E1981" s="116">
        <v>532.19684532707595</v>
      </c>
      <c r="F1981" s="116">
        <v>522.5</v>
      </c>
      <c r="G1981">
        <v>521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44932</v>
      </c>
      <c r="B1982" s="116">
        <v>540.53323117008904</v>
      </c>
      <c r="C1982" s="116">
        <v>530.02642534427901</v>
      </c>
      <c r="D1982" s="116">
        <v>513.00835957007905</v>
      </c>
      <c r="E1982" s="116">
        <v>515.62272909481101</v>
      </c>
      <c r="F1982" s="116">
        <v>537.25</v>
      </c>
      <c r="G1982">
        <v>599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44935</v>
      </c>
      <c r="B1983" s="116">
        <v>542.11171843030502</v>
      </c>
      <c r="C1983" s="116">
        <v>539.20138254428196</v>
      </c>
      <c r="D1983" s="116">
        <v>524.84701402169696</v>
      </c>
      <c r="E1983" s="116">
        <v>531.75289578514003</v>
      </c>
      <c r="F1983" s="116">
        <v>546.54999999999995</v>
      </c>
      <c r="G1983">
        <v>1773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44936</v>
      </c>
      <c r="B1984" s="116">
        <v>588.92373124107496</v>
      </c>
      <c r="C1984" s="116">
        <v>585.66810126687994</v>
      </c>
      <c r="D1984" s="116">
        <v>537.622895284067</v>
      </c>
      <c r="E1984" s="116">
        <v>537.622895284067</v>
      </c>
      <c r="F1984" s="116">
        <v>593.65</v>
      </c>
      <c r="G1984">
        <v>20159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44937</v>
      </c>
      <c r="B1985" s="116">
        <v>606.33641883032794</v>
      </c>
      <c r="C1985" s="116">
        <v>569.34062366902504</v>
      </c>
      <c r="D1985" s="116">
        <v>567.26885913999104</v>
      </c>
      <c r="E1985" s="116">
        <v>589.95961350559105</v>
      </c>
      <c r="F1985" s="116">
        <v>577.1</v>
      </c>
      <c r="G1985">
        <v>2684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44938</v>
      </c>
      <c r="B1986" s="116">
        <v>609.19742698946902</v>
      </c>
      <c r="C1986" s="116">
        <v>591.88339485397898</v>
      </c>
      <c r="D1986" s="116">
        <v>563.47062417009795</v>
      </c>
      <c r="E1986" s="116">
        <v>585.96406762817003</v>
      </c>
      <c r="F1986" s="116">
        <v>599.95000000000005</v>
      </c>
      <c r="G1986">
        <v>5338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44939</v>
      </c>
      <c r="B1987" s="116">
        <v>606.63238519161905</v>
      </c>
      <c r="C1987" s="116">
        <v>569.09398503461603</v>
      </c>
      <c r="D1987" s="116">
        <v>563.322640989452</v>
      </c>
      <c r="E1987" s="116">
        <v>591.93272258086097</v>
      </c>
      <c r="F1987" s="116">
        <v>576.85</v>
      </c>
      <c r="G1987">
        <v>2241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44942</v>
      </c>
      <c r="B1988" s="116">
        <v>592.91927711849496</v>
      </c>
      <c r="C1988" s="116">
        <v>591.09415122387099</v>
      </c>
      <c r="D1988" s="116">
        <v>557.45264149052502</v>
      </c>
      <c r="E1988" s="116">
        <v>588.97305896795604</v>
      </c>
      <c r="F1988" s="116">
        <v>599.15</v>
      </c>
      <c r="G1988">
        <v>2950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44943</v>
      </c>
      <c r="B1989" s="116">
        <v>599.77583115505695</v>
      </c>
      <c r="C1989" s="116">
        <v>591.39011758516199</v>
      </c>
      <c r="D1989" s="116">
        <v>584.08961400666396</v>
      </c>
      <c r="E1989" s="116">
        <v>591.93272258086097</v>
      </c>
      <c r="F1989" s="116">
        <v>599.45000000000005</v>
      </c>
      <c r="G1989">
        <v>3738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44944</v>
      </c>
      <c r="B1990" s="116">
        <v>621.43070325613996</v>
      </c>
      <c r="C1990" s="116">
        <v>602.932805675488</v>
      </c>
      <c r="D1990" s="116">
        <v>572.30028728192895</v>
      </c>
      <c r="E1990" s="116">
        <v>621.43070325613996</v>
      </c>
      <c r="F1990" s="116">
        <v>611.15</v>
      </c>
      <c r="G1990">
        <v>3364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44945</v>
      </c>
      <c r="B1991" s="116">
        <v>606.731040645382</v>
      </c>
      <c r="C1991" s="116">
        <v>596.47087345398097</v>
      </c>
      <c r="D1991" s="116">
        <v>588.08515988408499</v>
      </c>
      <c r="E1991" s="116">
        <v>589.95961350559105</v>
      </c>
      <c r="F1991" s="116">
        <v>604.6</v>
      </c>
      <c r="G1991">
        <v>2231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44946</v>
      </c>
      <c r="B1992" s="116">
        <v>606.731040645382</v>
      </c>
      <c r="C1992" s="116">
        <v>604.56062066258596</v>
      </c>
      <c r="D1992" s="116">
        <v>589.02238669483802</v>
      </c>
      <c r="E1992" s="116">
        <v>596.47087345398097</v>
      </c>
      <c r="F1992" s="116">
        <v>612.79999999999995</v>
      </c>
      <c r="G1992">
        <v>2640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44949</v>
      </c>
      <c r="B1993" s="116">
        <v>625.27826595291594</v>
      </c>
      <c r="C1993" s="116">
        <v>602.39020067978902</v>
      </c>
      <c r="D1993" s="116">
        <v>591.93272258086097</v>
      </c>
      <c r="E1993" s="116">
        <v>625.27826595291594</v>
      </c>
      <c r="F1993" s="116">
        <v>610.6</v>
      </c>
      <c r="G1993">
        <v>2676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44950</v>
      </c>
      <c r="B1994" s="116">
        <v>601.79826795720805</v>
      </c>
      <c r="C1994" s="116">
        <v>592.72196621096896</v>
      </c>
      <c r="D1994" s="116">
        <v>568.74869094644396</v>
      </c>
      <c r="E1994" s="116">
        <v>583.54700901096498</v>
      </c>
      <c r="F1994" s="116">
        <v>600.79999999999995</v>
      </c>
      <c r="G1994">
        <v>3464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44951</v>
      </c>
      <c r="B1995" s="116">
        <v>601.79826795720805</v>
      </c>
      <c r="C1995" s="116">
        <v>595.28700800881904</v>
      </c>
      <c r="D1995" s="116">
        <v>577.62768178515705</v>
      </c>
      <c r="E1995" s="116">
        <v>600.71305796580998</v>
      </c>
      <c r="F1995" s="116">
        <v>603.4</v>
      </c>
      <c r="G1995">
        <v>3002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44953</v>
      </c>
      <c r="B1996" s="116">
        <v>600.81171341957395</v>
      </c>
      <c r="C1996" s="116">
        <v>571.90566546687501</v>
      </c>
      <c r="D1996" s="116">
        <v>547.685751567941</v>
      </c>
      <c r="E1996" s="116">
        <v>600.81171341957395</v>
      </c>
      <c r="F1996" s="116">
        <v>579.70000000000005</v>
      </c>
      <c r="G1996">
        <v>6745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44956</v>
      </c>
      <c r="B1997" s="116">
        <v>591.58742849268901</v>
      </c>
      <c r="C1997" s="116">
        <v>583.20171492279303</v>
      </c>
      <c r="D1997" s="116">
        <v>568.30474140450804</v>
      </c>
      <c r="E1997" s="116">
        <v>579.10751359160895</v>
      </c>
      <c r="F1997" s="116">
        <v>591.15</v>
      </c>
      <c r="G1997">
        <v>3172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44957</v>
      </c>
      <c r="B1998" s="116">
        <v>594.89238619376499</v>
      </c>
      <c r="C1998" s="116">
        <v>581.771210843223</v>
      </c>
      <c r="D1998" s="116">
        <v>567.26885913999104</v>
      </c>
      <c r="E1998" s="116">
        <v>593.51120984107604</v>
      </c>
      <c r="F1998" s="116">
        <v>589.70000000000005</v>
      </c>
      <c r="G1998">
        <v>2997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44958</v>
      </c>
      <c r="B1999" s="116">
        <v>593.90583165612998</v>
      </c>
      <c r="C1999" s="116">
        <v>574.91465680666101</v>
      </c>
      <c r="D1999" s="116">
        <v>562.089447817409</v>
      </c>
      <c r="E1999" s="116">
        <v>591.93272258086097</v>
      </c>
      <c r="F1999" s="116">
        <v>582.75</v>
      </c>
      <c r="G1999">
        <v>3193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44959</v>
      </c>
      <c r="B2000" s="116">
        <v>594.84305846688301</v>
      </c>
      <c r="C2000" s="116">
        <v>583.89230309913705</v>
      </c>
      <c r="D2000" s="116">
        <v>575.21062316795098</v>
      </c>
      <c r="E2000" s="116">
        <v>590.94616804322595</v>
      </c>
      <c r="F2000" s="116">
        <v>591.85</v>
      </c>
      <c r="G2000">
        <v>2990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44960</v>
      </c>
      <c r="B2001" s="116">
        <v>600.56507478516505</v>
      </c>
      <c r="C2001" s="116">
        <v>506.79306598298001</v>
      </c>
      <c r="D2001" s="116">
        <v>483.41172344103597</v>
      </c>
      <c r="E2001" s="116">
        <v>600.56507478516505</v>
      </c>
      <c r="F2001" s="116">
        <v>513.70000000000005</v>
      </c>
      <c r="G2001">
        <v>32105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44963</v>
      </c>
      <c r="B2002" s="116">
        <v>510.04869595717503</v>
      </c>
      <c r="C2002" s="116">
        <v>486.66735341523099</v>
      </c>
      <c r="D2002" s="116">
        <v>449.86886916145397</v>
      </c>
      <c r="E2002" s="116">
        <v>493.27726881738403</v>
      </c>
      <c r="F2002" s="116">
        <v>493.3</v>
      </c>
      <c r="G2002">
        <v>23933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44964</v>
      </c>
      <c r="B2003" s="116">
        <v>488.29516840232799</v>
      </c>
      <c r="C2003" s="116">
        <v>473.59550579157002</v>
      </c>
      <c r="D2003" s="116">
        <v>473.546178064689</v>
      </c>
      <c r="E2003" s="116">
        <v>474.58206032920498</v>
      </c>
      <c r="F2003" s="116">
        <v>480.05</v>
      </c>
      <c r="G2003">
        <v>3642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44965</v>
      </c>
      <c r="B2004" s="116">
        <v>511.03525049480999</v>
      </c>
      <c r="C2004" s="116">
        <v>485.43416024318799</v>
      </c>
      <c r="D2004" s="116">
        <v>471.57306898941903</v>
      </c>
      <c r="E2004" s="116">
        <v>471.57306898941903</v>
      </c>
      <c r="F2004" s="116">
        <v>492.05</v>
      </c>
      <c r="G2004">
        <v>6907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44966</v>
      </c>
      <c r="B2005" s="116">
        <v>498.21004150555802</v>
      </c>
      <c r="C2005" s="116">
        <v>485.73012660447802</v>
      </c>
      <c r="D2005" s="116">
        <v>476.11121986253897</v>
      </c>
      <c r="E2005" s="116">
        <v>481.43861436576702</v>
      </c>
      <c r="F2005" s="116">
        <v>492.35</v>
      </c>
      <c r="G2005">
        <v>7001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44967</v>
      </c>
      <c r="B2006" s="116">
        <v>486.37138705394102</v>
      </c>
      <c r="C2006" s="116">
        <v>484.29962252490799</v>
      </c>
      <c r="D2006" s="116">
        <v>476.01256440877501</v>
      </c>
      <c r="E2006" s="116">
        <v>486.37138705394102</v>
      </c>
      <c r="F2006" s="116">
        <v>490.9</v>
      </c>
      <c r="G2006">
        <v>954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44970</v>
      </c>
      <c r="B2007" s="116">
        <v>512.02180503244404</v>
      </c>
      <c r="C2007" s="116">
        <v>471.277102628129</v>
      </c>
      <c r="D2007" s="116">
        <v>468.66273310339602</v>
      </c>
      <c r="E2007" s="116">
        <v>512.02180503244404</v>
      </c>
      <c r="F2007" s="116">
        <v>477.7</v>
      </c>
      <c r="G2007">
        <v>2725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44971</v>
      </c>
      <c r="B2008" s="116">
        <v>483.36239571415501</v>
      </c>
      <c r="C2008" s="116">
        <v>468.46542219587002</v>
      </c>
      <c r="D2008" s="116">
        <v>461.70752361307098</v>
      </c>
      <c r="E2008" s="116">
        <v>483.36239571415501</v>
      </c>
      <c r="F2008" s="116">
        <v>474.85</v>
      </c>
      <c r="G2008">
        <v>3124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44972</v>
      </c>
      <c r="B2009" s="116">
        <v>467.62685083887999</v>
      </c>
      <c r="C2009" s="116">
        <v>456.82407865177902</v>
      </c>
      <c r="D2009" s="116">
        <v>449.91819688833601</v>
      </c>
      <c r="E2009" s="116">
        <v>463.92727132275002</v>
      </c>
      <c r="F2009" s="116">
        <v>463.05</v>
      </c>
      <c r="G2009">
        <v>8820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44973</v>
      </c>
      <c r="B2010" s="116">
        <v>478.18298439157201</v>
      </c>
      <c r="C2010" s="116">
        <v>466.93626266253602</v>
      </c>
      <c r="D2010" s="116">
        <v>458.74786000016701</v>
      </c>
      <c r="E2010" s="116">
        <v>458.74786000016701</v>
      </c>
      <c r="F2010" s="116">
        <v>473.3</v>
      </c>
      <c r="G2010">
        <v>2742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44974</v>
      </c>
      <c r="B2011" s="116">
        <v>492.78399154856697</v>
      </c>
      <c r="C2011" s="116">
        <v>489.08441203243598</v>
      </c>
      <c r="D2011" s="116">
        <v>445.18273510768898</v>
      </c>
      <c r="E2011" s="116">
        <v>478.47895075286198</v>
      </c>
      <c r="F2011" s="116">
        <v>495.75</v>
      </c>
      <c r="G2011">
        <v>8963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44977</v>
      </c>
      <c r="B2012" s="116">
        <v>506.64508280233503</v>
      </c>
      <c r="C2012" s="116">
        <v>498.752646501257</v>
      </c>
      <c r="D2012" s="116">
        <v>489.87365566254402</v>
      </c>
      <c r="E2012" s="116">
        <v>493.27726881738403</v>
      </c>
      <c r="F2012" s="116">
        <v>505.55</v>
      </c>
      <c r="G2012">
        <v>3882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44978</v>
      </c>
      <c r="B2013" s="116">
        <v>515.96802318298398</v>
      </c>
      <c r="C2013" s="116">
        <v>509.90071277652999</v>
      </c>
      <c r="D2013" s="116">
        <v>499.34457922383802</v>
      </c>
      <c r="E2013" s="116">
        <v>507.976931428142</v>
      </c>
      <c r="F2013" s="116">
        <v>516.85</v>
      </c>
      <c r="G2013">
        <v>3070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44979</v>
      </c>
      <c r="B2014" s="116">
        <v>531.70356805825804</v>
      </c>
      <c r="C2014" s="116">
        <v>527.31340036578297</v>
      </c>
      <c r="D2014" s="116">
        <v>513.05768729696103</v>
      </c>
      <c r="E2014" s="116">
        <v>531.70356805825804</v>
      </c>
      <c r="F2014" s="116">
        <v>534.5</v>
      </c>
      <c r="G2014">
        <v>5959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44980</v>
      </c>
      <c r="B2015" s="116">
        <v>537.57356755718502</v>
      </c>
      <c r="C2015" s="116">
        <v>534.81121485180802</v>
      </c>
      <c r="D2015" s="116">
        <v>512.613737755025</v>
      </c>
      <c r="E2015" s="116">
        <v>512.613737755025</v>
      </c>
      <c r="F2015" s="116">
        <v>542.1</v>
      </c>
      <c r="G2015">
        <v>2597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44981</v>
      </c>
      <c r="B2016" s="116">
        <v>541.61844116148802</v>
      </c>
      <c r="C2016" s="116">
        <v>528.74390444535402</v>
      </c>
      <c r="D2016" s="116">
        <v>522.92323267330903</v>
      </c>
      <c r="E2016" s="116">
        <v>541.61844116148802</v>
      </c>
      <c r="F2016" s="116">
        <v>535.95000000000005</v>
      </c>
      <c r="G2016">
        <v>3538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44984</v>
      </c>
      <c r="B2017" s="116">
        <v>532.73945032277504</v>
      </c>
      <c r="C2017" s="116">
        <v>532.44348396148405</v>
      </c>
      <c r="D2017" s="116">
        <v>503.24146964749502</v>
      </c>
      <c r="E2017" s="116">
        <v>522.87390494642705</v>
      </c>
      <c r="F2017" s="116">
        <v>539.70000000000005</v>
      </c>
      <c r="G2017">
        <v>3425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44985</v>
      </c>
      <c r="B2018" s="116">
        <v>550.49743200019998</v>
      </c>
      <c r="C2018" s="116">
        <v>540.77986980449805</v>
      </c>
      <c r="D2018" s="116">
        <v>517.94113225825299</v>
      </c>
      <c r="E2018" s="116">
        <v>531.75289578514003</v>
      </c>
      <c r="F2018" s="116">
        <v>548.15</v>
      </c>
      <c r="G2018">
        <v>15130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44986</v>
      </c>
      <c r="B2019" s="116">
        <v>546.40323066901601</v>
      </c>
      <c r="C2019" s="116">
        <v>534.21928212922705</v>
      </c>
      <c r="D2019" s="116">
        <v>526.08020719373997</v>
      </c>
      <c r="E2019" s="116">
        <v>532.73945032277504</v>
      </c>
      <c r="F2019" s="116">
        <v>541.5</v>
      </c>
      <c r="G2019">
        <v>3366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44987</v>
      </c>
      <c r="B2020" s="116">
        <v>550.39877654643703</v>
      </c>
      <c r="C2020" s="116">
        <v>542.30902933783204</v>
      </c>
      <c r="D2020" s="116">
        <v>522.38062767761005</v>
      </c>
      <c r="E2020" s="116">
        <v>547.43911293353301</v>
      </c>
      <c r="F2020" s="116">
        <v>549.70000000000005</v>
      </c>
      <c r="G2020">
        <v>3556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44988</v>
      </c>
      <c r="B2021" s="116">
        <v>554.39432242385794</v>
      </c>
      <c r="C2021" s="116">
        <v>547.43911293353301</v>
      </c>
      <c r="D2021" s="116">
        <v>542.55566797224105</v>
      </c>
      <c r="E2021" s="116">
        <v>542.654323426004</v>
      </c>
      <c r="F2021" s="116">
        <v>554.9</v>
      </c>
      <c r="G2021">
        <v>1332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44991</v>
      </c>
      <c r="B2022" s="116">
        <v>554.39432242385794</v>
      </c>
      <c r="C2022" s="116">
        <v>543.14760069482099</v>
      </c>
      <c r="D2022" s="116">
        <v>535.30449212062501</v>
      </c>
      <c r="E2022" s="116">
        <v>537.67222301094796</v>
      </c>
      <c r="F2022" s="116">
        <v>550.54999999999995</v>
      </c>
      <c r="G2022">
        <v>3191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44993</v>
      </c>
      <c r="B2023" s="116">
        <v>555.23289378084701</v>
      </c>
      <c r="C2023" s="116">
        <v>537.67222301094796</v>
      </c>
      <c r="D2023" s="116">
        <v>525.88289628621305</v>
      </c>
      <c r="E2023" s="116">
        <v>525.88289628621305</v>
      </c>
      <c r="F2023" s="116">
        <v>545</v>
      </c>
      <c r="G2023">
        <v>1221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44994</v>
      </c>
      <c r="B2024" s="116">
        <v>562.33608645181801</v>
      </c>
      <c r="C2024" s="116">
        <v>560.067011015258</v>
      </c>
      <c r="D2024" s="116">
        <v>542.60499569912201</v>
      </c>
      <c r="E2024" s="116">
        <v>552.47054107547001</v>
      </c>
      <c r="F2024" s="116">
        <v>567.70000000000005</v>
      </c>
      <c r="G2024">
        <v>4447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44995</v>
      </c>
      <c r="B2025" s="116">
        <v>561.84280918299999</v>
      </c>
      <c r="C2025" s="116">
        <v>552.47054107547001</v>
      </c>
      <c r="D2025" s="116">
        <v>540.68121435073397</v>
      </c>
      <c r="E2025" s="116">
        <v>540.68121435073397</v>
      </c>
      <c r="F2025" s="116">
        <v>560</v>
      </c>
      <c r="G2025">
        <v>1577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44998</v>
      </c>
      <c r="B2026" s="116">
        <v>557.35398603676197</v>
      </c>
      <c r="C2026" s="116">
        <v>552.02659153353397</v>
      </c>
      <c r="D2026" s="116">
        <v>537.82020619159402</v>
      </c>
      <c r="E2026" s="116">
        <v>554.93692741955704</v>
      </c>
      <c r="F2026" s="116">
        <v>559.54999999999995</v>
      </c>
      <c r="G2026">
        <v>1740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44999</v>
      </c>
      <c r="B2027" s="116">
        <v>570.96843865612198</v>
      </c>
      <c r="C2027" s="116">
        <v>550.79339836149097</v>
      </c>
      <c r="D2027" s="116">
        <v>538.46146664105595</v>
      </c>
      <c r="E2027" s="116">
        <v>561.15222100665596</v>
      </c>
      <c r="F2027" s="116">
        <v>558.29999999999995</v>
      </c>
      <c r="G2027">
        <v>547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45000</v>
      </c>
      <c r="B2028" s="116">
        <v>560.31364964966599</v>
      </c>
      <c r="C2028" s="116">
        <v>546.35390294213403</v>
      </c>
      <c r="D2028" s="116">
        <v>542.60499569912201</v>
      </c>
      <c r="E2028" s="116">
        <v>542.60499569912201</v>
      </c>
      <c r="F2028" s="116">
        <v>553.79999999999995</v>
      </c>
      <c r="G2028">
        <v>770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45001</v>
      </c>
      <c r="B2029" s="116">
        <v>552.47054107547001</v>
      </c>
      <c r="C2029" s="116">
        <v>552.02659153353397</v>
      </c>
      <c r="D2029" s="116">
        <v>523.90978721094302</v>
      </c>
      <c r="E2029" s="116">
        <v>527.46138354642903</v>
      </c>
      <c r="F2029" s="116">
        <v>559.54999999999995</v>
      </c>
      <c r="G2029">
        <v>3852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45002</v>
      </c>
      <c r="B2030" s="116">
        <v>552.47054107547001</v>
      </c>
      <c r="C2030" s="116">
        <v>546.05793658084394</v>
      </c>
      <c r="D2030" s="116">
        <v>534.71255939804405</v>
      </c>
      <c r="E2030" s="116">
        <v>534.71255939804405</v>
      </c>
      <c r="F2030" s="116">
        <v>553.5</v>
      </c>
      <c r="G2030">
        <v>473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45005</v>
      </c>
      <c r="B2031" s="116">
        <v>551.43465881095403</v>
      </c>
      <c r="C2031" s="116">
        <v>511.92314957868098</v>
      </c>
      <c r="D2031" s="116">
        <v>505.11592326900097</v>
      </c>
      <c r="E2031" s="116">
        <v>551.43465881095403</v>
      </c>
      <c r="F2031" s="116">
        <v>518.9</v>
      </c>
      <c r="G2031">
        <v>3500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45006</v>
      </c>
      <c r="B2032" s="116">
        <v>541.56911343460604</v>
      </c>
      <c r="C2032" s="116">
        <v>521.54205632061996</v>
      </c>
      <c r="D2032" s="116">
        <v>515.47474591416596</v>
      </c>
      <c r="E2032" s="116">
        <v>518.97701452276999</v>
      </c>
      <c r="F2032" s="116">
        <v>528.65</v>
      </c>
      <c r="G2032">
        <v>5061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45007</v>
      </c>
      <c r="B2033" s="116">
        <v>538.60944982170201</v>
      </c>
      <c r="C2033" s="116">
        <v>537.32692892277601</v>
      </c>
      <c r="D2033" s="116">
        <v>520.06222451416795</v>
      </c>
      <c r="E2033" s="116">
        <v>537.57356755718502</v>
      </c>
      <c r="F2033" s="116">
        <v>544.65</v>
      </c>
      <c r="G2033">
        <v>662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45008</v>
      </c>
      <c r="B2034" s="116">
        <v>552.47054107547001</v>
      </c>
      <c r="C2034" s="116">
        <v>552.47054107547001</v>
      </c>
      <c r="D2034" s="116">
        <v>527.85600536148297</v>
      </c>
      <c r="E2034" s="116">
        <v>542.60499569912201</v>
      </c>
      <c r="F2034" s="116">
        <v>560</v>
      </c>
      <c r="G2034">
        <v>3462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45009</v>
      </c>
      <c r="B2035" s="116">
        <v>569.24196821526095</v>
      </c>
      <c r="C2035" s="116">
        <v>555.43020468837403</v>
      </c>
      <c r="D2035" s="116">
        <v>534.71255939804405</v>
      </c>
      <c r="E2035" s="116">
        <v>552.37188562170695</v>
      </c>
      <c r="F2035" s="116">
        <v>563</v>
      </c>
      <c r="G2035">
        <v>2617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45012</v>
      </c>
      <c r="B2036" s="116">
        <v>567.26885913999104</v>
      </c>
      <c r="C2036" s="116">
        <v>551.13869244966304</v>
      </c>
      <c r="D2036" s="116">
        <v>534.71255939804405</v>
      </c>
      <c r="E2036" s="116">
        <v>554.93692741955704</v>
      </c>
      <c r="F2036" s="116">
        <v>558.65</v>
      </c>
      <c r="G2036">
        <v>4042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45013</v>
      </c>
      <c r="B2037" s="116">
        <v>565.78902733353902</v>
      </c>
      <c r="C2037" s="116">
        <v>552.76650743675998</v>
      </c>
      <c r="D2037" s="116">
        <v>542.55566797224105</v>
      </c>
      <c r="E2037" s="116">
        <v>562.089447817409</v>
      </c>
      <c r="F2037" s="116">
        <v>560.29999999999995</v>
      </c>
      <c r="G2037">
        <v>4013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45014</v>
      </c>
      <c r="B2038" s="116">
        <v>566.97289277870095</v>
      </c>
      <c r="C2038" s="116">
        <v>556.81138104106299</v>
      </c>
      <c r="D2038" s="116">
        <v>531.30894624320399</v>
      </c>
      <c r="E2038" s="116">
        <v>566.77558187117404</v>
      </c>
      <c r="F2038" s="116">
        <v>564.4</v>
      </c>
      <c r="G2038">
        <v>5039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45016</v>
      </c>
      <c r="B2039" s="116">
        <v>581.08062266687796</v>
      </c>
      <c r="C2039" s="116">
        <v>561.99079236364503</v>
      </c>
      <c r="D2039" s="116">
        <v>555.92348195719205</v>
      </c>
      <c r="E2039" s="116">
        <v>566.18364914859296</v>
      </c>
      <c r="F2039" s="116">
        <v>569.65</v>
      </c>
      <c r="G2039">
        <v>3826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45019</v>
      </c>
      <c r="B2040" s="116">
        <v>572.79356455074605</v>
      </c>
      <c r="C2040" s="116">
        <v>545.416676131381</v>
      </c>
      <c r="D2040" s="116">
        <v>533.72600486040903</v>
      </c>
      <c r="E2040" s="116">
        <v>570.22852275289597</v>
      </c>
      <c r="F2040" s="116">
        <v>552.85</v>
      </c>
      <c r="G2040">
        <v>430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45021</v>
      </c>
      <c r="B2041" s="116">
        <v>561.34953191418299</v>
      </c>
      <c r="C2041" s="116">
        <v>539.79331526686303</v>
      </c>
      <c r="D2041" s="116">
        <v>537.52423983030303</v>
      </c>
      <c r="E2041" s="116">
        <v>561.34953191418299</v>
      </c>
      <c r="F2041" s="116">
        <v>547.15</v>
      </c>
      <c r="G2041">
        <v>768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45022</v>
      </c>
      <c r="B2042" s="116">
        <v>567.26885913999104</v>
      </c>
      <c r="C2042" s="116">
        <v>566.331632329238</v>
      </c>
      <c r="D2042" s="116">
        <v>542.60499569912201</v>
      </c>
      <c r="E2042" s="116">
        <v>566.28230460235704</v>
      </c>
      <c r="F2042" s="116">
        <v>574.04999999999995</v>
      </c>
      <c r="G2042">
        <v>3376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45026</v>
      </c>
      <c r="B2043" s="116">
        <v>577.13440451633903</v>
      </c>
      <c r="C2043" s="116">
        <v>572.30028728192895</v>
      </c>
      <c r="D2043" s="116">
        <v>547.53776838729596</v>
      </c>
      <c r="E2043" s="116">
        <v>572.20163182816498</v>
      </c>
      <c r="F2043" s="116">
        <v>580.1</v>
      </c>
      <c r="G2043">
        <v>3023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45027</v>
      </c>
      <c r="B2044" s="116">
        <v>641.06313855507199</v>
      </c>
      <c r="C2044" s="116">
        <v>621.67734189054897</v>
      </c>
      <c r="D2044" s="116">
        <v>559.96835556149404</v>
      </c>
      <c r="E2044" s="116">
        <v>559.96835556149404</v>
      </c>
      <c r="F2044" s="116">
        <v>630.15</v>
      </c>
      <c r="G2044">
        <v>19738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45028</v>
      </c>
      <c r="B2045" s="116">
        <v>656.05876752712095</v>
      </c>
      <c r="C2045" s="116">
        <v>623.00919051635606</v>
      </c>
      <c r="D2045" s="116">
        <v>616.59658602172999</v>
      </c>
      <c r="E2045" s="116">
        <v>640.32322265184598</v>
      </c>
      <c r="F2045" s="116">
        <v>631.5</v>
      </c>
      <c r="G2045">
        <v>6288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45029</v>
      </c>
      <c r="B2046" s="116">
        <v>641.26044946259901</v>
      </c>
      <c r="C2046" s="116">
        <v>615.41272057656795</v>
      </c>
      <c r="D2046" s="116">
        <v>607.71759518301701</v>
      </c>
      <c r="E2046" s="116">
        <v>631.39490408625102</v>
      </c>
      <c r="F2046" s="116">
        <v>623.79999999999995</v>
      </c>
      <c r="G2046">
        <v>2840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45033</v>
      </c>
      <c r="B2047" s="116">
        <v>626.46213139807799</v>
      </c>
      <c r="C2047" s="116">
        <v>614.42616603893305</v>
      </c>
      <c r="D2047" s="116">
        <v>598.00003298731497</v>
      </c>
      <c r="E2047" s="116">
        <v>615.11675421527798</v>
      </c>
      <c r="F2047" s="116">
        <v>622.79999999999995</v>
      </c>
      <c r="G2047">
        <v>2046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45034</v>
      </c>
      <c r="B2048" s="116">
        <v>616.59658602172999</v>
      </c>
      <c r="C2048" s="116">
        <v>611.66381333355605</v>
      </c>
      <c r="D2048" s="116">
        <v>598.73994889054097</v>
      </c>
      <c r="E2048" s="116">
        <v>613.63692240882597</v>
      </c>
      <c r="F2048" s="116">
        <v>620</v>
      </c>
      <c r="G2048">
        <v>523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45035</v>
      </c>
      <c r="B2049" s="116">
        <v>621.43070325613996</v>
      </c>
      <c r="C2049" s="116">
        <v>586.99994989268703</v>
      </c>
      <c r="D2049" s="116">
        <v>578.12095905397405</v>
      </c>
      <c r="E2049" s="116">
        <v>621.43070325613996</v>
      </c>
      <c r="F2049" s="116">
        <v>595</v>
      </c>
      <c r="G2049">
        <v>3291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45036</v>
      </c>
      <c r="B2050" s="116">
        <v>616.34994738732098</v>
      </c>
      <c r="C2050" s="116">
        <v>589.07171442172</v>
      </c>
      <c r="D2050" s="116">
        <v>583.05373174214799</v>
      </c>
      <c r="E2050" s="116">
        <v>586.99994989268703</v>
      </c>
      <c r="F2050" s="116">
        <v>597.1</v>
      </c>
      <c r="G2050">
        <v>1491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45037</v>
      </c>
      <c r="B2051" s="116">
        <v>608.70414972065203</v>
      </c>
      <c r="C2051" s="116">
        <v>602.53818386043395</v>
      </c>
      <c r="D2051" s="116">
        <v>574.71734589913399</v>
      </c>
      <c r="E2051" s="116">
        <v>606.48440201097401</v>
      </c>
      <c r="F2051" s="116">
        <v>610.75</v>
      </c>
      <c r="G2051">
        <v>244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45040</v>
      </c>
      <c r="B2052" s="116">
        <v>611.12120833785696</v>
      </c>
      <c r="C2052" s="116">
        <v>587.34524398085898</v>
      </c>
      <c r="D2052" s="116">
        <v>563.322640989452</v>
      </c>
      <c r="E2052" s="116">
        <v>611.12120833785696</v>
      </c>
      <c r="F2052" s="116">
        <v>595.35</v>
      </c>
      <c r="G2052">
        <v>904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45041</v>
      </c>
      <c r="B2053" s="116">
        <v>591.834067127097</v>
      </c>
      <c r="C2053" s="116">
        <v>564.99978370343194</v>
      </c>
      <c r="D2053" s="116">
        <v>563.37196871633398</v>
      </c>
      <c r="E2053" s="116">
        <v>591.834067127097</v>
      </c>
      <c r="F2053" s="116">
        <v>572.70000000000005</v>
      </c>
      <c r="G2053">
        <v>2180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45042</v>
      </c>
      <c r="B2054" s="116">
        <v>596.81616754215304</v>
      </c>
      <c r="C2054" s="116">
        <v>567.71280868192696</v>
      </c>
      <c r="D2054" s="116">
        <v>567.26885913999104</v>
      </c>
      <c r="E2054" s="116">
        <v>596.81616754215304</v>
      </c>
      <c r="F2054" s="116">
        <v>575.45000000000005</v>
      </c>
      <c r="G2054">
        <v>944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45043</v>
      </c>
      <c r="B2055" s="116">
        <v>582.01784947763099</v>
      </c>
      <c r="C2055" s="116">
        <v>573.68146363461699</v>
      </c>
      <c r="D2055" s="116">
        <v>562.33608645181801</v>
      </c>
      <c r="E2055" s="116">
        <v>582.01784947763099</v>
      </c>
      <c r="F2055" s="116">
        <v>581.5</v>
      </c>
      <c r="G2055">
        <v>545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45044</v>
      </c>
      <c r="B2056" s="116">
        <v>577.13440451633903</v>
      </c>
      <c r="C2056" s="116">
        <v>576.14784997870402</v>
      </c>
      <c r="D2056" s="116">
        <v>564.45717870773206</v>
      </c>
      <c r="E2056" s="116">
        <v>577.13440451633903</v>
      </c>
      <c r="F2056" s="116">
        <v>584</v>
      </c>
      <c r="G2056">
        <v>78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45048</v>
      </c>
      <c r="B2057" s="116">
        <v>609.54272107764098</v>
      </c>
      <c r="C2057" s="116">
        <v>572.89222000451002</v>
      </c>
      <c r="D2057" s="116">
        <v>562.33608645181801</v>
      </c>
      <c r="E2057" s="116">
        <v>562.33608645181801</v>
      </c>
      <c r="F2057" s="116">
        <v>580.70000000000005</v>
      </c>
      <c r="G2057">
        <v>1539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45049</v>
      </c>
      <c r="B2058" s="116">
        <v>590.45289077440896</v>
      </c>
      <c r="C2058" s="116">
        <v>563.27331326257104</v>
      </c>
      <c r="D2058" s="116">
        <v>555.82482650342797</v>
      </c>
      <c r="E2058" s="116">
        <v>584.38558036795496</v>
      </c>
      <c r="F2058" s="116">
        <v>570.95000000000005</v>
      </c>
      <c r="G2058">
        <v>1430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45050</v>
      </c>
      <c r="B2059" s="116">
        <v>577.13440451633903</v>
      </c>
      <c r="C2059" s="116">
        <v>563.96390143891495</v>
      </c>
      <c r="D2059" s="116">
        <v>562.33608645181801</v>
      </c>
      <c r="E2059" s="116">
        <v>577.13440451633903</v>
      </c>
      <c r="F2059" s="116">
        <v>571.65</v>
      </c>
      <c r="G2059">
        <v>2746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45051</v>
      </c>
      <c r="B2060" s="116">
        <v>591.88339485397898</v>
      </c>
      <c r="C2060" s="116">
        <v>567.26885913999104</v>
      </c>
      <c r="D2060" s="116">
        <v>533.824660314173</v>
      </c>
      <c r="E2060" s="116">
        <v>591.88339485397898</v>
      </c>
      <c r="F2060" s="116">
        <v>575</v>
      </c>
      <c r="G2060">
        <v>1020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45054</v>
      </c>
      <c r="B2061" s="116">
        <v>573.13885863891801</v>
      </c>
      <c r="C2061" s="116">
        <v>565.54238869913104</v>
      </c>
      <c r="D2061" s="116">
        <v>552.61852425611505</v>
      </c>
      <c r="E2061" s="116">
        <v>562.28675872493602</v>
      </c>
      <c r="F2061" s="116">
        <v>573.25</v>
      </c>
      <c r="G2061">
        <v>73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45055</v>
      </c>
      <c r="B2062" s="116">
        <v>577.08507678945796</v>
      </c>
      <c r="C2062" s="116">
        <v>552.91449061740605</v>
      </c>
      <c r="D2062" s="116">
        <v>551.48398653783499</v>
      </c>
      <c r="E2062" s="116">
        <v>552.51986880235199</v>
      </c>
      <c r="F2062" s="116">
        <v>560.45000000000005</v>
      </c>
      <c r="G2062">
        <v>1252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45056</v>
      </c>
      <c r="B2063" s="116">
        <v>595.87894073140001</v>
      </c>
      <c r="C2063" s="116">
        <v>564.90112824966798</v>
      </c>
      <c r="D2063" s="116">
        <v>552.91449061740605</v>
      </c>
      <c r="E2063" s="116">
        <v>552.91449061740605</v>
      </c>
      <c r="F2063" s="116">
        <v>572.6</v>
      </c>
      <c r="G2063">
        <v>1672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45057</v>
      </c>
      <c r="B2064" s="116">
        <v>597.85204980666902</v>
      </c>
      <c r="C2064" s="116">
        <v>568.00877504321795</v>
      </c>
      <c r="D2064" s="116">
        <v>560.51096055719302</v>
      </c>
      <c r="E2064" s="116">
        <v>586.95062216580504</v>
      </c>
      <c r="F2064" s="116">
        <v>575.75</v>
      </c>
      <c r="G2064">
        <v>3273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45058</v>
      </c>
      <c r="B2065" s="116">
        <v>595.78028527763604</v>
      </c>
      <c r="C2065" s="116">
        <v>569.53793457655104</v>
      </c>
      <c r="D2065" s="116">
        <v>564.358523253969</v>
      </c>
      <c r="E2065" s="116">
        <v>582.01784947763099</v>
      </c>
      <c r="F2065" s="116">
        <v>577.29999999999995</v>
      </c>
      <c r="G2065">
        <v>1264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45061</v>
      </c>
      <c r="B2066" s="116">
        <v>572.00432092063795</v>
      </c>
      <c r="C2066" s="116">
        <v>545.02205431632797</v>
      </c>
      <c r="D2066" s="116">
        <v>532.73945032277504</v>
      </c>
      <c r="E2066" s="116">
        <v>572.00432092063795</v>
      </c>
      <c r="F2066" s="116">
        <v>552.45000000000005</v>
      </c>
      <c r="G2066">
        <v>4856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45062</v>
      </c>
      <c r="B2067" s="116">
        <v>581.57389993569598</v>
      </c>
      <c r="C2067" s="116">
        <v>535.50180302815204</v>
      </c>
      <c r="D2067" s="116">
        <v>528.44793808406303</v>
      </c>
      <c r="E2067" s="116">
        <v>581.57389993569598</v>
      </c>
      <c r="F2067" s="116">
        <v>542.79999999999995</v>
      </c>
      <c r="G2067">
        <v>10493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45063</v>
      </c>
      <c r="B2068" s="116">
        <v>571.11642183676702</v>
      </c>
      <c r="C2068" s="116">
        <v>533.67667713352796</v>
      </c>
      <c r="D2068" s="116">
        <v>532.73945032277504</v>
      </c>
      <c r="E2068" s="116">
        <v>547.53776838729596</v>
      </c>
      <c r="F2068" s="116">
        <v>540.95000000000005</v>
      </c>
      <c r="G2068">
        <v>2981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45064</v>
      </c>
      <c r="B2069" s="116">
        <v>557.25533058299902</v>
      </c>
      <c r="C2069" s="116">
        <v>533.43003849911895</v>
      </c>
      <c r="D2069" s="116">
        <v>530.76634124750501</v>
      </c>
      <c r="E2069" s="116">
        <v>557.25533058299902</v>
      </c>
      <c r="F2069" s="116">
        <v>540.70000000000005</v>
      </c>
      <c r="G2069">
        <v>1208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45065</v>
      </c>
      <c r="B2070" s="116">
        <v>556.91003649482604</v>
      </c>
      <c r="C2070" s="116">
        <v>534.21928212922705</v>
      </c>
      <c r="D2070" s="116">
        <v>524.99499720234201</v>
      </c>
      <c r="E2070" s="116">
        <v>556.91003649482604</v>
      </c>
      <c r="F2070" s="116">
        <v>541.5</v>
      </c>
      <c r="G2070">
        <v>2956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45068</v>
      </c>
      <c r="B2071" s="116">
        <v>548.91894473998502</v>
      </c>
      <c r="C2071" s="116">
        <v>527.80667763460099</v>
      </c>
      <c r="D2071" s="116">
        <v>526.57348446255696</v>
      </c>
      <c r="E2071" s="116">
        <v>537.17894574213096</v>
      </c>
      <c r="F2071" s="116">
        <v>535</v>
      </c>
      <c r="G2071">
        <v>2517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45069</v>
      </c>
      <c r="B2072" s="116">
        <v>542.60499569912201</v>
      </c>
      <c r="C2072" s="116">
        <v>524.55104766040597</v>
      </c>
      <c r="D2072" s="116">
        <v>524.00844266470699</v>
      </c>
      <c r="E2072" s="116">
        <v>542.60499569912201</v>
      </c>
      <c r="F2072" s="116">
        <v>531.70000000000005</v>
      </c>
      <c r="G2072">
        <v>770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45070</v>
      </c>
      <c r="B2073" s="116">
        <v>541.12516389267</v>
      </c>
      <c r="C2073" s="116">
        <v>529.38516489481594</v>
      </c>
      <c r="D2073" s="116">
        <v>524.94566947546002</v>
      </c>
      <c r="E2073" s="116">
        <v>524.94566947546002</v>
      </c>
      <c r="F2073" s="116">
        <v>536.6</v>
      </c>
      <c r="G2073">
        <v>490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45071</v>
      </c>
      <c r="B2074" s="116">
        <v>532.73945032277504</v>
      </c>
      <c r="C2074" s="116">
        <v>526.62281218943895</v>
      </c>
      <c r="D2074" s="116">
        <v>514.09356956147803</v>
      </c>
      <c r="E2074" s="116">
        <v>524.40306447976104</v>
      </c>
      <c r="F2074" s="116">
        <v>533.79999999999995</v>
      </c>
      <c r="G2074">
        <v>2891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45072</v>
      </c>
      <c r="B2075" s="116">
        <v>550.34944881955505</v>
      </c>
      <c r="C2075" s="116">
        <v>544.33146613998304</v>
      </c>
      <c r="D2075" s="116">
        <v>522.87390494642705</v>
      </c>
      <c r="E2075" s="116">
        <v>522.87390494642705</v>
      </c>
      <c r="F2075" s="116">
        <v>551.75</v>
      </c>
      <c r="G2075">
        <v>8113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45075</v>
      </c>
      <c r="B2076" s="116">
        <v>547.53776838729596</v>
      </c>
      <c r="C2076" s="116">
        <v>545.12070977009103</v>
      </c>
      <c r="D2076" s="116">
        <v>532.83810577653799</v>
      </c>
      <c r="E2076" s="116">
        <v>546.55121384966105</v>
      </c>
      <c r="F2076" s="116">
        <v>552.54999999999995</v>
      </c>
      <c r="G2076">
        <v>2688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45076</v>
      </c>
      <c r="B2077" s="116">
        <v>555.38087696149296</v>
      </c>
      <c r="C2077" s="116">
        <v>539.44802117869096</v>
      </c>
      <c r="D2077" s="116">
        <v>528.29995490341798</v>
      </c>
      <c r="E2077" s="116">
        <v>542.60499569912201</v>
      </c>
      <c r="F2077" s="116">
        <v>546.79999999999995</v>
      </c>
      <c r="G2077">
        <v>3079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45077</v>
      </c>
      <c r="B2078" s="116">
        <v>547.48844066041397</v>
      </c>
      <c r="C2078" s="116">
        <v>536.14306347761499</v>
      </c>
      <c r="D2078" s="116">
        <v>523.41650994212603</v>
      </c>
      <c r="E2078" s="116">
        <v>523.41650994212603</v>
      </c>
      <c r="F2078" s="116">
        <v>543.45000000000005</v>
      </c>
      <c r="G2078">
        <v>2203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45078</v>
      </c>
      <c r="B2079" s="116">
        <v>547.53776838729596</v>
      </c>
      <c r="C2079" s="116">
        <v>543.690205690521</v>
      </c>
      <c r="D2079" s="116">
        <v>532.83810577653799</v>
      </c>
      <c r="E2079" s="116">
        <v>532.88743350341997</v>
      </c>
      <c r="F2079" s="116">
        <v>551.1</v>
      </c>
      <c r="G2079">
        <v>2768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45079</v>
      </c>
      <c r="B2080" s="116">
        <v>591.93272258086097</v>
      </c>
      <c r="C2080" s="116">
        <v>556.95936422170803</v>
      </c>
      <c r="D2080" s="116">
        <v>542.60499569912201</v>
      </c>
      <c r="E2080" s="116">
        <v>542.60499569912201</v>
      </c>
      <c r="F2080" s="116">
        <v>564.54999999999995</v>
      </c>
      <c r="G2080">
        <v>6109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45082</v>
      </c>
      <c r="B2081" s="116">
        <v>586.95062216580504</v>
      </c>
      <c r="C2081" s="116">
        <v>574.02675772278997</v>
      </c>
      <c r="D2081" s="116">
        <v>562.58272508622599</v>
      </c>
      <c r="E2081" s="116">
        <v>572.20163182816498</v>
      </c>
      <c r="F2081" s="116">
        <v>581.85</v>
      </c>
      <c r="G2081">
        <v>1580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45083</v>
      </c>
      <c r="B2082" s="116">
        <v>688.81237817659496</v>
      </c>
      <c r="C2082" s="116">
        <v>688.81237817659496</v>
      </c>
      <c r="D2082" s="116">
        <v>568.25541367762605</v>
      </c>
      <c r="E2082" s="116">
        <v>572.20163182816498</v>
      </c>
      <c r="F2082" s="116">
        <v>698.2</v>
      </c>
      <c r="G2082">
        <v>83987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45084</v>
      </c>
      <c r="B2083" s="116">
        <v>718.21170339811101</v>
      </c>
      <c r="C2083" s="116">
        <v>689.55229407982097</v>
      </c>
      <c r="D2083" s="116">
        <v>656.05876752712095</v>
      </c>
      <c r="E2083" s="116">
        <v>718.21170339811101</v>
      </c>
      <c r="F2083" s="116">
        <v>698.95</v>
      </c>
      <c r="G2083">
        <v>16787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45085</v>
      </c>
      <c r="B2084" s="116">
        <v>699.46716718305004</v>
      </c>
      <c r="C2084" s="116">
        <v>663.60590974002696</v>
      </c>
      <c r="D2084" s="116">
        <v>648.65960849485998</v>
      </c>
      <c r="E2084" s="116">
        <v>689.55229407982097</v>
      </c>
      <c r="F2084" s="116">
        <v>672.65</v>
      </c>
      <c r="G2084">
        <v>4624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45086</v>
      </c>
      <c r="B2085" s="116">
        <v>675.69120282605297</v>
      </c>
      <c r="C2085" s="116">
        <v>660.49826294647698</v>
      </c>
      <c r="D2085" s="116">
        <v>641.26044946259901</v>
      </c>
      <c r="E2085" s="116">
        <v>675.69120282605297</v>
      </c>
      <c r="F2085" s="116">
        <v>669.5</v>
      </c>
      <c r="G2085">
        <v>2737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45089</v>
      </c>
      <c r="B2086" s="116">
        <v>675.78985827981603</v>
      </c>
      <c r="C2086" s="116">
        <v>652.11254937658202</v>
      </c>
      <c r="D2086" s="116">
        <v>639.28734038733</v>
      </c>
      <c r="E2086" s="116">
        <v>673.816749204546</v>
      </c>
      <c r="F2086" s="116">
        <v>661</v>
      </c>
      <c r="G2086">
        <v>1700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45090</v>
      </c>
      <c r="B2087" s="116">
        <v>665.82565744970498</v>
      </c>
      <c r="C2087" s="116">
        <v>635.34112223679097</v>
      </c>
      <c r="D2087" s="116">
        <v>631.444231813133</v>
      </c>
      <c r="E2087" s="116">
        <v>665.82565744970498</v>
      </c>
      <c r="F2087" s="116">
        <v>644</v>
      </c>
      <c r="G2087">
        <v>2595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45091</v>
      </c>
      <c r="B2088" s="116">
        <v>660.89288476153104</v>
      </c>
      <c r="C2088" s="116">
        <v>649.20221349055896</v>
      </c>
      <c r="D2088" s="116">
        <v>635.34112223679097</v>
      </c>
      <c r="E2088" s="116">
        <v>641.21112173571703</v>
      </c>
      <c r="F2088" s="116">
        <v>658.05</v>
      </c>
      <c r="G2088">
        <v>4345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45092</v>
      </c>
      <c r="B2089" s="116">
        <v>651.02733938518304</v>
      </c>
      <c r="C2089" s="116">
        <v>629.91507227979901</v>
      </c>
      <c r="D2089" s="116">
        <v>625.47557686044297</v>
      </c>
      <c r="E2089" s="116">
        <v>651.02733938518304</v>
      </c>
      <c r="F2089" s="116">
        <v>638.5</v>
      </c>
      <c r="G2089">
        <v>5974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45093</v>
      </c>
      <c r="B2090" s="116">
        <v>631.39490408625102</v>
      </c>
      <c r="C2090" s="116">
        <v>615.46204830345005</v>
      </c>
      <c r="D2090" s="116">
        <v>613.044989686245</v>
      </c>
      <c r="E2090" s="116">
        <v>631.39490408625102</v>
      </c>
      <c r="F2090" s="116">
        <v>623.85</v>
      </c>
      <c r="G2090">
        <v>6120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45096</v>
      </c>
      <c r="B2091" s="116">
        <v>738.53472687338694</v>
      </c>
      <c r="C2091" s="116">
        <v>738.53472687338694</v>
      </c>
      <c r="D2091" s="116">
        <v>598.88793207118601</v>
      </c>
      <c r="E2091" s="116">
        <v>614.62347694645996</v>
      </c>
      <c r="F2091" s="116">
        <v>748.6</v>
      </c>
      <c r="G2091">
        <v>58600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45097</v>
      </c>
      <c r="B2092" s="116">
        <v>766.55287574221495</v>
      </c>
      <c r="C2092" s="116">
        <v>702.87078033788998</v>
      </c>
      <c r="D2092" s="116">
        <v>694.43573904111304</v>
      </c>
      <c r="E2092" s="116">
        <v>741.05044094435596</v>
      </c>
      <c r="F2092" s="116">
        <v>712.45</v>
      </c>
      <c r="G2092">
        <v>8752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45098</v>
      </c>
      <c r="B2093" s="116">
        <v>725.068257434673</v>
      </c>
      <c r="C2093" s="116">
        <v>697.05010856584499</v>
      </c>
      <c r="D2093" s="116">
        <v>695.66893221315604</v>
      </c>
      <c r="E2093" s="116">
        <v>715.25203978520699</v>
      </c>
      <c r="F2093" s="116">
        <v>706.55</v>
      </c>
      <c r="G2093">
        <v>1848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45099</v>
      </c>
      <c r="B2094" s="116">
        <v>715.25203978520699</v>
      </c>
      <c r="C2094" s="116">
        <v>709.431368013162</v>
      </c>
      <c r="D2094" s="116">
        <v>693.10389041530595</v>
      </c>
      <c r="E2094" s="116">
        <v>697.05010856584499</v>
      </c>
      <c r="F2094" s="116">
        <v>719.1</v>
      </c>
      <c r="G2094">
        <v>6574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45100</v>
      </c>
      <c r="B2095" s="116">
        <v>733.70060963897697</v>
      </c>
      <c r="C2095" s="116">
        <v>706.22506576584897</v>
      </c>
      <c r="D2095" s="116">
        <v>699.41783945616896</v>
      </c>
      <c r="E2095" s="116">
        <v>700.45372172068505</v>
      </c>
      <c r="F2095" s="116">
        <v>715.85</v>
      </c>
      <c r="G2095">
        <v>4306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45103</v>
      </c>
      <c r="B2096" s="116">
        <v>733.70060963897697</v>
      </c>
      <c r="C2096" s="116">
        <v>707.85288075294602</v>
      </c>
      <c r="D2096" s="116">
        <v>704.64657850563299</v>
      </c>
      <c r="E2096" s="116">
        <v>733.70060963897697</v>
      </c>
      <c r="F2096" s="116">
        <v>717.5</v>
      </c>
      <c r="G2096">
        <v>2949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45104</v>
      </c>
      <c r="B2097" s="116">
        <v>730.05035784972802</v>
      </c>
      <c r="C2097" s="116">
        <v>712.29237617230206</v>
      </c>
      <c r="D2097" s="116">
        <v>705.38649440885899</v>
      </c>
      <c r="E2097" s="116">
        <v>720.18481247338002</v>
      </c>
      <c r="F2097" s="116">
        <v>722</v>
      </c>
      <c r="G2097">
        <v>2308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45105</v>
      </c>
      <c r="B2098" s="116">
        <v>718.16237567122903</v>
      </c>
      <c r="C2098" s="116">
        <v>707.95153620670897</v>
      </c>
      <c r="D2098" s="116">
        <v>700.45372172068505</v>
      </c>
      <c r="E2098" s="116">
        <v>715.25203978520699</v>
      </c>
      <c r="F2098" s="116">
        <v>717.6</v>
      </c>
      <c r="G2098">
        <v>3387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45107</v>
      </c>
      <c r="B2099" s="116">
        <v>763.59321212931002</v>
      </c>
      <c r="C2099" s="116">
        <v>705.28783895509503</v>
      </c>
      <c r="D2099" s="116">
        <v>701.094982170148</v>
      </c>
      <c r="E2099" s="116">
        <v>720.18481247338002</v>
      </c>
      <c r="F2099" s="116">
        <v>714.9</v>
      </c>
      <c r="G2099">
        <v>10237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45110</v>
      </c>
      <c r="B2100" s="116">
        <v>720.18481247338002</v>
      </c>
      <c r="C2100" s="116">
        <v>694.97834403681202</v>
      </c>
      <c r="D2100" s="116">
        <v>666.91086744110305</v>
      </c>
      <c r="E2100" s="116">
        <v>720.18481247338002</v>
      </c>
      <c r="F2100" s="116">
        <v>704.45</v>
      </c>
      <c r="G2100">
        <v>9101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45111</v>
      </c>
      <c r="B2101" s="116">
        <v>719.98750156585402</v>
      </c>
      <c r="C2101" s="116">
        <v>695.520949032511</v>
      </c>
      <c r="D2101" s="116">
        <v>690.58817634433797</v>
      </c>
      <c r="E2101" s="116">
        <v>710.31926709703305</v>
      </c>
      <c r="F2101" s="116">
        <v>705</v>
      </c>
      <c r="G2101">
        <v>1503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45112</v>
      </c>
      <c r="B2102" s="116">
        <v>700.40439399380296</v>
      </c>
      <c r="C2102" s="116">
        <v>689.996243621757</v>
      </c>
      <c r="D2102" s="116">
        <v>675.78985827981603</v>
      </c>
      <c r="E2102" s="116">
        <v>695.520949032511</v>
      </c>
      <c r="F2102" s="116">
        <v>699.4</v>
      </c>
      <c r="G2102">
        <v>1652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45113</v>
      </c>
      <c r="B2103" s="116">
        <v>704.893217140042</v>
      </c>
      <c r="C2103" s="116">
        <v>690.39086543681003</v>
      </c>
      <c r="D2103" s="116">
        <v>676.03649691422504</v>
      </c>
      <c r="E2103" s="116">
        <v>704.893217140042</v>
      </c>
      <c r="F2103" s="116">
        <v>699.8</v>
      </c>
      <c r="G2103">
        <v>3356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45114</v>
      </c>
      <c r="B2104" s="116">
        <v>689.996243621757</v>
      </c>
      <c r="C2104" s="116">
        <v>673.61943829701897</v>
      </c>
      <c r="D2104" s="116">
        <v>666.516245626049</v>
      </c>
      <c r="E2104" s="116">
        <v>689.996243621757</v>
      </c>
      <c r="F2104" s="116">
        <v>682.8</v>
      </c>
      <c r="G2104">
        <v>3490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45117</v>
      </c>
      <c r="B2105" s="116">
        <v>808.33346041104699</v>
      </c>
      <c r="C2105" s="116">
        <v>776.22111021103501</v>
      </c>
      <c r="D2105" s="116">
        <v>664.93775836583302</v>
      </c>
      <c r="E2105" s="116">
        <v>665.92431290346804</v>
      </c>
      <c r="F2105" s="116">
        <v>786.8</v>
      </c>
      <c r="G2105">
        <v>34270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45118</v>
      </c>
      <c r="B2106" s="116">
        <v>931.45546670786598</v>
      </c>
      <c r="C2106" s="116">
        <v>931.45546670786598</v>
      </c>
      <c r="D2106" s="116">
        <v>764.48111121318198</v>
      </c>
      <c r="E2106" s="116">
        <v>789.24363010781406</v>
      </c>
      <c r="F2106" s="116">
        <v>944.15</v>
      </c>
      <c r="G2106">
        <v>84812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45119</v>
      </c>
      <c r="B2107" s="116">
        <v>1026.0167191401599</v>
      </c>
      <c r="C2107" s="116">
        <v>952.02512881755104</v>
      </c>
      <c r="D2107" s="116">
        <v>933.28059260248995</v>
      </c>
      <c r="E2107" s="116">
        <v>937.22681075302899</v>
      </c>
      <c r="F2107" s="116">
        <v>965</v>
      </c>
      <c r="G2107">
        <v>20289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45120</v>
      </c>
      <c r="B2108" s="116">
        <v>956.85924605196101</v>
      </c>
      <c r="C2108" s="116">
        <v>877.68824440677099</v>
      </c>
      <c r="D2108" s="116">
        <v>873.74202625623195</v>
      </c>
      <c r="E2108" s="116">
        <v>947.09235612937698</v>
      </c>
      <c r="F2108" s="116">
        <v>889.65</v>
      </c>
      <c r="G2108">
        <v>9086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45121</v>
      </c>
      <c r="B2109" s="116">
        <v>1016.6444510326299</v>
      </c>
      <c r="C2109" s="116">
        <v>937.91739892937403</v>
      </c>
      <c r="D2109" s="116">
        <v>839.16328971213397</v>
      </c>
      <c r="E2109" s="116">
        <v>859.28900227988299</v>
      </c>
      <c r="F2109" s="116">
        <v>950.7</v>
      </c>
      <c r="G2109">
        <v>12352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45124</v>
      </c>
      <c r="B2110" s="116">
        <v>984.58142855949802</v>
      </c>
      <c r="C2110" s="116">
        <v>888.39236114010805</v>
      </c>
      <c r="D2110" s="116">
        <v>878.03353849494295</v>
      </c>
      <c r="E2110" s="116">
        <v>953.99823789282095</v>
      </c>
      <c r="F2110" s="116">
        <v>900.5</v>
      </c>
      <c r="G2110">
        <v>7442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45125</v>
      </c>
      <c r="B2111" s="116">
        <v>912.513619585279</v>
      </c>
      <c r="C2111" s="116">
        <v>888.19505023258102</v>
      </c>
      <c r="D2111" s="116">
        <v>860.12757363687194</v>
      </c>
      <c r="E2111" s="116">
        <v>887.89908387129105</v>
      </c>
      <c r="F2111" s="116">
        <v>900.3</v>
      </c>
      <c r="G2111">
        <v>3640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45126</v>
      </c>
      <c r="B2112" s="116">
        <v>971.756219570246</v>
      </c>
      <c r="C2112" s="116">
        <v>940.72907936163301</v>
      </c>
      <c r="D2112" s="116">
        <v>898.80051151215503</v>
      </c>
      <c r="E2112" s="116">
        <v>912.56294731215996</v>
      </c>
      <c r="F2112" s="116">
        <v>953.55</v>
      </c>
      <c r="G2112">
        <v>6170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45127</v>
      </c>
      <c r="B2113" s="116">
        <v>980.83252131648601</v>
      </c>
      <c r="C2113" s="116">
        <v>945.11924705410797</v>
      </c>
      <c r="D2113" s="116">
        <v>938.213365290664</v>
      </c>
      <c r="E2113" s="116">
        <v>952.617061540132</v>
      </c>
      <c r="F2113" s="116">
        <v>958</v>
      </c>
      <c r="G2113">
        <v>2321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45128</v>
      </c>
      <c r="B2114" s="116">
        <v>980.83252131648601</v>
      </c>
      <c r="C2114" s="116">
        <v>938.11470983690106</v>
      </c>
      <c r="D2114" s="116">
        <v>923.61235813367</v>
      </c>
      <c r="E2114" s="116">
        <v>942.15958344120304</v>
      </c>
      <c r="F2114" s="116">
        <v>950.9</v>
      </c>
      <c r="G2114">
        <v>4909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45131</v>
      </c>
      <c r="B2115" s="116">
        <v>966.82344688207297</v>
      </c>
      <c r="C2115" s="116">
        <v>930.22227353582298</v>
      </c>
      <c r="D2115" s="116">
        <v>902.94404057022098</v>
      </c>
      <c r="E2115" s="116">
        <v>964.65302689927603</v>
      </c>
      <c r="F2115" s="116">
        <v>942.9</v>
      </c>
      <c r="G2115">
        <v>1216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45132</v>
      </c>
      <c r="B2116" s="116">
        <v>933.28059260248995</v>
      </c>
      <c r="C2116" s="116">
        <v>918.72891317237804</v>
      </c>
      <c r="D2116" s="116">
        <v>910.09656096807305</v>
      </c>
      <c r="E2116" s="116">
        <v>933.28059260248995</v>
      </c>
      <c r="F2116" s="116">
        <v>931.25</v>
      </c>
      <c r="G2116">
        <v>1782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45133</v>
      </c>
      <c r="B2117" s="116">
        <v>956.76059059819795</v>
      </c>
      <c r="C2117" s="116">
        <v>903.437317839039</v>
      </c>
      <c r="D2117" s="116">
        <v>887.89908387129105</v>
      </c>
      <c r="E2117" s="116">
        <v>956.76059059819795</v>
      </c>
      <c r="F2117" s="116">
        <v>915.75</v>
      </c>
      <c r="G2117">
        <v>2712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45134</v>
      </c>
      <c r="B2118" s="116">
        <v>917.49572000033402</v>
      </c>
      <c r="C2118" s="116">
        <v>910.441855056245</v>
      </c>
      <c r="D2118" s="116">
        <v>897.76462924763905</v>
      </c>
      <c r="E2118" s="116">
        <v>903.68395647344698</v>
      </c>
      <c r="F2118" s="116">
        <v>922.85</v>
      </c>
      <c r="G2118">
        <v>1906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45135</v>
      </c>
      <c r="B2119" s="116">
        <v>917.00244273151702</v>
      </c>
      <c r="C2119" s="116">
        <v>891.00673066484103</v>
      </c>
      <c r="D2119" s="116">
        <v>887.89908387129105</v>
      </c>
      <c r="E2119" s="116">
        <v>887.89908387129105</v>
      </c>
      <c r="F2119" s="116">
        <v>903.15</v>
      </c>
      <c r="G2119">
        <v>3660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45138</v>
      </c>
      <c r="B2120" s="116">
        <v>902.69740193581299</v>
      </c>
      <c r="C2120" s="116">
        <v>854.60286822611795</v>
      </c>
      <c r="D2120" s="116">
        <v>838.57135698955301</v>
      </c>
      <c r="E2120" s="116">
        <v>870.33841310139201</v>
      </c>
      <c r="F2120" s="116">
        <v>866.25</v>
      </c>
      <c r="G2120">
        <v>3332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45139</v>
      </c>
      <c r="B2121" s="116">
        <v>884.89009253150505</v>
      </c>
      <c r="C2121" s="116">
        <v>853.12303641966503</v>
      </c>
      <c r="D2121" s="116">
        <v>848.38757463901902</v>
      </c>
      <c r="E2121" s="116">
        <v>884.89009253150505</v>
      </c>
      <c r="F2121" s="116">
        <v>864.75</v>
      </c>
      <c r="G2121">
        <v>3369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45140</v>
      </c>
      <c r="B2122" s="116">
        <v>926.374710839047</v>
      </c>
      <c r="C2122" s="116">
        <v>901.02025922183304</v>
      </c>
      <c r="D2122" s="116">
        <v>850.41001144117001</v>
      </c>
      <c r="E2122" s="116">
        <v>850.41001144117001</v>
      </c>
      <c r="F2122" s="116">
        <v>913.3</v>
      </c>
      <c r="G2122">
        <v>3813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45141</v>
      </c>
      <c r="B2123" s="116">
        <v>923.41504722614297</v>
      </c>
      <c r="C2123" s="116">
        <v>898.603200604628</v>
      </c>
      <c r="D2123" s="116">
        <v>882.966311183117</v>
      </c>
      <c r="E2123" s="116">
        <v>897.370007432585</v>
      </c>
      <c r="F2123" s="116">
        <v>910.85</v>
      </c>
      <c r="G2123">
        <v>5489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45142</v>
      </c>
      <c r="B2124" s="116">
        <v>938.11470983690106</v>
      </c>
      <c r="C2124" s="116">
        <v>919.66613998313096</v>
      </c>
      <c r="D2124" s="116">
        <v>819.53085441320195</v>
      </c>
      <c r="E2124" s="116">
        <v>882.07841209924595</v>
      </c>
      <c r="F2124" s="116">
        <v>932.2</v>
      </c>
      <c r="G2124">
        <v>3825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45145</v>
      </c>
      <c r="B2125" s="116">
        <v>919.46882907560405</v>
      </c>
      <c r="C2125" s="116">
        <v>909.80059460678297</v>
      </c>
      <c r="D2125" s="116">
        <v>893.81841109710001</v>
      </c>
      <c r="E2125" s="116">
        <v>919.46882907560405</v>
      </c>
      <c r="F2125" s="116">
        <v>922.2</v>
      </c>
      <c r="G2125">
        <v>563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45146</v>
      </c>
      <c r="B2126" s="116">
        <v>921.98454314657204</v>
      </c>
      <c r="C2126" s="116">
        <v>909.701939153019</v>
      </c>
      <c r="D2126" s="116">
        <v>897.76462924763905</v>
      </c>
      <c r="E2126" s="116">
        <v>898.25790651645605</v>
      </c>
      <c r="F2126" s="116">
        <v>922.1</v>
      </c>
      <c r="G2126">
        <v>435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45147</v>
      </c>
      <c r="B2127" s="116">
        <v>915.22664456377402</v>
      </c>
      <c r="C2127" s="116">
        <v>890.11883158096896</v>
      </c>
      <c r="D2127" s="116">
        <v>870.38774082827399</v>
      </c>
      <c r="E2127" s="116">
        <v>902.69740193581299</v>
      </c>
      <c r="F2127" s="116">
        <v>902.25</v>
      </c>
      <c r="G2127">
        <v>843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45148</v>
      </c>
      <c r="B2128" s="116">
        <v>912.16832549710603</v>
      </c>
      <c r="C2128" s="116">
        <v>878.18152167558901</v>
      </c>
      <c r="D2128" s="116">
        <v>868.16799311859597</v>
      </c>
      <c r="E2128" s="116">
        <v>894.41034381968097</v>
      </c>
      <c r="F2128" s="116">
        <v>890.15</v>
      </c>
      <c r="G2128">
        <v>1540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45149</v>
      </c>
      <c r="B2129" s="116">
        <v>883.95286572075202</v>
      </c>
      <c r="C2129" s="116">
        <v>848.930179634718</v>
      </c>
      <c r="D2129" s="116">
        <v>839.557911527187</v>
      </c>
      <c r="E2129" s="116">
        <v>883.95286572075202</v>
      </c>
      <c r="F2129" s="116">
        <v>860.5</v>
      </c>
      <c r="G2129">
        <v>3165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45152</v>
      </c>
      <c r="B2130" s="116">
        <v>871.76891718096294</v>
      </c>
      <c r="C2130" s="116">
        <v>824.06900528632195</v>
      </c>
      <c r="D2130" s="116">
        <v>814.05547672932903</v>
      </c>
      <c r="E2130" s="116">
        <v>858.30244774224798</v>
      </c>
      <c r="F2130" s="116">
        <v>835.3</v>
      </c>
      <c r="G2130">
        <v>2866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45154</v>
      </c>
      <c r="B2131" s="116">
        <v>842.51757514009205</v>
      </c>
      <c r="C2131" s="116">
        <v>820.76404758524495</v>
      </c>
      <c r="D2131" s="116">
        <v>813.95682127556495</v>
      </c>
      <c r="E2131" s="116">
        <v>823.77303892503096</v>
      </c>
      <c r="F2131" s="116">
        <v>831.95</v>
      </c>
      <c r="G2131">
        <v>2155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45155</v>
      </c>
      <c r="B2132" s="116">
        <v>837.58480245191799</v>
      </c>
      <c r="C2132" s="116">
        <v>813.26623309922104</v>
      </c>
      <c r="D2132" s="116">
        <v>804.63388089491696</v>
      </c>
      <c r="E2132" s="116">
        <v>837.58480245191799</v>
      </c>
      <c r="F2132" s="116">
        <v>824.35</v>
      </c>
      <c r="G2132">
        <v>1711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45156</v>
      </c>
      <c r="B2133" s="116">
        <v>843.40547422396298</v>
      </c>
      <c r="C2133" s="116">
        <v>838.96597880460604</v>
      </c>
      <c r="D2133" s="116">
        <v>804.04194817233599</v>
      </c>
      <c r="E2133" s="116">
        <v>828.70581161320501</v>
      </c>
      <c r="F2133" s="116">
        <v>850.4</v>
      </c>
      <c r="G2133">
        <v>1887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45159</v>
      </c>
      <c r="B2134" s="116">
        <v>848.43690236589998</v>
      </c>
      <c r="C2134" s="116">
        <v>809.22135949491803</v>
      </c>
      <c r="D2134" s="116">
        <v>808.97472086051005</v>
      </c>
      <c r="E2134" s="116">
        <v>842.51757514009205</v>
      </c>
      <c r="F2134" s="116">
        <v>820.25</v>
      </c>
      <c r="G2134">
        <v>1577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45160</v>
      </c>
      <c r="B2135" s="116">
        <v>838.57135698955301</v>
      </c>
      <c r="C2135" s="116">
        <v>829.59371069707595</v>
      </c>
      <c r="D2135" s="116">
        <v>819.82682077449203</v>
      </c>
      <c r="E2135" s="116">
        <v>819.82682077449203</v>
      </c>
      <c r="F2135" s="116">
        <v>840.9</v>
      </c>
      <c r="G2135">
        <v>1059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45161</v>
      </c>
      <c r="B2136" s="116">
        <v>848.43690236589998</v>
      </c>
      <c r="C2136" s="116">
        <v>826.14076981535504</v>
      </c>
      <c r="D2136" s="116">
        <v>810.20791403255305</v>
      </c>
      <c r="E2136" s="116">
        <v>848.43690236589998</v>
      </c>
      <c r="F2136" s="116">
        <v>837.4</v>
      </c>
      <c r="G2136">
        <v>1488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45162</v>
      </c>
      <c r="B2137" s="116">
        <v>847.45034782826599</v>
      </c>
      <c r="C2137" s="116">
        <v>824.61161028202105</v>
      </c>
      <c r="D2137" s="116">
        <v>809.96127539814404</v>
      </c>
      <c r="E2137" s="116">
        <v>847.45034782826599</v>
      </c>
      <c r="F2137" s="116">
        <v>835.85</v>
      </c>
      <c r="G2137">
        <v>2330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45163</v>
      </c>
      <c r="B2138" s="116">
        <v>858.30244774224798</v>
      </c>
      <c r="C2138" s="116">
        <v>847.69698646267398</v>
      </c>
      <c r="D2138" s="116">
        <v>814.89404808631798</v>
      </c>
      <c r="E2138" s="116">
        <v>845.97051602181295</v>
      </c>
      <c r="F2138" s="116">
        <v>859.25</v>
      </c>
      <c r="G2138">
        <v>1392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45166</v>
      </c>
      <c r="B2139" s="116">
        <v>873.10076580677003</v>
      </c>
      <c r="C2139" s="116">
        <v>873.10076580677003</v>
      </c>
      <c r="D2139" s="116">
        <v>838.57135698955301</v>
      </c>
      <c r="E2139" s="116">
        <v>848.43690236589998</v>
      </c>
      <c r="F2139" s="116">
        <v>885</v>
      </c>
      <c r="G2139">
        <v>831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45167</v>
      </c>
      <c r="B2140" s="116">
        <v>896.77807471000403</v>
      </c>
      <c r="C2140" s="116">
        <v>878.03353849494295</v>
      </c>
      <c r="D2140" s="116">
        <v>839.557911527187</v>
      </c>
      <c r="E2140" s="116">
        <v>896.77807471000403</v>
      </c>
      <c r="F2140" s="116">
        <v>890</v>
      </c>
      <c r="G2140">
        <v>1096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45168</v>
      </c>
      <c r="B2141" s="116">
        <v>887.89908387129105</v>
      </c>
      <c r="C2141" s="116">
        <v>868.16799311859597</v>
      </c>
      <c r="D2141" s="116">
        <v>848.43690236589998</v>
      </c>
      <c r="E2141" s="116">
        <v>878.03353849494295</v>
      </c>
      <c r="F2141" s="116">
        <v>880</v>
      </c>
      <c r="G2141">
        <v>1065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45169</v>
      </c>
      <c r="B2142" s="116">
        <v>907.63017462398602</v>
      </c>
      <c r="C2142" s="116">
        <v>904.62118328420001</v>
      </c>
      <c r="D2142" s="116">
        <v>843.50412967772695</v>
      </c>
      <c r="E2142" s="116">
        <v>868.16799311859597</v>
      </c>
      <c r="F2142" s="116">
        <v>916.95</v>
      </c>
      <c r="G2142">
        <v>5725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45170</v>
      </c>
      <c r="B2143" s="116">
        <v>911.57639277452597</v>
      </c>
      <c r="C2143" s="116">
        <v>894.90362108849797</v>
      </c>
      <c r="D2143" s="116">
        <v>870.14110219386498</v>
      </c>
      <c r="E2143" s="116">
        <v>911.57639277452597</v>
      </c>
      <c r="F2143" s="116">
        <v>907.1</v>
      </c>
      <c r="G2143">
        <v>739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45173</v>
      </c>
      <c r="B2144" s="116">
        <v>897.76462924763905</v>
      </c>
      <c r="C2144" s="116">
        <v>870.38774082827399</v>
      </c>
      <c r="D2144" s="116">
        <v>853.41900278095602</v>
      </c>
      <c r="E2144" s="116">
        <v>894.90362108849797</v>
      </c>
      <c r="F2144" s="116">
        <v>882.25</v>
      </c>
      <c r="G2144">
        <v>2029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45174</v>
      </c>
      <c r="B2145" s="116">
        <v>899.73773832290794</v>
      </c>
      <c r="C2145" s="116">
        <v>871.57160627343603</v>
      </c>
      <c r="D2145" s="116">
        <v>871.42362309278997</v>
      </c>
      <c r="E2145" s="116">
        <v>878.03353849494295</v>
      </c>
      <c r="F2145" s="116">
        <v>883.45</v>
      </c>
      <c r="G2145">
        <v>25852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45175</v>
      </c>
      <c r="B2146" s="116">
        <v>886.91252933365604</v>
      </c>
      <c r="C2146" s="116">
        <v>870.68370718956396</v>
      </c>
      <c r="D2146" s="116">
        <v>850.41001144117001</v>
      </c>
      <c r="E2146" s="116">
        <v>850.41001144117001</v>
      </c>
      <c r="F2146" s="116">
        <v>882.55</v>
      </c>
      <c r="G2146">
        <v>779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45176</v>
      </c>
      <c r="B2147" s="116">
        <v>878.03353849494295</v>
      </c>
      <c r="C2147" s="116">
        <v>860.67017863257104</v>
      </c>
      <c r="D2147" s="116">
        <v>858.35177546912996</v>
      </c>
      <c r="E2147" s="116">
        <v>878.03353849494295</v>
      </c>
      <c r="F2147" s="116">
        <v>872.4</v>
      </c>
      <c r="G2147">
        <v>257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45177</v>
      </c>
      <c r="B2148" s="116">
        <v>887.89908387129105</v>
      </c>
      <c r="C2148" s="116">
        <v>848.43690236589998</v>
      </c>
      <c r="D2148" s="116">
        <v>828.70581161320501</v>
      </c>
      <c r="E2148" s="116">
        <v>860.67017863257104</v>
      </c>
      <c r="F2148" s="116">
        <v>860</v>
      </c>
      <c r="G2148">
        <v>1665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45180</v>
      </c>
      <c r="B2149" s="116">
        <v>857.31589320461296</v>
      </c>
      <c r="C2149" s="116">
        <v>831.91211386051805</v>
      </c>
      <c r="D2149" s="116">
        <v>828.70581161320501</v>
      </c>
      <c r="E2149" s="116">
        <v>848.43690236589998</v>
      </c>
      <c r="F2149" s="116">
        <v>843.25</v>
      </c>
      <c r="G2149">
        <v>3373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45181</v>
      </c>
      <c r="B2150" s="116">
        <v>838.57135698955301</v>
      </c>
      <c r="C2150" s="116">
        <v>804.23925907986302</v>
      </c>
      <c r="D2150" s="116">
        <v>799.10917548416205</v>
      </c>
      <c r="E2150" s="116">
        <v>838.57135698955301</v>
      </c>
      <c r="F2150" s="116">
        <v>815.2</v>
      </c>
      <c r="G2150">
        <v>2114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45182</v>
      </c>
      <c r="B2151" s="116">
        <v>833.63858430137896</v>
      </c>
      <c r="C2151" s="116">
        <v>812.13169538094098</v>
      </c>
      <c r="D2151" s="116">
        <v>805.02850270997101</v>
      </c>
      <c r="E2151" s="116">
        <v>833.63858430137896</v>
      </c>
      <c r="F2151" s="116">
        <v>823.2</v>
      </c>
      <c r="G2151">
        <v>588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45183</v>
      </c>
      <c r="B2152" s="116">
        <v>828.70581161320501</v>
      </c>
      <c r="C2152" s="116">
        <v>824.11833301320303</v>
      </c>
      <c r="D2152" s="116">
        <v>799.10917548416205</v>
      </c>
      <c r="E2152" s="116">
        <v>818.84026623685702</v>
      </c>
      <c r="F2152" s="116">
        <v>835.35</v>
      </c>
      <c r="G2152">
        <v>819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45184</v>
      </c>
      <c r="B2153" s="116">
        <v>828.60715615944196</v>
      </c>
      <c r="C2153" s="116">
        <v>818.39631669492201</v>
      </c>
      <c r="D2153" s="116">
        <v>804.04194817233599</v>
      </c>
      <c r="E2153" s="116">
        <v>828.60715615944196</v>
      </c>
      <c r="F2153" s="116">
        <v>829.55</v>
      </c>
      <c r="G2153">
        <v>391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45187</v>
      </c>
      <c r="B2154" s="116">
        <v>818.39631669492201</v>
      </c>
      <c r="C2154" s="116">
        <v>806.80430087771299</v>
      </c>
      <c r="D2154" s="116">
        <v>777.60228656372396</v>
      </c>
      <c r="E2154" s="116">
        <v>808.97472086051005</v>
      </c>
      <c r="F2154" s="116">
        <v>817.8</v>
      </c>
      <c r="G2154">
        <v>1752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45189</v>
      </c>
      <c r="B2155" s="116">
        <v>817.85371169922303</v>
      </c>
      <c r="C2155" s="116">
        <v>793.73245325405196</v>
      </c>
      <c r="D2155" s="116">
        <v>789.24363010781406</v>
      </c>
      <c r="E2155" s="116">
        <v>804.04194817233599</v>
      </c>
      <c r="F2155" s="116">
        <v>804.55</v>
      </c>
      <c r="G2155">
        <v>974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45190</v>
      </c>
      <c r="B2156" s="116">
        <v>804.04194817233599</v>
      </c>
      <c r="C2156" s="116">
        <v>793.92976416157899</v>
      </c>
      <c r="D2156" s="116">
        <v>776.96102611426102</v>
      </c>
      <c r="E2156" s="116">
        <v>789.24363010781406</v>
      </c>
      <c r="F2156" s="116">
        <v>804.75</v>
      </c>
      <c r="G2156">
        <v>585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45191</v>
      </c>
      <c r="B2157" s="116">
        <v>830.67892068847402</v>
      </c>
      <c r="C2157" s="116">
        <v>803.745981811045</v>
      </c>
      <c r="D2157" s="116">
        <v>779.47674018523003</v>
      </c>
      <c r="E2157" s="116">
        <v>808.97472086051005</v>
      </c>
      <c r="F2157" s="116">
        <v>814.7</v>
      </c>
      <c r="G2157">
        <v>285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45194</v>
      </c>
      <c r="B2158" s="116">
        <v>832.65202976374405</v>
      </c>
      <c r="C2158" s="116">
        <v>812.23035083470404</v>
      </c>
      <c r="D2158" s="116">
        <v>807.00161178524002</v>
      </c>
      <c r="E2158" s="116">
        <v>832.65202976374405</v>
      </c>
      <c r="F2158" s="116">
        <v>823.3</v>
      </c>
      <c r="G2158">
        <v>424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45195</v>
      </c>
      <c r="B2159" s="116">
        <v>811.93438447341396</v>
      </c>
      <c r="C2159" s="116">
        <v>795.36026824115004</v>
      </c>
      <c r="D2159" s="116">
        <v>771.63363161103405</v>
      </c>
      <c r="E2159" s="116">
        <v>811.93438447341396</v>
      </c>
      <c r="F2159" s="116">
        <v>806.2</v>
      </c>
      <c r="G2159">
        <v>1278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45196</v>
      </c>
      <c r="B2160" s="116">
        <v>823.42774483685901</v>
      </c>
      <c r="C2160" s="116">
        <v>796.29749505190296</v>
      </c>
      <c r="D2160" s="116">
        <v>779.47674018523003</v>
      </c>
      <c r="E2160" s="116">
        <v>795.36026824115004</v>
      </c>
      <c r="F2160" s="116">
        <v>807.15</v>
      </c>
      <c r="G2160">
        <v>576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45197</v>
      </c>
      <c r="B2161" s="116">
        <v>812.92093901104897</v>
      </c>
      <c r="C2161" s="116">
        <v>799.50379729921599</v>
      </c>
      <c r="D2161" s="116">
        <v>775.08657249275495</v>
      </c>
      <c r="E2161" s="116">
        <v>775.08657249275495</v>
      </c>
      <c r="F2161" s="116">
        <v>810.4</v>
      </c>
      <c r="G2161">
        <v>495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45198</v>
      </c>
      <c r="B2162" s="116">
        <v>812.32900628846801</v>
      </c>
      <c r="C2162" s="116">
        <v>799.84909138738794</v>
      </c>
      <c r="D2162" s="116">
        <v>799.79976366050596</v>
      </c>
      <c r="E2162" s="116">
        <v>812.32900628846801</v>
      </c>
      <c r="F2162" s="116">
        <v>810.75</v>
      </c>
      <c r="G2162">
        <v>725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45202</v>
      </c>
      <c r="B2163" s="116">
        <v>835.61169337664796</v>
      </c>
      <c r="C2163" s="116">
        <v>813.75951036803804</v>
      </c>
      <c r="D2163" s="116">
        <v>769.51253935511897</v>
      </c>
      <c r="E2163" s="116">
        <v>769.51253935511897</v>
      </c>
      <c r="F2163" s="116">
        <v>824.85</v>
      </c>
      <c r="G2163">
        <v>753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45203</v>
      </c>
      <c r="B2164" s="116">
        <v>818.34698896804002</v>
      </c>
      <c r="C2164" s="116">
        <v>812.32900628846801</v>
      </c>
      <c r="D2164" s="116">
        <v>783.32430288200601</v>
      </c>
      <c r="E2164" s="116">
        <v>793.38715916588001</v>
      </c>
      <c r="F2164" s="116">
        <v>823.4</v>
      </c>
      <c r="G2164">
        <v>593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45204</v>
      </c>
      <c r="B2165" s="116">
        <v>838.07807972073499</v>
      </c>
      <c r="C2165" s="116">
        <v>815.19001444760897</v>
      </c>
      <c r="D2165" s="116">
        <v>781.40052153361796</v>
      </c>
      <c r="E2165" s="116">
        <v>838.07807972073499</v>
      </c>
      <c r="F2165" s="116">
        <v>826.3</v>
      </c>
      <c r="G2165">
        <v>1061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45205</v>
      </c>
      <c r="B2166" s="116">
        <v>813.90749354868296</v>
      </c>
      <c r="C2166" s="116">
        <v>801.52623410136698</v>
      </c>
      <c r="D2166" s="116">
        <v>798.61589821534506</v>
      </c>
      <c r="E2166" s="116">
        <v>801.08228455943197</v>
      </c>
      <c r="F2166" s="116">
        <v>812.45</v>
      </c>
      <c r="G2166">
        <v>696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45208</v>
      </c>
      <c r="B2167" s="116">
        <v>791.61136099813803</v>
      </c>
      <c r="C2167" s="116">
        <v>780.46329472286504</v>
      </c>
      <c r="D2167" s="116">
        <v>779.37808473146697</v>
      </c>
      <c r="E2167" s="116">
        <v>791.61136099813803</v>
      </c>
      <c r="F2167" s="116">
        <v>791.1</v>
      </c>
      <c r="G2167">
        <v>1065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45209</v>
      </c>
      <c r="B2168" s="116">
        <v>819.48152668631997</v>
      </c>
      <c r="C2168" s="116">
        <v>819.382871232556</v>
      </c>
      <c r="D2168" s="116">
        <v>759.64699397877098</v>
      </c>
      <c r="E2168" s="116">
        <v>779.37808473146697</v>
      </c>
      <c r="F2168" s="116">
        <v>830.55</v>
      </c>
      <c r="G2168">
        <v>3112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45210</v>
      </c>
      <c r="B2169" s="116">
        <v>858.30244774224798</v>
      </c>
      <c r="C2169" s="116">
        <v>824.41429937449402</v>
      </c>
      <c r="D2169" s="116">
        <v>799.10917548416205</v>
      </c>
      <c r="E2169" s="116">
        <v>858.30244774224798</v>
      </c>
      <c r="F2169" s="116">
        <v>835.65</v>
      </c>
      <c r="G2169">
        <v>779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45211</v>
      </c>
      <c r="B2170" s="116">
        <v>824.41429937449402</v>
      </c>
      <c r="C2170" s="116">
        <v>814.00614900244705</v>
      </c>
      <c r="D2170" s="116">
        <v>794.176402795988</v>
      </c>
      <c r="E2170" s="116">
        <v>824.41429937449402</v>
      </c>
      <c r="F2170" s="116">
        <v>825.1</v>
      </c>
      <c r="G2170">
        <v>274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45212</v>
      </c>
      <c r="B2171" s="116">
        <v>819.82682077449203</v>
      </c>
      <c r="C2171" s="116">
        <v>798.86253684975304</v>
      </c>
      <c r="D2171" s="116">
        <v>795.16295733362301</v>
      </c>
      <c r="E2171" s="116">
        <v>799.70110820674302</v>
      </c>
      <c r="F2171" s="116">
        <v>809.75</v>
      </c>
      <c r="G2171">
        <v>675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45215</v>
      </c>
      <c r="B2172" s="116">
        <v>807.98816632287503</v>
      </c>
      <c r="C2172" s="116">
        <v>807.98816632287503</v>
      </c>
      <c r="D2172" s="116">
        <v>795.26161278738596</v>
      </c>
      <c r="E2172" s="116">
        <v>795.26161278738596</v>
      </c>
      <c r="F2172" s="116">
        <v>819</v>
      </c>
      <c r="G2172">
        <v>2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45216</v>
      </c>
      <c r="B2173" s="116">
        <v>808.97472086051005</v>
      </c>
      <c r="C2173" s="116">
        <v>787.02388239813604</v>
      </c>
      <c r="D2173" s="116">
        <v>774.44531204329303</v>
      </c>
      <c r="E2173" s="116">
        <v>807.98816632287503</v>
      </c>
      <c r="F2173" s="116">
        <v>797.75</v>
      </c>
      <c r="G2173">
        <v>954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45217</v>
      </c>
      <c r="B2174" s="116">
        <v>817.85371169922303</v>
      </c>
      <c r="C2174" s="116">
        <v>803.99262044545401</v>
      </c>
      <c r="D2174" s="116">
        <v>789.34228556157802</v>
      </c>
      <c r="E2174" s="116">
        <v>817.85371169922303</v>
      </c>
      <c r="F2174" s="116">
        <v>814.95</v>
      </c>
      <c r="G2174">
        <v>1033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45218</v>
      </c>
      <c r="B2175" s="116">
        <v>822.78648438739594</v>
      </c>
      <c r="C2175" s="116">
        <v>817.656400791696</v>
      </c>
      <c r="D2175" s="116">
        <v>794.176402795988</v>
      </c>
      <c r="E2175" s="116">
        <v>794.176402795988</v>
      </c>
      <c r="F2175" s="116">
        <v>828.8</v>
      </c>
      <c r="G2175">
        <v>1403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45219</v>
      </c>
      <c r="B2176" s="116">
        <v>804.04194817233599</v>
      </c>
      <c r="C2176" s="116">
        <v>792.647243262654</v>
      </c>
      <c r="D2176" s="116">
        <v>776.81304293361598</v>
      </c>
      <c r="E2176" s="116">
        <v>804.04194817233599</v>
      </c>
      <c r="F2176" s="116">
        <v>803.45</v>
      </c>
      <c r="G2176">
        <v>4002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45222</v>
      </c>
      <c r="B2177" s="116">
        <v>793.92976416157899</v>
      </c>
      <c r="C2177" s="116">
        <v>772.472202968023</v>
      </c>
      <c r="D2177" s="116">
        <v>769.51253935511897</v>
      </c>
      <c r="E2177" s="116">
        <v>782.33774834437099</v>
      </c>
      <c r="F2177" s="116">
        <v>783</v>
      </c>
      <c r="G2177">
        <v>1029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45224</v>
      </c>
      <c r="B2178" s="116">
        <v>784.31085741964</v>
      </c>
      <c r="C2178" s="116">
        <v>776.31976566479898</v>
      </c>
      <c r="D2178" s="116">
        <v>740.90245776371103</v>
      </c>
      <c r="E2178" s="116">
        <v>769.56186708200096</v>
      </c>
      <c r="F2178" s="116">
        <v>786.9</v>
      </c>
      <c r="G2178">
        <v>155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45225</v>
      </c>
      <c r="B2179" s="116">
        <v>782.33774834437099</v>
      </c>
      <c r="C2179" s="116">
        <v>750.768003140058</v>
      </c>
      <c r="D2179" s="116">
        <v>737.54817233575295</v>
      </c>
      <c r="E2179" s="116">
        <v>758.66043944113596</v>
      </c>
      <c r="F2179" s="116">
        <v>761</v>
      </c>
      <c r="G2179">
        <v>1416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45226</v>
      </c>
      <c r="B2180" s="116">
        <v>784.11354651211298</v>
      </c>
      <c r="C2180" s="116">
        <v>752.14917949274695</v>
      </c>
      <c r="D2180" s="116">
        <v>749.78144860242401</v>
      </c>
      <c r="E2180" s="116">
        <v>784.11354651211298</v>
      </c>
      <c r="F2180" s="116">
        <v>762.4</v>
      </c>
      <c r="G2180">
        <v>1193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45229</v>
      </c>
      <c r="B2181" s="116">
        <v>787.17186557878097</v>
      </c>
      <c r="C2181" s="116">
        <v>787.17186557878097</v>
      </c>
      <c r="D2181" s="116">
        <v>749.78144860242401</v>
      </c>
      <c r="E2181" s="116">
        <v>752.19850721962905</v>
      </c>
      <c r="F2181" s="116">
        <v>797.9</v>
      </c>
      <c r="G2181">
        <v>204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45230</v>
      </c>
      <c r="B2182" s="116">
        <v>789.24363010781406</v>
      </c>
      <c r="C2182" s="116">
        <v>767.68741346049501</v>
      </c>
      <c r="D2182" s="116">
        <v>747.85766725403596</v>
      </c>
      <c r="E2182" s="116">
        <v>785.29741195727502</v>
      </c>
      <c r="F2182" s="116">
        <v>778.15</v>
      </c>
      <c r="G2182">
        <v>1955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45231</v>
      </c>
      <c r="B2183" s="116">
        <v>786.18531104114595</v>
      </c>
      <c r="C2183" s="116">
        <v>781.25253835297303</v>
      </c>
      <c r="D2183" s="116">
        <v>759.64699397877098</v>
      </c>
      <c r="E2183" s="116">
        <v>774.44531204329303</v>
      </c>
      <c r="F2183" s="116">
        <v>791.9</v>
      </c>
      <c r="G2183">
        <v>435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45232</v>
      </c>
      <c r="B2184" s="116">
        <v>780.36463926910096</v>
      </c>
      <c r="C2184" s="116">
        <v>768.23001845619399</v>
      </c>
      <c r="D2184" s="116">
        <v>750.86665859382197</v>
      </c>
      <c r="E2184" s="116">
        <v>780.36463926910096</v>
      </c>
      <c r="F2184" s="116">
        <v>778.7</v>
      </c>
      <c r="G2184">
        <v>1233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45233</v>
      </c>
      <c r="B2185" s="116">
        <v>784.31085741964</v>
      </c>
      <c r="C2185" s="116">
        <v>780.26598381533802</v>
      </c>
      <c r="D2185" s="116">
        <v>751.75455767769301</v>
      </c>
      <c r="E2185" s="116">
        <v>769.51253935511897</v>
      </c>
      <c r="F2185" s="116">
        <v>790.9</v>
      </c>
      <c r="G2185">
        <v>920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45236</v>
      </c>
      <c r="B2186" s="116">
        <v>776.41842111856204</v>
      </c>
      <c r="C2186" s="116">
        <v>750.96531404758503</v>
      </c>
      <c r="D2186" s="116">
        <v>749.78144860242401</v>
      </c>
      <c r="E2186" s="116">
        <v>776.41842111856204</v>
      </c>
      <c r="F2186" s="116">
        <v>761.2</v>
      </c>
      <c r="G2186">
        <v>1652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45237</v>
      </c>
      <c r="B2187" s="116">
        <v>776.36909339168096</v>
      </c>
      <c r="C2187" s="116">
        <v>764.77707757447195</v>
      </c>
      <c r="D2187" s="116">
        <v>720.18481247338002</v>
      </c>
      <c r="E2187" s="116">
        <v>747.21640680457301</v>
      </c>
      <c r="F2187" s="116">
        <v>775.2</v>
      </c>
      <c r="G2187">
        <v>2267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45238</v>
      </c>
      <c r="B2188" s="116">
        <v>775.28388340028198</v>
      </c>
      <c r="C2188" s="116">
        <v>751.85321313145698</v>
      </c>
      <c r="D2188" s="116">
        <v>731.82615601747102</v>
      </c>
      <c r="E2188" s="116">
        <v>775.28388340028198</v>
      </c>
      <c r="F2188" s="116">
        <v>762.1</v>
      </c>
      <c r="G2188">
        <v>1883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45239</v>
      </c>
      <c r="B2189" s="116">
        <v>774.44531204329303</v>
      </c>
      <c r="C2189" s="116">
        <v>760.880187150815</v>
      </c>
      <c r="D2189" s="116">
        <v>751.75455767769301</v>
      </c>
      <c r="E2189" s="116">
        <v>774.44531204329303</v>
      </c>
      <c r="F2189" s="116">
        <v>771.25</v>
      </c>
      <c r="G2189">
        <v>2396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45240</v>
      </c>
      <c r="B2190" s="116">
        <v>798.12262094652704</v>
      </c>
      <c r="C2190" s="116">
        <v>780.75926108415501</v>
      </c>
      <c r="D2190" s="116">
        <v>754.71422129059704</v>
      </c>
      <c r="E2190" s="116">
        <v>759.64699397877098</v>
      </c>
      <c r="F2190" s="116">
        <v>791.4</v>
      </c>
      <c r="G2190">
        <v>2340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45242</v>
      </c>
      <c r="B2191" s="116">
        <v>819.77749304761005</v>
      </c>
      <c r="C2191" s="116">
        <v>812.13169538094098</v>
      </c>
      <c r="D2191" s="116">
        <v>799.10917548416205</v>
      </c>
      <c r="E2191" s="116">
        <v>799.10917548416205</v>
      </c>
      <c r="F2191" s="116">
        <v>823.2</v>
      </c>
      <c r="G2191">
        <v>3241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45243</v>
      </c>
      <c r="B2192" s="116">
        <v>843.50412967772695</v>
      </c>
      <c r="C2192" s="116">
        <v>816.37387989276999</v>
      </c>
      <c r="D2192" s="116">
        <v>790.27951237233106</v>
      </c>
      <c r="E2192" s="116">
        <v>836.055642918584</v>
      </c>
      <c r="F2192" s="116">
        <v>827.5</v>
      </c>
      <c r="G2192">
        <v>2076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45245</v>
      </c>
      <c r="B2193" s="116">
        <v>848.43690236589998</v>
      </c>
      <c r="C2193" s="116">
        <v>839.31127289277902</v>
      </c>
      <c r="D2193" s="116">
        <v>814.89404808631798</v>
      </c>
      <c r="E2193" s="116">
        <v>838.57135698955301</v>
      </c>
      <c r="F2193" s="116">
        <v>850.75</v>
      </c>
      <c r="G2193">
        <v>3231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45246</v>
      </c>
      <c r="B2194" s="116">
        <v>862.10068271214197</v>
      </c>
      <c r="C2194" s="116">
        <v>840.05118879600502</v>
      </c>
      <c r="D2194" s="116">
        <v>831.61614749922796</v>
      </c>
      <c r="E2194" s="116">
        <v>840.54446606482202</v>
      </c>
      <c r="F2194" s="116">
        <v>851.5</v>
      </c>
      <c r="G2194">
        <v>1297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45247</v>
      </c>
      <c r="B2195" s="116">
        <v>850.41001144117001</v>
      </c>
      <c r="C2195" s="116">
        <v>847.40102010138401</v>
      </c>
      <c r="D2195" s="116">
        <v>805.12715816373395</v>
      </c>
      <c r="E2195" s="116">
        <v>840.05118879600502</v>
      </c>
      <c r="F2195" s="116">
        <v>858.95</v>
      </c>
      <c r="G2195">
        <v>2172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45250</v>
      </c>
      <c r="B2196" s="116">
        <v>846.46379329063097</v>
      </c>
      <c r="C2196" s="116">
        <v>837.53547472503601</v>
      </c>
      <c r="D2196" s="116">
        <v>813.90749354868296</v>
      </c>
      <c r="E2196" s="116">
        <v>840.54446606482202</v>
      </c>
      <c r="F2196" s="116">
        <v>848.95</v>
      </c>
      <c r="G2196">
        <v>497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45251</v>
      </c>
      <c r="B2197" s="116">
        <v>873.10076580677003</v>
      </c>
      <c r="C2197" s="116">
        <v>846.95707055944797</v>
      </c>
      <c r="D2197" s="116">
        <v>823.77303892503096</v>
      </c>
      <c r="E2197" s="116">
        <v>873.10076580677003</v>
      </c>
      <c r="F2197" s="116">
        <v>858.5</v>
      </c>
      <c r="G2197">
        <v>1345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45252</v>
      </c>
      <c r="B2198" s="116">
        <v>867.18143858096096</v>
      </c>
      <c r="C2198" s="116">
        <v>845.23060011858695</v>
      </c>
      <c r="D2198" s="116">
        <v>818.84026623685702</v>
      </c>
      <c r="E2198" s="116">
        <v>823.67438347126802</v>
      </c>
      <c r="F2198" s="116">
        <v>856.75</v>
      </c>
      <c r="G2198">
        <v>2253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45253</v>
      </c>
      <c r="B2199" s="116">
        <v>857.41454865837704</v>
      </c>
      <c r="C2199" s="116">
        <v>833.44127339385204</v>
      </c>
      <c r="D2199" s="116">
        <v>820.81337531212705</v>
      </c>
      <c r="E2199" s="116">
        <v>845.23060011858695</v>
      </c>
      <c r="F2199" s="116">
        <v>844.8</v>
      </c>
      <c r="G2199">
        <v>1867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45254</v>
      </c>
      <c r="B2200" s="116">
        <v>833.44127339385204</v>
      </c>
      <c r="C2200" s="116">
        <v>813.90749354868296</v>
      </c>
      <c r="D2200" s="116">
        <v>804.04194817233599</v>
      </c>
      <c r="E2200" s="116">
        <v>833.44127339385204</v>
      </c>
      <c r="F2200" s="116">
        <v>825</v>
      </c>
      <c r="G2200">
        <v>1154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45258</v>
      </c>
      <c r="B2201" s="116">
        <v>820.81337531212705</v>
      </c>
      <c r="C2201" s="116">
        <v>803.252704542228</v>
      </c>
      <c r="D2201" s="116">
        <v>800.14505774867803</v>
      </c>
      <c r="E2201" s="116">
        <v>813.90749354868296</v>
      </c>
      <c r="F2201" s="116">
        <v>814.2</v>
      </c>
      <c r="G2201">
        <v>1722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45259</v>
      </c>
      <c r="B2202" s="116">
        <v>838.57135698955301</v>
      </c>
      <c r="C2202" s="116">
        <v>804.09127589921798</v>
      </c>
      <c r="D2202" s="116">
        <v>797.13606640889202</v>
      </c>
      <c r="E2202" s="116">
        <v>838.57135698955301</v>
      </c>
      <c r="F2202" s="116">
        <v>815.05</v>
      </c>
      <c r="G2202">
        <v>1207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45260</v>
      </c>
      <c r="B2203" s="116">
        <v>813.90749354868296</v>
      </c>
      <c r="C2203" s="116">
        <v>798.27060412717196</v>
      </c>
      <c r="D2203" s="116">
        <v>788.25707557017995</v>
      </c>
      <c r="E2203" s="116">
        <v>788.25707557017995</v>
      </c>
      <c r="F2203" s="116">
        <v>809.15</v>
      </c>
      <c r="G2203">
        <v>776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45261</v>
      </c>
      <c r="B2204" s="116">
        <v>812.77295583040302</v>
      </c>
      <c r="C2204" s="116">
        <v>794.32438597663304</v>
      </c>
      <c r="D2204" s="116">
        <v>790.23018464544896</v>
      </c>
      <c r="E2204" s="116">
        <v>812.77295583040302</v>
      </c>
      <c r="F2204" s="116">
        <v>805.15</v>
      </c>
      <c r="G2204">
        <v>791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45264</v>
      </c>
      <c r="B2205" s="116">
        <v>826.53539163040796</v>
      </c>
      <c r="C2205" s="116">
        <v>793.58447007340703</v>
      </c>
      <c r="D2205" s="116">
        <v>791.21673918308397</v>
      </c>
      <c r="E2205" s="116">
        <v>823.77303892503096</v>
      </c>
      <c r="F2205" s="116">
        <v>804.4</v>
      </c>
      <c r="G2205">
        <v>632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45265</v>
      </c>
      <c r="B2206" s="116">
        <v>818.84026623685702</v>
      </c>
      <c r="C2206" s="116">
        <v>797.92531003900001</v>
      </c>
      <c r="D2206" s="116">
        <v>790.23018464544896</v>
      </c>
      <c r="E2206" s="116">
        <v>812.77295583040302</v>
      </c>
      <c r="F2206" s="116">
        <v>808.8</v>
      </c>
      <c r="G2206">
        <v>591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45266</v>
      </c>
      <c r="B2207" s="116">
        <v>815.880602623953</v>
      </c>
      <c r="C2207" s="116">
        <v>803.89396499169095</v>
      </c>
      <c r="D2207" s="116">
        <v>789.24363010781406</v>
      </c>
      <c r="E2207" s="116">
        <v>812.822283557285</v>
      </c>
      <c r="F2207" s="116">
        <v>814.85</v>
      </c>
      <c r="G2207">
        <v>734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45267</v>
      </c>
      <c r="B2208" s="116">
        <v>815.83127489707101</v>
      </c>
      <c r="C2208" s="116">
        <v>792.20329372071899</v>
      </c>
      <c r="D2208" s="116">
        <v>783.47228606265105</v>
      </c>
      <c r="E2208" s="116">
        <v>815.83127489707101</v>
      </c>
      <c r="F2208" s="116">
        <v>803</v>
      </c>
      <c r="G2208">
        <v>4237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45268</v>
      </c>
      <c r="B2209" s="116">
        <v>807.84018314222999</v>
      </c>
      <c r="C2209" s="116">
        <v>787.56648739383502</v>
      </c>
      <c r="D2209" s="116">
        <v>780.46329472286504</v>
      </c>
      <c r="E2209" s="116">
        <v>807.84018314222999</v>
      </c>
      <c r="F2209" s="116">
        <v>798.3</v>
      </c>
      <c r="G2209">
        <v>984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45271</v>
      </c>
      <c r="B2210" s="116">
        <v>789.24363010781406</v>
      </c>
      <c r="C2210" s="116">
        <v>775.62917748845496</v>
      </c>
      <c r="D2210" s="116">
        <v>769.51253935511897</v>
      </c>
      <c r="E2210" s="116">
        <v>779.37808473146697</v>
      </c>
      <c r="F2210" s="116">
        <v>786.2</v>
      </c>
      <c r="G2210">
        <v>932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45272</v>
      </c>
      <c r="B2211" s="116">
        <v>814.84472035943702</v>
      </c>
      <c r="C2211" s="116">
        <v>796.59346141319304</v>
      </c>
      <c r="D2211" s="116">
        <v>770.54842161963495</v>
      </c>
      <c r="E2211" s="116">
        <v>814.84472035943702</v>
      </c>
      <c r="F2211" s="116">
        <v>807.45</v>
      </c>
      <c r="G2211">
        <v>1036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45273</v>
      </c>
      <c r="B2212" s="116">
        <v>794.176402795988</v>
      </c>
      <c r="C2212" s="116">
        <v>784.55749605404901</v>
      </c>
      <c r="D2212" s="116">
        <v>762.21203577662197</v>
      </c>
      <c r="E2212" s="116">
        <v>794.176402795988</v>
      </c>
      <c r="F2212" s="116">
        <v>795.25</v>
      </c>
      <c r="G2212">
        <v>1347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45274</v>
      </c>
      <c r="B2213" s="116">
        <v>804.04194817233599</v>
      </c>
      <c r="C2213" s="116">
        <v>780.61127790350997</v>
      </c>
      <c r="D2213" s="116">
        <v>769.51253935511897</v>
      </c>
      <c r="E2213" s="116">
        <v>784.55749605404901</v>
      </c>
      <c r="F2213" s="116">
        <v>791.25</v>
      </c>
      <c r="G2213">
        <v>2729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45275</v>
      </c>
      <c r="B2214" s="116">
        <v>803.05539363470098</v>
      </c>
      <c r="C2214" s="116">
        <v>772.91615250995903</v>
      </c>
      <c r="D2214" s="116">
        <v>770.49909389275399</v>
      </c>
      <c r="E2214" s="116">
        <v>782.33774834437099</v>
      </c>
      <c r="F2214" s="116">
        <v>783.45</v>
      </c>
      <c r="G2214">
        <v>1564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45278</v>
      </c>
      <c r="B2215" s="116">
        <v>784.31085741964</v>
      </c>
      <c r="C2215" s="116">
        <v>756.49001945834004</v>
      </c>
      <c r="D2215" s="116">
        <v>749.78144860242401</v>
      </c>
      <c r="E2215" s="116">
        <v>771.48564843038798</v>
      </c>
      <c r="F2215" s="116">
        <v>766.8</v>
      </c>
      <c r="G2215">
        <v>2216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45279</v>
      </c>
      <c r="B2216" s="116">
        <v>777.40497565619705</v>
      </c>
      <c r="C2216" s="116">
        <v>747.75901180027199</v>
      </c>
      <c r="D2216" s="116">
        <v>723.14447608628495</v>
      </c>
      <c r="E2216" s="116">
        <v>777.40497565619705</v>
      </c>
      <c r="F2216" s="116">
        <v>757.95</v>
      </c>
      <c r="G2216">
        <v>7155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45280</v>
      </c>
      <c r="B2217" s="116">
        <v>808.43211586481095</v>
      </c>
      <c r="C2217" s="116">
        <v>781.64716016802697</v>
      </c>
      <c r="D2217" s="116">
        <v>757.67388490350197</v>
      </c>
      <c r="E2217" s="116">
        <v>769.51253935511897</v>
      </c>
      <c r="F2217" s="116">
        <v>792.3</v>
      </c>
      <c r="G2217">
        <v>5829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45281</v>
      </c>
      <c r="B2218" s="116">
        <v>804.97917498308902</v>
      </c>
      <c r="C2218" s="116">
        <v>786.77724376372703</v>
      </c>
      <c r="D2218" s="116">
        <v>769.51253935511897</v>
      </c>
      <c r="E2218" s="116">
        <v>804.97917498308902</v>
      </c>
      <c r="F2218" s="116">
        <v>797.5</v>
      </c>
      <c r="G2218">
        <v>1249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45282</v>
      </c>
      <c r="B2219" s="116">
        <v>789.24363010781406</v>
      </c>
      <c r="C2219" s="116">
        <v>785.19875650351196</v>
      </c>
      <c r="D2219" s="116">
        <v>774.44531204329303</v>
      </c>
      <c r="E2219" s="116">
        <v>780.36463926910096</v>
      </c>
      <c r="F2219" s="116">
        <v>795.9</v>
      </c>
      <c r="G2219">
        <v>1424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45286</v>
      </c>
      <c r="B2220" s="116">
        <v>837.53547472503601</v>
      </c>
      <c r="C2220" s="116">
        <v>794.66968006480499</v>
      </c>
      <c r="D2220" s="116">
        <v>784.31085741964</v>
      </c>
      <c r="E2220" s="116">
        <v>837.53547472503601</v>
      </c>
      <c r="F2220" s="116">
        <v>805.5</v>
      </c>
      <c r="G2220">
        <v>1695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45287</v>
      </c>
      <c r="B2221" s="116">
        <v>808.97472086051005</v>
      </c>
      <c r="C2221" s="116">
        <v>799.05984775727995</v>
      </c>
      <c r="D2221" s="116">
        <v>789.24363010781406</v>
      </c>
      <c r="E2221" s="116">
        <v>794.176402795988</v>
      </c>
      <c r="F2221" s="116">
        <v>809.95</v>
      </c>
      <c r="G2221">
        <v>5603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45288</v>
      </c>
      <c r="B2222" s="116">
        <v>812.92093901104897</v>
      </c>
      <c r="C2222" s="116">
        <v>806.55766224330398</v>
      </c>
      <c r="D2222" s="116">
        <v>789.24363010781406</v>
      </c>
      <c r="E2222" s="116">
        <v>789.24363010781406</v>
      </c>
      <c r="F2222" s="116">
        <v>817.55</v>
      </c>
      <c r="G2222">
        <v>5634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45289</v>
      </c>
      <c r="B2223" s="116">
        <v>823.77303892503096</v>
      </c>
      <c r="C2223" s="116">
        <v>818.74161078309396</v>
      </c>
      <c r="D2223" s="116">
        <v>791.21673918308397</v>
      </c>
      <c r="E2223" s="116">
        <v>808.97472086051005</v>
      </c>
      <c r="F2223" s="116">
        <v>829.9</v>
      </c>
      <c r="G2223">
        <v>3652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45292</v>
      </c>
      <c r="B2224" s="116">
        <v>845.42791102611397</v>
      </c>
      <c r="C2224" s="116">
        <v>829.64303842395805</v>
      </c>
      <c r="D2224" s="116">
        <v>804.04194817233599</v>
      </c>
      <c r="E2224" s="116">
        <v>823.77303892503096</v>
      </c>
      <c r="F2224" s="116">
        <v>840.95</v>
      </c>
      <c r="G2224">
        <v>2388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45293</v>
      </c>
      <c r="B2225" s="116">
        <v>912.56294731215996</v>
      </c>
      <c r="C2225" s="116">
        <v>905.60773782183503</v>
      </c>
      <c r="D2225" s="116">
        <v>810.94782993577905</v>
      </c>
      <c r="E2225" s="116">
        <v>810.94782993577905</v>
      </c>
      <c r="F2225" s="116">
        <v>917.95</v>
      </c>
      <c r="G2225">
        <v>17589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45294</v>
      </c>
      <c r="B2226" s="116">
        <v>996.12411664982505</v>
      </c>
      <c r="C2226" s="116">
        <v>950.93991882615296</v>
      </c>
      <c r="D2226" s="116">
        <v>879.02009303257796</v>
      </c>
      <c r="E2226" s="116">
        <v>924.94420675947697</v>
      </c>
      <c r="F2226" s="116">
        <v>963.9</v>
      </c>
      <c r="G2226">
        <v>14659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45295</v>
      </c>
      <c r="B2227" s="116">
        <v>1006.28562838746</v>
      </c>
      <c r="C2227" s="116">
        <v>993.80571348638296</v>
      </c>
      <c r="D2227" s="116">
        <v>956.95790150572498</v>
      </c>
      <c r="E2227" s="116">
        <v>957.54983422830605</v>
      </c>
      <c r="F2227" s="116">
        <v>1007.35</v>
      </c>
      <c r="G2227">
        <v>24418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45296</v>
      </c>
      <c r="B2228" s="116">
        <v>1022.07050098962</v>
      </c>
      <c r="C2228" s="116">
        <v>986.99848717670397</v>
      </c>
      <c r="D2228" s="116">
        <v>947.09235612937698</v>
      </c>
      <c r="E2228" s="116">
        <v>965.19563189497501</v>
      </c>
      <c r="F2228" s="116">
        <v>1000.45</v>
      </c>
      <c r="G2228">
        <v>4924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45299</v>
      </c>
      <c r="B2229" s="116">
        <v>1011.21840107564</v>
      </c>
      <c r="C2229" s="116">
        <v>968.84588368422396</v>
      </c>
      <c r="D2229" s="116">
        <v>937.42412166055601</v>
      </c>
      <c r="E2229" s="116">
        <v>1011.21840107564</v>
      </c>
      <c r="F2229" s="116">
        <v>982.05</v>
      </c>
      <c r="G2229">
        <v>17662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45300</v>
      </c>
      <c r="B2230" s="116">
        <v>996.42008301111503</v>
      </c>
      <c r="C2230" s="116">
        <v>986.20924354659599</v>
      </c>
      <c r="D2230" s="116">
        <v>964.06109417669495</v>
      </c>
      <c r="E2230" s="116">
        <v>996.025461196062</v>
      </c>
      <c r="F2230" s="116">
        <v>999.65</v>
      </c>
      <c r="G2230">
        <v>5278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45301</v>
      </c>
      <c r="B2231" s="116">
        <v>986.55453763476805</v>
      </c>
      <c r="C2231" s="116">
        <v>938.85462574012695</v>
      </c>
      <c r="D2231" s="116">
        <v>908.32076280033095</v>
      </c>
      <c r="E2231" s="116">
        <v>986.55453763476805</v>
      </c>
      <c r="F2231" s="116">
        <v>951.65</v>
      </c>
      <c r="G2231">
        <v>2581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45302</v>
      </c>
      <c r="B2232" s="116">
        <v>1016.05251831005</v>
      </c>
      <c r="C2232" s="116">
        <v>977.52756361541003</v>
      </c>
      <c r="D2232" s="116">
        <v>923.41504722614297</v>
      </c>
      <c r="E2232" s="116">
        <v>986.45588218100397</v>
      </c>
      <c r="F2232" s="116">
        <v>990.85</v>
      </c>
      <c r="G2232">
        <v>5023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45303</v>
      </c>
      <c r="B2233" s="116">
        <v>986.11058809283202</v>
      </c>
      <c r="C2233" s="116">
        <v>979.40201723691598</v>
      </c>
      <c r="D2233" s="116">
        <v>965.34361507562005</v>
      </c>
      <c r="E2233" s="116">
        <v>986.01193263906896</v>
      </c>
      <c r="F2233" s="116">
        <v>992.75</v>
      </c>
      <c r="G2233">
        <v>863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45306</v>
      </c>
      <c r="B2234" s="116">
        <v>986.50520990788596</v>
      </c>
      <c r="C2234" s="116">
        <v>958.33907785841302</v>
      </c>
      <c r="D2234" s="116">
        <v>947.48697794443103</v>
      </c>
      <c r="E2234" s="116">
        <v>986.50520990788596</v>
      </c>
      <c r="F2234" s="116">
        <v>971.4</v>
      </c>
      <c r="G2234">
        <v>1815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45307</v>
      </c>
      <c r="B2235" s="116">
        <v>979.25403405627105</v>
      </c>
      <c r="C2235" s="116">
        <v>928.15050900679</v>
      </c>
      <c r="D2235" s="116">
        <v>927.36126537668201</v>
      </c>
      <c r="E2235" s="116">
        <v>979.25403405627105</v>
      </c>
      <c r="F2235" s="116">
        <v>940.8</v>
      </c>
      <c r="G2235">
        <v>2103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45308</v>
      </c>
      <c r="B2236" s="116">
        <v>956.36596878314401</v>
      </c>
      <c r="C2236" s="116">
        <v>950.39731383045398</v>
      </c>
      <c r="D2236" s="116">
        <v>912.56294731215996</v>
      </c>
      <c r="E2236" s="116">
        <v>925.38815630141198</v>
      </c>
      <c r="F2236" s="116">
        <v>963.35</v>
      </c>
      <c r="G2236">
        <v>1807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45309</v>
      </c>
      <c r="B2237" s="116">
        <v>946.10580159174197</v>
      </c>
      <c r="C2237" s="116">
        <v>933.87252532507102</v>
      </c>
      <c r="D2237" s="116">
        <v>897.27135197882103</v>
      </c>
      <c r="E2237" s="116">
        <v>924.64824039818598</v>
      </c>
      <c r="F2237" s="116">
        <v>946.6</v>
      </c>
      <c r="G2237">
        <v>1172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45310</v>
      </c>
      <c r="B2238" s="116">
        <v>945.90849068421505</v>
      </c>
      <c r="C2238" s="116">
        <v>934.711096682061</v>
      </c>
      <c r="D2238" s="116">
        <v>915.57193865194597</v>
      </c>
      <c r="E2238" s="116">
        <v>932.29403806485595</v>
      </c>
      <c r="F2238" s="116">
        <v>947.45</v>
      </c>
      <c r="G2238">
        <v>894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45311</v>
      </c>
      <c r="B2239" s="116">
        <v>951.43319609496996</v>
      </c>
      <c r="C2239" s="116">
        <v>934.06983623259805</v>
      </c>
      <c r="D2239" s="116">
        <v>917.49572000033402</v>
      </c>
      <c r="E2239" s="116">
        <v>951.43319609496996</v>
      </c>
      <c r="F2239" s="116">
        <v>946.8</v>
      </c>
      <c r="G2239">
        <v>1409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45314</v>
      </c>
      <c r="B2240" s="116">
        <v>965.83689234443796</v>
      </c>
      <c r="C2240" s="116">
        <v>882.42370618741802</v>
      </c>
      <c r="D2240" s="116">
        <v>877.83622758741603</v>
      </c>
      <c r="E2240" s="116">
        <v>965.83689234443796</v>
      </c>
      <c r="F2240" s="116">
        <v>894.45</v>
      </c>
      <c r="G2240">
        <v>1644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45315</v>
      </c>
      <c r="B2241" s="116">
        <v>929.33437445195102</v>
      </c>
      <c r="C2241" s="116">
        <v>899.68841059602698</v>
      </c>
      <c r="D2241" s="116">
        <v>869.20387538311195</v>
      </c>
      <c r="E2241" s="116">
        <v>911.971014589579</v>
      </c>
      <c r="F2241" s="116">
        <v>911.95</v>
      </c>
      <c r="G2241">
        <v>1445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45316</v>
      </c>
      <c r="B2242" s="116">
        <v>932.29403806485595</v>
      </c>
      <c r="C2242" s="116">
        <v>866.54017813149801</v>
      </c>
      <c r="D2242" s="116">
        <v>858.30244774224798</v>
      </c>
      <c r="E2242" s="116">
        <v>932.29403806485595</v>
      </c>
      <c r="F2242" s="116">
        <v>878.35</v>
      </c>
      <c r="G2242">
        <v>1944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45320</v>
      </c>
      <c r="B2243" s="116">
        <v>887.89908387129105</v>
      </c>
      <c r="C2243" s="116">
        <v>852.97505323901999</v>
      </c>
      <c r="D2243" s="116">
        <v>821.40530803470801</v>
      </c>
      <c r="E2243" s="116">
        <v>866.19488404332606</v>
      </c>
      <c r="F2243" s="116">
        <v>864.6</v>
      </c>
      <c r="G2243">
        <v>1496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45321</v>
      </c>
      <c r="B2244" s="116">
        <v>878.03353849494295</v>
      </c>
      <c r="C2244" s="116">
        <v>863.827153153003</v>
      </c>
      <c r="D2244" s="116">
        <v>850.65665007557902</v>
      </c>
      <c r="E2244" s="116">
        <v>878.03353849494295</v>
      </c>
      <c r="F2244" s="116">
        <v>875.6</v>
      </c>
      <c r="G2244">
        <v>252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45322</v>
      </c>
      <c r="B2245" s="116">
        <v>873.10076580677003</v>
      </c>
      <c r="C2245" s="116">
        <v>860.27555681751801</v>
      </c>
      <c r="D2245" s="116">
        <v>848.53555781966395</v>
      </c>
      <c r="E2245" s="116">
        <v>856.32933866697897</v>
      </c>
      <c r="F2245" s="116">
        <v>872</v>
      </c>
      <c r="G2245">
        <v>722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45323</v>
      </c>
      <c r="B2246" s="116">
        <v>877.83622758741603</v>
      </c>
      <c r="C2246" s="116">
        <v>840.54446606482202</v>
      </c>
      <c r="D2246" s="116">
        <v>823.77303892503096</v>
      </c>
      <c r="E2246" s="116">
        <v>848.43690236589998</v>
      </c>
      <c r="F2246" s="116">
        <v>852</v>
      </c>
      <c r="G2246">
        <v>630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45324</v>
      </c>
      <c r="B2247" s="116">
        <v>877.04698395730895</v>
      </c>
      <c r="C2247" s="116">
        <v>866.39219495085297</v>
      </c>
      <c r="D2247" s="116">
        <v>839.60723925406899</v>
      </c>
      <c r="E2247" s="116">
        <v>848.43690236589998</v>
      </c>
      <c r="F2247" s="116">
        <v>878.2</v>
      </c>
      <c r="G2247">
        <v>1058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45327</v>
      </c>
      <c r="B2248" s="116">
        <v>907.63017462398602</v>
      </c>
      <c r="C2248" s="116">
        <v>822.88513984116003</v>
      </c>
      <c r="D2248" s="116">
        <v>813.90749354868296</v>
      </c>
      <c r="E2248" s="116">
        <v>907.63017462398602</v>
      </c>
      <c r="F2248" s="116">
        <v>834.1</v>
      </c>
      <c r="G2248">
        <v>6200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45328</v>
      </c>
      <c r="B2249" s="116">
        <v>848.38757463901902</v>
      </c>
      <c r="C2249" s="116">
        <v>828.70581161320501</v>
      </c>
      <c r="D2249" s="116">
        <v>800.63833501749605</v>
      </c>
      <c r="E2249" s="116">
        <v>848.33824691213704</v>
      </c>
      <c r="F2249" s="116">
        <v>840</v>
      </c>
      <c r="G2249">
        <v>2543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45329</v>
      </c>
      <c r="B2250" s="116">
        <v>909.11000643043894</v>
      </c>
      <c r="C2250" s="116">
        <v>882.12773982612805</v>
      </c>
      <c r="D2250" s="116">
        <v>814.05547672932903</v>
      </c>
      <c r="E2250" s="116">
        <v>848.23959145837296</v>
      </c>
      <c r="F2250" s="116">
        <v>894.15</v>
      </c>
      <c r="G2250">
        <v>4963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45330</v>
      </c>
      <c r="B2251" s="116">
        <v>927.36126537668201</v>
      </c>
      <c r="C2251" s="116">
        <v>891.99328520247502</v>
      </c>
      <c r="D2251" s="116">
        <v>868.16799311859597</v>
      </c>
      <c r="E2251" s="116">
        <v>887.89908387129105</v>
      </c>
      <c r="F2251" s="116">
        <v>904.15</v>
      </c>
      <c r="G2251">
        <v>2966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45331</v>
      </c>
      <c r="B2252" s="116">
        <v>1033.90915544124</v>
      </c>
      <c r="C2252" s="116">
        <v>897.17269652505797</v>
      </c>
      <c r="D2252" s="116">
        <v>843.55345740460803</v>
      </c>
      <c r="E2252" s="116">
        <v>878.03353849494295</v>
      </c>
      <c r="F2252" s="116">
        <v>909.4</v>
      </c>
      <c r="G2252">
        <v>12472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45334</v>
      </c>
      <c r="B2253" s="116">
        <v>917.44639227345203</v>
      </c>
      <c r="C2253" s="116">
        <v>882.86765572935406</v>
      </c>
      <c r="D2253" s="116">
        <v>868.21732084547705</v>
      </c>
      <c r="E2253" s="116">
        <v>917.44639227345203</v>
      </c>
      <c r="F2253" s="116">
        <v>894.9</v>
      </c>
      <c r="G2253">
        <v>1394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45335</v>
      </c>
      <c r="B2254" s="116">
        <v>911.28042641323498</v>
      </c>
      <c r="C2254" s="116">
        <v>878.82278212505105</v>
      </c>
      <c r="D2254" s="116">
        <v>858.30244774224798</v>
      </c>
      <c r="E2254" s="116">
        <v>870.14110219386498</v>
      </c>
      <c r="F2254" s="116">
        <v>890.8</v>
      </c>
      <c r="G2254">
        <v>2683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45336</v>
      </c>
      <c r="B2255" s="116">
        <v>887.800428417528</v>
      </c>
      <c r="C2255" s="116">
        <v>860.522195451926</v>
      </c>
      <c r="D2255" s="116">
        <v>828.65648388632303</v>
      </c>
      <c r="E2255" s="116">
        <v>868.16799311859597</v>
      </c>
      <c r="F2255" s="116">
        <v>872.25</v>
      </c>
      <c r="G2255">
        <v>5644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45337</v>
      </c>
      <c r="B2256" s="116">
        <v>911.57639277452597</v>
      </c>
      <c r="C2256" s="116">
        <v>873.98866489064096</v>
      </c>
      <c r="D2256" s="116">
        <v>839.60723925406899</v>
      </c>
      <c r="E2256" s="116">
        <v>868.11866539171399</v>
      </c>
      <c r="F2256" s="116">
        <v>885.9</v>
      </c>
      <c r="G2256">
        <v>5497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45338</v>
      </c>
      <c r="B2257" s="116">
        <v>877.04698395730895</v>
      </c>
      <c r="C2257" s="116">
        <v>849.52211235729897</v>
      </c>
      <c r="D2257" s="116">
        <v>843.50412967772695</v>
      </c>
      <c r="E2257" s="116">
        <v>850.80463325622395</v>
      </c>
      <c r="F2257" s="116">
        <v>861.1</v>
      </c>
      <c r="G2257">
        <v>3804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45341</v>
      </c>
      <c r="B2258" s="116">
        <v>877.04698395730895</v>
      </c>
      <c r="C2258" s="116">
        <v>853.91228004977302</v>
      </c>
      <c r="D2258" s="116">
        <v>835.61169337664796</v>
      </c>
      <c r="E2258" s="116">
        <v>835.61169337664796</v>
      </c>
      <c r="F2258" s="116">
        <v>865.55</v>
      </c>
      <c r="G2258">
        <v>6362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45342</v>
      </c>
      <c r="B2259" s="116">
        <v>868.16799311859597</v>
      </c>
      <c r="C2259" s="116">
        <v>862.93925406913104</v>
      </c>
      <c r="D2259" s="116">
        <v>845.27992784546905</v>
      </c>
      <c r="E2259" s="116">
        <v>868.06933766483201</v>
      </c>
      <c r="F2259" s="116">
        <v>874.7</v>
      </c>
      <c r="G2259">
        <v>1205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45343</v>
      </c>
      <c r="B2260" s="116">
        <v>868.16799311859597</v>
      </c>
      <c r="C2260" s="116">
        <v>867.77337130354204</v>
      </c>
      <c r="D2260" s="116">
        <v>846.46379329063097</v>
      </c>
      <c r="E2260" s="116">
        <v>868.16799311859597</v>
      </c>
      <c r="F2260" s="116">
        <v>879.6</v>
      </c>
      <c r="G2260">
        <v>1405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45344</v>
      </c>
      <c r="B2261" s="116">
        <v>906.64362008635203</v>
      </c>
      <c r="C2261" s="116">
        <v>868.02000993795002</v>
      </c>
      <c r="D2261" s="116">
        <v>853.61631368848305</v>
      </c>
      <c r="E2261" s="116">
        <v>906.64362008635203</v>
      </c>
      <c r="F2261" s="116">
        <v>879.85</v>
      </c>
      <c r="G2261">
        <v>2474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45345</v>
      </c>
      <c r="B2262" s="116">
        <v>868.16799311859597</v>
      </c>
      <c r="C2262" s="116">
        <v>858.40110319601104</v>
      </c>
      <c r="D2262" s="116">
        <v>849.423456903535</v>
      </c>
      <c r="E2262" s="116">
        <v>868.16799311859597</v>
      </c>
      <c r="F2262" s="116">
        <v>870.1</v>
      </c>
      <c r="G2262">
        <v>614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45348</v>
      </c>
      <c r="B2263" s="116">
        <v>886.81387387989298</v>
      </c>
      <c r="C2263" s="116">
        <v>857.90782592719404</v>
      </c>
      <c r="D2263" s="116">
        <v>855.34278412934395</v>
      </c>
      <c r="E2263" s="116">
        <v>886.81387387989298</v>
      </c>
      <c r="F2263" s="116">
        <v>869.6</v>
      </c>
      <c r="G2263">
        <v>498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45349</v>
      </c>
      <c r="B2264" s="116">
        <v>892.831856559465</v>
      </c>
      <c r="C2264" s="116">
        <v>863.33387588418498</v>
      </c>
      <c r="D2264" s="116">
        <v>862.24866589278702</v>
      </c>
      <c r="E2264" s="116">
        <v>887.89908387129105</v>
      </c>
      <c r="F2264" s="116">
        <v>875.1</v>
      </c>
      <c r="G2264">
        <v>1039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45350</v>
      </c>
      <c r="B2265" s="116">
        <v>884.59412617021496</v>
      </c>
      <c r="C2265" s="116">
        <v>864.66572450999195</v>
      </c>
      <c r="D2265" s="116">
        <v>839.557911527187</v>
      </c>
      <c r="E2265" s="116">
        <v>884.59412617021496</v>
      </c>
      <c r="F2265" s="116">
        <v>876.45</v>
      </c>
      <c r="G2265">
        <v>2520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45351</v>
      </c>
      <c r="B2266" s="116">
        <v>882.966311183117</v>
      </c>
      <c r="C2266" s="116">
        <v>868.80925356805801</v>
      </c>
      <c r="D2266" s="116">
        <v>845.47723875299596</v>
      </c>
      <c r="E2266" s="116">
        <v>874.08732034440402</v>
      </c>
      <c r="F2266" s="116">
        <v>880.65</v>
      </c>
      <c r="G2266">
        <v>477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45352</v>
      </c>
      <c r="B2267" s="116">
        <v>882.86765572935406</v>
      </c>
      <c r="C2267" s="116">
        <v>868.75992584117705</v>
      </c>
      <c r="D2267" s="116">
        <v>850.41001144117001</v>
      </c>
      <c r="E2267" s="116">
        <v>853.02438096590197</v>
      </c>
      <c r="F2267" s="116">
        <v>880.6</v>
      </c>
      <c r="G2267">
        <v>1792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45353</v>
      </c>
      <c r="B2268" s="116">
        <v>878.03353849494295</v>
      </c>
      <c r="C2268" s="116">
        <v>858.84505273794696</v>
      </c>
      <c r="D2268" s="116">
        <v>839.557911527187</v>
      </c>
      <c r="E2268" s="116">
        <v>878.03353849494295</v>
      </c>
      <c r="F2268" s="116">
        <v>870.55</v>
      </c>
      <c r="G2268">
        <v>385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45355</v>
      </c>
      <c r="B2269" s="116">
        <v>878.03353849494295</v>
      </c>
      <c r="C2269" s="116">
        <v>866.88547221967099</v>
      </c>
      <c r="D2269" s="116">
        <v>853.36967505407404</v>
      </c>
      <c r="E2269" s="116">
        <v>878.03353849494295</v>
      </c>
      <c r="F2269" s="116">
        <v>878.7</v>
      </c>
      <c r="G2269">
        <v>3125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45356</v>
      </c>
      <c r="B2270" s="116">
        <v>886.91252933365604</v>
      </c>
      <c r="C2270" s="116">
        <v>866.68816131214396</v>
      </c>
      <c r="D2270" s="116">
        <v>859.58496864117296</v>
      </c>
      <c r="E2270" s="116">
        <v>885.92597479602102</v>
      </c>
      <c r="F2270" s="116">
        <v>878.5</v>
      </c>
      <c r="G2270">
        <v>3299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45357</v>
      </c>
      <c r="B2271" s="116">
        <v>887.70177296376403</v>
      </c>
      <c r="C2271" s="116">
        <v>863.72849769923903</v>
      </c>
      <c r="D2271" s="116">
        <v>848.43690236589998</v>
      </c>
      <c r="E2271" s="116">
        <v>887.70177296376403</v>
      </c>
      <c r="F2271" s="116">
        <v>875.5</v>
      </c>
      <c r="G2271">
        <v>701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45358</v>
      </c>
      <c r="B2272" s="116">
        <v>878.03353849494295</v>
      </c>
      <c r="C2272" s="116">
        <v>867.42807721536997</v>
      </c>
      <c r="D2272" s="116">
        <v>854.55354049923596</v>
      </c>
      <c r="E2272" s="116">
        <v>878.03353849494295</v>
      </c>
      <c r="F2272" s="116">
        <v>879.25</v>
      </c>
      <c r="G2272">
        <v>4245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45362</v>
      </c>
      <c r="B2273" s="116">
        <v>868.11866539171399</v>
      </c>
      <c r="C2273" s="116">
        <v>849.37412917665301</v>
      </c>
      <c r="D2273" s="116">
        <v>842.51757514009205</v>
      </c>
      <c r="E2273" s="116">
        <v>848.43690236589998</v>
      </c>
      <c r="F2273" s="116">
        <v>860.95</v>
      </c>
      <c r="G2273">
        <v>4091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45363</v>
      </c>
      <c r="B2274" s="116">
        <v>848.43690236589998</v>
      </c>
      <c r="C2274" s="116">
        <v>832.80001294438898</v>
      </c>
      <c r="D2274" s="116">
        <v>828.70581161320501</v>
      </c>
      <c r="E2274" s="116">
        <v>848.43690236589998</v>
      </c>
      <c r="F2274" s="116">
        <v>844.15</v>
      </c>
      <c r="G2274">
        <v>3910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45364</v>
      </c>
      <c r="B2275" s="116">
        <v>838.57135698955301</v>
      </c>
      <c r="C2275" s="116">
        <v>784.50816832716703</v>
      </c>
      <c r="D2275" s="116">
        <v>764.57976666694503</v>
      </c>
      <c r="E2275" s="116">
        <v>826.73270253793498</v>
      </c>
      <c r="F2275" s="116">
        <v>795.2</v>
      </c>
      <c r="G2275">
        <v>10272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45365</v>
      </c>
      <c r="B2276" s="116">
        <v>828.50850070567799</v>
      </c>
      <c r="C2276" s="116">
        <v>825.40085391212801</v>
      </c>
      <c r="D2276" s="116">
        <v>742.87556683898003</v>
      </c>
      <c r="E2276" s="116">
        <v>776.41842111856204</v>
      </c>
      <c r="F2276" s="116">
        <v>836.65</v>
      </c>
      <c r="G2276">
        <v>1953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45366</v>
      </c>
      <c r="B2277" s="116">
        <v>827.71925707557</v>
      </c>
      <c r="C2277" s="116">
        <v>822.687828933633</v>
      </c>
      <c r="D2277" s="116">
        <v>794.176402795988</v>
      </c>
      <c r="E2277" s="116">
        <v>815.880602623953</v>
      </c>
      <c r="F2277" s="116">
        <v>833.9</v>
      </c>
      <c r="G2277">
        <v>1922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45369</v>
      </c>
      <c r="B2278" s="116">
        <v>820.32009804330903</v>
      </c>
      <c r="C2278" s="116">
        <v>789.44094101534097</v>
      </c>
      <c r="D2278" s="116">
        <v>770.49909389275399</v>
      </c>
      <c r="E2278" s="116">
        <v>791.21673918308397</v>
      </c>
      <c r="F2278" s="116">
        <v>800.2</v>
      </c>
      <c r="G2278">
        <v>6985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45370</v>
      </c>
      <c r="B2279" s="116">
        <v>836.10497064546598</v>
      </c>
      <c r="C2279" s="116">
        <v>776.66505975297105</v>
      </c>
      <c r="D2279" s="116">
        <v>775.53052203469099</v>
      </c>
      <c r="E2279" s="116">
        <v>790.23018464544896</v>
      </c>
      <c r="F2279" s="116">
        <v>787.25</v>
      </c>
      <c r="G2279">
        <v>4026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45371</v>
      </c>
      <c r="B2280" s="116">
        <v>789.24363010781406</v>
      </c>
      <c r="C2280" s="116">
        <v>769.80850571640894</v>
      </c>
      <c r="D2280" s="116">
        <v>769.51253935511897</v>
      </c>
      <c r="E2280" s="116">
        <v>789.24363010781406</v>
      </c>
      <c r="F2280" s="116">
        <v>780.3</v>
      </c>
      <c r="G2280">
        <v>660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45372</v>
      </c>
      <c r="B2281" s="116">
        <v>813.66085491427498</v>
      </c>
      <c r="C2281" s="116">
        <v>754.27027174866203</v>
      </c>
      <c r="D2281" s="116">
        <v>749.78144860242401</v>
      </c>
      <c r="E2281" s="116">
        <v>813.66085491427498</v>
      </c>
      <c r="F2281" s="116">
        <v>764.55</v>
      </c>
      <c r="G2281">
        <v>5353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45373</v>
      </c>
      <c r="B2282" s="116">
        <v>818.84026623685702</v>
      </c>
      <c r="C2282" s="116">
        <v>799.30648639168896</v>
      </c>
      <c r="D2282" s="116">
        <v>753.72766675296305</v>
      </c>
      <c r="E2282" s="116">
        <v>754.71422129059704</v>
      </c>
      <c r="F2282" s="116">
        <v>810.2</v>
      </c>
      <c r="G2282">
        <v>3363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45377</v>
      </c>
      <c r="B2283" s="116">
        <v>817.80438397234104</v>
      </c>
      <c r="C2283" s="116">
        <v>782.09110970996198</v>
      </c>
      <c r="D2283" s="116">
        <v>764.53043894006305</v>
      </c>
      <c r="E2283" s="116">
        <v>799.10917548416205</v>
      </c>
      <c r="F2283" s="116">
        <v>792.75</v>
      </c>
      <c r="G2283">
        <v>7151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45378</v>
      </c>
      <c r="B2284" s="116">
        <v>793.18984825835298</v>
      </c>
      <c r="C2284" s="116">
        <v>782.68304243254295</v>
      </c>
      <c r="D2284" s="116">
        <v>767.53943027984894</v>
      </c>
      <c r="E2284" s="116">
        <v>789.19430238093298</v>
      </c>
      <c r="F2284" s="116">
        <v>793.35</v>
      </c>
      <c r="G2284">
        <v>2757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45379</v>
      </c>
      <c r="B2285" s="116">
        <v>804.04194817233599</v>
      </c>
      <c r="C2285" s="116">
        <v>804.04194817233599</v>
      </c>
      <c r="D2285" s="116">
        <v>770.49909389275399</v>
      </c>
      <c r="E2285" s="116">
        <v>782.68304243254295</v>
      </c>
      <c r="F2285" s="116">
        <v>815</v>
      </c>
      <c r="G2285">
        <v>3289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45383</v>
      </c>
      <c r="B2286" s="116">
        <v>813.90749354868296</v>
      </c>
      <c r="C2286" s="116">
        <v>788.30640329706102</v>
      </c>
      <c r="D2286" s="116">
        <v>783.32430288200601</v>
      </c>
      <c r="E2286" s="116">
        <v>813.90749354868296</v>
      </c>
      <c r="F2286" s="116">
        <v>799.05</v>
      </c>
      <c r="G2286">
        <v>1704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45384</v>
      </c>
      <c r="B2287" s="116">
        <v>793.18984825835298</v>
      </c>
      <c r="C2287" s="116">
        <v>786.67858830996397</v>
      </c>
      <c r="D2287" s="116">
        <v>771.63363161103405</v>
      </c>
      <c r="E2287" s="116">
        <v>771.88027024544203</v>
      </c>
      <c r="F2287" s="116">
        <v>797.4</v>
      </c>
      <c r="G2287">
        <v>605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45385</v>
      </c>
      <c r="B2288" s="116">
        <v>799.10917548416205</v>
      </c>
      <c r="C2288" s="116">
        <v>792.99253735082596</v>
      </c>
      <c r="D2288" s="116">
        <v>781.35119380673598</v>
      </c>
      <c r="E2288" s="116">
        <v>789.09564692716901</v>
      </c>
      <c r="F2288" s="116">
        <v>803.8</v>
      </c>
      <c r="G2288">
        <v>1912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45386</v>
      </c>
      <c r="B2289" s="116">
        <v>792.99253735082596</v>
      </c>
      <c r="C2289" s="116">
        <v>773.40942977877603</v>
      </c>
      <c r="D2289" s="116">
        <v>762.409346684149</v>
      </c>
      <c r="E2289" s="116">
        <v>792.99253735082596</v>
      </c>
      <c r="F2289" s="116">
        <v>783.95</v>
      </c>
      <c r="G2289">
        <v>3305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45387</v>
      </c>
      <c r="B2290" s="116">
        <v>789.19430238093298</v>
      </c>
      <c r="C2290" s="116">
        <v>778.39153019383195</v>
      </c>
      <c r="D2290" s="116">
        <v>766.55287574221495</v>
      </c>
      <c r="E2290" s="116">
        <v>789.19430238093298</v>
      </c>
      <c r="F2290" s="116">
        <v>789</v>
      </c>
      <c r="G2290">
        <v>197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45390</v>
      </c>
      <c r="B2291" s="116">
        <v>784.31085741964</v>
      </c>
      <c r="C2291" s="116">
        <v>776.36909339168096</v>
      </c>
      <c r="D2291" s="116">
        <v>762.409346684149</v>
      </c>
      <c r="E2291" s="116">
        <v>784.31085741964</v>
      </c>
      <c r="F2291" s="116">
        <v>786.95</v>
      </c>
      <c r="G2291">
        <v>498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45391</v>
      </c>
      <c r="B2292" s="116">
        <v>789.24363010781406</v>
      </c>
      <c r="C2292" s="116">
        <v>772.81749705619495</v>
      </c>
      <c r="D2292" s="116">
        <v>770.49909389275399</v>
      </c>
      <c r="E2292" s="116">
        <v>789.09564692716901</v>
      </c>
      <c r="F2292" s="116">
        <v>783.35</v>
      </c>
      <c r="G2292">
        <v>3167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45392</v>
      </c>
      <c r="B2293" s="116">
        <v>786.67858830996397</v>
      </c>
      <c r="C2293" s="116">
        <v>778.29287474006799</v>
      </c>
      <c r="D2293" s="116">
        <v>761.62010305404101</v>
      </c>
      <c r="E2293" s="116">
        <v>786.67858830996397</v>
      </c>
      <c r="F2293" s="116">
        <v>788.9</v>
      </c>
      <c r="G2293">
        <v>1331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45394</v>
      </c>
      <c r="B2294" s="116">
        <v>784.26152969275904</v>
      </c>
      <c r="C2294" s="116">
        <v>757.47657399597495</v>
      </c>
      <c r="D2294" s="116">
        <v>749.78144860242401</v>
      </c>
      <c r="E2294" s="116">
        <v>784.26152969275904</v>
      </c>
      <c r="F2294" s="116">
        <v>767.8</v>
      </c>
      <c r="G2294">
        <v>2198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45397</v>
      </c>
      <c r="B2295" s="116">
        <v>763.59321212931002</v>
      </c>
      <c r="C2295" s="116">
        <v>754.36892720242497</v>
      </c>
      <c r="D2295" s="116">
        <v>722.65119881746705</v>
      </c>
      <c r="E2295" s="116">
        <v>739.91590322607601</v>
      </c>
      <c r="F2295" s="116">
        <v>764.65</v>
      </c>
      <c r="G2295">
        <v>1538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45398</v>
      </c>
      <c r="B2296" s="116">
        <v>766.55287574221495</v>
      </c>
      <c r="C2296" s="116">
        <v>764.135817125009</v>
      </c>
      <c r="D2296" s="116">
        <v>730.74094602607295</v>
      </c>
      <c r="E2296" s="116">
        <v>730.74094602607295</v>
      </c>
      <c r="F2296" s="116">
        <v>774.55</v>
      </c>
      <c r="G2296">
        <v>646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45400</v>
      </c>
      <c r="B2297" s="116">
        <v>802.06883909706596</v>
      </c>
      <c r="C2297" s="116">
        <v>777.30632020243399</v>
      </c>
      <c r="D2297" s="116">
        <v>764.57976666694503</v>
      </c>
      <c r="E2297" s="116">
        <v>764.92506075511699</v>
      </c>
      <c r="F2297" s="116">
        <v>787.9</v>
      </c>
      <c r="G2297">
        <v>3281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45401</v>
      </c>
      <c r="B2298" s="116">
        <v>778.39153019383195</v>
      </c>
      <c r="C2298" s="116">
        <v>762.75464077232095</v>
      </c>
      <c r="D2298" s="116">
        <v>754.71422129059704</v>
      </c>
      <c r="E2298" s="116">
        <v>761.76808623468605</v>
      </c>
      <c r="F2298" s="116">
        <v>773.15</v>
      </c>
      <c r="G2298">
        <v>3029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45404</v>
      </c>
      <c r="B2299" s="116">
        <v>789.24363010781406</v>
      </c>
      <c r="C2299" s="116">
        <v>779.77270654652</v>
      </c>
      <c r="D2299" s="116">
        <v>763.59321212931002</v>
      </c>
      <c r="E2299" s="116">
        <v>763.74119530995597</v>
      </c>
      <c r="F2299" s="116">
        <v>790.4</v>
      </c>
      <c r="G2299">
        <v>2748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45405</v>
      </c>
      <c r="B2300" s="116">
        <v>788.25707557017995</v>
      </c>
      <c r="C2300" s="116">
        <v>774.05069022823898</v>
      </c>
      <c r="D2300" s="116">
        <v>769.51253935511897</v>
      </c>
      <c r="E2300" s="116">
        <v>775.43186658092702</v>
      </c>
      <c r="F2300" s="116">
        <v>784.6</v>
      </c>
      <c r="G2300">
        <v>3095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45406</v>
      </c>
      <c r="B2301" s="116">
        <v>833.63858430137896</v>
      </c>
      <c r="C2301" s="116">
        <v>816.620518527179</v>
      </c>
      <c r="D2301" s="116">
        <v>774.44531204329303</v>
      </c>
      <c r="E2301" s="116">
        <v>779.37808473146697</v>
      </c>
      <c r="F2301" s="116">
        <v>827.75</v>
      </c>
      <c r="G2301">
        <v>5267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45407</v>
      </c>
      <c r="B2302" s="116">
        <v>865.70160677450895</v>
      </c>
      <c r="C2302" s="116">
        <v>832.99732385191601</v>
      </c>
      <c r="D2302" s="116">
        <v>815.880602623953</v>
      </c>
      <c r="E2302" s="116">
        <v>815.880602623953</v>
      </c>
      <c r="F2302" s="116">
        <v>844.35</v>
      </c>
      <c r="G2302">
        <v>4590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45408</v>
      </c>
      <c r="B2303" s="116">
        <v>876.70168986913598</v>
      </c>
      <c r="C2303" s="116">
        <v>845.27992784546905</v>
      </c>
      <c r="D2303" s="116">
        <v>832.99732385191601</v>
      </c>
      <c r="E2303" s="116">
        <v>832.99732385191601</v>
      </c>
      <c r="F2303" s="116">
        <v>856.8</v>
      </c>
      <c r="G2303">
        <v>2367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45411</v>
      </c>
      <c r="B2304" s="116">
        <v>875.07387488203904</v>
      </c>
      <c r="C2304" s="116">
        <v>853.02438096590197</v>
      </c>
      <c r="D2304" s="116">
        <v>834.67446656589505</v>
      </c>
      <c r="E2304" s="116">
        <v>848.43690236589998</v>
      </c>
      <c r="F2304" s="116">
        <v>864.65</v>
      </c>
      <c r="G2304">
        <v>1988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45412</v>
      </c>
      <c r="B2305" s="116">
        <v>869.15454765622997</v>
      </c>
      <c r="C2305" s="116">
        <v>843.15883558955397</v>
      </c>
      <c r="D2305" s="116">
        <v>811.93438447341396</v>
      </c>
      <c r="E2305" s="116">
        <v>868.16799311859597</v>
      </c>
      <c r="F2305" s="116">
        <v>854.65</v>
      </c>
      <c r="G2305">
        <v>5099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45414</v>
      </c>
      <c r="B2306" s="116">
        <v>858.10513683472095</v>
      </c>
      <c r="C2306" s="116">
        <v>833.63858430137896</v>
      </c>
      <c r="D2306" s="116">
        <v>814.10480445620999</v>
      </c>
      <c r="E2306" s="116">
        <v>858.10513683472095</v>
      </c>
      <c r="F2306" s="116">
        <v>845</v>
      </c>
      <c r="G2306">
        <v>1464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45415</v>
      </c>
      <c r="B2307" s="116">
        <v>856.32933866697897</v>
      </c>
      <c r="C2307" s="116">
        <v>812.32900628846801</v>
      </c>
      <c r="D2307" s="116">
        <v>768.62464027124804</v>
      </c>
      <c r="E2307" s="116">
        <v>856.32933866697897</v>
      </c>
      <c r="F2307" s="116">
        <v>823.4</v>
      </c>
      <c r="G2307">
        <v>3226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45418</v>
      </c>
      <c r="B2308" s="116">
        <v>809.07337631427299</v>
      </c>
      <c r="C2308" s="116">
        <v>788.89833601964199</v>
      </c>
      <c r="D2308" s="116">
        <v>786.28396649491003</v>
      </c>
      <c r="E2308" s="116">
        <v>809.07337631427299</v>
      </c>
      <c r="F2308" s="116">
        <v>799.65</v>
      </c>
      <c r="G2308">
        <v>668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45419</v>
      </c>
      <c r="B2309" s="116">
        <v>804.04194817233599</v>
      </c>
      <c r="C2309" s="116">
        <v>766.55287574221495</v>
      </c>
      <c r="D2309" s="116">
        <v>750.768003140058</v>
      </c>
      <c r="E2309" s="116">
        <v>785.10010104974799</v>
      </c>
      <c r="F2309" s="116">
        <v>777</v>
      </c>
      <c r="G2309">
        <v>2404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45420</v>
      </c>
      <c r="B2310" s="116">
        <v>807.98816632287503</v>
      </c>
      <c r="C2310" s="116">
        <v>779.13144609705796</v>
      </c>
      <c r="D2310" s="116">
        <v>767.04615301103195</v>
      </c>
      <c r="E2310" s="116">
        <v>780.36463926910096</v>
      </c>
      <c r="F2310" s="116">
        <v>789.75</v>
      </c>
      <c r="G2310">
        <v>299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45421</v>
      </c>
      <c r="B2311" s="116">
        <v>769.51253935511897</v>
      </c>
      <c r="C2311" s="116">
        <v>730.29699648413703</v>
      </c>
      <c r="D2311" s="116">
        <v>728.17590422822195</v>
      </c>
      <c r="E2311" s="116">
        <v>760.63354851640599</v>
      </c>
      <c r="F2311" s="116">
        <v>740.25</v>
      </c>
      <c r="G2311">
        <v>4324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45422</v>
      </c>
      <c r="B2312" s="116">
        <v>777.40497565619705</v>
      </c>
      <c r="C2312" s="116">
        <v>741.14909639811901</v>
      </c>
      <c r="D2312" s="116">
        <v>732.51674419381504</v>
      </c>
      <c r="E2312" s="116">
        <v>733.01002146263204</v>
      </c>
      <c r="F2312" s="116">
        <v>751.25</v>
      </c>
      <c r="G2312">
        <v>1464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45425</v>
      </c>
      <c r="B2313" s="116">
        <v>753.18506175726395</v>
      </c>
      <c r="C2313" s="116">
        <v>741.09976867123805</v>
      </c>
      <c r="D2313" s="116">
        <v>720.38212338090796</v>
      </c>
      <c r="E2313" s="116">
        <v>744.99665909489499</v>
      </c>
      <c r="F2313" s="116">
        <v>751.2</v>
      </c>
      <c r="G2313">
        <v>1390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45426</v>
      </c>
      <c r="B2314" s="116">
        <v>767.53943027984894</v>
      </c>
      <c r="C2314" s="116">
        <v>764.08648939812804</v>
      </c>
      <c r="D2314" s="116">
        <v>744.84867591424995</v>
      </c>
      <c r="E2314" s="116">
        <v>744.84867591424995</v>
      </c>
      <c r="F2314" s="116">
        <v>774.5</v>
      </c>
      <c r="G2314">
        <v>1540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45427</v>
      </c>
      <c r="B2315" s="116">
        <v>779.279429277703</v>
      </c>
      <c r="C2315" s="116">
        <v>769.90716117017303</v>
      </c>
      <c r="D2315" s="116">
        <v>740.90245776371103</v>
      </c>
      <c r="E2315" s="116">
        <v>776.41842111856204</v>
      </c>
      <c r="F2315" s="116">
        <v>780.4</v>
      </c>
      <c r="G2315">
        <v>1961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45428</v>
      </c>
      <c r="B2316" s="116">
        <v>923.85899676807799</v>
      </c>
      <c r="C2316" s="116">
        <v>919.17286271431306</v>
      </c>
      <c r="D2316" s="116">
        <v>774.44531204329303</v>
      </c>
      <c r="E2316" s="116">
        <v>778.39153019383195</v>
      </c>
      <c r="F2316" s="116">
        <v>931.7</v>
      </c>
      <c r="G2316">
        <v>103438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45429</v>
      </c>
      <c r="B2317" s="116">
        <v>918.48227453796903</v>
      </c>
      <c r="C2317" s="116">
        <v>862.10068271214197</v>
      </c>
      <c r="D2317" s="116">
        <v>849.52211235729897</v>
      </c>
      <c r="E2317" s="116">
        <v>918.48227453796903</v>
      </c>
      <c r="F2317" s="116">
        <v>873.85</v>
      </c>
      <c r="G2317">
        <v>14537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45430</v>
      </c>
      <c r="B2318" s="116">
        <v>884.93942025838703</v>
      </c>
      <c r="C2318" s="116">
        <v>863.23522043042203</v>
      </c>
      <c r="D2318" s="116">
        <v>861.262111355152</v>
      </c>
      <c r="E2318" s="116">
        <v>876.06042941967405</v>
      </c>
      <c r="F2318" s="116">
        <v>875</v>
      </c>
      <c r="G2318">
        <v>1063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45433</v>
      </c>
      <c r="B2319" s="116">
        <v>878.03353849494295</v>
      </c>
      <c r="C2319" s="116">
        <v>866.73748903902504</v>
      </c>
      <c r="D2319" s="116">
        <v>834.13186157019595</v>
      </c>
      <c r="E2319" s="116">
        <v>878.03353849494295</v>
      </c>
      <c r="F2319" s="116">
        <v>878.55</v>
      </c>
      <c r="G2319">
        <v>10312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45434</v>
      </c>
      <c r="B2320" s="116">
        <v>878.03353849494295</v>
      </c>
      <c r="C2320" s="116">
        <v>868.365304026123</v>
      </c>
      <c r="D2320" s="116">
        <v>838.57135698955301</v>
      </c>
      <c r="E2320" s="116">
        <v>873.05143807988804</v>
      </c>
      <c r="F2320" s="116">
        <v>880.2</v>
      </c>
      <c r="G2320">
        <v>3822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45435</v>
      </c>
      <c r="B2321" s="116">
        <v>876.84967304978204</v>
      </c>
      <c r="C2321" s="116">
        <v>846.71043192503998</v>
      </c>
      <c r="D2321" s="116">
        <v>843.50412967772695</v>
      </c>
      <c r="E2321" s="116">
        <v>863.23522043042203</v>
      </c>
      <c r="F2321" s="116">
        <v>858.25</v>
      </c>
      <c r="G2321">
        <v>3325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45436</v>
      </c>
      <c r="B2322" s="116">
        <v>917.49572000033402</v>
      </c>
      <c r="C2322" s="116">
        <v>880.25328620462199</v>
      </c>
      <c r="D2322" s="116">
        <v>846.71043192503998</v>
      </c>
      <c r="E2322" s="116">
        <v>853.36967505407404</v>
      </c>
      <c r="F2322" s="116">
        <v>892.25</v>
      </c>
      <c r="G2322">
        <v>7692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45439</v>
      </c>
      <c r="B2323" s="116">
        <v>930.32092898958604</v>
      </c>
      <c r="C2323" s="116">
        <v>927.31193764980003</v>
      </c>
      <c r="D2323" s="116">
        <v>885.92597479602102</v>
      </c>
      <c r="E2323" s="116">
        <v>896.77807471000403</v>
      </c>
      <c r="F2323" s="116">
        <v>939.95</v>
      </c>
      <c r="G2323">
        <v>45341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45440</v>
      </c>
      <c r="B2324" s="116">
        <v>942.15958344120304</v>
      </c>
      <c r="C2324" s="116">
        <v>907.58084689710495</v>
      </c>
      <c r="D2324" s="116">
        <v>897.17269652505797</v>
      </c>
      <c r="E2324" s="116">
        <v>942.15958344120304</v>
      </c>
      <c r="F2324" s="116">
        <v>919.95</v>
      </c>
      <c r="G2324">
        <v>4234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45441</v>
      </c>
      <c r="B2325" s="116">
        <v>907.63017462398602</v>
      </c>
      <c r="C2325" s="116">
        <v>887.65244523688204</v>
      </c>
      <c r="D2325" s="116">
        <v>878.18152167558901</v>
      </c>
      <c r="E2325" s="116">
        <v>907.58084689710495</v>
      </c>
      <c r="F2325" s="116">
        <v>899.75</v>
      </c>
      <c r="G2325">
        <v>1542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45442</v>
      </c>
      <c r="B2326" s="116">
        <v>907.63017462398602</v>
      </c>
      <c r="C2326" s="116">
        <v>888.19505023258102</v>
      </c>
      <c r="D2326" s="116">
        <v>850.21270053364299</v>
      </c>
      <c r="E2326" s="116">
        <v>887.89908387129105</v>
      </c>
      <c r="F2326" s="116">
        <v>900.3</v>
      </c>
      <c r="G2326">
        <v>932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45443</v>
      </c>
      <c r="B2327" s="116">
        <v>897.76462924763905</v>
      </c>
      <c r="C2327" s="116">
        <v>878.03353849494295</v>
      </c>
      <c r="D2327" s="116">
        <v>871.22631218526396</v>
      </c>
      <c r="E2327" s="116">
        <v>897.76462924763905</v>
      </c>
      <c r="F2327" s="116">
        <v>890</v>
      </c>
      <c r="G2327">
        <v>1334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45446</v>
      </c>
      <c r="B2328" s="116">
        <v>904.670511011082</v>
      </c>
      <c r="C2328" s="116">
        <v>893.17715064763695</v>
      </c>
      <c r="D2328" s="116">
        <v>858.25312001536599</v>
      </c>
      <c r="E2328" s="116">
        <v>878.03353849494295</v>
      </c>
      <c r="F2328" s="116">
        <v>905.35</v>
      </c>
      <c r="G2328">
        <v>4309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45447</v>
      </c>
      <c r="B2329" s="116">
        <v>902.69740193581299</v>
      </c>
      <c r="C2329" s="116">
        <v>824.11833301320303</v>
      </c>
      <c r="D2329" s="116">
        <v>818.79093850997594</v>
      </c>
      <c r="E2329" s="116">
        <v>902.69740193581299</v>
      </c>
      <c r="F2329" s="116">
        <v>835.35</v>
      </c>
      <c r="G2329">
        <v>6020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45448</v>
      </c>
      <c r="B2330" s="116">
        <v>904.670511011082</v>
      </c>
      <c r="C2330" s="116">
        <v>862.93925406913104</v>
      </c>
      <c r="D2330" s="116">
        <v>833.63858430137896</v>
      </c>
      <c r="E2330" s="116">
        <v>833.63858430137896</v>
      </c>
      <c r="F2330" s="116">
        <v>874.7</v>
      </c>
      <c r="G2330">
        <v>8008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45449</v>
      </c>
      <c r="B2331" s="116">
        <v>892.831856559465</v>
      </c>
      <c r="C2331" s="116">
        <v>882.57168936806295</v>
      </c>
      <c r="D2331" s="116">
        <v>863.23522043042203</v>
      </c>
      <c r="E2331" s="116">
        <v>863.23522043042203</v>
      </c>
      <c r="F2331" s="116">
        <v>894.6</v>
      </c>
      <c r="G2331">
        <v>1486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45450</v>
      </c>
      <c r="B2332" s="116">
        <v>920.35672815947498</v>
      </c>
      <c r="C2332" s="116">
        <v>898.603200604628</v>
      </c>
      <c r="D2332" s="116">
        <v>869.94379128633796</v>
      </c>
      <c r="E2332" s="116">
        <v>887.89908387129105</v>
      </c>
      <c r="F2332" s="116">
        <v>910.85</v>
      </c>
      <c r="G2332">
        <v>1980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45453</v>
      </c>
      <c r="B2333" s="116">
        <v>974.71588318315105</v>
      </c>
      <c r="C2333" s="116">
        <v>943.54075979389199</v>
      </c>
      <c r="D2333" s="116">
        <v>917.49572000033402</v>
      </c>
      <c r="E2333" s="116">
        <v>917.49572000033402</v>
      </c>
      <c r="F2333" s="116">
        <v>956.4</v>
      </c>
      <c r="G2333">
        <v>8313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45454</v>
      </c>
      <c r="B2334" s="116">
        <v>1010.231846538</v>
      </c>
      <c r="C2334" s="116">
        <v>970.72033730573003</v>
      </c>
      <c r="D2334" s="116">
        <v>946.10580159174197</v>
      </c>
      <c r="E2334" s="116">
        <v>965.83689234443796</v>
      </c>
      <c r="F2334" s="116">
        <v>983.95</v>
      </c>
      <c r="G2334">
        <v>9118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45455</v>
      </c>
      <c r="B2335" s="116">
        <v>1006.23630066058</v>
      </c>
      <c r="C2335" s="116">
        <v>976.39302589712997</v>
      </c>
      <c r="D2335" s="116">
        <v>961.59470783260804</v>
      </c>
      <c r="E2335" s="116">
        <v>1006.23630066058</v>
      </c>
      <c r="F2335" s="116">
        <v>989.7</v>
      </c>
      <c r="G2335">
        <v>11552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45456</v>
      </c>
      <c r="B2336" s="116">
        <v>984.58142855949802</v>
      </c>
      <c r="C2336" s="116">
        <v>954.68882606916497</v>
      </c>
      <c r="D2336" s="116">
        <v>952.02512881755104</v>
      </c>
      <c r="E2336" s="116">
        <v>966.82344688207297</v>
      </c>
      <c r="F2336" s="116">
        <v>967.7</v>
      </c>
      <c r="G2336">
        <v>3722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45457</v>
      </c>
      <c r="B2337" s="116">
        <v>981.72042040035797</v>
      </c>
      <c r="C2337" s="116">
        <v>957.25386786701495</v>
      </c>
      <c r="D2337" s="116">
        <v>947.09235612937698</v>
      </c>
      <c r="E2337" s="116">
        <v>947.09235612937698</v>
      </c>
      <c r="F2337" s="116">
        <v>970.3</v>
      </c>
      <c r="G2337">
        <v>6485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45461</v>
      </c>
      <c r="B2338" s="116">
        <v>956.95790150572498</v>
      </c>
      <c r="C2338" s="116">
        <v>917.79168636162399</v>
      </c>
      <c r="D2338" s="116">
        <v>912.56294731215996</v>
      </c>
      <c r="E2338" s="116">
        <v>956.95790150572498</v>
      </c>
      <c r="F2338" s="116">
        <v>930.3</v>
      </c>
      <c r="G2338">
        <v>8646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45462</v>
      </c>
      <c r="B2339" s="116">
        <v>926.17739993151997</v>
      </c>
      <c r="C2339" s="116">
        <v>906.939586447642</v>
      </c>
      <c r="D2339" s="116">
        <v>900.52698195301605</v>
      </c>
      <c r="E2339" s="116">
        <v>917.49572000033402</v>
      </c>
      <c r="F2339" s="116">
        <v>919.3</v>
      </c>
      <c r="G2339">
        <v>3432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45463</v>
      </c>
      <c r="B2340" s="116">
        <v>923.41504722614297</v>
      </c>
      <c r="C2340" s="116">
        <v>923.36571949926099</v>
      </c>
      <c r="D2340" s="116">
        <v>871.07832900461801</v>
      </c>
      <c r="E2340" s="116">
        <v>905.85437645624404</v>
      </c>
      <c r="F2340" s="116">
        <v>935.95</v>
      </c>
      <c r="G2340">
        <v>4832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45464</v>
      </c>
      <c r="B2341" s="116">
        <v>965.83689234443796</v>
      </c>
      <c r="C2341" s="116">
        <v>913.746812757322</v>
      </c>
      <c r="D2341" s="116">
        <v>907.72883007774999</v>
      </c>
      <c r="E2341" s="116">
        <v>948.078910667012</v>
      </c>
      <c r="F2341" s="116">
        <v>926.2</v>
      </c>
      <c r="G2341">
        <v>2289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45467</v>
      </c>
      <c r="B2342" s="116">
        <v>947.09235612937698</v>
      </c>
      <c r="C2342" s="116">
        <v>920.99798860893702</v>
      </c>
      <c r="D2342" s="116">
        <v>902.401435574522</v>
      </c>
      <c r="E2342" s="116">
        <v>932.19538261109199</v>
      </c>
      <c r="F2342" s="116">
        <v>933.55</v>
      </c>
      <c r="G2342">
        <v>716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45468</v>
      </c>
      <c r="B2343" s="116">
        <v>920.35672815947498</v>
      </c>
      <c r="C2343" s="116">
        <v>904.07857828850103</v>
      </c>
      <c r="D2343" s="116">
        <v>895.79152017236902</v>
      </c>
      <c r="E2343" s="116">
        <v>895.89017562613299</v>
      </c>
      <c r="F2343" s="116">
        <v>916.4</v>
      </c>
      <c r="G2343">
        <v>1643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45469</v>
      </c>
      <c r="B2344" s="116">
        <v>917.44639227345203</v>
      </c>
      <c r="C2344" s="116">
        <v>899.73773832290794</v>
      </c>
      <c r="D2344" s="116">
        <v>892.831856559465</v>
      </c>
      <c r="E2344" s="116">
        <v>907.63017462398602</v>
      </c>
      <c r="F2344" s="116">
        <v>912</v>
      </c>
      <c r="G2344">
        <v>934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45470</v>
      </c>
      <c r="B2345" s="116">
        <v>912.56294731215996</v>
      </c>
      <c r="C2345" s="116">
        <v>884.98874798526799</v>
      </c>
      <c r="D2345" s="116">
        <v>878.03353849494295</v>
      </c>
      <c r="E2345" s="116">
        <v>887.89908387129105</v>
      </c>
      <c r="F2345" s="116">
        <v>897.05</v>
      </c>
      <c r="G2345">
        <v>1420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45471</v>
      </c>
      <c r="B2346" s="116">
        <v>1061.9766320369499</v>
      </c>
      <c r="C2346" s="116">
        <v>1011.81033379822</v>
      </c>
      <c r="D2346" s="116">
        <v>878.03353849494295</v>
      </c>
      <c r="E2346" s="116">
        <v>887.89908387129105</v>
      </c>
      <c r="F2346" s="116">
        <v>1025.5999999999999</v>
      </c>
      <c r="G2346">
        <v>77530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45474</v>
      </c>
      <c r="B2347" s="116">
        <v>1098.0352003875</v>
      </c>
      <c r="C2347" s="116">
        <v>1036.7701636003801</v>
      </c>
      <c r="D2347" s="116">
        <v>972.94008501540804</v>
      </c>
      <c r="E2347" s="116">
        <v>1034.5997436175801</v>
      </c>
      <c r="F2347" s="116">
        <v>1050.9000000000001</v>
      </c>
      <c r="G2347">
        <v>25515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45475</v>
      </c>
      <c r="B2348" s="116">
        <v>1085.2099913982399</v>
      </c>
      <c r="C2348" s="116">
        <v>1038.7432726756499</v>
      </c>
      <c r="D2348" s="116">
        <v>1011.21840107564</v>
      </c>
      <c r="E2348" s="116">
        <v>1082.0036891509301</v>
      </c>
      <c r="F2348" s="116">
        <v>1052.9000000000001</v>
      </c>
      <c r="G2348">
        <v>10043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45476</v>
      </c>
      <c r="B2349" s="116">
        <v>1080.27721871007</v>
      </c>
      <c r="C2349" s="116">
        <v>1012.15562788639</v>
      </c>
      <c r="D2349" s="116">
        <v>986.55453763476805</v>
      </c>
      <c r="E2349" s="116">
        <v>1069.4251187960899</v>
      </c>
      <c r="F2349" s="116">
        <v>1025.95</v>
      </c>
      <c r="G2349">
        <v>8735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45477</v>
      </c>
      <c r="B2350" s="116">
        <v>1055.6133552691999</v>
      </c>
      <c r="C2350" s="116">
        <v>1039.03923903694</v>
      </c>
      <c r="D2350" s="116">
        <v>1006.28562838746</v>
      </c>
      <c r="E2350" s="116">
        <v>1012.20495561327</v>
      </c>
      <c r="F2350" s="116">
        <v>1053.2</v>
      </c>
      <c r="G2350">
        <v>6054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45478</v>
      </c>
      <c r="B2351" s="116">
        <v>1060.0528506885601</v>
      </c>
      <c r="C2351" s="116">
        <v>1032.33066818102</v>
      </c>
      <c r="D2351" s="116">
        <v>1011.21840107564</v>
      </c>
      <c r="E2351" s="116">
        <v>1055.6133552691999</v>
      </c>
      <c r="F2351" s="116">
        <v>1046.4000000000001</v>
      </c>
      <c r="G2351">
        <v>2569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45481</v>
      </c>
      <c r="B2352" s="116">
        <v>1060.5461279573799</v>
      </c>
      <c r="C2352" s="116">
        <v>1037.01680223479</v>
      </c>
      <c r="D2352" s="116">
        <v>1032.9226009035999</v>
      </c>
      <c r="E2352" s="116">
        <v>1032.9226009035999</v>
      </c>
      <c r="F2352" s="116">
        <v>1051.1500000000001</v>
      </c>
      <c r="G2352">
        <v>2768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45482</v>
      </c>
      <c r="B2353" s="116">
        <v>1033.90915544124</v>
      </c>
      <c r="C2353" s="116">
        <v>1011.90898925198</v>
      </c>
      <c r="D2353" s="116">
        <v>990.30344487777995</v>
      </c>
      <c r="E2353" s="116">
        <v>1021.08394645198</v>
      </c>
      <c r="F2353" s="116">
        <v>1025.7</v>
      </c>
      <c r="G2353">
        <v>1231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45483</v>
      </c>
      <c r="B2354" s="116">
        <v>1030.9494918283301</v>
      </c>
      <c r="C2354" s="116">
        <v>1016.6444510326299</v>
      </c>
      <c r="D2354" s="116">
        <v>981.621764946594</v>
      </c>
      <c r="E2354" s="116">
        <v>1011.21840107564</v>
      </c>
      <c r="F2354" s="116">
        <v>1030.5</v>
      </c>
      <c r="G2354">
        <v>1473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45484</v>
      </c>
      <c r="B2355" s="116">
        <v>1065.4789006455501</v>
      </c>
      <c r="C2355" s="116">
        <v>1049.4473894089799</v>
      </c>
      <c r="D2355" s="116">
        <v>1006.28562838746</v>
      </c>
      <c r="E2355" s="116">
        <v>1011.21840107564</v>
      </c>
      <c r="F2355" s="116">
        <v>1063.75</v>
      </c>
      <c r="G2355">
        <v>2611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45485</v>
      </c>
      <c r="B2356" s="116">
        <v>1035.8822645165101</v>
      </c>
      <c r="C2356" s="116">
        <v>997.85058709068596</v>
      </c>
      <c r="D2356" s="116">
        <v>985.56798309713304</v>
      </c>
      <c r="E2356" s="116">
        <v>1035.8822645165101</v>
      </c>
      <c r="F2356" s="116">
        <v>1011.45</v>
      </c>
      <c r="G2356">
        <v>9349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45488</v>
      </c>
      <c r="B2357" s="116">
        <v>1048.7074735057599</v>
      </c>
      <c r="C2357" s="116">
        <v>994.10167984767395</v>
      </c>
      <c r="D2357" s="116">
        <v>956.95790150572498</v>
      </c>
      <c r="E2357" s="116">
        <v>999.37974662401996</v>
      </c>
      <c r="F2357" s="116">
        <v>1007.65</v>
      </c>
      <c r="G2357">
        <v>3767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45489</v>
      </c>
      <c r="B2358" s="116">
        <v>1026.0167191401599</v>
      </c>
      <c r="C2358" s="116">
        <v>995.92680574229803</v>
      </c>
      <c r="D2358" s="116">
        <v>979.69798359820595</v>
      </c>
      <c r="E2358" s="116">
        <v>994.10167984767395</v>
      </c>
      <c r="F2358" s="116">
        <v>1009.5</v>
      </c>
      <c r="G2358">
        <v>2558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45491</v>
      </c>
      <c r="B2359" s="116">
        <v>1014.52335877671</v>
      </c>
      <c r="C2359" s="116">
        <v>995.43352847348103</v>
      </c>
      <c r="D2359" s="116">
        <v>971.36159775519195</v>
      </c>
      <c r="E2359" s="116">
        <v>995.92680574229803</v>
      </c>
      <c r="F2359" s="116">
        <v>1009</v>
      </c>
      <c r="G2359">
        <v>1235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45492</v>
      </c>
      <c r="B2360" s="116">
        <v>1003.86856977026</v>
      </c>
      <c r="C2360" s="116">
        <v>977.67554679605496</v>
      </c>
      <c r="D2360" s="116">
        <v>947.09235612937698</v>
      </c>
      <c r="E2360" s="116">
        <v>972.74277410788102</v>
      </c>
      <c r="F2360" s="116">
        <v>991</v>
      </c>
      <c r="G2360">
        <v>2583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45495</v>
      </c>
      <c r="B2361" s="116">
        <v>976.73831998530204</v>
      </c>
      <c r="C2361" s="116">
        <v>973.58134546487099</v>
      </c>
      <c r="D2361" s="116">
        <v>923.66168586055096</v>
      </c>
      <c r="E2361" s="116">
        <v>976.68899225841994</v>
      </c>
      <c r="F2361" s="116">
        <v>986.85</v>
      </c>
      <c r="G2361">
        <v>2768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45496</v>
      </c>
      <c r="B2362" s="116">
        <v>976.68899225841994</v>
      </c>
      <c r="C2362" s="116">
        <v>965.44227052938402</v>
      </c>
      <c r="D2362" s="116">
        <v>905.36109918742602</v>
      </c>
      <c r="E2362" s="116">
        <v>966.82344688207297</v>
      </c>
      <c r="F2362" s="116">
        <v>978.6</v>
      </c>
      <c r="G2362">
        <v>1438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45497</v>
      </c>
      <c r="B2363" s="116">
        <v>1029.9629372907</v>
      </c>
      <c r="C2363" s="116">
        <v>1006.03898975305</v>
      </c>
      <c r="D2363" s="116">
        <v>964.80101007992096</v>
      </c>
      <c r="E2363" s="116">
        <v>965.44227052938402</v>
      </c>
      <c r="F2363" s="116">
        <v>1019.75</v>
      </c>
      <c r="G2363">
        <v>3432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45498</v>
      </c>
      <c r="B2364" s="116">
        <v>1021.08394645198</v>
      </c>
      <c r="C2364" s="116">
        <v>1006.28562838746</v>
      </c>
      <c r="D2364" s="116">
        <v>980.04327768637802</v>
      </c>
      <c r="E2364" s="116">
        <v>997.01201573369599</v>
      </c>
      <c r="F2364" s="116">
        <v>1020</v>
      </c>
      <c r="G2364">
        <v>3554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45499</v>
      </c>
      <c r="B2365" s="116">
        <v>1035.8822645165101</v>
      </c>
      <c r="C2365" s="116">
        <v>1028.82839957242</v>
      </c>
      <c r="D2365" s="116">
        <v>1016.15117376381</v>
      </c>
      <c r="E2365" s="116">
        <v>1016.20050149069</v>
      </c>
      <c r="F2365" s="116">
        <v>1042.8499999999999</v>
      </c>
      <c r="G2365">
        <v>2258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45502</v>
      </c>
      <c r="B2366" s="116">
        <v>1065.4789006455501</v>
      </c>
      <c r="C2366" s="116">
        <v>1023.40234961543</v>
      </c>
      <c r="D2366" s="116">
        <v>1006.28562838746</v>
      </c>
      <c r="E2366" s="116">
        <v>1055.6133552691999</v>
      </c>
      <c r="F2366" s="116">
        <v>1037.3499999999999</v>
      </c>
      <c r="G2366">
        <v>4597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45503</v>
      </c>
      <c r="B2367" s="116">
        <v>1065.4789006455501</v>
      </c>
      <c r="C2367" s="116">
        <v>1057.2904979831801</v>
      </c>
      <c r="D2367" s="116">
        <v>1026.0167191401599</v>
      </c>
      <c r="E2367" s="116">
        <v>1058.5730188821101</v>
      </c>
      <c r="F2367" s="116">
        <v>1071.7</v>
      </c>
      <c r="G2367">
        <v>2039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45504</v>
      </c>
      <c r="B2368" s="116">
        <v>1064.49234610791</v>
      </c>
      <c r="C2368" s="116">
        <v>1037.90470131866</v>
      </c>
      <c r="D2368" s="116">
        <v>1032.9226009035999</v>
      </c>
      <c r="E2368" s="116">
        <v>1042.7881462799501</v>
      </c>
      <c r="F2368" s="116">
        <v>1052.05</v>
      </c>
      <c r="G2368">
        <v>1808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45505</v>
      </c>
      <c r="B2369" s="116">
        <v>1055.5146998154401</v>
      </c>
      <c r="C2369" s="116">
        <v>1018.46957692725</v>
      </c>
      <c r="D2369" s="116">
        <v>1013.1915101509099</v>
      </c>
      <c r="E2369" s="116">
        <v>1013.1915101509099</v>
      </c>
      <c r="F2369" s="116">
        <v>1032.3499999999999</v>
      </c>
      <c r="G2369">
        <v>1153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45506</v>
      </c>
      <c r="B2370" s="116">
        <v>1109.87385483911</v>
      </c>
      <c r="C2370" s="116">
        <v>1066.9094047251201</v>
      </c>
      <c r="D2370" s="116">
        <v>988.62630216380103</v>
      </c>
      <c r="E2370" s="116">
        <v>991.98058759175899</v>
      </c>
      <c r="F2370" s="116">
        <v>1081.45</v>
      </c>
      <c r="G2370">
        <v>5092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45509</v>
      </c>
      <c r="B2371" s="116">
        <v>1060.5461279573799</v>
      </c>
      <c r="C2371" s="116">
        <v>1001.89546069499</v>
      </c>
      <c r="D2371" s="116">
        <v>987.54109217240295</v>
      </c>
      <c r="E2371" s="116">
        <v>1011.81033379822</v>
      </c>
      <c r="F2371" s="116">
        <v>1015.55</v>
      </c>
      <c r="G2371">
        <v>3355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45510</v>
      </c>
      <c r="B2372" s="116">
        <v>1035.8822645165101</v>
      </c>
      <c r="C2372" s="116">
        <v>982.95361357240097</v>
      </c>
      <c r="D2372" s="116">
        <v>948.17756612077505</v>
      </c>
      <c r="E2372" s="116">
        <v>987.54109217240295</v>
      </c>
      <c r="F2372" s="116">
        <v>996.35</v>
      </c>
      <c r="G2372">
        <v>4176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45511</v>
      </c>
      <c r="B2373" s="116">
        <v>1016.15117376381</v>
      </c>
      <c r="C2373" s="116">
        <v>1004.0165529508999</v>
      </c>
      <c r="D2373" s="116">
        <v>976.68899225841994</v>
      </c>
      <c r="E2373" s="116">
        <v>982.95361357240097</v>
      </c>
      <c r="F2373" s="116">
        <v>1017.7</v>
      </c>
      <c r="G2373">
        <v>1396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45512</v>
      </c>
      <c r="B2374" s="116">
        <v>1011.21840107564</v>
      </c>
      <c r="C2374" s="116">
        <v>991.63529350358704</v>
      </c>
      <c r="D2374" s="116">
        <v>968.84588368422396</v>
      </c>
      <c r="E2374" s="116">
        <v>1011.21840107564</v>
      </c>
      <c r="F2374" s="116">
        <v>1005.15</v>
      </c>
      <c r="G2374">
        <v>2564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45513</v>
      </c>
      <c r="B2375" s="116">
        <v>1034.8957099788699</v>
      </c>
      <c r="C2375" s="116">
        <v>924.64824039818598</v>
      </c>
      <c r="D2375" s="116">
        <v>909.60328369925605</v>
      </c>
      <c r="E2375" s="116">
        <v>991.63529350358704</v>
      </c>
      <c r="F2375" s="116">
        <v>937.25</v>
      </c>
      <c r="G2375">
        <v>13043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45516</v>
      </c>
      <c r="B2376" s="116">
        <v>976.63966453153796</v>
      </c>
      <c r="C2376" s="116">
        <v>953.65294380464798</v>
      </c>
      <c r="D2376" s="116">
        <v>922.32983723474399</v>
      </c>
      <c r="E2376" s="116">
        <v>922.32983723474399</v>
      </c>
      <c r="F2376" s="116">
        <v>966.65</v>
      </c>
      <c r="G2376">
        <v>2737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45517</v>
      </c>
      <c r="B2377" s="116">
        <v>976.68899225841994</v>
      </c>
      <c r="C2377" s="116">
        <v>948.72017111647403</v>
      </c>
      <c r="D2377" s="116">
        <v>922.42849268850796</v>
      </c>
      <c r="E2377" s="116">
        <v>951.03857427991602</v>
      </c>
      <c r="F2377" s="116">
        <v>961.65</v>
      </c>
      <c r="G2377">
        <v>1395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45518</v>
      </c>
      <c r="B2378" s="116">
        <v>948.72017111647403</v>
      </c>
      <c r="C2378" s="116">
        <v>928.44647536807997</v>
      </c>
      <c r="D2378" s="116">
        <v>921.73790451216405</v>
      </c>
      <c r="E2378" s="116">
        <v>948.72017111647403</v>
      </c>
      <c r="F2378" s="116">
        <v>941.1</v>
      </c>
      <c r="G2378">
        <v>1072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45520</v>
      </c>
      <c r="B2379" s="116">
        <v>947.043028402495</v>
      </c>
      <c r="C2379" s="116">
        <v>935.64832349281403</v>
      </c>
      <c r="D2379" s="116">
        <v>923.46437495302405</v>
      </c>
      <c r="E2379" s="116">
        <v>928.44647536807997</v>
      </c>
      <c r="F2379" s="116">
        <v>948.4</v>
      </c>
      <c r="G2379">
        <v>539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45523</v>
      </c>
      <c r="B2380" s="116">
        <v>963.86378326916804</v>
      </c>
      <c r="C2380" s="116">
        <v>932.93529851431799</v>
      </c>
      <c r="D2380" s="116">
        <v>928.34781991431703</v>
      </c>
      <c r="E2380" s="116">
        <v>935.64832349281403</v>
      </c>
      <c r="F2380" s="116">
        <v>945.65</v>
      </c>
      <c r="G2380">
        <v>679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45524</v>
      </c>
      <c r="B2381" s="116">
        <v>960.80546420250005</v>
      </c>
      <c r="C2381" s="116">
        <v>947.19101158314095</v>
      </c>
      <c r="D2381" s="116">
        <v>927.36126537668201</v>
      </c>
      <c r="E2381" s="116">
        <v>927.85454264549901</v>
      </c>
      <c r="F2381" s="116">
        <v>960.1</v>
      </c>
      <c r="G2381">
        <v>554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45525</v>
      </c>
      <c r="B2382" s="116">
        <v>958.93101058099398</v>
      </c>
      <c r="C2382" s="116">
        <v>937.22681075302899</v>
      </c>
      <c r="D2382" s="116">
        <v>925.38815630141198</v>
      </c>
      <c r="E2382" s="116">
        <v>947.19101158314095</v>
      </c>
      <c r="F2382" s="116">
        <v>950</v>
      </c>
      <c r="G2382">
        <v>499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45526</v>
      </c>
      <c r="B2383" s="116">
        <v>956.95790150572498</v>
      </c>
      <c r="C2383" s="116">
        <v>937.02949984550196</v>
      </c>
      <c r="D2383" s="116">
        <v>932.34336579173703</v>
      </c>
      <c r="E2383" s="116">
        <v>937.22681075302899</v>
      </c>
      <c r="F2383" s="116">
        <v>949.8</v>
      </c>
      <c r="G2383">
        <v>472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45527</v>
      </c>
      <c r="B2384" s="116">
        <v>1033.8598277143601</v>
      </c>
      <c r="C2384" s="116">
        <v>904.52252783043696</v>
      </c>
      <c r="D2384" s="116">
        <v>882.966311183117</v>
      </c>
      <c r="E2384" s="116">
        <v>937.02949984550196</v>
      </c>
      <c r="F2384" s="116">
        <v>916.85</v>
      </c>
      <c r="G2384">
        <v>24236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45530</v>
      </c>
      <c r="B2385" s="116">
        <v>946.99370067561404</v>
      </c>
      <c r="C2385" s="116">
        <v>929.383702178833</v>
      </c>
      <c r="D2385" s="116">
        <v>904.52252783043696</v>
      </c>
      <c r="E2385" s="116">
        <v>904.52252783043696</v>
      </c>
      <c r="F2385" s="116">
        <v>942.05</v>
      </c>
      <c r="G2385">
        <v>3858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45531</v>
      </c>
      <c r="B2386" s="116">
        <v>1002.83268750574</v>
      </c>
      <c r="C2386" s="116">
        <v>951.72916245626095</v>
      </c>
      <c r="D2386" s="116">
        <v>938.31202074442797</v>
      </c>
      <c r="E2386" s="116">
        <v>967.81000141970696</v>
      </c>
      <c r="F2386" s="116">
        <v>964.7</v>
      </c>
      <c r="G2386">
        <v>12287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45532</v>
      </c>
      <c r="B2387" s="116">
        <v>951.77849018314203</v>
      </c>
      <c r="C2387" s="116">
        <v>933.52723123689896</v>
      </c>
      <c r="D2387" s="116">
        <v>927.36126537668201</v>
      </c>
      <c r="E2387" s="116">
        <v>951.03857427991602</v>
      </c>
      <c r="F2387" s="116">
        <v>946.25</v>
      </c>
      <c r="G2387">
        <v>963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45533</v>
      </c>
      <c r="B2388" s="116">
        <v>933.52723123689896</v>
      </c>
      <c r="C2388" s="116">
        <v>903.53597329280205</v>
      </c>
      <c r="D2388" s="116">
        <v>897.76462924763905</v>
      </c>
      <c r="E2388" s="116">
        <v>933.52723123689896</v>
      </c>
      <c r="F2388" s="116">
        <v>915.85</v>
      </c>
      <c r="G2388">
        <v>2666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45534</v>
      </c>
      <c r="B2389" s="116">
        <v>946.056473864861</v>
      </c>
      <c r="C2389" s="116">
        <v>933.77386987130797</v>
      </c>
      <c r="D2389" s="116">
        <v>903.53597329280205</v>
      </c>
      <c r="E2389" s="116">
        <v>903.53597329280205</v>
      </c>
      <c r="F2389" s="116">
        <v>946.5</v>
      </c>
      <c r="G2389">
        <v>970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45537</v>
      </c>
      <c r="B2390" s="116">
        <v>985.56798309713304</v>
      </c>
      <c r="C2390" s="116">
        <v>946.45109567991403</v>
      </c>
      <c r="D2390" s="116">
        <v>904.71983873796398</v>
      </c>
      <c r="E2390" s="116">
        <v>932.29403806485595</v>
      </c>
      <c r="F2390" s="116">
        <v>959.35</v>
      </c>
      <c r="G2390">
        <v>5061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45538</v>
      </c>
      <c r="B2391" s="116">
        <v>961.89067419389903</v>
      </c>
      <c r="C2391" s="116">
        <v>950.10134746916299</v>
      </c>
      <c r="D2391" s="116">
        <v>926.76933265410105</v>
      </c>
      <c r="E2391" s="116">
        <v>946.45109567991403</v>
      </c>
      <c r="F2391" s="116">
        <v>963.05</v>
      </c>
      <c r="G2391">
        <v>2267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45539</v>
      </c>
      <c r="B2392" s="116">
        <v>958.14176695088702</v>
      </c>
      <c r="C2392" s="116">
        <v>939.39723073582604</v>
      </c>
      <c r="D2392" s="116">
        <v>938.36134847130904</v>
      </c>
      <c r="E2392" s="116">
        <v>945.11924705410797</v>
      </c>
      <c r="F2392" s="116">
        <v>952.2</v>
      </c>
      <c r="G2392">
        <v>1583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45540</v>
      </c>
      <c r="B2393" s="116">
        <v>955.97134696808996</v>
      </c>
      <c r="C2393" s="116">
        <v>939.00260892077199</v>
      </c>
      <c r="D2393" s="116">
        <v>921.88588769280898</v>
      </c>
      <c r="E2393" s="116">
        <v>955.97134696808996</v>
      </c>
      <c r="F2393" s="116">
        <v>951.8</v>
      </c>
      <c r="G2393">
        <v>552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45541</v>
      </c>
      <c r="B2394" s="116">
        <v>945.06991932722599</v>
      </c>
      <c r="C2394" s="116">
        <v>941.27168435733199</v>
      </c>
      <c r="D2394" s="116">
        <v>922.47782041539006</v>
      </c>
      <c r="E2394" s="116">
        <v>935.25370167775998</v>
      </c>
      <c r="F2394" s="116">
        <v>954.1</v>
      </c>
      <c r="G2394">
        <v>503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45544</v>
      </c>
      <c r="B2395" s="116">
        <v>956.71126287131597</v>
      </c>
      <c r="C2395" s="116">
        <v>943.98470933582803</v>
      </c>
      <c r="D2395" s="116">
        <v>918.48227453796903</v>
      </c>
      <c r="E2395" s="116">
        <v>918.48227453796903</v>
      </c>
      <c r="F2395" s="116">
        <v>956.85</v>
      </c>
      <c r="G2395">
        <v>541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45545</v>
      </c>
      <c r="B2396" s="116">
        <v>950.00269201540004</v>
      </c>
      <c r="C2396" s="116">
        <v>942.06092798743998</v>
      </c>
      <c r="D2396" s="116">
        <v>927.41059310356297</v>
      </c>
      <c r="E2396" s="116">
        <v>933.13260942184502</v>
      </c>
      <c r="F2396" s="116">
        <v>954.9</v>
      </c>
      <c r="G2396">
        <v>651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45546</v>
      </c>
      <c r="B2397" s="116">
        <v>964.85033780680305</v>
      </c>
      <c r="C2397" s="116">
        <v>928.15050900679</v>
      </c>
      <c r="D2397" s="116">
        <v>917.49572000033402</v>
      </c>
      <c r="E2397" s="116">
        <v>942.06092798743998</v>
      </c>
      <c r="F2397" s="116">
        <v>940.8</v>
      </c>
      <c r="G2397">
        <v>3135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45547</v>
      </c>
      <c r="B2398" s="116">
        <v>956.90857377884299</v>
      </c>
      <c r="C2398" s="116">
        <v>919.86345089065799</v>
      </c>
      <c r="D2398" s="116">
        <v>917.59437545409799</v>
      </c>
      <c r="E2398" s="116">
        <v>928.15050900679</v>
      </c>
      <c r="F2398" s="116">
        <v>932.4</v>
      </c>
      <c r="G2398">
        <v>1625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45548</v>
      </c>
      <c r="B2399" s="116">
        <v>986.55453763476805</v>
      </c>
      <c r="C2399" s="116">
        <v>953.15966653583098</v>
      </c>
      <c r="D2399" s="116">
        <v>884.44614298956901</v>
      </c>
      <c r="E2399" s="116">
        <v>919.86345089065799</v>
      </c>
      <c r="F2399" s="116">
        <v>966.15</v>
      </c>
      <c r="G2399">
        <v>20471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45551</v>
      </c>
      <c r="B2400" s="116">
        <v>1001.35285569929</v>
      </c>
      <c r="C2400" s="116">
        <v>959.07899376163903</v>
      </c>
      <c r="D2400" s="116">
        <v>953.99823789282095</v>
      </c>
      <c r="E2400" s="116">
        <v>1001.35285569929</v>
      </c>
      <c r="F2400" s="116">
        <v>972.15</v>
      </c>
      <c r="G2400">
        <v>2484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45552</v>
      </c>
      <c r="B2401" s="116">
        <v>959.12832148852101</v>
      </c>
      <c r="C2401" s="116">
        <v>927.16395446915499</v>
      </c>
      <c r="D2401" s="116">
        <v>924.40160176377697</v>
      </c>
      <c r="E2401" s="116">
        <v>959.12832148852101</v>
      </c>
      <c r="F2401" s="116">
        <v>939.8</v>
      </c>
      <c r="G2401">
        <v>1312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45553</v>
      </c>
      <c r="B2402" s="116">
        <v>944.82328069281698</v>
      </c>
      <c r="C2402" s="116">
        <v>924.79622357883102</v>
      </c>
      <c r="D2402" s="116">
        <v>912.85891367345096</v>
      </c>
      <c r="E2402" s="116">
        <v>927.36126537668201</v>
      </c>
      <c r="F2402" s="116">
        <v>937.4</v>
      </c>
      <c r="G2402">
        <v>1930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45554</v>
      </c>
      <c r="B2403" s="116">
        <v>947.09235612937698</v>
      </c>
      <c r="C2403" s="116">
        <v>906.29832599817905</v>
      </c>
      <c r="D2403" s="116">
        <v>902.69740193581299</v>
      </c>
      <c r="E2403" s="116">
        <v>924.79622357883102</v>
      </c>
      <c r="F2403" s="116">
        <v>918.65</v>
      </c>
      <c r="G2403">
        <v>1991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45555</v>
      </c>
      <c r="B2404" s="116">
        <v>947.09235612937698</v>
      </c>
      <c r="C2404" s="116">
        <v>921.39261042399096</v>
      </c>
      <c r="D2404" s="116">
        <v>906.24899827129798</v>
      </c>
      <c r="E2404" s="116">
        <v>906.29832599817905</v>
      </c>
      <c r="F2404" s="116">
        <v>933.95</v>
      </c>
      <c r="G2404">
        <v>1650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45558</v>
      </c>
      <c r="B2405" s="116">
        <v>948.96680975088304</v>
      </c>
      <c r="C2405" s="116">
        <v>917.98899726915101</v>
      </c>
      <c r="D2405" s="116">
        <v>903.28933465839395</v>
      </c>
      <c r="E2405" s="116">
        <v>911.67504822828903</v>
      </c>
      <c r="F2405" s="116">
        <v>930.5</v>
      </c>
      <c r="G2405">
        <v>4733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45559</v>
      </c>
      <c r="B2406" s="116">
        <v>943.98470933582803</v>
      </c>
      <c r="C2406" s="116">
        <v>926.52269401969204</v>
      </c>
      <c r="D2406" s="116">
        <v>921.44193815087306</v>
      </c>
      <c r="E2406" s="116">
        <v>941.07437344980497</v>
      </c>
      <c r="F2406" s="116">
        <v>939.15</v>
      </c>
      <c r="G2406">
        <v>1259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45560</v>
      </c>
      <c r="B2407" s="116">
        <v>939.10126437453596</v>
      </c>
      <c r="C2407" s="116">
        <v>915.769249559473</v>
      </c>
      <c r="D2407" s="116">
        <v>904.670511011082</v>
      </c>
      <c r="E2407" s="116">
        <v>904.670511011082</v>
      </c>
      <c r="F2407" s="116">
        <v>928.25</v>
      </c>
      <c r="G2407">
        <v>1031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45561</v>
      </c>
      <c r="B2408" s="116">
        <v>927.31193764980003</v>
      </c>
      <c r="C2408" s="116">
        <v>908.468745980976</v>
      </c>
      <c r="D2408" s="116">
        <v>902.69740193581299</v>
      </c>
      <c r="E2408" s="116">
        <v>915.769249559473</v>
      </c>
      <c r="F2408" s="116">
        <v>920.85</v>
      </c>
      <c r="G2408">
        <v>1227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45562</v>
      </c>
      <c r="B2409" s="116">
        <v>935.05639077023295</v>
      </c>
      <c r="C2409" s="116">
        <v>907.82748553151305</v>
      </c>
      <c r="D2409" s="116">
        <v>894.01572200462704</v>
      </c>
      <c r="E2409" s="116">
        <v>894.01572200462704</v>
      </c>
      <c r="F2409" s="116">
        <v>920.2</v>
      </c>
      <c r="G2409">
        <v>30156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45565</v>
      </c>
      <c r="B2410" s="116">
        <v>956.76059059819795</v>
      </c>
      <c r="C2410" s="116">
        <v>907.77815780463197</v>
      </c>
      <c r="D2410" s="116">
        <v>902.69740193581299</v>
      </c>
      <c r="E2410" s="116">
        <v>947.043028402495</v>
      </c>
      <c r="F2410" s="116">
        <v>920.15</v>
      </c>
      <c r="G2410">
        <v>1766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45566</v>
      </c>
      <c r="B2411" s="116">
        <v>955.87269151432702</v>
      </c>
      <c r="C2411" s="116">
        <v>927.21328219603697</v>
      </c>
      <c r="D2411" s="116">
        <v>913.35219094226795</v>
      </c>
      <c r="E2411" s="116">
        <v>955.87269151432702</v>
      </c>
      <c r="F2411" s="116">
        <v>939.85</v>
      </c>
      <c r="G2411">
        <v>1609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45568</v>
      </c>
      <c r="B2412" s="116">
        <v>925.38815630141198</v>
      </c>
      <c r="C2412" s="116">
        <v>888.73765522828103</v>
      </c>
      <c r="D2412" s="116">
        <v>886.91252933365604</v>
      </c>
      <c r="E2412" s="116">
        <v>925.38815630141198</v>
      </c>
      <c r="F2412" s="116">
        <v>900.85</v>
      </c>
      <c r="G2412">
        <v>7441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45569</v>
      </c>
      <c r="B2413" s="116">
        <v>920.60336679388399</v>
      </c>
      <c r="C2413" s="116">
        <v>881.63446255731003</v>
      </c>
      <c r="D2413" s="116">
        <v>878.03353849494295</v>
      </c>
      <c r="E2413" s="116">
        <v>888.73765522828103</v>
      </c>
      <c r="F2413" s="116">
        <v>893.65</v>
      </c>
      <c r="G2413">
        <v>6769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45572</v>
      </c>
      <c r="B2414" s="116">
        <v>935.25370167775998</v>
      </c>
      <c r="C2414" s="116">
        <v>891.00673066484103</v>
      </c>
      <c r="D2414" s="116">
        <v>863.531186791712</v>
      </c>
      <c r="E2414" s="116">
        <v>883.95286572075202</v>
      </c>
      <c r="F2414" s="116">
        <v>903.15</v>
      </c>
      <c r="G2414">
        <v>3997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45573</v>
      </c>
      <c r="B2415" s="116">
        <v>899.639082869145</v>
      </c>
      <c r="C2415" s="116">
        <v>882.71967254870901</v>
      </c>
      <c r="D2415" s="116">
        <v>869.20387538311195</v>
      </c>
      <c r="E2415" s="116">
        <v>869.20387538311195</v>
      </c>
      <c r="F2415" s="116">
        <v>894.75</v>
      </c>
      <c r="G2415">
        <v>1154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45574</v>
      </c>
      <c r="B2416" s="116">
        <v>918.48227453796903</v>
      </c>
      <c r="C2416" s="116">
        <v>897.02471334441304</v>
      </c>
      <c r="D2416" s="116">
        <v>882.71967254870901</v>
      </c>
      <c r="E2416" s="116">
        <v>882.71967254870901</v>
      </c>
      <c r="F2416" s="116">
        <v>909.25</v>
      </c>
      <c r="G2416">
        <v>1277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45575</v>
      </c>
      <c r="B2417" s="116">
        <v>899.639082869145</v>
      </c>
      <c r="C2417" s="116">
        <v>891.05605839172199</v>
      </c>
      <c r="D2417" s="116">
        <v>890.36547021537797</v>
      </c>
      <c r="E2417" s="116">
        <v>890.90807521107695</v>
      </c>
      <c r="F2417" s="116">
        <v>903.2</v>
      </c>
      <c r="G2417">
        <v>4164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45576</v>
      </c>
      <c r="B2418" s="116">
        <v>901.11891467559701</v>
      </c>
      <c r="C2418" s="116">
        <v>890.51345339602301</v>
      </c>
      <c r="D2418" s="116">
        <v>890.36547021537797</v>
      </c>
      <c r="E2418" s="116">
        <v>891.05605839172199</v>
      </c>
      <c r="F2418" s="116">
        <v>902.65</v>
      </c>
      <c r="G2418">
        <v>507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45579</v>
      </c>
      <c r="B2419" s="116">
        <v>916.16387137452705</v>
      </c>
      <c r="C2419" s="116">
        <v>894.16370518527197</v>
      </c>
      <c r="D2419" s="116">
        <v>883.01563890999898</v>
      </c>
      <c r="E2419" s="116">
        <v>890.51345339602301</v>
      </c>
      <c r="F2419" s="116">
        <v>906.35</v>
      </c>
      <c r="G2419">
        <v>3745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45580</v>
      </c>
      <c r="B2420" s="116">
        <v>912.46429185839702</v>
      </c>
      <c r="C2420" s="116">
        <v>887.15916796806505</v>
      </c>
      <c r="D2420" s="116">
        <v>878.03353849494295</v>
      </c>
      <c r="E2420" s="116">
        <v>912.46429185839702</v>
      </c>
      <c r="F2420" s="116">
        <v>899.25</v>
      </c>
      <c r="G2420">
        <v>443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45581</v>
      </c>
      <c r="B2421" s="116">
        <v>1064.5910015616801</v>
      </c>
      <c r="C2421" s="116">
        <v>972.052185931537</v>
      </c>
      <c r="D2421" s="116">
        <v>882.966311183117</v>
      </c>
      <c r="E2421" s="116">
        <v>886.86320160677496</v>
      </c>
      <c r="F2421" s="116">
        <v>985.3</v>
      </c>
      <c r="G2421">
        <v>58862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45582</v>
      </c>
      <c r="B2422" s="116">
        <v>1005.98966202617</v>
      </c>
      <c r="C2422" s="116">
        <v>988.08369716810205</v>
      </c>
      <c r="D2422" s="116">
        <v>961.89067419389903</v>
      </c>
      <c r="E2422" s="116">
        <v>961.89067419389903</v>
      </c>
      <c r="F2422" s="116">
        <v>1001.55</v>
      </c>
      <c r="G2422">
        <v>4179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45583</v>
      </c>
      <c r="B2423" s="116">
        <v>986.55453763476805</v>
      </c>
      <c r="C2423" s="116">
        <v>974.81453863691399</v>
      </c>
      <c r="D2423" s="116">
        <v>966.82344688207297</v>
      </c>
      <c r="E2423" s="116">
        <v>986.55453763476805</v>
      </c>
      <c r="F2423" s="116">
        <v>988.1</v>
      </c>
      <c r="G2423">
        <v>1413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45586</v>
      </c>
      <c r="B2424" s="116">
        <v>980.58588268207802</v>
      </c>
      <c r="C2424" s="116">
        <v>952.56773381325002</v>
      </c>
      <c r="D2424" s="116">
        <v>949.06546520464701</v>
      </c>
      <c r="E2424" s="116">
        <v>971.756219570246</v>
      </c>
      <c r="F2424" s="116">
        <v>965.55</v>
      </c>
      <c r="G2424">
        <v>699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45587</v>
      </c>
      <c r="B2425" s="116">
        <v>952.12378427131398</v>
      </c>
      <c r="C2425" s="116">
        <v>860.07824590999098</v>
      </c>
      <c r="D2425" s="116">
        <v>833.63858430137896</v>
      </c>
      <c r="E2425" s="116">
        <v>952.12378427131398</v>
      </c>
      <c r="F2425" s="116">
        <v>871.8</v>
      </c>
      <c r="G2425">
        <v>9284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45588</v>
      </c>
      <c r="B2426" s="116">
        <v>901.11891467559701</v>
      </c>
      <c r="C2426" s="116">
        <v>884.19950435516103</v>
      </c>
      <c r="D2426" s="116">
        <v>870.14110219386498</v>
      </c>
      <c r="E2426" s="116">
        <v>870.14110219386498</v>
      </c>
      <c r="F2426" s="116">
        <v>896.25</v>
      </c>
      <c r="G2426">
        <v>3848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45589</v>
      </c>
      <c r="B2427" s="116">
        <v>912.56294731215996</v>
      </c>
      <c r="C2427" s="116">
        <v>907.33420826269605</v>
      </c>
      <c r="D2427" s="116">
        <v>884.19950435516103</v>
      </c>
      <c r="E2427" s="116">
        <v>884.19950435516103</v>
      </c>
      <c r="F2427" s="116">
        <v>919.7</v>
      </c>
      <c r="G2427">
        <v>3061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45590</v>
      </c>
      <c r="B2428" s="116">
        <v>907.03824190140597</v>
      </c>
      <c r="C2428" s="116">
        <v>857.80917047343098</v>
      </c>
      <c r="D2428" s="116">
        <v>833.63858430137896</v>
      </c>
      <c r="E2428" s="116">
        <v>907.03824190140597</v>
      </c>
      <c r="F2428" s="116">
        <v>869.5</v>
      </c>
      <c r="G2428">
        <v>7044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45593</v>
      </c>
      <c r="B2429" s="116">
        <v>887.89908387129105</v>
      </c>
      <c r="C2429" s="116">
        <v>884.93942025838703</v>
      </c>
      <c r="D2429" s="116">
        <v>857.80917047343098</v>
      </c>
      <c r="E2429" s="116">
        <v>857.80917047343098</v>
      </c>
      <c r="F2429" s="116">
        <v>897</v>
      </c>
      <c r="G2429">
        <v>1579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45594</v>
      </c>
      <c r="B2430" s="116">
        <v>884.54479844333298</v>
      </c>
      <c r="C2430" s="116">
        <v>867.822699030423</v>
      </c>
      <c r="D2430" s="116">
        <v>858.30244774224798</v>
      </c>
      <c r="E2430" s="116">
        <v>862.84059861536798</v>
      </c>
      <c r="F2430" s="116">
        <v>879.65</v>
      </c>
      <c r="G2430">
        <v>1370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45595</v>
      </c>
      <c r="B2431" s="116">
        <v>1040.81503720468</v>
      </c>
      <c r="C2431" s="116">
        <v>983.69352947562697</v>
      </c>
      <c r="D2431" s="116">
        <v>869.15454765622997</v>
      </c>
      <c r="E2431" s="116">
        <v>885.18605889279502</v>
      </c>
      <c r="F2431" s="116">
        <v>997.1</v>
      </c>
      <c r="G2431">
        <v>29611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45596</v>
      </c>
      <c r="B2432" s="116">
        <v>1015.70722422188</v>
      </c>
      <c r="C2432" s="116">
        <v>984.92672264766998</v>
      </c>
      <c r="D2432" s="116">
        <v>963.12386736594203</v>
      </c>
      <c r="E2432" s="116">
        <v>983.69352947562697</v>
      </c>
      <c r="F2432" s="116">
        <v>998.35</v>
      </c>
      <c r="G2432">
        <v>918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45597</v>
      </c>
      <c r="B2433" s="116">
        <v>997.998570271331</v>
      </c>
      <c r="C2433" s="116">
        <v>946.45109567991403</v>
      </c>
      <c r="D2433" s="116">
        <v>927.26260992291805</v>
      </c>
      <c r="E2433" s="116">
        <v>957.05655695948803</v>
      </c>
      <c r="F2433" s="116">
        <v>959.35</v>
      </c>
      <c r="G2433">
        <v>3162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45600</v>
      </c>
      <c r="B2434" s="116">
        <v>961.89067419389903</v>
      </c>
      <c r="C2434" s="116">
        <v>950.44664155733506</v>
      </c>
      <c r="D2434" s="116">
        <v>921.54059360463702</v>
      </c>
      <c r="E2434" s="116">
        <v>946.45109567991403</v>
      </c>
      <c r="F2434" s="116">
        <v>963.4</v>
      </c>
      <c r="G2434">
        <v>1123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45601</v>
      </c>
      <c r="B2435" s="116">
        <v>960.90411965626402</v>
      </c>
      <c r="C2435" s="116">
        <v>924.79622357883102</v>
      </c>
      <c r="D2435" s="116">
        <v>908.41941825409401</v>
      </c>
      <c r="E2435" s="116">
        <v>942.94882707131103</v>
      </c>
      <c r="F2435" s="116">
        <v>937.4</v>
      </c>
      <c r="G2435">
        <v>1711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45602</v>
      </c>
      <c r="B2436" s="116">
        <v>966.82344688207297</v>
      </c>
      <c r="C2436" s="116">
        <v>944.97126387346202</v>
      </c>
      <c r="D2436" s="116">
        <v>924.845551305713</v>
      </c>
      <c r="E2436" s="116">
        <v>924.845551305713</v>
      </c>
      <c r="F2436" s="116">
        <v>957.85</v>
      </c>
      <c r="G2436">
        <v>877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45603</v>
      </c>
      <c r="B2437" s="116">
        <v>955.82336378744503</v>
      </c>
      <c r="C2437" s="116">
        <v>937.473449387438</v>
      </c>
      <c r="D2437" s="116">
        <v>921.39261042399096</v>
      </c>
      <c r="E2437" s="116">
        <v>921.39261042399096</v>
      </c>
      <c r="F2437" s="116">
        <v>950.25</v>
      </c>
      <c r="G2437">
        <v>1343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45604</v>
      </c>
      <c r="B2438" s="116">
        <v>965.59025371002895</v>
      </c>
      <c r="C2438" s="116">
        <v>950.74260791862605</v>
      </c>
      <c r="D2438" s="116">
        <v>927.41059310356297</v>
      </c>
      <c r="E2438" s="116">
        <v>937.473449387438</v>
      </c>
      <c r="F2438" s="116">
        <v>963.7</v>
      </c>
      <c r="G2438">
        <v>633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45607</v>
      </c>
      <c r="B2439" s="116">
        <v>1034.8957099788699</v>
      </c>
      <c r="C2439" s="116">
        <v>1013.1915101509099</v>
      </c>
      <c r="D2439" s="116">
        <v>922.42849268850796</v>
      </c>
      <c r="E2439" s="116">
        <v>942.15958344120304</v>
      </c>
      <c r="F2439" s="116">
        <v>1027</v>
      </c>
      <c r="G2439">
        <v>4072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45608</v>
      </c>
      <c r="B2440" s="116">
        <v>1012.69823288209</v>
      </c>
      <c r="C2440" s="116">
        <v>996.17344437670704</v>
      </c>
      <c r="D2440" s="116">
        <v>981.621764946594</v>
      </c>
      <c r="E2440" s="116">
        <v>1012.69823288209</v>
      </c>
      <c r="F2440" s="116">
        <v>1009.75</v>
      </c>
      <c r="G2440">
        <v>3398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45609</v>
      </c>
      <c r="B2441" s="116">
        <v>993.460419398211</v>
      </c>
      <c r="C2441" s="116">
        <v>936.14160076163103</v>
      </c>
      <c r="D2441" s="116">
        <v>924.79622357883102</v>
      </c>
      <c r="E2441" s="116">
        <v>971.756219570246</v>
      </c>
      <c r="F2441" s="116">
        <v>948.9</v>
      </c>
      <c r="G2441">
        <v>890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45610</v>
      </c>
      <c r="B2442" s="116">
        <v>960.36151466056504</v>
      </c>
      <c r="C2442" s="116">
        <v>939.34790300894394</v>
      </c>
      <c r="D2442" s="116">
        <v>931.30748352722105</v>
      </c>
      <c r="E2442" s="116">
        <v>936.14160076163103</v>
      </c>
      <c r="F2442" s="116">
        <v>952.15</v>
      </c>
      <c r="G2442">
        <v>1477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45614</v>
      </c>
      <c r="B2443" s="116">
        <v>985.56798309713304</v>
      </c>
      <c r="C2443" s="116">
        <v>966.97143006271801</v>
      </c>
      <c r="D2443" s="116">
        <v>920.65269452076495</v>
      </c>
      <c r="E2443" s="116">
        <v>920.65269452076495</v>
      </c>
      <c r="F2443" s="116">
        <v>980.15</v>
      </c>
      <c r="G2443">
        <v>2541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45615</v>
      </c>
      <c r="B2444" s="116">
        <v>984.58142855949802</v>
      </c>
      <c r="C2444" s="116">
        <v>934.06983623259805</v>
      </c>
      <c r="D2444" s="116">
        <v>927.36126537668201</v>
      </c>
      <c r="E2444" s="116">
        <v>966.97143006271801</v>
      </c>
      <c r="F2444" s="116">
        <v>946.8</v>
      </c>
      <c r="G2444">
        <v>3227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45617</v>
      </c>
      <c r="B2445" s="116">
        <v>962.82790100465195</v>
      </c>
      <c r="C2445" s="116">
        <v>926.67067720033697</v>
      </c>
      <c r="D2445" s="116">
        <v>922.576475869153</v>
      </c>
      <c r="E2445" s="116">
        <v>934.06983623259805</v>
      </c>
      <c r="F2445" s="116">
        <v>939.3</v>
      </c>
      <c r="G2445">
        <v>1379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45618</v>
      </c>
      <c r="B2446" s="116">
        <v>946.99370067561404</v>
      </c>
      <c r="C2446" s="116">
        <v>931.75143306915697</v>
      </c>
      <c r="D2446" s="116">
        <v>907.63017462398602</v>
      </c>
      <c r="E2446" s="116">
        <v>923.02042541108904</v>
      </c>
      <c r="F2446" s="116">
        <v>944.45</v>
      </c>
      <c r="G2446">
        <v>786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45621</v>
      </c>
      <c r="B2447" s="116">
        <v>931.80076079603805</v>
      </c>
      <c r="C2447" s="116">
        <v>917.64370318097895</v>
      </c>
      <c r="D2447" s="116">
        <v>897.76462924763905</v>
      </c>
      <c r="E2447" s="116">
        <v>931.75143306915697</v>
      </c>
      <c r="F2447" s="116">
        <v>930.15</v>
      </c>
      <c r="G2447">
        <v>746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45622</v>
      </c>
      <c r="B2448" s="116">
        <v>935.25370167775998</v>
      </c>
      <c r="C2448" s="116">
        <v>900.92160376806999</v>
      </c>
      <c r="D2448" s="116">
        <v>898.15925106269299</v>
      </c>
      <c r="E2448" s="116">
        <v>917.64370318097895</v>
      </c>
      <c r="F2448" s="116">
        <v>913.2</v>
      </c>
      <c r="G2448">
        <v>1362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45623</v>
      </c>
      <c r="B2449" s="116">
        <v>928.00252582614405</v>
      </c>
      <c r="C2449" s="116">
        <v>913.69748503044002</v>
      </c>
      <c r="D2449" s="116">
        <v>900.92160376806999</v>
      </c>
      <c r="E2449" s="116">
        <v>900.92160376806999</v>
      </c>
      <c r="F2449" s="116">
        <v>926.15</v>
      </c>
      <c r="G2449">
        <v>1890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45624</v>
      </c>
      <c r="B2450" s="116">
        <v>942.11025571432197</v>
      </c>
      <c r="C2450" s="116">
        <v>913.10555230785906</v>
      </c>
      <c r="D2450" s="116">
        <v>903.73328420032897</v>
      </c>
      <c r="E2450" s="116">
        <v>903.73328420032897</v>
      </c>
      <c r="F2450" s="116">
        <v>925.55</v>
      </c>
      <c r="G2450">
        <v>3312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45625</v>
      </c>
      <c r="B2451" s="116">
        <v>926.32538311216501</v>
      </c>
      <c r="C2451" s="116">
        <v>897.27135197882103</v>
      </c>
      <c r="D2451" s="116">
        <v>880.10530302397603</v>
      </c>
      <c r="E2451" s="116">
        <v>913.10555230785906</v>
      </c>
      <c r="F2451" s="116">
        <v>909.5</v>
      </c>
      <c r="G2451">
        <v>9566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45628</v>
      </c>
      <c r="B2452" s="116">
        <v>914.78269502183798</v>
      </c>
      <c r="C2452" s="116">
        <v>910.34319960248195</v>
      </c>
      <c r="D2452" s="116">
        <v>897.76462924763905</v>
      </c>
      <c r="E2452" s="116">
        <v>907.63017462398602</v>
      </c>
      <c r="F2452" s="116">
        <v>922.75</v>
      </c>
      <c r="G2452">
        <v>1328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45629</v>
      </c>
      <c r="B2453" s="116">
        <v>927.36126537668201</v>
      </c>
      <c r="C2453" s="116">
        <v>913.79614048420399</v>
      </c>
      <c r="D2453" s="116">
        <v>907.63017462398602</v>
      </c>
      <c r="E2453" s="116">
        <v>907.63017462398602</v>
      </c>
      <c r="F2453" s="116">
        <v>926.25</v>
      </c>
      <c r="G2453">
        <v>217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45630</v>
      </c>
      <c r="B2454" s="116">
        <v>924.35227403689601</v>
      </c>
      <c r="C2454" s="116">
        <v>910.58983823689096</v>
      </c>
      <c r="D2454" s="116">
        <v>908.66605688850302</v>
      </c>
      <c r="E2454" s="116">
        <v>913.79614048420399</v>
      </c>
      <c r="F2454" s="116">
        <v>923</v>
      </c>
      <c r="G2454">
        <v>1537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45631</v>
      </c>
      <c r="B2455" s="116">
        <v>924.94420675947697</v>
      </c>
      <c r="C2455" s="116">
        <v>922.576475869153</v>
      </c>
      <c r="D2455" s="116">
        <v>902.69740193581299</v>
      </c>
      <c r="E2455" s="116">
        <v>910.58983823689096</v>
      </c>
      <c r="F2455" s="116">
        <v>935.15</v>
      </c>
      <c r="G2455">
        <v>1252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45632</v>
      </c>
      <c r="B2456" s="116">
        <v>927.16395446915499</v>
      </c>
      <c r="C2456" s="116">
        <v>904.71983873796398</v>
      </c>
      <c r="D2456" s="116">
        <v>903.24000693151197</v>
      </c>
      <c r="E2456" s="116">
        <v>922.576475869153</v>
      </c>
      <c r="F2456" s="116">
        <v>917.05</v>
      </c>
      <c r="G2456">
        <v>1460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45635</v>
      </c>
      <c r="B2457" s="116">
        <v>919.12353498743096</v>
      </c>
      <c r="C2457" s="116">
        <v>913.15488003474104</v>
      </c>
      <c r="D2457" s="116">
        <v>904.670511011082</v>
      </c>
      <c r="E2457" s="116">
        <v>904.71983873796398</v>
      </c>
      <c r="F2457" s="116">
        <v>925.6</v>
      </c>
      <c r="G2457">
        <v>173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45636</v>
      </c>
      <c r="B2458" s="116">
        <v>933.28059260248995</v>
      </c>
      <c r="C2458" s="116">
        <v>913.20420776162302</v>
      </c>
      <c r="D2458" s="116">
        <v>906.64362008635203</v>
      </c>
      <c r="E2458" s="116">
        <v>913.59882957667696</v>
      </c>
      <c r="F2458" s="116">
        <v>925.65</v>
      </c>
      <c r="G2458">
        <v>716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45637</v>
      </c>
      <c r="B2459" s="116">
        <v>945.02059160034401</v>
      </c>
      <c r="C2459" s="116">
        <v>904.76916646484597</v>
      </c>
      <c r="D2459" s="116">
        <v>902.69740193581299</v>
      </c>
      <c r="E2459" s="116">
        <v>913.20420776162302</v>
      </c>
      <c r="F2459" s="116">
        <v>917.1</v>
      </c>
      <c r="G2459">
        <v>23510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45638</v>
      </c>
      <c r="B2460" s="116">
        <v>917.44639227345203</v>
      </c>
      <c r="C2460" s="116">
        <v>891.795974294948</v>
      </c>
      <c r="D2460" s="116">
        <v>880.99320210784799</v>
      </c>
      <c r="E2460" s="116">
        <v>904.76916646484597</v>
      </c>
      <c r="F2460" s="116">
        <v>903.95</v>
      </c>
      <c r="G2460">
        <v>2221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45639</v>
      </c>
      <c r="B2461" s="116">
        <v>912.21765322398801</v>
      </c>
      <c r="C2461" s="116">
        <v>904.07857828850103</v>
      </c>
      <c r="D2461" s="116">
        <v>887.89908387129105</v>
      </c>
      <c r="E2461" s="116">
        <v>891.795974294948</v>
      </c>
      <c r="F2461" s="116">
        <v>916.4</v>
      </c>
      <c r="G2461">
        <v>229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45642</v>
      </c>
      <c r="B2462" s="116">
        <v>922.083198600336</v>
      </c>
      <c r="C2462" s="116">
        <v>893.86773882398097</v>
      </c>
      <c r="D2462" s="116">
        <v>893.86773882398097</v>
      </c>
      <c r="E2462" s="116">
        <v>917.49572000033402</v>
      </c>
      <c r="F2462" s="116">
        <v>906.05</v>
      </c>
      <c r="G2462">
        <v>743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45643</v>
      </c>
      <c r="B2463" s="116">
        <v>914.19076229925804</v>
      </c>
      <c r="C2463" s="116">
        <v>902.54941875516704</v>
      </c>
      <c r="D2463" s="116">
        <v>894.01572200462704</v>
      </c>
      <c r="E2463" s="116">
        <v>894.01572200462704</v>
      </c>
      <c r="F2463" s="116">
        <v>914.85</v>
      </c>
      <c r="G2463">
        <v>1023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45644</v>
      </c>
      <c r="B2464" s="116">
        <v>931.30748352722105</v>
      </c>
      <c r="C2464" s="116">
        <v>898.40588969710097</v>
      </c>
      <c r="D2464" s="116">
        <v>887.89908387129105</v>
      </c>
      <c r="E2464" s="116">
        <v>887.89908387129105</v>
      </c>
      <c r="F2464" s="116">
        <v>910.65</v>
      </c>
      <c r="G2464">
        <v>833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45645</v>
      </c>
      <c r="B2465" s="116">
        <v>898.30723424333803</v>
      </c>
      <c r="C2465" s="116">
        <v>892.338579290648</v>
      </c>
      <c r="D2465" s="116">
        <v>868.75992584117705</v>
      </c>
      <c r="E2465" s="116">
        <v>887.89908387129105</v>
      </c>
      <c r="F2465" s="116">
        <v>904.5</v>
      </c>
      <c r="G2465">
        <v>949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45646</v>
      </c>
      <c r="B2466" s="116">
        <v>922.37916496162597</v>
      </c>
      <c r="C2466" s="116">
        <v>891.05605839172199</v>
      </c>
      <c r="D2466" s="116">
        <v>863.28454815730402</v>
      </c>
      <c r="E2466" s="116">
        <v>922.37916496162597</v>
      </c>
      <c r="F2466" s="116">
        <v>903.2</v>
      </c>
      <c r="G2466">
        <v>470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45649</v>
      </c>
      <c r="B2467" s="116">
        <v>903.33866238527503</v>
      </c>
      <c r="C2467" s="116">
        <v>880.10530302397603</v>
      </c>
      <c r="D2467" s="116">
        <v>878.08286622182504</v>
      </c>
      <c r="E2467" s="116">
        <v>890.85874748419496</v>
      </c>
      <c r="F2467" s="116">
        <v>892.1</v>
      </c>
      <c r="G2467">
        <v>552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45650</v>
      </c>
      <c r="B2468" s="116">
        <v>900.77362058742494</v>
      </c>
      <c r="C2468" s="116">
        <v>871.81824490784402</v>
      </c>
      <c r="D2468" s="116">
        <v>862.44597680031404</v>
      </c>
      <c r="E2468" s="116">
        <v>862.44597680031404</v>
      </c>
      <c r="F2468" s="116">
        <v>883.7</v>
      </c>
      <c r="G2468">
        <v>397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45652</v>
      </c>
      <c r="B2469" s="116">
        <v>917.49572000033402</v>
      </c>
      <c r="C2469" s="116">
        <v>882.71967254870901</v>
      </c>
      <c r="D2469" s="116">
        <v>876.65236214225501</v>
      </c>
      <c r="E2469" s="116">
        <v>917.49572000033402</v>
      </c>
      <c r="F2469" s="116">
        <v>894.75</v>
      </c>
      <c r="G2469">
        <v>248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45653</v>
      </c>
      <c r="B2470" s="116">
        <v>897.12336879817599</v>
      </c>
      <c r="C2470" s="116">
        <v>881.19051301537502</v>
      </c>
      <c r="D2470" s="116">
        <v>868.16799311859597</v>
      </c>
      <c r="E2470" s="116">
        <v>887.89908387129105</v>
      </c>
      <c r="F2470" s="116">
        <v>893.2</v>
      </c>
      <c r="G2470">
        <v>315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45656</v>
      </c>
      <c r="B2471" s="116">
        <v>896.77807471000403</v>
      </c>
      <c r="C2471" s="116">
        <v>882.966311183117</v>
      </c>
      <c r="D2471" s="116">
        <v>873.10076580677003</v>
      </c>
      <c r="E2471" s="116">
        <v>896.77807471000403</v>
      </c>
      <c r="F2471" s="116">
        <v>895</v>
      </c>
      <c r="G2471">
        <v>149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45657</v>
      </c>
      <c r="B2472" s="116">
        <v>912.16832549710603</v>
      </c>
      <c r="C2472" s="116">
        <v>872.16353899601597</v>
      </c>
      <c r="D2472" s="116">
        <v>868.16799311859597</v>
      </c>
      <c r="E2472" s="116">
        <v>912.16832549710603</v>
      </c>
      <c r="F2472" s="116">
        <v>884.05</v>
      </c>
      <c r="G2472">
        <v>533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45658</v>
      </c>
      <c r="B2473" s="116">
        <v>905.31177146054495</v>
      </c>
      <c r="C2473" s="116">
        <v>869.35185856375699</v>
      </c>
      <c r="D2473" s="116">
        <v>868.16799311859597</v>
      </c>
      <c r="E2473" s="116">
        <v>905.31177146054495</v>
      </c>
      <c r="F2473" s="116">
        <v>881.2</v>
      </c>
      <c r="G2473">
        <v>857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45659</v>
      </c>
      <c r="B2474" s="116">
        <v>898.70185605839197</v>
      </c>
      <c r="C2474" s="116">
        <v>871.52227854655405</v>
      </c>
      <c r="D2474" s="116">
        <v>853.36967505407404</v>
      </c>
      <c r="E2474" s="116">
        <v>871.1276567315</v>
      </c>
      <c r="F2474" s="116">
        <v>883.4</v>
      </c>
      <c r="G2474">
        <v>2146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45660</v>
      </c>
      <c r="B2475" s="116">
        <v>871.76891718096294</v>
      </c>
      <c r="C2475" s="116">
        <v>863.58051451859399</v>
      </c>
      <c r="D2475" s="116">
        <v>853.41900278095602</v>
      </c>
      <c r="E2475" s="116">
        <v>871.76891718096294</v>
      </c>
      <c r="F2475" s="116">
        <v>875.35</v>
      </c>
      <c r="G2475">
        <v>402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45663</v>
      </c>
      <c r="B2476" s="116">
        <v>877.98421076806198</v>
      </c>
      <c r="C2476" s="116">
        <v>834.23051702396003</v>
      </c>
      <c r="D2476" s="116">
        <v>820.36942577019101</v>
      </c>
      <c r="E2476" s="116">
        <v>868.16799311859597</v>
      </c>
      <c r="F2476" s="116">
        <v>845.6</v>
      </c>
      <c r="G2476">
        <v>1431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45664</v>
      </c>
      <c r="B2477" s="116">
        <v>866.19488404332606</v>
      </c>
      <c r="C2477" s="116">
        <v>838.57135698955301</v>
      </c>
      <c r="D2477" s="116">
        <v>809.96127539814404</v>
      </c>
      <c r="E2477" s="116">
        <v>861.90337180461495</v>
      </c>
      <c r="F2477" s="116">
        <v>850</v>
      </c>
      <c r="G2477">
        <v>1752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45665</v>
      </c>
      <c r="B2478" s="116">
        <v>856.97059911644101</v>
      </c>
      <c r="C2478" s="116">
        <v>850.163372806761</v>
      </c>
      <c r="D2478" s="116">
        <v>838.57135698955301</v>
      </c>
      <c r="E2478" s="116">
        <v>856.97059911644101</v>
      </c>
      <c r="F2478" s="116">
        <v>861.75</v>
      </c>
      <c r="G2478">
        <v>475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45666</v>
      </c>
      <c r="B2479" s="116">
        <v>860.62085090568996</v>
      </c>
      <c r="C2479" s="116">
        <v>829.14976115514105</v>
      </c>
      <c r="D2479" s="116">
        <v>828.70581161320501</v>
      </c>
      <c r="E2479" s="116">
        <v>860.62085090568996</v>
      </c>
      <c r="F2479" s="116">
        <v>840.45</v>
      </c>
      <c r="G2479">
        <v>462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45667</v>
      </c>
      <c r="B2480" s="116">
        <v>848.43690236589998</v>
      </c>
      <c r="C2480" s="116">
        <v>833.83589520890598</v>
      </c>
      <c r="D2480" s="116">
        <v>818.84026623685702</v>
      </c>
      <c r="E2480" s="116">
        <v>829.14976115514105</v>
      </c>
      <c r="F2480" s="116">
        <v>845.2</v>
      </c>
      <c r="G2480">
        <v>928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45670</v>
      </c>
      <c r="B2481" s="116">
        <v>839.70589470783295</v>
      </c>
      <c r="C2481" s="116">
        <v>786.875899217491</v>
      </c>
      <c r="D2481" s="116">
        <v>780.36463926910096</v>
      </c>
      <c r="E2481" s="116">
        <v>839.06463425837001</v>
      </c>
      <c r="F2481" s="116">
        <v>797.6</v>
      </c>
      <c r="G2481">
        <v>3376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45671</v>
      </c>
      <c r="B2482" s="116">
        <v>847.40102010138401</v>
      </c>
      <c r="C2482" s="116">
        <v>806.36035133577798</v>
      </c>
      <c r="D2482" s="116">
        <v>785.29741195727502</v>
      </c>
      <c r="E2482" s="116">
        <v>829.34707206266796</v>
      </c>
      <c r="F2482" s="116">
        <v>817.35</v>
      </c>
      <c r="G2482">
        <v>1303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45672</v>
      </c>
      <c r="B2483" s="116">
        <v>863.23522043042203</v>
      </c>
      <c r="C2483" s="116">
        <v>838.52202926267103</v>
      </c>
      <c r="D2483" s="116">
        <v>824.75959346266598</v>
      </c>
      <c r="E2483" s="116">
        <v>829.34707206266796</v>
      </c>
      <c r="F2483" s="116">
        <v>849.95</v>
      </c>
      <c r="G2483">
        <v>2247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45673</v>
      </c>
      <c r="B2484" s="116">
        <v>857.31589320461296</v>
      </c>
      <c r="C2484" s="116">
        <v>811.44110720459696</v>
      </c>
      <c r="D2484" s="116">
        <v>789.24363010781406</v>
      </c>
      <c r="E2484" s="116">
        <v>857.31589320461296</v>
      </c>
      <c r="F2484" s="116">
        <v>822.5</v>
      </c>
      <c r="G2484">
        <v>1832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45674</v>
      </c>
      <c r="B2485" s="116">
        <v>838.324718355144</v>
      </c>
      <c r="C2485" s="116">
        <v>810.60253584760699</v>
      </c>
      <c r="D2485" s="116">
        <v>795.212285060505</v>
      </c>
      <c r="E2485" s="116">
        <v>838.324718355144</v>
      </c>
      <c r="F2485" s="116">
        <v>821.65</v>
      </c>
      <c r="G2485">
        <v>1003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45677</v>
      </c>
      <c r="B2486" s="116">
        <v>836.35160927987397</v>
      </c>
      <c r="C2486" s="116">
        <v>832.70135749062604</v>
      </c>
      <c r="D2486" s="116">
        <v>814.89404808631798</v>
      </c>
      <c r="E2486" s="116">
        <v>814.89404808631798</v>
      </c>
      <c r="F2486" s="116">
        <v>844.05</v>
      </c>
      <c r="G2486">
        <v>364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45678</v>
      </c>
      <c r="B2487" s="116">
        <v>843.40547422396298</v>
      </c>
      <c r="C2487" s="116">
        <v>834.03320611643301</v>
      </c>
      <c r="D2487" s="116">
        <v>813.21690537233906</v>
      </c>
      <c r="E2487" s="116">
        <v>837.23950836374604</v>
      </c>
      <c r="F2487" s="116">
        <v>845.4</v>
      </c>
      <c r="G2487">
        <v>571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45679</v>
      </c>
      <c r="B2488" s="116">
        <v>820.46808122395498</v>
      </c>
      <c r="C2488" s="116">
        <v>803.05539363470098</v>
      </c>
      <c r="D2488" s="116">
        <v>799.10917548416205</v>
      </c>
      <c r="E2488" s="116">
        <v>820.46808122395498</v>
      </c>
      <c r="F2488" s="116">
        <v>814</v>
      </c>
      <c r="G2488">
        <v>1374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45680</v>
      </c>
      <c r="B2489" s="116">
        <v>833.58925657449697</v>
      </c>
      <c r="C2489" s="116">
        <v>815.09135899384501</v>
      </c>
      <c r="D2489" s="116">
        <v>799.60245275297905</v>
      </c>
      <c r="E2489" s="116">
        <v>800.14505774867803</v>
      </c>
      <c r="F2489" s="116">
        <v>826.2</v>
      </c>
      <c r="G2489">
        <v>773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45681</v>
      </c>
      <c r="B2490" s="116">
        <v>816.76850170782404</v>
      </c>
      <c r="C2490" s="116">
        <v>800.34236865620505</v>
      </c>
      <c r="D2490" s="116">
        <v>800.243713202442</v>
      </c>
      <c r="E2490" s="116">
        <v>815.48598080889894</v>
      </c>
      <c r="F2490" s="116">
        <v>811.25</v>
      </c>
      <c r="G2490">
        <v>1064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45684</v>
      </c>
      <c r="B2491" s="116">
        <v>809.12270404115498</v>
      </c>
      <c r="C2491" s="116">
        <v>763.642539856192</v>
      </c>
      <c r="D2491" s="116">
        <v>759.15371670995398</v>
      </c>
      <c r="E2491" s="116">
        <v>809.12270404115498</v>
      </c>
      <c r="F2491" s="116">
        <v>774.05</v>
      </c>
      <c r="G2491">
        <v>2202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45685</v>
      </c>
      <c r="B2492" s="116">
        <v>852.33379278955795</v>
      </c>
      <c r="C2492" s="116">
        <v>737.54817233575295</v>
      </c>
      <c r="D2492" s="116">
        <v>730.05035784972802</v>
      </c>
      <c r="E2492" s="116">
        <v>757.47657399597495</v>
      </c>
      <c r="F2492" s="116">
        <v>747.6</v>
      </c>
      <c r="G2492">
        <v>1390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45686</v>
      </c>
      <c r="B2493" s="116">
        <v>789.24363010781406</v>
      </c>
      <c r="C2493" s="116">
        <v>760.140271247589</v>
      </c>
      <c r="D2493" s="116">
        <v>737.54817233575295</v>
      </c>
      <c r="E2493" s="116">
        <v>737.54817233575295</v>
      </c>
      <c r="F2493" s="116">
        <v>770.5</v>
      </c>
      <c r="G2493">
        <v>159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45687</v>
      </c>
      <c r="B2494" s="116">
        <v>793.83110870781604</v>
      </c>
      <c r="C2494" s="116">
        <v>792.20329372071899</v>
      </c>
      <c r="D2494" s="116">
        <v>769.61119480888203</v>
      </c>
      <c r="E2494" s="116">
        <v>779.37808473146697</v>
      </c>
      <c r="F2494" s="116">
        <v>803</v>
      </c>
      <c r="G2494">
        <v>358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45688</v>
      </c>
      <c r="B2495" s="116">
        <v>792.15396599383701</v>
      </c>
      <c r="C2495" s="116">
        <v>790.23018464544896</v>
      </c>
      <c r="D2495" s="116">
        <v>789.24363010781406</v>
      </c>
      <c r="E2495" s="116">
        <v>792.15396599383701</v>
      </c>
      <c r="F2495" s="116">
        <v>801</v>
      </c>
      <c r="G2495">
        <v>34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45689</v>
      </c>
      <c r="B2496" s="116">
        <v>799.10917548416205</v>
      </c>
      <c r="C2496" s="116">
        <v>798.96119230351701</v>
      </c>
      <c r="D2496" s="116">
        <v>790.23018464544896</v>
      </c>
      <c r="E2496" s="116">
        <v>790.23018464544896</v>
      </c>
      <c r="F2496" s="116">
        <v>809.85</v>
      </c>
      <c r="G2496">
        <v>200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45691</v>
      </c>
      <c r="B2497" s="116">
        <v>799.10917548416205</v>
      </c>
      <c r="C2497" s="116">
        <v>798.91186457663503</v>
      </c>
      <c r="D2497" s="116">
        <v>788.89833601964199</v>
      </c>
      <c r="E2497" s="116">
        <v>788.89833601964199</v>
      </c>
      <c r="F2497" s="116">
        <v>809.8</v>
      </c>
      <c r="G2497">
        <v>1181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45692</v>
      </c>
      <c r="B2498" s="116">
        <v>799.10917548416205</v>
      </c>
      <c r="C2498" s="116">
        <v>799.10917548416205</v>
      </c>
      <c r="D2498" s="116">
        <v>798.12262094652704</v>
      </c>
      <c r="E2498" s="116">
        <v>798.12262094652704</v>
      </c>
      <c r="F2498" s="116">
        <v>810</v>
      </c>
      <c r="G2498">
        <v>347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45693</v>
      </c>
      <c r="B2499" s="116">
        <v>858.20379228848401</v>
      </c>
      <c r="C2499" s="116">
        <v>818.79093850997594</v>
      </c>
      <c r="D2499" s="116">
        <v>801.27959546695797</v>
      </c>
      <c r="E2499" s="116">
        <v>858.20379228848401</v>
      </c>
      <c r="F2499" s="116">
        <v>829.95</v>
      </c>
      <c r="G2499">
        <v>49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45694</v>
      </c>
      <c r="B2500" s="116">
        <v>851.39656597880503</v>
      </c>
      <c r="C2500" s="116">
        <v>819.925476228256</v>
      </c>
      <c r="D2500" s="116">
        <v>813.90749354868296</v>
      </c>
      <c r="E2500" s="116">
        <v>851.39656597880503</v>
      </c>
      <c r="F2500" s="116">
        <v>831.1</v>
      </c>
      <c r="G2500">
        <v>175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45695</v>
      </c>
      <c r="B2501" s="116">
        <v>828.65648388632303</v>
      </c>
      <c r="C2501" s="116">
        <v>816.37387989276999</v>
      </c>
      <c r="D2501" s="116">
        <v>813.90749354868296</v>
      </c>
      <c r="E2501" s="116">
        <v>823.77303892503096</v>
      </c>
      <c r="F2501" s="116">
        <v>827.5</v>
      </c>
      <c r="G2501">
        <v>210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45698</v>
      </c>
      <c r="B2502" s="116">
        <v>816.37387989276999</v>
      </c>
      <c r="C2502" s="116">
        <v>813.51287173363005</v>
      </c>
      <c r="D2502" s="116">
        <v>808.48144359169203</v>
      </c>
      <c r="E2502" s="116">
        <v>816.27522443900705</v>
      </c>
      <c r="F2502" s="116">
        <v>824.6</v>
      </c>
      <c r="G2502">
        <v>1071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45699</v>
      </c>
      <c r="B2503" s="116">
        <v>856.28001094009699</v>
      </c>
      <c r="C2503" s="116">
        <v>777.05968156802498</v>
      </c>
      <c r="D2503" s="116">
        <v>711.30582163466795</v>
      </c>
      <c r="E2503" s="116">
        <v>795.16295733362301</v>
      </c>
      <c r="F2503" s="116">
        <v>787.65</v>
      </c>
      <c r="G2503">
        <v>8438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45700</v>
      </c>
      <c r="B2504" s="116">
        <v>924.40160176377697</v>
      </c>
      <c r="C2504" s="116">
        <v>766.30623710780606</v>
      </c>
      <c r="D2504" s="116">
        <v>720.18481247338002</v>
      </c>
      <c r="E2504" s="116">
        <v>720.18481247338002</v>
      </c>
      <c r="F2504" s="116">
        <v>776.75</v>
      </c>
      <c r="G2504">
        <v>3962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45701</v>
      </c>
      <c r="B2505" s="116">
        <v>789.24363010781406</v>
      </c>
      <c r="C2505" s="116">
        <v>765.81295983898804</v>
      </c>
      <c r="D2505" s="116">
        <v>762.50800213791194</v>
      </c>
      <c r="E2505" s="116">
        <v>766.55287574221495</v>
      </c>
      <c r="F2505" s="116">
        <v>776.25</v>
      </c>
      <c r="G2505">
        <v>4454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45702</v>
      </c>
      <c r="B2506" s="116">
        <v>767.83539664114005</v>
      </c>
      <c r="C2506" s="116">
        <v>726.20279515295294</v>
      </c>
      <c r="D2506" s="116">
        <v>720.234140200262</v>
      </c>
      <c r="E2506" s="116">
        <v>750.768003140058</v>
      </c>
      <c r="F2506" s="116">
        <v>736.1</v>
      </c>
      <c r="G2506">
        <v>1151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45705</v>
      </c>
      <c r="B2507" s="116">
        <v>718.11304794434795</v>
      </c>
      <c r="C2507" s="116">
        <v>709.82598982821503</v>
      </c>
      <c r="D2507" s="116">
        <v>666.96019516798503</v>
      </c>
      <c r="E2507" s="116">
        <v>702.47615852283604</v>
      </c>
      <c r="F2507" s="116">
        <v>719.5</v>
      </c>
      <c r="G2507">
        <v>1313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45706</v>
      </c>
      <c r="B2508" s="116">
        <v>696.50750357014601</v>
      </c>
      <c r="C2508" s="116">
        <v>683.189017312077</v>
      </c>
      <c r="D2508" s="116">
        <v>680.77195869487196</v>
      </c>
      <c r="E2508" s="116">
        <v>696.50750357014601</v>
      </c>
      <c r="F2508" s="116">
        <v>692.5</v>
      </c>
      <c r="G2508">
        <v>2978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45707</v>
      </c>
      <c r="B2509" s="116">
        <v>690.58817634433797</v>
      </c>
      <c r="C2509" s="116">
        <v>686.987252281971</v>
      </c>
      <c r="D2509" s="116">
        <v>681.21590823680697</v>
      </c>
      <c r="E2509" s="116">
        <v>689.94691589487502</v>
      </c>
      <c r="F2509" s="116">
        <v>696.35</v>
      </c>
      <c r="G2509">
        <v>1093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45708</v>
      </c>
      <c r="B2510" s="116">
        <v>739.81724777231204</v>
      </c>
      <c r="C2510" s="116">
        <v>739.81724777231204</v>
      </c>
      <c r="D2510" s="116">
        <v>668.93330424325404</v>
      </c>
      <c r="E2510" s="116">
        <v>689.60162180670295</v>
      </c>
      <c r="F2510" s="116">
        <v>749.9</v>
      </c>
      <c r="G2510">
        <v>2299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45709</v>
      </c>
      <c r="B2511" s="116">
        <v>719.19825793574603</v>
      </c>
      <c r="C2511" s="116">
        <v>707.162292576602</v>
      </c>
      <c r="D2511" s="116">
        <v>700.45372172068505</v>
      </c>
      <c r="E2511" s="116">
        <v>717.61977067553005</v>
      </c>
      <c r="F2511" s="116">
        <v>716.8</v>
      </c>
      <c r="G2511">
        <v>976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45712</v>
      </c>
      <c r="B2512" s="116">
        <v>686.05002547121796</v>
      </c>
      <c r="C2512" s="116">
        <v>675.54321964540702</v>
      </c>
      <c r="D2512" s="116">
        <v>671.054396499169</v>
      </c>
      <c r="E2512" s="116">
        <v>680.72263096798997</v>
      </c>
      <c r="F2512" s="116">
        <v>684.75</v>
      </c>
      <c r="G2512">
        <v>1501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45713</v>
      </c>
      <c r="B2513" s="116">
        <v>708.00086393359095</v>
      </c>
      <c r="C2513" s="116">
        <v>683.78095003465796</v>
      </c>
      <c r="D2513" s="116">
        <v>683.78095003465796</v>
      </c>
      <c r="E2513" s="116">
        <v>708.00086393359095</v>
      </c>
      <c r="F2513" s="116">
        <v>693.1</v>
      </c>
      <c r="G2513">
        <v>972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45715</v>
      </c>
      <c r="B2514" s="116">
        <v>734.88447508413901</v>
      </c>
      <c r="C2514" s="116">
        <v>647.52507077658004</v>
      </c>
      <c r="D2514" s="116">
        <v>646.19322215077295</v>
      </c>
      <c r="E2514" s="116">
        <v>734.88447508413901</v>
      </c>
      <c r="F2514" s="116">
        <v>656.35</v>
      </c>
      <c r="G2514">
        <v>3994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45716</v>
      </c>
      <c r="B2515" s="116">
        <v>680.47599233358096</v>
      </c>
      <c r="C2515" s="116">
        <v>633.86129043033804</v>
      </c>
      <c r="D2515" s="116">
        <v>628.43524047334699</v>
      </c>
      <c r="E2515" s="116">
        <v>680.47599233358096</v>
      </c>
      <c r="F2515" s="116">
        <v>642.5</v>
      </c>
      <c r="G2515">
        <v>1457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45719</v>
      </c>
      <c r="B2516" s="116">
        <v>654.03633072496905</v>
      </c>
      <c r="C2516" s="116">
        <v>604.41263748194001</v>
      </c>
      <c r="D2516" s="116">
        <v>583.20171492279303</v>
      </c>
      <c r="E2516" s="116">
        <v>634.25591224539198</v>
      </c>
      <c r="F2516" s="116">
        <v>612.65</v>
      </c>
      <c r="G2516">
        <v>2765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45720</v>
      </c>
      <c r="B2517" s="116">
        <v>650.13944030131199</v>
      </c>
      <c r="C2517" s="116">
        <v>632.52944180453096</v>
      </c>
      <c r="D2517" s="116">
        <v>593.90583165612998</v>
      </c>
      <c r="E2517" s="116">
        <v>593.90583165612998</v>
      </c>
      <c r="F2517" s="116">
        <v>641.15</v>
      </c>
      <c r="G2517">
        <v>19220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45721</v>
      </c>
      <c r="B2518" s="116">
        <v>663.65523746690803</v>
      </c>
      <c r="C2518" s="116">
        <v>646.98246578088094</v>
      </c>
      <c r="D2518" s="116">
        <v>636.72229858947901</v>
      </c>
      <c r="E2518" s="116">
        <v>663.65523746690803</v>
      </c>
      <c r="F2518" s="116">
        <v>655.8</v>
      </c>
      <c r="G2518">
        <v>661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45722</v>
      </c>
      <c r="B2519" s="116">
        <v>689.55229407982097</v>
      </c>
      <c r="C2519" s="116">
        <v>653.148431641098</v>
      </c>
      <c r="D2519" s="116">
        <v>630.50700500237997</v>
      </c>
      <c r="E2519" s="116">
        <v>676.57910190992402</v>
      </c>
      <c r="F2519" s="116">
        <v>662.05</v>
      </c>
      <c r="G2519">
        <v>3665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45723</v>
      </c>
      <c r="B2520" s="116">
        <v>693.54783995724199</v>
      </c>
      <c r="C2520" s="116">
        <v>643.08557535722298</v>
      </c>
      <c r="D2520" s="116">
        <v>641.26044946259901</v>
      </c>
      <c r="E2520" s="116">
        <v>653.04977618733506</v>
      </c>
      <c r="F2520" s="116">
        <v>651.85</v>
      </c>
      <c r="G2520">
        <v>2580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45726</v>
      </c>
      <c r="B2521" s="116">
        <v>681.46254687121598</v>
      </c>
      <c r="C2521" s="116">
        <v>643.82549126045001</v>
      </c>
      <c r="D2521" s="116">
        <v>634.94650042173703</v>
      </c>
      <c r="E2521" s="116">
        <v>651.12599483894701</v>
      </c>
      <c r="F2521" s="116">
        <v>652.6</v>
      </c>
      <c r="G2521">
        <v>4653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45727</v>
      </c>
      <c r="B2522" s="116">
        <v>656.99599433787398</v>
      </c>
      <c r="C2522" s="116">
        <v>638.15280266904995</v>
      </c>
      <c r="D2522" s="116">
        <v>634.99582814861799</v>
      </c>
      <c r="E2522" s="116">
        <v>646.19322215077295</v>
      </c>
      <c r="F2522" s="116">
        <v>646.85</v>
      </c>
      <c r="G2522">
        <v>5150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45728</v>
      </c>
      <c r="B2523" s="116">
        <v>680.72263096798997</v>
      </c>
      <c r="C2523" s="116">
        <v>676.57910190992402</v>
      </c>
      <c r="D2523" s="116">
        <v>646.19322215077295</v>
      </c>
      <c r="E2523" s="116">
        <v>646.19322215077295</v>
      </c>
      <c r="F2523" s="116">
        <v>685.8</v>
      </c>
      <c r="G2523">
        <v>78127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45729</v>
      </c>
      <c r="B2524" s="116">
        <v>689.60162180670295</v>
      </c>
      <c r="C2524" s="116">
        <v>666.71355653357602</v>
      </c>
      <c r="D2524" s="116">
        <v>636.37700450130706</v>
      </c>
      <c r="E2524" s="116">
        <v>676.57910190992402</v>
      </c>
      <c r="F2524" s="116">
        <v>675.8</v>
      </c>
      <c r="G2524">
        <v>41941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45733</v>
      </c>
      <c r="B2525" s="116">
        <v>709.28338483251605</v>
      </c>
      <c r="C2525" s="116">
        <v>693.74515086476902</v>
      </c>
      <c r="D2525" s="116">
        <v>652.16187710346298</v>
      </c>
      <c r="E2525" s="116">
        <v>690.58817634433797</v>
      </c>
      <c r="F2525" s="116">
        <v>703.2</v>
      </c>
      <c r="G2525">
        <v>39130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45734</v>
      </c>
      <c r="B2526" s="116">
        <v>745.83523045188497</v>
      </c>
      <c r="C2526" s="116">
        <v>737.74548324327895</v>
      </c>
      <c r="D2526" s="116">
        <v>694.04111722605899</v>
      </c>
      <c r="E2526" s="116">
        <v>717.86640930993894</v>
      </c>
      <c r="F2526" s="116">
        <v>747.8</v>
      </c>
      <c r="G2526">
        <v>12445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45735</v>
      </c>
      <c r="B2527" s="116">
        <v>779.37808473146697</v>
      </c>
      <c r="C2527" s="116">
        <v>753.82632220672599</v>
      </c>
      <c r="D2527" s="116">
        <v>748.79489406478899</v>
      </c>
      <c r="E2527" s="116">
        <v>757.62455717661999</v>
      </c>
      <c r="F2527" s="116">
        <v>764.1</v>
      </c>
      <c r="G2527">
        <v>2644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45736</v>
      </c>
      <c r="B2528" s="116">
        <v>790.18085691856697</v>
      </c>
      <c r="C2528" s="116">
        <v>762.65598531855699</v>
      </c>
      <c r="D2528" s="116">
        <v>749.68279314866004</v>
      </c>
      <c r="E2528" s="116">
        <v>749.68279314866004</v>
      </c>
      <c r="F2528" s="116">
        <v>773.05</v>
      </c>
      <c r="G2528">
        <v>1729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45737</v>
      </c>
      <c r="B2529" s="116">
        <v>791.21673918308397</v>
      </c>
      <c r="C2529" s="116">
        <v>768.03270754866696</v>
      </c>
      <c r="D2529" s="116">
        <v>744.89800364113103</v>
      </c>
      <c r="E2529" s="116">
        <v>769.80850571640894</v>
      </c>
      <c r="F2529" s="116">
        <v>778.5</v>
      </c>
      <c r="G2529">
        <v>2606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45740</v>
      </c>
      <c r="B2530" s="116">
        <v>779.13144609705796</v>
      </c>
      <c r="C2530" s="116">
        <v>729.35976967338399</v>
      </c>
      <c r="D2530" s="116">
        <v>708.74077983681696</v>
      </c>
      <c r="E2530" s="116">
        <v>774.69195067770102</v>
      </c>
      <c r="F2530" s="116">
        <v>739.3</v>
      </c>
      <c r="G2530">
        <v>7207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45741</v>
      </c>
      <c r="B2531" s="116">
        <v>748.79489406478899</v>
      </c>
      <c r="C2531" s="116">
        <v>747.06842362392797</v>
      </c>
      <c r="D2531" s="116">
        <v>710.31926709703305</v>
      </c>
      <c r="E2531" s="116">
        <v>729.35976967338399</v>
      </c>
      <c r="F2531" s="116">
        <v>757.25</v>
      </c>
      <c r="G2531">
        <v>469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45742</v>
      </c>
      <c r="B2532" s="116">
        <v>764.57976666694503</v>
      </c>
      <c r="C2532" s="116">
        <v>722.45388790994002</v>
      </c>
      <c r="D2532" s="116">
        <v>721.51666109918699</v>
      </c>
      <c r="E2532" s="116">
        <v>747.56170089274497</v>
      </c>
      <c r="F2532" s="116">
        <v>732.3</v>
      </c>
      <c r="G2532">
        <v>1267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45743</v>
      </c>
      <c r="B2533" s="116">
        <v>738.436071419624</v>
      </c>
      <c r="C2533" s="116">
        <v>680.22935369917195</v>
      </c>
      <c r="D2533" s="116">
        <v>675.78985827981603</v>
      </c>
      <c r="E2533" s="116">
        <v>722.15792154865005</v>
      </c>
      <c r="F2533" s="116">
        <v>689.5</v>
      </c>
      <c r="G2533">
        <v>2989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45744</v>
      </c>
      <c r="B2534" s="116">
        <v>709.628678920688</v>
      </c>
      <c r="C2534" s="116">
        <v>672.28758967121303</v>
      </c>
      <c r="D2534" s="116">
        <v>657.09464979163704</v>
      </c>
      <c r="E2534" s="116">
        <v>689.60162180670295</v>
      </c>
      <c r="F2534" s="116">
        <v>681.45</v>
      </c>
      <c r="G2534">
        <v>3404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45748</v>
      </c>
      <c r="B2535" s="116">
        <v>738.929348688441</v>
      </c>
      <c r="C2535" s="116">
        <v>727.18934969058705</v>
      </c>
      <c r="D2535" s="116">
        <v>695.520949032511</v>
      </c>
      <c r="E2535" s="116">
        <v>707.95153620670897</v>
      </c>
      <c r="F2535" s="116">
        <v>737.1</v>
      </c>
      <c r="G2535">
        <v>1462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45749</v>
      </c>
      <c r="B2536" s="116">
        <v>750.768003140058</v>
      </c>
      <c r="C2536" s="116">
        <v>739.52128141102196</v>
      </c>
      <c r="D2536" s="116">
        <v>692.758596327134</v>
      </c>
      <c r="E2536" s="116">
        <v>736.41363461747198</v>
      </c>
      <c r="F2536" s="116">
        <v>749.6</v>
      </c>
      <c r="G2536">
        <v>1228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45750</v>
      </c>
      <c r="B2537" s="116">
        <v>863.23522043042203</v>
      </c>
      <c r="C2537" s="116">
        <v>815.14068672072699</v>
      </c>
      <c r="D2537" s="116">
        <v>725.61086243037198</v>
      </c>
      <c r="E2537" s="116">
        <v>749.78144860242401</v>
      </c>
      <c r="F2537" s="116">
        <v>826.25</v>
      </c>
      <c r="G2537">
        <v>5581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45751</v>
      </c>
      <c r="B2538" s="116">
        <v>848.04228055084695</v>
      </c>
      <c r="C2538" s="116">
        <v>816.620518527179</v>
      </c>
      <c r="D2538" s="116">
        <v>795.212285060505</v>
      </c>
      <c r="E2538" s="116">
        <v>848.04228055084695</v>
      </c>
      <c r="F2538" s="116">
        <v>827.75</v>
      </c>
      <c r="G2538">
        <v>1550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45754</v>
      </c>
      <c r="B2539" s="116">
        <v>818.889593963739</v>
      </c>
      <c r="C2539" s="116">
        <v>769.709850262646</v>
      </c>
      <c r="D2539" s="116">
        <v>755.75010355511404</v>
      </c>
      <c r="E2539" s="116">
        <v>810.60253584760699</v>
      </c>
      <c r="F2539" s="116">
        <v>780.2</v>
      </c>
      <c r="G2539">
        <v>1021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45755</v>
      </c>
      <c r="B2540" s="116">
        <v>827.71925707557</v>
      </c>
      <c r="C2540" s="116">
        <v>772.07758115296895</v>
      </c>
      <c r="D2540" s="116">
        <v>771.53497615726997</v>
      </c>
      <c r="E2540" s="116">
        <v>827.71925707557</v>
      </c>
      <c r="F2540" s="116">
        <v>782.6</v>
      </c>
      <c r="G2540">
        <v>691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45756</v>
      </c>
      <c r="B2541" s="116">
        <v>787.91178148200697</v>
      </c>
      <c r="C2541" s="116">
        <v>773.60674068630306</v>
      </c>
      <c r="D2541" s="116">
        <v>771.14035434221603</v>
      </c>
      <c r="E2541" s="116">
        <v>787.91178148200697</v>
      </c>
      <c r="F2541" s="116">
        <v>784.15</v>
      </c>
      <c r="G2541">
        <v>453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45758</v>
      </c>
      <c r="B2542" s="116">
        <v>818.84026623685702</v>
      </c>
      <c r="C2542" s="116">
        <v>786.03732786050102</v>
      </c>
      <c r="D2542" s="116">
        <v>772.472202968023</v>
      </c>
      <c r="E2542" s="116">
        <v>772.472202968023</v>
      </c>
      <c r="F2542" s="116">
        <v>796.75</v>
      </c>
      <c r="G2542">
        <v>2072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45762</v>
      </c>
      <c r="B2543" s="116">
        <v>808.92539313362795</v>
      </c>
      <c r="C2543" s="116">
        <v>788.40505875082499</v>
      </c>
      <c r="D2543" s="116">
        <v>755.05951537877002</v>
      </c>
      <c r="E2543" s="116">
        <v>755.05951537877002</v>
      </c>
      <c r="F2543" s="116">
        <v>799.15</v>
      </c>
      <c r="G2543">
        <v>2296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45763</v>
      </c>
      <c r="B2544" s="116">
        <v>814.89404808631798</v>
      </c>
      <c r="C2544" s="116">
        <v>789.44094101534097</v>
      </c>
      <c r="D2544" s="116">
        <v>784.80413468845802</v>
      </c>
      <c r="E2544" s="116">
        <v>788.40505875082499</v>
      </c>
      <c r="F2544" s="116">
        <v>800.2</v>
      </c>
      <c r="G2544">
        <v>1825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45764</v>
      </c>
      <c r="B2545" s="116">
        <v>802.61144409276505</v>
      </c>
      <c r="C2545" s="116">
        <v>787.17186557878097</v>
      </c>
      <c r="D2545" s="116">
        <v>784.80413468845802</v>
      </c>
      <c r="E2545" s="116">
        <v>784.80413468845802</v>
      </c>
      <c r="F2545" s="116">
        <v>797.9</v>
      </c>
      <c r="G2545">
        <v>244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45768</v>
      </c>
      <c r="B2546" s="116">
        <v>808.580099045456</v>
      </c>
      <c r="C2546" s="116">
        <v>796.19883959813899</v>
      </c>
      <c r="D2546" s="116">
        <v>774.44531204329303</v>
      </c>
      <c r="E2546" s="116">
        <v>774.44531204329303</v>
      </c>
      <c r="F2546" s="116">
        <v>807.05</v>
      </c>
      <c r="G2546">
        <v>375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45769</v>
      </c>
      <c r="B2547" s="116">
        <v>796.29749505190296</v>
      </c>
      <c r="C2547" s="116">
        <v>782.63371470566096</v>
      </c>
      <c r="D2547" s="116">
        <v>776.96102611426102</v>
      </c>
      <c r="E2547" s="116">
        <v>796.19883959813899</v>
      </c>
      <c r="F2547" s="116">
        <v>793.3</v>
      </c>
      <c r="G2547">
        <v>1638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45770</v>
      </c>
      <c r="B2548" s="116">
        <v>800.09573002179695</v>
      </c>
      <c r="C2548" s="116">
        <v>774.44531204329303</v>
      </c>
      <c r="D2548" s="116">
        <v>764.57976666694503</v>
      </c>
      <c r="E2548" s="116">
        <v>800.04640229491497</v>
      </c>
      <c r="F2548" s="116">
        <v>785</v>
      </c>
      <c r="G2548">
        <v>1628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45771</v>
      </c>
      <c r="B2549" s="116">
        <v>788.94766374652397</v>
      </c>
      <c r="C2549" s="116">
        <v>771.43632070350702</v>
      </c>
      <c r="D2549" s="116">
        <v>766.65153119597801</v>
      </c>
      <c r="E2549" s="116">
        <v>788.94766374652397</v>
      </c>
      <c r="F2549" s="116">
        <v>781.95</v>
      </c>
      <c r="G2549">
        <v>521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45772</v>
      </c>
      <c r="B2550" s="116">
        <v>787.91178148200697</v>
      </c>
      <c r="C2550" s="116">
        <v>755.10884310565098</v>
      </c>
      <c r="D2550" s="116">
        <v>755.10884310565098</v>
      </c>
      <c r="E2550" s="116">
        <v>787.91178148200697</v>
      </c>
      <c r="F2550" s="116">
        <v>765.4</v>
      </c>
      <c r="G2550">
        <v>296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45775</v>
      </c>
      <c r="B2551" s="116">
        <v>783.47228606265105</v>
      </c>
      <c r="C2551" s="116">
        <v>756.19405309704996</v>
      </c>
      <c r="D2551" s="116">
        <v>749.78144860242401</v>
      </c>
      <c r="E2551" s="116">
        <v>760.68287624328798</v>
      </c>
      <c r="F2551" s="116">
        <v>766.5</v>
      </c>
      <c r="G2551">
        <v>1868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45776</v>
      </c>
      <c r="B2552" s="116">
        <v>756.19405309704996</v>
      </c>
      <c r="C2552" s="116">
        <v>756.19405309704996</v>
      </c>
      <c r="D2552" s="116">
        <v>756.19405309704996</v>
      </c>
      <c r="E2552" s="116">
        <v>756.19405309704996</v>
      </c>
      <c r="F2552" s="116">
        <v>766.5</v>
      </c>
      <c r="G2552">
        <v>45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45777</v>
      </c>
      <c r="B2553" s="116">
        <v>782.63371470566096</v>
      </c>
      <c r="C2553" s="116">
        <v>733.15800464327799</v>
      </c>
      <c r="D2553" s="116">
        <v>713.47624161746398</v>
      </c>
      <c r="E2553" s="116">
        <v>756.19405309704996</v>
      </c>
      <c r="F2553" s="116">
        <v>743.15</v>
      </c>
      <c r="G2553">
        <v>1583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45779</v>
      </c>
      <c r="B2554" s="116">
        <v>761.62010305404101</v>
      </c>
      <c r="C2554" s="116">
        <v>736.46296234435397</v>
      </c>
      <c r="D2554" s="116">
        <v>733.15800464327799</v>
      </c>
      <c r="E2554" s="116">
        <v>733.15800464327799</v>
      </c>
      <c r="F2554" s="116">
        <v>746.5</v>
      </c>
      <c r="G2554">
        <v>1398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45782</v>
      </c>
      <c r="B2555" s="116">
        <v>759.64699397877098</v>
      </c>
      <c r="C2555" s="116">
        <v>752.543801307801</v>
      </c>
      <c r="D2555" s="116">
        <v>737.10422279381703</v>
      </c>
      <c r="E2555" s="116">
        <v>750.42270905188605</v>
      </c>
      <c r="F2555" s="116">
        <v>762.8</v>
      </c>
      <c r="G2555">
        <v>3560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45783</v>
      </c>
      <c r="B2556" s="116">
        <v>779.37808473146697</v>
      </c>
      <c r="C2556" s="116">
        <v>736.01901280241896</v>
      </c>
      <c r="D2556" s="116">
        <v>732.02346692499805</v>
      </c>
      <c r="E2556" s="116">
        <v>765.56632120458005</v>
      </c>
      <c r="F2556" s="116">
        <v>746.05</v>
      </c>
      <c r="G2556">
        <v>2488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45784</v>
      </c>
      <c r="B2557" s="116">
        <v>803.745981811045</v>
      </c>
      <c r="C2557" s="116">
        <v>773.26144659813099</v>
      </c>
      <c r="D2557" s="116">
        <v>706.02775485832206</v>
      </c>
      <c r="E2557" s="116">
        <v>749.73212087554202</v>
      </c>
      <c r="F2557" s="116">
        <v>783.8</v>
      </c>
      <c r="G2557">
        <v>4934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45785</v>
      </c>
      <c r="B2558" s="116">
        <v>788.25707557017995</v>
      </c>
      <c r="C2558" s="116">
        <v>762.21203577662197</v>
      </c>
      <c r="D2558" s="116">
        <v>734.98313053790196</v>
      </c>
      <c r="E2558" s="116">
        <v>734.98313053790196</v>
      </c>
      <c r="F2558" s="116">
        <v>772.6</v>
      </c>
      <c r="G2558">
        <v>680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45786</v>
      </c>
      <c r="B2559" s="116">
        <v>763.49455667554696</v>
      </c>
      <c r="C2559" s="116">
        <v>760.28825442823404</v>
      </c>
      <c r="D2559" s="116">
        <v>705.38649440885899</v>
      </c>
      <c r="E2559" s="116">
        <v>705.38649440885899</v>
      </c>
      <c r="F2559" s="116">
        <v>770.65</v>
      </c>
      <c r="G2559">
        <v>1001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45789</v>
      </c>
      <c r="B2560" s="116">
        <v>789.24363010781406</v>
      </c>
      <c r="C2560" s="116">
        <v>767.98337982178498</v>
      </c>
      <c r="D2560" s="116">
        <v>741.88901230134502</v>
      </c>
      <c r="E2560" s="116">
        <v>760.63354851640599</v>
      </c>
      <c r="F2560" s="116">
        <v>778.45</v>
      </c>
      <c r="G2560">
        <v>4910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45790</v>
      </c>
      <c r="B2561" s="116">
        <v>764.57976666694503</v>
      </c>
      <c r="C2561" s="116">
        <v>752.83976766909097</v>
      </c>
      <c r="D2561" s="116">
        <v>749.78144860242401</v>
      </c>
      <c r="E2561" s="116">
        <v>764.57976666694503</v>
      </c>
      <c r="F2561" s="116">
        <v>763.1</v>
      </c>
      <c r="G2561">
        <v>565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45791</v>
      </c>
      <c r="B2562" s="116">
        <v>812.92093901104897</v>
      </c>
      <c r="C2562" s="116">
        <v>767.98337982178498</v>
      </c>
      <c r="D2562" s="116">
        <v>744.79934818736797</v>
      </c>
      <c r="E2562" s="116">
        <v>744.84867591424995</v>
      </c>
      <c r="F2562" s="116">
        <v>778.45</v>
      </c>
      <c r="G2562">
        <v>3012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45792</v>
      </c>
      <c r="B2563" s="116">
        <v>774.39598431641105</v>
      </c>
      <c r="C2563" s="116">
        <v>774.39598431641105</v>
      </c>
      <c r="D2563" s="116">
        <v>757.08195218092101</v>
      </c>
      <c r="E2563" s="116">
        <v>757.08195218092101</v>
      </c>
      <c r="F2563" s="116">
        <v>784.95</v>
      </c>
      <c r="G2563">
        <v>3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45793</v>
      </c>
      <c r="B2564" s="116">
        <v>789.24363010781406</v>
      </c>
      <c r="C2564" s="116">
        <v>766.99682528414996</v>
      </c>
      <c r="D2564" s="116">
        <v>759.64699397877098</v>
      </c>
      <c r="E2564" s="116">
        <v>759.69632170565296</v>
      </c>
      <c r="F2564" s="116">
        <v>777.45</v>
      </c>
      <c r="G2564">
        <v>3139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45796</v>
      </c>
      <c r="B2565" s="116">
        <v>779.32875700458499</v>
      </c>
      <c r="C2565" s="116">
        <v>759.104388983072</v>
      </c>
      <c r="D2565" s="116">
        <v>750.81733086693998</v>
      </c>
      <c r="E2565" s="116">
        <v>750.81733086693998</v>
      </c>
      <c r="F2565" s="116">
        <v>769.45</v>
      </c>
      <c r="G2565">
        <v>3597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45797</v>
      </c>
      <c r="B2566" s="116">
        <v>754.91153219812395</v>
      </c>
      <c r="C2566" s="116">
        <v>746.772457262638</v>
      </c>
      <c r="D2566" s="116">
        <v>740.01455867983896</v>
      </c>
      <c r="E2566" s="116">
        <v>751.75455767769301</v>
      </c>
      <c r="F2566" s="116">
        <v>756.95</v>
      </c>
      <c r="G2566">
        <v>542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45798</v>
      </c>
      <c r="B2567" s="116">
        <v>774.34665658952895</v>
      </c>
      <c r="C2567" s="116">
        <v>748.89354951855205</v>
      </c>
      <c r="D2567" s="116">
        <v>739.91590322607601</v>
      </c>
      <c r="E2567" s="116">
        <v>754.71422129059704</v>
      </c>
      <c r="F2567" s="116">
        <v>759.1</v>
      </c>
      <c r="G2567">
        <v>2052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45799</v>
      </c>
      <c r="B2568" s="116">
        <v>788.25707557017995</v>
      </c>
      <c r="C2568" s="116">
        <v>759.69632170565296</v>
      </c>
      <c r="D2568" s="116">
        <v>745.48993636371199</v>
      </c>
      <c r="E2568" s="116">
        <v>768.180690729312</v>
      </c>
      <c r="F2568" s="116">
        <v>770.05</v>
      </c>
      <c r="G2568">
        <v>898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45800</v>
      </c>
      <c r="B2569" s="116">
        <v>758.01917899167404</v>
      </c>
      <c r="C2569" s="116">
        <v>744.84867591424995</v>
      </c>
      <c r="D2569" s="116">
        <v>739.91590322607601</v>
      </c>
      <c r="E2569" s="116">
        <v>742.13565093575403</v>
      </c>
      <c r="F2569" s="116">
        <v>755</v>
      </c>
      <c r="G2569">
        <v>583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45803</v>
      </c>
      <c r="B2570" s="116">
        <v>752.29716267339199</v>
      </c>
      <c r="C2570" s="116">
        <v>737.54817233575295</v>
      </c>
      <c r="D2570" s="116">
        <v>732.51674419381504</v>
      </c>
      <c r="E2570" s="116">
        <v>752.29716267339199</v>
      </c>
      <c r="F2570" s="116">
        <v>747.6</v>
      </c>
      <c r="G2570">
        <v>1616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45804</v>
      </c>
      <c r="B2571" s="116">
        <v>767.49010255296798</v>
      </c>
      <c r="C2571" s="116">
        <v>755.05951537877002</v>
      </c>
      <c r="D2571" s="116">
        <v>730.05035784972802</v>
      </c>
      <c r="E2571" s="116">
        <v>753.38237266478995</v>
      </c>
      <c r="F2571" s="116">
        <v>765.35</v>
      </c>
      <c r="G2571">
        <v>469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45805</v>
      </c>
      <c r="B2572" s="116">
        <v>766.45422028845098</v>
      </c>
      <c r="C2572" s="116">
        <v>749.04153269919698</v>
      </c>
      <c r="D2572" s="116">
        <v>730.05035784972802</v>
      </c>
      <c r="E2572" s="116">
        <v>733.65128191209499</v>
      </c>
      <c r="F2572" s="116">
        <v>759.25</v>
      </c>
      <c r="G2572">
        <v>1522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45806</v>
      </c>
      <c r="B2573" s="116">
        <v>749.78144860242401</v>
      </c>
      <c r="C2573" s="116">
        <v>732.17145010564298</v>
      </c>
      <c r="D2573" s="116">
        <v>721.17136701101504</v>
      </c>
      <c r="E2573" s="116">
        <v>749.78144860242401</v>
      </c>
      <c r="F2573" s="116">
        <v>742.15</v>
      </c>
      <c r="G2573">
        <v>3317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45807</v>
      </c>
      <c r="B2574" s="116">
        <v>789.24363010781406</v>
      </c>
      <c r="C2574" s="116">
        <v>770.54842161963495</v>
      </c>
      <c r="D2574" s="116">
        <v>723.14447608628495</v>
      </c>
      <c r="E2574" s="116">
        <v>747.21640680457301</v>
      </c>
      <c r="F2574" s="116">
        <v>781.05</v>
      </c>
      <c r="G2574">
        <v>3921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45810</v>
      </c>
      <c r="B2575" s="116">
        <v>790.23018464544896</v>
      </c>
      <c r="C2575" s="116">
        <v>766.45422028845098</v>
      </c>
      <c r="D2575" s="116">
        <v>754.71422129059704</v>
      </c>
      <c r="E2575" s="116">
        <v>789.24363010781406</v>
      </c>
      <c r="F2575" s="116">
        <v>776.9</v>
      </c>
      <c r="G2575">
        <v>1777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45811</v>
      </c>
      <c r="B2576" s="116">
        <v>784.95211786910295</v>
      </c>
      <c r="C2576" s="116">
        <v>762.26136350350305</v>
      </c>
      <c r="D2576" s="116">
        <v>755.70077582823205</v>
      </c>
      <c r="E2576" s="116">
        <v>784.95211786910295</v>
      </c>
      <c r="F2576" s="116">
        <v>772.65</v>
      </c>
      <c r="G2576">
        <v>1509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45812</v>
      </c>
      <c r="B2577" s="116">
        <v>774.44531204329303</v>
      </c>
      <c r="C2577" s="116">
        <v>748.10430588844395</v>
      </c>
      <c r="D2577" s="116">
        <v>740.90245776371103</v>
      </c>
      <c r="E2577" s="116">
        <v>774.44531204329303</v>
      </c>
      <c r="F2577" s="116">
        <v>758.3</v>
      </c>
      <c r="G2577">
        <v>1661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45813</v>
      </c>
      <c r="B2578" s="116">
        <v>766.55287574221495</v>
      </c>
      <c r="C2578" s="116">
        <v>749.92943178306905</v>
      </c>
      <c r="D2578" s="116">
        <v>735.47640780671895</v>
      </c>
      <c r="E2578" s="116">
        <v>736.01901280241896</v>
      </c>
      <c r="F2578" s="116">
        <v>760.15</v>
      </c>
      <c r="G2578">
        <v>2601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45814</v>
      </c>
      <c r="B2579" s="116">
        <v>773.40942977877603</v>
      </c>
      <c r="C2579" s="116">
        <v>759.104388983072</v>
      </c>
      <c r="D2579" s="116">
        <v>752.69178448844605</v>
      </c>
      <c r="E2579" s="116">
        <v>752.69178448844605</v>
      </c>
      <c r="F2579" s="116">
        <v>769.45</v>
      </c>
      <c r="G2579">
        <v>985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45817</v>
      </c>
      <c r="B2580" s="116">
        <v>769.51253935511897</v>
      </c>
      <c r="C2580" s="116">
        <v>760.53489306264203</v>
      </c>
      <c r="D2580" s="116">
        <v>759.64699397877098</v>
      </c>
      <c r="E2580" s="116">
        <v>760.63354851640599</v>
      </c>
      <c r="F2580" s="116">
        <v>770.9</v>
      </c>
      <c r="G2580">
        <v>1854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45818</v>
      </c>
      <c r="B2581" s="116">
        <v>767.49010255296798</v>
      </c>
      <c r="C2581" s="116">
        <v>764.18514485189098</v>
      </c>
      <c r="D2581" s="116">
        <v>745.98321363253001</v>
      </c>
      <c r="E2581" s="116">
        <v>749.78144860242401</v>
      </c>
      <c r="F2581" s="116">
        <v>774.6</v>
      </c>
      <c r="G2581">
        <v>742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45819</v>
      </c>
      <c r="B2582" s="116">
        <v>789.24363010781406</v>
      </c>
      <c r="C2582" s="116">
        <v>781.05522744544601</v>
      </c>
      <c r="D2582" s="116">
        <v>751.803885404575</v>
      </c>
      <c r="E2582" s="116">
        <v>751.803885404575</v>
      </c>
      <c r="F2582" s="116">
        <v>791.7</v>
      </c>
      <c r="G2582">
        <v>3199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45820</v>
      </c>
      <c r="B2583" s="116">
        <v>782.33774834437099</v>
      </c>
      <c r="C2583" s="116">
        <v>759.05506125619002</v>
      </c>
      <c r="D2583" s="116">
        <v>758.75909489490004</v>
      </c>
      <c r="E2583" s="116">
        <v>774.34665658952895</v>
      </c>
      <c r="F2583" s="116">
        <v>769.4</v>
      </c>
      <c r="G2583">
        <v>840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45821</v>
      </c>
      <c r="B2584" s="116">
        <v>768.13136300243002</v>
      </c>
      <c r="C2584" s="116">
        <v>753.48102811855404</v>
      </c>
      <c r="D2584" s="116">
        <v>749.78144860242401</v>
      </c>
      <c r="E2584" s="116">
        <v>754.71422129059704</v>
      </c>
      <c r="F2584" s="116">
        <v>763.75</v>
      </c>
      <c r="G2584">
        <v>1270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45824</v>
      </c>
      <c r="B2585" s="116">
        <v>768.08203527554804</v>
      </c>
      <c r="C2585" s="116">
        <v>749.92943178306905</v>
      </c>
      <c r="D2585" s="116">
        <v>749.78144860242401</v>
      </c>
      <c r="E2585" s="116">
        <v>768.08203527554804</v>
      </c>
      <c r="F2585" s="116">
        <v>760.15</v>
      </c>
      <c r="G2585">
        <v>247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45825</v>
      </c>
      <c r="B2586" s="116">
        <v>768.13136300243002</v>
      </c>
      <c r="C2586" s="116">
        <v>751.75455767769301</v>
      </c>
      <c r="D2586" s="116">
        <v>748.79489406478899</v>
      </c>
      <c r="E2586" s="116">
        <v>765.22102711640798</v>
      </c>
      <c r="F2586" s="116">
        <v>762</v>
      </c>
      <c r="G2586">
        <v>610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45826</v>
      </c>
      <c r="B2587" s="116">
        <v>764.57976666694503</v>
      </c>
      <c r="C2587" s="116">
        <v>744.84867591424995</v>
      </c>
      <c r="D2587" s="116">
        <v>744.79934818736797</v>
      </c>
      <c r="E2587" s="116">
        <v>759.59766625189002</v>
      </c>
      <c r="F2587" s="116">
        <v>755</v>
      </c>
      <c r="G2587">
        <v>909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45827</v>
      </c>
      <c r="B2588" s="116">
        <v>800.09573002179695</v>
      </c>
      <c r="C2588" s="116">
        <v>779.87136200028397</v>
      </c>
      <c r="D2588" s="116">
        <v>735.96968507553697</v>
      </c>
      <c r="E2588" s="116">
        <v>744.84867591424995</v>
      </c>
      <c r="F2588" s="116">
        <v>790.5</v>
      </c>
      <c r="G2588">
        <v>2018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45828</v>
      </c>
      <c r="B2589" s="116">
        <v>822.78648438739594</v>
      </c>
      <c r="C2589" s="116">
        <v>770.35111071210804</v>
      </c>
      <c r="D2589" s="116">
        <v>768.52598481748396</v>
      </c>
      <c r="E2589" s="116">
        <v>779.87136200028397</v>
      </c>
      <c r="F2589" s="116">
        <v>780.85</v>
      </c>
      <c r="G2589">
        <v>1793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45831</v>
      </c>
      <c r="B2590" s="116">
        <v>769.51253935511897</v>
      </c>
      <c r="C2590" s="116">
        <v>745.34195318306695</v>
      </c>
      <c r="D2590" s="116">
        <v>739.91590322607601</v>
      </c>
      <c r="E2590" s="116">
        <v>742.48094502392598</v>
      </c>
      <c r="F2590" s="116">
        <v>755.5</v>
      </c>
      <c r="G2590">
        <v>1311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45832</v>
      </c>
      <c r="B2591" s="116">
        <v>763.24791804113795</v>
      </c>
      <c r="C2591" s="116">
        <v>745.88455817876604</v>
      </c>
      <c r="D2591" s="116">
        <v>745.83523045188497</v>
      </c>
      <c r="E2591" s="116">
        <v>763.24791804113795</v>
      </c>
      <c r="F2591" s="116">
        <v>756.05</v>
      </c>
      <c r="G2591">
        <v>105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45833</v>
      </c>
      <c r="B2592" s="116">
        <v>765.22102711640798</v>
      </c>
      <c r="C2592" s="116">
        <v>743.17153320027103</v>
      </c>
      <c r="D2592" s="116">
        <v>733.99657600026705</v>
      </c>
      <c r="E2592" s="116">
        <v>733.99657600026705</v>
      </c>
      <c r="F2592" s="116">
        <v>753.3</v>
      </c>
      <c r="G2592">
        <v>497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45834</v>
      </c>
      <c r="B2593" s="116">
        <v>757.72321263038305</v>
      </c>
      <c r="C2593" s="116">
        <v>754.17161629489794</v>
      </c>
      <c r="D2593" s="116">
        <v>745.04598682177698</v>
      </c>
      <c r="E2593" s="116">
        <v>745.04598682177698</v>
      </c>
      <c r="F2593" s="116">
        <v>764.45</v>
      </c>
      <c r="G2593">
        <v>217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45835</v>
      </c>
      <c r="B2594" s="116">
        <v>756.58867491210299</v>
      </c>
      <c r="C2594" s="116">
        <v>752.39581812715596</v>
      </c>
      <c r="D2594" s="116">
        <v>741.938340028227</v>
      </c>
      <c r="E2594" s="116">
        <v>750.42270905188605</v>
      </c>
      <c r="F2594" s="116">
        <v>762.65</v>
      </c>
      <c r="G2594">
        <v>1059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45838</v>
      </c>
      <c r="B2595" s="116">
        <v>759.59766625189002</v>
      </c>
      <c r="C2595" s="116">
        <v>752.93842312285506</v>
      </c>
      <c r="D2595" s="116">
        <v>732.07279465187901</v>
      </c>
      <c r="E2595" s="116">
        <v>759.59766625189002</v>
      </c>
      <c r="F2595" s="116">
        <v>763.2</v>
      </c>
      <c r="G2595">
        <v>1537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45839</v>
      </c>
      <c r="B2596" s="116">
        <v>794.176402795988</v>
      </c>
      <c r="C2596" s="116">
        <v>787.36917648630799</v>
      </c>
      <c r="D2596" s="116">
        <v>733.01002146263204</v>
      </c>
      <c r="E2596" s="116">
        <v>759.64699397877098</v>
      </c>
      <c r="F2596" s="116">
        <v>798.1</v>
      </c>
      <c r="G2596">
        <v>3882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45840</v>
      </c>
      <c r="B2597" s="116">
        <v>816.620518527179</v>
      </c>
      <c r="C2597" s="116">
        <v>786.92522694437298</v>
      </c>
      <c r="D2597" s="116">
        <v>774.44531204329303</v>
      </c>
      <c r="E2597" s="116">
        <v>794.176402795988</v>
      </c>
      <c r="F2597" s="116">
        <v>797.65</v>
      </c>
      <c r="G2597">
        <v>1792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45841</v>
      </c>
      <c r="B2598" s="116">
        <v>812.42766174223095</v>
      </c>
      <c r="C2598" s="116">
        <v>787.81312602824403</v>
      </c>
      <c r="D2598" s="116">
        <v>764.57976666694503</v>
      </c>
      <c r="E2598" s="116">
        <v>812.42766174223095</v>
      </c>
      <c r="F2598" s="116">
        <v>798.55</v>
      </c>
      <c r="G2598">
        <v>1396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45842</v>
      </c>
      <c r="B2599" s="116">
        <v>789.24363010781406</v>
      </c>
      <c r="C2599" s="116">
        <v>777.30632020243399</v>
      </c>
      <c r="D2599" s="116">
        <v>765.56632120458005</v>
      </c>
      <c r="E2599" s="116">
        <v>789.24363010781406</v>
      </c>
      <c r="F2599" s="116">
        <v>787.9</v>
      </c>
      <c r="G2599">
        <v>342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45845</v>
      </c>
      <c r="B2600" s="116">
        <v>780.01934518092901</v>
      </c>
      <c r="C2600" s="116">
        <v>755.602120374469</v>
      </c>
      <c r="D2600" s="116">
        <v>749.78144860242401</v>
      </c>
      <c r="E2600" s="116">
        <v>777.30632020243399</v>
      </c>
      <c r="F2600" s="116">
        <v>765.9</v>
      </c>
      <c r="G2600">
        <v>218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45846</v>
      </c>
      <c r="B2601" s="116">
        <v>760.28825442823404</v>
      </c>
      <c r="C2601" s="116">
        <v>750.274725871241</v>
      </c>
      <c r="D2601" s="116">
        <v>742.18497866263601</v>
      </c>
      <c r="E2601" s="116">
        <v>755.602120374469</v>
      </c>
      <c r="F2601" s="116">
        <v>760.5</v>
      </c>
      <c r="G2601">
        <v>311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45847</v>
      </c>
      <c r="B2602" s="116">
        <v>812.92093901104897</v>
      </c>
      <c r="C2602" s="116">
        <v>762.75464077232095</v>
      </c>
      <c r="D2602" s="116">
        <v>758.611111714255</v>
      </c>
      <c r="E2602" s="116">
        <v>779.37808473146697</v>
      </c>
      <c r="F2602" s="116">
        <v>773.15</v>
      </c>
      <c r="G2602">
        <v>2320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45848</v>
      </c>
      <c r="B2603" s="116">
        <v>779.37808473146697</v>
      </c>
      <c r="C2603" s="116">
        <v>755.306154013178</v>
      </c>
      <c r="D2603" s="116">
        <v>750.81733086693998</v>
      </c>
      <c r="E2603" s="116">
        <v>779.37808473146697</v>
      </c>
      <c r="F2603" s="116">
        <v>765.6</v>
      </c>
      <c r="G2603">
        <v>268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45849</v>
      </c>
      <c r="B2604" s="116">
        <v>788.20774784329797</v>
      </c>
      <c r="C2604" s="116">
        <v>763.98783394436396</v>
      </c>
      <c r="D2604" s="116">
        <v>749.78144860242401</v>
      </c>
      <c r="E2604" s="116">
        <v>764.57976666694503</v>
      </c>
      <c r="F2604" s="116">
        <v>774.4</v>
      </c>
      <c r="G2604">
        <v>456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45852</v>
      </c>
      <c r="B2605" s="116">
        <v>784.31085741964</v>
      </c>
      <c r="C2605" s="116">
        <v>752.19850721962905</v>
      </c>
      <c r="D2605" s="116">
        <v>743.86212137661505</v>
      </c>
      <c r="E2605" s="116">
        <v>765.22102711640798</v>
      </c>
      <c r="F2605" s="116">
        <v>762.45</v>
      </c>
      <c r="G2605">
        <v>719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45853</v>
      </c>
      <c r="B2606" s="116">
        <v>765.22102711640798</v>
      </c>
      <c r="C2606" s="116">
        <v>748.498927703498</v>
      </c>
      <c r="D2606" s="116">
        <v>743.86212137661505</v>
      </c>
      <c r="E2606" s="116">
        <v>745.04598682177698</v>
      </c>
      <c r="F2606" s="116">
        <v>758.7</v>
      </c>
      <c r="G2606">
        <v>1208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45854</v>
      </c>
      <c r="B2607" s="116">
        <v>760.28825442823404</v>
      </c>
      <c r="C2607" s="116">
        <v>751.16262495511205</v>
      </c>
      <c r="D2607" s="116">
        <v>745.83523045188497</v>
      </c>
      <c r="E2607" s="116">
        <v>754.71422129059704</v>
      </c>
      <c r="F2607" s="116">
        <v>761.4</v>
      </c>
      <c r="G2607">
        <v>1320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45855</v>
      </c>
      <c r="B2608" s="116">
        <v>765.56632120458005</v>
      </c>
      <c r="C2608" s="116">
        <v>754.81287674436101</v>
      </c>
      <c r="D2608" s="116">
        <v>747.41371771210004</v>
      </c>
      <c r="E2608" s="116">
        <v>747.41371771210004</v>
      </c>
      <c r="F2608" s="116">
        <v>765.1</v>
      </c>
      <c r="G2608">
        <v>551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45856</v>
      </c>
      <c r="B2609" s="116">
        <v>766.55287574221495</v>
      </c>
      <c r="C2609" s="116">
        <v>759.99228806694305</v>
      </c>
      <c r="D2609" s="116">
        <v>749.78144860242401</v>
      </c>
      <c r="E2609" s="116">
        <v>753.72766675296305</v>
      </c>
      <c r="F2609" s="116">
        <v>770.35</v>
      </c>
      <c r="G2609">
        <v>1254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45859</v>
      </c>
      <c r="B2610" s="116">
        <v>773.40942977877603</v>
      </c>
      <c r="C2610" s="116">
        <v>759.64699397877098</v>
      </c>
      <c r="D2610" s="116">
        <v>752.79043994221001</v>
      </c>
      <c r="E2610" s="116">
        <v>752.83976766909097</v>
      </c>
      <c r="F2610" s="116">
        <v>770</v>
      </c>
      <c r="G2610">
        <v>1575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45860</v>
      </c>
      <c r="B2611" s="116">
        <v>774.49463977017399</v>
      </c>
      <c r="C2611" s="116">
        <v>765.46766575081597</v>
      </c>
      <c r="D2611" s="116">
        <v>755.70077582823205</v>
      </c>
      <c r="E2611" s="116">
        <v>763.59321212931002</v>
      </c>
      <c r="F2611" s="116">
        <v>775.9</v>
      </c>
      <c r="G2611">
        <v>2496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45861</v>
      </c>
      <c r="B2612" s="116">
        <v>769.51253935511897</v>
      </c>
      <c r="C2612" s="116">
        <v>756.78598581963001</v>
      </c>
      <c r="D2612" s="116">
        <v>756.78598581963001</v>
      </c>
      <c r="E2612" s="116">
        <v>759.64699397877098</v>
      </c>
      <c r="F2612" s="116">
        <v>767.1</v>
      </c>
      <c r="G2612">
        <v>2450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45862</v>
      </c>
      <c r="B2613" s="116">
        <v>769.51253935511897</v>
      </c>
      <c r="C2613" s="116">
        <v>752.69178448844605</v>
      </c>
      <c r="D2613" s="116">
        <v>751.75455767769301</v>
      </c>
      <c r="E2613" s="116">
        <v>764.57976666694503</v>
      </c>
      <c r="F2613" s="116">
        <v>762.95</v>
      </c>
      <c r="G2613">
        <v>3782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45863</v>
      </c>
      <c r="B2614" s="116">
        <v>765.56632120458005</v>
      </c>
      <c r="C2614" s="116">
        <v>740.21186958736598</v>
      </c>
      <c r="D2614" s="116">
        <v>734.98313053790196</v>
      </c>
      <c r="E2614" s="116">
        <v>749.78144860242401</v>
      </c>
      <c r="F2614" s="116">
        <v>750.3</v>
      </c>
      <c r="G2614">
        <v>5967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45866</v>
      </c>
      <c r="B2615" s="116">
        <v>751.21195268199403</v>
      </c>
      <c r="C2615" s="116">
        <v>740.55716367553896</v>
      </c>
      <c r="D2615" s="116">
        <v>726.40010606047997</v>
      </c>
      <c r="E2615" s="116">
        <v>739.86657549919403</v>
      </c>
      <c r="F2615" s="116">
        <v>750.65</v>
      </c>
      <c r="G2615">
        <v>1744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45867</v>
      </c>
      <c r="B2616" s="116">
        <v>769.51253935511897</v>
      </c>
      <c r="C2616" s="116">
        <v>768.62464027124804</v>
      </c>
      <c r="D2616" s="116">
        <v>741.00111321747397</v>
      </c>
      <c r="E2616" s="116">
        <v>741.00111321747397</v>
      </c>
      <c r="F2616" s="116">
        <v>779.1</v>
      </c>
      <c r="G2616">
        <v>2431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45868</v>
      </c>
      <c r="B2617" s="116">
        <v>807.98816632287503</v>
      </c>
      <c r="C2617" s="116">
        <v>761.42279214651398</v>
      </c>
      <c r="D2617" s="116">
        <v>747.80833952715398</v>
      </c>
      <c r="E2617" s="116">
        <v>767.49010255296798</v>
      </c>
      <c r="F2617" s="116">
        <v>771.8</v>
      </c>
      <c r="G2617">
        <v>5342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45869</v>
      </c>
      <c r="B2618" s="116">
        <v>913.69748503044002</v>
      </c>
      <c r="C2618" s="116">
        <v>913.69748503044002</v>
      </c>
      <c r="D2618" s="116">
        <v>764.08648939812804</v>
      </c>
      <c r="E2618" s="116">
        <v>765.07304393576203</v>
      </c>
      <c r="F2618" s="116">
        <v>926.15</v>
      </c>
      <c r="G2618">
        <v>69334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45870</v>
      </c>
      <c r="B2619" s="116">
        <v>1044.7612553552201</v>
      </c>
      <c r="C2619" s="116">
        <v>945.41521341539794</v>
      </c>
      <c r="D2619" s="116">
        <v>938.213365290664</v>
      </c>
      <c r="E2619" s="116">
        <v>942.15958344120304</v>
      </c>
      <c r="F2619" s="116">
        <v>958.3</v>
      </c>
      <c r="G2619">
        <v>56834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45873</v>
      </c>
      <c r="B2620" s="116">
        <v>974.71588318315105</v>
      </c>
      <c r="C2620" s="116">
        <v>925.28950084764904</v>
      </c>
      <c r="D2620" s="116">
        <v>919.66613998313096</v>
      </c>
      <c r="E2620" s="116">
        <v>950.24933064980803</v>
      </c>
      <c r="F2620" s="116">
        <v>937.9</v>
      </c>
      <c r="G2620">
        <v>4474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45874</v>
      </c>
      <c r="B2621" s="116">
        <v>952.02512881755104</v>
      </c>
      <c r="C2621" s="116">
        <v>884.44614298956901</v>
      </c>
      <c r="D2621" s="116">
        <v>878.03353849494295</v>
      </c>
      <c r="E2621" s="116">
        <v>937.17748302614802</v>
      </c>
      <c r="F2621" s="116">
        <v>896.5</v>
      </c>
      <c r="G2621">
        <v>5939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45875</v>
      </c>
      <c r="B2622" s="116">
        <v>916.16387137452705</v>
      </c>
      <c r="C2622" s="116">
        <v>884.34748753580595</v>
      </c>
      <c r="D2622" s="116">
        <v>858.30244774224798</v>
      </c>
      <c r="E2622" s="116">
        <v>912.56294731215996</v>
      </c>
      <c r="F2622" s="116">
        <v>896.4</v>
      </c>
      <c r="G2622">
        <v>3789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45876</v>
      </c>
      <c r="B2623" s="116">
        <v>907.58084689710495</v>
      </c>
      <c r="C2623" s="116">
        <v>881.19051301537502</v>
      </c>
      <c r="D2623" s="116">
        <v>824.75959346266598</v>
      </c>
      <c r="E2623" s="116">
        <v>870.23975764762895</v>
      </c>
      <c r="F2623" s="116">
        <v>893.2</v>
      </c>
      <c r="G2623">
        <v>4095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45877</v>
      </c>
      <c r="B2624" s="116">
        <v>895.79152017236902</v>
      </c>
      <c r="C2624" s="116">
        <v>891.50000793365803</v>
      </c>
      <c r="D2624" s="116">
        <v>881.97975664548198</v>
      </c>
      <c r="E2624" s="116">
        <v>881.97975664548198</v>
      </c>
      <c r="F2624" s="116">
        <v>903.65</v>
      </c>
      <c r="G2624">
        <v>1003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45880</v>
      </c>
      <c r="B2625" s="116">
        <v>895.93950335301395</v>
      </c>
      <c r="C2625" s="116">
        <v>857.266565477732</v>
      </c>
      <c r="D2625" s="116">
        <v>849.423456903535</v>
      </c>
      <c r="E2625" s="116">
        <v>895.93950335301395</v>
      </c>
      <c r="F2625" s="116">
        <v>868.95</v>
      </c>
      <c r="G2625">
        <v>2348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45881</v>
      </c>
      <c r="B2626" s="116">
        <v>876.99765623042697</v>
      </c>
      <c r="C2626" s="116">
        <v>866.19488404332606</v>
      </c>
      <c r="D2626" s="116">
        <v>832.553374309981</v>
      </c>
      <c r="E2626" s="116">
        <v>866.73748903902504</v>
      </c>
      <c r="F2626" s="116">
        <v>878</v>
      </c>
      <c r="G2626">
        <v>1184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45882</v>
      </c>
      <c r="B2627" s="116">
        <v>878.03353849494295</v>
      </c>
      <c r="C2627" s="116">
        <v>866.14555631644396</v>
      </c>
      <c r="D2627" s="116">
        <v>858.35177546912996</v>
      </c>
      <c r="E2627" s="116">
        <v>858.35177546912996</v>
      </c>
      <c r="F2627" s="116">
        <v>877.95</v>
      </c>
      <c r="G2627">
        <v>1761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45883</v>
      </c>
      <c r="B2628" s="116">
        <v>868.11866539171399</v>
      </c>
      <c r="C2628" s="116">
        <v>855.24412867557999</v>
      </c>
      <c r="D2628" s="116">
        <v>838.57135698955301</v>
      </c>
      <c r="E2628" s="116">
        <v>858.30244774224798</v>
      </c>
      <c r="F2628" s="116">
        <v>866.9</v>
      </c>
      <c r="G2628">
        <v>728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45887</v>
      </c>
      <c r="B2629" s="116">
        <v>996.32142755735197</v>
      </c>
      <c r="C2629" s="116">
        <v>966.62613597454504</v>
      </c>
      <c r="D2629" s="116">
        <v>869.20387538311195</v>
      </c>
      <c r="E2629" s="116">
        <v>903.63462874656602</v>
      </c>
      <c r="F2629" s="116">
        <v>979.8</v>
      </c>
      <c r="G2629">
        <v>24626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45888</v>
      </c>
      <c r="B2630" s="116">
        <v>995.43352847348103</v>
      </c>
      <c r="C2630" s="116">
        <v>986.70252081541298</v>
      </c>
      <c r="D2630" s="116">
        <v>929.33437445195102</v>
      </c>
      <c r="E2630" s="116">
        <v>942.25823889496701</v>
      </c>
      <c r="F2630" s="116">
        <v>1000.15</v>
      </c>
      <c r="G2630">
        <v>6415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45889</v>
      </c>
      <c r="B2631" s="116">
        <v>1006.28562838746</v>
      </c>
      <c r="C2631" s="116">
        <v>957.79647286271404</v>
      </c>
      <c r="D2631" s="116">
        <v>938.26269301754598</v>
      </c>
      <c r="E2631" s="116">
        <v>988.52764671003695</v>
      </c>
      <c r="F2631" s="116">
        <v>970.85</v>
      </c>
      <c r="G2631">
        <v>5858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45890</v>
      </c>
      <c r="B2632" s="116">
        <v>986.55453763476805</v>
      </c>
      <c r="C2632" s="116">
        <v>950.79193564550701</v>
      </c>
      <c r="D2632" s="116">
        <v>930.41958444335</v>
      </c>
      <c r="E2632" s="116">
        <v>953.01168335518605</v>
      </c>
      <c r="F2632" s="116">
        <v>963.75</v>
      </c>
      <c r="G2632">
        <v>11410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45891</v>
      </c>
      <c r="B2633" s="116">
        <v>967.36605187777195</v>
      </c>
      <c r="C2633" s="116">
        <v>955.03412015733704</v>
      </c>
      <c r="D2633" s="116">
        <v>952.02512881755104</v>
      </c>
      <c r="E2633" s="116">
        <v>952.02512881755104</v>
      </c>
      <c r="F2633" s="116">
        <v>968.05</v>
      </c>
      <c r="G2633">
        <v>518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45894</v>
      </c>
      <c r="B2634" s="116">
        <v>985.51865537025105</v>
      </c>
      <c r="C2634" s="116">
        <v>963.76512781540498</v>
      </c>
      <c r="D2634" s="116">
        <v>959.32563239604804</v>
      </c>
      <c r="E2634" s="116">
        <v>959.32563239604804</v>
      </c>
      <c r="F2634" s="116">
        <v>976.9</v>
      </c>
      <c r="G2634">
        <v>1602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45895</v>
      </c>
      <c r="B2635" s="116">
        <v>995.38420074659905</v>
      </c>
      <c r="C2635" s="116">
        <v>965.34361507562005</v>
      </c>
      <c r="D2635" s="116">
        <v>947.09235612937698</v>
      </c>
      <c r="E2635" s="116">
        <v>995.38420074659905</v>
      </c>
      <c r="F2635" s="116">
        <v>978.5</v>
      </c>
      <c r="G2635">
        <v>1562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45897</v>
      </c>
      <c r="B2636" s="116">
        <v>1026.0167191401599</v>
      </c>
      <c r="C2636" s="116">
        <v>953.89958243905699</v>
      </c>
      <c r="D2636" s="116">
        <v>929.82765172076904</v>
      </c>
      <c r="E2636" s="116">
        <v>977.18226952723796</v>
      </c>
      <c r="F2636" s="116">
        <v>966.9</v>
      </c>
      <c r="G2636">
        <v>3720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45898</v>
      </c>
      <c r="B2637" s="116">
        <v>980.63521040895898</v>
      </c>
      <c r="C2637" s="116">
        <v>953.110338808949</v>
      </c>
      <c r="D2637" s="116">
        <v>931.55412216162904</v>
      </c>
      <c r="E2637" s="116">
        <v>980.63521040895898</v>
      </c>
      <c r="F2637" s="116">
        <v>966.1</v>
      </c>
      <c r="G2637">
        <v>1889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45901</v>
      </c>
      <c r="B2638" s="116">
        <v>1137.49738189289</v>
      </c>
      <c r="C2638" s="116">
        <v>1093.1024276993201</v>
      </c>
      <c r="D2638" s="116">
        <v>858.30244774224798</v>
      </c>
      <c r="E2638" s="116">
        <v>966.67546370142702</v>
      </c>
      <c r="F2638" s="116">
        <v>1108</v>
      </c>
      <c r="G2638">
        <v>33205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45902</v>
      </c>
      <c r="B2639" s="116">
        <v>1109.87385483911</v>
      </c>
      <c r="C2639" s="116">
        <v>1080.07990780254</v>
      </c>
      <c r="D2639" s="116">
        <v>1040.81503720468</v>
      </c>
      <c r="E2639" s="116">
        <v>1103.9545276133099</v>
      </c>
      <c r="F2639" s="116">
        <v>1094.8</v>
      </c>
      <c r="G2639">
        <v>5012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45903</v>
      </c>
      <c r="B2640" s="116">
        <v>1109.87385483911</v>
      </c>
      <c r="C2640" s="116">
        <v>1074.94982420684</v>
      </c>
      <c r="D2640" s="116">
        <v>1016.15117376381</v>
      </c>
      <c r="E2640" s="116">
        <v>1083.2368823229799</v>
      </c>
      <c r="F2640" s="116">
        <v>1089.5999999999999</v>
      </c>
      <c r="G2640">
        <v>7817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45904</v>
      </c>
      <c r="B2641" s="116">
        <v>1104.8424266971799</v>
      </c>
      <c r="C2641" s="116">
        <v>1062.8645311208199</v>
      </c>
      <c r="D2641" s="116">
        <v>1056.5999098068401</v>
      </c>
      <c r="E2641" s="116">
        <v>1104.8424266971799</v>
      </c>
      <c r="F2641" s="116">
        <v>1077.3499999999999</v>
      </c>
      <c r="G2641">
        <v>1781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45905</v>
      </c>
      <c r="B2642" s="116">
        <v>1074.2592360305</v>
      </c>
      <c r="C2642" s="116">
        <v>1037.21411314231</v>
      </c>
      <c r="D2642" s="116">
        <v>1022.07050098962</v>
      </c>
      <c r="E2642" s="116">
        <v>1074.2592360305</v>
      </c>
      <c r="F2642" s="116">
        <v>1051.3499999999999</v>
      </c>
      <c r="G2642">
        <v>760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45908</v>
      </c>
      <c r="B2643" s="116">
        <v>1064.49234610791</v>
      </c>
      <c r="C2643" s="116">
        <v>1055.4653720885599</v>
      </c>
      <c r="D2643" s="116">
        <v>1040.81503720468</v>
      </c>
      <c r="E2643" s="116">
        <v>1040.81503720468</v>
      </c>
      <c r="F2643" s="116">
        <v>1069.8499999999999</v>
      </c>
      <c r="G2643">
        <v>501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45909</v>
      </c>
      <c r="B2644" s="116">
        <v>1079.2906641724401</v>
      </c>
      <c r="C2644" s="116">
        <v>1056.79722071436</v>
      </c>
      <c r="D2644" s="116">
        <v>1055.6133552691999</v>
      </c>
      <c r="E2644" s="116">
        <v>1079.2906641724401</v>
      </c>
      <c r="F2644" s="116">
        <v>1071.2</v>
      </c>
      <c r="G2644">
        <v>1734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45910</v>
      </c>
      <c r="B2645" s="116">
        <v>1119.7394002154599</v>
      </c>
      <c r="C2645" s="116">
        <v>1064.0483965659801</v>
      </c>
      <c r="D2645" s="116">
        <v>1057.58646434447</v>
      </c>
      <c r="E2645" s="116">
        <v>1119.7394002154599</v>
      </c>
      <c r="F2645" s="116">
        <v>1078.55</v>
      </c>
      <c r="G2645">
        <v>1293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45911</v>
      </c>
      <c r="B2646" s="116">
        <v>1075.3444460219</v>
      </c>
      <c r="C2646" s="116">
        <v>1045.20520489715</v>
      </c>
      <c r="D2646" s="116">
        <v>1028.0391559423099</v>
      </c>
      <c r="E2646" s="116">
        <v>1075.3444460219</v>
      </c>
      <c r="F2646" s="116">
        <v>1059.45</v>
      </c>
      <c r="G2646">
        <v>3090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45912</v>
      </c>
      <c r="B2647" s="116">
        <v>1063.94974111222</v>
      </c>
      <c r="C2647" s="116">
        <v>1031.24545818962</v>
      </c>
      <c r="D2647" s="116">
        <v>1021.08394645198</v>
      </c>
      <c r="E2647" s="116">
        <v>1050.63125485415</v>
      </c>
      <c r="F2647" s="116">
        <v>1045.3</v>
      </c>
      <c r="G2647">
        <v>1607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45915</v>
      </c>
      <c r="B2648" s="116">
        <v>1056.2052879917801</v>
      </c>
      <c r="C2648" s="116">
        <v>1031.19613046274</v>
      </c>
      <c r="D2648" s="116">
        <v>1021.08394645198</v>
      </c>
      <c r="E2648" s="116">
        <v>1054.28150664339</v>
      </c>
      <c r="F2648" s="116">
        <v>1045.25</v>
      </c>
      <c r="G2648">
        <v>567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45916</v>
      </c>
      <c r="B2649" s="116">
        <v>1050.68058258103</v>
      </c>
      <c r="C2649" s="116">
        <v>1015.16461922618</v>
      </c>
      <c r="D2649" s="116">
        <v>1006.33495611434</v>
      </c>
      <c r="E2649" s="116">
        <v>1050.68058258103</v>
      </c>
      <c r="F2649" s="116">
        <v>1029</v>
      </c>
      <c r="G2649">
        <v>5889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45917</v>
      </c>
      <c r="B2650" s="116">
        <v>1016.79243421327</v>
      </c>
      <c r="C2650" s="116">
        <v>976.54100907777502</v>
      </c>
      <c r="D2650" s="116">
        <v>966.82344688207297</v>
      </c>
      <c r="E2650" s="116">
        <v>1016.79243421327</v>
      </c>
      <c r="F2650" s="116">
        <v>989.85</v>
      </c>
      <c r="G2650">
        <v>3610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45918</v>
      </c>
      <c r="B2651" s="116">
        <v>1006.23630066058</v>
      </c>
      <c r="C2651" s="116">
        <v>960.16420375303801</v>
      </c>
      <c r="D2651" s="116">
        <v>956.95790150572498</v>
      </c>
      <c r="E2651" s="116">
        <v>1001.35285569929</v>
      </c>
      <c r="F2651" s="116">
        <v>973.25</v>
      </c>
      <c r="G2651">
        <v>5635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45919</v>
      </c>
      <c r="B2652" s="116">
        <v>975.60378226702198</v>
      </c>
      <c r="C2652" s="116">
        <v>964.65302689927603</v>
      </c>
      <c r="D2652" s="116">
        <v>956.95790150572498</v>
      </c>
      <c r="E2652" s="116">
        <v>975.30781590573099</v>
      </c>
      <c r="F2652" s="116">
        <v>977.8</v>
      </c>
      <c r="G2652">
        <v>2521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45922</v>
      </c>
      <c r="B2653" s="116">
        <v>975.40647135949496</v>
      </c>
      <c r="C2653" s="116">
        <v>957.69781740895098</v>
      </c>
      <c r="D2653" s="116">
        <v>952.02512881755104</v>
      </c>
      <c r="E2653" s="116">
        <v>971.65756411648294</v>
      </c>
      <c r="F2653" s="116">
        <v>970.75</v>
      </c>
      <c r="G2653">
        <v>4956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45923</v>
      </c>
      <c r="B2654" s="116">
        <v>972.59479092723598</v>
      </c>
      <c r="C2654" s="116">
        <v>968.30327868852498</v>
      </c>
      <c r="D2654" s="116">
        <v>947.14168385625896</v>
      </c>
      <c r="E2654" s="116">
        <v>962.87722873153302</v>
      </c>
      <c r="F2654" s="116">
        <v>981.5</v>
      </c>
      <c r="G2654">
        <v>3942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45924</v>
      </c>
      <c r="B2655" s="116">
        <v>989</v>
      </c>
      <c r="C2655" s="116">
        <v>957</v>
      </c>
      <c r="D2655" s="116">
        <v>952.05</v>
      </c>
      <c r="E2655" s="116">
        <v>980</v>
      </c>
      <c r="F2655" s="116">
        <v>957</v>
      </c>
      <c r="G2655">
        <v>1783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45925</v>
      </c>
      <c r="B2656" s="116">
        <v>956</v>
      </c>
      <c r="C2656" s="116">
        <v>935.85</v>
      </c>
      <c r="D2656" s="116">
        <v>931</v>
      </c>
      <c r="E2656" s="116">
        <v>953.2</v>
      </c>
      <c r="F2656" s="116">
        <v>935.85</v>
      </c>
      <c r="G2656">
        <v>1538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45926</v>
      </c>
      <c r="B2657" s="116">
        <v>942.2</v>
      </c>
      <c r="C2657" s="116">
        <v>926.2</v>
      </c>
      <c r="D2657" s="116">
        <v>926.2</v>
      </c>
      <c r="E2657" s="116">
        <v>935.85</v>
      </c>
      <c r="F2657" s="116">
        <v>926.2</v>
      </c>
      <c r="G2657">
        <v>832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45929</v>
      </c>
      <c r="B2658" s="116">
        <v>926.1</v>
      </c>
      <c r="C2658" s="116">
        <v>907.85</v>
      </c>
      <c r="D2658" s="116">
        <v>900.1</v>
      </c>
      <c r="E2658" s="116">
        <v>926.1</v>
      </c>
      <c r="F2658" s="116">
        <v>907.85</v>
      </c>
      <c r="G2658">
        <v>478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45930</v>
      </c>
      <c r="B2659" s="116">
        <v>924.95</v>
      </c>
      <c r="C2659" s="116">
        <v>912.5</v>
      </c>
      <c r="D2659" s="116">
        <v>900</v>
      </c>
      <c r="E2659" s="116">
        <v>900</v>
      </c>
      <c r="F2659" s="116">
        <v>912.5</v>
      </c>
      <c r="G2659">
        <v>770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45931</v>
      </c>
      <c r="B2660" s="116">
        <v>932</v>
      </c>
      <c r="C2660" s="116">
        <v>904.75</v>
      </c>
      <c r="D2660" s="116">
        <v>900</v>
      </c>
      <c r="E2660" s="116">
        <v>931.65</v>
      </c>
      <c r="F2660" s="116">
        <v>904.75</v>
      </c>
      <c r="G2660">
        <v>2376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45933</v>
      </c>
      <c r="B2661" s="116">
        <v>968.5</v>
      </c>
      <c r="C2661" s="116">
        <v>965.8</v>
      </c>
      <c r="D2661" s="116">
        <v>906.05</v>
      </c>
      <c r="E2661" s="116">
        <v>918</v>
      </c>
      <c r="F2661" s="116">
        <v>965.8</v>
      </c>
      <c r="G2661">
        <v>5165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45936</v>
      </c>
      <c r="B2662" s="116">
        <v>999</v>
      </c>
      <c r="C2662" s="116">
        <v>942.55</v>
      </c>
      <c r="D2662" s="116">
        <v>940</v>
      </c>
      <c r="E2662" s="116">
        <v>967.95</v>
      </c>
      <c r="F2662" s="116">
        <v>942.55</v>
      </c>
      <c r="G2662">
        <v>2739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45937</v>
      </c>
      <c r="B2663" s="116">
        <v>954</v>
      </c>
      <c r="C2663" s="116">
        <v>942.65</v>
      </c>
      <c r="D2663" s="116">
        <v>940.55</v>
      </c>
      <c r="E2663" s="116">
        <v>942.55</v>
      </c>
      <c r="F2663" s="116">
        <v>942.65</v>
      </c>
      <c r="G2663">
        <v>785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45938</v>
      </c>
      <c r="B2664" s="116">
        <v>964.9</v>
      </c>
      <c r="C2664" s="116">
        <v>957.55</v>
      </c>
      <c r="D2664" s="116">
        <v>940</v>
      </c>
      <c r="E2664" s="116">
        <v>950</v>
      </c>
      <c r="F2664" s="116">
        <v>957.55</v>
      </c>
      <c r="G2664">
        <v>1184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45939</v>
      </c>
      <c r="B2665" s="116">
        <v>977.95</v>
      </c>
      <c r="C2665" s="116">
        <v>950.9</v>
      </c>
      <c r="D2665" s="116">
        <v>949.15</v>
      </c>
      <c r="E2665" s="116">
        <v>977.95</v>
      </c>
      <c r="F2665" s="116">
        <v>950.9</v>
      </c>
      <c r="G2665">
        <v>1022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45940</v>
      </c>
      <c r="B2666" s="116">
        <v>959.45</v>
      </c>
      <c r="C2666" s="116">
        <v>952.25</v>
      </c>
      <c r="D2666" s="116">
        <v>931</v>
      </c>
      <c r="E2666" s="116">
        <v>959.45</v>
      </c>
      <c r="F2666" s="116">
        <v>952.25</v>
      </c>
      <c r="G2666">
        <v>1158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45943</v>
      </c>
      <c r="B2667" s="116">
        <v>951</v>
      </c>
      <c r="C2667" s="116">
        <v>943.15</v>
      </c>
      <c r="D2667" s="116">
        <v>925.05</v>
      </c>
      <c r="E2667" s="116">
        <v>925.05</v>
      </c>
      <c r="F2667" s="116">
        <v>943.15</v>
      </c>
      <c r="G2667">
        <v>960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45944</v>
      </c>
      <c r="B2668" s="116">
        <v>943.15</v>
      </c>
      <c r="C2668" s="116">
        <v>925.95</v>
      </c>
      <c r="D2668" s="116">
        <v>920</v>
      </c>
      <c r="E2668" s="116">
        <v>943.15</v>
      </c>
      <c r="F2668" s="116">
        <v>925.95</v>
      </c>
      <c r="G2668">
        <v>656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45945</v>
      </c>
      <c r="B2669" s="116">
        <v>939.9</v>
      </c>
      <c r="C2669" s="116">
        <v>928</v>
      </c>
      <c r="D2669" s="116">
        <v>927</v>
      </c>
      <c r="E2669" s="116">
        <v>939.9</v>
      </c>
      <c r="F2669" s="116">
        <v>928</v>
      </c>
      <c r="G2669">
        <v>496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45946</v>
      </c>
      <c r="B2670" s="116">
        <v>940</v>
      </c>
      <c r="C2670" s="116">
        <v>923.85</v>
      </c>
      <c r="D2670" s="116">
        <v>920</v>
      </c>
      <c r="E2670" s="116">
        <v>939.95</v>
      </c>
      <c r="F2670" s="116">
        <v>923.85</v>
      </c>
      <c r="G2670">
        <v>1738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45947</v>
      </c>
      <c r="B2671" s="116">
        <v>934.95</v>
      </c>
      <c r="C2671" s="116">
        <v>911.55</v>
      </c>
      <c r="D2671" s="116">
        <v>905</v>
      </c>
      <c r="E2671" s="116">
        <v>920</v>
      </c>
      <c r="F2671" s="116">
        <v>911.55</v>
      </c>
      <c r="G2671">
        <v>776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45950</v>
      </c>
      <c r="B2672" s="116">
        <v>930.25</v>
      </c>
      <c r="C2672" s="116">
        <v>912.85</v>
      </c>
      <c r="D2672" s="116">
        <v>910</v>
      </c>
      <c r="E2672" s="116">
        <v>913</v>
      </c>
      <c r="F2672" s="116">
        <v>912.85</v>
      </c>
      <c r="G2672">
        <v>860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45951</v>
      </c>
      <c r="B2673" s="116">
        <v>923.95</v>
      </c>
      <c r="C2673" s="116">
        <v>917.65</v>
      </c>
      <c r="D2673" s="116">
        <v>916</v>
      </c>
      <c r="E2673" s="116">
        <v>923.95</v>
      </c>
      <c r="F2673" s="116">
        <v>917.65</v>
      </c>
      <c r="G2673">
        <v>447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45953</v>
      </c>
      <c r="B2674" s="116">
        <v>933.8</v>
      </c>
      <c r="C2674" s="116">
        <v>915.2</v>
      </c>
      <c r="D2674" s="116">
        <v>910</v>
      </c>
      <c r="E2674" s="116">
        <v>925</v>
      </c>
      <c r="F2674" s="116">
        <v>915.2</v>
      </c>
      <c r="G2674">
        <v>694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45954</v>
      </c>
      <c r="B2675" s="116">
        <v>918.9</v>
      </c>
      <c r="C2675" s="116">
        <v>910.2</v>
      </c>
      <c r="D2675" s="116">
        <v>908</v>
      </c>
      <c r="E2675" s="116">
        <v>910</v>
      </c>
      <c r="F2675" s="116">
        <v>910.2</v>
      </c>
      <c r="G2675">
        <v>760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45957</v>
      </c>
      <c r="B2676" s="116">
        <v>920</v>
      </c>
      <c r="C2676" s="116">
        <v>909.95</v>
      </c>
      <c r="D2676" s="116">
        <v>901.05</v>
      </c>
      <c r="E2676" s="116">
        <v>901.05</v>
      </c>
      <c r="F2676" s="116">
        <v>909.95</v>
      </c>
      <c r="G2676">
        <v>812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45958</v>
      </c>
      <c r="B2677" s="116">
        <v>934.65</v>
      </c>
      <c r="C2677" s="116">
        <v>920.6</v>
      </c>
      <c r="D2677" s="116">
        <v>899</v>
      </c>
      <c r="E2677" s="116">
        <v>905</v>
      </c>
      <c r="F2677" s="116">
        <v>920.6</v>
      </c>
      <c r="G2677">
        <v>1194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45959</v>
      </c>
      <c r="B2678" s="116">
        <v>926.9</v>
      </c>
      <c r="C2678" s="116">
        <v>916.9</v>
      </c>
      <c r="D2678" s="116">
        <v>902.1</v>
      </c>
      <c r="E2678" s="116">
        <v>902.1</v>
      </c>
      <c r="F2678" s="116">
        <v>916.9</v>
      </c>
      <c r="G2678">
        <v>1193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45960</v>
      </c>
      <c r="B2679" s="116">
        <v>1040</v>
      </c>
      <c r="C2679" s="116">
        <v>967.1</v>
      </c>
      <c r="D2679" s="116">
        <v>911</v>
      </c>
      <c r="E2679" s="116">
        <v>911</v>
      </c>
      <c r="F2679" s="116">
        <v>967.1</v>
      </c>
      <c r="G2679">
        <v>20438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45961</v>
      </c>
      <c r="B2680" s="116">
        <v>1050</v>
      </c>
      <c r="C2680" s="116">
        <v>1031.2</v>
      </c>
      <c r="D2680" s="116">
        <v>971.05</v>
      </c>
      <c r="E2680" s="116">
        <v>1020</v>
      </c>
      <c r="F2680" s="116">
        <v>1031.2</v>
      </c>
      <c r="G2680">
        <v>19440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45964</v>
      </c>
      <c r="B2681" s="116">
        <v>1070</v>
      </c>
      <c r="C2681" s="116">
        <v>1025.95</v>
      </c>
      <c r="D2681" s="116">
        <v>1003</v>
      </c>
      <c r="E2681" s="116">
        <v>1049.4000000000001</v>
      </c>
      <c r="F2681" s="116">
        <v>1025.95</v>
      </c>
      <c r="G2681">
        <v>7735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45965</v>
      </c>
      <c r="B2682" s="116">
        <v>1065</v>
      </c>
      <c r="C2682" s="116">
        <v>1046.8499999999999</v>
      </c>
      <c r="D2682" s="116">
        <v>1007</v>
      </c>
      <c r="E2682" s="116">
        <v>1034.5</v>
      </c>
      <c r="F2682" s="116">
        <v>1046.8499999999999</v>
      </c>
      <c r="G2682">
        <v>3730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45967</v>
      </c>
      <c r="B2683" s="116">
        <v>1069.8</v>
      </c>
      <c r="C2683" s="116">
        <v>974.05</v>
      </c>
      <c r="D2683" s="116">
        <v>965</v>
      </c>
      <c r="E2683" s="116">
        <v>1052</v>
      </c>
      <c r="F2683" s="116">
        <v>974.05</v>
      </c>
      <c r="G2683">
        <v>7266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45968</v>
      </c>
      <c r="B2684" s="116">
        <v>1014</v>
      </c>
      <c r="C2684" s="116">
        <v>997.55</v>
      </c>
      <c r="D2684" s="116">
        <v>935</v>
      </c>
      <c r="E2684" s="116">
        <v>972</v>
      </c>
      <c r="F2684" s="116">
        <v>997.55</v>
      </c>
      <c r="G2684">
        <v>3531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45971</v>
      </c>
      <c r="B2685" s="116">
        <v>1039</v>
      </c>
      <c r="C2685" s="116">
        <v>1023.7</v>
      </c>
      <c r="D2685" s="116">
        <v>980</v>
      </c>
      <c r="E2685" s="116">
        <v>980</v>
      </c>
      <c r="F2685" s="116">
        <v>1023.7</v>
      </c>
      <c r="G2685">
        <v>5401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45972</v>
      </c>
      <c r="B2686" s="116">
        <v>1023.7</v>
      </c>
      <c r="C2686" s="116">
        <v>997.2</v>
      </c>
      <c r="D2686" s="116">
        <v>980</v>
      </c>
      <c r="E2686" s="116">
        <v>1023.7</v>
      </c>
      <c r="F2686" s="116">
        <v>997.2</v>
      </c>
      <c r="G2686">
        <v>2800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45973</v>
      </c>
      <c r="B2687" s="116">
        <v>1019.95</v>
      </c>
      <c r="C2687" s="116">
        <v>985.95</v>
      </c>
      <c r="D2687" s="116">
        <v>975</v>
      </c>
      <c r="E2687" s="116">
        <v>975</v>
      </c>
      <c r="F2687" s="116">
        <v>985.95</v>
      </c>
      <c r="G2687">
        <v>2342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45974</v>
      </c>
      <c r="B2688" s="116">
        <v>1015</v>
      </c>
      <c r="C2688" s="116">
        <v>995.3</v>
      </c>
      <c r="D2688" s="116">
        <v>985.95</v>
      </c>
      <c r="E2688" s="116">
        <v>1008.95</v>
      </c>
      <c r="F2688" s="116">
        <v>995.3</v>
      </c>
      <c r="G2688">
        <v>1094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45975</v>
      </c>
      <c r="B2689" s="116">
        <v>1011.65</v>
      </c>
      <c r="C2689" s="116">
        <v>990</v>
      </c>
      <c r="D2689" s="116">
        <v>990</v>
      </c>
      <c r="E2689" s="116">
        <v>1011.65</v>
      </c>
      <c r="F2689" s="116">
        <v>990</v>
      </c>
      <c r="G2689">
        <v>454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45978</v>
      </c>
      <c r="B2690" s="116">
        <v>1175</v>
      </c>
      <c r="C2690" s="116">
        <v>1156.75</v>
      </c>
      <c r="D2690" s="116">
        <v>989</v>
      </c>
      <c r="E2690" s="116">
        <v>989</v>
      </c>
      <c r="F2690" s="116">
        <v>1156.75</v>
      </c>
      <c r="G2690">
        <v>32443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45979</v>
      </c>
      <c r="B2691" s="116">
        <v>1213.95</v>
      </c>
      <c r="C2691" s="116">
        <v>1141.6500000000001</v>
      </c>
      <c r="D2691" s="116">
        <v>1071.05</v>
      </c>
      <c r="E2691" s="116">
        <v>1155</v>
      </c>
      <c r="F2691" s="116">
        <v>1141.6500000000001</v>
      </c>
      <c r="G2691">
        <v>26428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45980</v>
      </c>
      <c r="B2692" s="116">
        <v>1189</v>
      </c>
      <c r="C2692" s="116">
        <v>1115.3499999999999</v>
      </c>
      <c r="D2692" s="116">
        <v>1102.0999999999999</v>
      </c>
      <c r="E2692" s="116">
        <v>1164.95</v>
      </c>
      <c r="F2692" s="116">
        <v>1115.3499999999999</v>
      </c>
      <c r="G2692">
        <v>3927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45981</v>
      </c>
      <c r="B2693" s="116">
        <v>1208.95</v>
      </c>
      <c r="C2693" s="116">
        <v>1140.6500000000001</v>
      </c>
      <c r="D2693" s="116">
        <v>1120</v>
      </c>
      <c r="E2693" s="116">
        <v>1128.2</v>
      </c>
      <c r="F2693" s="116">
        <v>1140.6500000000001</v>
      </c>
      <c r="G2693">
        <v>9180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45982</v>
      </c>
      <c r="B2694" s="116">
        <v>1157.95</v>
      </c>
      <c r="C2694" s="116">
        <v>1134.4000000000001</v>
      </c>
      <c r="D2694" s="116">
        <v>1101.0999999999999</v>
      </c>
      <c r="E2694" s="116">
        <v>1140.6500000000001</v>
      </c>
      <c r="F2694" s="116">
        <v>1134.4000000000001</v>
      </c>
      <c r="G2694">
        <v>1611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45985</v>
      </c>
      <c r="B2695" s="116">
        <v>1166</v>
      </c>
      <c r="C2695" s="116">
        <v>1073.6500000000001</v>
      </c>
      <c r="D2695" s="116">
        <v>1066.5999999999999</v>
      </c>
      <c r="E2695" s="116">
        <v>1158</v>
      </c>
      <c r="F2695" s="116">
        <v>1073.6500000000001</v>
      </c>
      <c r="G2695">
        <v>2788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45986</v>
      </c>
      <c r="B2696" s="116">
        <v>1070</v>
      </c>
      <c r="C2696" s="116">
        <v>1045.9000000000001</v>
      </c>
      <c r="D2696" s="116">
        <v>1033.0999999999999</v>
      </c>
      <c r="E2696" s="116">
        <v>1070</v>
      </c>
      <c r="F2696" s="116">
        <v>1045.9000000000001</v>
      </c>
      <c r="G2696">
        <v>3243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45987</v>
      </c>
      <c r="B2697" s="116">
        <v>1072.9000000000001</v>
      </c>
      <c r="C2697" s="116">
        <v>1055.3</v>
      </c>
      <c r="D2697" s="116">
        <v>1031.25</v>
      </c>
      <c r="E2697" s="116">
        <v>1031.25</v>
      </c>
      <c r="F2697" s="116">
        <v>1055.3</v>
      </c>
      <c r="G2697">
        <v>2134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45988</v>
      </c>
      <c r="B2698" s="116">
        <v>1071</v>
      </c>
      <c r="C2698" s="116">
        <v>1040.3</v>
      </c>
      <c r="D2698" s="116">
        <v>1032.45</v>
      </c>
      <c r="E2698" s="116">
        <v>1062</v>
      </c>
      <c r="F2698" s="116">
        <v>1040.3</v>
      </c>
      <c r="G2698">
        <v>423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45989</v>
      </c>
      <c r="B2699" s="116">
        <v>1061</v>
      </c>
      <c r="C2699" s="116">
        <v>1020.35</v>
      </c>
      <c r="D2699" s="116">
        <v>1006.6</v>
      </c>
      <c r="E2699" s="116">
        <v>1040.3</v>
      </c>
      <c r="F2699" s="116">
        <v>1020.35</v>
      </c>
      <c r="G2699">
        <v>3681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45992</v>
      </c>
      <c r="B2700" s="116">
        <v>1045.8</v>
      </c>
      <c r="C2700" s="116">
        <v>1011.65</v>
      </c>
      <c r="D2700" s="116">
        <v>1005</v>
      </c>
      <c r="E2700" s="116">
        <v>1022.1</v>
      </c>
      <c r="F2700" s="116">
        <v>1011.65</v>
      </c>
      <c r="G2700">
        <v>862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45993</v>
      </c>
      <c r="B2701" s="116">
        <v>1033.8</v>
      </c>
      <c r="C2701" s="116">
        <v>992.2</v>
      </c>
      <c r="D2701" s="116">
        <v>981</v>
      </c>
      <c r="E2701" s="116">
        <v>1011.65</v>
      </c>
      <c r="F2701" s="116">
        <v>992.2</v>
      </c>
      <c r="G2701">
        <v>972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45994</v>
      </c>
      <c r="B2702" s="116">
        <v>1017</v>
      </c>
      <c r="C2702" s="116">
        <v>988.1</v>
      </c>
      <c r="D2702" s="116">
        <v>985.1</v>
      </c>
      <c r="E2702" s="116">
        <v>1017</v>
      </c>
      <c r="F2702" s="116">
        <v>988.1</v>
      </c>
      <c r="G2702">
        <v>457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45995</v>
      </c>
      <c r="B2703" s="116">
        <v>1010</v>
      </c>
      <c r="C2703" s="116">
        <v>1004.7</v>
      </c>
      <c r="D2703" s="116">
        <v>988.15</v>
      </c>
      <c r="E2703" s="116">
        <v>988.15</v>
      </c>
      <c r="F2703" s="116">
        <v>1004.7</v>
      </c>
      <c r="G2703">
        <v>670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45996</v>
      </c>
      <c r="B2704" s="116">
        <v>1017</v>
      </c>
      <c r="C2704" s="116">
        <v>1007.1</v>
      </c>
      <c r="D2704" s="116">
        <v>994.25</v>
      </c>
      <c r="E2704" s="116">
        <v>1003.55</v>
      </c>
      <c r="F2704" s="116">
        <v>1007.1</v>
      </c>
      <c r="G2704">
        <v>802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45999</v>
      </c>
      <c r="B2705" s="116">
        <v>1014.5</v>
      </c>
      <c r="C2705" s="116">
        <v>921</v>
      </c>
      <c r="D2705" s="116">
        <v>905</v>
      </c>
      <c r="E2705" s="116">
        <v>1000</v>
      </c>
      <c r="F2705" s="116">
        <v>921</v>
      </c>
      <c r="G2705">
        <v>4665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46000</v>
      </c>
      <c r="B2706" s="116">
        <v>995</v>
      </c>
      <c r="C2706" s="116">
        <v>988.15</v>
      </c>
      <c r="D2706" s="116">
        <v>910</v>
      </c>
      <c r="E2706" s="116">
        <v>944</v>
      </c>
      <c r="F2706" s="116">
        <v>988.15</v>
      </c>
      <c r="G2706">
        <v>2740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46001</v>
      </c>
      <c r="B2707" s="116">
        <v>1011.55</v>
      </c>
      <c r="C2707" s="116">
        <v>979.6</v>
      </c>
      <c r="D2707" s="116">
        <v>956</v>
      </c>
      <c r="E2707" s="116">
        <v>1011.55</v>
      </c>
      <c r="F2707" s="116">
        <v>979.6</v>
      </c>
      <c r="G2707">
        <v>545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46002</v>
      </c>
      <c r="B2708" s="116">
        <v>993.85</v>
      </c>
      <c r="C2708" s="116">
        <v>948.45</v>
      </c>
      <c r="D2708" s="116">
        <v>920</v>
      </c>
      <c r="E2708" s="116">
        <v>979.6</v>
      </c>
      <c r="F2708" s="116">
        <v>948.45</v>
      </c>
      <c r="G2708">
        <v>2082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46003</v>
      </c>
      <c r="B2709">
        <v>978.7</v>
      </c>
      <c r="C2709">
        <v>949.9</v>
      </c>
      <c r="D2709">
        <v>941.25</v>
      </c>
      <c r="E2709">
        <v>978.7</v>
      </c>
      <c r="F2709">
        <v>949.9</v>
      </c>
      <c r="G2709">
        <v>956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46006</v>
      </c>
      <c r="B2710">
        <v>967.5</v>
      </c>
      <c r="C2710">
        <v>923.05</v>
      </c>
      <c r="D2710">
        <v>910</v>
      </c>
      <c r="E2710">
        <v>949.9</v>
      </c>
      <c r="F2710">
        <v>923.05</v>
      </c>
      <c r="G2710">
        <v>4530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46007</v>
      </c>
      <c r="B2711">
        <v>947.6</v>
      </c>
      <c r="C2711">
        <v>935.9</v>
      </c>
      <c r="D2711">
        <v>924.95</v>
      </c>
      <c r="E2711">
        <v>924.95</v>
      </c>
      <c r="F2711">
        <v>935.9</v>
      </c>
      <c r="G2711">
        <v>1379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46008</v>
      </c>
      <c r="B2712">
        <v>945.65</v>
      </c>
      <c r="C2712">
        <v>914.05</v>
      </c>
      <c r="D2712">
        <v>905</v>
      </c>
      <c r="E2712">
        <v>936.2</v>
      </c>
      <c r="F2712">
        <v>914.05</v>
      </c>
      <c r="G2712">
        <v>4099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46009</v>
      </c>
      <c r="B2713">
        <v>928.6</v>
      </c>
      <c r="C2713">
        <v>916.1</v>
      </c>
      <c r="D2713">
        <v>890</v>
      </c>
      <c r="E2713">
        <v>916</v>
      </c>
      <c r="F2713">
        <v>916.1</v>
      </c>
      <c r="G2713">
        <v>940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46010</v>
      </c>
      <c r="B2714">
        <v>927.95</v>
      </c>
      <c r="C2714">
        <v>918.8</v>
      </c>
      <c r="D2714">
        <v>904.05</v>
      </c>
      <c r="E2714">
        <v>927.95</v>
      </c>
      <c r="F2714">
        <v>918.8</v>
      </c>
      <c r="G2714">
        <v>1323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46013</v>
      </c>
      <c r="B2715">
        <v>934</v>
      </c>
      <c r="C2715">
        <v>913.9</v>
      </c>
      <c r="D2715">
        <v>900</v>
      </c>
      <c r="E2715">
        <v>925</v>
      </c>
      <c r="F2715">
        <v>913.9</v>
      </c>
      <c r="G2715">
        <v>1761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46014</v>
      </c>
      <c r="B2716">
        <v>928</v>
      </c>
      <c r="C2716">
        <v>908.1</v>
      </c>
      <c r="D2716">
        <v>875</v>
      </c>
      <c r="E2716">
        <v>910.05</v>
      </c>
      <c r="F2716">
        <v>908.1</v>
      </c>
      <c r="G2716">
        <v>4773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46015</v>
      </c>
      <c r="B2717">
        <v>919.9</v>
      </c>
      <c r="C2717">
        <v>900</v>
      </c>
      <c r="D2717">
        <v>875.2</v>
      </c>
      <c r="E2717">
        <v>919.9</v>
      </c>
      <c r="F2717">
        <v>900</v>
      </c>
      <c r="G2717">
        <v>3374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46017</v>
      </c>
      <c r="B2718">
        <v>918</v>
      </c>
      <c r="C2718">
        <v>912.6</v>
      </c>
      <c r="D2718">
        <v>882</v>
      </c>
      <c r="E2718">
        <v>900</v>
      </c>
      <c r="F2718">
        <v>912.6</v>
      </c>
      <c r="G2718">
        <v>1455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46020</v>
      </c>
      <c r="B2719">
        <v>909.95</v>
      </c>
      <c r="C2719">
        <v>896.4</v>
      </c>
      <c r="D2719">
        <v>894.55</v>
      </c>
      <c r="E2719">
        <v>909.95</v>
      </c>
      <c r="F2719">
        <v>896.4</v>
      </c>
      <c r="G2719">
        <v>795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46021</v>
      </c>
      <c r="B2720">
        <v>910</v>
      </c>
      <c r="C2720">
        <v>894.15</v>
      </c>
      <c r="D2720">
        <v>880</v>
      </c>
      <c r="E2720">
        <v>896.1</v>
      </c>
      <c r="F2720">
        <v>894.15</v>
      </c>
      <c r="G2720">
        <v>3211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46022</v>
      </c>
      <c r="B2721">
        <v>904</v>
      </c>
      <c r="C2721">
        <v>899.15</v>
      </c>
      <c r="D2721">
        <v>886</v>
      </c>
      <c r="E2721">
        <v>886</v>
      </c>
      <c r="F2721">
        <v>899.15</v>
      </c>
      <c r="G2721">
        <v>866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46023</v>
      </c>
      <c r="B2722">
        <v>906</v>
      </c>
      <c r="C2722">
        <v>906</v>
      </c>
      <c r="D2722">
        <v>885.55</v>
      </c>
      <c r="E2722">
        <v>904.65</v>
      </c>
      <c r="F2722">
        <v>906</v>
      </c>
      <c r="G2722">
        <v>397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46024</v>
      </c>
      <c r="B2723">
        <v>924.9</v>
      </c>
      <c r="C2723">
        <v>915.75</v>
      </c>
      <c r="D2723">
        <v>902.05</v>
      </c>
      <c r="E2723">
        <v>906</v>
      </c>
      <c r="F2723">
        <v>915.75</v>
      </c>
      <c r="G2723">
        <v>1234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46027</v>
      </c>
      <c r="B2724">
        <v>918.75</v>
      </c>
      <c r="C2724">
        <v>908.05</v>
      </c>
      <c r="D2724">
        <v>905</v>
      </c>
      <c r="E2724">
        <v>911</v>
      </c>
      <c r="F2724">
        <v>908.05</v>
      </c>
      <c r="G2724">
        <v>187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46028</v>
      </c>
      <c r="B2725">
        <v>908.25</v>
      </c>
      <c r="C2725">
        <v>894.1</v>
      </c>
      <c r="D2725">
        <v>885.05</v>
      </c>
      <c r="E2725">
        <v>908.2</v>
      </c>
      <c r="F2725">
        <v>894.1</v>
      </c>
      <c r="G2725">
        <v>1816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46029</v>
      </c>
      <c r="B2726">
        <v>911.65</v>
      </c>
      <c r="C2726">
        <v>900.5</v>
      </c>
      <c r="D2726">
        <v>895</v>
      </c>
      <c r="E2726">
        <v>897</v>
      </c>
      <c r="F2726">
        <v>900.5</v>
      </c>
      <c r="G2726">
        <v>821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46030</v>
      </c>
      <c r="B2727">
        <v>916.95</v>
      </c>
      <c r="C2727">
        <v>895.7</v>
      </c>
      <c r="D2727">
        <v>886</v>
      </c>
      <c r="E2727">
        <v>886</v>
      </c>
      <c r="F2727">
        <v>895.7</v>
      </c>
      <c r="G2727">
        <v>512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46031</v>
      </c>
      <c r="B2728">
        <v>896.95</v>
      </c>
      <c r="C2728">
        <v>884.45</v>
      </c>
      <c r="D2728">
        <v>878</v>
      </c>
      <c r="E2728">
        <v>888.65</v>
      </c>
      <c r="F2728">
        <v>884.45</v>
      </c>
      <c r="G2728">
        <v>676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46034</v>
      </c>
      <c r="B2729">
        <v>884.95</v>
      </c>
      <c r="C2729">
        <v>869.75</v>
      </c>
      <c r="D2729">
        <v>861</v>
      </c>
      <c r="E2729">
        <v>870.4</v>
      </c>
      <c r="F2729">
        <v>869.75</v>
      </c>
      <c r="G2729">
        <v>976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46035</v>
      </c>
      <c r="B2730">
        <v>879.75</v>
      </c>
      <c r="C2730">
        <v>874</v>
      </c>
      <c r="D2730">
        <v>862</v>
      </c>
      <c r="E2730">
        <v>869.75</v>
      </c>
      <c r="F2730">
        <v>874</v>
      </c>
      <c r="G2730">
        <v>1278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46036</v>
      </c>
      <c r="B2731">
        <v>877</v>
      </c>
      <c r="C2731">
        <v>875</v>
      </c>
      <c r="D2731">
        <v>870.65</v>
      </c>
      <c r="E2731">
        <v>877</v>
      </c>
      <c r="F2731">
        <v>875</v>
      </c>
      <c r="G2731">
        <v>575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46038</v>
      </c>
      <c r="B2732">
        <v>866.95</v>
      </c>
      <c r="C2732">
        <v>835.35</v>
      </c>
      <c r="D2732">
        <v>780</v>
      </c>
      <c r="E2732">
        <v>780</v>
      </c>
      <c r="F2732">
        <v>835.35</v>
      </c>
      <c r="G2732">
        <v>12528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A2733" s="170">
        <v>46041</v>
      </c>
      <c r="B2733">
        <v>880</v>
      </c>
      <c r="C2733">
        <v>850</v>
      </c>
      <c r="D2733">
        <v>835</v>
      </c>
      <c r="E2733">
        <v>835</v>
      </c>
      <c r="F2733">
        <v>850</v>
      </c>
      <c r="G2733">
        <v>874</v>
      </c>
      <c r="H2733" s="116"/>
      <c r="I2733" s="116"/>
    </row>
    <row r="2734" spans="1:18" x14ac:dyDescent="0.25">
      <c r="A2734" s="170">
        <v>46042</v>
      </c>
      <c r="B2734">
        <v>867.95</v>
      </c>
      <c r="C2734">
        <v>833.35</v>
      </c>
      <c r="D2734">
        <v>825</v>
      </c>
      <c r="E2734">
        <v>851.1</v>
      </c>
      <c r="F2734">
        <v>833.35</v>
      </c>
      <c r="G2734">
        <v>322</v>
      </c>
      <c r="H2734" s="116"/>
      <c r="I2734" s="116"/>
    </row>
    <row r="2735" spans="1:18" x14ac:dyDescent="0.25">
      <c r="A2735" s="170">
        <v>46043</v>
      </c>
      <c r="B2735">
        <v>919</v>
      </c>
      <c r="C2735">
        <v>868.75</v>
      </c>
      <c r="D2735">
        <v>815</v>
      </c>
      <c r="E2735">
        <v>835</v>
      </c>
      <c r="F2735">
        <v>868.75</v>
      </c>
      <c r="G2735">
        <v>2686</v>
      </c>
      <c r="H2735" s="116"/>
      <c r="I2735" s="116"/>
    </row>
    <row r="2736" spans="1:18" x14ac:dyDescent="0.25">
      <c r="A2736" s="170">
        <v>46044</v>
      </c>
      <c r="B2736">
        <v>925</v>
      </c>
      <c r="C2736">
        <v>869.95</v>
      </c>
      <c r="D2736">
        <v>851</v>
      </c>
      <c r="E2736">
        <v>870</v>
      </c>
      <c r="F2736">
        <v>869.95</v>
      </c>
      <c r="G2736">
        <v>2624</v>
      </c>
      <c r="H2736" s="116"/>
      <c r="I2736" s="116"/>
    </row>
    <row r="2737" spans="1:9" x14ac:dyDescent="0.25">
      <c r="A2737" s="170">
        <v>46045</v>
      </c>
      <c r="B2737">
        <v>898.1</v>
      </c>
      <c r="C2737">
        <v>840.4</v>
      </c>
      <c r="D2737">
        <v>839.9</v>
      </c>
      <c r="E2737">
        <v>870</v>
      </c>
      <c r="F2737">
        <v>840.4</v>
      </c>
      <c r="G2737">
        <v>1325</v>
      </c>
      <c r="H2737" s="116"/>
      <c r="I2737" s="116"/>
    </row>
    <row r="2738" spans="1:9" x14ac:dyDescent="0.25">
      <c r="A2738" s="170">
        <v>46049</v>
      </c>
      <c r="B2738">
        <v>885</v>
      </c>
      <c r="C2738">
        <v>862.5</v>
      </c>
      <c r="D2738">
        <v>831</v>
      </c>
      <c r="E2738">
        <v>860</v>
      </c>
      <c r="F2738">
        <v>862.5</v>
      </c>
      <c r="G2738">
        <v>864</v>
      </c>
      <c r="H2738" s="116"/>
      <c r="I2738" s="116"/>
    </row>
    <row r="2739" spans="1:9" x14ac:dyDescent="0.25">
      <c r="A2739" s="170">
        <v>46050</v>
      </c>
      <c r="B2739">
        <v>879.95</v>
      </c>
      <c r="C2739">
        <v>837.15</v>
      </c>
      <c r="D2739">
        <v>831</v>
      </c>
      <c r="E2739">
        <v>879.95</v>
      </c>
      <c r="F2739">
        <v>837.15</v>
      </c>
      <c r="G2739">
        <v>1851</v>
      </c>
      <c r="H2739" s="116"/>
      <c r="I2739" s="116"/>
    </row>
    <row r="2740" spans="1:9" x14ac:dyDescent="0.25">
      <c r="A2740" s="170">
        <v>46051</v>
      </c>
      <c r="B2740">
        <v>870</v>
      </c>
      <c r="C2740">
        <v>841.9</v>
      </c>
      <c r="D2740">
        <v>831.3</v>
      </c>
      <c r="E2740">
        <v>862.95</v>
      </c>
      <c r="F2740">
        <v>841.9</v>
      </c>
      <c r="G2740">
        <v>5467</v>
      </c>
      <c r="H2740" s="116"/>
      <c r="I2740" s="116"/>
    </row>
    <row r="2741" spans="1:9" x14ac:dyDescent="0.25">
      <c r="A2741" s="170">
        <v>46052</v>
      </c>
      <c r="B2741">
        <v>855.8</v>
      </c>
      <c r="C2741">
        <v>850.45</v>
      </c>
      <c r="D2741">
        <v>832.05</v>
      </c>
      <c r="E2741">
        <v>832.05</v>
      </c>
      <c r="F2741">
        <v>850.45</v>
      </c>
      <c r="G2741">
        <v>143</v>
      </c>
      <c r="H2741" s="116"/>
      <c r="I2741" s="116"/>
    </row>
    <row r="2742" spans="1:9" x14ac:dyDescent="0.25">
      <c r="A2742" s="170">
        <v>46054</v>
      </c>
      <c r="B2742">
        <v>855</v>
      </c>
      <c r="C2742">
        <v>826.35</v>
      </c>
      <c r="D2742">
        <v>824</v>
      </c>
      <c r="E2742">
        <v>855</v>
      </c>
      <c r="F2742">
        <v>826.35</v>
      </c>
      <c r="G2742">
        <v>1121</v>
      </c>
      <c r="H2742" s="116"/>
      <c r="I2742" s="116"/>
    </row>
    <row r="2743" spans="1:9" x14ac:dyDescent="0.25">
      <c r="A2743" s="170">
        <v>46055</v>
      </c>
      <c r="B2743">
        <v>839</v>
      </c>
      <c r="C2743">
        <v>835.9</v>
      </c>
      <c r="D2743">
        <v>821.6</v>
      </c>
      <c r="E2743">
        <v>839</v>
      </c>
      <c r="F2743">
        <v>835.9</v>
      </c>
      <c r="G2743">
        <v>643</v>
      </c>
      <c r="H2743" s="116"/>
      <c r="I2743" s="116"/>
    </row>
    <row r="2744" spans="1:9" x14ac:dyDescent="0.25">
      <c r="A2744" s="170">
        <v>46056</v>
      </c>
      <c r="B2744">
        <v>885</v>
      </c>
      <c r="C2744">
        <v>807.05</v>
      </c>
      <c r="D2744">
        <v>803</v>
      </c>
      <c r="E2744">
        <v>865</v>
      </c>
      <c r="F2744">
        <v>807.05</v>
      </c>
      <c r="G2744">
        <v>7094</v>
      </c>
      <c r="H2744" s="116"/>
      <c r="I2744" s="116"/>
    </row>
    <row r="2745" spans="1:9" x14ac:dyDescent="0.25">
      <c r="A2745" s="170">
        <v>46057</v>
      </c>
      <c r="B2745">
        <v>840</v>
      </c>
      <c r="C2745">
        <v>814.7</v>
      </c>
      <c r="D2745">
        <v>801</v>
      </c>
      <c r="E2745">
        <v>806</v>
      </c>
      <c r="F2745">
        <v>814.7</v>
      </c>
      <c r="G2745">
        <v>2760</v>
      </c>
      <c r="H2745" s="116"/>
      <c r="I2745" s="116"/>
    </row>
    <row r="2746" spans="1:9" x14ac:dyDescent="0.25">
      <c r="A2746" s="170">
        <v>46058</v>
      </c>
      <c r="B2746">
        <v>830</v>
      </c>
      <c r="C2746">
        <v>824.15</v>
      </c>
      <c r="D2746">
        <v>802</v>
      </c>
      <c r="E2746">
        <v>819</v>
      </c>
      <c r="F2746">
        <v>824.15</v>
      </c>
      <c r="G2746">
        <v>1489</v>
      </c>
      <c r="H2746" s="116"/>
      <c r="I2746" s="116"/>
    </row>
    <row r="2747" spans="1:9" x14ac:dyDescent="0.25">
      <c r="A2747" s="170">
        <v>46059</v>
      </c>
      <c r="B2747">
        <v>835</v>
      </c>
      <c r="C2747">
        <v>833.45</v>
      </c>
      <c r="D2747">
        <v>824.15</v>
      </c>
      <c r="E2747">
        <v>830</v>
      </c>
      <c r="F2747">
        <v>833.45</v>
      </c>
      <c r="G2747">
        <v>975</v>
      </c>
      <c r="H2747" s="116"/>
      <c r="I2747" s="116"/>
    </row>
    <row r="2748" spans="1:9" x14ac:dyDescent="0.25">
      <c r="A2748" s="170">
        <v>46062</v>
      </c>
      <c r="B2748">
        <v>860</v>
      </c>
      <c r="C2748">
        <v>848.2</v>
      </c>
      <c r="D2748">
        <v>820</v>
      </c>
      <c r="E2748">
        <v>840.15</v>
      </c>
      <c r="F2748">
        <v>848.2</v>
      </c>
      <c r="G2748">
        <v>2119</v>
      </c>
      <c r="H2748" s="116"/>
      <c r="I2748" s="116"/>
    </row>
    <row r="2749" spans="1:9" x14ac:dyDescent="0.25">
      <c r="A2749" s="170">
        <v>46063</v>
      </c>
      <c r="B2749">
        <v>865</v>
      </c>
      <c r="C2749">
        <v>848.9</v>
      </c>
      <c r="D2749">
        <v>840</v>
      </c>
      <c r="E2749">
        <v>854.25</v>
      </c>
      <c r="F2749">
        <v>848.9</v>
      </c>
      <c r="G2749">
        <v>1486</v>
      </c>
      <c r="H2749" s="116"/>
      <c r="I2749" s="116"/>
    </row>
    <row r="2750" spans="1:9" x14ac:dyDescent="0.25">
      <c r="A2750" s="170">
        <v>46064</v>
      </c>
      <c r="B2750">
        <v>855.65</v>
      </c>
      <c r="C2750">
        <v>821.85</v>
      </c>
      <c r="D2750">
        <v>810</v>
      </c>
      <c r="E2750">
        <v>848</v>
      </c>
      <c r="F2750">
        <v>821.85</v>
      </c>
      <c r="G2750">
        <v>3264</v>
      </c>
      <c r="H2750" s="116"/>
      <c r="I2750" s="116"/>
    </row>
    <row r="2751" spans="1:9" x14ac:dyDescent="0.25">
      <c r="A2751" s="170">
        <v>46065</v>
      </c>
      <c r="B2751">
        <v>849.95</v>
      </c>
      <c r="C2751">
        <v>839.7</v>
      </c>
      <c r="D2751">
        <v>831.65</v>
      </c>
      <c r="E2751">
        <v>843.65</v>
      </c>
      <c r="F2751">
        <v>839.7</v>
      </c>
      <c r="G2751">
        <v>823</v>
      </c>
      <c r="H2751" s="116"/>
      <c r="I2751" s="116"/>
    </row>
    <row r="2752" spans="1:9" x14ac:dyDescent="0.25">
      <c r="A2752" s="170">
        <v>46066</v>
      </c>
      <c r="B2752">
        <v>840.4</v>
      </c>
      <c r="C2752">
        <v>823.45</v>
      </c>
      <c r="D2752">
        <v>810</v>
      </c>
      <c r="E2752">
        <v>840.4</v>
      </c>
      <c r="F2752">
        <v>823.45</v>
      </c>
      <c r="G2752">
        <v>1303</v>
      </c>
      <c r="H2752" s="116"/>
      <c r="I2752" s="116"/>
    </row>
    <row r="2753" spans="1:9" x14ac:dyDescent="0.25">
      <c r="A2753" s="170">
        <v>46069</v>
      </c>
      <c r="B2753">
        <v>827</v>
      </c>
      <c r="C2753">
        <v>818</v>
      </c>
      <c r="D2753">
        <v>818</v>
      </c>
      <c r="E2753">
        <v>820.05</v>
      </c>
      <c r="F2753">
        <v>818</v>
      </c>
      <c r="G2753">
        <v>614</v>
      </c>
      <c r="H2753" s="116"/>
      <c r="I2753" s="116"/>
    </row>
    <row r="2754" spans="1:9" x14ac:dyDescent="0.25">
      <c r="A2754" s="170">
        <v>46070</v>
      </c>
      <c r="B2754">
        <v>845</v>
      </c>
      <c r="C2754">
        <v>839</v>
      </c>
      <c r="D2754">
        <v>801.55</v>
      </c>
      <c r="E2754">
        <v>813.9</v>
      </c>
      <c r="F2754">
        <v>839</v>
      </c>
      <c r="G2754">
        <v>2137</v>
      </c>
      <c r="H2754" s="116"/>
      <c r="I2754" s="116"/>
    </row>
    <row r="2755" spans="1:9" x14ac:dyDescent="0.25">
      <c r="A2755" s="170">
        <v>46071</v>
      </c>
      <c r="B2755">
        <v>850</v>
      </c>
      <c r="C2755">
        <v>842.1</v>
      </c>
      <c r="D2755">
        <v>820</v>
      </c>
      <c r="E2755">
        <v>840</v>
      </c>
      <c r="F2755">
        <v>842.1</v>
      </c>
      <c r="G2755">
        <v>661</v>
      </c>
      <c r="H2755" s="116"/>
      <c r="I2755" s="116"/>
    </row>
    <row r="2756" spans="1:9" x14ac:dyDescent="0.25">
      <c r="A2756" s="170">
        <v>46072</v>
      </c>
      <c r="B2756">
        <v>870</v>
      </c>
      <c r="C2756">
        <v>855</v>
      </c>
      <c r="D2756">
        <v>845</v>
      </c>
      <c r="E2756">
        <v>858.5</v>
      </c>
      <c r="F2756">
        <v>855</v>
      </c>
      <c r="G2756">
        <v>672</v>
      </c>
      <c r="H2756" s="116"/>
      <c r="I2756" s="116"/>
    </row>
    <row r="2757" spans="1:9" x14ac:dyDescent="0.25">
      <c r="A2757" s="170">
        <v>46073</v>
      </c>
      <c r="B2757">
        <v>850</v>
      </c>
      <c r="C2757">
        <v>834.2</v>
      </c>
      <c r="D2757">
        <v>830.05</v>
      </c>
      <c r="E2757">
        <v>841</v>
      </c>
      <c r="F2757">
        <v>834.2</v>
      </c>
      <c r="G2757">
        <v>150</v>
      </c>
      <c r="H2757" s="116"/>
      <c r="I2757" s="116"/>
    </row>
    <row r="2758" spans="1:9" x14ac:dyDescent="0.25">
      <c r="A2758" s="170">
        <v>46076</v>
      </c>
      <c r="B2758">
        <v>865</v>
      </c>
      <c r="C2758">
        <v>846.85</v>
      </c>
      <c r="D2758">
        <v>811</v>
      </c>
      <c r="E2758">
        <v>865</v>
      </c>
      <c r="F2758">
        <v>846.85</v>
      </c>
      <c r="G2758">
        <v>1575</v>
      </c>
      <c r="H2758" s="116"/>
      <c r="I2758" s="116"/>
    </row>
    <row r="2759" spans="1:9" x14ac:dyDescent="0.25">
      <c r="A2759" s="170">
        <v>46077</v>
      </c>
      <c r="B2759">
        <v>846.85</v>
      </c>
      <c r="C2759">
        <v>834</v>
      </c>
      <c r="D2759">
        <v>820.05</v>
      </c>
      <c r="E2759">
        <v>846.85</v>
      </c>
      <c r="F2759">
        <v>834</v>
      </c>
      <c r="G2759">
        <v>780</v>
      </c>
      <c r="H2759" s="116"/>
      <c r="I2759" s="116"/>
    </row>
    <row r="2760" spans="1:9" x14ac:dyDescent="0.25">
      <c r="A2760" s="170">
        <v>46078</v>
      </c>
      <c r="B2760">
        <v>841.65</v>
      </c>
      <c r="C2760">
        <v>839.85</v>
      </c>
      <c r="D2760">
        <v>823</v>
      </c>
      <c r="E2760">
        <v>823.65</v>
      </c>
      <c r="F2760">
        <v>839.85</v>
      </c>
      <c r="G2760">
        <v>443</v>
      </c>
      <c r="H2760" s="116"/>
      <c r="I2760" s="116"/>
    </row>
    <row r="2761" spans="1:9" x14ac:dyDescent="0.25">
      <c r="A2761" s="170">
        <v>46079</v>
      </c>
      <c r="B2761">
        <v>844</v>
      </c>
      <c r="C2761">
        <v>828</v>
      </c>
      <c r="D2761">
        <v>826</v>
      </c>
      <c r="E2761">
        <v>827.05</v>
      </c>
      <c r="F2761">
        <v>828</v>
      </c>
      <c r="G2761">
        <v>1173</v>
      </c>
      <c r="H2761" s="116"/>
      <c r="I2761" s="116"/>
    </row>
    <row r="2762" spans="1:9" x14ac:dyDescent="0.25">
      <c r="A2762" s="170">
        <v>46080</v>
      </c>
      <c r="B2762">
        <v>848</v>
      </c>
      <c r="C2762">
        <v>847.8</v>
      </c>
      <c r="D2762">
        <v>830</v>
      </c>
      <c r="E2762">
        <v>830</v>
      </c>
      <c r="F2762">
        <v>847.8</v>
      </c>
      <c r="G2762">
        <v>208</v>
      </c>
      <c r="H2762" s="116"/>
      <c r="I2762" s="116"/>
    </row>
    <row r="2763" spans="1:9" x14ac:dyDescent="0.25">
      <c r="A2763" s="170">
        <v>46083</v>
      </c>
      <c r="B2763">
        <v>830</v>
      </c>
      <c r="C2763">
        <v>815.3</v>
      </c>
      <c r="D2763">
        <v>805</v>
      </c>
      <c r="E2763">
        <v>820</v>
      </c>
      <c r="F2763">
        <v>815.3</v>
      </c>
      <c r="G2763">
        <v>1501</v>
      </c>
      <c r="H2763" s="116"/>
      <c r="I2763" s="116"/>
    </row>
    <row r="2764" spans="1:9" x14ac:dyDescent="0.25">
      <c r="A2764" s="170">
        <v>46085</v>
      </c>
      <c r="B2764">
        <v>832.75</v>
      </c>
      <c r="C2764">
        <v>820.45</v>
      </c>
      <c r="D2764">
        <v>815</v>
      </c>
      <c r="E2764">
        <v>830</v>
      </c>
      <c r="F2764">
        <v>820.45</v>
      </c>
      <c r="G2764">
        <v>3031</v>
      </c>
      <c r="H2764" s="116"/>
      <c r="I2764" s="116"/>
    </row>
    <row r="2765" spans="1:9" x14ac:dyDescent="0.25">
      <c r="A2765" s="170">
        <v>46086</v>
      </c>
      <c r="B2765">
        <v>864.9</v>
      </c>
      <c r="C2765">
        <v>852.2</v>
      </c>
      <c r="D2765">
        <v>828.7</v>
      </c>
      <c r="E2765">
        <v>839</v>
      </c>
      <c r="F2765">
        <v>852.2</v>
      </c>
      <c r="G2765">
        <v>1609</v>
      </c>
      <c r="H2765" s="116"/>
      <c r="I2765" s="116"/>
    </row>
    <row r="2766" spans="1:9" x14ac:dyDescent="0.25">
      <c r="A2766" s="170">
        <v>46087</v>
      </c>
      <c r="B2766">
        <v>852.95</v>
      </c>
      <c r="C2766">
        <v>819.05</v>
      </c>
      <c r="D2766">
        <v>800</v>
      </c>
      <c r="E2766">
        <v>852.95</v>
      </c>
      <c r="F2766">
        <v>819.05</v>
      </c>
      <c r="G2766">
        <v>15861</v>
      </c>
      <c r="H2766" s="116"/>
      <c r="I2766" s="116"/>
    </row>
    <row r="2767" spans="1:9" x14ac:dyDescent="0.25">
      <c r="A2767" s="170">
        <v>46090</v>
      </c>
      <c r="B2767">
        <v>819.05</v>
      </c>
      <c r="C2767">
        <v>795.35</v>
      </c>
      <c r="D2767">
        <v>790</v>
      </c>
      <c r="E2767">
        <v>815</v>
      </c>
      <c r="F2767">
        <v>795.35</v>
      </c>
      <c r="G2767">
        <v>7648</v>
      </c>
      <c r="H2767" s="116"/>
      <c r="I2767" s="116"/>
    </row>
    <row r="2768" spans="1:9" x14ac:dyDescent="0.25">
      <c r="A2768" s="170">
        <v>46091</v>
      </c>
      <c r="B2768">
        <v>811.6</v>
      </c>
      <c r="C2768">
        <v>785.3</v>
      </c>
      <c r="D2768">
        <v>784.9</v>
      </c>
      <c r="E2768">
        <v>811.6</v>
      </c>
      <c r="F2768">
        <v>785.3</v>
      </c>
      <c r="G2768">
        <v>4738</v>
      </c>
      <c r="H2768" s="116"/>
      <c r="I2768" s="116"/>
    </row>
    <row r="2769" spans="1:9" x14ac:dyDescent="0.25">
      <c r="A2769" s="170">
        <v>46092</v>
      </c>
      <c r="B2769">
        <v>799.8</v>
      </c>
      <c r="C2769">
        <v>792.6</v>
      </c>
      <c r="D2769">
        <v>786</v>
      </c>
      <c r="E2769">
        <v>790.05</v>
      </c>
      <c r="F2769">
        <v>792.6</v>
      </c>
      <c r="G2769">
        <v>4418</v>
      </c>
      <c r="H2769" s="116"/>
      <c r="I2769" s="116"/>
    </row>
    <row r="2770" spans="1:9" x14ac:dyDescent="0.25">
      <c r="A2770" s="170">
        <v>46093</v>
      </c>
      <c r="B2770">
        <v>789.95</v>
      </c>
      <c r="C2770">
        <v>774.2</v>
      </c>
      <c r="D2770">
        <v>772.1</v>
      </c>
      <c r="E2770">
        <v>784.95</v>
      </c>
      <c r="F2770">
        <v>774.2</v>
      </c>
      <c r="G2770">
        <v>6120</v>
      </c>
      <c r="H2770" s="116"/>
      <c r="I2770" s="116"/>
    </row>
    <row r="2771" spans="1:9" x14ac:dyDescent="0.25">
      <c r="A2771" s="170">
        <v>46094</v>
      </c>
      <c r="B2771">
        <v>790</v>
      </c>
      <c r="C2771">
        <v>782.85</v>
      </c>
      <c r="D2771">
        <v>760</v>
      </c>
      <c r="E2771">
        <v>782</v>
      </c>
      <c r="F2771">
        <v>782.85</v>
      </c>
      <c r="G2771">
        <v>8507</v>
      </c>
      <c r="H2771" s="116"/>
      <c r="I2771" s="116"/>
    </row>
    <row r="2772" spans="1:9" x14ac:dyDescent="0.25">
      <c r="A2772" s="170">
        <v>46097</v>
      </c>
      <c r="B2772">
        <v>805</v>
      </c>
      <c r="C2772">
        <v>765.4</v>
      </c>
      <c r="D2772">
        <v>750.1</v>
      </c>
      <c r="E2772">
        <v>805</v>
      </c>
      <c r="F2772">
        <v>765.4</v>
      </c>
      <c r="G2772">
        <v>8487</v>
      </c>
      <c r="H2772" s="116"/>
      <c r="I2772" s="116"/>
    </row>
    <row r="2773" spans="1:9" x14ac:dyDescent="0.25">
      <c r="A2773" s="170">
        <v>46098</v>
      </c>
      <c r="B2773">
        <v>786</v>
      </c>
      <c r="C2773">
        <v>760.8</v>
      </c>
      <c r="D2773">
        <v>750.25</v>
      </c>
      <c r="E2773">
        <v>765.55</v>
      </c>
      <c r="F2773">
        <v>760.8</v>
      </c>
      <c r="G2773">
        <v>6843</v>
      </c>
      <c r="H2773" s="116"/>
      <c r="I2773" s="116"/>
    </row>
    <row r="2774" spans="1:9" x14ac:dyDescent="0.25">
      <c r="A2774" s="170">
        <v>46099</v>
      </c>
      <c r="B2774">
        <v>788.95</v>
      </c>
      <c r="C2774">
        <v>784</v>
      </c>
      <c r="D2774">
        <v>769.95</v>
      </c>
      <c r="E2774">
        <v>776.05</v>
      </c>
      <c r="F2774">
        <v>784</v>
      </c>
      <c r="G2774">
        <v>999</v>
      </c>
      <c r="H2774" s="116"/>
      <c r="I2774" s="116"/>
    </row>
    <row r="2775" spans="1:9" x14ac:dyDescent="0.25">
      <c r="A2775" s="170">
        <v>46100</v>
      </c>
      <c r="B2775">
        <v>787.85</v>
      </c>
      <c r="C2775">
        <v>777.7</v>
      </c>
      <c r="D2775">
        <v>770.1</v>
      </c>
      <c r="E2775">
        <v>787.85</v>
      </c>
      <c r="F2775">
        <v>777.7</v>
      </c>
      <c r="G2775">
        <v>789</v>
      </c>
      <c r="H2775" s="116"/>
      <c r="I2775" s="116"/>
    </row>
    <row r="2776" spans="1:9" x14ac:dyDescent="0.25">
      <c r="A2776" s="170">
        <v>46101</v>
      </c>
      <c r="B2776">
        <v>797.75</v>
      </c>
      <c r="C2776">
        <v>794.05</v>
      </c>
      <c r="D2776">
        <v>781</v>
      </c>
      <c r="E2776">
        <v>781.05</v>
      </c>
      <c r="F2776">
        <v>794.05</v>
      </c>
      <c r="G2776">
        <v>398</v>
      </c>
      <c r="H2776" s="116"/>
      <c r="I2776" s="116"/>
    </row>
    <row r="2777" spans="1:9" x14ac:dyDescent="0.25">
      <c r="A2777" s="170">
        <v>46104</v>
      </c>
      <c r="B2777">
        <v>794.05</v>
      </c>
      <c r="C2777">
        <v>731.85</v>
      </c>
      <c r="D2777">
        <v>721.05</v>
      </c>
      <c r="E2777">
        <v>794.05</v>
      </c>
      <c r="F2777">
        <v>731.85</v>
      </c>
      <c r="G2777">
        <v>7733</v>
      </c>
      <c r="H2777" s="116"/>
      <c r="I2777" s="116"/>
    </row>
    <row r="2778" spans="1:9" x14ac:dyDescent="0.25">
      <c r="A2778" s="170">
        <v>46105</v>
      </c>
      <c r="B2778">
        <v>763.45</v>
      </c>
      <c r="C2778">
        <v>740.9</v>
      </c>
      <c r="D2778">
        <v>734</v>
      </c>
      <c r="E2778">
        <v>763.45</v>
      </c>
      <c r="F2778">
        <v>740.9</v>
      </c>
      <c r="G2778">
        <v>612</v>
      </c>
      <c r="H2778" s="116"/>
      <c r="I2778" s="116"/>
    </row>
    <row r="2779" spans="1:9" x14ac:dyDescent="0.25">
      <c r="A2779" s="170">
        <v>46106</v>
      </c>
      <c r="B2779">
        <v>761</v>
      </c>
      <c r="C2779">
        <v>753.85</v>
      </c>
      <c r="D2779">
        <v>749.8</v>
      </c>
      <c r="E2779">
        <v>750</v>
      </c>
      <c r="F2779">
        <v>753.85</v>
      </c>
      <c r="G2779">
        <v>2985</v>
      </c>
      <c r="H2779" s="116"/>
      <c r="I2779" s="116"/>
    </row>
    <row r="2780" spans="1:9" x14ac:dyDescent="0.25">
      <c r="A2780" s="170">
        <v>46108</v>
      </c>
      <c r="B2780">
        <v>752.5</v>
      </c>
      <c r="C2780">
        <v>745.7</v>
      </c>
      <c r="D2780">
        <v>725.6</v>
      </c>
      <c r="E2780">
        <v>745.05</v>
      </c>
      <c r="F2780">
        <v>745.7</v>
      </c>
      <c r="G2780">
        <v>4509</v>
      </c>
      <c r="H2780" s="116"/>
      <c r="I2780" s="116"/>
    </row>
    <row r="2781" spans="1:9" x14ac:dyDescent="0.25">
      <c r="A2781" s="170">
        <v>46111</v>
      </c>
      <c r="B2781">
        <v>775</v>
      </c>
      <c r="C2781">
        <v>729.1</v>
      </c>
      <c r="D2781">
        <v>726.3</v>
      </c>
      <c r="E2781">
        <v>748</v>
      </c>
      <c r="F2781">
        <v>729.1</v>
      </c>
      <c r="G2781">
        <v>2143</v>
      </c>
      <c r="H2781" s="116"/>
      <c r="I2781" s="116"/>
    </row>
    <row r="2782" spans="1:9" x14ac:dyDescent="0.25">
      <c r="A2782" s="170">
        <v>46113</v>
      </c>
      <c r="B2782">
        <v>768</v>
      </c>
      <c r="C2782">
        <v>759.5</v>
      </c>
      <c r="D2782">
        <v>736.35</v>
      </c>
      <c r="E2782">
        <v>756.65</v>
      </c>
      <c r="F2782">
        <v>759.5</v>
      </c>
      <c r="G2782">
        <v>207</v>
      </c>
      <c r="H2782" s="116"/>
      <c r="I2782" s="116"/>
    </row>
    <row r="2783" spans="1:9" x14ac:dyDescent="0.25">
      <c r="A2783" s="170">
        <v>46114</v>
      </c>
      <c r="B2783">
        <v>756.95</v>
      </c>
      <c r="C2783">
        <v>752.9</v>
      </c>
      <c r="D2783">
        <v>745</v>
      </c>
      <c r="E2783">
        <v>745</v>
      </c>
      <c r="F2783">
        <v>752.9</v>
      </c>
      <c r="G2783">
        <v>367</v>
      </c>
      <c r="H2783" s="116"/>
      <c r="I2783" s="116"/>
    </row>
    <row r="2784" spans="1:9" x14ac:dyDescent="0.25">
      <c r="A2784" s="170">
        <v>46118</v>
      </c>
      <c r="B2784">
        <v>755</v>
      </c>
      <c r="C2784">
        <v>739.2</v>
      </c>
      <c r="D2784">
        <v>729.1</v>
      </c>
      <c r="E2784">
        <v>753</v>
      </c>
      <c r="F2784">
        <v>739.2</v>
      </c>
      <c r="G2784">
        <v>1294</v>
      </c>
      <c r="H2784" s="116"/>
      <c r="I2784" s="116"/>
    </row>
    <row r="2785" spans="1:9" x14ac:dyDescent="0.25">
      <c r="A2785" s="170">
        <v>46119</v>
      </c>
      <c r="B2785">
        <v>754.65</v>
      </c>
      <c r="C2785">
        <v>753.55</v>
      </c>
      <c r="D2785">
        <v>730</v>
      </c>
      <c r="E2785">
        <v>739.2</v>
      </c>
      <c r="F2785">
        <v>753.55</v>
      </c>
      <c r="G2785">
        <v>389</v>
      </c>
      <c r="H2785" s="116"/>
      <c r="I2785" s="116"/>
    </row>
    <row r="2786" spans="1:9" x14ac:dyDescent="0.25">
      <c r="A2786" s="170">
        <v>46120</v>
      </c>
      <c r="B2786">
        <v>792</v>
      </c>
      <c r="C2786">
        <v>788</v>
      </c>
      <c r="D2786">
        <v>760</v>
      </c>
      <c r="E2786">
        <v>764.6</v>
      </c>
      <c r="F2786">
        <v>788</v>
      </c>
      <c r="G2786">
        <v>940</v>
      </c>
      <c r="H2786" s="116"/>
      <c r="I2786" s="116"/>
    </row>
    <row r="2787" spans="1:9" x14ac:dyDescent="0.25">
      <c r="A2787" s="170">
        <v>46121</v>
      </c>
      <c r="B2787">
        <v>799.8</v>
      </c>
      <c r="C2787">
        <v>789.6</v>
      </c>
      <c r="D2787">
        <v>777.65</v>
      </c>
      <c r="E2787">
        <v>788.05</v>
      </c>
      <c r="F2787">
        <v>789.6</v>
      </c>
      <c r="G2787">
        <v>368</v>
      </c>
      <c r="H2787" s="116"/>
      <c r="I2787" s="116"/>
    </row>
    <row r="2788" spans="1:9" x14ac:dyDescent="0.25">
      <c r="A2788" s="170">
        <v>46122</v>
      </c>
      <c r="B2788">
        <v>799</v>
      </c>
      <c r="C2788">
        <v>770.05</v>
      </c>
      <c r="D2788">
        <v>770.05</v>
      </c>
      <c r="E2788">
        <v>799</v>
      </c>
      <c r="F2788">
        <v>770.05</v>
      </c>
      <c r="G2788">
        <v>1594</v>
      </c>
      <c r="H2788" s="116"/>
      <c r="I2788" s="116"/>
    </row>
    <row r="2789" spans="1:9" x14ac:dyDescent="0.25">
      <c r="A2789" s="170">
        <v>46125</v>
      </c>
      <c r="B2789">
        <v>845</v>
      </c>
      <c r="C2789">
        <v>768</v>
      </c>
      <c r="D2789">
        <v>768</v>
      </c>
      <c r="E2789">
        <v>845</v>
      </c>
      <c r="F2789">
        <v>768</v>
      </c>
      <c r="G2789">
        <v>2013</v>
      </c>
      <c r="H2789" s="116"/>
      <c r="I2789" s="116"/>
    </row>
    <row r="2790" spans="1:9" x14ac:dyDescent="0.25">
      <c r="A2790" s="170">
        <v>46127</v>
      </c>
      <c r="B2790">
        <v>789.95</v>
      </c>
      <c r="C2790">
        <v>770.2</v>
      </c>
      <c r="D2790">
        <v>760</v>
      </c>
      <c r="E2790">
        <v>775</v>
      </c>
      <c r="F2790">
        <v>770.2</v>
      </c>
      <c r="G2790">
        <v>5826</v>
      </c>
      <c r="H2790" s="116"/>
      <c r="I2790" s="116"/>
    </row>
    <row r="2791" spans="1:9" x14ac:dyDescent="0.25">
      <c r="A2791" s="170">
        <v>46128</v>
      </c>
      <c r="B2791">
        <v>924.2</v>
      </c>
      <c r="C2791">
        <v>893.1</v>
      </c>
      <c r="D2791">
        <v>777</v>
      </c>
      <c r="E2791">
        <v>779.95</v>
      </c>
      <c r="F2791">
        <v>893.1</v>
      </c>
      <c r="G2791">
        <v>23087</v>
      </c>
      <c r="H2791" s="116"/>
      <c r="I2791" s="116"/>
    </row>
    <row r="2792" spans="1:9" x14ac:dyDescent="0.25">
      <c r="A2792" s="170">
        <v>46129</v>
      </c>
      <c r="B2792">
        <v>917</v>
      </c>
      <c r="C2792">
        <v>897</v>
      </c>
      <c r="D2792">
        <v>875</v>
      </c>
      <c r="E2792">
        <v>898</v>
      </c>
      <c r="F2792">
        <v>897</v>
      </c>
      <c r="G2792">
        <v>1233</v>
      </c>
      <c r="H2792" s="116"/>
      <c r="I2792" s="116"/>
    </row>
    <row r="2793" spans="1:9" x14ac:dyDescent="0.25">
      <c r="A2793" s="170">
        <v>46132</v>
      </c>
      <c r="B2793">
        <v>897</v>
      </c>
      <c r="C2793">
        <v>889.65</v>
      </c>
      <c r="D2793">
        <v>845</v>
      </c>
      <c r="E2793">
        <v>896.95</v>
      </c>
      <c r="F2793">
        <v>889.65</v>
      </c>
      <c r="G2793">
        <v>568</v>
      </c>
      <c r="H2793" s="116"/>
      <c r="I2793" s="116"/>
    </row>
    <row r="2794" spans="1:9" x14ac:dyDescent="0.25">
      <c r="A2794" s="170">
        <v>46133</v>
      </c>
      <c r="B2794">
        <v>917</v>
      </c>
      <c r="C2794">
        <v>893.65</v>
      </c>
      <c r="D2794">
        <v>858.05</v>
      </c>
      <c r="E2794">
        <v>858.1</v>
      </c>
      <c r="F2794">
        <v>893.65</v>
      </c>
      <c r="G2794">
        <v>130</v>
      </c>
      <c r="H2794" s="116"/>
      <c r="I2794" s="116"/>
    </row>
    <row r="2795" spans="1:9" x14ac:dyDescent="0.25">
      <c r="A2795" s="170">
        <v>46134</v>
      </c>
      <c r="B2795">
        <v>889</v>
      </c>
      <c r="C2795">
        <v>874.55</v>
      </c>
      <c r="D2795">
        <v>870</v>
      </c>
      <c r="E2795">
        <v>889</v>
      </c>
      <c r="F2795">
        <v>874.55</v>
      </c>
      <c r="G2795">
        <v>769</v>
      </c>
      <c r="H2795" s="116"/>
      <c r="I2795" s="116"/>
    </row>
    <row r="2796" spans="1:9" x14ac:dyDescent="0.25">
      <c r="A2796" s="170">
        <v>46135</v>
      </c>
      <c r="B2796">
        <v>895.35</v>
      </c>
      <c r="C2796">
        <v>879.55</v>
      </c>
      <c r="D2796">
        <v>871</v>
      </c>
      <c r="E2796">
        <v>872.05</v>
      </c>
      <c r="F2796">
        <v>879.55</v>
      </c>
      <c r="G2796">
        <v>426</v>
      </c>
      <c r="H2796" s="116"/>
      <c r="I2796" s="116"/>
    </row>
    <row r="2797" spans="1:9" x14ac:dyDescent="0.25">
      <c r="A2797" s="170">
        <v>46136</v>
      </c>
      <c r="B2797">
        <v>880</v>
      </c>
      <c r="C2797">
        <v>860.65</v>
      </c>
      <c r="D2797">
        <v>857.65</v>
      </c>
      <c r="E2797">
        <v>857.65</v>
      </c>
      <c r="F2797">
        <v>860.65</v>
      </c>
      <c r="G2797">
        <v>172</v>
      </c>
      <c r="H2797" s="116"/>
      <c r="I2797" s="116"/>
    </row>
    <row r="2798" spans="1:9" x14ac:dyDescent="0.25">
      <c r="A2798" s="170">
        <v>46139</v>
      </c>
      <c r="B2798">
        <v>889.8</v>
      </c>
      <c r="C2798">
        <v>847.1</v>
      </c>
      <c r="D2798">
        <v>835.05</v>
      </c>
      <c r="E2798">
        <v>889</v>
      </c>
      <c r="F2798">
        <v>847.1</v>
      </c>
      <c r="G2798">
        <v>2479</v>
      </c>
      <c r="H2798" s="116"/>
      <c r="I2798" s="116"/>
    </row>
    <row r="2799" spans="1:9" x14ac:dyDescent="0.25">
      <c r="A2799" s="170">
        <v>46140</v>
      </c>
      <c r="B2799">
        <v>884.7</v>
      </c>
      <c r="C2799">
        <v>871</v>
      </c>
      <c r="D2799">
        <v>860</v>
      </c>
      <c r="E2799">
        <v>884.7</v>
      </c>
      <c r="F2799">
        <v>871</v>
      </c>
      <c r="G2799">
        <v>665</v>
      </c>
      <c r="H2799" s="116"/>
      <c r="I2799" s="116"/>
    </row>
    <row r="2800" spans="1:9" x14ac:dyDescent="0.25">
      <c r="A2800" s="170">
        <v>46141</v>
      </c>
      <c r="B2800">
        <v>899</v>
      </c>
      <c r="C2800">
        <v>880.55</v>
      </c>
      <c r="D2800">
        <v>871</v>
      </c>
      <c r="E2800">
        <v>880.5</v>
      </c>
      <c r="F2800">
        <v>880.55</v>
      </c>
      <c r="G2800">
        <v>704</v>
      </c>
      <c r="H2800" s="116"/>
      <c r="I2800" s="116"/>
    </row>
    <row r="2801" spans="1:9" x14ac:dyDescent="0.25">
      <c r="A2801" s="170">
        <v>46142</v>
      </c>
      <c r="B2801">
        <v>878.6</v>
      </c>
      <c r="C2801">
        <v>866.55</v>
      </c>
      <c r="D2801">
        <v>825</v>
      </c>
      <c r="E2801">
        <v>878.55</v>
      </c>
      <c r="F2801">
        <v>866.55</v>
      </c>
      <c r="G2801">
        <v>3145</v>
      </c>
      <c r="H2801" s="116"/>
      <c r="I2801" s="116"/>
    </row>
    <row r="2802" spans="1:9" x14ac:dyDescent="0.25">
      <c r="A2802" s="170">
        <v>46146</v>
      </c>
      <c r="B2802">
        <v>887.95</v>
      </c>
      <c r="C2802">
        <v>831.85</v>
      </c>
      <c r="D2802">
        <v>810.1</v>
      </c>
      <c r="E2802">
        <v>855</v>
      </c>
      <c r="F2802">
        <v>831.85</v>
      </c>
      <c r="G2802">
        <v>5771</v>
      </c>
      <c r="H2802" s="116"/>
      <c r="I2802" s="116"/>
    </row>
    <row r="2803" spans="1:9" x14ac:dyDescent="0.25">
      <c r="A2803" s="170">
        <v>46147</v>
      </c>
      <c r="B2803">
        <v>849.4</v>
      </c>
      <c r="C2803">
        <v>840.5</v>
      </c>
      <c r="D2803">
        <v>810.25</v>
      </c>
      <c r="E2803">
        <v>810.25</v>
      </c>
      <c r="F2803">
        <v>840.5</v>
      </c>
      <c r="G2803">
        <v>1564</v>
      </c>
      <c r="H2803" s="116"/>
      <c r="I2803" s="116"/>
    </row>
    <row r="2804" spans="1:9" x14ac:dyDescent="0.25">
      <c r="A2804" s="170">
        <v>46148</v>
      </c>
      <c r="B2804">
        <v>875</v>
      </c>
      <c r="C2804">
        <v>873.15</v>
      </c>
      <c r="D2804">
        <v>840.6</v>
      </c>
      <c r="E2804">
        <v>868.75</v>
      </c>
      <c r="F2804">
        <v>873.15</v>
      </c>
      <c r="G2804">
        <v>1297</v>
      </c>
      <c r="H2804" s="116"/>
      <c r="I2804" s="116"/>
    </row>
    <row r="2805" spans="1:9" x14ac:dyDescent="0.25">
      <c r="A2805" s="170">
        <v>46149</v>
      </c>
      <c r="B2805">
        <v>875</v>
      </c>
      <c r="C2805">
        <v>854.05</v>
      </c>
      <c r="D2805">
        <v>848</v>
      </c>
      <c r="E2805">
        <v>873.1</v>
      </c>
      <c r="F2805">
        <v>854.05</v>
      </c>
      <c r="G2805">
        <v>1249</v>
      </c>
      <c r="H2805" s="116"/>
      <c r="I2805" s="116"/>
    </row>
    <row r="2806" spans="1:9" x14ac:dyDescent="0.25">
      <c r="A2806" s="170">
        <v>46150</v>
      </c>
      <c r="B2806">
        <v>911</v>
      </c>
      <c r="C2806">
        <v>897.95</v>
      </c>
      <c r="D2806">
        <v>830</v>
      </c>
      <c r="E2806">
        <v>830</v>
      </c>
      <c r="F2806">
        <v>897.95</v>
      </c>
      <c r="G2806">
        <v>3193</v>
      </c>
      <c r="H2806" s="116"/>
      <c r="I2806" s="116"/>
    </row>
    <row r="2807" spans="1:9" x14ac:dyDescent="0.25">
      <c r="A2807" s="170">
        <v>46153</v>
      </c>
      <c r="B2807">
        <v>969</v>
      </c>
      <c r="C2807">
        <v>958.35</v>
      </c>
      <c r="D2807">
        <v>880.1</v>
      </c>
      <c r="E2807">
        <v>906.9</v>
      </c>
      <c r="F2807">
        <v>958.35</v>
      </c>
      <c r="G2807">
        <v>5056</v>
      </c>
      <c r="H2807" s="116"/>
      <c r="I2807" s="116"/>
    </row>
    <row r="2808" spans="1:9" x14ac:dyDescent="0.25">
      <c r="A2808" s="170">
        <v>46154</v>
      </c>
      <c r="B2808">
        <v>975</v>
      </c>
      <c r="C2808">
        <v>931.35</v>
      </c>
      <c r="D2808">
        <v>919.85</v>
      </c>
      <c r="E2808">
        <v>955</v>
      </c>
      <c r="F2808">
        <v>931.35</v>
      </c>
      <c r="G2808">
        <v>3015</v>
      </c>
      <c r="H2808" s="116"/>
      <c r="I2808" s="116"/>
    </row>
    <row r="2809" spans="1:9" x14ac:dyDescent="0.25">
      <c r="A2809" s="170">
        <v>46155</v>
      </c>
      <c r="B2809">
        <v>1050</v>
      </c>
      <c r="C2809">
        <v>979.6</v>
      </c>
      <c r="D2809">
        <v>919</v>
      </c>
      <c r="E2809">
        <v>936</v>
      </c>
      <c r="F2809">
        <v>979.6</v>
      </c>
      <c r="G2809">
        <v>19271</v>
      </c>
      <c r="H2809" s="116"/>
      <c r="I2809" s="116"/>
    </row>
    <row r="2810" spans="1:9" x14ac:dyDescent="0.25">
      <c r="A2810" s="170">
        <v>46156</v>
      </c>
      <c r="B2810">
        <v>999</v>
      </c>
      <c r="C2810">
        <v>949.55</v>
      </c>
      <c r="D2810">
        <v>916</v>
      </c>
      <c r="E2810">
        <v>998</v>
      </c>
      <c r="F2810">
        <v>949.55</v>
      </c>
      <c r="G2810">
        <v>3475</v>
      </c>
      <c r="H2810" s="116"/>
      <c r="I2810" s="116"/>
    </row>
    <row r="2811" spans="1:9" x14ac:dyDescent="0.25">
      <c r="A2811" s="170">
        <v>46157</v>
      </c>
      <c r="B2811">
        <v>969.95</v>
      </c>
      <c r="C2811">
        <v>898.3</v>
      </c>
      <c r="D2811">
        <v>880</v>
      </c>
      <c r="E2811">
        <v>949.55</v>
      </c>
      <c r="F2811">
        <v>898.3</v>
      </c>
      <c r="G2811">
        <v>3895</v>
      </c>
      <c r="H2811" s="116"/>
      <c r="I2811" s="116"/>
    </row>
    <row r="2812" spans="1:9" x14ac:dyDescent="0.25">
      <c r="A2812" s="170">
        <v>46160</v>
      </c>
      <c r="B2812">
        <v>936</v>
      </c>
      <c r="C2812">
        <v>870.25</v>
      </c>
      <c r="D2812">
        <v>863</v>
      </c>
      <c r="E2812">
        <v>898.3</v>
      </c>
      <c r="F2812">
        <v>870.25</v>
      </c>
      <c r="G2812">
        <v>2641</v>
      </c>
      <c r="H2812" s="116"/>
      <c r="I2812" s="116"/>
    </row>
    <row r="2813" spans="1:9" x14ac:dyDescent="0.25">
      <c r="A2813" s="170">
        <v>46161</v>
      </c>
      <c r="B2813">
        <v>898.95</v>
      </c>
      <c r="C2813">
        <v>854.6</v>
      </c>
      <c r="D2813">
        <v>850</v>
      </c>
      <c r="E2813">
        <v>881.95</v>
      </c>
      <c r="F2813">
        <v>854.6</v>
      </c>
      <c r="G2813">
        <v>1015</v>
      </c>
      <c r="H2813" s="116"/>
      <c r="I2813" s="116"/>
    </row>
    <row r="2814" spans="1:9" x14ac:dyDescent="0.25">
      <c r="A2814" s="170">
        <v>46162</v>
      </c>
      <c r="B2814">
        <v>888.65</v>
      </c>
      <c r="C2814">
        <v>850.75</v>
      </c>
      <c r="D2814">
        <v>830.1</v>
      </c>
      <c r="E2814">
        <v>867.05</v>
      </c>
      <c r="F2814">
        <v>850.75</v>
      </c>
      <c r="G2814">
        <v>1282</v>
      </c>
      <c r="H2814" s="116"/>
      <c r="I2814" s="116"/>
    </row>
    <row r="2815" spans="1:9" x14ac:dyDescent="0.25">
      <c r="A2815" s="170">
        <v>46163</v>
      </c>
      <c r="B2815">
        <v>878.6</v>
      </c>
      <c r="C2815">
        <v>866.55</v>
      </c>
      <c r="D2815">
        <v>832.05</v>
      </c>
      <c r="E2815">
        <v>878.6</v>
      </c>
      <c r="F2815">
        <v>866.55</v>
      </c>
      <c r="G2815">
        <v>1071</v>
      </c>
      <c r="H2815" s="116"/>
      <c r="I2815" s="116"/>
    </row>
    <row r="2816" spans="1:9" x14ac:dyDescent="0.25">
      <c r="A2816" s="170">
        <v>46164</v>
      </c>
      <c r="B2816">
        <v>870.75</v>
      </c>
      <c r="C2816">
        <v>862.25</v>
      </c>
      <c r="D2816">
        <v>841</v>
      </c>
      <c r="E2816">
        <v>858</v>
      </c>
      <c r="F2816">
        <v>862.25</v>
      </c>
      <c r="G2816">
        <v>503</v>
      </c>
      <c r="H2816" s="116"/>
      <c r="I2816" s="116"/>
    </row>
    <row r="2817" spans="1:9" x14ac:dyDescent="0.25">
      <c r="A2817" s="170">
        <v>46167</v>
      </c>
      <c r="B2817">
        <v>890</v>
      </c>
      <c r="C2817">
        <v>861.1</v>
      </c>
      <c r="D2817">
        <v>850</v>
      </c>
      <c r="E2817">
        <v>880</v>
      </c>
      <c r="F2817">
        <v>861.1</v>
      </c>
      <c r="G2817">
        <v>1465</v>
      </c>
      <c r="H2817" s="116"/>
      <c r="I2817" s="116"/>
    </row>
    <row r="2818" spans="1:9" x14ac:dyDescent="0.25">
      <c r="A2818" s="170">
        <v>46168</v>
      </c>
      <c r="B2818">
        <v>888</v>
      </c>
      <c r="C2818">
        <v>882.4</v>
      </c>
      <c r="D2818">
        <v>865.5</v>
      </c>
      <c r="E2818">
        <v>881</v>
      </c>
      <c r="F2818">
        <v>882.4</v>
      </c>
      <c r="G2818">
        <v>1232</v>
      </c>
      <c r="H2818" s="116"/>
      <c r="I2818" s="116"/>
    </row>
    <row r="2819" spans="1:9" x14ac:dyDescent="0.25">
      <c r="A2819" s="170">
        <v>46169</v>
      </c>
      <c r="B2819">
        <v>1058.8499999999999</v>
      </c>
      <c r="C2819">
        <v>994.55</v>
      </c>
      <c r="D2819">
        <v>868</v>
      </c>
      <c r="E2819">
        <v>897.95</v>
      </c>
      <c r="F2819">
        <v>994.55</v>
      </c>
      <c r="G2819">
        <v>30096</v>
      </c>
      <c r="H2819" s="116"/>
      <c r="I2819" s="116"/>
    </row>
    <row r="2820" spans="1:9" x14ac:dyDescent="0.25">
      <c r="A2820" s="170">
        <v>46171</v>
      </c>
      <c r="B2820">
        <v>1047.8499999999999</v>
      </c>
      <c r="C2820">
        <v>1019.15</v>
      </c>
      <c r="D2820">
        <v>994.5</v>
      </c>
      <c r="E2820">
        <v>994.5</v>
      </c>
      <c r="F2820">
        <v>1019.15</v>
      </c>
      <c r="G2820">
        <v>3954</v>
      </c>
      <c r="H2820" s="116"/>
      <c r="I2820" s="116"/>
    </row>
    <row r="2821" spans="1:9" x14ac:dyDescent="0.25">
      <c r="A2821" s="170">
        <v>46174</v>
      </c>
      <c r="B2821">
        <v>1059.95</v>
      </c>
      <c r="C2821">
        <v>985</v>
      </c>
      <c r="D2821">
        <v>951</v>
      </c>
      <c r="E2821">
        <v>1059.95</v>
      </c>
      <c r="F2821">
        <v>985</v>
      </c>
      <c r="G2821">
        <v>2108</v>
      </c>
      <c r="H2821" s="116"/>
      <c r="I2821" s="116"/>
    </row>
    <row r="2822" spans="1:9" x14ac:dyDescent="0.25">
      <c r="A2822" s="170">
        <v>46175</v>
      </c>
      <c r="B2822">
        <v>1005</v>
      </c>
      <c r="C2822">
        <v>975.5</v>
      </c>
      <c r="D2822">
        <v>972.05</v>
      </c>
      <c r="E2822">
        <v>998.95</v>
      </c>
      <c r="F2822">
        <v>975.5</v>
      </c>
      <c r="G2822">
        <v>522</v>
      </c>
      <c r="H2822" s="116"/>
      <c r="I2822" s="116"/>
    </row>
    <row r="2823" spans="1:9" x14ac:dyDescent="0.25">
      <c r="A2823" s="170">
        <v>46176</v>
      </c>
      <c r="B2823">
        <v>1148</v>
      </c>
      <c r="C2823">
        <v>1105.4000000000001</v>
      </c>
      <c r="D2823">
        <v>952</v>
      </c>
      <c r="E2823">
        <v>975.5</v>
      </c>
      <c r="F2823">
        <v>1105.4000000000001</v>
      </c>
      <c r="G2823">
        <v>14912</v>
      </c>
      <c r="H2823" s="116"/>
      <c r="I2823" s="116"/>
    </row>
    <row r="2824" spans="1:9" x14ac:dyDescent="0.25">
      <c r="A2824" s="170">
        <v>46177</v>
      </c>
      <c r="B2824">
        <v>1147</v>
      </c>
      <c r="C2824">
        <v>1094.5999999999999</v>
      </c>
      <c r="D2824">
        <v>1059.95</v>
      </c>
      <c r="E2824">
        <v>1100</v>
      </c>
      <c r="F2824">
        <v>1094.5999999999999</v>
      </c>
      <c r="G2824">
        <v>3386</v>
      </c>
      <c r="H2824" s="116"/>
      <c r="I2824" s="116"/>
    </row>
    <row r="2825" spans="1:9" x14ac:dyDescent="0.25">
      <c r="A2825" s="170">
        <v>46178</v>
      </c>
      <c r="B2825">
        <v>1122.8499999999999</v>
      </c>
      <c r="C2825">
        <v>1060.05</v>
      </c>
      <c r="D2825">
        <v>1052.05</v>
      </c>
      <c r="E2825">
        <v>1100</v>
      </c>
      <c r="F2825">
        <v>1060.05</v>
      </c>
      <c r="G2825">
        <v>682</v>
      </c>
      <c r="H2825" s="116"/>
      <c r="I2825" s="116"/>
    </row>
    <row r="2826" spans="1:9" x14ac:dyDescent="0.25">
      <c r="A2826" s="170">
        <v>46181</v>
      </c>
      <c r="B2826">
        <v>1089.6500000000001</v>
      </c>
      <c r="C2826">
        <v>1049.5</v>
      </c>
      <c r="D2826">
        <v>1038</v>
      </c>
      <c r="E2826">
        <v>1065.05</v>
      </c>
      <c r="F2826">
        <v>1049.5</v>
      </c>
      <c r="G2826">
        <v>1299</v>
      </c>
      <c r="H2826" s="116"/>
      <c r="I2826" s="116"/>
    </row>
    <row r="2827" spans="1:9" x14ac:dyDescent="0.25">
      <c r="A2827" s="170">
        <v>46182</v>
      </c>
      <c r="B2827">
        <v>1094</v>
      </c>
      <c r="C2827">
        <v>1045.95</v>
      </c>
      <c r="D2827">
        <v>1024</v>
      </c>
      <c r="E2827">
        <v>1050</v>
      </c>
      <c r="F2827">
        <v>1045.95</v>
      </c>
      <c r="G2827">
        <v>1425</v>
      </c>
      <c r="H2827" s="116"/>
      <c r="I2827" s="116"/>
    </row>
    <row r="2828" spans="1:9" x14ac:dyDescent="0.25">
      <c r="A2828" s="170">
        <v>46183</v>
      </c>
      <c r="B2828">
        <v>1240</v>
      </c>
      <c r="C2828">
        <v>1186.8</v>
      </c>
      <c r="D2828">
        <v>1050</v>
      </c>
      <c r="E2828">
        <v>1070</v>
      </c>
      <c r="F2828">
        <v>1186.8</v>
      </c>
      <c r="G2828">
        <v>34590</v>
      </c>
      <c r="H2828" s="116"/>
      <c r="I2828" s="116"/>
    </row>
    <row r="2829" spans="1:9" x14ac:dyDescent="0.25">
      <c r="A2829" s="170">
        <v>46184</v>
      </c>
      <c r="B2829">
        <v>1250</v>
      </c>
      <c r="C2829">
        <v>1218.05</v>
      </c>
      <c r="D2829">
        <v>1169</v>
      </c>
      <c r="E2829">
        <v>1169</v>
      </c>
      <c r="F2829">
        <v>1218.05</v>
      </c>
      <c r="G2829">
        <v>12013</v>
      </c>
      <c r="H2829" s="116"/>
      <c r="I2829" s="116"/>
    </row>
    <row r="2830" spans="1:9" x14ac:dyDescent="0.25">
      <c r="A2830" s="170">
        <v>46185</v>
      </c>
      <c r="B2830">
        <v>1264.4000000000001</v>
      </c>
      <c r="C2830">
        <v>1191.8</v>
      </c>
      <c r="D2830">
        <v>1180.05</v>
      </c>
      <c r="E2830">
        <v>1264.4000000000001</v>
      </c>
      <c r="F2830">
        <v>1191.8</v>
      </c>
      <c r="G2830">
        <v>3954</v>
      </c>
      <c r="H2830" s="116"/>
      <c r="I2830" s="116"/>
    </row>
    <row r="2831" spans="1:9" x14ac:dyDescent="0.25">
      <c r="A2831" s="170">
        <v>46188</v>
      </c>
      <c r="B2831">
        <v>1299</v>
      </c>
      <c r="C2831">
        <v>1258.25</v>
      </c>
      <c r="D2831">
        <v>1249</v>
      </c>
      <c r="E2831">
        <v>1296</v>
      </c>
      <c r="F2831">
        <v>1258.25</v>
      </c>
      <c r="G2831">
        <v>15252</v>
      </c>
      <c r="H2831" s="116"/>
      <c r="I2831" s="116"/>
    </row>
    <row r="2832" spans="1:9" x14ac:dyDescent="0.25">
      <c r="A2832" s="170">
        <v>46189</v>
      </c>
      <c r="B2832">
        <v>1295</v>
      </c>
      <c r="C2832">
        <v>1254.05</v>
      </c>
      <c r="D2832">
        <v>1230</v>
      </c>
      <c r="E2832">
        <v>1295</v>
      </c>
      <c r="F2832">
        <v>1254.05</v>
      </c>
      <c r="G2832">
        <v>6290</v>
      </c>
      <c r="H2832" s="116"/>
      <c r="I2832" s="116"/>
    </row>
    <row r="2833" spans="1:9" x14ac:dyDescent="0.25">
      <c r="A2833" s="170">
        <v>46190</v>
      </c>
      <c r="B2833">
        <v>1281.9000000000001</v>
      </c>
      <c r="C2833">
        <v>1235.8</v>
      </c>
      <c r="D2833">
        <v>1225</v>
      </c>
      <c r="E2833">
        <v>1281.9000000000001</v>
      </c>
      <c r="F2833">
        <v>1235.8</v>
      </c>
      <c r="G2833">
        <v>4188</v>
      </c>
      <c r="H2833" s="116"/>
      <c r="I2833" s="116"/>
    </row>
    <row r="2834" spans="1:9" x14ac:dyDescent="0.25">
      <c r="H2834" s="116"/>
      <c r="I2834" s="116"/>
    </row>
    <row r="2835" spans="1:9" x14ac:dyDescent="0.25">
      <c r="H2835" s="116"/>
      <c r="I2835" s="116"/>
    </row>
    <row r="2836" spans="1:9" x14ac:dyDescent="0.25">
      <c r="H2836" s="116"/>
      <c r="I2836" s="116"/>
    </row>
    <row r="2837" spans="1:9" x14ac:dyDescent="0.25">
      <c r="H2837" s="116"/>
      <c r="I2837" s="116"/>
    </row>
    <row r="2838" spans="1:9" x14ac:dyDescent="0.25">
      <c r="H2838" s="116"/>
      <c r="I2838" s="116"/>
    </row>
    <row r="2839" spans="1:9" x14ac:dyDescent="0.25">
      <c r="H2839" s="116"/>
      <c r="I2839" s="116"/>
    </row>
    <row r="2840" spans="1:9" x14ac:dyDescent="0.25">
      <c r="H2840" s="116"/>
      <c r="I2840" s="116"/>
    </row>
    <row r="2841" spans="1:9" x14ac:dyDescent="0.25">
      <c r="H2841" s="116"/>
      <c r="I2841" s="116"/>
    </row>
    <row r="2842" spans="1:9" x14ac:dyDescent="0.25">
      <c r="H2842" s="116"/>
      <c r="I2842" s="116"/>
    </row>
    <row r="2843" spans="1:9" x14ac:dyDescent="0.25">
      <c r="H2843" s="116"/>
      <c r="I2843" s="116"/>
    </row>
    <row r="2844" spans="1:9" x14ac:dyDescent="0.25">
      <c r="H2844" s="116"/>
      <c r="I2844" s="116"/>
    </row>
    <row r="2845" spans="1:9" x14ac:dyDescent="0.25">
      <c r="H2845" s="116"/>
      <c r="I2845" s="116"/>
    </row>
    <row r="2846" spans="1:9" x14ac:dyDescent="0.25">
      <c r="H2846" s="116"/>
      <c r="I2846" s="116"/>
    </row>
    <row r="2847" spans="1:9" x14ac:dyDescent="0.25">
      <c r="H2847" s="116"/>
      <c r="I2847" s="116"/>
    </row>
    <row r="2848" spans="1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2026-06-17T16:40:17Z</dcterms:modified>
  <cp:category/>
  <cp:contentStatus/>
</cp:coreProperties>
</file>